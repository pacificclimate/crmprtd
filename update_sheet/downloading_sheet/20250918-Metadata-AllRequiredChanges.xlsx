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tongli1997/crmprtd/update_sheet/"/>
    </mc:Choice>
  </mc:AlternateContent>
  <xr:revisionPtr revIDLastSave="0" documentId="13_ncr:1_{C9E7620F-B1F7-3941-8E2F-4EE7C5693942}" xr6:coauthVersionLast="47" xr6:coauthVersionMax="47" xr10:uidLastSave="{00000000-0000-0000-0000-000000000000}"/>
  <bookViews>
    <workbookView xWindow="38400" yWindow="2640" windowWidth="30240" windowHeight="17400" xr2:uid="{00000000-000D-0000-FFFF-FFFF00000000}"/>
  </bookViews>
  <sheets>
    <sheet name="NewORGNames" sheetId="1" r:id="rId1"/>
    <sheet name="OldORGNames" sheetId="2" r:id="rId2"/>
    <sheet name="ORG NAME CHANGES" sheetId="3" r:id="rId3"/>
  </sheets>
  <definedNames>
    <definedName name="_xlnm._FilterDatabase" localSheetId="0" hidden="1">NewORGNames!$A$2:$BT$2085</definedName>
    <definedName name="_xlnm._FilterDatabase" localSheetId="1" hidden="1">OldORGNames!$A$2:$BT$2085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cA/+bd3yTbpdJVy0rNpMwRaj0X/V8MkWFDgmjhM8vSg="/>
    </ext>
  </extLst>
</workbook>
</file>

<file path=xl/calcChain.xml><?xml version="1.0" encoding="utf-8"?>
<calcChain xmlns="http://schemas.openxmlformats.org/spreadsheetml/2006/main">
  <c r="F101" i="1" l="1"/>
  <c r="G2084" i="2"/>
  <c r="F2084" i="2"/>
  <c r="D2084" i="2"/>
  <c r="G2083" i="2"/>
  <c r="F2083" i="2"/>
  <c r="D2083" i="2"/>
  <c r="G2082" i="2"/>
  <c r="F2082" i="2"/>
  <c r="D2082" i="2"/>
  <c r="G2081" i="2"/>
  <c r="F2081" i="2"/>
  <c r="D2081" i="2"/>
  <c r="G2080" i="2"/>
  <c r="F2080" i="2"/>
  <c r="D2080" i="2"/>
  <c r="S2067" i="2"/>
  <c r="G2067" i="2"/>
  <c r="F2067" i="2"/>
  <c r="D2067" i="2"/>
  <c r="S2066" i="2"/>
  <c r="G2066" i="2"/>
  <c r="F2066" i="2"/>
  <c r="D2066" i="2"/>
  <c r="S2065" i="2"/>
  <c r="G2065" i="2"/>
  <c r="F2065" i="2"/>
  <c r="D2065" i="2"/>
  <c r="S2064" i="2"/>
  <c r="G2064" i="2"/>
  <c r="F2064" i="2"/>
  <c r="D2064" i="2"/>
  <c r="S2063" i="2"/>
  <c r="G2063" i="2"/>
  <c r="F2063" i="2"/>
  <c r="D2063" i="2"/>
  <c r="S2062" i="2"/>
  <c r="G2062" i="2"/>
  <c r="F2062" i="2"/>
  <c r="D2062" i="2"/>
  <c r="S2061" i="2"/>
  <c r="G2061" i="2"/>
  <c r="F2061" i="2"/>
  <c r="D2061" i="2"/>
  <c r="S2060" i="2"/>
  <c r="G2060" i="2"/>
  <c r="F2060" i="2"/>
  <c r="D2060" i="2"/>
  <c r="S2059" i="2"/>
  <c r="G2059" i="2"/>
  <c r="F2059" i="2"/>
  <c r="D2059" i="2"/>
  <c r="S2058" i="2"/>
  <c r="G2058" i="2"/>
  <c r="F2058" i="2"/>
  <c r="D2058" i="2"/>
  <c r="S2057" i="2"/>
  <c r="G2057" i="2"/>
  <c r="F2057" i="2"/>
  <c r="D2057" i="2"/>
  <c r="S2056" i="2"/>
  <c r="G2056" i="2"/>
  <c r="F2056" i="2"/>
  <c r="D2056" i="2"/>
  <c r="S2055" i="2"/>
  <c r="G2055" i="2"/>
  <c r="F2055" i="2"/>
  <c r="D2055" i="2"/>
  <c r="S2054" i="2"/>
  <c r="G2054" i="2"/>
  <c r="F2054" i="2"/>
  <c r="D2054" i="2"/>
  <c r="S2053" i="2"/>
  <c r="G2053" i="2"/>
  <c r="F2053" i="2"/>
  <c r="D2053" i="2"/>
  <c r="S2052" i="2"/>
  <c r="G2052" i="2"/>
  <c r="F2052" i="2"/>
  <c r="D2052" i="2"/>
  <c r="S2051" i="2"/>
  <c r="G2051" i="2"/>
  <c r="F2051" i="2"/>
  <c r="D2051" i="2"/>
  <c r="S2050" i="2"/>
  <c r="G2050" i="2"/>
  <c r="F2050" i="2"/>
  <c r="D2050" i="2"/>
  <c r="S2049" i="2"/>
  <c r="G2049" i="2"/>
  <c r="F2049" i="2"/>
  <c r="D2049" i="2"/>
  <c r="S2048" i="2"/>
  <c r="G2048" i="2"/>
  <c r="F2048" i="2"/>
  <c r="D2048" i="2"/>
  <c r="S2047" i="2"/>
  <c r="G2047" i="2"/>
  <c r="F2047" i="2"/>
  <c r="D2047" i="2"/>
  <c r="S2046" i="2"/>
  <c r="G2046" i="2"/>
  <c r="F2046" i="2"/>
  <c r="D2046" i="2"/>
  <c r="S2045" i="2"/>
  <c r="G2045" i="2"/>
  <c r="F2045" i="2"/>
  <c r="D2045" i="2"/>
  <c r="S2044" i="2"/>
  <c r="G2044" i="2"/>
  <c r="F2044" i="2"/>
  <c r="D2044" i="2"/>
  <c r="S2043" i="2"/>
  <c r="G2043" i="2"/>
  <c r="F2043" i="2"/>
  <c r="D2043" i="2"/>
  <c r="S2042" i="2"/>
  <c r="G2042" i="2"/>
  <c r="F2042" i="2"/>
  <c r="D2042" i="2"/>
  <c r="S2041" i="2"/>
  <c r="S2040" i="2"/>
  <c r="S2039" i="2"/>
  <c r="G2039" i="2"/>
  <c r="F2039" i="2"/>
  <c r="D2039" i="2"/>
  <c r="S2038" i="2"/>
  <c r="S2037" i="2"/>
  <c r="G2037" i="2"/>
  <c r="F2037" i="2"/>
  <c r="D2037" i="2"/>
  <c r="S2036" i="2"/>
  <c r="S2035" i="2"/>
  <c r="G2035" i="2"/>
  <c r="F2035" i="2"/>
  <c r="D2035" i="2"/>
  <c r="S2034" i="2"/>
  <c r="S2033" i="2"/>
  <c r="S2032" i="2"/>
  <c r="S2031" i="2"/>
  <c r="D2031" i="2"/>
  <c r="S2030" i="2"/>
  <c r="D2030" i="2"/>
  <c r="S2029" i="2"/>
  <c r="S2028" i="2"/>
  <c r="S2027" i="2"/>
  <c r="G2027" i="2"/>
  <c r="F2027" i="2"/>
  <c r="D2027" i="2"/>
  <c r="S2026" i="2"/>
  <c r="G2026" i="2"/>
  <c r="F2026" i="2"/>
  <c r="D2026" i="2"/>
  <c r="S2025" i="2"/>
  <c r="G2025" i="2"/>
  <c r="F2025" i="2"/>
  <c r="D2025" i="2"/>
  <c r="S2024" i="2"/>
  <c r="G2024" i="2"/>
  <c r="F2024" i="2"/>
  <c r="D2024" i="2"/>
  <c r="S2023" i="2"/>
  <c r="G2023" i="2"/>
  <c r="F2023" i="2"/>
  <c r="D2023" i="2"/>
  <c r="S2022" i="2"/>
  <c r="G2022" i="2"/>
  <c r="F2022" i="2"/>
  <c r="D2022" i="2"/>
  <c r="S2021" i="2"/>
  <c r="G2021" i="2"/>
  <c r="F2021" i="2"/>
  <c r="D2021" i="2"/>
  <c r="S2020" i="2"/>
  <c r="S2019" i="2"/>
  <c r="S2018" i="2"/>
  <c r="S2017" i="2"/>
  <c r="S2016" i="2"/>
  <c r="S2015" i="2"/>
  <c r="S2014" i="2"/>
  <c r="S2013" i="2"/>
  <c r="S2012" i="2"/>
  <c r="S2011" i="2"/>
  <c r="G2011" i="2"/>
  <c r="F2011" i="2"/>
  <c r="D2011" i="2"/>
  <c r="S2010" i="2"/>
  <c r="S2009" i="2"/>
  <c r="G2009" i="2"/>
  <c r="F2009" i="2"/>
  <c r="D2009" i="2"/>
  <c r="S2008" i="2"/>
  <c r="S2007" i="2"/>
  <c r="S2006" i="2"/>
  <c r="S2005" i="2"/>
  <c r="S2004" i="2"/>
  <c r="S2003" i="2"/>
  <c r="S2002" i="2"/>
  <c r="S2001" i="2"/>
  <c r="S2000" i="2"/>
  <c r="S1999" i="2"/>
  <c r="S1998" i="2"/>
  <c r="S1994" i="2"/>
  <c r="G1994" i="2"/>
  <c r="F1994" i="2"/>
  <c r="D1994" i="2"/>
  <c r="S1993" i="2"/>
  <c r="G1993" i="2"/>
  <c r="F1993" i="2"/>
  <c r="D1993" i="2"/>
  <c r="S1992" i="2"/>
  <c r="G1992" i="2"/>
  <c r="F1992" i="2"/>
  <c r="D1992" i="2"/>
  <c r="S1991" i="2"/>
  <c r="G1991" i="2"/>
  <c r="F1991" i="2"/>
  <c r="D1991" i="2"/>
  <c r="S1990" i="2"/>
  <c r="G1990" i="2"/>
  <c r="F1990" i="2"/>
  <c r="D1990" i="2"/>
  <c r="S1989" i="2"/>
  <c r="G1989" i="2"/>
  <c r="F1989" i="2"/>
  <c r="D1989" i="2"/>
  <c r="S1988" i="2"/>
  <c r="G1988" i="2"/>
  <c r="F1988" i="2"/>
  <c r="D1988" i="2"/>
  <c r="S1987" i="2"/>
  <c r="G1987" i="2"/>
  <c r="F1987" i="2"/>
  <c r="D1987" i="2"/>
  <c r="S1986" i="2"/>
  <c r="G1986" i="2"/>
  <c r="F1986" i="2"/>
  <c r="D1986" i="2"/>
  <c r="S1985" i="2"/>
  <c r="G1985" i="2"/>
  <c r="F1985" i="2"/>
  <c r="D1985" i="2"/>
  <c r="S1984" i="2"/>
  <c r="S1983" i="2"/>
  <c r="S1982" i="2"/>
  <c r="S1981" i="2"/>
  <c r="S1980" i="2"/>
  <c r="S1979" i="2"/>
  <c r="G1979" i="2"/>
  <c r="F1979" i="2"/>
  <c r="D1979" i="2"/>
  <c r="S1978" i="2"/>
  <c r="G1978" i="2"/>
  <c r="F1978" i="2"/>
  <c r="D1978" i="2"/>
  <c r="S1977" i="2"/>
  <c r="G1977" i="2"/>
  <c r="F1977" i="2"/>
  <c r="D1977" i="2"/>
  <c r="S1976" i="2"/>
  <c r="G1976" i="2"/>
  <c r="F1976" i="2"/>
  <c r="D1976" i="2"/>
  <c r="S1975" i="2"/>
  <c r="G1975" i="2"/>
  <c r="F1975" i="2"/>
  <c r="D1975" i="2"/>
  <c r="S1974" i="2"/>
  <c r="G1974" i="2"/>
  <c r="F1974" i="2"/>
  <c r="D1974" i="2"/>
  <c r="S1973" i="2"/>
  <c r="G1973" i="2"/>
  <c r="F1973" i="2"/>
  <c r="D1973" i="2"/>
  <c r="S1972" i="2"/>
  <c r="S1971" i="2"/>
  <c r="G1971" i="2"/>
  <c r="F1971" i="2"/>
  <c r="D1971" i="2"/>
  <c r="S1970" i="2"/>
  <c r="S1969" i="2"/>
  <c r="G1969" i="2"/>
  <c r="F1969" i="2"/>
  <c r="D1969" i="2"/>
  <c r="S1968" i="2"/>
  <c r="G1968" i="2"/>
  <c r="F1968" i="2"/>
  <c r="D1968" i="2"/>
  <c r="S1967" i="2"/>
  <c r="G1967" i="2"/>
  <c r="F1967" i="2"/>
  <c r="D1967" i="2"/>
  <c r="G1951" i="2"/>
  <c r="G1950" i="2"/>
  <c r="G1949" i="2"/>
  <c r="G1948" i="2"/>
  <c r="G1947" i="2"/>
  <c r="G1946" i="2"/>
  <c r="G1945" i="2"/>
  <c r="G1944" i="2"/>
  <c r="G1943" i="2"/>
  <c r="G1942" i="2"/>
  <c r="G1941" i="2"/>
  <c r="G1940" i="2"/>
  <c r="G1939" i="2"/>
  <c r="G1938" i="2"/>
  <c r="G1937" i="2"/>
  <c r="G1936" i="2"/>
  <c r="G1935" i="2"/>
  <c r="G1934" i="2"/>
  <c r="R1778" i="2"/>
  <c r="R1776" i="2"/>
  <c r="R1771" i="2"/>
  <c r="R1769" i="2"/>
  <c r="R1767" i="2"/>
  <c r="R1760" i="2"/>
  <c r="R1756" i="2"/>
  <c r="R1750" i="2"/>
  <c r="R1740" i="2"/>
  <c r="R1737" i="2"/>
  <c r="R1736" i="2"/>
  <c r="P1725" i="2"/>
  <c r="O1725" i="2"/>
  <c r="M1725" i="2"/>
  <c r="R1721" i="2"/>
  <c r="P1721" i="2"/>
  <c r="O1721" i="2"/>
  <c r="M1721" i="2"/>
  <c r="P1720" i="2"/>
  <c r="O1720" i="2"/>
  <c r="M1720" i="2"/>
  <c r="R1717" i="2"/>
  <c r="P1717" i="2"/>
  <c r="O1717" i="2"/>
  <c r="N1717" i="2"/>
  <c r="M1717" i="2"/>
  <c r="R1716" i="2"/>
  <c r="P1716" i="2"/>
  <c r="O1716" i="2"/>
  <c r="N1716" i="2"/>
  <c r="M1716" i="2"/>
  <c r="R1713" i="2"/>
  <c r="P1713" i="2"/>
  <c r="O1713" i="2"/>
  <c r="N1713" i="2"/>
  <c r="M1713" i="2"/>
  <c r="R1710" i="2"/>
  <c r="P1710" i="2"/>
  <c r="O1710" i="2"/>
  <c r="M1710" i="2"/>
  <c r="R1709" i="2"/>
  <c r="P1709" i="2"/>
  <c r="O1709" i="2"/>
  <c r="M1709" i="2"/>
  <c r="R1708" i="2"/>
  <c r="P1708" i="2"/>
  <c r="O1708" i="2"/>
  <c r="M1708" i="2"/>
  <c r="S374" i="2"/>
  <c r="S373" i="2"/>
  <c r="S372" i="2"/>
  <c r="S371" i="2"/>
  <c r="S370" i="2"/>
  <c r="S369" i="2"/>
  <c r="G164" i="2"/>
  <c r="G163" i="2"/>
  <c r="G162" i="2"/>
  <c r="G161" i="2"/>
  <c r="G160" i="2"/>
  <c r="G159" i="2"/>
  <c r="G158" i="2"/>
  <c r="G157" i="2"/>
  <c r="G156" i="2"/>
  <c r="G155" i="2"/>
  <c r="G154" i="2"/>
  <c r="G153" i="2"/>
  <c r="G152" i="2"/>
  <c r="G151" i="2"/>
  <c r="G150" i="2"/>
  <c r="G149" i="2"/>
  <c r="G148" i="2"/>
  <c r="G147" i="2"/>
  <c r="G146" i="2"/>
  <c r="G145" i="2"/>
  <c r="G144" i="2"/>
  <c r="G143" i="2"/>
  <c r="G142" i="2"/>
  <c r="G141" i="2"/>
  <c r="G140" i="2"/>
  <c r="G139" i="2"/>
  <c r="G138" i="2"/>
  <c r="G137" i="2"/>
  <c r="G136" i="2"/>
  <c r="G135" i="2"/>
  <c r="G134" i="2"/>
  <c r="G133" i="2"/>
  <c r="G132" i="2"/>
  <c r="G131" i="2"/>
  <c r="G130" i="2"/>
  <c r="G129" i="2"/>
  <c r="G128" i="2"/>
  <c r="G127" i="2"/>
  <c r="G126" i="2"/>
  <c r="G125" i="2"/>
  <c r="G124" i="2"/>
  <c r="G123" i="2"/>
  <c r="G122" i="2"/>
  <c r="G121" i="2"/>
  <c r="G120" i="2"/>
  <c r="G119" i="2"/>
  <c r="G118" i="2"/>
  <c r="G117" i="2"/>
  <c r="G116" i="2"/>
  <c r="G115" i="2"/>
  <c r="G114" i="2"/>
  <c r="G113" i="2"/>
  <c r="G112" i="2"/>
  <c r="G111" i="2"/>
  <c r="G110" i="2"/>
  <c r="G109" i="2"/>
  <c r="G108" i="2"/>
  <c r="G107" i="2"/>
  <c r="G106" i="2"/>
  <c r="G105" i="2"/>
  <c r="G104" i="2"/>
  <c r="G103" i="2"/>
  <c r="G90" i="2"/>
  <c r="G89" i="2"/>
  <c r="G88" i="2"/>
  <c r="G87" i="2"/>
  <c r="G86" i="2"/>
  <c r="G85" i="2"/>
  <c r="G84" i="2"/>
  <c r="G83" i="2"/>
  <c r="G82" i="2"/>
  <c r="G81" i="2"/>
  <c r="G80" i="2"/>
  <c r="G79" i="2"/>
  <c r="G78" i="2"/>
  <c r="G77" i="2"/>
  <c r="G76" i="2"/>
  <c r="G75" i="2"/>
  <c r="G74" i="2"/>
  <c r="G73" i="2"/>
  <c r="G72" i="2"/>
  <c r="G71" i="2"/>
  <c r="G70" i="2"/>
  <c r="G69" i="2"/>
  <c r="G68" i="2"/>
  <c r="G67" i="2"/>
  <c r="G66" i="2"/>
  <c r="G65" i="2"/>
  <c r="G64" i="2"/>
  <c r="G63" i="2"/>
  <c r="G62" i="2"/>
  <c r="G61" i="2"/>
  <c r="G60" i="2"/>
  <c r="G59" i="2"/>
  <c r="G58" i="2"/>
  <c r="G57" i="2"/>
  <c r="G56" i="2"/>
  <c r="G55" i="2"/>
  <c r="G54" i="2"/>
  <c r="G53" i="2"/>
  <c r="G52" i="2"/>
  <c r="G51" i="2"/>
  <c r="G50" i="2"/>
  <c r="G49" i="2"/>
  <c r="G48" i="2"/>
  <c r="G47" i="2"/>
  <c r="G46" i="2"/>
  <c r="G45" i="2"/>
  <c r="G44" i="2"/>
  <c r="G43" i="2"/>
  <c r="G42" i="2"/>
  <c r="G41" i="2"/>
  <c r="G40" i="2"/>
  <c r="G39" i="2"/>
  <c r="G38" i="2"/>
  <c r="G37" i="2"/>
  <c r="G36" i="2"/>
  <c r="G35" i="2"/>
  <c r="G34" i="2"/>
  <c r="G33" i="2"/>
  <c r="G32" i="2"/>
  <c r="G31" i="2"/>
  <c r="G30" i="2"/>
  <c r="G29" i="2"/>
  <c r="G28" i="2"/>
  <c r="G27" i="2"/>
  <c r="G26" i="2"/>
  <c r="G25" i="2"/>
  <c r="G24" i="2"/>
  <c r="G23" i="2"/>
  <c r="G220" i="1"/>
  <c r="F220" i="1"/>
  <c r="D220" i="1"/>
  <c r="G219" i="1"/>
  <c r="F219" i="1"/>
  <c r="D219" i="1"/>
  <c r="G218" i="1"/>
  <c r="F218" i="1"/>
  <c r="D218" i="1"/>
  <c r="G217" i="1"/>
  <c r="F217" i="1"/>
  <c r="D217" i="1"/>
  <c r="G216" i="1"/>
  <c r="F216" i="1"/>
  <c r="D216" i="1"/>
  <c r="S215" i="1"/>
  <c r="G215" i="1"/>
  <c r="F215" i="1"/>
  <c r="D215" i="1"/>
  <c r="S214" i="1"/>
  <c r="G214" i="1"/>
  <c r="F214" i="1"/>
  <c r="D214" i="1"/>
  <c r="S213" i="1"/>
  <c r="G213" i="1"/>
  <c r="F213" i="1"/>
  <c r="D213" i="1"/>
  <c r="S212" i="1"/>
  <c r="G212" i="1"/>
  <c r="F212" i="1"/>
  <c r="D212" i="1"/>
  <c r="S211" i="1"/>
  <c r="G211" i="1"/>
  <c r="F211" i="1"/>
  <c r="D211" i="1"/>
  <c r="S210" i="1"/>
  <c r="G210" i="1"/>
  <c r="F210" i="1"/>
  <c r="D210" i="1"/>
  <c r="S209" i="1"/>
  <c r="G209" i="1"/>
  <c r="F209" i="1"/>
  <c r="D209" i="1"/>
  <c r="S208" i="1"/>
  <c r="G208" i="1"/>
  <c r="F208" i="1"/>
  <c r="D208" i="1"/>
  <c r="S207" i="1"/>
  <c r="G207" i="1"/>
  <c r="F207" i="1"/>
  <c r="D207" i="1"/>
  <c r="S206" i="1"/>
  <c r="G206" i="1"/>
  <c r="F206" i="1"/>
  <c r="D206" i="1"/>
  <c r="S205" i="1"/>
  <c r="G205" i="1"/>
  <c r="F205" i="1"/>
  <c r="D205" i="1"/>
  <c r="S204" i="1"/>
  <c r="G204" i="1"/>
  <c r="F204" i="1"/>
  <c r="D204" i="1"/>
  <c r="S203" i="1"/>
  <c r="G203" i="1"/>
  <c r="F203" i="1"/>
  <c r="D203" i="1"/>
  <c r="S202" i="1"/>
  <c r="G202" i="1"/>
  <c r="F202" i="1"/>
  <c r="D202" i="1"/>
  <c r="S201" i="1"/>
  <c r="G201" i="1"/>
  <c r="F201" i="1"/>
  <c r="D201" i="1"/>
  <c r="S200" i="1"/>
  <c r="G200" i="1"/>
  <c r="F200" i="1"/>
  <c r="D200" i="1"/>
  <c r="S199" i="1"/>
  <c r="G199" i="1"/>
  <c r="F199" i="1"/>
  <c r="D199" i="1"/>
  <c r="S198" i="1"/>
  <c r="G198" i="1"/>
  <c r="F198" i="1"/>
  <c r="D198" i="1"/>
  <c r="S197" i="1"/>
  <c r="G197" i="1"/>
  <c r="F197" i="1"/>
  <c r="D197" i="1"/>
  <c r="S196" i="1"/>
  <c r="G196" i="1"/>
  <c r="F196" i="1"/>
  <c r="D196" i="1"/>
  <c r="S195" i="1"/>
  <c r="G195" i="1"/>
  <c r="F195" i="1"/>
  <c r="D195" i="1"/>
  <c r="S194" i="1"/>
  <c r="G194" i="1"/>
  <c r="F194" i="1"/>
  <c r="D194" i="1"/>
  <c r="S193" i="1"/>
  <c r="G193" i="1"/>
  <c r="F193" i="1"/>
  <c r="D193" i="1"/>
  <c r="S192" i="1"/>
  <c r="G192" i="1"/>
  <c r="F192" i="1"/>
  <c r="D192" i="1"/>
  <c r="S191" i="1"/>
  <c r="G191" i="1"/>
  <c r="F191" i="1"/>
  <c r="D191" i="1"/>
  <c r="S190" i="1"/>
  <c r="G190" i="1"/>
  <c r="F190" i="1"/>
  <c r="D190" i="1"/>
  <c r="S1073" i="1"/>
  <c r="S1072" i="1"/>
  <c r="S189" i="1"/>
  <c r="G189" i="1"/>
  <c r="F189" i="1"/>
  <c r="D189" i="1"/>
  <c r="S1232" i="1"/>
  <c r="S188" i="1"/>
  <c r="G188" i="1"/>
  <c r="F188" i="1"/>
  <c r="D188" i="1"/>
  <c r="S2074" i="1"/>
  <c r="S101" i="1"/>
  <c r="G101" i="1"/>
  <c r="D101" i="1"/>
  <c r="S1071" i="1"/>
  <c r="S1070" i="1"/>
  <c r="S2073" i="1"/>
  <c r="S2072" i="1"/>
  <c r="D2072" i="1"/>
  <c r="S2071" i="1"/>
  <c r="D2071" i="1"/>
  <c r="S1221" i="1"/>
  <c r="S1069" i="1"/>
  <c r="S187" i="1"/>
  <c r="G187" i="1"/>
  <c r="F187" i="1"/>
  <c r="D187" i="1"/>
  <c r="S186" i="1"/>
  <c r="G186" i="1"/>
  <c r="F186" i="1"/>
  <c r="D186" i="1"/>
  <c r="S185" i="1"/>
  <c r="G185" i="1"/>
  <c r="F185" i="1"/>
  <c r="D185" i="1"/>
  <c r="S184" i="1"/>
  <c r="G184" i="1"/>
  <c r="F184" i="1"/>
  <c r="D184" i="1"/>
  <c r="S183" i="1"/>
  <c r="G183" i="1"/>
  <c r="F183" i="1"/>
  <c r="D183" i="1"/>
  <c r="S182" i="1"/>
  <c r="G182" i="1"/>
  <c r="F182" i="1"/>
  <c r="D182" i="1"/>
  <c r="S181" i="1"/>
  <c r="G181" i="1"/>
  <c r="F181" i="1"/>
  <c r="D181" i="1"/>
  <c r="S1068" i="1"/>
  <c r="S1067" i="1"/>
  <c r="S1066" i="1"/>
  <c r="S2070" i="1"/>
  <c r="S2069" i="1"/>
  <c r="S1065" i="1"/>
  <c r="S1064" i="1"/>
  <c r="S1220" i="1"/>
  <c r="S1063" i="1"/>
  <c r="S180" i="1"/>
  <c r="G180" i="1"/>
  <c r="F180" i="1"/>
  <c r="D180" i="1"/>
  <c r="S1062" i="1"/>
  <c r="S179" i="1"/>
  <c r="G179" i="1"/>
  <c r="F179" i="1"/>
  <c r="D179" i="1"/>
  <c r="S1061" i="1"/>
  <c r="S2068" i="1"/>
  <c r="S1060" i="1"/>
  <c r="S2067" i="1"/>
  <c r="S2066" i="1"/>
  <c r="S2065" i="1"/>
  <c r="S1059" i="1"/>
  <c r="S1146" i="1"/>
  <c r="S1058" i="1"/>
  <c r="S1219" i="1"/>
  <c r="S2064" i="1"/>
  <c r="S178" i="1"/>
  <c r="G178" i="1"/>
  <c r="F178" i="1"/>
  <c r="D178" i="1"/>
  <c r="S177" i="1"/>
  <c r="G177" i="1"/>
  <c r="F177" i="1"/>
  <c r="D177" i="1"/>
  <c r="S176" i="1"/>
  <c r="G176" i="1"/>
  <c r="F176" i="1"/>
  <c r="D176" i="1"/>
  <c r="S175" i="1"/>
  <c r="G175" i="1"/>
  <c r="F175" i="1"/>
  <c r="D175" i="1"/>
  <c r="S174" i="1"/>
  <c r="G174" i="1"/>
  <c r="F174" i="1"/>
  <c r="D174" i="1"/>
  <c r="S173" i="1"/>
  <c r="G173" i="1"/>
  <c r="F173" i="1"/>
  <c r="D173" i="1"/>
  <c r="S172" i="1"/>
  <c r="G172" i="1"/>
  <c r="F172" i="1"/>
  <c r="D172" i="1"/>
  <c r="S171" i="1"/>
  <c r="G171" i="1"/>
  <c r="F171" i="1"/>
  <c r="D171" i="1"/>
  <c r="S170" i="1"/>
  <c r="G170" i="1"/>
  <c r="F170" i="1"/>
  <c r="D170" i="1"/>
  <c r="S169" i="1"/>
  <c r="G169" i="1"/>
  <c r="F169" i="1"/>
  <c r="D169" i="1"/>
  <c r="S2060" i="1"/>
  <c r="S311" i="1"/>
  <c r="S310" i="1"/>
  <c r="S309" i="1"/>
  <c r="S308" i="1"/>
  <c r="S168" i="1"/>
  <c r="G168" i="1"/>
  <c r="F168" i="1"/>
  <c r="D168" i="1"/>
  <c r="S167" i="1"/>
  <c r="G167" i="1"/>
  <c r="F167" i="1"/>
  <c r="D167" i="1"/>
  <c r="S166" i="1"/>
  <c r="G166" i="1"/>
  <c r="F166" i="1"/>
  <c r="D166" i="1"/>
  <c r="S165" i="1"/>
  <c r="G165" i="1"/>
  <c r="F165" i="1"/>
  <c r="D165" i="1"/>
  <c r="S164" i="1"/>
  <c r="G164" i="1"/>
  <c r="F164" i="1"/>
  <c r="D164" i="1"/>
  <c r="S163" i="1"/>
  <c r="G163" i="1"/>
  <c r="F163" i="1"/>
  <c r="D163" i="1"/>
  <c r="S162" i="1"/>
  <c r="G162" i="1"/>
  <c r="F162" i="1"/>
  <c r="D162" i="1"/>
  <c r="S2059" i="1"/>
  <c r="S161" i="1"/>
  <c r="G161" i="1"/>
  <c r="F161" i="1"/>
  <c r="D161" i="1"/>
  <c r="S2058" i="1"/>
  <c r="S160" i="1"/>
  <c r="G160" i="1"/>
  <c r="F160" i="1"/>
  <c r="D160" i="1"/>
  <c r="S159" i="1"/>
  <c r="G159" i="1"/>
  <c r="F159" i="1"/>
  <c r="D159" i="1"/>
  <c r="S158" i="1"/>
  <c r="G158" i="1"/>
  <c r="F158" i="1"/>
  <c r="D158" i="1"/>
  <c r="G85" i="1"/>
  <c r="G84" i="1"/>
  <c r="G83" i="1"/>
  <c r="G82" i="1"/>
  <c r="G81" i="1"/>
  <c r="G80" i="1"/>
  <c r="G79" i="1"/>
  <c r="G78" i="1"/>
  <c r="G77" i="1"/>
  <c r="G76" i="1"/>
  <c r="G75" i="1"/>
  <c r="G74" i="1"/>
  <c r="G73" i="1"/>
  <c r="G72" i="1"/>
  <c r="G71" i="1"/>
  <c r="G70" i="1"/>
  <c r="G69" i="1"/>
  <c r="G68" i="1"/>
  <c r="R1128" i="1"/>
  <c r="R1127" i="1"/>
  <c r="R1124" i="1"/>
  <c r="R1123" i="1"/>
  <c r="R1122" i="1"/>
  <c r="R1231" i="1"/>
  <c r="R1120" i="1"/>
  <c r="R1116" i="1"/>
  <c r="R1115" i="1"/>
  <c r="R1113" i="1"/>
  <c r="R1112" i="1"/>
  <c r="P1108" i="1"/>
  <c r="O1108" i="1"/>
  <c r="M1108" i="1"/>
  <c r="R1106" i="1"/>
  <c r="P1106" i="1"/>
  <c r="O1106" i="1"/>
  <c r="M1106" i="1"/>
  <c r="P1105" i="1"/>
  <c r="O1105" i="1"/>
  <c r="M1105" i="1"/>
  <c r="R1256" i="1"/>
  <c r="P1256" i="1"/>
  <c r="O1256" i="1"/>
  <c r="N1256" i="1"/>
  <c r="M1256" i="1"/>
  <c r="R1926" i="1"/>
  <c r="P1926" i="1"/>
  <c r="O1926" i="1"/>
  <c r="N1926" i="1"/>
  <c r="M1926" i="1"/>
  <c r="R1103" i="1"/>
  <c r="P1103" i="1"/>
  <c r="O1103" i="1"/>
  <c r="N1103" i="1"/>
  <c r="M1103" i="1"/>
  <c r="R1102" i="1"/>
  <c r="P1102" i="1"/>
  <c r="O1102" i="1"/>
  <c r="M1102" i="1"/>
  <c r="R1101" i="1"/>
  <c r="P1101" i="1"/>
  <c r="O1101" i="1"/>
  <c r="M1101" i="1"/>
  <c r="R1100" i="1"/>
  <c r="P1100" i="1"/>
  <c r="O1100" i="1"/>
  <c r="M1100" i="1"/>
  <c r="S1446" i="1"/>
  <c r="S1445" i="1"/>
  <c r="S1444" i="1"/>
  <c r="S896" i="1"/>
  <c r="S895" i="1"/>
  <c r="S894" i="1"/>
  <c r="G154" i="1"/>
  <c r="G1255" i="1"/>
  <c r="G146" i="1"/>
  <c r="G1241" i="1"/>
  <c r="G153" i="1"/>
  <c r="G1246" i="1"/>
  <c r="G136" i="1"/>
  <c r="G1250" i="1"/>
  <c r="G152" i="1"/>
  <c r="G1248" i="1"/>
  <c r="G139" i="1"/>
  <c r="G1234" i="1"/>
  <c r="G138" i="1"/>
  <c r="G1247" i="1"/>
  <c r="G137" i="1"/>
  <c r="G1249" i="1"/>
  <c r="G157" i="1"/>
  <c r="G1244" i="1"/>
  <c r="G156" i="1"/>
  <c r="G1253" i="1"/>
  <c r="G151" i="1"/>
  <c r="G1251" i="1"/>
  <c r="G148" i="1"/>
  <c r="G1242" i="1"/>
  <c r="G147" i="1"/>
  <c r="G1243" i="1"/>
  <c r="G145" i="1"/>
  <c r="G1239" i="1"/>
  <c r="G144" i="1"/>
  <c r="G1240" i="1"/>
  <c r="G143" i="1"/>
  <c r="G1238" i="1"/>
  <c r="G142" i="1"/>
  <c r="G1237" i="1"/>
  <c r="G141" i="1"/>
  <c r="G1236" i="1"/>
  <c r="G140" i="1"/>
  <c r="G1235" i="1"/>
  <c r="G155" i="1"/>
  <c r="G1252" i="1"/>
  <c r="G150" i="1"/>
  <c r="G1254" i="1"/>
  <c r="G149" i="1"/>
  <c r="G1245" i="1"/>
  <c r="G1284" i="1"/>
  <c r="G1283" i="1"/>
  <c r="G1282" i="1"/>
  <c r="G1281" i="1"/>
  <c r="G1280" i="1"/>
  <c r="G1279" i="1"/>
  <c r="G1278" i="1"/>
  <c r="G1277" i="1"/>
  <c r="G1276" i="1"/>
  <c r="G1275" i="1"/>
  <c r="G1274" i="1"/>
  <c r="G1273" i="1"/>
  <c r="G1272" i="1"/>
  <c r="G1271" i="1"/>
  <c r="G1270" i="1"/>
  <c r="G1269" i="1"/>
  <c r="G1268" i="1"/>
  <c r="G1267" i="1"/>
  <c r="G121" i="1"/>
  <c r="G120" i="1"/>
  <c r="G50" i="1"/>
  <c r="G119" i="1"/>
  <c r="G118" i="1"/>
  <c r="G117" i="1"/>
  <c r="G116" i="1"/>
  <c r="G115" i="1"/>
  <c r="G114" i="1"/>
  <c r="G113" i="1"/>
  <c r="G112" i="1"/>
  <c r="G111" i="1"/>
  <c r="G49" i="1"/>
  <c r="G48" i="1"/>
  <c r="G110" i="1"/>
  <c r="G109" i="1"/>
  <c r="G108" i="1"/>
  <c r="G107" i="1"/>
  <c r="G106" i="1"/>
  <c r="G105" i="1"/>
  <c r="G104" i="1"/>
  <c r="G103" i="1"/>
  <c r="G102" i="1"/>
  <c r="G47" i="1"/>
  <c r="G46" i="1"/>
  <c r="G45" i="1"/>
  <c r="G44" i="1"/>
  <c r="G43" i="1"/>
  <c r="G42" i="1"/>
  <c r="G41" i="1"/>
  <c r="G40" i="1"/>
  <c r="G39" i="1"/>
  <c r="G38" i="1"/>
  <c r="G37" i="1"/>
  <c r="G36" i="1"/>
  <c r="G35" i="1"/>
  <c r="G34" i="1"/>
  <c r="G33" i="1"/>
  <c r="G32" i="1"/>
  <c r="G31" i="1"/>
  <c r="G30" i="1"/>
  <c r="G29" i="1"/>
  <c r="G28" i="1"/>
  <c r="G27" i="1"/>
  <c r="G26" i="1"/>
  <c r="G25" i="1"/>
  <c r="G24" i="1"/>
  <c r="G23" i="1"/>
  <c r="G22" i="1"/>
  <c r="G21" i="1"/>
  <c r="G20" i="1"/>
  <c r="G19" i="1"/>
  <c r="G18" i="1"/>
  <c r="G17" i="1"/>
  <c r="G16" i="1"/>
  <c r="G15" i="1"/>
  <c r="G14" i="1"/>
  <c r="G13" i="1"/>
  <c r="G12" i="1"/>
  <c r="G11" i="1"/>
  <c r="G10" i="1"/>
  <c r="G9" i="1"/>
  <c r="G8" i="1"/>
  <c r="G7" i="1"/>
  <c r="G6" i="1"/>
  <c r="G5" i="1"/>
  <c r="G4" i="1"/>
  <c r="G3" i="1"/>
</calcChain>
</file>

<file path=xl/sharedStrings.xml><?xml version="1.0" encoding="utf-8"?>
<sst xmlns="http://schemas.openxmlformats.org/spreadsheetml/2006/main" count="53728" uniqueCount="7874">
  <si>
    <t>PCDS</t>
  </si>
  <si>
    <t>Ted's Spreadsheet Set</t>
  </si>
  <si>
    <t>FWx Calling data set</t>
  </si>
  <si>
    <t>External Agency Data</t>
  </si>
  <si>
    <t>QD</t>
  </si>
  <si>
    <t>ISSUE</t>
  </si>
  <si>
    <t>Network ID</t>
  </si>
  <si>
    <t>Network Name</t>
  </si>
  <si>
    <t>Native ID</t>
  </si>
  <si>
    <t>Station ID</t>
  </si>
  <si>
    <t>Unique Names</t>
  </si>
  <si>
    <t>Unique Location (String)</t>
  </si>
  <si>
    <t>Unique Records</t>
  </si>
  <si>
    <t>Uniq Obs Freqs</t>
  </si>
  <si>
    <t>Variables</t>
  </si>
  <si>
    <t># Hx</t>
  </si>
  <si>
    <t>Hx Ids</t>
  </si>
  <si>
    <t>lat</t>
  </si>
  <si>
    <t>lon</t>
  </si>
  <si>
    <t>elev</t>
  </si>
  <si>
    <t>native_id</t>
  </si>
  <si>
    <t>Eco Province Octile</t>
  </si>
  <si>
    <t>Station_name</t>
  </si>
  <si>
    <t>Agency-Subnetwork</t>
  </si>
  <si>
    <t>Elevation</t>
  </si>
  <si>
    <t>Comments</t>
  </si>
  <si>
    <t>Install</t>
  </si>
  <si>
    <t>Contact</t>
  </si>
  <si>
    <t>Phone number</t>
  </si>
  <si>
    <t>Lat</t>
  </si>
  <si>
    <t>Long (E)</t>
  </si>
  <si>
    <t>STATION</t>
  </si>
  <si>
    <t>STATION CODE</t>
  </si>
  <si>
    <t>REP</t>
  </si>
  <si>
    <t>STATUS</t>
  </si>
  <si>
    <t>DATA SOURCE</t>
  </si>
  <si>
    <t>DATA LOGGER</t>
  </si>
  <si>
    <t>SITE TYPE</t>
  </si>
  <si>
    <t>OWNER</t>
  </si>
  <si>
    <t>FIRE CENTRE</t>
  </si>
  <si>
    <t>FIRE ZONE</t>
  </si>
  <si>
    <t>LATITUDE</t>
  </si>
  <si>
    <t>LONGITUDE</t>
  </si>
  <si>
    <t>ELEVATION</t>
  </si>
  <si>
    <t>CRD-WS</t>
  </si>
  <si>
    <t>FW001</t>
  </si>
  <si>
    <t>14G</t>
  </si>
  <si>
    <t>123.614722 W, 48.494167 N, Elev. 493 m</t>
  </si>
  <si>
    <t>1998-04-17 to 2020-12-16</t>
  </si>
  <si>
    <t>Unspecified</t>
  </si>
  <si>
    <t>Air temperature|Precipitation|Rain|Relative Humidity|Snow Depth|Solar Radiation|Wind Direction|Wind Speed</t>
  </si>
  <si>
    <t>COAST AND MOUNTAINS</t>
  </si>
  <si>
    <t>Goldstream Water Supply Area (WSA)</t>
  </si>
  <si>
    <t>Tobi Gardner, Capital Regional District</t>
  </si>
  <si>
    <t>250-474-9679</t>
  </si>
  <si>
    <t>TA</t>
  </si>
  <si>
    <t>XR</t>
  </si>
  <si>
    <t>PP(TBRG); PP(SP)</t>
  </si>
  <si>
    <t>SD</t>
  </si>
  <si>
    <t>RW</t>
  </si>
  <si>
    <t>FW003</t>
  </si>
  <si>
    <t>31N</t>
  </si>
  <si>
    <t>123.638611 W, 48.52944 N, Elev. 606 m</t>
  </si>
  <si>
    <t>1996-01-17 to 2020-12-16</t>
  </si>
  <si>
    <t>Air temperature|Rain|Relative Humidity|Wind Direction|Wind Speed</t>
  </si>
  <si>
    <t>Goldstream WSA, Upper Elevation</t>
  </si>
  <si>
    <t>PP(TBRG)</t>
  </si>
  <si>
    <t>FW004</t>
  </si>
  <si>
    <t>4RW6</t>
  </si>
  <si>
    <t>123.751111 W, 48.585833 N, Elev. 675 m</t>
  </si>
  <si>
    <t>1996-03-05 to 2020-09-17</t>
  </si>
  <si>
    <t>Air temperature|Precipitation|Rain|Relative Humidity|Snow Depth|Snow Water Equivalent|Wind Direction|Wind Speed</t>
  </si>
  <si>
    <t>Sooke WSA, Upper Elevation</t>
  </si>
  <si>
    <t>MS; TS</t>
  </si>
  <si>
    <t>FW009</t>
  </si>
  <si>
    <t>Chris Creek</t>
  </si>
  <si>
    <t>123.840556 W, 48.580278 N, Elev. 561 m</t>
  </si>
  <si>
    <t>2015-01-08 to 2020-12-16</t>
  </si>
  <si>
    <t>Air temperature|Precipitation|Rain|Relative Humidity|Snow Depth|Wind Direction|Wind Speed</t>
  </si>
  <si>
    <t>Leech WSA, Mid-elevation</t>
  </si>
  <si>
    <t>Missing data</t>
  </si>
  <si>
    <t>HY002</t>
  </si>
  <si>
    <t>Judge Creek</t>
  </si>
  <si>
    <t>123.673611 W, 48.585278 N, Elev. 200 m</t>
  </si>
  <si>
    <t>unknown to unknown</t>
  </si>
  <si>
    <t>Hydrometric Stn, Sooke WSA</t>
  </si>
  <si>
    <t>PP(Wgt)</t>
  </si>
  <si>
    <t>HG;QR;TW;WT</t>
  </si>
  <si>
    <t>Location</t>
  </si>
  <si>
    <t>FW007</t>
  </si>
  <si>
    <t>Martin's Gulch</t>
  </si>
  <si>
    <t>123.764438 W, 48.51616 N, Elev. 512.14 m -&gt; 123.764438 W, 48.51616 N, Elev. 512 m</t>
  </si>
  <si>
    <t>2009-11-12 to 2020-12-16</t>
  </si>
  <si>
    <t>Leech WSA, Mid-elevation, off-catchment</t>
  </si>
  <si>
    <t>PP(TBRG); PP(Wgt)</t>
  </si>
  <si>
    <t>FW005</t>
  </si>
  <si>
    <t>Mt McDonald</t>
  </si>
  <si>
    <t>123.568889 W, 48.441944 N, Elev. 436 m</t>
  </si>
  <si>
    <t>1996-06-17 to 2020-12-16</t>
  </si>
  <si>
    <t>Air temperature|Rain|Relative Humidity</t>
  </si>
  <si>
    <t>Off-Catchment, CRD Parks</t>
  </si>
  <si>
    <t>FW008</t>
  </si>
  <si>
    <t>North Basin</t>
  </si>
  <si>
    <t>123.7075 W, 48.5725 N, Elev. 280 m</t>
  </si>
  <si>
    <t>2013-08-09 to 2020-12-16</t>
  </si>
  <si>
    <t>Air temperature|Rain|Relative Humidity|Snow Depth|Wind Direction|Wind Speed</t>
  </si>
  <si>
    <t>Sooke WSA, Low Elevation, N of Sooke Lake</t>
  </si>
  <si>
    <t>TS; MS</t>
  </si>
  <si>
    <t>FW002</t>
  </si>
  <si>
    <t>Rithet Creek</t>
  </si>
  <si>
    <t>123.714167 W, 48.5675 N, Elev. 223 m</t>
  </si>
  <si>
    <t>FW006</t>
  </si>
  <si>
    <t>Sooke Dam</t>
  </si>
  <si>
    <t>123.700556 W, 48.516111 N, Elev. 180 m</t>
  </si>
  <si>
    <t>1995-11-13 to 2020-12-16</t>
  </si>
  <si>
    <t>Sooke Lake, Sooke WSA</t>
  </si>
  <si>
    <t>PP(TBRG); PP(SP); PP(TBRG)</t>
  </si>
  <si>
    <t>RW; RPAR</t>
  </si>
  <si>
    <t>HG</t>
  </si>
  <si>
    <t>HY031</t>
  </si>
  <si>
    <t>Survey Mountain</t>
  </si>
  <si>
    <t>123.79913 W, 48.56028 N, Elev. 941 m</t>
  </si>
  <si>
    <t>2019-07-23 to 2020-12-16</t>
  </si>
  <si>
    <t>Air temperature|Precipitation|Rain|Relative Humidity|Wind Direction|Wind Speed</t>
  </si>
  <si>
    <t>Leech WSA, Upper elevation</t>
  </si>
  <si>
    <t>Concatenate data and Delete this station</t>
  </si>
  <si>
    <t>14g -&gt; FW001</t>
  </si>
  <si>
    <t>0 W, null N, Elev. null m</t>
  </si>
  <si>
    <t>2020-08-21 to 2025-07-21</t>
  </si>
  <si>
    <t>31n -&gt; FW003</t>
  </si>
  <si>
    <t>4rw6 -&gt; FW004</t>
  </si>
  <si>
    <t>chris_creek -&gt; FW009</t>
  </si>
  <si>
    <t>martins_gulch -&gt; FW007</t>
  </si>
  <si>
    <t>mt_mcdonald -&gt; FW005</t>
  </si>
  <si>
    <t>north_basin -&gt; FW008</t>
  </si>
  <si>
    <t>sooke_dam -&gt; FW006</t>
  </si>
  <si>
    <t>Air Pressure|Air temperature|Precipitation|Rain|Relative Humidity|Snow Depth|Wind Direction|Wind Speed</t>
  </si>
  <si>
    <t>survey_mtn -&gt; HY031</t>
  </si>
  <si>
    <t>Additional</t>
  </si>
  <si>
    <t>-&gt; BC AGRIWeather</t>
  </si>
  <si>
    <t>-&gt; AGOKNGSLFB</t>
  </si>
  <si>
    <t>-&gt; Summerland Front Bench</t>
  </si>
  <si>
    <t>SOUTHERN INTERIOR</t>
  </si>
  <si>
    <t>AGOKNGSLFB</t>
  </si>
  <si>
    <t>Summerland Front Bench</t>
  </si>
  <si>
    <t>BC AgriWeather</t>
  </si>
  <si>
    <t>-&gt; AGAL001</t>
  </si>
  <si>
    <t>-&gt; Alkali Lake</t>
  </si>
  <si>
    <t>CENTRAL INTERIOR</t>
  </si>
  <si>
    <t>AGAL001</t>
  </si>
  <si>
    <t>Alkali Lake</t>
  </si>
  <si>
    <t>-&gt; AGBCPRDNCK</t>
  </si>
  <si>
    <t>-&gt; BCGPA Dawson Creek</t>
  </si>
  <si>
    <t>BOREAL PLAINS</t>
  </si>
  <si>
    <t>AGBCPRDNCK</t>
  </si>
  <si>
    <t>BCGPA Dawson Creek</t>
  </si>
  <si>
    <t>-&gt; AGBCPRBFLT</t>
  </si>
  <si>
    <t>-&gt; Bearflats</t>
  </si>
  <si>
    <t>AGBCPRBFLT</t>
  </si>
  <si>
    <t>Bearflats</t>
  </si>
  <si>
    <t>-&gt; AGOKNGBVST</t>
  </si>
  <si>
    <t>-&gt; Bella Vista</t>
  </si>
  <si>
    <t>AGOKNGBVST</t>
  </si>
  <si>
    <t>Bella Vista</t>
  </si>
  <si>
    <t>-&gt; AGBCPRBUIK</t>
  </si>
  <si>
    <t>-&gt; Buick</t>
  </si>
  <si>
    <t>AGBCPRBUIK</t>
  </si>
  <si>
    <t>Buick</t>
  </si>
  <si>
    <t>-&gt; AGCRESCNYN</t>
  </si>
  <si>
    <t>-&gt; Canyon</t>
  </si>
  <si>
    <t>SOUTHERN INTERIOR MOUNTAINS</t>
  </si>
  <si>
    <t>AGCRESCNYN</t>
  </si>
  <si>
    <t>Canyon</t>
  </si>
  <si>
    <t>-&gt; BCPRCCLK</t>
  </si>
  <si>
    <t>-&gt; Cecil Lake</t>
  </si>
  <si>
    <t>BCPRCCLK</t>
  </si>
  <si>
    <t>Cecil Lake</t>
  </si>
  <si>
    <t>-&gt; CRESCEKN</t>
  </si>
  <si>
    <t>-&gt; Central Erickson</t>
  </si>
  <si>
    <t>CRESCEKN</t>
  </si>
  <si>
    <t>Central Erickson</t>
  </si>
  <si>
    <t>-&gt; AGDLTACRES</t>
  </si>
  <si>
    <t>-&gt; Crescent Island</t>
  </si>
  <si>
    <t>GEORGIA DEPRESSION</t>
  </si>
  <si>
    <t>AGDLTACRES</t>
  </si>
  <si>
    <t>Crescent Island</t>
  </si>
  <si>
    <t>-&gt; AGBCPRFMTN</t>
  </si>
  <si>
    <t>-&gt; Farmington</t>
  </si>
  <si>
    <t>AGBCPRFMTN</t>
  </si>
  <si>
    <t>Farmington</t>
  </si>
  <si>
    <t>-&gt; AGBCPRFRCK</t>
  </si>
  <si>
    <t>-&gt; Flatrock</t>
  </si>
  <si>
    <t>AGBCPRFRCK</t>
  </si>
  <si>
    <t>Flatrock</t>
  </si>
  <si>
    <t>-&gt; AGOKNGGDVW</t>
  </si>
  <si>
    <t>-&gt; Grandview Flats</t>
  </si>
  <si>
    <t>Southern interior</t>
  </si>
  <si>
    <t>AGOKNGGDVW</t>
  </si>
  <si>
    <t>Grandview Flats</t>
  </si>
  <si>
    <t>-&gt; AGBCPRGNDB</t>
  </si>
  <si>
    <t>-&gt; Groundbirch</t>
  </si>
  <si>
    <t>AGBCPRGNDB</t>
  </si>
  <si>
    <t>Groundbirch</t>
  </si>
  <si>
    <t>-&gt; AGHE015</t>
  </si>
  <si>
    <t>-&gt; Hullcar Rd East</t>
  </si>
  <si>
    <t>AGHE015</t>
  </si>
  <si>
    <t>Hullcar Rd East</t>
  </si>
  <si>
    <t>-&gt; AGHW016</t>
  </si>
  <si>
    <t>-&gt; Hullcar Rd West</t>
  </si>
  <si>
    <t>AGHW016</t>
  </si>
  <si>
    <t>Hullcar Rd West</t>
  </si>
  <si>
    <t>-&gt; AGKD017</t>
  </si>
  <si>
    <t>-&gt; Kaleden</t>
  </si>
  <si>
    <t>AGKD017</t>
  </si>
  <si>
    <t>Kaleden</t>
  </si>
  <si>
    <t>-&gt; AGBCPRKYLK</t>
  </si>
  <si>
    <t>-&gt; Kelly Lake</t>
  </si>
  <si>
    <t>AGBCPRKYLK</t>
  </si>
  <si>
    <t>Kelly Lake</t>
  </si>
  <si>
    <t>-&gt; AGOKNGKMBP</t>
  </si>
  <si>
    <t>-&gt; Keremeos Bipass</t>
  </si>
  <si>
    <t>southern interior</t>
  </si>
  <si>
    <t>AGOKNGKMBP</t>
  </si>
  <si>
    <t>Keremeos Bipass</t>
  </si>
  <si>
    <t>-&gt; AGOKNGLVTN</t>
  </si>
  <si>
    <t>-&gt; Lavington</t>
  </si>
  <si>
    <t>AGOKNGLVTN</t>
  </si>
  <si>
    <t>Lavington</t>
  </si>
  <si>
    <t>-&gt; AGVISLMRVL</t>
  </si>
  <si>
    <t>-&gt; Merville</t>
  </si>
  <si>
    <t>AGVISLMRVL</t>
  </si>
  <si>
    <t>Merville</t>
  </si>
  <si>
    <t>-&gt; AGMC021</t>
  </si>
  <si>
    <t>-&gt; Monte Creek</t>
  </si>
  <si>
    <t>AGMC021</t>
  </si>
  <si>
    <t>Monte Creek</t>
  </si>
  <si>
    <t>-&gt; AGBCPRMNBK</t>
  </si>
  <si>
    <t>-&gt; Montney - Bickfords</t>
  </si>
  <si>
    <t>AGBCPRMNBK</t>
  </si>
  <si>
    <t>Montney - Bickfords</t>
  </si>
  <si>
    <t>-&gt; AGOKNGMNTA</t>
  </si>
  <si>
    <t>-&gt; Naramata Bench</t>
  </si>
  <si>
    <t>AGOKNGMNTA</t>
  </si>
  <si>
    <t>Naramata Bench</t>
  </si>
  <si>
    <t>-&gt; AGOKNGCRFD</t>
  </si>
  <si>
    <t>-&gt; North Crawford Rd</t>
  </si>
  <si>
    <t>AGOKNGCRFD</t>
  </si>
  <si>
    <t>North Crawford Rd</t>
  </si>
  <si>
    <t>-&gt; AGCRESNEKN</t>
  </si>
  <si>
    <t>-&gt; North Erickson</t>
  </si>
  <si>
    <t>AGCRESNEKN</t>
  </si>
  <si>
    <t>North Erickson</t>
  </si>
  <si>
    <t>-&gt; AGCRESGRFK</t>
  </si>
  <si>
    <t>-&gt; North Grand Forks</t>
  </si>
  <si>
    <t>AGCRESGRFK</t>
  </si>
  <si>
    <t>North Grand Forks</t>
  </si>
  <si>
    <t>-&gt; AGCRESRIVW</t>
  </si>
  <si>
    <t>-&gt; North Lister (Riverview)</t>
  </si>
  <si>
    <t>AGCRESRIVW</t>
  </si>
  <si>
    <t>North Lister (Riverview)</t>
  </si>
  <si>
    <t>-&gt; AGOKNGOSSN</t>
  </si>
  <si>
    <t>-&gt; Osoyoos North</t>
  </si>
  <si>
    <t>AGOKNGOSSN</t>
  </si>
  <si>
    <t>Osoyoos North</t>
  </si>
  <si>
    <t>-&gt; AGOKNGOSUB</t>
  </si>
  <si>
    <t>-&gt; Osoyoos Upper Bench</t>
  </si>
  <si>
    <t>AGOKNGOSUB</t>
  </si>
  <si>
    <t>Osoyoos Upper Bench</t>
  </si>
  <si>
    <t>-&gt; AGPM022</t>
  </si>
  <si>
    <t>-&gt; Permberton Meadows</t>
  </si>
  <si>
    <t>AGPM022</t>
  </si>
  <si>
    <t>Permberton Meadows</t>
  </si>
  <si>
    <t>-&gt; AGBCPRPPTO</t>
  </si>
  <si>
    <t>-&gt; Prespatou</t>
  </si>
  <si>
    <t>AGBCPRPPTO</t>
  </si>
  <si>
    <t>Prespatou</t>
  </si>
  <si>
    <t>-&gt; AGBCPRROLA</t>
  </si>
  <si>
    <t>-&gt; Rolla</t>
  </si>
  <si>
    <t>AGBCPRROLA</t>
  </si>
  <si>
    <t>Rolla</t>
  </si>
  <si>
    <t>-&gt; AGVISLSCTN</t>
  </si>
  <si>
    <t>-&gt; Saanichton</t>
  </si>
  <si>
    <t>AGVISLSCTN</t>
  </si>
  <si>
    <t>Saanichton</t>
  </si>
  <si>
    <t>-&gt; AGCRESSEKN</t>
  </si>
  <si>
    <t>-&gt; South ErickSon</t>
  </si>
  <si>
    <t>AGCRESSEKN</t>
  </si>
  <si>
    <t>South Erickson</t>
  </si>
  <si>
    <t>-&gt; AGOKNGSKLN</t>
  </si>
  <si>
    <t>-&gt; South Kelowna</t>
  </si>
  <si>
    <t>AGOKNGSKLN</t>
  </si>
  <si>
    <t>South Kelowna</t>
  </si>
  <si>
    <t>-&gt; AGBCPRTMLK</t>
  </si>
  <si>
    <t>-&gt; Tomslake</t>
  </si>
  <si>
    <t>AGBCPRTMLK</t>
  </si>
  <si>
    <t>Tomslake</t>
  </si>
  <si>
    <t>-&gt; AGBCPRTWLK</t>
  </si>
  <si>
    <t>-&gt; Tower Lake</t>
  </si>
  <si>
    <t>AGBCPRTWLK</t>
  </si>
  <si>
    <t>Tower Lake</t>
  </si>
  <si>
    <t>-&gt; AGDLTATWSN</t>
  </si>
  <si>
    <t>-&gt; Tsawwassen</t>
  </si>
  <si>
    <t>AGDLTATWSN</t>
  </si>
  <si>
    <t>Tsawwassen</t>
  </si>
  <si>
    <t>-&gt; AGBCPRUPHW</t>
  </si>
  <si>
    <t>-&gt; Upper Halfway</t>
  </si>
  <si>
    <t>AGBCPRUPHW</t>
  </si>
  <si>
    <t>Upper Halfway</t>
  </si>
  <si>
    <t>-&gt; AGWK004</t>
  </si>
  <si>
    <t>-&gt; West Kelowna (ROM)</t>
  </si>
  <si>
    <t>AGWK004</t>
  </si>
  <si>
    <t>West Kelowna (ROM)</t>
  </si>
  <si>
    <t>-&gt; AGWI027</t>
  </si>
  <si>
    <t>-&gt; Westham Island</t>
  </si>
  <si>
    <t>AGWI027</t>
  </si>
  <si>
    <t>Westham Island</t>
  </si>
  <si>
    <t>-&gt; AGOKNGWFDN</t>
  </si>
  <si>
    <t>-&gt; Winfield North</t>
  </si>
  <si>
    <t>AGOKNGWFDN</t>
  </si>
  <si>
    <t>Winfield North</t>
  </si>
  <si>
    <t>-&gt; AGOKNGWFDS</t>
  </si>
  <si>
    <t>-&gt; Winfield South</t>
  </si>
  <si>
    <t>AGOKNGWFDS</t>
  </si>
  <si>
    <t>Winfield South</t>
  </si>
  <si>
    <t>-&gt; AGCRESWNDL</t>
  </si>
  <si>
    <t>-&gt; Wynndel</t>
  </si>
  <si>
    <t>AGCRESWNDL</t>
  </si>
  <si>
    <t>Wynndel</t>
  </si>
  <si>
    <t xml:space="preserve">Additional </t>
  </si>
  <si>
    <t>-&gt; AGOKNGBLGO</t>
  </si>
  <si>
    <t>-&gt; Belgo 2</t>
  </si>
  <si>
    <t>AGOKNGBLGO</t>
  </si>
  <si>
    <t>Belgo 2</t>
  </si>
  <si>
    <t>-&gt; AGOKNGBNVN</t>
  </si>
  <si>
    <t>-&gt; Benvoulin</t>
  </si>
  <si>
    <t>AGOKNGBNVN</t>
  </si>
  <si>
    <t>Benvoulin</t>
  </si>
  <si>
    <t>-&gt; BLUSPRNG</t>
  </si>
  <si>
    <t>-&gt; Blue Springs</t>
  </si>
  <si>
    <t>BLUSPRNG</t>
  </si>
  <si>
    <t>Blue Springs</t>
  </si>
  <si>
    <t>-&gt; AGBB003</t>
  </si>
  <si>
    <t>-&gt; Boundary Bay</t>
  </si>
  <si>
    <t>AGBB003</t>
  </si>
  <si>
    <t>Boundary Bay</t>
  </si>
  <si>
    <t>-&gt; AGOKNGCWSTB</t>
  </si>
  <si>
    <t>-&gt; Cawston Bench</t>
  </si>
  <si>
    <t>AGOKNGCWSTB</t>
  </si>
  <si>
    <t>Cawston Bench</t>
  </si>
  <si>
    <t xml:space="preserve">additional </t>
  </si>
  <si>
    <t>-&gt; AGCRESFLAT</t>
  </si>
  <si>
    <t>-&gt; Creton Flats</t>
  </si>
  <si>
    <t>AGCRESFLAT</t>
  </si>
  <si>
    <t>Creston Flats</t>
  </si>
  <si>
    <t>-&gt; AGBCPRDORV</t>
  </si>
  <si>
    <t>-&gt; Doe River</t>
  </si>
  <si>
    <t>AGBCPRDORV</t>
  </si>
  <si>
    <t>Doe River</t>
  </si>
  <si>
    <t>-&gt; AGOKNGEKLN</t>
  </si>
  <si>
    <t>-&gt; East Kelowna</t>
  </si>
  <si>
    <t>AGOKNGEKLN</t>
  </si>
  <si>
    <t>East Kelowna</t>
  </si>
  <si>
    <t>-&gt; AGOKNGELSN</t>
  </si>
  <si>
    <t>-&gt; Ellison</t>
  </si>
  <si>
    <t>AGOKNGELSN</t>
  </si>
  <si>
    <t>Ellison</t>
  </si>
  <si>
    <t>-&gt; AGBCPRFLHT</t>
  </si>
  <si>
    <t>-&gt; Fellers Heights</t>
  </si>
  <si>
    <t>AGBCPRFLHT</t>
  </si>
  <si>
    <t>Fellers Heights</t>
  </si>
  <si>
    <t>-&gt; AGOKNGGLMR</t>
  </si>
  <si>
    <t>-&gt; Glenmore</t>
  </si>
  <si>
    <t>AGOKNGGLMR</t>
  </si>
  <si>
    <t>Glenmore</t>
  </si>
  <si>
    <t>-&gt; AGBCPRGDLW</t>
  </si>
  <si>
    <t>-&gt; Goodlow</t>
  </si>
  <si>
    <t>AGBCPRGDLW</t>
  </si>
  <si>
    <t>Goodlow</t>
  </si>
  <si>
    <t>-&gt; AGGF011</t>
  </si>
  <si>
    <t>-&gt; Grand Forks</t>
  </si>
  <si>
    <t>AGGF011</t>
  </si>
  <si>
    <t>Grand Forks</t>
  </si>
  <si>
    <t>-&gt; AGVISLKKSL</t>
  </si>
  <si>
    <t>-&gt; Koksilah</t>
  </si>
  <si>
    <t>AGVISLKKSL</t>
  </si>
  <si>
    <t>Koksilah</t>
  </si>
  <si>
    <t>-&gt; AGDLTALDNR</t>
  </si>
  <si>
    <t xml:space="preserve">-&gt; Ladner </t>
  </si>
  <si>
    <t>AGDLTALDNR</t>
  </si>
  <si>
    <t xml:space="preserve">Ladner </t>
  </si>
  <si>
    <t>-&gt; AGBCPRLNPR</t>
  </si>
  <si>
    <t>-&gt; Lone Prairie</t>
  </si>
  <si>
    <t>AGBCPRLNPR</t>
  </si>
  <si>
    <t>Lone Prairie</t>
  </si>
  <si>
    <t>-&gt; AGPE010</t>
  </si>
  <si>
    <t>-&gt; Penticton East</t>
  </si>
  <si>
    <t>AGPE010</t>
  </si>
  <si>
    <t>Penticton East</t>
  </si>
  <si>
    <t>-&gt; AGBCPRPCCP</t>
  </si>
  <si>
    <t>-&gt; Pouce Coupe</t>
  </si>
  <si>
    <t>AGBCPRPCCP</t>
  </si>
  <si>
    <t>Pouce Coupe</t>
  </si>
  <si>
    <t>-&gt; AGBCPRRSPR</t>
  </si>
  <si>
    <t>-&gt; Rose Prairie</t>
  </si>
  <si>
    <t>AGBCPRRSPR</t>
  </si>
  <si>
    <t>Rose Prairie</t>
  </si>
  <si>
    <t>-&gt; WESTWOLD</t>
  </si>
  <si>
    <t>-&gt; Westwold</t>
  </si>
  <si>
    <t>WESTWOLD</t>
  </si>
  <si>
    <t>Westwold</t>
  </si>
  <si>
    <t>-&gt; AGSC026</t>
  </si>
  <si>
    <t>-&gt; Spius Creek</t>
  </si>
  <si>
    <t>AGSC026</t>
  </si>
  <si>
    <t>Spius Creek</t>
  </si>
  <si>
    <t>-&gt; AGOKNGJNFT</t>
  </si>
  <si>
    <t>-&gt; Summerland North (Jones Flat)</t>
  </si>
  <si>
    <t>AGOKNGJNFT</t>
  </si>
  <si>
    <t>Summerland North (Jones Flat)</t>
  </si>
  <si>
    <t>-&gt; OKNGSVCK</t>
  </si>
  <si>
    <t>-&gt; Silver Creek</t>
  </si>
  <si>
    <t>OKNGSVCK</t>
  </si>
  <si>
    <t>Silver Creek</t>
  </si>
  <si>
    <t>Delete</t>
  </si>
  <si>
    <t>BC AGRIWeather -&gt; MVRD</t>
  </si>
  <si>
    <t>T12</t>
  </si>
  <si>
    <t>Chilliwack</t>
  </si>
  <si>
    <t>BC</t>
  </si>
  <si>
    <t>daily</t>
  </si>
  <si>
    <t>T13</t>
  </si>
  <si>
    <t>North Delta</t>
  </si>
  <si>
    <t>T15</t>
  </si>
  <si>
    <t>Surrey East</t>
  </si>
  <si>
    <t>T17</t>
  </si>
  <si>
    <t>Richmond South</t>
  </si>
  <si>
    <t>T18</t>
  </si>
  <si>
    <t>Burnaby South</t>
  </si>
  <si>
    <t>T20</t>
  </si>
  <si>
    <t>Pitt Meadows</t>
  </si>
  <si>
    <t>T27</t>
  </si>
  <si>
    <t>Langley Central</t>
  </si>
  <si>
    <t>T30</t>
  </si>
  <si>
    <t>Maple Ridge</t>
  </si>
  <si>
    <t>T31</t>
  </si>
  <si>
    <t>Vancouver Airport</t>
  </si>
  <si>
    <t>T34</t>
  </si>
  <si>
    <t>Abbotsford Airport</t>
  </si>
  <si>
    <t>T36</t>
  </si>
  <si>
    <t>Ashcroft Ranch</t>
  </si>
  <si>
    <t>T29</t>
  </si>
  <si>
    <t>Hope Airport</t>
  </si>
  <si>
    <t>BC AGRIWeather</t>
  </si>
  <si>
    <t>we89</t>
  </si>
  <si>
    <t>sp107</t>
  </si>
  <si>
    <t>Osoyoos East</t>
  </si>
  <si>
    <t>Osoyoos West</t>
  </si>
  <si>
    <t>SBC8</t>
  </si>
  <si>
    <t>Belgo</t>
  </si>
  <si>
    <t>tr107</t>
  </si>
  <si>
    <t>Trinity</t>
  </si>
  <si>
    <t>SBC10</t>
  </si>
  <si>
    <t>SBC12</t>
  </si>
  <si>
    <t>Kelowna East</t>
  </si>
  <si>
    <t>SBC13</t>
  </si>
  <si>
    <t>Kelowna South</t>
  </si>
  <si>
    <t>SBC14</t>
  </si>
  <si>
    <t>O.K. Landing</t>
  </si>
  <si>
    <t>SBC20</t>
  </si>
  <si>
    <t>Westbank</t>
  </si>
  <si>
    <t>SBC22</t>
  </si>
  <si>
    <t>SBC23</t>
  </si>
  <si>
    <t>SBC24</t>
  </si>
  <si>
    <t>Cawston</t>
  </si>
  <si>
    <t>SBC32</t>
  </si>
  <si>
    <t>Penticton South</t>
  </si>
  <si>
    <t>SBC34</t>
  </si>
  <si>
    <t>Summerland</t>
  </si>
  <si>
    <t>SBC9</t>
  </si>
  <si>
    <t>sa89</t>
  </si>
  <si>
    <t>Replaced by AGML020 - move data record, delete station</t>
  </si>
  <si>
    <t>ma107</t>
  </si>
  <si>
    <t>Mamit Lake</t>
  </si>
  <si>
    <t>Additional: Replaces ma107 - Concatenate Data record</t>
  </si>
  <si>
    <t>-&gt; AGML020</t>
  </si>
  <si>
    <t>-&gt; Mamit Lake</t>
  </si>
  <si>
    <t>AGML020</t>
  </si>
  <si>
    <t>Replaced by AMGL019 - move data record, delete station</t>
  </si>
  <si>
    <t>mab107</t>
  </si>
  <si>
    <t>Mable Lake</t>
  </si>
  <si>
    <t>Additional: Replaces mab107 - Concatenate Data Record</t>
  </si>
  <si>
    <t>-&gt; AGML019</t>
  </si>
  <si>
    <t>-&gt; Mable Lake</t>
  </si>
  <si>
    <t>AGML019</t>
  </si>
  <si>
    <t>Replaced by AGSH024 - move data record, delete station</t>
  </si>
  <si>
    <t>si107</t>
  </si>
  <si>
    <t>Silver Hills Ranch</t>
  </si>
  <si>
    <t>Additional: Replaces si107 - Concatenate Data record</t>
  </si>
  <si>
    <t>-&gt; AGSH024</t>
  </si>
  <si>
    <t>-&gt; Silver Hills Ranch (Cherryville)</t>
  </si>
  <si>
    <t>AGSH024</t>
  </si>
  <si>
    <t>Silver Hills Ranch (Cherryville)</t>
  </si>
  <si>
    <t>Replaced by AGBP002 - move data record, delete station</t>
  </si>
  <si>
    <t>bo107</t>
  </si>
  <si>
    <t>Bonaparte</t>
  </si>
  <si>
    <t>Additional: Replaces bo107 - Concatenate Data Record</t>
  </si>
  <si>
    <t>-&gt; AGBP002</t>
  </si>
  <si>
    <t>-&gt; Bonaparte</t>
  </si>
  <si>
    <t>AGBP002</t>
  </si>
  <si>
    <t>Replaced by AGCH005 - move data record, delete station</t>
  </si>
  <si>
    <t>ch107</t>
  </si>
  <si>
    <t>Chase</t>
  </si>
  <si>
    <t>Additional: Replaces ch107 - Concatenate Data Records</t>
  </si>
  <si>
    <t>-&gt; AGCH005</t>
  </si>
  <si>
    <t>-&gt; Chase</t>
  </si>
  <si>
    <t>AGCH005</t>
  </si>
  <si>
    <t>Replaced by AGCW006 - move data record, delete station</t>
  </si>
  <si>
    <t>co107</t>
  </si>
  <si>
    <t>Coldwater</t>
  </si>
  <si>
    <t>Additional: Replaces co107 - Concatenate Data Record</t>
  </si>
  <si>
    <t>-&gt; AGCW006</t>
  </si>
  <si>
    <t>-&gt; Coldwater</t>
  </si>
  <si>
    <t>AGCW006</t>
  </si>
  <si>
    <t>Replaced by AGDC007 - move data record, delete station</t>
  </si>
  <si>
    <t>de107</t>
  </si>
  <si>
    <t>Deep Creek</t>
  </si>
  <si>
    <t>Additional: Replaces de107 - Concatenate Data Record</t>
  </si>
  <si>
    <t>-&gt; AGDC007</t>
  </si>
  <si>
    <t>-&gt; Deep Creek</t>
  </si>
  <si>
    <t>AGDC007</t>
  </si>
  <si>
    <t>Replaced by AGDS008 - move data record, delete station</t>
  </si>
  <si>
    <t>di107</t>
  </si>
  <si>
    <t>Diamond S</t>
  </si>
  <si>
    <t>Additional: Replaces di107 - Concatenate Data Record</t>
  </si>
  <si>
    <t>-&gt; AGDS008</t>
  </si>
  <si>
    <t>-&gt; Diamond S (Lilloett)</t>
  </si>
  <si>
    <t>AGDS008</t>
  </si>
  <si>
    <t>Diamond S (Lilloett)</t>
  </si>
  <si>
    <t>Replaced by AGDL009 - move data record, delete station</t>
  </si>
  <si>
    <t>do107</t>
  </si>
  <si>
    <t>Douglas Lake</t>
  </si>
  <si>
    <t>Additional: Replaces Do107 - Concatenate Data Record</t>
  </si>
  <si>
    <t>-&gt; AGDL009</t>
  </si>
  <si>
    <t>-&gt; Douglas Lake</t>
  </si>
  <si>
    <t>AGDL009</t>
  </si>
  <si>
    <t>Replaced by AGHR013 - move data record, delete station</t>
  </si>
  <si>
    <t>ha107</t>
  </si>
  <si>
    <t>Halfway Ranch</t>
  </si>
  <si>
    <t>Additional: Replaces ha107 - concatenate data record</t>
  </si>
  <si>
    <t>-&gt; AGHR013</t>
  </si>
  <si>
    <t>-&gt; Halfway Ranch (Lytton-Lilloett)</t>
  </si>
  <si>
    <t>AGHR013</t>
  </si>
  <si>
    <t>Halfway Ranch (Lytton-Lilloett)</t>
  </si>
  <si>
    <t>Replaced by AGHC014 - move data record, delete station</t>
  </si>
  <si>
    <t>hat107</t>
  </si>
  <si>
    <t>Hat Creek</t>
  </si>
  <si>
    <t>Additional: Replaces hat107 - Concatenate data record</t>
  </si>
  <si>
    <t>-&gt; AGHC014</t>
  </si>
  <si>
    <t>-&gt; Hat Creek (DFO)</t>
  </si>
  <si>
    <t>AGHC014</t>
  </si>
  <si>
    <t>Hat Creek (DFO)</t>
  </si>
  <si>
    <t>Replaced by AGQC023 - move data record, delete station</t>
  </si>
  <si>
    <t>qu107</t>
  </si>
  <si>
    <t>Quilchena</t>
  </si>
  <si>
    <t>Additional: Replaces qu107 - Concatenate data record</t>
  </si>
  <si>
    <t>-&gt; AGQC023</t>
  </si>
  <si>
    <t>-&gt; Quilchena</t>
  </si>
  <si>
    <t>AGQC023</t>
  </si>
  <si>
    <t>Replaced by AGST025 - move data record, delete station</t>
  </si>
  <si>
    <t>so107</t>
  </si>
  <si>
    <t>South Thompson</t>
  </si>
  <si>
    <t>Additional: Replaces so107 - concatenate data</t>
  </si>
  <si>
    <t>-&gt; AGST025</t>
  </si>
  <si>
    <t>-&gt; South Thompson</t>
  </si>
  <si>
    <t>AGST025</t>
  </si>
  <si>
    <t>Replaced by AGLN018 - move data record, delete station</t>
  </si>
  <si>
    <t>su107</t>
  </si>
  <si>
    <t>Sunshine Valley</t>
  </si>
  <si>
    <t>Additional: Replaces su107 - Concatenate data record</t>
  </si>
  <si>
    <t>-&gt; AGLN018</t>
  </si>
  <si>
    <t>-&gt; Sunshine Valley</t>
  </si>
  <si>
    <t>AGLN018</t>
  </si>
  <si>
    <t>Replaced by AGOKNGPNRA - move data record, delete station</t>
  </si>
  <si>
    <t>Oliver North</t>
  </si>
  <si>
    <t>Additional: Replaces 24547  - Concatenate data record</t>
  </si>
  <si>
    <t>-&gt; AGOKNGPNRA</t>
  </si>
  <si>
    <t>-&gt; Oliver (Panorama)</t>
  </si>
  <si>
    <t>AGOKNGPNRA</t>
  </si>
  <si>
    <t>Oliver (Panorama)</t>
  </si>
  <si>
    <t>Replaced by AGOKNGOLVS - move data record, delete station</t>
  </si>
  <si>
    <t>Oliver South</t>
  </si>
  <si>
    <t>Additional: Replaces 25672 - Concatenate Data Record</t>
  </si>
  <si>
    <t>-&gt; AGOKNGOLVS</t>
  </si>
  <si>
    <t>-&gt; Oliver South</t>
  </si>
  <si>
    <t>AGOKNGOLVS</t>
  </si>
  <si>
    <t>Replaced by AGBCSUMASP - move data record, delete station</t>
  </si>
  <si>
    <t>bc65</t>
  </si>
  <si>
    <t>Sumas Prairie</t>
  </si>
  <si>
    <t>Additional: Replaces bc65 - Concatenate data record</t>
  </si>
  <si>
    <t>-&gt; AGBCSUMASP</t>
  </si>
  <si>
    <t>-&gt; Sumas Prairie</t>
  </si>
  <si>
    <t>AGBCSUMASP</t>
  </si>
  <si>
    <t>Replaced by AGOKNGOYMA - move data record, delete station</t>
  </si>
  <si>
    <t>SBC15</t>
  </si>
  <si>
    <t>Oyama</t>
  </si>
  <si>
    <t>Additional: Replaces SBC15 - Concatenate data record</t>
  </si>
  <si>
    <t>-&gt; AGOKNGOYMA</t>
  </si>
  <si>
    <t>-&gt; Oyama</t>
  </si>
  <si>
    <t>AGOKNGOYMA</t>
  </si>
  <si>
    <t>Replaced by AGOKNGVNBX - move data record, delete station</t>
  </si>
  <si>
    <t>SBC19</t>
  </si>
  <si>
    <t>Vernon North</t>
  </si>
  <si>
    <t>Additional: Replaces  SBC19 - Concatenate data record</t>
  </si>
  <si>
    <t>-&gt; AGOKNGVNBX</t>
  </si>
  <si>
    <t>-&gt; Vernon BX</t>
  </si>
  <si>
    <t>AGOKNGVNBX</t>
  </si>
  <si>
    <t>Vernon BX</t>
  </si>
  <si>
    <t>Replaced by AGOKNGKMOS - move data record, delete station</t>
  </si>
  <si>
    <t>SBC25</t>
  </si>
  <si>
    <t>Keremeos</t>
  </si>
  <si>
    <t>Additional: Replaces SBC25 - Concatenate data record</t>
  </si>
  <si>
    <t>-&gt; AGOKNGKMOS</t>
  </si>
  <si>
    <t>-&gt; Keremeos</t>
  </si>
  <si>
    <t>AGOKNGKMOS</t>
  </si>
  <si>
    <t>Replaced by AGGR012 - move data record, delete station</t>
  </si>
  <si>
    <t>gr107</t>
  </si>
  <si>
    <t>Grindrod</t>
  </si>
  <si>
    <t>Additional: Replaces gr107 - Concatenate data</t>
  </si>
  <si>
    <t>-&gt; AGGR012</t>
  </si>
  <si>
    <t>-&gt; Grindrod</t>
  </si>
  <si>
    <t>AGGR012</t>
  </si>
  <si>
    <t>Replaced by OKNGSLFB - move data record, delete station</t>
  </si>
  <si>
    <t>SBC35</t>
  </si>
  <si>
    <t>Summerland South</t>
  </si>
  <si>
    <t>Additional: Replaces SBC35 - Concatenate data</t>
  </si>
  <si>
    <t>-&gt; AGOKNGSLUS</t>
  </si>
  <si>
    <t>-&gt; Summerland Upper South</t>
  </si>
  <si>
    <t>AGOKNGSLUS</t>
  </si>
  <si>
    <t>Summerland Upper South</t>
  </si>
  <si>
    <t>BC-TRAN</t>
  </si>
  <si>
    <t>Brandywine</t>
  </si>
  <si>
    <t>123.11806 W, 50.05417 N, Elev. 496 m</t>
  </si>
  <si>
    <t>2001-01-22 to 2025-08-07</t>
  </si>
  <si>
    <t>Hourly</t>
  </si>
  <si>
    <t>Air Pressure|Air Pressure (Point)|Dew Point Temperature|Dew Point Temperature (Mean)|Precipitation (Cumulative)|Precipitation 24hr|Precipitation Amount|Rainfall Amount|Relative Humidity|Relative Humidity (Mean)|Sea Level Pressure|Snow Depth|Snowfall|Snowfall Amount|Surface Snow Depth (Point)|Temperature (Max.)|Temperature (Mean)|Temperature (Min.)|Temperature (Point)|Wind Direction|Wind Direction (Mean)|Wind Direction (Point)|Wind Direction (Std Dev)|Wind Gust|Wind Speed|Wind Speed (Max.)|Wind Speed (Mean)|Wind Speed (Point)</t>
  </si>
  <si>
    <t>BRANDYWINE</t>
  </si>
  <si>
    <t>MOTT</t>
  </si>
  <si>
    <t>Climate</t>
  </si>
  <si>
    <t>W side of Hwy99, 18.5 km S of Whistler Creek</t>
  </si>
  <si>
    <t>Tantalus</t>
  </si>
  <si>
    <t>123.14339 W, 49.84347 N, Elev. 320 m</t>
  </si>
  <si>
    <t>2009-06-25 to 2025-08-12</t>
  </si>
  <si>
    <t>TANTALUS</t>
  </si>
  <si>
    <t>E side of Hwy 99 at Batt Creek, 100m south of entrance to upper Tantalus viewpoint</t>
  </si>
  <si>
    <t>Mt. Strachan Precip</t>
  </si>
  <si>
    <t>123.19144 W, 49.40431 N, Elev. 1220 m</t>
  </si>
  <si>
    <t>1993-12-23 to 2025-08-12</t>
  </si>
  <si>
    <t>Air Pressure|Air Pressure (Point)|Dew Point Temperature|Dew Point Temperature (Mean)|Precipitation (Cumulative)|Precipitation 24hr|Precipitation Amount|Precipitation Climatology|Relative Humidity|Snow Depth|Snowfall|Snowfall Amount|Temperature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</si>
  <si>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 xml:space="preserve">Mt. Strachan Precip </t>
  </si>
  <si>
    <t xml:space="preserve">MT. STRACHAN PRECIP </t>
  </si>
  <si>
    <t>Northeast of base of Sky Chair, Cypress Bowl</t>
  </si>
  <si>
    <t>Mt. Strachan</t>
  </si>
  <si>
    <t>123.19636 W, 49.41003 N, Elev. 1420 m</t>
  </si>
  <si>
    <t>1984-01-01 to 2022-07-20</t>
  </si>
  <si>
    <t>Air Pressure|Air Pressure (Point)|Dew Point Temperature|Dew Point Temperature (Mean)|Precipitation (Cumulative)|Precipitation Amount|Relative Humidity|Relative Humidity (Mean)|Snow Depth|Snowfall|Snowfall Amount|Surface Snow Depth (Point)|Temperature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</si>
  <si>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Mt. Harvey Raws</t>
  </si>
  <si>
    <t>123.18961 W, 49.47889 N, Elev. 1460 m</t>
  </si>
  <si>
    <t>1984-01-01 to 2001-01-01</t>
  </si>
  <si>
    <t>Air Pressure (Point)|Dew Point Temperature (Mean)|Precipitation (Cumulative)|Precipitation Amount|Precipitation Climatology|Relative Humidity (Mean)|Snowfall Amount|Surface Snow Depth (Point)|Temperature (Max.)|Temperature (Min.)|Temperature (Point)|Temperature Climatology (Max.)|Temperature Climatology (Mean)|Temperature Climatology (Min.)|Wind Direction (Mean)|Wind Direction (Std Dev)|Wind Speed (Max.)|Wind Speed (Mean)</t>
  </si>
  <si>
    <t>Alberta Creek  Raws</t>
  </si>
  <si>
    <t>123.22415 W, 49.46517 N, Elev. 670 m</t>
  </si>
  <si>
    <t>1983-11-25 to 2001-01-01</t>
  </si>
  <si>
    <t>Air Pressure (Point)|Precipitation (Cumulative)|Precipitation Amount|Relative Humidity (Mean)|Temperature (Max.)|Temperature (Min.)|Temperature (Point)|Temperature Climatology (Max.)|Temperature Climatology (Mean)|Temperature Climatology (Min.)|Wind Direction (Mean)|Wind Direction (Std Dev)|Wind Speed (Max.)|Wind Speed (Mean)</t>
  </si>
  <si>
    <t>Deeks Peak</t>
  </si>
  <si>
    <t>123.21833 W, 49.53414 N, Elev. 1280 m</t>
  </si>
  <si>
    <t>1983-11-29 to 2018-07-11</t>
  </si>
  <si>
    <t>Air Pressure (Point)|Dew Point Temperature (Mean)|Precipitation (Cumulative)|Precipitation Amount|Precipitation Climatology|Relative Humidity (Mean)|Snowfall Amount|Surface Snow Depth (Point)|Temperature (Max.)|Temperature (Min.)|Temperature (Point)|Temperature Climatology (Max.)|Temperature Climatology (Mean)|Temperature Climatology (Min.)|Wind Direction (Mean)|Wind Direction (Point)|Wind Direction (Std Dev)|Wind Speed (Max.)|Wind Speed (Mean)|Wind Speed (Point)</t>
  </si>
  <si>
    <t>DEEKS PEAK</t>
  </si>
  <si>
    <t>Ridgetop East side of Hwy 99 Southeast of Porteau Cove.</t>
  </si>
  <si>
    <t>Porteau Cove</t>
  </si>
  <si>
    <t>123.23985 W, 49.54671 N, Elev. 65 m</t>
  </si>
  <si>
    <t>2020-01-08 to 2025-08-12</t>
  </si>
  <si>
    <t>Dew Point Temperature|Precipitation 24hr|Precipitation Amount|Relative Humidity|Temperature (Max.)|Temperature (Mean)|Temperature (Min.)|Temperature (Point)</t>
  </si>
  <si>
    <t>PORTEAU COVE</t>
  </si>
  <si>
    <t>W side of Hwy 99 at Porteau Cove Road southbound offramp.</t>
  </si>
  <si>
    <t>Eagle Ridge</t>
  </si>
  <si>
    <t>123.26969 W, 49.37186 N, Elev. 140 m</t>
  </si>
  <si>
    <t>2009-06-22 to 2025-08-12</t>
  </si>
  <si>
    <t>EAGLE RIDGE</t>
  </si>
  <si>
    <t>West side of Hwy 99, 500 m north of Larsen Creek</t>
  </si>
  <si>
    <t>-&gt; BC-TRAN</t>
  </si>
  <si>
    <t>-&gt; 12092</t>
  </si>
  <si>
    <t>-&gt; Trout Lake</t>
  </si>
  <si>
    <t>-&gt; 123.87978W, 49.5073 N, Elev. 164 m</t>
  </si>
  <si>
    <t>Trout Lake</t>
  </si>
  <si>
    <t>TROUT LAKE</t>
  </si>
  <si>
    <t>South side of Hwy 101, 10 km north of Sechelt</t>
  </si>
  <si>
    <t>-&gt; 14092</t>
  </si>
  <si>
    <t>-&gt; Port Mann Bridge Mid Span</t>
  </si>
  <si>
    <t>-&gt; 122.81194 W, 49.21778 N, Elev. 40 m</t>
  </si>
  <si>
    <t>Port Mann Bridge Mid Span</t>
  </si>
  <si>
    <t>PORT MANN BRIDGE MID SPAN</t>
  </si>
  <si>
    <t>Hwy 1 westbound at mid span of the Port Mann Bridge</t>
  </si>
  <si>
    <t>-&gt; 14093</t>
  </si>
  <si>
    <t>-&gt; Johnson Hill</t>
  </si>
  <si>
    <t>-&gt; 122.80202 W, 49.20528 W, Elev. 93 m</t>
  </si>
  <si>
    <t>Port Mann Bridge Johnson Hill</t>
  </si>
  <si>
    <t>PORT MANN BRIDGE JOHNSON HILL</t>
  </si>
  <si>
    <t>Hwy 1 Westbound at Toll Gantry Compund</t>
  </si>
  <si>
    <t>Ricemill Road</t>
  </si>
  <si>
    <t>123.07947 W, 49.12671 N, Elev. 5 m</t>
  </si>
  <si>
    <t>2019-11-22 to 2025-08-12</t>
  </si>
  <si>
    <t>Air Pressure|Air Pressure (Point)|Dew Point Temperature|Dew Point Temperature (Mean)|Precipitation 24hr|Precipitation Amount|Relative Humidity|Relative Humidity (Mean)|Sea Level Pressure|Snow Depth|Snowfall|Surface Snow Depth (Point)|Temperature (Max.)|Temperature (Mean)|Temperature (Min.)|Temperature (Point)|Wind Direction|Wind Direction (Mean)|Wind Direction (Std Dev)|Wind Gust|Wind Speed|Wind Speed (Mean)</t>
  </si>
  <si>
    <t>RICEMILL ROAD</t>
  </si>
  <si>
    <t>North side of Ricemill Road, 110 m northeast of Hwy 99.</t>
  </si>
  <si>
    <t>Alex Fraser Bridge</t>
  </si>
  <si>
    <t>122.94308 W, 49.16003 N, Elev. 60 m</t>
  </si>
  <si>
    <t>Air Pressure|Dew Point Temperature|Relative Humidity|Sea Level Pressure|Temperature (Max.)|Temperature (Mean)|Temperature (Min.)|Wind Direction|Wind Gust|Wind Speed</t>
  </si>
  <si>
    <t>ALEX FRASER BRIDGE</t>
  </si>
  <si>
    <t>Mid-span, northbound side of Alex Fraser Bridge</t>
  </si>
  <si>
    <t>ALEX FRASER TOP</t>
  </si>
  <si>
    <t>122.94392 W, 49.16187 N, Elev. null m -&gt; 122.94392 W, 49.16187 N, Elev. 130 m</t>
  </si>
  <si>
    <t>2021-08-25 to 2025-08-12</t>
  </si>
  <si>
    <t>Dew Point Temperature|Relative Humidity|Snowfall|Temperature (Max.)|Temperature (Mean)|Temperature (Min.)</t>
  </si>
  <si>
    <t>Alex Frease Top</t>
  </si>
  <si>
    <t>Top of northeast tower on the Alex Fraser Bridge</t>
  </si>
  <si>
    <t>ALEX FRASER CROSS BEAM</t>
  </si>
  <si>
    <t>122.94391 W, 49.1618 N, Elev. null m -&gt; 122.94391 W, 49.1618 N, Elev. 80 m</t>
  </si>
  <si>
    <t>Temperature (Max.)|Temperature (Mean)|Temperature (Min.)</t>
  </si>
  <si>
    <t>Alex Fraser Cross Beam</t>
  </si>
  <si>
    <t>On the cross beam of the North Tower of the Alex Fraser Bridge</t>
  </si>
  <si>
    <t>Annacis Island</t>
  </si>
  <si>
    <t>122.9516 W, 49.17153 N, Elev. 4 m</t>
  </si>
  <si>
    <t>Dew Point Temperature|Precipitation 24hr|Precipitation Amount|Relative Humidity|Snow Depth|Snowfall|Temperature (Max.)|Temperature (Mean)|Temperature (Min.)</t>
  </si>
  <si>
    <t>Annicis Island</t>
  </si>
  <si>
    <t>Bradner Road</t>
  </si>
  <si>
    <t>122.42528 W, 49.07556 N, Elev. 110 m</t>
  </si>
  <si>
    <t>2005-09-29 to 2025-08-12</t>
  </si>
  <si>
    <t>BRADNER ROAD</t>
  </si>
  <si>
    <t>North side of highway #1.  East of Bradner road underpass.  Between Hwy 1 and Downes Road.</t>
  </si>
  <si>
    <t>Nicolum Creek</t>
  </si>
  <si>
    <t>121.35611 W, 49.36306 N, Elev. 244 m</t>
  </si>
  <si>
    <t>2002-08-19 to 2025-08-12</t>
  </si>
  <si>
    <t>NICOLUM CREEK</t>
  </si>
  <si>
    <t>N side of Hwy 3, 300m E of the offramp from Hwy 5</t>
  </si>
  <si>
    <t>Hells Gate Roadside</t>
  </si>
  <si>
    <t>121.41803 W, 49.75703 N, Elev. 280 m</t>
  </si>
  <si>
    <t>2007-07-12 to 2025-08-12</t>
  </si>
  <si>
    <t>HELLS GATE ROADSIDE</t>
  </si>
  <si>
    <t>W side of Hwy 1 on Bradley Hill</t>
  </si>
  <si>
    <t>Hells Gate</t>
  </si>
  <si>
    <t>121.42852 W, 49.79229 N, Elev. 1005 m</t>
  </si>
  <si>
    <t>1977-01-04 to 2016-06-22</t>
  </si>
  <si>
    <t>Dew Point Temperature (Mean)|Precipitation (Cumulative)|Precipitation Amount|Precipitation Climatology|Relative Humidity (Mean)|Snowfall Amount|Surface Snow Depth (Point)|Temperature (Max.)|Temperature (Min.)|Temperature (Point)|Temperature Climatology (Max.)|Temperature Climatology (Mean)|Temperature Climatology (Min.)|Wind Direction (Mean)|Wind Direction (Point)|Wind Direction (Std Dev)|Wind Speed (Max.)|Wind Speed (Mean)|Wind Speed (Point)</t>
  </si>
  <si>
    <t>Jackass</t>
  </si>
  <si>
    <t>121.5475 W, 50.07611 N, Elev. 350 m</t>
  </si>
  <si>
    <t>1996-12-31 to 2025-08-12</t>
  </si>
  <si>
    <t>Air Pressure|Air Pressure (Point)|Dew Point Temperature|Dew Point Temperature (Mean)|Precipitation (Cumulative)|Precipitation 24hr|Precipitation Amount|Precipitation Climatology|Rainfall Amount|Relative Humidity|Relative Humidity (Mean)|Sea Level Pressure|Snow Depth|Snowfall|Snowfall Amount|Surface Snow Depth (Point)|Temperature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</si>
  <si>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JACKASS</t>
  </si>
  <si>
    <t>Hwy 1, 17 km S of Lytton</t>
  </si>
  <si>
    <t>Foundation Mines</t>
  </si>
  <si>
    <t>121.08417 W, 49.23 N, Elev. 1650 m</t>
  </si>
  <si>
    <t>1988-10-26 to 2025-08-12</t>
  </si>
  <si>
    <t>Dew Point Temperature|Dew Point Temperature (Mean)|Precipitation (Cumulative)|Precipitation 24hr|Precipitation Amount|Precipitation Climatology|Relative Humidity|Relative Humidity (Mean)|Snow Depth|Snowfall|Snowfall Amount|Surface Snow Depth (Point)|Temperature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</si>
  <si>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FOUNDATION MINES</t>
  </si>
  <si>
    <t>Ridgetop, North side of Hwy 3, 33km East of Hope</t>
  </si>
  <si>
    <t>Allison Pass Remote Raws</t>
  </si>
  <si>
    <t>120.87 W, 49.11528 N, Elev. 1340 m</t>
  </si>
  <si>
    <t>1991-12-09 to 2003-10-25</t>
  </si>
  <si>
    <t>Allison Pass</t>
  </si>
  <si>
    <t>120.86744 W, 49.11564 N, Elev. 1340 m</t>
  </si>
  <si>
    <t>2003-01-03 to 2025-08-12</t>
  </si>
  <si>
    <t>ALLISON PASS</t>
  </si>
  <si>
    <t>Hwy  3 at the Allison Pass summit maintenance yard</t>
  </si>
  <si>
    <t xml:space="preserve">Name, Location </t>
  </si>
  <si>
    <t>-&gt; Similkameen Falls</t>
  </si>
  <si>
    <t>120.56784 W, 49.16609 N, Elev. null m -&gt;120.56784 W, 49.16609 N, Elev. 988 m</t>
  </si>
  <si>
    <t>2022-07-05 to 2025-08-12</t>
  </si>
  <si>
    <t>Dew Point Temperature|Precipitation 24hr|Precipitation Amount|Relative Humidity|Snowfall|Temperature (Max.)|Temperature (Mean)|Temperature (Min.)</t>
  </si>
  <si>
    <t>Similkameen Falls</t>
  </si>
  <si>
    <t>SIMILKAMEEN FALLS</t>
  </si>
  <si>
    <t>South side of Hwy 3 at Similkameen Falls</t>
  </si>
  <si>
    <t>Walloper</t>
  </si>
  <si>
    <t>120.47833 W, 50.52861 N, Elev. 1300 m</t>
  </si>
  <si>
    <t>2002-02-14 to 2025-08-12</t>
  </si>
  <si>
    <t>WALLOPER</t>
  </si>
  <si>
    <t>Hwy 5 at Walloper Pit 12 km S of Northbound brake check</t>
  </si>
  <si>
    <t>Barriere</t>
  </si>
  <si>
    <t>120.13582 W, 51.11271 N, Elev. 390 m</t>
  </si>
  <si>
    <t>1999-10-29 to 2025-08-12</t>
  </si>
  <si>
    <t>BARRIERE</t>
  </si>
  <si>
    <t>West side of Hwy 5, 3.5 km S of Louis Creek (S of Barriere)</t>
  </si>
  <si>
    <t>-&gt; Mad River</t>
  </si>
  <si>
    <t>119.56575 W, 51.66977 N, Elev. null m -&gt; 119.56575 W, 51.66977 N, Elev. 545 m</t>
  </si>
  <si>
    <t>2022-03-29 to 2025-08-12</t>
  </si>
  <si>
    <t>Air Pressure|Dew Point Temperature|Precipitation 24hr|Precipitation Amount|Relative Humidity|Sea Level Pressure|Snowfall|Temperature (Max.)|Temperature (Mean)|Temperature (Min.)</t>
  </si>
  <si>
    <t>Mad River</t>
  </si>
  <si>
    <t>MAD RIVER</t>
  </si>
  <si>
    <t>South side of Hwy 5, 17.5 km northeast of Vavenby</t>
  </si>
  <si>
    <t>Annis Pit</t>
  </si>
  <si>
    <t>119.07934 W, 50.78958 N, Elev. 420 m</t>
  </si>
  <si>
    <t>Air Pressure|Air Pressure (Point)|Dew Point Temperature|Dew Point Temperature (Mean)|Precipitation 24hr|Precipitation Amount|Relative Humidity|Relative Humidity (Mean)|Sea Level Pressure|Snow Depth|Snowfall|Temperature (Max.)|Temperature (Mean)|Temperature (Min.)|Temperature (Point)|Wind Direction|Wind Direction (Mean)|Wind Direction (Std Dev)|Wind Gust|Wind Speed|Wind Speed (Mean)</t>
  </si>
  <si>
    <t>ANNIS PIT</t>
  </si>
  <si>
    <t>South side of Hwy 1 at Annis Pit, 8 km SE of Sicamous</t>
  </si>
  <si>
    <t>Malakwa</t>
  </si>
  <si>
    <t>118.78861 W, 50.93417 N, Elev. 335 m</t>
  </si>
  <si>
    <t>1999-05-25 to 2025-08-12</t>
  </si>
  <si>
    <t>MALAKWA</t>
  </si>
  <si>
    <t>Hwy 1 E of Sicamous at junction of Malakwa Loop</t>
  </si>
  <si>
    <t>Squilax</t>
  </si>
  <si>
    <t>119.57111 W, 50.87278 N, Elev. 366 m</t>
  </si>
  <si>
    <t>1997-10-02 to 2025-08-12</t>
  </si>
  <si>
    <t>SQUILAX</t>
  </si>
  <si>
    <t>S side of Hwy 1, 1km E of Squilax Bridge</t>
  </si>
  <si>
    <t>Kalamalka Lookout</t>
  </si>
  <si>
    <t>119.30607 W, 50.2112 N, Elev. 570 m</t>
  </si>
  <si>
    <t>1998-12-30 to 2025-08-12</t>
  </si>
  <si>
    <t>KALAMALKA LOOKOUT</t>
  </si>
  <si>
    <t>E side of Hwy 97 at Vista Rd turnoff, S of Vernon</t>
  </si>
  <si>
    <t>Bromley Rock</t>
  </si>
  <si>
    <t>120.26299 W, 49.40616 N, Elev. 566 m</t>
  </si>
  <si>
    <t>Air Pressure|Dew Point Temperature|Dew Point Temperature (Mean)|Precipitation 24hr|Precipitation Amount|Relative Humidity|Relative Humidity (Mean)|Snow Depth|Snowfall|Temperature (Max.)|Temperature (Mean)|Temperature (Min.)|Temperature (Point)</t>
  </si>
  <si>
    <t>BROMLEY ROCK</t>
  </si>
  <si>
    <t>N side of Hwy 3, 1 km South of Bromley Rock Provincial Park</t>
  </si>
  <si>
    <t>Apex Roadside</t>
  </si>
  <si>
    <t>119.9008 W, 49.39693 N, Elev. 1750 m</t>
  </si>
  <si>
    <t>1997-11-17 to 2025-08-12</t>
  </si>
  <si>
    <t>Air Pressure (Point)|Dew Point Temperature|Dew Point Temperature (Mean)|Precipitation (Cumulative)|Precipitation 24hr|Precipitation Amount|Precipitation Climatology|Relative Humidity|Relative Humidity (Mean)|Snow Depth|Snowfall|Snowfall Amount|Surface Snow Depth (Point)|Temperature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</si>
  <si>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APEX ROADSIDE</t>
  </si>
  <si>
    <t>In gravel pit, North side of Apex Mtn Rd at Rock Oven Pass</t>
  </si>
  <si>
    <t>Yellow Lake</t>
  </si>
  <si>
    <t>119.72846 W, 49.34247 N, Elev. 780 m</t>
  </si>
  <si>
    <t>Dew Point Temperature|Dew Point Temperature (Mean)|Precipitation 24hr|Precipitation Amount|Relative Humidity|Relative Humidity (Mean)|Snow Depth|Snowfall|Temperature (Max.)|Temperature (Mean)|Temperature (Min.)|Temperature (Point)</t>
  </si>
  <si>
    <t>South Side Hwy 3A, 150m West of Sheep Creek Road</t>
  </si>
  <si>
    <t>Red Bluffs</t>
  </si>
  <si>
    <t>120.62431 W, 49.47619 N, Elev. 830 m</t>
  </si>
  <si>
    <t>1997-11-05 to 2025-08-12</t>
  </si>
  <si>
    <t>RED BLUFFS</t>
  </si>
  <si>
    <t>Princeton - Tulameen Hwy, 7km SE of Coalmont</t>
  </si>
  <si>
    <t>Helmer Lake</t>
  </si>
  <si>
    <t>120.63661 W, 50.32083 N, Elev. 1385 m</t>
  </si>
  <si>
    <t>1998-11-10 to 2025-08-12</t>
  </si>
  <si>
    <t>Helmer Lk</t>
  </si>
  <si>
    <t>HELMER LK</t>
  </si>
  <si>
    <t>E side of Hwy 5, 24km N or Merritt at Helmer Interchange</t>
  </si>
  <si>
    <t>Larson Hill</t>
  </si>
  <si>
    <t>120.935 W, 49.83111 N, Elev. 1060 m</t>
  </si>
  <si>
    <t>2000-10-06 to 2025-08-12</t>
  </si>
  <si>
    <t>LARSON HILL</t>
  </si>
  <si>
    <t>N side of Hwy 5 at Larson Hill interchange</t>
  </si>
  <si>
    <t>Desmond Hill</t>
  </si>
  <si>
    <t>120.5987 W, 50.43999 N, Elev. 1300 m</t>
  </si>
  <si>
    <t>Dew Point Temperature|Relative Humidity|Temperature (Max.)|Temperature (Mean)|Temperature (Min.)|Temperature (Point)</t>
  </si>
  <si>
    <t>DESMOND HILL</t>
  </si>
  <si>
    <t>East side of Hwy 5, 7 km South of Hwy 97D junction.</t>
  </si>
  <si>
    <t>Comstock</t>
  </si>
  <si>
    <t>120.83608 W, 50.01749 N, Elev. 945 m</t>
  </si>
  <si>
    <t>Dew Point Temperature|Relative Humidity|Relative Humidity (Mean)|Temperature (Max.)|Temperature (Mean)|Temperature (Min.)|Temperature (Point)</t>
  </si>
  <si>
    <t>COMSTOCK</t>
  </si>
  <si>
    <t>South side of Hwy 5, 1.3 km West of Comstock Interchange</t>
  </si>
  <si>
    <t>Coquihalla Summit</t>
  </si>
  <si>
    <t>121.09948 W, 49.5941 N, Elev. 1230 m</t>
  </si>
  <si>
    <t>1995-10-20 to 2025-08-12</t>
  </si>
  <si>
    <t>Dew Point Temperature|Dew Point Temperature (Mean)|Precipitation (Cumulative)|Precipitation 24hr|Precipitation Amount|Precipitation Climatology|Relative Humidity|Relative Humidity (Mean)|Snow Depth|Snowfall|Snowfall Amount|Surface Snow Depth (Point)|Temperature (Max.)|Temperature (Mean)|Temperature (Min.)|Temperature (Point)|Temperature Climatology (Max.)|Temperature Climatology (Mean)|Temperature Climatology (Min.)|Wind Direction (Mean)|Wind Direction (Std Dev)|Wind Speed (Mean)</t>
  </si>
  <si>
    <t>COQUIHALLA SUMMIT</t>
  </si>
  <si>
    <t>North side of Hwy 5 in clearing at West end of Boston Bar Creek Rest Area</t>
  </si>
  <si>
    <t>Portia Raws</t>
  </si>
  <si>
    <t>121.22833 W, 49.52222 N, Elev. 1430 m</t>
  </si>
  <si>
    <t>1986-06-05 to 2001-01-01</t>
  </si>
  <si>
    <t>Air Pressure (Point)|Precipitation (Cumulative)|Precipitation Amount|Relative Humidity (Mean)|Snowfall Amount|Surface Snow Depth (Point)|Temperature (Max.)|Temperature (Min.)|Temperature (Point)|Temperature Climatology (Max.)|Temperature Climatology (Mean)|Temperature Climatology (Min.)|Wind Direction (Mean)|Wind Direction (Std Dev)|Wind Speed (Max.)|Wind Speed (Mean)</t>
  </si>
  <si>
    <t>Great Bear</t>
  </si>
  <si>
    <t>121.17805 W, 49.59582 N, Elev. 1710 m</t>
  </si>
  <si>
    <t>1985-12-19 to 2025-08-12</t>
  </si>
  <si>
    <t>Air Pressure (Point)|Dew Point Temperature|Dew Point Temperature (Mean)|Precipitation (Cumulative)|Precipitation Amount|Relative Humidity|Relative Humidity (Mean)|Snowfall|Snowfall Amount|Surface Snow Depth (Point)|Temperature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</si>
  <si>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GREAT BEAR</t>
  </si>
  <si>
    <t>Great Bear Summit above snowshed</t>
  </si>
  <si>
    <t>Nak Mid</t>
  </si>
  <si>
    <t>121.09083 W, 49.60083 N, Elev. 1700 m</t>
  </si>
  <si>
    <t>1985-12-23 to 2001-01-01</t>
  </si>
  <si>
    <t>Nak Peak</t>
  </si>
  <si>
    <t>121.0925 W, 49.6075 N, Elev. 2030 m</t>
  </si>
  <si>
    <t>Precipitation Amount|Precipitation Climatology|Relative Humidity (Mean)|Temperature (Max.)|Temperature (Min.)|Temperature (Point)|Temperature Climatology (Max.)|Temperature Climatology (Mean)|Temperature Climatology (Min.)|Wind Direction (Mean)|Wind Direction (Std Dev)|Wind Speed (Max.)|Wind Speed (Mean)</t>
  </si>
  <si>
    <t>Little Bear</t>
  </si>
  <si>
    <t>121.17801 W, 49.59924 N, Elev. 1660 m</t>
  </si>
  <si>
    <t>1989-01-20 to 2025-08-12</t>
  </si>
  <si>
    <t>Dew Point Temperature|Dew Point Temperature (Mean)|Precipitation (Cumulative)|Precipitation Amount|Precipitation Climatology|Relative Humidity|Relative Humidity (Mean)|Snow Depth|Snowfall|Snowfall Amount|Surface Snow Depth (Point)|Temperature (Max.)|Temperature (Mean)|Temperature (Min.)|Temperature (Point)|Temperature Climatology (Max.)|Temperature Climatology (Mean)|Temperature Climatology (Min.)|Wind Direction|Wind Direction (Mean)|Wind Direction (Std Dev)|Wind Gust|Wind Speed|Wind Speed (Mean)</t>
  </si>
  <si>
    <t>LITTLE BEAR</t>
  </si>
  <si>
    <t>Col between Gr Bear and Iago Summit</t>
  </si>
  <si>
    <t>Carpenter Lake</t>
  </si>
  <si>
    <t>122.44533 W, 50.84153 N, Elev. 660 m</t>
  </si>
  <si>
    <t>1997-10-02 to 2011-04-05</t>
  </si>
  <si>
    <t>Bluenose</t>
  </si>
  <si>
    <t>122.18831 W, 50.81386 N, Elev. 1070 m</t>
  </si>
  <si>
    <t>2015-01-14 to 2025-08-12</t>
  </si>
  <si>
    <t>BLUENOSE</t>
  </si>
  <si>
    <t>Mid mountain elevation knoll east of the Bluenose avalanche path 42.0.</t>
  </si>
  <si>
    <t>Gold Bridge</t>
  </si>
  <si>
    <t>122.83625 W, 50.85442 N, Elev. 685 m</t>
  </si>
  <si>
    <t>Dew Point Temperature|Dew Point Temperature (Mean)|Precipitation 24hr|Precipitation Amount|Relative Humidity|Relative Humidity (Mean)|Snow Depth|Snowfall|Surface Snow Depth (Point)|Temperature (Max.)|Temperature (Mean)|Temperature (Min.)|Temperature (Point)</t>
  </si>
  <si>
    <t>Goldbridge</t>
  </si>
  <si>
    <t>GOLDBRIDGE</t>
  </si>
  <si>
    <t>Gold Bridge Maintenance Yard</t>
  </si>
  <si>
    <t>Blowdown Peak</t>
  </si>
  <si>
    <t>122.25556 W, 50.40694 N, Elev. 2320 m</t>
  </si>
  <si>
    <t>1988-01-07 to 2025-04-28</t>
  </si>
  <si>
    <t>Air Pressure|Air Pressure (Point)|Dew Point Temperature|Dew Point Temperature (Mean)|Precipitation (Cumulative)|Precipitation Amount|Rainfall Amount|Relative Humidity|Relative Humidity (Mean)|Snow Depth|Snowfall|Temperature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</si>
  <si>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BLOWDOWN PEAK</t>
  </si>
  <si>
    <t>Mountain top, South side of Hwy 99 at East end of Duffey Lake.</t>
  </si>
  <si>
    <t>Blowdown Mid</t>
  </si>
  <si>
    <t>122.26472 W, 50.40222 N, Elev. 1890 m</t>
  </si>
  <si>
    <t>1988-01-08 to 2025-04-28</t>
  </si>
  <si>
    <t>Air Pressure|Air Pressure (Point)|Dew Point Temperature|Dew Point Temperature (Mean)|Precipitation (Cumulative)|Precipitation 24hr|Precipitation Amount|Precipitation Climatology|Relative Humidity|Relative Humidity (Mean)|Snow Depth|Snowfall|Snowfall Amount|Surface Snow Depth (Point)|Temperature (Max.)|Temperature (Mean)|Temperature (Min.)|Temperature (Point)|Temperature Climatology (Max.)|Temperature Climatology (Mean)|Temperature Climatology (Min.)|Wind Direction|Wind Direction (Mean)|Wind Direction (Std Dev)|Wind Gust|Wind Speed|Wind Speed (Max.)|Wind Speed (Mean)</t>
  </si>
  <si>
    <t>BLOWDOWN MID</t>
  </si>
  <si>
    <t>Mid mountain, South side of Hwy 99 at East end of Duffey Lake.</t>
  </si>
  <si>
    <t>location</t>
  </si>
  <si>
    <t>Cayoosh Summit</t>
  </si>
  <si>
    <t>122.47403 W, 50.37978 N, Elev. 1350 m -&gt; 122.47403 W, 50.37978 N, Elev. 1250 m</t>
  </si>
  <si>
    <t>1997-09-30 to 2025-08-12</t>
  </si>
  <si>
    <t>CAYOOSH SUMMIT</t>
  </si>
  <si>
    <t>S side of Hwy 99 at Cayoosh Summit</t>
  </si>
  <si>
    <t>Fountain Slide</t>
  </si>
  <si>
    <t>121.86167 W, 50.74 N, Elev. 378 m</t>
  </si>
  <si>
    <t>2010-09-15 to 2025-08-12</t>
  </si>
  <si>
    <t>Dew Point Temperature|Dew Point Temperature (Mean)|Precipitation (Cumulative)|Precipitation 24hr|Precipitation Amount|Rainfall Amount|Relative Humidity|Relative Humidity (Mean)|Temperature (Max.)|Temperature (Mean)|Temperature (Min.)|Temperature (Point)|Wind Direction (Mean)|Wind Direction (Point)|Wind Direction (Std Dev)|Wind Speed (Max.)|Wind Speed (Mean)|Wind Speed (Point)</t>
  </si>
  <si>
    <t>FOUNTAIN SLIDE</t>
  </si>
  <si>
    <t>Hwy 99 at the Fountain Slide</t>
  </si>
  <si>
    <t>-&gt; 26521</t>
  </si>
  <si>
    <t>-&gt; Highline</t>
  </si>
  <si>
    <t>-&gt; 122.44316 W, 50.62331 N, Elev. 742 m</t>
  </si>
  <si>
    <t>hourly</t>
  </si>
  <si>
    <t>Highline</t>
  </si>
  <si>
    <t>HIGHLINE</t>
  </si>
  <si>
    <t>Highline Road, 11 km northwest of D'Arcy</t>
  </si>
  <si>
    <t>Big Bar</t>
  </si>
  <si>
    <t>123.700556 W, 48.516111 N, Elev. 180 m -&gt; 121.50162 W, 51.14693 N, Elev. 1049 m</t>
  </si>
  <si>
    <t>Air Pressure|Air Pressure (Point)|Dew Point Temperature|Dew Point Temperature (Mean)|Precipitation 24hr|Precipitation Amount|Relative Humidity|Relative Humidity (Mean)|Sea Level Pressure|Snowfall|Temperature (Max.)|Temperature (Mean)|Temperature (Min.)|Temperature (Point)|Wind Direction (Mean)|Wind Direction (Std Dev)|Wind Speed (Mean)</t>
  </si>
  <si>
    <t>BIG BAR</t>
  </si>
  <si>
    <t>East side of Hwy 97 at the Big Bar Rest Area</t>
  </si>
  <si>
    <t>Chasm Road</t>
  </si>
  <si>
    <t>123.700556 W, 48.516111 N, Elev. 180 m -&gt; 121.5295 W, 51.1929 N, Elev. 1093 m</t>
  </si>
  <si>
    <t>2020-01-02 to 2023-03-18</t>
  </si>
  <si>
    <t>Dew Point Temperature (Mean)|Precipitation Amount|Relative Humidity (Mean)|Temperature (Point)</t>
  </si>
  <si>
    <t>West sid of Hwy 97 at Chasm Road</t>
  </si>
  <si>
    <t>Begbie Summit</t>
  </si>
  <si>
    <t>121.37083 W, 51.47611 N, Elev. 1127 m</t>
  </si>
  <si>
    <t>2001-06-05 to 2025-08-12</t>
  </si>
  <si>
    <t>BEGBIE SUMMIT</t>
  </si>
  <si>
    <t>W side of Hwy 97 on old right of way 200m S of Begbie Summit</t>
  </si>
  <si>
    <t>Pennask Summit</t>
  </si>
  <si>
    <t>120.01336 W, 49.90672 N, Elev. 1700 m</t>
  </si>
  <si>
    <t>1998-11-11 to 2025-08-12</t>
  </si>
  <si>
    <t>PENNASK SUMMIT</t>
  </si>
  <si>
    <t>S side of Hwy 97C at Pennask Summit</t>
  </si>
  <si>
    <t>Pothole Lake</t>
  </si>
  <si>
    <t>120.54637 W, 49.93951 N, Elev. 1045 m</t>
  </si>
  <si>
    <t>Dew Point Temperature|Dew Point Temperature (Mean)|Precipitation 24hr|Precipitation Amount|Relative Humidity|Relative Humidity (Mean)|Snow Depth|Snowfall|Temperature (Max.)|Temperature (Mean)|Temperature (Min.)|Temperature (Point)|Wind Direction|Wind Direction (Mean)|Wind Direction (Std Dev)|Wind Gust|Wind Speed|Wind Speed (Mean)</t>
  </si>
  <si>
    <t>POTHOLE LAKE</t>
  </si>
  <si>
    <t>S side of Hwy 97C, 7 km W of Aspen Grove</t>
  </si>
  <si>
    <t>Brenda Mine</t>
  </si>
  <si>
    <t>119.93686 W, 49.86973 N, Elev. 1270 m</t>
  </si>
  <si>
    <t>2019-11-22 to 2025-08-11</t>
  </si>
  <si>
    <t>Dew Point Temperature|Precipitation 24hr|Precipitation Amount|Relative Humidity|Relative Humidity (Mean)|Snow Depth|Snowfall|Temperature (Max.)|Temperature (Mean)|Temperature (Min.)|Temperature (Point)</t>
  </si>
  <si>
    <t>BRENDA MINE</t>
  </si>
  <si>
    <t>S side of Hwy 97C at Brenda Mine exit.</t>
  </si>
  <si>
    <t>Hall Creek</t>
  </si>
  <si>
    <t>117.2425 W, 49.37333 N, Elev. 860 m</t>
  </si>
  <si>
    <t>2001-11-02 to 2025-08-12</t>
  </si>
  <si>
    <t>HALL CREEK</t>
  </si>
  <si>
    <t>W side of Hwy 6, 200m N of Hall Creek</t>
  </si>
  <si>
    <t>Beasley Bluffs</t>
  </si>
  <si>
    <t>117.41986 W, 49.48772 N, Elev. 580 m</t>
  </si>
  <si>
    <t>2015-01-14 to 2025-08-07</t>
  </si>
  <si>
    <t>BEASLEY BLUFFS</t>
  </si>
  <si>
    <t>South side of Hwy 6, 2.8 km west of Taghum Bridge.</t>
  </si>
  <si>
    <t>Southridge</t>
  </si>
  <si>
    <t>117.16111 W, 49.41778 N, Elev. 1990 m</t>
  </si>
  <si>
    <t>2001-09-06 to 2025-08-12</t>
  </si>
  <si>
    <t>Air Pressure (Point)|Dew Point Temperature|Dew Point Temperature (Mean)|Precipitation Amount|Relative Humidity|Relative Humidity (Mean)|Snow Depth|Snowfall|Snowfall Amount|Surface Snow Depth (Point)|Temperature (Max.)|Temperature (Mean)|Temperature (Min.)|Temperature (Point)|Wind Direction|Wind Direction (Mean)|Wind Direction (Point)|Wind Direction (Std Dev)|Wind Gust|Wind Speed|Wind Speed (Max.)|Wind Speed (Mean)|Wind Speed (Point)</t>
  </si>
  <si>
    <t>SOUTHRIDGE</t>
  </si>
  <si>
    <t>Ridgetop, East side of Apex Cr, top of avalanche path 5.0 Southridge 4.</t>
  </si>
  <si>
    <t>Meadows Junction</t>
  </si>
  <si>
    <t>117.44001 W, 49.18708 N, Elev. 700 m</t>
  </si>
  <si>
    <t>MEADOWS JUNCTION</t>
  </si>
  <si>
    <t>South side of Hwy 3B, 1.4 km West of Meadows Junction</t>
  </si>
  <si>
    <t>Strawberry Pass</t>
  </si>
  <si>
    <t>117.89664 W, 49.20444 N, Elev. 1600 m</t>
  </si>
  <si>
    <t>1999-10-21 to 2025-08-12</t>
  </si>
  <si>
    <t>STRAWBERRY PASS</t>
  </si>
  <si>
    <t>S side of Hwy 3A at Strawberry Pass summit</t>
  </si>
  <si>
    <t>Anarchist Summit</t>
  </si>
  <si>
    <t>119.31361 W, 49.00556 N, Elev. 1097 m</t>
  </si>
  <si>
    <t>2000-10-07 to 2025-08-12</t>
  </si>
  <si>
    <t>ANARCHIST SUMMIT</t>
  </si>
  <si>
    <t>N side of Hwy 3 in gravel pit at Anarchist summit</t>
  </si>
  <si>
    <t>-&gt; Eholt</t>
  </si>
  <si>
    <t>118.53021 W, 49.14818 N, Elev. null m -&gt; 118.53021 W, 49.14818 N, Elev. 998 m</t>
  </si>
  <si>
    <t>Eholt</t>
  </si>
  <si>
    <t>EHOLT</t>
  </si>
  <si>
    <t>East side of Hwy 3, 1.8 km north of Eholt Summit</t>
  </si>
  <si>
    <t>McCulloch</t>
  </si>
  <si>
    <t>119.12639 W, 49.75778 N, Elev. 1220 m -&gt; 119.12639 W, 49.75778 N, Elev. 1200 m</t>
  </si>
  <si>
    <t>2001-11-21 to 2025-08-09</t>
  </si>
  <si>
    <t>MCCULLOCH</t>
  </si>
  <si>
    <t>W side of Hwy 33 at McCuloch Junction N of Carmi</t>
  </si>
  <si>
    <t>Blueberry</t>
  </si>
  <si>
    <t>118.10936 W, 49.15997 N, Elev. 1570 m</t>
  </si>
  <si>
    <t>1993-11-17 to 2025-08-09</t>
  </si>
  <si>
    <t>BLUEBERRY</t>
  </si>
  <si>
    <t>Ridgetop, North side of Hwy 3, top of avalanche path 36.9.</t>
  </si>
  <si>
    <t>Paulson Summit</t>
  </si>
  <si>
    <t>118.05205 W, 49.24368 N, Elev. 1535 m</t>
  </si>
  <si>
    <t>1997-10-28 to 2025-08-12</t>
  </si>
  <si>
    <t>PAULSON SUMMIT</t>
  </si>
  <si>
    <t>N side of Hwy 3 at Paulson Summit (Christina Lk to Castlegar)</t>
  </si>
  <si>
    <t>Monashee Pass</t>
  </si>
  <si>
    <t>118.39633 W, 50.05055 N, Elev. 1223 m</t>
  </si>
  <si>
    <t>MONASHEE PASS</t>
  </si>
  <si>
    <t>North side of Hwy 6, 32 km northwest of Edgewood Junction</t>
  </si>
  <si>
    <t>Fish Lake</t>
  </si>
  <si>
    <t>117.17914 W, 50.04631 N, Elev. 1080 m -&gt; 117.17914 W, 50.04631 N, Elev. 1070 m</t>
  </si>
  <si>
    <t>1999-11-17 to 2025-08-12</t>
  </si>
  <si>
    <t>FISH LAKE</t>
  </si>
  <si>
    <t>N side of Hwy 31A at E end of Fish Lake</t>
  </si>
  <si>
    <t>Dardanelle</t>
  </si>
  <si>
    <t>117.18099 W, 50.0223 N, Elev. 2200 m</t>
  </si>
  <si>
    <t>Dew Point Temperature|Dew Point Temperature (Mean)|Relative Humidity|Relative Humidity (Mean)|Temperature (Max.)|Temperature (Mean)|Temperature (Min.)|Temperature (Point)|Wind Direction|Wind Direction (Mean)|Wind Direction (Std Dev)|Wind Gust|Wind Speed|Wind Speed (Mean)</t>
  </si>
  <si>
    <t>Dardanelle Ridge</t>
  </si>
  <si>
    <t>DARDANELLE RIDGE</t>
  </si>
  <si>
    <t>Ridgetop, 2.5 km south of Fish Lake</t>
  </si>
  <si>
    <t>London Ridge Low</t>
  </si>
  <si>
    <t>117.23481 W, 50.04589 N, Elev. 2070 m</t>
  </si>
  <si>
    <t>1990-09-19 to 2025-08-12</t>
  </si>
  <si>
    <t>LONDON RIDGE LOW</t>
  </si>
  <si>
    <t>Southwest shoulder of London Ridge, North side of Hwy 31A, 15 km East of New Denver.</t>
  </si>
  <si>
    <t>London Ridge High</t>
  </si>
  <si>
    <t>117.22867 W, 50.04931 N, Elev. 2160 m</t>
  </si>
  <si>
    <t>1990-09-19 to 2011-04-05</t>
  </si>
  <si>
    <t>Air Pressure (Point)|Dew Point Temperature (Mean)|Precipitation (Cumulative)|Precipitation Amount|Relative Humidity (Mean)|Snowfall Amount|Surface Snow Depth (Point)|Temperature (Max.)|Temperature (Min.)|Temperature (Point)|Temperature Climatology (Max.)|Temperature Climatology (Mean)|Temperature Climatology (Min.)|Wind Direction (Mean)|Wind Direction (Point)|Wind Direction (Std Dev)|Wind Speed (Max.)|Wind Speed (Mean)|Wind Speed (Point)</t>
  </si>
  <si>
    <t>Lardeau</t>
  </si>
  <si>
    <t>116.9675 W, 50.15417 N, Elev. 1097 m</t>
  </si>
  <si>
    <t>1995-11-03 to 2025-08-12</t>
  </si>
  <si>
    <t>LARDEAU</t>
  </si>
  <si>
    <t>Ridgetop above Hwy 3A, top of avalanche path1.3.</t>
  </si>
  <si>
    <t>Lardeau High</t>
  </si>
  <si>
    <t>117.08028 W, 50.24889 N, Elev. 2518 m</t>
  </si>
  <si>
    <t>LARDEAU HIGH</t>
  </si>
  <si>
    <t>Ridgetop, 650 m southwest of summit of Meadow Mountain</t>
  </si>
  <si>
    <t>Coffee Creek</t>
  </si>
  <si>
    <t>116.90722 W, 49.71444 N, Elev. 610 m</t>
  </si>
  <si>
    <t>1994-07-18 to 2025-08-12</t>
  </si>
  <si>
    <t>COFFEE CREEK</t>
  </si>
  <si>
    <t>E side of Hwy 31 1700m N of Coffee Cr bridge</t>
  </si>
  <si>
    <t>Summit Lake</t>
  </si>
  <si>
    <t>117.5925 W, 50.1475 N, Elev. 780 m</t>
  </si>
  <si>
    <t>2005-01-28 to 2025-08-12</t>
  </si>
  <si>
    <t>SUMMIT LAKE</t>
  </si>
  <si>
    <t>N side of Hwy 6, 4.5 Km S of Summit Lk Prov Park</t>
  </si>
  <si>
    <t>Canal Flats</t>
  </si>
  <si>
    <t>115.76111 W, 49.99444 N, Elev. 870 m</t>
  </si>
  <si>
    <t>1997-11-20 to 2025-08-12</t>
  </si>
  <si>
    <t>CANAL FLATS</t>
  </si>
  <si>
    <t>E side of Hwy 93, 10km N of Skookumchuck</t>
  </si>
  <si>
    <t>Moyie</t>
  </si>
  <si>
    <t>115.82889 W, 49.32611 N, Elev. 975 m</t>
  </si>
  <si>
    <t>2002-02-06 to 2025-08-12</t>
  </si>
  <si>
    <t>MOYIE</t>
  </si>
  <si>
    <t>W side of Hwy 3 approx 5 km north of Moyie at Jones Corner</t>
  </si>
  <si>
    <t>Kimberley</t>
  </si>
  <si>
    <t>115.96779 W, 49.66115 N, Elev. 1035 m</t>
  </si>
  <si>
    <t>KIMBERLEY</t>
  </si>
  <si>
    <t>E side of Hwy 95A, 3 km S of Kimberley city centre</t>
  </si>
  <si>
    <t>Irishman</t>
  </si>
  <si>
    <t>116.00877 W, 49.17203 N, Elev. 910 m</t>
  </si>
  <si>
    <t>IRISHMAN</t>
  </si>
  <si>
    <t>East side of Hwy 3, 21 km soutwest of Moyie</t>
  </si>
  <si>
    <t>Morrissey</t>
  </si>
  <si>
    <t>115.02306 W, 49.39 N, Elev. 960 m</t>
  </si>
  <si>
    <t>1998-01-20 to 2025-08-12</t>
  </si>
  <si>
    <t>MORRISSEY</t>
  </si>
  <si>
    <t xml:space="preserve"> W side of Hwy 3 approx 10 km south of Fernie at Morrissey Junction</t>
  </si>
  <si>
    <t>Morrissey High</t>
  </si>
  <si>
    <t>115.04689 W, 49.37254 N, Elev. null m -&gt; 115.04689 W, 49.37254 N, Elev. 1998 m</t>
  </si>
  <si>
    <t>Dew Point Temperature|Relative Humidity|Snow Depth|Snowfall|Temperature (Max.)|Temperature (Mean)|Temperature (Min.)</t>
  </si>
  <si>
    <t>MORRISSEY HIGH</t>
  </si>
  <si>
    <t>Ridgetop, 2.6 km southwest of Morrissey</t>
  </si>
  <si>
    <t>Line Creek</t>
  </si>
  <si>
    <t>114.8905 W, 49.88374 N, Elev. 1246 m -&gt; 114.89041 W, 49.44395 N, 1246 m</t>
  </si>
  <si>
    <t xml:space="preserve">49.88374 -&gt; 48.44395 </t>
  </si>
  <si>
    <t>-114.8905 -&gt; -114.89041</t>
  </si>
  <si>
    <t>LINE CREEK</t>
  </si>
  <si>
    <t>West side of Hwy 43 at Line Creek Mine Road</t>
  </si>
  <si>
    <t>Crowsnest</t>
  </si>
  <si>
    <t>114.71286 W, 49.65019 N, Elev. 1353 m</t>
  </si>
  <si>
    <t>CROWSNEST</t>
  </si>
  <si>
    <t>N side of Hwy 3, 2 km West of the Alberta Border</t>
  </si>
  <si>
    <t>-&gt;36195</t>
  </si>
  <si>
    <t>-&gt; Steamboat</t>
  </si>
  <si>
    <t>-&gt; 115.52456 W, 49.4744 N, Elev. 822 m</t>
  </si>
  <si>
    <t>Steamboat</t>
  </si>
  <si>
    <t>STEAMBOAT</t>
  </si>
  <si>
    <t>South side of Hwy 3, 200 m west of HaHa Creek Road</t>
  </si>
  <si>
    <t>Vermillion Pit</t>
  </si>
  <si>
    <t>116.17647 W, 50.73828 N, Elev. 870 m</t>
  </si>
  <si>
    <t>VERMILLION PIT</t>
  </si>
  <si>
    <t>E side of Hwy95 at Kindersley Cr approx 12 km N of Radium</t>
  </si>
  <si>
    <t>Nordic 2</t>
  </si>
  <si>
    <t>117.42179 W, 51.507 N, Elev. 1041 m</t>
  </si>
  <si>
    <t>2003-12-11 to 2025-08-12</t>
  </si>
  <si>
    <t>NORDIC 2</t>
  </si>
  <si>
    <t>S side of Hwy 1, 10.4km E of Glacier National Pk, East boundary</t>
  </si>
  <si>
    <t>Quartz Creek</t>
  </si>
  <si>
    <t>117.35992 W, 51.47846 N, Elev. 1065 m -&gt; 117.35812W, 51.47995N, Elev. 1068 m</t>
  </si>
  <si>
    <t>Air Pressure|Air Pressure (Point)|Dew Point Temperature|Dew Point Temperature (Mean)|Precipitation Amount|Relative Humidity|Relative Humidity (Mean)|Sea Level Pressure|Temperature (Max.)|Temperature (Mean)|Temperature (Min.)|Temperature (Point)|Wind Direction|Wind Direction (Mean)|Wind Direction (Std Dev)|Wind Gust|Wind Speed|Wind Speed (Mean)</t>
  </si>
  <si>
    <t>QUARTZ CREEK</t>
  </si>
  <si>
    <t>N side of Hwy 1 at east end of Quartz Creek bridge.</t>
  </si>
  <si>
    <t>Kicking Horse</t>
  </si>
  <si>
    <t>116.87847 W, 51.31514 N, Elev. 1844 m</t>
  </si>
  <si>
    <t>1989-11-08 to 2025-08-12</t>
  </si>
  <si>
    <t>Air Pressure|Air Pressure (Point)|Dew Point Temperature|Dew Point Temperature (Mean)|Precipitation (Cumulative)|Precipitation Amount|Precipitation Climatology|Relative Humidity|Relative Humidity (Mean)|Snow Depth|Snowfall|Snowfall Amount|Temperature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</si>
  <si>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KICKING HORSE</t>
  </si>
  <si>
    <t>Near mountain top, North side of Hwy 1, 7 km East of Golden.</t>
  </si>
  <si>
    <t>Kicking Horse Solar</t>
  </si>
  <si>
    <t>116.88467 W, 51.31056 N, Elev. 1440 m</t>
  </si>
  <si>
    <t>1995-11-01 to 2024-06-10</t>
  </si>
  <si>
    <t>Air Pressure|Dew Point Temperature|Dew Point Temperature (Mean)|Precipitation (Cumulative)|Precipitation Amount|Precipitation Climatology|Relative Humidity|Relative Humidity (Mean)|Snow Depth|Snowfall|Temperature (Max.)|Temperature (Mean)|Temperature (Min.)|Temperature (Point)|Temperature Climatology (Max.)|Temperature Climatology (Mean)|Temperature Climatology (Min.)|Wind Direction|Wind Direction (Mean)|Wind Direction (Std Dev)|Wind Gust|Wind Speed</t>
  </si>
  <si>
    <t>KICKING HORSE SOLAR</t>
  </si>
  <si>
    <t>Mid mountain, North side of Hwy 1, 7 km East of Golden.</t>
  </si>
  <si>
    <t>Black Wall</t>
  </si>
  <si>
    <t>116.88507 W, 51.30582 N, Elev. 1118 m</t>
  </si>
  <si>
    <t>2019-11-22 to 2024-09-25</t>
  </si>
  <si>
    <t>Air Pressure|Dew Point Temperature|Precipitation 24hr|Precipitation Amount|Relative Humidity|Snow Depth|Snowfall|Surface Snow Depth (Point)|Temperature (Max.)|Temperature (Mean)|Temperature (Min.)|Temperature (Point)|Wind Direction|Wind Gust|Wind Speed</t>
  </si>
  <si>
    <t>-&gt;37127</t>
  </si>
  <si>
    <t>Black Wall2</t>
  </si>
  <si>
    <t>-&gt; 116.89487 W, 51.30397 N, Elev. 1023 m</t>
  </si>
  <si>
    <t>BLACK WALL2</t>
  </si>
  <si>
    <t>North side of Hwy 1, 5 km east of Golden</t>
  </si>
  <si>
    <t>Top Of Ten Mile Raws</t>
  </si>
  <si>
    <t>116.76 W, 51.27278 N, Elev. 1100 m</t>
  </si>
  <si>
    <t>2000-01-27 to 2007-09-17</t>
  </si>
  <si>
    <t>Air Pressure (Point)|Dew Point Temperature (Mean)|Precipitation (Cumulative)|Precipitation Amount|Precipitation Climatology|Rainfall Amount|Relative Humidity (Mean)|Snowfall Amount|Surface Snow Depth (Point)|Temperature (Max.)|Temperature (Min.)|Temperature (Point)|Temperature Climatology (Max.)|Temperature Climatology (Mean)|Temperature Climatology (Min.)|Wind Direction (Mean)|Wind Direction (Point)|Wind Direction (Std Dev)|Wind Speed (Max.)|Wind Speed (Mean)|Wind Speed (Point)</t>
  </si>
  <si>
    <t>Top of Ten Mile 2</t>
  </si>
  <si>
    <t>116.76139 W, 51.27303 N, Elev. 1140 m -&gt; 116.76653 W, 51.27483 N, Elev. 1140 m</t>
  </si>
  <si>
    <t>2007-09-17 to 2025-08-12</t>
  </si>
  <si>
    <t>TOP OF TEN MILE 2</t>
  </si>
  <si>
    <t>N side of Hwy 1, 17km E of Golden</t>
  </si>
  <si>
    <t>Blaeberry</t>
  </si>
  <si>
    <t>117.06427 W, 51.4296 N, Elev. 798 m</t>
  </si>
  <si>
    <t>BLAEBERRY</t>
  </si>
  <si>
    <t xml:space="preserve">East side of Hwy 1, N end of Blaeberry River Bridge, 15 km N of Golden </t>
  </si>
  <si>
    <t>QUINN CREEK</t>
  </si>
  <si>
    <t>116.53516 W, 51.02732 N, Elev. null m -&gt; 116.53516 W, 51.02732 N, Elev. 797 m</t>
  </si>
  <si>
    <t>2021-07-29 to 2025-08-12</t>
  </si>
  <si>
    <t>Quinn Creek</t>
  </si>
  <si>
    <t>East side of Hwy 95, 8.6 km south of Parson</t>
  </si>
  <si>
    <t>Toby Creek</t>
  </si>
  <si>
    <t>116.252 W, 50.45472 N, Elev. 1130 m</t>
  </si>
  <si>
    <t>2002-01-16 to 2025-08-12</t>
  </si>
  <si>
    <t>Air Pressure|Air Pressure (Point)|Dew Point Temperature|Dew Point Temperature (Mean)|Precipitation 24hr|Precipitation Amount|Relative Humidity|Relative Humidity (Mean)|Sea Level Pressure|Snow Depth|Snowfall|Snowfall Amount|Surface Snow Depth (Point)|Temperature (Max.)|Temperature (Mean)|Temperature (Min.)|Temperature (Point)</t>
  </si>
  <si>
    <t>TOBY CREEK</t>
  </si>
  <si>
    <t>Toby Cr Rd, approx 1 km from Panorama bridge.</t>
  </si>
  <si>
    <t>Little Dragon</t>
  </si>
  <si>
    <t>116.32 W, 50.43361 N, Elev. 2380 m</t>
  </si>
  <si>
    <t>2010-08-31 to 2025-08-12</t>
  </si>
  <si>
    <t>Air Pressure|Air Pressure (Point)|Dew Point Temperature|Dew Point Temperature (Mean)|Precipitation (Cumulative)|Precipitation Amount|Relative Humidity|Relative Humidity (Mean)|Snow Depth|Snowfall|Snowfall Amount|Surface Snow Depth (Point)|Temperature (Max.)|Temperature (Mean)|Temperature (Min.)|Temperature (Point)|Wind Direction|Wind Direction (Mean)|Wind Direction (Point)|Wind Direction (Std Dev)|Wind Gust|Wind Speed|Wind Speed (Max.)|Wind Speed (Mean)|Wind Speed (Point)</t>
  </si>
  <si>
    <t>LITTLE DRAGON</t>
  </si>
  <si>
    <t>Ridgetop above Little Dragon avalanche path</t>
  </si>
  <si>
    <t>LITTLE DRAGON SNOW</t>
  </si>
  <si>
    <t>116.3196 W, 50.43048 N, Elev. null m -&gt; 116.3196 W, 50.43048 N, Elev. 2250 m</t>
  </si>
  <si>
    <t>Little Dragon Snow</t>
  </si>
  <si>
    <t>Treeline on ridge above the LIttle Dragon avalanche path</t>
  </si>
  <si>
    <t>Panorama</t>
  </si>
  <si>
    <t>116.23348 W, 50.46343 N, Elev. 1150 m</t>
  </si>
  <si>
    <t>Air Pressure|Air Pressure (Point)|Dew Point Temperature|Dew Point Temperature (Mean)|Precipitation 24hr|Precipitation Amount|Relative Humidity|Relative Humidity (Mean)|Sea Level Pressure|Snow Depth|Snowfall|Temperature (Max.)|Temperature (Mean)|Temperature (Min.)|Temperature (Point)</t>
  </si>
  <si>
    <t>PANORAMA</t>
  </si>
  <si>
    <t>South side of Toby Creek Road at Panorama Fire Hall</t>
  </si>
  <si>
    <t>Revelstoke Yard</t>
  </si>
  <si>
    <t>118.22872 W, 51.00006 N, Elev. 448 m</t>
  </si>
  <si>
    <t>Dew Point Temperature|Precipitation 24hr|Precipitation Amount|Relative Humidity|Snow Depth|Snowfall|Surface Snow Depth (Point)|Temperature (Max.)|Temperature (Mean)|Temperature (Min.)|Temperature (Point)</t>
  </si>
  <si>
    <t>REVELSTOKE YARD</t>
  </si>
  <si>
    <t>Revelstoke Maintenance Yard</t>
  </si>
  <si>
    <t>3 Valley Remote</t>
  </si>
  <si>
    <t>118.44503 W, 50.92666 N, Elev. 1165 m</t>
  </si>
  <si>
    <t>1986-01-02 to 2025-08-12</t>
  </si>
  <si>
    <t>Air Pressure|Air Pressure (Point)|Dew Point Temperature|Dew Point Temperature (Mean)|Precipitation (Cumulative)|Precipitation 24hr|Precipitation Amount|Precipitation Climatology|Relative Humidity|Relative Humidity (Mean)|Snow Depth|Snowfall|Snowfall Amount|Surface Snow Depth (Point)|Temperature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</si>
  <si>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3 VALLEY REMOTE</t>
  </si>
  <si>
    <t>Ridgetop South side of Hwy 1 above avalanche path 19.1.</t>
  </si>
  <si>
    <t>Clanwilliam</t>
  </si>
  <si>
    <t>118.37777 W, 50.96248 N, Elev. 610 m</t>
  </si>
  <si>
    <t>1999-11-24 to 2025-08-07</t>
  </si>
  <si>
    <t>CLANWILLIAM</t>
  </si>
  <si>
    <t>S side of Hwy 1, 14 km W of Revelstoke</t>
  </si>
  <si>
    <t>Corbin Pass Low</t>
  </si>
  <si>
    <t>117.77111 W, 51.19333 N, Elev. 1615 m</t>
  </si>
  <si>
    <t>CORBIN PASS LOW</t>
  </si>
  <si>
    <t>Mid mountain North side of Hwy 1, 43 km NE of Revelstoke</t>
  </si>
  <si>
    <t>Corbin Pass High</t>
  </si>
  <si>
    <t>117.77778 W, 51.20083 N, Elev. 2135 m</t>
  </si>
  <si>
    <t>1990-07-10 to 2025-08-12</t>
  </si>
  <si>
    <t>Air Pressure|Air Pressure (Point)|Dew Point Temperature|Dew Point Temperature (Mean)|Precipitation (Cumulative)|Precipitation Amount|Rainfall Amount|Relative Humidity|Relative Humidity (Mean)|Snow Depth|Snowfall|Snowfall Amount|Surface Snow Depth (Point)|Temperature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</si>
  <si>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CORBIN PASS HIGH</t>
  </si>
  <si>
    <t xml:space="preserve">Ridgetop North side of Hwy 1 above avalanche path 46.4 Helen's, 43 km NE of Revelstoke </t>
  </si>
  <si>
    <t>Albert Canyon</t>
  </si>
  <si>
    <t>117.76453 W, 51.17986 N, Elev. 870 m -&gt; 117.75615 N, 51.18808 N, Elev. 999 m</t>
  </si>
  <si>
    <t>1999-08-31 to 2025-08-12</t>
  </si>
  <si>
    <t>ALBERT CANYON</t>
  </si>
  <si>
    <t>N side of Hwy1, at NE end of Albert Canyon brake check, 42km NE of Revelstoke</t>
  </si>
  <si>
    <t>Laurie</t>
  </si>
  <si>
    <t>117.71083 W, 51.18992 N, Elev. 2260 m</t>
  </si>
  <si>
    <t>2008-09-11 to 2025-08-12</t>
  </si>
  <si>
    <t>Air Pressure|Dew Point Temperature|Dew Point Temperature (Mean)|Precipitation Amount|Relative Humidity|Relative Humidity (Mean)|Snow Depth|Snowfall|Temperature (Max.)|Temperature (Mean)|Temperature (Min.)|Temperature (Point)|Wind Direction|Wind Direction (Mean)|Wind Direction (Point)|Wind Direction (Std Dev)|Wind Gust|Wind Speed|Wind Speed (Max.)|Wind Speed (Mean)|Wind Speed (Point)</t>
  </si>
  <si>
    <t>LAURIE</t>
  </si>
  <si>
    <t>Ridgetop  west start zone path 49.7, S side of Hwy 1 at Glacier Nat'l Park boundary</t>
  </si>
  <si>
    <t>Caribou Ridge</t>
  </si>
  <si>
    <t>118.46167 W, 51.51833 N, Elev. 1740 m</t>
  </si>
  <si>
    <t>1988-04-06 to 2025-08-12</t>
  </si>
  <si>
    <t>Air Pressure|Dew Point Temperature|Dew Point Temperature (Mean)|Precipitation (Cumulative)|Precipitation 24hr|Precipitation Amount|Precipitation Climatology|Relative Humidity|Relative Humidity (Mean)|Snow Depth|Snowfall|Snowfall Amount|Surface Snow Depth (Point)|Temperature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</si>
  <si>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CARIBOU RIDGE</t>
  </si>
  <si>
    <t>On ridge East side of Hwy 23N, 65 km North of Revelstoke.</t>
  </si>
  <si>
    <t>50 Mile</t>
  </si>
  <si>
    <t>118.60111 W, 51.59917 N, Elev. 650 m</t>
  </si>
  <si>
    <t>2003-11-13 to 2025-08-12</t>
  </si>
  <si>
    <t>50 MILE</t>
  </si>
  <si>
    <t>W side of Hwy 23N, N of Downie Loop</t>
  </si>
  <si>
    <t>Fred Laing Ridge</t>
  </si>
  <si>
    <t>118.57083 W, 52.04028 N, Elev. 1080 m</t>
  </si>
  <si>
    <t>1989-12-15 to 2024-09-25</t>
  </si>
  <si>
    <t>Air Pressure|Air Pressure (Point)|Dew Point Temperature|Dew Point Temperature (Mean)|Precipitation (Cumulative)|Precipitation Amount|Precipitation Climatology|Relative Humidity|Relative Humidity (Mean)|Snow Depth|Snowfall|Snowfall Amount|Surface Snow Depth (Point)|Temperature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</si>
  <si>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FRED LAING RIDGE</t>
  </si>
  <si>
    <t>Mid mountain, East side of Hwy 23N, 3.5 km North of Mica Creek.</t>
  </si>
  <si>
    <t>Mica</t>
  </si>
  <si>
    <t>118.56222 W, 51.95778 N, Elev. 565 m</t>
  </si>
  <si>
    <t>2000-01-20 to 2025-08-12</t>
  </si>
  <si>
    <t>MICA</t>
  </si>
  <si>
    <t>W side of Hwy 23N, 5.5km S of Mica Creek village</t>
  </si>
  <si>
    <t>Fred Laing Lower</t>
  </si>
  <si>
    <t>118.58543 W, 52.05307 N, Elev. 570 m</t>
  </si>
  <si>
    <t>Air Pressure|Dew Point Temperature|Precipitation 24hr|Precipitation Amount|Relative Humidity|Snow Depth|Snowfall|Temperature (Max.)|Temperature (Mean)|Temperature (Min.)|Temperature (Point)|Wind Direction|Wind Gust|Wind Speed</t>
  </si>
  <si>
    <t>FRED LAING LOWER</t>
  </si>
  <si>
    <t>E side of Hwy 23N, south end of Mica Village</t>
  </si>
  <si>
    <t>Galena Pass</t>
  </si>
  <si>
    <t>117.755 W, 50.70806 N, Elev. 1570 m</t>
  </si>
  <si>
    <t>1987-03-02 to 2025-08-12</t>
  </si>
  <si>
    <t>GALENA PASS</t>
  </si>
  <si>
    <t>Ridge top, North side of Hwy 31, 15 km Northeast of Galena Bay ferry landing.</t>
  </si>
  <si>
    <t>-&gt; 24094</t>
  </si>
  <si>
    <t>-&gt; Racetrack</t>
  </si>
  <si>
    <t>-&gt; 120.60468 N, 49.6725 N, Elev. 877 m</t>
  </si>
  <si>
    <t>Racetrack</t>
  </si>
  <si>
    <t>RACETRACK</t>
  </si>
  <si>
    <t>East side of Hwy 5N, 1 km south of Allison Lake</t>
  </si>
  <si>
    <t>BLANKET</t>
  </si>
  <si>
    <t>118.06795 W, 50.80856 N, Elev. null m -&gt; 118.06795 W, 50.80856 N, Elev. 700 m</t>
  </si>
  <si>
    <t>Blanket</t>
  </si>
  <si>
    <t>East side of Hwy 23S, 3.2 km south of Blanket Creek</t>
  </si>
  <si>
    <t>-&gt;38495</t>
  </si>
  <si>
    <t>-&gt; Galena Road</t>
  </si>
  <si>
    <t>-&gt; 117.74273 W, 50.70195 N, Elev. 884 m</t>
  </si>
  <si>
    <t>Galena Road</t>
  </si>
  <si>
    <t>GALENA ROAD</t>
  </si>
  <si>
    <t>South side of Hwy 31 in Galena Pass</t>
  </si>
  <si>
    <t>Kootenay Pass</t>
  </si>
  <si>
    <t>117.04 W, 49.05806 N, Elev. 1780 m</t>
  </si>
  <si>
    <t>1996-10-21 to 2025-08-12</t>
  </si>
  <si>
    <t>Air Pressure|Air Pressure (Point)|Dew Point Temperature|Dew Point Temperature (Mean)|Precipitation (Cumulative)|Precipitation 24hr|Precipitation Amount|Precipitation Climatology|Relative Humidity|Relative Humidity (Mean)|Sea Level Pressure|Snow Depth|Snowfall|Snowfall Amount|Surface Snow Depth (Point)|Temperature (Max.)|Temperature (Mean)|Temperature (Min.)|Temperature (Point)|Temperature Climatology (Max.)|Temperature Climatology (Mean)|Temperature Climatology (Min.)|Wind Direction|Wind Direction (Mean)|Wind Direction (Std Dev)|Wind Gust|Wind Speed|Wind Speed (Max.)|Wind Speed (Mean)</t>
  </si>
  <si>
    <t>KOOTENAY PASS</t>
  </si>
  <si>
    <t>South side of Hwy 3 at Kootenay Pass Maintenance Yard</t>
  </si>
  <si>
    <t>Stagleap</t>
  </si>
  <si>
    <t>117.08389 W, 49.07161 N, Elev. 2140 m</t>
  </si>
  <si>
    <t>1977-02-03 to 2025-08-12</t>
  </si>
  <si>
    <t>Air Pressure (Point)|Dew Point Temperature|Dew Point Temperature (Mean)|Precipitation (Cumulative)|Precipitation Amount|Relative Humidity|Relative Humidity (Mean)|Snowfall Amount|Surface Snow Depth (Point)|Temperature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</si>
  <si>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STAGLEAP</t>
  </si>
  <si>
    <t>Stagleap Peak, North side of Hwy 3, West of Kootenay Pass summit.</t>
  </si>
  <si>
    <t>Crags Ridge</t>
  </si>
  <si>
    <t>117.00218 W, 49.07644 N, Elev. 2054 m</t>
  </si>
  <si>
    <t>CRAGS RIDGE</t>
  </si>
  <si>
    <t>Ridgetop, 2.3 km north of The Crags peak</t>
  </si>
  <si>
    <t>Northfork</t>
  </si>
  <si>
    <t>117.03222 W, 49.08278 N, Elev. 1965 m</t>
  </si>
  <si>
    <t>1989-12-07 to 2000-04-01</t>
  </si>
  <si>
    <t>Precipitation (Cumulative)|Precipitation Amount|Precipitation Climatology|Relative Humidity (Mean)|Temperature (Max.)|Temperature (Min.)|Temperature (Point)|Temperature Climatology (Max.)|Temperature Climatology (Mean)|Temperature Climatology (Min.)|Wind Direction (Mean)|Wind Direction (Std Dev)|Wind Speed (Max.)|Wind Speed (Mean)</t>
  </si>
  <si>
    <t>GOATFELL</t>
  </si>
  <si>
    <t>116.16947 W, 49.10933 N, Elev. null m -&gt; 116.16947 W, 49.10933 N, Elev. 893 m</t>
  </si>
  <si>
    <t>Goatfell</t>
  </si>
  <si>
    <t>South side of Hwy 3, 4.9 km east of Curzon Jct.</t>
  </si>
  <si>
    <t>West Twin Creek</t>
  </si>
  <si>
    <t>120.515 W, 53.44014 N, Elev. 850 m -&gt; 120.50709 W, 53.43988 N, Elev. 895 m</t>
  </si>
  <si>
    <t>2001-10-04 to 2025-08-12</t>
  </si>
  <si>
    <t>WEST TWIN CREEK</t>
  </si>
  <si>
    <t>N side of Hwy 16 at West end of West Twin Creek Bridge</t>
  </si>
  <si>
    <t>Link Creek</t>
  </si>
  <si>
    <t>122.65694 W, 55.50111 N, Elev. 730 m</t>
  </si>
  <si>
    <t>2002-10-25 to 2025-08-12</t>
  </si>
  <si>
    <t>SUB-BOREAL INTERIOR</t>
  </si>
  <si>
    <t>LINK CREEK</t>
  </si>
  <si>
    <t>S side of Hwy 97, W of Link Cr bridge, 90km W of Chetwynd</t>
  </si>
  <si>
    <t>Whiskers Point</t>
  </si>
  <si>
    <t>122.9275 W, 54.90389 N, Elev. 710 m</t>
  </si>
  <si>
    <t>2002-10-25 to 2025-08-09</t>
  </si>
  <si>
    <t>WHISKERS POINT</t>
  </si>
  <si>
    <t>W side of Hwy 97, 0.5km S of Provincial Park entrance</t>
  </si>
  <si>
    <t>Tamarack</t>
  </si>
  <si>
    <t>123.13222 W, 53.83139 N, Elev. 715 m</t>
  </si>
  <si>
    <t>2003-11-03 to 2025-08-12</t>
  </si>
  <si>
    <t>Tamarac</t>
  </si>
  <si>
    <t>TAMARAC</t>
  </si>
  <si>
    <t>N side of Hwy 16, approx 30km W of Prince George</t>
  </si>
  <si>
    <t>Slim Creek</t>
  </si>
  <si>
    <t>121.13636 W, 53.72531 N, Elev. 726 m</t>
  </si>
  <si>
    <t>North side of Hwy 16, 400 m east of Slim Creek Rest Area</t>
  </si>
  <si>
    <t>Dragon Lake</t>
  </si>
  <si>
    <t>122.43881 W, 52.93078 N, Elev. 659 m</t>
  </si>
  <si>
    <t>2003-11-05 to 2025-08-12</t>
  </si>
  <si>
    <t>DRAGON LAKE</t>
  </si>
  <si>
    <t>E side of Hwy 97 10.5km South of Quesnel</t>
  </si>
  <si>
    <t>Hush Lake</t>
  </si>
  <si>
    <t>122.36442 W, 53.158 N, Elev. 855 m</t>
  </si>
  <si>
    <t>HUSH LAKE</t>
  </si>
  <si>
    <t>East side of Hwy 97, 400 m North of Hush Lake Park</t>
  </si>
  <si>
    <t>Sliding Mountain</t>
  </si>
  <si>
    <t>121.47889 W, 53.15667 N, Elev. 1675 m</t>
  </si>
  <si>
    <t>1996-10-03 to 2025-08-12</t>
  </si>
  <si>
    <t>Air Pressure (Point)|Dew Point Temperature|Dew Point Temperature (Mean)|Precipitation (Cumulative)|Precipitation Amount|Precipitation Climatology|Relative Humidity|Relative Humidity (Mean)|Snow Depth|Snowfall|Snowfall Amount|Surface Snow Depth (Point)|Temperature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</si>
  <si>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SLIDING MOUNTAIN</t>
  </si>
  <si>
    <t>Sliding Mountain southeast side of Bowron Lake Rd, 12 km Northeast of Junction of Hwy 26.</t>
  </si>
  <si>
    <t>Sliding Mountain Precip</t>
  </si>
  <si>
    <t>123.700556 W, 48.516111 N, Elev. 180 m -&gt; 121.50459W, 53.15434 N, Elev. 1199 m</t>
  </si>
  <si>
    <t>SLIDING MOUNTAIN PRECIP</t>
  </si>
  <si>
    <t>South side of Bowron Lake Park Road, 10 km northeast of Barkerville</t>
  </si>
  <si>
    <t>Braden Road</t>
  </si>
  <si>
    <t>120.76256 W, 55.7815 N, Elev. 760 m</t>
  </si>
  <si>
    <t>2002-10-31 to 2025-08-12</t>
  </si>
  <si>
    <t>BRADEN ROAD</t>
  </si>
  <si>
    <t>N side of Hwy 97 W of Dawson Creek near Braden Rd</t>
  </si>
  <si>
    <t>Tupper</t>
  </si>
  <si>
    <t>120.03095 W, 55.48519 N, Elev. 755 m -&gt; 120.03231 W, 55.4858 N, Elev. 755 m</t>
  </si>
  <si>
    <t>South side of Hwy 2, East of the Hwy 52 Junction</t>
  </si>
  <si>
    <t>Solitude High Raws</t>
  </si>
  <si>
    <t>122.6 W, 55.48611 N, Elev. 1555 m</t>
  </si>
  <si>
    <t>1989-11-27 to 1992-04-21</t>
  </si>
  <si>
    <t>Precipitation Amount|Relative Humidity (Mean)|Temperature (Max.)|Temperature (Min.)|Temperature (Point)|Wind Direction (Mean)|Wind Direction (Std Dev)|Wind Speed (Max.)|Wind Speed (Mean)</t>
  </si>
  <si>
    <t>Solitude Low Raws</t>
  </si>
  <si>
    <t>122.58889 W, 55.49444 N, Elev. 1060 m</t>
  </si>
  <si>
    <t>1989-11-02 to 1992-04-21</t>
  </si>
  <si>
    <t>Precipitation (Cumulative)|Precipitation Amount|Relative Humidity (Mean)|Temperature (Max.)|Temperature (Min.)|Temperature (Point)|Wind Direction (Mean)|Wind Direction (Std Dev)</t>
  </si>
  <si>
    <t>73 Mile</t>
  </si>
  <si>
    <t>121.25264 W, 56.54194 N, Elev. 850 m -&gt; 121.25264 W, 56.54111 N, Elev. 850 m</t>
  </si>
  <si>
    <t>2002-11-04 to 2025-08-12</t>
  </si>
  <si>
    <t>73 MILE</t>
  </si>
  <si>
    <t>W side of Hwy 97 at 73Mile, junction of Beatton River Airport Rd</t>
  </si>
  <si>
    <t>South Taylor Hill</t>
  </si>
  <si>
    <t>120.64055 W, 56.07938 N, Elev. 750 m</t>
  </si>
  <si>
    <t>West side of Hwy 97 at the South Taylor Hill chainoff area</t>
  </si>
  <si>
    <t>Powell Road</t>
  </si>
  <si>
    <t>121.88913 W, 56.04469 N, Elev. 527 m</t>
  </si>
  <si>
    <t>South side of Hwy 29 at Powell Road</t>
  </si>
  <si>
    <t>Fort Fraser Hills</t>
  </si>
  <si>
    <t>124.4777 W, 54.05579 N, Elev. 800 m</t>
  </si>
  <si>
    <t>FORT FRASER HILLS</t>
  </si>
  <si>
    <t>South side of Hwy 16, 5 km east of Fort Fraser</t>
  </si>
  <si>
    <t>Spencer Pit</t>
  </si>
  <si>
    <t>124.27644 W, 54.3456 N, Elev. 727 m</t>
  </si>
  <si>
    <t>Northeast side of Hwy 27 at Spencer Pit</t>
  </si>
  <si>
    <t>Chappel Creek</t>
  </si>
  <si>
    <t>119.18008 W, 52.38556 N, Elev. 786 m</t>
  </si>
  <si>
    <t>2000-10-12 to 2025-08-12</t>
  </si>
  <si>
    <t>CHAPPEL CREEK</t>
  </si>
  <si>
    <t>E side of Hwy 5, 300m N of Chappel Cr bridge (~33km N of Blue River)</t>
  </si>
  <si>
    <t>Red Pass High Raws</t>
  </si>
  <si>
    <t>119.16806 W, 53.05556 N, Elev. 2100 m</t>
  </si>
  <si>
    <t>1990-10-28 to 2001-01-01</t>
  </si>
  <si>
    <t>Red Pass Low Raws</t>
  </si>
  <si>
    <t>119.15139 W, 53.04722 N, Elev. 1950 m</t>
  </si>
  <si>
    <t>1990-08-12 to 1994-10-16</t>
  </si>
  <si>
    <t>Air Pressure (Point)|Precipitation (Cumulative)|Precipitation Amount|Relative Humidity (Mean)|Snowfall Amount|Surface Snow Depth (Point)|Temperature (Max.)|Temperature (Min.)|Temperature (Point)|Wind Direction (Mean)|Wind Direction (Std Dev)|Wind Speed (Max.)|Wind Speed (Mean)</t>
  </si>
  <si>
    <t>Robson Roadside</t>
  </si>
  <si>
    <t>119.2003 W, 53.03303 N, Elev. 944 m</t>
  </si>
  <si>
    <t>1994-10-18 to 2025-08-12</t>
  </si>
  <si>
    <t>ROBSON ROADSIDE</t>
  </si>
  <si>
    <t>N side of Hwy 16 in Red Pass, 600m E of Overlander Rest Area</t>
  </si>
  <si>
    <t>Yellowhead</t>
  </si>
  <si>
    <t>118.46087 W, 52.88428 N, Elev. 1145 m</t>
  </si>
  <si>
    <t>2019-11-22 to 2025-05-03</t>
  </si>
  <si>
    <t>Air Pressure|Dew Point Temperature|Dew Point Temperature (Mean)|Precipitation 24hr|Precipitation Amount|Relative Humidity|Relative Humidity (Mean)|Snow Depth|Snowfall|Temperature (Max.)|Temperature (Mean)|Temperature (Min.)|Temperature (Point)|Wind Direction|Wind Direction (Mean)|Wind Direction (Std Dev)|Wind Gust|Wind Speed|Wind Speed (Mean)</t>
  </si>
  <si>
    <t>YELLOWHEAD</t>
  </si>
  <si>
    <t>N side of Hwy 16, 1 km W of Alberta Border.</t>
  </si>
  <si>
    <t>Lee's Hill</t>
  </si>
  <si>
    <t>122.98586 W, 51.93747 N, Elev. 1090 m</t>
  </si>
  <si>
    <t>1997-11-14 to 2025-08-12</t>
  </si>
  <si>
    <t>LEE'S HILL</t>
  </si>
  <si>
    <t>N side of Hwy 20 approx 50km W of Williams Lake</t>
  </si>
  <si>
    <t>Enterprise</t>
  </si>
  <si>
    <t>121.79278 W, 51.96139 N, Elev. 730 m -&gt; 121.79314 W, 51.96181 N, Elev. 730 m</t>
  </si>
  <si>
    <t>2003-11-04 to 2025-08-12</t>
  </si>
  <si>
    <t>ENTERPRISE</t>
  </si>
  <si>
    <t>W side of Hwy 97, 37km S of Williams Lake</t>
  </si>
  <si>
    <t>-&gt; Bull Mountain Road</t>
  </si>
  <si>
    <t>122.11796 W, 52.24473 N, Elev. null m -&gt; 122.11796 W, 52.24473 N, Elev. 799 m</t>
  </si>
  <si>
    <t>Bull Mountain Road</t>
  </si>
  <si>
    <t>BULL MOUNTAIN ROAD</t>
  </si>
  <si>
    <t>East side of Hwy 97, 200m south of Bull Mountain Road</t>
  </si>
  <si>
    <t>Bella Coola</t>
  </si>
  <si>
    <t>126.77178 W, 52.35569 N, Elev. 1160 m</t>
  </si>
  <si>
    <t>2011-04-01 to 2025-08-12</t>
  </si>
  <si>
    <t>Air Pressure|Dew Point Temperature|Precipitation Amount|Snow Depth|Snowfall|Surface Snow Depth (Point)|Temperature (Max.)|Temperature (Mean)|Temperature (Min.)|Temperature (Point)</t>
  </si>
  <si>
    <t xml:space="preserve">Bella Coola </t>
  </si>
  <si>
    <t xml:space="preserve">BELLA COOLA </t>
  </si>
  <si>
    <t>Flat spot on Northeast ridge of Boathouse Hill, East side of avalanche path 1.7 Boathouse Hill 0.</t>
  </si>
  <si>
    <t>Heckman Pass</t>
  </si>
  <si>
    <t>125.87449 W, 52.4347 N, Elev. 975 m</t>
  </si>
  <si>
    <t>1994-08-02 to 2025-08-12</t>
  </si>
  <si>
    <t>Air Pressure (Point)|Dew Point Temperature|Dew Point Temperature (Mean)|Precipitation (Cumulative)|Precipitation 24hr|Precipitation Amount|Precipitation Climatology|Relative Humidity|Relative Humidity (Mean)|Snow Depth|Snowfall|Snowfall Amount|Surface Snow Depth (Point)|Temperature (Max.)|Temperature (Mean)|Temperature (Min.)|Temperature (Point)|Temperature Climatology (Max.)|Temperature Climatology (Mean)|Temperature Climatology (Min.)|Wind Direction (Mean)|Wind Direction (Std Dev)|Wind Speed (Max.)</t>
  </si>
  <si>
    <t>HECKMAN PASS</t>
  </si>
  <si>
    <t>North side of Hwy 20 in Heckman Pass, 50 km West of Anahim</t>
  </si>
  <si>
    <t>Bella Coola Precip</t>
  </si>
  <si>
    <t>126.75435 W, 52.37055 N, Elev. 20 m</t>
  </si>
  <si>
    <t>Air Pressure|Dew Point Temperature|Dew Point Temperature (Mean)|Precipitation 24hr|Precipitation Amount|Relative Humidity|Relative Humidity (Mean)|Snow Depth|Snowfall|Surface Snow Depth (Point)|Temperature (Max.)|Temperature (Mean)|Temperature (Min.)|Temperature (Point)|Wind Direction|Wind Gust|Wind Speed</t>
  </si>
  <si>
    <t>BELLA COOLA PRECIP</t>
  </si>
  <si>
    <t>Near RCMP detachment, Bella Coola</t>
  </si>
  <si>
    <t>Junction Meadows Raws</t>
  </si>
  <si>
    <t>129.6675 W, 56.11833 N, Elev. 1290 m</t>
  </si>
  <si>
    <t>1986-11-26 to 2001-01-01</t>
  </si>
  <si>
    <t>Yvonne Peak Raws</t>
  </si>
  <si>
    <t>129.65528 W, 56.12861 N, Elev. 2105 m</t>
  </si>
  <si>
    <t>1986-11-26 to 1995-11-15</t>
  </si>
  <si>
    <t>Windy Point Lower</t>
  </si>
  <si>
    <t>129.51522 W, 56.11017 N, Elev. 1035 m</t>
  </si>
  <si>
    <t>1986-11-25 to 2020-01-13</t>
  </si>
  <si>
    <t>Windy Point Upper</t>
  </si>
  <si>
    <t>129.52642 W, 56.11714 N, Elev. 1490 m -&gt; 129.52642 W, 56.12 N, Elev. 1490 m</t>
  </si>
  <si>
    <t>1986-11-25 to 2025-08-12</t>
  </si>
  <si>
    <t>WINDY POINT UPPER</t>
  </si>
  <si>
    <t>Ridgeline, above Misty avalanche path 40.9, 16 km West of Meziadin Junction.</t>
  </si>
  <si>
    <t>Disraeli</t>
  </si>
  <si>
    <t>129.75167 W, 56.09972 N, Elev. 2000 m</t>
  </si>
  <si>
    <t>1991-10-20 to 2025-08-12</t>
  </si>
  <si>
    <t>DISRAELI</t>
  </si>
  <si>
    <t>Ridgetop above South side of Hwy 37A, 5.5 km West of toe of Bear Glacier.</t>
  </si>
  <si>
    <t>Endgoal</t>
  </si>
  <si>
    <t>129.51206 W, 56.09956 N, Elev. 370 m -&gt; 129.51218 W,  56.09987 N, Elev. 370</t>
  </si>
  <si>
    <t>1995-10-27 to 2025-08-12</t>
  </si>
  <si>
    <t>Air Pressure|Air Pressure (Point)|Dew Point Temperature|Dew Point Temperature (Mean)|Precipitation (Cumulative)|Precipitation 24hr|Precipitation Amount|Relative Humidity|Relative Humidity (Mean)|Sea Level Pressure|Snow Depth|Snowfall|Snowfall Amount|Surface Snow Depth (Point)|Temperature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</si>
  <si>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ENDGOAL</t>
  </si>
  <si>
    <t>South side of Hwy 37A, 15.5 km West of Meziadin Jct</t>
  </si>
  <si>
    <t>Summit Sluff Wind</t>
  </si>
  <si>
    <t>129.65389 W, 56.10631 N, Elev. 540 m</t>
  </si>
  <si>
    <t>SUMMIT SLUFF WIND</t>
  </si>
  <si>
    <t>Mid mountain, North side of Hwy 37A, 1 km East of toe of Bear Glacier.</t>
  </si>
  <si>
    <t>Kettle Hole</t>
  </si>
  <si>
    <t>129.63297 W, 56.10347 N, Elev. 440 m</t>
  </si>
  <si>
    <t>1996-04-05 to 2025-08-12</t>
  </si>
  <si>
    <t>KETTLE HOLE</t>
  </si>
  <si>
    <t>South side of Hwy 37A, 2.4 km East of toe of Bear Glacier.</t>
  </si>
  <si>
    <t>Stewart</t>
  </si>
  <si>
    <t>129.98264 W, 55.94808 N, Elev. 15 m</t>
  </si>
  <si>
    <t>2004-10-27 to 2025-08-12</t>
  </si>
  <si>
    <t>Air Pressure|Air Pressure (Point)|Dew Point Temperature|Dew Point Temperature (Mean)|Precipitation (Cumulative)|Precipitation 24hr|Precipitation Amount|Relative Humidity|Relative Humidity (Mean)|Sea Level Pressure|Snow Depth|Snowfall|Snowfall Amount|Surface Snow Depth (Point)|Temperature (Max.)|Temperature (Mean)|Temperature (Min.)|Temperature (Point)|Wind Direction|Wind Direction (Mean)|Wind Direction (Point)|Wind Direction (Std Dev)|Wind Gust|Wind Speed|Wind Speed (Max.)|Wind Speed (Mean)|Wind Speed (Point)</t>
  </si>
  <si>
    <t>STEWART</t>
  </si>
  <si>
    <t>Stewart Maintenance Yard</t>
  </si>
  <si>
    <t>Bear River Ridge</t>
  </si>
  <si>
    <t>129.94594 W, 56.08875 N, Elev. 1995 m</t>
  </si>
  <si>
    <t>2010-11-11 to 2013-05-27</t>
  </si>
  <si>
    <t>Precipitation Amount|Temperature (Max.)|Temperature (Min.)|Temperature (Point)|Wind Direction (Mean)|Wind Direction (Point)|Wind Direction (Std Dev)|Wind Speed (Max.)|Wind Speed (Mean)|Wind Speed (Point)</t>
  </si>
  <si>
    <t>Windy Point Lower Snow</t>
  </si>
  <si>
    <t>129.51527 W, 56.11024 N, Elev. 1028 m</t>
  </si>
  <si>
    <t>Air Pressure|Dew Point Temperature|Precipitation Amount|Relative Humidity|Snow Depth|Snowfall|Temperature (Max.)|Temperature (Mean)|Temperature (Min.)|Wind Direction|Wind Gust|Wind Speed</t>
  </si>
  <si>
    <t>WINDY POINT LOWER SNOW</t>
  </si>
  <si>
    <t>Just below treeline at Windy Point, North side of Hwy 37A, 16 km West of Meziadin Junction. (100 m N of old Windy Low station)</t>
  </si>
  <si>
    <t>Cranberry Junction</t>
  </si>
  <si>
    <t>128.67278 W, 55.63222 N, Elev. 356 m</t>
  </si>
  <si>
    <t>2001-02-12 to 2025-08-12</t>
  </si>
  <si>
    <t>CRANBERRY JUNCTION</t>
  </si>
  <si>
    <t>E side of Hwy 37N,  85.5 km North of Kitwanga</t>
  </si>
  <si>
    <t>-&gt; Gitanyow</t>
  </si>
  <si>
    <t>128.05074 W, 55.24679 N, Elev. null m -&gt; 128.05074 W, 55.24679 N, Elev. 320 m</t>
  </si>
  <si>
    <t>Gitanyow</t>
  </si>
  <si>
    <t>GITANYOW</t>
  </si>
  <si>
    <t>East side of Hwy 37N, 21 km north of Hwy 16 junction</t>
  </si>
  <si>
    <t>Legate Creek</t>
  </si>
  <si>
    <t>128.26111 W, 54.74639 N, Elev. 130 m</t>
  </si>
  <si>
    <t>1998-10-20 to 2025-08-12</t>
  </si>
  <si>
    <t>LEGATE CREEK</t>
  </si>
  <si>
    <t>N side of Hwy 16 approx. 40 km east of Terrace</t>
  </si>
  <si>
    <t>Rosswood</t>
  </si>
  <si>
    <t>128.89361 W, 54.93722 N, Elev. 280 m</t>
  </si>
  <si>
    <t>2000-10-22 to 2025-08-12</t>
  </si>
  <si>
    <t>ROSSWOOD</t>
  </si>
  <si>
    <t>E side of Nisga'a Hwy, N of Rosswood village</t>
  </si>
  <si>
    <t>Onion Lake</t>
  </si>
  <si>
    <t>128.53778 W, 54.30222 N, Elev. 220 m</t>
  </si>
  <si>
    <t>2000-10-20 to 2025-08-12</t>
  </si>
  <si>
    <t>ONION LAKE</t>
  </si>
  <si>
    <t>W side of Hwy 37S at Onion Lk X-C ski trails</t>
  </si>
  <si>
    <t>Kasiks High</t>
  </si>
  <si>
    <t>129.44333 W, 54.30161 N, Elev. 1435 m</t>
  </si>
  <si>
    <t>1975-01-03 to 2025-08-12</t>
  </si>
  <si>
    <t>KASIKS HIGH</t>
  </si>
  <si>
    <t>Summit of Kasiks Mtn., North side of Hwy 16, 62 km West of Terrace</t>
  </si>
  <si>
    <t>Kasiks Low</t>
  </si>
  <si>
    <t>129.41833 W, 54.30361 N, Elev. 732 m -&gt; 129.41833 W, 54.30361 N, Elev. 730 m</t>
  </si>
  <si>
    <t>1989-10-16 to 2025-08-12</t>
  </si>
  <si>
    <t>KASIKS LOW</t>
  </si>
  <si>
    <t>Mid mountain, East shoulder of Kasiks Mountain.</t>
  </si>
  <si>
    <t>Salvus</t>
  </si>
  <si>
    <t>129.35361 W, 54.31444 N, Elev. 10 m -&gt; 129.35075 W, 54.31355 N, Elev. 12 m</t>
  </si>
  <si>
    <t>1994-05-30 to 2025-08-12</t>
  </si>
  <si>
    <t>SALVUS</t>
  </si>
  <si>
    <t>N side of Hwy 16 at Salvus Camp, approx 60km W of Terrace</t>
  </si>
  <si>
    <t>Rainbow Summit</t>
  </si>
  <si>
    <t xml:space="preserve">130.07806 W, 54.22944 N, Elev. 110 m -&gt; 130.07806 W, 54.22944 N, Elev. 115 m </t>
  </si>
  <si>
    <t>1997-10-09 to 2011-04-06</t>
  </si>
  <si>
    <t>Rainbow East</t>
  </si>
  <si>
    <t>129.98169 W, 54.20842 N, Elev. 12 m</t>
  </si>
  <si>
    <t>RAINBOW EAST</t>
  </si>
  <si>
    <t>Entrance to Green River Pit, South side of Hwy 16 East of Rainbow Summit</t>
  </si>
  <si>
    <t>Shames</t>
  </si>
  <si>
    <t>128.95586 W, 54.48497 N, Elev. 740 m -&gt; 128.95367 W, 54.48671 N, Elev. 742 m</t>
  </si>
  <si>
    <t>2010-08-25 to 2025-08-12</t>
  </si>
  <si>
    <t>Air Pressure|Dew Point Temperature|Precipitation (Cumulative)|Precipitation 24hr|Precipitation Amount|Relative Humidity|Snow Depth|Snowfall|Snowfall Amount|Surface Snow Depth (Point)|Temperature (Max.)|Temperature (Mean)|Temperature (Min.)|Temperature (Point)|Wind Direction|Wind Direction (Mean)|Wind Direction (Point)|Wind Direction (Std Dev)|Wind Gust|Wind Speed|Wind Speed (Max.)|Wind Speed (Mean)|Wind Speed (Point)</t>
  </si>
  <si>
    <t>SHAMES</t>
  </si>
  <si>
    <t>Mid mountain elevation at the base of the Shames Mountain ski area</t>
  </si>
  <si>
    <t>Iknouk</t>
  </si>
  <si>
    <t>129.77636 W, 55.01033 N, Elev. 860 m</t>
  </si>
  <si>
    <t>2000-04-02 to 2025-08-12</t>
  </si>
  <si>
    <t>Air Pressure|Air Pressure (Point)|Dew Point Temperature|Dew Point Temperature (Mean)|Precipitation (Cumulative)|Precipitation Amount|Rainfall Amount|Relative Humidity|Relative Humidity (Mean)|Snow Depth|Snowfall|Snowfall Amount|Surface Snow Depth (Point)|Temperature (Max.)|Temperature (Mean)|Temperature (Min.)|Temperature (Point)|Wind Direction|Wind Direction (Mean)|Wind Direction (Point)|Wind Direction (Std Dev)|Wind Gust|Wind Speed|Wind Speed (Max.)|Wind Speed (Mean)|Wind Speed (Point)</t>
  </si>
  <si>
    <t>IKNOUK</t>
  </si>
  <si>
    <t>Ridgetop at timberline, immediately East of confluence of Iknouk and Nass Rivers</t>
  </si>
  <si>
    <t>Iknouk Road</t>
  </si>
  <si>
    <t>129.88126 W, 55.00186 N, Elev. 30 m</t>
  </si>
  <si>
    <t>2009-09-03 to 2025-08-12</t>
  </si>
  <si>
    <t>Air Pressure|Air Pressure (Point)|Dew Point Temperature|Precipitation (Cumulative)|Precipitation 24hr|Precipitation Amount|Relative Humidity|Snow Depth|Snowfall|Snowfall Amount|Surface Snow Depth (Point)|Temperature (Max.)|Temperature (Mean)|Temperature (Min.)|Temperature (Point)|Wind Direction|Wind Gust|Wind Speed</t>
  </si>
  <si>
    <t>IKNOUK ROAD</t>
  </si>
  <si>
    <t>North side of Hwy 113, 5.0 km west of Xnukw bridge.</t>
  </si>
  <si>
    <t>Grizzly Hill</t>
  </si>
  <si>
    <t>129.61817 W, 55.01849 N, Elev. 120 m</t>
  </si>
  <si>
    <t>Snowbank High</t>
  </si>
  <si>
    <t>129.98333 W, 56.76389 N, Elev. 1675 m</t>
  </si>
  <si>
    <t>1990-11-04 to 2003-05-14</t>
  </si>
  <si>
    <t>GRIZZLY HILL</t>
  </si>
  <si>
    <t>N side of Hwy 113, 3 km W of Greenville</t>
  </si>
  <si>
    <t>Snowbank Mid</t>
  </si>
  <si>
    <t>129.97253 W, 56.77667 N, Elev. 1065 m</t>
  </si>
  <si>
    <t>1990-11-04 to 2025-08-12</t>
  </si>
  <si>
    <t>SNOWBANK MID</t>
  </si>
  <si>
    <t>At treeline, South of Snowbank Creek, West side of Hwy 37</t>
  </si>
  <si>
    <t>Gamma</t>
  </si>
  <si>
    <t>130.10694 W, 56.94667 N, Elev. 1175 m</t>
  </si>
  <si>
    <t>1998-07-09 to 2025-08-12</t>
  </si>
  <si>
    <t>GAMMA</t>
  </si>
  <si>
    <t>Just below treeline on Ningunsaw Mtn., South of headwaters of Gamma Creek.</t>
  </si>
  <si>
    <t>Eagle Ridge Wind</t>
  </si>
  <si>
    <t>129.89694 W, 56.77531 N, Elev. 1788 m</t>
  </si>
  <si>
    <t>2003-07-11 to 2008-05-07</t>
  </si>
  <si>
    <t>Air Pressure (Point)|Dew Point Temperature (Mean)|Precipitation (Cumulative)|Precipitation Amount|Relative Humidity (Mean)|Snowfall Amount|Surface Snow Depth (Point)|Temperature (Max.)|Temperature (Min.)|Temperature (Point)|Wind Direction (Mean)|Wind Direction (Point)|Wind Direction (Std Dev)|Wind Speed (Max.)|Wind Speed (Mean)|Wind Speed (Point)</t>
  </si>
  <si>
    <t>Snowbank Road</t>
  </si>
  <si>
    <t>129.935 W, 56.75389 N, Elev. 588 m</t>
  </si>
  <si>
    <t>2006-10-19 to 2025-08-12</t>
  </si>
  <si>
    <t>Dew Point Temperature|Precipitation (Cumulative)|Precipitation 24hr|Precipitation Amount|Relative Humidity|Relative Humidity (Mean)|Snow Depth|Snowfall|Snowfall Amount|Surface Snow Depth (Point)|Temperature (Max.)|Temperature (Mean)|Temperature (Min.)|Temperature (Point)</t>
  </si>
  <si>
    <t>SNOWBANK ROAD</t>
  </si>
  <si>
    <t>Pullout on West side of Hwy 37, 10 km North of Bell 2</t>
  </si>
  <si>
    <t>Carl's Corner</t>
  </si>
  <si>
    <t>130.0905 W, 56.92867 N, Elev. 504 m</t>
  </si>
  <si>
    <t>Dew Point Temperature|Precipitation (Cumulative)|Precipitation 24hr|Precipitation Amount|Relative Humidity|Relative Humidity (Mean)|Snow Depth|Snowfall|Surface Snow Depth (Point)|Temperature (Max.)|Temperature (Mean)|Temperature (Min.)|Temperature (Point)</t>
  </si>
  <si>
    <t>CARL'S CORNER</t>
  </si>
  <si>
    <t>East side of Hwy 37, 34 km North of Bell 2</t>
  </si>
  <si>
    <t>Gamma High</t>
  </si>
  <si>
    <t>130.095 W, 56.95083 N, Elev. 1540 m</t>
  </si>
  <si>
    <t>2008-07-18 to 2025-08-12</t>
  </si>
  <si>
    <t>Air Pressure|Dew Point Temperature|Precipitation Amount|Relative Humidity|Snow Depth|Snowfall|Temperature (Max.)|Temperature (Mean)|Temperature (Min.)|Temperature (Point)|Wind Direction|Wind Direction (Mean)|Wind Direction (Point)|Wind Direction (Std Dev)|Wind Gust|Wind Speed|Wind Speed (Max.)|Wind Speed (Mean)|Wind Speed (Point)</t>
  </si>
  <si>
    <t>GAMMA HIGH</t>
  </si>
  <si>
    <t>Ridgetop, upper start zone of path 14.0</t>
  </si>
  <si>
    <t>Revision</t>
  </si>
  <si>
    <t>129.97519 W, 56.79544 N, Elev. 1500 m</t>
  </si>
  <si>
    <t>2008-07-16 to 2025-08-12</t>
  </si>
  <si>
    <t>REVISION</t>
  </si>
  <si>
    <t>Ridgetop north of Red Flat Creek, west side of Hwy 37 in Snowbank Creek Avalanche Area</t>
  </si>
  <si>
    <t xml:space="preserve">Dease Lake </t>
  </si>
  <si>
    <t>129.98617 W, 58.43425 N, Elev. 814 m</t>
  </si>
  <si>
    <t>2019-11-22 to 2025-08-09</t>
  </si>
  <si>
    <t>Air Pressure|Air Pressure (Point)|Dew Point Temperature|Dew Point Temperature (Mean)|Precipitation 24hr|Precipitation Amount|Relative Humidity|Relative Humidity (Mean)|Sea Level Pressure|Snow Depth|Snowfall|Surface Snow Depth (Point)|Temperature (Max.)|Temperature (Mean)|Temperature (Min.)|Temperature (Point)</t>
  </si>
  <si>
    <t>NORTHERN BOREAL MOUNTAINS</t>
  </si>
  <si>
    <t xml:space="preserve">DEASE LAKE </t>
  </si>
  <si>
    <t>Dease Lake Ministry Office compound</t>
  </si>
  <si>
    <t>-&gt; North Burrage</t>
  </si>
  <si>
    <t>130.25056 W, 57.30477 N, Elev. null m -&gt; 130.25056 W, 57.30477 N, Elev. 820 m</t>
  </si>
  <si>
    <t>Air Pressure|Dew Point Temperature|Precipitation 24hr|Precipitation Amount|Relative Humidity|Sea Level Pressure|Snow Depth|Snowfall|Temperature (Max.)|Temperature (Mean)|Temperature (Min.)</t>
  </si>
  <si>
    <t>North Burrage</t>
  </si>
  <si>
    <t>NORTH BURRAGE</t>
  </si>
  <si>
    <t>West side of Hwy 37N at Burrage North brake check</t>
  </si>
  <si>
    <t>Jade City</t>
  </si>
  <si>
    <t>129.65722 W, 59.24917 N, Elev. 940 m</t>
  </si>
  <si>
    <t>2004-03-03 to 2025-08-12</t>
  </si>
  <si>
    <t>JADE CITY</t>
  </si>
  <si>
    <t>North side of Hwy 37 behind bunkhouse, opposite Maintenance Yard in Jade City</t>
  </si>
  <si>
    <t>Jade City Wind Site</t>
  </si>
  <si>
    <t>129.61833 W, 59.25861 N, Elev. 915 m</t>
  </si>
  <si>
    <t>2020-01-08 to 2025-08-01</t>
  </si>
  <si>
    <t>Dew Point Temperature|Relative Humidity|Temperature (Max.)|Temperature (Mean)|Temperature (Min.)|Wind Direction|Wind Gust|Wind Speed</t>
  </si>
  <si>
    <t>Jade City Wind</t>
  </si>
  <si>
    <t>JADE CITY WIND</t>
  </si>
  <si>
    <t>South sdie of Hwy 37, 2.5 km northeast of Jade City Maintenance Yard</t>
  </si>
  <si>
    <t>Telegraph</t>
  </si>
  <si>
    <t>131.13111 W, 57.91278 N, Elev. 290 m</t>
  </si>
  <si>
    <t>TELEGRAPH</t>
  </si>
  <si>
    <t>In maintenance yard on Hwy 51.</t>
  </si>
  <si>
    <t>Hungry Hill</t>
  </si>
  <si>
    <t>126.74361 W, 54.48194 N, Elev. 820 m</t>
  </si>
  <si>
    <t>2001-10-08 to 2025-08-12</t>
  </si>
  <si>
    <t>HUNGRY HILL</t>
  </si>
  <si>
    <t>E side of Hwy 16 at Anderson Road 14 km NW of Houston</t>
  </si>
  <si>
    <t>Trout Creek</t>
  </si>
  <si>
    <t>127.3261 W, 54.94143 N, Elev. 410 m</t>
  </si>
  <si>
    <t>TROUT CREEK</t>
  </si>
  <si>
    <t>South side of Hwy 16, 22 km northwest of Smithers</t>
  </si>
  <si>
    <t>Stearns</t>
  </si>
  <si>
    <t>125.53639 W, 54.19167 N, Elev. 719 m</t>
  </si>
  <si>
    <t>2003-11-14 to 2025-08-12</t>
  </si>
  <si>
    <t>STEARNS</t>
  </si>
  <si>
    <t>S side of Hwy 16, 18.5km E of Burns Lk Post Office</t>
  </si>
  <si>
    <t>6 Mile Hill</t>
  </si>
  <si>
    <t>126.1961 W, 54.45944 N, Elev. 840 m</t>
  </si>
  <si>
    <t>6 MILE HILL</t>
  </si>
  <si>
    <t>North side of Hwy 16, 39 km west of Burns Lake</t>
  </si>
  <si>
    <t>Malahat</t>
  </si>
  <si>
    <t>123.54176 W, 48.56794 N, Elev. 340 m</t>
  </si>
  <si>
    <t>MALAHAT</t>
  </si>
  <si>
    <t>South side of Hwy 1, 300 m East of Malahat Summit</t>
  </si>
  <si>
    <t>Cochrane</t>
  </si>
  <si>
    <t>124.61611 W, 49.37056 N, Elev. 115 m</t>
  </si>
  <si>
    <t>2000-11-08 to 2025-08-12</t>
  </si>
  <si>
    <t>COCHRANE</t>
  </si>
  <si>
    <t>SW side of Hwy 19, 70m SE of Horne Lk Rd Interchange (Exit 75)</t>
  </si>
  <si>
    <t>Kennedy Lake</t>
  </si>
  <si>
    <t>125.4525 W, 49.10056 N, Elev. 35 m</t>
  </si>
  <si>
    <t>2010-06-08 to 2025-08-08</t>
  </si>
  <si>
    <t>KENNEDY LAKE</t>
  </si>
  <si>
    <t>E side of Hwy 4, 18.4 km E of Ucluelet - Tofino Jct.</t>
  </si>
  <si>
    <t>Tsitika Summit</t>
  </si>
  <si>
    <t>126.35528 W, 50.2825 N, Elev. 436 m -&gt; 126.35528 W, 50.28236 N, Elev. 436 m</t>
  </si>
  <si>
    <t>2002-02-04 to 2025-08-12</t>
  </si>
  <si>
    <t>TSITIKA SUMMIT</t>
  </si>
  <si>
    <t>S side of Hwy 19, approx 39km W of turnoff to Sayward</t>
  </si>
  <si>
    <t>MENZIES HILL</t>
  </si>
  <si>
    <t>125.4792 W, 50.17186 N, Elev. null m -&gt; 125.4792 W, 50.17186 N, Elev. 300 m</t>
  </si>
  <si>
    <t>Menzies Hill</t>
  </si>
  <si>
    <t xml:space="preserve">Southwest side of Hwy 19, 7 km southeast of Roberts Lake </t>
  </si>
  <si>
    <t>North Courtenay</t>
  </si>
  <si>
    <t>125.19006 W, 49.83003 N, Elev. 100 m</t>
  </si>
  <si>
    <t>2002-02-09 to 2025-08-12</t>
  </si>
  <si>
    <t>NORTH COURTENAY</t>
  </si>
  <si>
    <t>SE corner of junction Hwy 19 and Hamm Rd</t>
  </si>
  <si>
    <t>NA</t>
  </si>
  <si>
    <t>Sooke Dam FWx</t>
  </si>
  <si>
    <t>2020-05-13 to 2020-05-13</t>
  </si>
  <si>
    <t>Precipitation Amount|Surface Snow Depth (Point)|Temperature (Point)</t>
  </si>
  <si>
    <t>-&gt; 34891</t>
  </si>
  <si>
    <t>-&gt; Slocan Lake</t>
  </si>
  <si>
    <t>-&gt; 117.39829 W. 49.87759 N, Elev. 808 m</t>
  </si>
  <si>
    <t>Slocan Lake</t>
  </si>
  <si>
    <t>SLOCAN LAKE</t>
  </si>
  <si>
    <t>Highway 6, 4km South of Slocan Lake View Point.</t>
  </si>
  <si>
    <t>LOCATION</t>
  </si>
  <si>
    <t>RT</t>
  </si>
  <si>
    <t>KENN</t>
  </si>
  <si>
    <t>Kenney Dam</t>
  </si>
  <si>
    <t>124.94605 W, 53.5803 N, Elev 860 m -&gt; 124.94605 W, 53.5803 N, Elev 858 m</t>
  </si>
  <si>
    <t>1992-01-01 to 2025-09-17</t>
  </si>
  <si>
    <t>Daily</t>
  </si>
  <si>
    <t>Precipitation Amount|Precipitation Climatology|Temperature (Max.)|Temperature (Min.)|Temperature Climatology (Max.)|Temperature Climatology (Mean)|Temperature Climatology (Min.)|air_temp|avg_cum_pcpn_gag_wt_pst1mt|pcpn_amt_pst1hr|pcpn_amt_pst3hrs|pcpn_amt_pst6hrs</t>
  </si>
  <si>
    <t>08JA022-&gt; KENN</t>
  </si>
  <si>
    <t>EUTK</t>
  </si>
  <si>
    <t>Eutsuk</t>
  </si>
  <si>
    <t>126.113267 W, 53.234 N, Elev. 860 m -&gt; 126.113267 W, 53.234 N, Elev. 863 m</t>
  </si>
  <si>
    <t>1992-01-01 to 2025-09-16</t>
  </si>
  <si>
    <t>Precipitation Amount|Precipitation Climatology|Temperature (Max.)|Temperature (Min.)|Temperature Climatology (Max.)|Temperature Climatology (Mean)|Temperature Climatology (Min.)|air_temp|avg_cum_pcpn_gag_wt_pst1mt|avg_wnd_dir_pst10mts|avg_wnd_spd_pst10mts|max_air_temp_pst1hr|max_wnd_spd_pst1hr|min_air_temp_pst1hr|pcpn_amt_pst1hr|pcpn_amt_pst3hrs|pcpn_amt_pst6hrs|rel_hum|snw_dpth|wnd_dir_pst1hr_max_spd</t>
  </si>
  <si>
    <t>08JA028 -&gt; EUTK</t>
  </si>
  <si>
    <t>TAHW</t>
  </si>
  <si>
    <t>Tahtsa Intake</t>
  </si>
  <si>
    <t>127.696397 W, 53.6171 N, Elev. 860 m -&gt; 127.696397 W, 53.6171 N, Elev. 880 m</t>
  </si>
  <si>
    <t>1957-01-01 to 2025-09-17</t>
  </si>
  <si>
    <t>Precipitation Amount|Precipitation Climatology|Temperature (Max.)|Temperature (Min.)|Temperature Climatology (Max.)|Temperature Climatology (Mean)|Temperature Climatology (Min.)|air_temp|avg_cum_pcpn_gag_wt_pst1mt|max_air_temp_pst1hr|min_air_temp_pst1hr|pcpn_amt_pst1hr|pcpn_amt_pst3hrs|pcpn_amt_pst6hrs</t>
  </si>
  <si>
    <t>08JA030 -&gt; TAWH</t>
  </si>
  <si>
    <t>MTWL</t>
  </si>
  <si>
    <t>Mount Wells</t>
  </si>
  <si>
    <t>126.417933 W, 53.7292 N, Elev. 1490 m</t>
  </si>
  <si>
    <t>Precipitation Amount|Precipitation Climatology|Temperature (Max.)|Temperature (Min.)|Temperature Climatology (Max.)|Temperature Climatology (Mean)|Temperature Climatology (Min.)|air_temp|avg_cum_pcpn_gag_wt_pst1mt|max_air_temp_pst1hr|min_air_temp_pst1hr|pcpn_amt_pst1hr|pcpn_amt_pst3hrs|pcpn_amt_pst6hrs|snw_dpth_wtr_equiv</t>
  </si>
  <si>
    <t>1B01P -&gt; MTWL</t>
  </si>
  <si>
    <t>TAHL</t>
  </si>
  <si>
    <t>Tahtsa Lake</t>
  </si>
  <si>
    <t>127.650567 W, 53.8574 N, Elev 1300 m</t>
  </si>
  <si>
    <t>1B02P -&gt; TAHL</t>
  </si>
  <si>
    <t>POND</t>
  </si>
  <si>
    <t>Mount Pondosy</t>
  </si>
  <si>
    <t>126.875517, 53.1648 N, Elev. 1400 m</t>
  </si>
  <si>
    <t>1B08P -&gt; POND</t>
  </si>
  <si>
    <t>Attribution, ID, Location</t>
  </si>
  <si>
    <t>BC-FWx -&gt; PC-FWx</t>
  </si>
  <si>
    <t>1 -&gt; C2B10A78</t>
  </si>
  <si>
    <t>-&gt; TOFINO PCA</t>
  </si>
  <si>
    <t>0 W, null N, Elev. null m -&gt; 125.7666 W, 49.0796 N, Elev. 24 m</t>
  </si>
  <si>
    <t>2021-04-18 to 2022-02-24</t>
  </si>
  <si>
    <t>Relative Humidity (Mean)|Temperature (Point)|Wind Direction (Mean)|Wind Speed (Mean)</t>
  </si>
  <si>
    <t>TOFINO AP (EC)</t>
  </si>
  <si>
    <t>Yes</t>
  </si>
  <si>
    <t>Project</t>
  </si>
  <si>
    <t>Environment Canada</t>
  </si>
  <si>
    <t>Undetermined</t>
  </si>
  <si>
    <t>External</t>
  </si>
  <si>
    <t>Coastal Fire Centre</t>
  </si>
  <si>
    <t>Mid Island Zone</t>
  </si>
  <si>
    <t>BC-FWx -&gt; ECCC</t>
  </si>
  <si>
    <t>-&gt; PORT HARDY AIRPORT</t>
  </si>
  <si>
    <t>PORT HARDY AP (EC)</t>
  </si>
  <si>
    <t>North Island Mid Coast Zone (Port McNeill)</t>
  </si>
  <si>
    <t>BC-FWx</t>
  </si>
  <si>
    <t>ZZ FRANKLIN R.</t>
  </si>
  <si>
    <t>124.7 W, 49 N, Elev. 5 m</t>
  </si>
  <si>
    <t>1970-05-25 to 2000-10-01</t>
  </si>
  <si>
    <t>Precipitation Amount|Precipitation Climatology|Relative Humidity (Mean)|Temperature (Point)|Wind Direction (Mean)|Wind Speed (Mean)</t>
  </si>
  <si>
    <t>Partial</t>
  </si>
  <si>
    <t>Archived</t>
  </si>
  <si>
    <t>Hourly Polling</t>
  </si>
  <si>
    <t>WR62</t>
  </si>
  <si>
    <t>BC Wildfire Service</t>
  </si>
  <si>
    <t>ZZ ZEBALLOS</t>
  </si>
  <si>
    <t>126.8 W, 50 N, Elev. 2 m</t>
  </si>
  <si>
    <t>North Island Mid Coast Zone (Campbell River)</t>
  </si>
  <si>
    <t>ZZ SARITA</t>
  </si>
  <si>
    <t>124.9 W, 48.8 N, Elev. 3 m</t>
  </si>
  <si>
    <t>1978-06-01 to 2000-10-01</t>
  </si>
  <si>
    <t>ZZ BR417</t>
  </si>
  <si>
    <t>125 W, 48.8 N, Elev. 1 m</t>
  </si>
  <si>
    <t>1978-05-30 to 2000-10-01</t>
  </si>
  <si>
    <t>ZZ SCOTT COVE</t>
  </si>
  <si>
    <t>126.3 W, 50.7 N, Elev. 7 m</t>
  </si>
  <si>
    <t>1979-05-25 to 2000-10-01</t>
  </si>
  <si>
    <t>SUMMIT</t>
  </si>
  <si>
    <t>124.6483 W, 48.9283 N, Elev. 857 m -&gt; 124.6469 W, 48.92757 N, Elev. 671m</t>
  </si>
  <si>
    <t>1991-10-09 to 2025-07-22</t>
  </si>
  <si>
    <t>Dew Point Temperature|Precipitation Amount|Precipitation Climatology|Rainfall 1hr|Rainfall 24hr|Relative Humidity|Relative Humidity (Mean)|Snow Depth|Temperature|Temperature (Point)|Wind Direction|Wind Direction (Mean)|Wind Speed|Wind Speed (Mean)</t>
  </si>
  <si>
    <t>FOR/FWx</t>
  </si>
  <si>
    <t>David Gaspar, BC Wildfire Service</t>
  </si>
  <si>
    <t>Active</t>
  </si>
  <si>
    <t>Auto-Caller</t>
  </si>
  <si>
    <t>AXIOM/F6</t>
  </si>
  <si>
    <t>Weather Station - GOES</t>
  </si>
  <si>
    <t>ZZ LOSS CREEK</t>
  </si>
  <si>
    <t>124.3 W, 48.5 N, Elev. 4 m</t>
  </si>
  <si>
    <t>1988-04-21 to 1992-04-28</t>
  </si>
  <si>
    <t>Precipitation Amount|Relative Humidity (Mean)|Temperature (Point)|Wind Direction (Mean)|Wind Speed (Mean)</t>
  </si>
  <si>
    <t>South Island Zone</t>
  </si>
  <si>
    <t>ZZ KLANAWA</t>
  </si>
  <si>
    <t>124.8 W, 48.8 N, Elev. 2 m</t>
  </si>
  <si>
    <t>1989-03-31 to 2000-10-01</t>
  </si>
  <si>
    <t>ZZ WALBRAN</t>
  </si>
  <si>
    <t>124.5 W, 48.9 N, Elev. 4 m</t>
  </si>
  <si>
    <t>1988-03-29 to 2000-10-01</t>
  </si>
  <si>
    <t>ZZ DARLING</t>
  </si>
  <si>
    <t>125 W, 48.7 N, Elev. 2 m</t>
  </si>
  <si>
    <t>1988-03-11 to 2000-10-01</t>
  </si>
  <si>
    <t>ZZ RENFREW</t>
  </si>
  <si>
    <t>124.41 W, 48.5783 N, Elev. 300 m</t>
  </si>
  <si>
    <t>1992-06-09 to 2000-12-01</t>
  </si>
  <si>
    <t>ZZ CAYCUSE RIVER</t>
  </si>
  <si>
    <t>124.5 W, 48.8 N, Elev. 4 m</t>
  </si>
  <si>
    <t>1971-06-30 to 2000-10-01</t>
  </si>
  <si>
    <t>MENZIES CAMP</t>
  </si>
  <si>
    <t>125.7887 W, 50.0486 N, Elev. 438 m 0&gt; '125.7887 W, 50.0486 N, Elev. 435 m</t>
  </si>
  <si>
    <t>1992-06-05 to 2025-07-22</t>
  </si>
  <si>
    <t>ZZ GOLD RIVER VAN. IS.</t>
  </si>
  <si>
    <t>126.1 W, 49.8 N, Elev. 6 m</t>
  </si>
  <si>
    <t>WOSS CAMP</t>
  </si>
  <si>
    <t>126.6 W, 50.2 N, Elev. 70 m -&gt; 126.6071 W, 50.2132 N, Elev. 151 m</t>
  </si>
  <si>
    <t>1989-11-23 to 2025-07-22</t>
  </si>
  <si>
    <t>Standpipe</t>
  </si>
  <si>
    <t>Weather Station - Cell</t>
  </si>
  <si>
    <t>ZZ COUS</t>
  </si>
  <si>
    <t>124.9083 W, 49.2267 N, Elev. 455 m</t>
  </si>
  <si>
    <t>1989-05-17 to 2001-01-01</t>
  </si>
  <si>
    <t>ZZ COP</t>
  </si>
  <si>
    <t>124.6 W, 49.2 N, Elev. 7 m</t>
  </si>
  <si>
    <t>1978-05-31 to 2000-10-01</t>
  </si>
  <si>
    <t>ZZ COPPER CANYON (NEC)</t>
  </si>
  <si>
    <t>124.1067 W, 48.9417 N, Elev. 710 m</t>
  </si>
  <si>
    <t>1991-10-07 to 2000-12-01</t>
  </si>
  <si>
    <t>BC-FWx -&gt; NAVCAN</t>
  </si>
  <si>
    <t>-&gt;CAMPBEL RIVER AIRPORT</t>
  </si>
  <si>
    <t>CAMPBELL RIVER AP (EC)</t>
  </si>
  <si>
    <t>ZZ SAYWARD</t>
  </si>
  <si>
    <t>126 W, 50.5 N, Elev. 0 m</t>
  </si>
  <si>
    <t>1978-05-01 to 2000-10-01</t>
  </si>
  <si>
    <t>ZZ VIEW (FD7)</t>
  </si>
  <si>
    <t>125.3333 W, 49.3883 N, Elev. 300 m</t>
  </si>
  <si>
    <t>1989-05-12 to 2001-06-01</t>
  </si>
  <si>
    <t>ZZ VIEW</t>
  </si>
  <si>
    <t>ZZ ADAM 106</t>
  </si>
  <si>
    <t>126 W, 50.3 N, Elev. 0 m</t>
  </si>
  <si>
    <t>1979-05-01 to 2000-10-01</t>
  </si>
  <si>
    <t>ZZ BOOT L/O</t>
  </si>
  <si>
    <t>125.7 W, 50.1 N, Elev. 0 m</t>
  </si>
  <si>
    <t>1979-06-13 to 2000-09-01</t>
  </si>
  <si>
    <t>ZZ SHAWNIGAN</t>
  </si>
  <si>
    <t>123.8 W, 48.6 N, Elev. 0 m</t>
  </si>
  <si>
    <t>1980-05-01 to 2000-10-01</t>
  </si>
  <si>
    <t>ZZ HARRIS CREEK</t>
  </si>
  <si>
    <t>124.3 W, 48.6 N, Elev. 213 m</t>
  </si>
  <si>
    <t>1982-06-08 to 2000-10-01</t>
  </si>
  <si>
    <t>ZZ WACO LAKE</t>
  </si>
  <si>
    <t>126.1 W, 50.2 N, Elev. 6 m</t>
  </si>
  <si>
    <t>1983-06-27 to 2000-10-01</t>
  </si>
  <si>
    <t>ZZ PASS (CAMERON)</t>
  </si>
  <si>
    <t>124.6483 W, 49.2717 N, Elev. 974 m</t>
  </si>
  <si>
    <t>1989-05-04 to 2001-01-01</t>
  </si>
  <si>
    <t>BEAVER CREEK</t>
  </si>
  <si>
    <t>124.9333 W, 49.3775 N, Elev. 100 m -&gt; 124.9337 W, 49.3776 N, Elev. 121 m</t>
  </si>
  <si>
    <t>1987-07-26 to 2025-07-22</t>
  </si>
  <si>
    <t>Potential Pluvio</t>
  </si>
  <si>
    <t>ZZ CATS EARS (FD7)</t>
  </si>
  <si>
    <t>125.385 W, 49.1933 N, Elev. 500 m</t>
  </si>
  <si>
    <t>1989-06-08 to 2001-06-01</t>
  </si>
  <si>
    <t>ZZ CATS EARS</t>
  </si>
  <si>
    <t>ZZ BARNARD</t>
  </si>
  <si>
    <t>123.76 W, 48.4067 N, Elev. 23 m</t>
  </si>
  <si>
    <t>1991-08-07 to 2005-07-11</t>
  </si>
  <si>
    <t>ZZ PYE LAKE</t>
  </si>
  <si>
    <t>125.5867 W, 50.3117 N, Elev. 224 m</t>
  </si>
  <si>
    <t>1992-06-07 to 2001-01-01</t>
  </si>
  <si>
    <t>ZZ NANOOSE</t>
  </si>
  <si>
    <t>124.2 W, 49.3 N, Elev. 1 m</t>
  </si>
  <si>
    <t>SALTSPRING 2</t>
  </si>
  <si>
    <t>123.474 W, 48.774 N, Elev. 34 m -&gt; 123.4745 W, 49.7729 N, Elev. 15 m</t>
  </si>
  <si>
    <t>2001-04-24 to 2025-07-22</t>
  </si>
  <si>
    <t>Dew Point Temperature|Precipitation Amount|Rainfall 1hr|Rainfall 24hr|Relative Humidity|Relative Humidity (Mean)|Snow Depth|Temperature|Temperature (Point)|Wind Direction|Wind Direction (Mean)|Wind Speed|Wind Speed (Mean)</t>
  </si>
  <si>
    <t>Pluvio2/SR50a</t>
  </si>
  <si>
    <t xml:space="preserve">SECHELT ORCHARD </t>
  </si>
  <si>
    <t>123.719 W, 49.45 N, Elev. 75 m</t>
  </si>
  <si>
    <t>1999-09-27 to 2009-11-04</t>
  </si>
  <si>
    <t>ZZ SECHELT ORCHARD</t>
  </si>
  <si>
    <t>FWS12S</t>
  </si>
  <si>
    <t>Weather Station - Telephone</t>
  </si>
  <si>
    <t>Sunshine Coast Zone</t>
  </si>
  <si>
    <t>ZZ SECHELT</t>
  </si>
  <si>
    <t>123.7 W, 49.5 N, Elev. 100 m</t>
  </si>
  <si>
    <t>1990-04-09 to 2001-01-01</t>
  </si>
  <si>
    <t>FWS11</t>
  </si>
  <si>
    <t>BC-FWx -&gt; ECCC (NAVCN?)</t>
  </si>
  <si>
    <t>-&gt; VICTORIA AIRPORT</t>
  </si>
  <si>
    <t>0 W, null N, Elev. null m -&gt; 123.4288 W,  48.6482 N, Elev. 19m</t>
  </si>
  <si>
    <t>VICTORIA AP (EC)</t>
  </si>
  <si>
    <t>ZZ KOKSILAH</t>
  </si>
  <si>
    <t>123.9 W, 48.6 N, Elev. 4 m</t>
  </si>
  <si>
    <t>1993-01-01 to 1993-05-07</t>
  </si>
  <si>
    <t>ZZ M.B.</t>
  </si>
  <si>
    <t>124.4 W, 49.2 N, Elev. 7 m</t>
  </si>
  <si>
    <t>ZZ CAMP</t>
  </si>
  <si>
    <t>124.3 W, 49.3 N, Elev. 1 m</t>
  </si>
  <si>
    <t>1981-05-31 to 2000-10-01</t>
  </si>
  <si>
    <t>ZZ GOLDSTREAM PARK</t>
  </si>
  <si>
    <t>123.6 W, 48.6 N, Elev. 2 m</t>
  </si>
  <si>
    <t>1993-05-17 to 1993-05-20</t>
  </si>
  <si>
    <t>ZZ NORTH COWICHAN</t>
  </si>
  <si>
    <t>123.8 W, 48.8 N, Elev. 1 m</t>
  </si>
  <si>
    <t>1983-05-01 to 2000-10-01</t>
  </si>
  <si>
    <t>ZZ CHEMAINUS</t>
  </si>
  <si>
    <t>124.1 W, 48.9 N, Elev. 7 m</t>
  </si>
  <si>
    <t>BOWSER</t>
  </si>
  <si>
    <t>124.7033 W, 49.4367 N, Elev. 184 m -&gt; 124.7022 W, 49.4368 N, Elev. 115 m</t>
  </si>
  <si>
    <t>1989-07-14 to 2025-07-22</t>
  </si>
  <si>
    <t>Dew Point Temperature|Precipitation Amount|Precipitation Climatology|Rainfall 1hr|Rainfall 24hr|Relative Humidity|Relative Humidity (Mean)|Temperature|Temperature (Point)|Wind Direction|Wind Direction (Mean)|Wind Speed|Wind Speed (Mean)</t>
  </si>
  <si>
    <t>108-115</t>
  </si>
  <si>
    <t>ZZ GALIANO</t>
  </si>
  <si>
    <t>123.5 W, 48.9 N, Elev. 1 m</t>
  </si>
  <si>
    <t>1987-04-02 to 1988-10-14</t>
  </si>
  <si>
    <t>CEDAR</t>
  </si>
  <si>
    <t>123.875 W, 49.0483 N, Elev. 100 m -&gt; 123.8747 W, 49.0476 N, Elev. 31 m</t>
  </si>
  <si>
    <t>1989-05-12 to 2025-07-22</t>
  </si>
  <si>
    <t>ZZ SALTSPRING</t>
  </si>
  <si>
    <t>123.4533 W, 48.7783 N, Elev. 150 m</t>
  </si>
  <si>
    <t>1991-05-06 to 2001-04-05</t>
  </si>
  <si>
    <t>ZZ SQUAMISH CAMP</t>
  </si>
  <si>
    <t>123.3967 W, 50.1167 N, Elev. 200 m</t>
  </si>
  <si>
    <t>1992-11-22 to 2000-11-01</t>
  </si>
  <si>
    <t>Pemberton Zone</t>
  </si>
  <si>
    <t>ZZ GROUSE</t>
  </si>
  <si>
    <t>123.1 W, 49.4 N, Elev. 981 m</t>
  </si>
  <si>
    <t>1973-06-29 to 2000-10-01</t>
  </si>
  <si>
    <t>Fraser Zone</t>
  </si>
  <si>
    <t>BIG SILVER</t>
  </si>
  <si>
    <t>121.8596 W, 49.691 N, Elev. 8 m -&gt; 121.8596W, 49.691 N, Elev. 152 m</t>
  </si>
  <si>
    <t>1992-10-08 to 2007-08-30</t>
  </si>
  <si>
    <t>ZZ BIG SILVER</t>
  </si>
  <si>
    <t>HAIG CAMP</t>
  </si>
  <si>
    <t>121.492 W, 49.369 N, Elev. 162 m - 121.5259 W, 49.3806 N, Elev. 42</t>
  </si>
  <si>
    <t>2002-05-31 to 2025-07-22</t>
  </si>
  <si>
    <t>Dew Point Temperature|Precipitation Amount|Rainfall 1hr|Rainfall 24hr|Relative Humidity|Relative Humidity (Mean)|Temperature|Temperature (Point)|Wind Direction|Wind Direction (Mean)|Wind Speed|Wind Speed (Mean)</t>
  </si>
  <si>
    <t>ZZ PINE</t>
  </si>
  <si>
    <t>122.7 W, 49.7017 N, Elev. 401 m</t>
  </si>
  <si>
    <t>1992-10-19 to 2000-12-01</t>
  </si>
  <si>
    <t>-&gt; VANCOUVER AIRPORT</t>
  </si>
  <si>
    <t>2021-04-27 to 2022-02-24</t>
  </si>
  <si>
    <t>VANCOUVER AP (EC)</t>
  </si>
  <si>
    <t>ZZ LILLOOET LAKE</t>
  </si>
  <si>
    <t>122.5 W, 50.2 N, Elev. 2 m -&gt; 122.5 W, 50.2 N, Elev. 350 m</t>
  </si>
  <si>
    <t>1981-05-01 to 2000-10-01</t>
  </si>
  <si>
    <t>UBC RESEARCH</t>
  </si>
  <si>
    <t>122.5733 W, 49.265 N, Elev. 98 m -&gt; 122.5732 W, 49.2645 N, Elev. 146 m</t>
  </si>
  <si>
    <t>1990-04-09 to 2025-07-22</t>
  </si>
  <si>
    <t>162-&gt;146</t>
  </si>
  <si>
    <t>ZZ RED MTN</t>
  </si>
  <si>
    <t>122.3 W, 49.2 N, Elev. 504 m</t>
  </si>
  <si>
    <t>1981-05-01 to 2000-11-01</t>
  </si>
  <si>
    <t>Name, Location</t>
  </si>
  <si>
    <t>CHILLIWACK NURSERY</t>
  </si>
  <si>
    <t>121.6633 W, 49.0983 N, Elev. 295 m -&gt; 121.6628 W, 49.0953 N, Elev. 320 m</t>
  </si>
  <si>
    <t>1990-04-09 to 2010-11-10</t>
  </si>
  <si>
    <t>ZZ CHILLIWACK NURSERY</t>
  </si>
  <si>
    <t>TOBA CAMP</t>
  </si>
  <si>
    <t>124.073 W, 50.568 N, Elev. 1 m -&gt; 124.0777 W, 50.5711 N, Elev. 49</t>
  </si>
  <si>
    <t>1998-06-30 to 2025-07-22</t>
  </si>
  <si>
    <t>ZZ SQUAMISH R/S</t>
  </si>
  <si>
    <t>123.1 W, 49.7 N, Elev. 0 m</t>
  </si>
  <si>
    <t>ZZ JERVIS</t>
  </si>
  <si>
    <t>123.6 W, 50.2 N, Elev. 5 m</t>
  </si>
  <si>
    <t>1971-09-01 to 2000-10-01</t>
  </si>
  <si>
    <t>ZZ KNIGHT INLET</t>
  </si>
  <si>
    <t>125.6 W, 51.1 N, Elev. 0 m</t>
  </si>
  <si>
    <t>ZZ CORTES ISLAND</t>
  </si>
  <si>
    <t>125.1 W, 50.2 N, Elev. 0 m</t>
  </si>
  <si>
    <t>ZZ GOAT LAKE</t>
  </si>
  <si>
    <t>124.3 W, 50.3 N, Elev. 0 m</t>
  </si>
  <si>
    <t>SCAR CREEK</t>
  </si>
  <si>
    <t>125.0283 W, 51.19 N, Elev. 50 m -&gt;125.0281 W, 51.1891 N, Elev. 122 m</t>
  </si>
  <si>
    <t>1995-07-31 to 2025-07-22</t>
  </si>
  <si>
    <t>-&gt; SQUAMISH AIRPORT</t>
  </si>
  <si>
    <t>SQUAMISH AP (EC)</t>
  </si>
  <si>
    <t>ZZ BUTE INLT MOH CR</t>
  </si>
  <si>
    <t>125.2 W, 50.7 N, Elev. 7 m</t>
  </si>
  <si>
    <t>1986-06-10 to 1988-07-18</t>
  </si>
  <si>
    <t>ZZ CLOWHOLM</t>
  </si>
  <si>
    <t>123.5083 W, 49.7567 N, Elev. 18 m</t>
  </si>
  <si>
    <t>1993-01-29 to 2000-11-01</t>
  </si>
  <si>
    <t>ZZ HOVEL BAY</t>
  </si>
  <si>
    <t>124.7 W, 50.6 N, Elev. 800 m -&gt; 124.796422 W, 50.61678 N, Elev. 185 m</t>
  </si>
  <si>
    <t>1988-07-20 to 2000-11-01</t>
  </si>
  <si>
    <t>ZZ TOM BROWNE LK (NEC) (CELL)</t>
  </si>
  <si>
    <t>125.8 W, 50.8 N, Elev. 300 m</t>
  </si>
  <si>
    <t>1992-06-05 to 2000-12-01</t>
  </si>
  <si>
    <t>BC-FWx -&gt; ECCC (NAVCAN)?</t>
  </si>
  <si>
    <t>-&gt; PRINCE RUPERT AIRPORT</t>
  </si>
  <si>
    <t>PRINCE RUPERT (EC)</t>
  </si>
  <si>
    <t>Northwest Fire Centre</t>
  </si>
  <si>
    <t>Skeena Zone (North Coast)</t>
  </si>
  <si>
    <t>ZZ JUSKATLA</t>
  </si>
  <si>
    <t>132.3 W, 53.7 N, Elev. 5 m</t>
  </si>
  <si>
    <t>1982-05-01 to 2001-01-01</t>
  </si>
  <si>
    <t>Fraser Zone (Haida Gwaii)</t>
  </si>
  <si>
    <t>HONNA</t>
  </si>
  <si>
    <t>132.135 W, 53.255 N, Elev. 100 m -&gt; 132.1156 W, 53.2532 N, Elev. 21 m</t>
  </si>
  <si>
    <t>1990-06-17 to 2025-07-21</t>
  </si>
  <si>
    <t>ZZ COPPER</t>
  </si>
  <si>
    <t>131.86 W, 53.15 N, Elev. 287 m</t>
  </si>
  <si>
    <t>1990-06-17 to 2005-05-23</t>
  </si>
  <si>
    <t>Weather Station - UHF</t>
  </si>
  <si>
    <t>ZZ KITSAULT</t>
  </si>
  <si>
    <t>129.475 W, 55.4583 N, Elev. 100 m</t>
  </si>
  <si>
    <t>1996-05-24 to 2000-12-01</t>
  </si>
  <si>
    <t>ZZ FIRVALE</t>
  </si>
  <si>
    <t>126.3 W, 52.5 N, Elev. 0 m</t>
  </si>
  <si>
    <t>North Island Mid Coast Zone (Mid Coast)</t>
  </si>
  <si>
    <t>MACHMELL (MB) -&gt; MACHMELL</t>
  </si>
  <si>
    <t>126.4517 W, 51.5933 N, Elev. 366 m -&gt; 126.4508 W, 51.5931N, El;ev. 344</t>
  </si>
  <si>
    <t>1997-07-08 to 2025-07-22</t>
  </si>
  <si>
    <t>MACHMELL</t>
  </si>
  <si>
    <t>BC-FWx -&gt; ECCC???</t>
  </si>
  <si>
    <t xml:space="preserve"> -&gt; TERRACE (EC) ????</t>
  </si>
  <si>
    <t>TERRACE (EC)</t>
  </si>
  <si>
    <t>Skeena Zone (Kalum)</t>
  </si>
  <si>
    <t>ZZ KEMANO</t>
  </si>
  <si>
    <t>127.9433 W, 53.5633 N, Elev. 17 m</t>
  </si>
  <si>
    <t>1989-10-02 to 2001-01-01</t>
  </si>
  <si>
    <t>128.8583 W, 54.915 N, Elev. 137 m -&gt; 128.8597 W, 54.9168 N, Elev. 239 m</t>
  </si>
  <si>
    <t>1904-05-05 to 2025-07-22</t>
  </si>
  <si>
    <t>KITPARK</t>
  </si>
  <si>
    <t>128.5767 W, 54.17 N, Elev. 75 m -&gt; 128.5759 W, 54.1696 N, Elev. 55 m</t>
  </si>
  <si>
    <t>1995-07-13 to 2025-07-22</t>
  </si>
  <si>
    <t>DEASE LK FS</t>
  </si>
  <si>
    <t>130 W, 58.4 N, Elev. 800 m -&gt; 130.0187 W, 58.4258 N, Elev. 797 m</t>
  </si>
  <si>
    <t>1996-05-09 to 2025-07-22</t>
  </si>
  <si>
    <t>DEASE LAKE FS</t>
  </si>
  <si>
    <t>Cassiar Zone</t>
  </si>
  <si>
    <t>TELEGRAPH CREEK</t>
  </si>
  <si>
    <t>131.1967 W, 57.9033 N, Elev. 382 m -&gt; 131.17115 W, 57.9141 N, Elev. 382 m</t>
  </si>
  <si>
    <t>1988-07-13 to 2025-07-22</t>
  </si>
  <si>
    <t>ATLIN</t>
  </si>
  <si>
    <t>133.6667 W, 59.5833 N, Elev. 729 m -&gt; 133.6643 W. 59.5845 N, Elev. 719 m</t>
  </si>
  <si>
    <t>1990-09-12 to 2025-07-22</t>
  </si>
  <si>
    <t>ISKUT</t>
  </si>
  <si>
    <t>130.0083 W, 57.8567 N, Elev. 890 m -&gt; 130.0181 W, 57.8617 N, Elev. 722 m</t>
  </si>
  <si>
    <t>1992-12-04 to 2025-07-22</t>
  </si>
  <si>
    <t>BOB QUINN LK -&gt; BOB QUINN LAKE</t>
  </si>
  <si>
    <t>130.2533 W, 56.9833 N, Elev. 609 m -&gt; 130.251 W, 56.9809 N, Elev. 605 m</t>
  </si>
  <si>
    <t>1991-04-16 to 2025-07-22</t>
  </si>
  <si>
    <t>BOB QUINN LAKE</t>
  </si>
  <si>
    <t>ZZ MILLIGAN CR.</t>
  </si>
  <si>
    <t>120.3 W, 57.9 N, Elev. 0 m</t>
  </si>
  <si>
    <t>1981-05-11 to 2000-09-01</t>
  </si>
  <si>
    <t>Prince George Fire Centre</t>
  </si>
  <si>
    <t>Fort St. John Zone</t>
  </si>
  <si>
    <t>SIERRA</t>
  </si>
  <si>
    <t>121.3967 W, 58.8381 N, Elev. 584 m -&gt; 121.3967 W, 58.8381 N, Elev. 573 m</t>
  </si>
  <si>
    <t>1990-06-26 to 2025-07-22</t>
  </si>
  <si>
    <t>TAIGA PLAINS</t>
  </si>
  <si>
    <t>Fort Nelson Zone</t>
  </si>
  <si>
    <t>HELMUT</t>
  </si>
  <si>
    <t>120.789 W, 59.421 N, Elev. 598 m -&gt; 120.789 W, 59.421 N, Elev. 588 m</t>
  </si>
  <si>
    <t>1990-06-11 to 2025-07-22</t>
  </si>
  <si>
    <t>NELSON FORKS</t>
  </si>
  <si>
    <t xml:space="preserve">124.0985 W, 59.6173 N, Elev. 604 m -&gt; 124.0985 W, 59.6173 N, Elev. 660 m </t>
  </si>
  <si>
    <t>1990-08-20 to 2025-07-22</t>
  </si>
  <si>
    <t>SILVER</t>
  </si>
  <si>
    <t>121.297 W, 57.4968 N, Elev. 835 m -&gt; 121.4069 W, 57.3745 N, Elev. 835 m</t>
  </si>
  <si>
    <t>1993-04-15 to 2025-07-22</t>
  </si>
  <si>
    <t>PADDY</t>
  </si>
  <si>
    <t>120.2368 W, 57.7818 N, Elev. 729 m</t>
  </si>
  <si>
    <t>1992-10-04 to 2025-07-22</t>
  </si>
  <si>
    <t xml:space="preserve"> -&gt; CHETWYND (NC) ????</t>
  </si>
  <si>
    <t>CHETWYND (NC)</t>
  </si>
  <si>
    <t>Dawson Creek Zone</t>
  </si>
  <si>
    <t>ZZ HALFWAY DIRTY</t>
  </si>
  <si>
    <t>122.2 W, 56.3 N, Elev. 7 m</t>
  </si>
  <si>
    <t>1977-05-01 to 2000-10-01</t>
  </si>
  <si>
    <t>GRAHAM</t>
  </si>
  <si>
    <t>122.4575 W, 56.4347 N, Elev. 768 m</t>
  </si>
  <si>
    <t>1995-05-20 to 2025-07-22</t>
  </si>
  <si>
    <t>ZZ GAYLORD CR</t>
  </si>
  <si>
    <t>122.4 W, 56.1 N, Elev. 9 m</t>
  </si>
  <si>
    <t>1981-05-08 to 2000-09-01</t>
  </si>
  <si>
    <t>TOAD RIVER</t>
  </si>
  <si>
    <t>125.3107 W, 58.8659 N, Elev. 711 m</t>
  </si>
  <si>
    <t>1995-05-01 to 2025-07-22</t>
  </si>
  <si>
    <t>Name</t>
  </si>
  <si>
    <t>TUMBLER(DENISON) -&gt; TUMBLER HUB</t>
  </si>
  <si>
    <t>120.9341 W, 55.0274 N, Elev. 942 m</t>
  </si>
  <si>
    <t>1988-12-14 to 2025-07-22</t>
  </si>
  <si>
    <t>TUMBLER(DENISON)</t>
  </si>
  <si>
    <t>TUMBLER HUB</t>
  </si>
  <si>
    <t>Hub Station</t>
  </si>
  <si>
    <t>ZZ STONEY LAKE</t>
  </si>
  <si>
    <t>120.6 W, 54.8 N, Elev. 11 m</t>
  </si>
  <si>
    <t>1982-06-06 to 2000-09-01</t>
  </si>
  <si>
    <t>PINK MTN -&gt; PINK MOUNTAIN</t>
  </si>
  <si>
    <t>122.5577 W, 57.0765 N, Elev. 989 m -&gt; 122.5912 W, 57.0874 N, Elev. 989 m</t>
  </si>
  <si>
    <t>1995-05-18 to 2025-07-22</t>
  </si>
  <si>
    <t>PINK MOUNTAIN</t>
  </si>
  <si>
    <t>ZZ TRUTCH</t>
  </si>
  <si>
    <t>122.9 W, 57.4 N, Elev. 0 m</t>
  </si>
  <si>
    <t>1983-05-01 to 2000-09-01</t>
  </si>
  <si>
    <t>MUSKWA</t>
  </si>
  <si>
    <t>123.6163 W, 57.8925 N, Elev. 780 m -&gt; 123.6163 W, 57.88425 N, Elev. 769 m</t>
  </si>
  <si>
    <t>1993-05-31 to 2025-07-22</t>
  </si>
  <si>
    <t>HUDSON HOPE</t>
  </si>
  <si>
    <t>121.9902 W, 56.0347 N, Elev. 704 m</t>
  </si>
  <si>
    <t>1989-01-01 to 2025-07-22</t>
  </si>
  <si>
    <t>ZZ BUCKING HORSE</t>
  </si>
  <si>
    <t>122.8 W, 57.3 N, Elev. 10 m</t>
  </si>
  <si>
    <t>1986-05-23 to 2000-09-01</t>
  </si>
  <si>
    <t>ZZ DOIG</t>
  </si>
  <si>
    <t>120.1 W, 56.7 N, Elev. 8 m</t>
  </si>
  <si>
    <t>1987-05-28 to 2000-09-01</t>
  </si>
  <si>
    <t>ZZ CHRISTINA</t>
  </si>
  <si>
    <t>123.2 W, 56.5 N, Elev. 11 m</t>
  </si>
  <si>
    <t>1988-05-12 to 1988-10-01</t>
  </si>
  <si>
    <t>WONOWON</t>
  </si>
  <si>
    <t>121.7654 W, 56.7185 N, Elev. 967 m -&gt; 121.7654 W, 56.7184 N, Elev. 958 m</t>
  </si>
  <si>
    <t>1990-05-02 to 2025-07-22</t>
  </si>
  <si>
    <t>ZZ WILDLIFE</t>
  </si>
  <si>
    <t>122.3 W, 56.1 N, Elev. 8 m</t>
  </si>
  <si>
    <t>1989-04-16 to 2000-10-01</t>
  </si>
  <si>
    <t>RED DEER</t>
  </si>
  <si>
    <t>120.5762 W, 54.633 N, Elev. 1306 m</t>
  </si>
  <si>
    <t>1996-05-16 to 2025-07-22</t>
  </si>
  <si>
    <t>ZZ SUKUNKA</t>
  </si>
  <si>
    <t>121.6 W, 55.2 N, Elev. 8 m</t>
  </si>
  <si>
    <t>1988-05-20 to 2000-10-01</t>
  </si>
  <si>
    <t>LEMORAY</t>
  </si>
  <si>
    <t>122.5171 W, 55.525 N, Elev. 757 m -&gt; 122.5172W, 55.525 N, Elev. 747 m</t>
  </si>
  <si>
    <t>1995-06-21 to 2025-07-22</t>
  </si>
  <si>
    <t>MANSON</t>
  </si>
  <si>
    <t>124.232 W, 55.5799 N, Elev. 1047 m</t>
  </si>
  <si>
    <t>1995-06-19 to 2025-07-22</t>
  </si>
  <si>
    <t>Mackenzie Zone</t>
  </si>
  <si>
    <t>TABLE RIVER</t>
  </si>
  <si>
    <t>122.2732 W, 54.7159 N, Elev. 760 m -&gt; 122.2747 W, 54.7158 N, Elev. 775 m</t>
  </si>
  <si>
    <t>1989-01-16 to 2025-07-22</t>
  </si>
  <si>
    <t>Prince George Zone</t>
  </si>
  <si>
    <t>INGENIKA PT -&gt; INGENIKA POINT</t>
  </si>
  <si>
    <t>125.176 W, 56.9777 N, Elev. 1213 m -&gt; 125.1804 W, 57.0194 N, Elev. 680 m</t>
  </si>
  <si>
    <t>1995-05-23 to 2025-07-22</t>
  </si>
  <si>
    <t>INGENIKA POINT</t>
  </si>
  <si>
    <t>FORT ST JAMES</t>
  </si>
  <si>
    <t xml:space="preserve">124.261 W, 54.3941 N, Elev. 750 m -&gt; 124.261 W, 54.3941 N, Elev. 720 m </t>
  </si>
  <si>
    <t>1992-07-16 to 2025-07-22</t>
  </si>
  <si>
    <t>VanJam Zone (Fort St. James)</t>
  </si>
  <si>
    <t>ZZ MOSSVALE</t>
  </si>
  <si>
    <t>122.8 W, 54.4 N, Elev. 0 m</t>
  </si>
  <si>
    <t>1979-05-23 to 2000-10-01</t>
  </si>
  <si>
    <t>BLACKPINE</t>
  </si>
  <si>
    <t>125.3679 W, 56.3188 N, Elev. 1126 m -&gt; 125.368 W, 56.3188 N, Elev. 1126 m</t>
  </si>
  <si>
    <t>BEAR LAKE</t>
  </si>
  <si>
    <t>122.691 W, 54.5094 N, Elev. 739 m -&gt; 122.6829 W, 54.4824 N, Elev. 715 m</t>
  </si>
  <si>
    <t>1988-11-22 to 2025-07-22</t>
  </si>
  <si>
    <t>ZZ KALDER LAKE</t>
  </si>
  <si>
    <t>124.3 W, 55 N, Elev. 10 m</t>
  </si>
  <si>
    <t>1981-05-16 to 2000-10-01</t>
  </si>
  <si>
    <t>NABESHE</t>
  </si>
  <si>
    <t>123.3656 W, 56.3643 N, Elev. 1108 m</t>
  </si>
  <si>
    <t>1995-06-17 to 2025-07-22</t>
  </si>
  <si>
    <t>SIFTON</t>
  </si>
  <si>
    <t>126.1168 W, 57.8518 N, Elev. 985 m -&gt; 126.1168 W, 57.8518 N, Elev. 968 m</t>
  </si>
  <si>
    <t>1995-01-31 to 2025-07-22</t>
  </si>
  <si>
    <t>MCLEOD LAKE</t>
  </si>
  <si>
    <t>123.0773 W, 54.7259 N, Elev. 915 m -&gt; 123.0187 W, 54.7442 N, Elev. 867</t>
  </si>
  <si>
    <t>1994-09-08 to 2025-07-22</t>
  </si>
  <si>
    <t>WITCH</t>
  </si>
  <si>
    <t>124.265 W, 55.023 N, Elev. 1030 m -&gt; 124.2666 W, 55.023 N, Elev. 1041 m</t>
  </si>
  <si>
    <t>1994-09-16 to 2025-07-22</t>
  </si>
  <si>
    <t>MACKENZIE FS</t>
  </si>
  <si>
    <t>123.1347 W, 55.3042 N, Elev. 690 m  -&gt; 123.1358 W, 55.2864 N, Elev. 697 m</t>
  </si>
  <si>
    <t>1994-09-07 to 2025-07-22</t>
  </si>
  <si>
    <t>SUSTUT</t>
  </si>
  <si>
    <t>127.0339 W, 56.3287 N, Elev. 871 m -&gt; 127.0339 W, 56.3288 N, Elev. 819 m</t>
  </si>
  <si>
    <t>1995-06-09 to 2025-07-22</t>
  </si>
  <si>
    <t>BC-FWx -&gt; ECCC/NAVCAN</t>
  </si>
  <si>
    <t>-&gt; SMITHERS AIRPORT</t>
  </si>
  <si>
    <t xml:space="preserve">0 W, null N, Elev. null m </t>
  </si>
  <si>
    <t>SMITHERS AP (EC)</t>
  </si>
  <si>
    <t>Bulkley Zone</t>
  </si>
  <si>
    <t>VANDERHOOF -&gt; VANDERHOOF HUB</t>
  </si>
  <si>
    <t>124.0102 W, 54.0555 N, Elev. 678 m -&gt; 124.0102 W, 54.0554 N, Elev. 681 m</t>
  </si>
  <si>
    <t>1996-07-18 to 2025-07-22</t>
  </si>
  <si>
    <t>VANDERHOOF HUB</t>
  </si>
  <si>
    <t>Pluvio2&amp;Q*-RT</t>
  </si>
  <si>
    <t>VanJam Zone (Vanderhoof)</t>
  </si>
  <si>
    <t>NORTH CHILCO</t>
  </si>
  <si>
    <t>123.7541 W, 54.1546 N, Elev. 850 m -&gt; 123.7541 W, 54.1546 N, Elev. 836 m -</t>
  </si>
  <si>
    <t>1995-06-04 to 2025-07-22</t>
  </si>
  <si>
    <t>GRASSY PLAINS -&gt; GRASSY PLAINS HUB</t>
  </si>
  <si>
    <t>125.8667 W, 53.9467 N, Elev. 944 m -&gt; 125.8761 W, 53.9454 N, Elev. 938 m</t>
  </si>
  <si>
    <t>1989-11-01 to 2025-07-22</t>
  </si>
  <si>
    <t>GRASSY PLAINS HUB</t>
  </si>
  <si>
    <t>Pluvio2-RT</t>
  </si>
  <si>
    <t>Nadina Zone (Lakes)</t>
  </si>
  <si>
    <t>HOUSTON(DUNGATE)</t>
  </si>
  <si>
    <t>126.6267 W, 54.4117 N, Elev. 608 m -&gt; 126.6175 W, 54.3939 N, Elev. 619 m</t>
  </si>
  <si>
    <t>1989-08-16 to 2025-07-22</t>
  </si>
  <si>
    <t>HOUSTON</t>
  </si>
  <si>
    <t>Nadina Zone (Morice)</t>
  </si>
  <si>
    <t>LOVELL COVE</t>
  </si>
  <si>
    <t>126.0513 W, 55.6885 N, Elev. 990 m -&gt; 126.0525 W, 55.6881 N, Elev. 981 m</t>
  </si>
  <si>
    <t>1994-05-27 to 2025-07-22</t>
  </si>
  <si>
    <t>EUTSUK</t>
  </si>
  <si>
    <t>126.17 W, 53.27 N, Elev. 1036 m</t>
  </si>
  <si>
    <t>1998-04-30 to 2007-09-13</t>
  </si>
  <si>
    <t>ZZ EUTSUK</t>
  </si>
  <si>
    <t>MCC550C</t>
  </si>
  <si>
    <t>Weather Station - MB</t>
  </si>
  <si>
    <t>MOOSE LAKE</t>
  </si>
  <si>
    <t>125.4122 W, 53.0715 N, Elev. 1109 m -&gt; 125.4121 W, 53.0715 N, Elev. 1094 m</t>
  </si>
  <si>
    <t>1991-08-08 to 2025-07-22</t>
  </si>
  <si>
    <t>RTA planned 2014</t>
  </si>
  <si>
    <t>KLUSKUS</t>
  </si>
  <si>
    <t>124.5121 W, 53.3831 N, Elev. 1137 m -&gt; 124.5121 W, 53.3831 N, Elev. 1125 m</t>
  </si>
  <si>
    <t>1991-08-05 to 2025-07-22</t>
  </si>
  <si>
    <t>AUGIER LAKE</t>
  </si>
  <si>
    <t>125.52 W, 54.3633 N, Elev. 900 m -&gt; 125.5253 W, 54.3619 N, Elev. 927 m</t>
  </si>
  <si>
    <t>1904-04-24 to 2025-07-22</t>
  </si>
  <si>
    <t>ZZ NOSE BAY</t>
  </si>
  <si>
    <t>126.1 W, 54.8 N, Elev. 0 m</t>
  </si>
  <si>
    <t>1986-05-31 to 1988-10-06</t>
  </si>
  <si>
    <t>UPPER FULTON</t>
  </si>
  <si>
    <t>126.8 W, 55.0333 N, Elev. 900 m -&gt; 126.7996 W, 55.035 N, Elev. 900 m</t>
  </si>
  <si>
    <t>1991-04-25 to 2025-07-22</t>
  </si>
  <si>
    <t>EAST OOTSA</t>
  </si>
  <si>
    <t>125.7717 W, 53.5017 N, Elev. 1089 m -&gt; 125.7793 W, 53.5025 N, Elev. 1086 m</t>
  </si>
  <si>
    <t>LEO CREEK</t>
  </si>
  <si>
    <t>125.4774 W, 55.0818 N, Elev. 915 m -&gt; 125.4773 W, 55.0817 N, Elev.906 m</t>
  </si>
  <si>
    <t>NILKITKWA</t>
  </si>
  <si>
    <t>126.5783 W, 55.5533 N, Elev. 978 m -&gt; 126.5775 W, 55.538 N, Elev. 969 m</t>
  </si>
  <si>
    <t>1991-05-16 to 2025-07-22</t>
  </si>
  <si>
    <t>NORTH BABINE</t>
  </si>
  <si>
    <t>126.2117 W, 55.1367 N, Elev. 951 m -&gt; 126.2073 W, 55.135 N, Elev. 951 m</t>
  </si>
  <si>
    <t>1991-05-17 to 2025-07-22</t>
  </si>
  <si>
    <t>Potential ST</t>
  </si>
  <si>
    <t>ZZ SWEDE CREEK</t>
  </si>
  <si>
    <t>124.1 W, 53.3 N, Elev. 12 m</t>
  </si>
  <si>
    <t>1988-04-28 to 2000-07-01</t>
  </si>
  <si>
    <t>Cariboo Fire Centre</t>
  </si>
  <si>
    <t>Quesnel Zone</t>
  </si>
  <si>
    <t>BEDNESTI</t>
  </si>
  <si>
    <t>123.3233 W, 53.8654 N, Elev. 858 m</t>
  </si>
  <si>
    <t>1995-06-25 to 2025-07-22</t>
  </si>
  <si>
    <t>ZZ HOLY CROSS</t>
  </si>
  <si>
    <t>125 W, 53.8 N, Elev. 11 m</t>
  </si>
  <si>
    <t>1992-04-30 to 1998-07-05</t>
  </si>
  <si>
    <t>ZZ SUTHERLAND</t>
  </si>
  <si>
    <t>124.5 W, 54.2 N, Elev. 9 m</t>
  </si>
  <si>
    <t>1992-06-05 to 2000-09-01</t>
  </si>
  <si>
    <t>PEDEN</t>
  </si>
  <si>
    <t>126.5217 W, 53.9867 N, Elev. 747 m -&gt; 126.5174 W, 53.9868 N, Elev. 747 m</t>
  </si>
  <si>
    <t>1989-10-31 to 2025-07-22</t>
  </si>
  <si>
    <t>Pluvio-RT</t>
  </si>
  <si>
    <t>NADINA</t>
  </si>
  <si>
    <t>126.9278 W, 53.9425 N, Elev. 954 m</t>
  </si>
  <si>
    <t>1989-11-02 to 2025-07-22</t>
  </si>
  <si>
    <t>MCBRIDE LAKE</t>
  </si>
  <si>
    <t>127.4017 W, 54.07 N, Elev. 815 m -&gt; 127.3994 W, 54.0747 N, Elev. 810 m</t>
  </si>
  <si>
    <t>1993-05-12 to 2025-07-22</t>
  </si>
  <si>
    <t>BURNS LAKE 850M</t>
  </si>
  <si>
    <t>125.755 W, 54.2567 N, Elev. 830 m -&gt; 125.7598 W, 54.2591 N, Elev. 824 m</t>
  </si>
  <si>
    <t>1994-01-10 to 2025-07-22</t>
  </si>
  <si>
    <t>GANOKWA</t>
  </si>
  <si>
    <t>126.9483 W, 54.805 N, Elev. 855 m -&gt; 126.9484 W, 54.8013 N, Elev. 855 m</t>
  </si>
  <si>
    <t>1994-01-01 to 2025-07-22</t>
  </si>
  <si>
    <t>ZZ PARROTT L/O-1250 -&gt; PARROTT</t>
  </si>
  <si>
    <t>126.385 W, 54.0183 N, Elev. 1259 m -&gt; 126.389 W, 54.0186 N, Elev. 1256 m</t>
  </si>
  <si>
    <t>1995-07-24 to 2025-07-16</t>
  </si>
  <si>
    <t>PARROTT</t>
  </si>
  <si>
    <t>ZZ HUDTA LAKE</t>
  </si>
  <si>
    <t>123 W, 53.6 N, Elev. 7 m</t>
  </si>
  <si>
    <t>1971-05-01 to 2000-10-01</t>
  </si>
  <si>
    <t>-&gt; Prince George Massey Autostation</t>
  </si>
  <si>
    <t>PRINCE GEORGE (EC)</t>
  </si>
  <si>
    <t>HIXON</t>
  </si>
  <si>
    <t>122.591 W, 53.4265 N, Elev. 615 m -&gt; 122.5961 W, 53.4114 N, Elev. 640 m</t>
  </si>
  <si>
    <t>1988-12-12 to 2025-07-22</t>
  </si>
  <si>
    <t>ZZ COTTONWOOD HOUSE</t>
  </si>
  <si>
    <t>122.2 W, 53 N, Elev. 10 m</t>
  </si>
  <si>
    <t>1981-05-04 to 2000-10-01</t>
  </si>
  <si>
    <t>CHILAKO</t>
  </si>
  <si>
    <t>123.6092 W, 53.4937 N, Elev. 814 m -&gt; 123.6088 W, 53.4114 N, Elev. 807 m</t>
  </si>
  <si>
    <t>1991-07-05 to 2025-07-22</t>
  </si>
  <si>
    <t>JERRY</t>
  </si>
  <si>
    <t>122.1062 W, 53.5266 N, Elev. 997 m -&gt; 122.1064 W, 53.5264 N, Elev. 979 m</t>
  </si>
  <si>
    <t>1991-08-17 to 2025-07-22</t>
  </si>
  <si>
    <t xml:space="preserve">MCGREGOR </t>
  </si>
  <si>
    <t>121.8266 W, 54.0778 N, Elev. 638 m</t>
  </si>
  <si>
    <t>1989-01-04 to 2013-11-05</t>
  </si>
  <si>
    <t>ZZ MCGREGOR [ARCHIVED]</t>
  </si>
  <si>
    <t>MCGREGOR 2</t>
  </si>
  <si>
    <t>120.6361 W, 53.9292 N, Elev. 975 m</t>
  </si>
  <si>
    <t>1995-06-02 to 2025-07-22</t>
  </si>
  <si>
    <t>BOWRON HAGGEN</t>
  </si>
  <si>
    <t>121.5589 W, 53.4632 N, Elev. 945 m -&gt; 121.5603 W, 53.463 N, Elev. 927 m</t>
  </si>
  <si>
    <t>1991-07-19 to 2025-07-22</t>
  </si>
  <si>
    <t>Name, location</t>
  </si>
  <si>
    <t>VALEMOUNT 1 -&gt; VALEMOUNT HUB</t>
  </si>
  <si>
    <t>119.2973 W, 52.87 N, Elev. 797 m -&gt; 119.2991 W, 52.8698 N, Elev. 797 m</t>
  </si>
  <si>
    <t>1989-07-28 to 2021-07-22</t>
  </si>
  <si>
    <t>VALEMOUNT HUB</t>
  </si>
  <si>
    <t>ZZ VALEMOUNT HUB</t>
  </si>
  <si>
    <t>Non-Reporting</t>
  </si>
  <si>
    <t>Robson Valley Zone</t>
  </si>
  <si>
    <t>MCBRIDE</t>
  </si>
  <si>
    <t xml:space="preserve">120.1522 W, 53.295 N, Elev. 716 m -&gt; 120.153 W, 53.2948 N, Elev. 714 m </t>
  </si>
  <si>
    <t>1989-08-13 to 2025-07-22</t>
  </si>
  <si>
    <t>MCBRIDE HUB</t>
  </si>
  <si>
    <t>ZZ SHERE</t>
  </si>
  <si>
    <t>119.6 W, 53 N, Elev. 8 m</t>
  </si>
  <si>
    <t>ZZ LOOS</t>
  </si>
  <si>
    <t>120.4 W, 53.4 N, Elev. 0 m</t>
  </si>
  <si>
    <t>CATFISH</t>
  </si>
  <si>
    <t>120.8567 W, 53.5765 N, Elev. 866 m -&gt; 120.8585 W, 53.5764 N, Elev. 871 m</t>
  </si>
  <si>
    <t>1994-04-28 to 2025-07-22</t>
  </si>
  <si>
    <t>VALEMOUNT 2</t>
  </si>
  <si>
    <t>119.3148 W, 52.7881 N, Elev. 1195 m -&gt; 119.3147 W, 52.7883 N, Elev. 1163 m</t>
  </si>
  <si>
    <t>1993-07-05 to 2025-07-22</t>
  </si>
  <si>
    <t>HOLMES</t>
  </si>
  <si>
    <t>119.7132 W, 53.3454 N, Elev. 1179 m</t>
  </si>
  <si>
    <t>1994-05-12 to 2022-06-16</t>
  </si>
  <si>
    <t>HOLY CROSS 2</t>
  </si>
  <si>
    <t>TONQUIN -PARKS</t>
  </si>
  <si>
    <t>118.4701 W, 52.7027 N, Elev. 1667 m</t>
  </si>
  <si>
    <t>1997-07-18 to 2009-11-04</t>
  </si>
  <si>
    <t>ZZ TONQUIN -PARKS</t>
  </si>
  <si>
    <t>-&gt; PUNTZI MOUNTAIN (AUT0)</t>
  </si>
  <si>
    <t>PUNTZI MOUNTAIN (EC)</t>
  </si>
  <si>
    <t>Chilcotin Zone</t>
  </si>
  <si>
    <t>ZZ BEGBIE L/O</t>
  </si>
  <si>
    <t>121.7 W, 51.4 N, Elev. 11 m</t>
  </si>
  <si>
    <t>1970-05-25 to 2000-09-01</t>
  </si>
  <si>
    <t>100 Mile House Zone</t>
  </si>
  <si>
    <t>-&gt; Williams Lake (NC)</t>
  </si>
  <si>
    <t>2021-05-08 to 2022-02-24</t>
  </si>
  <si>
    <t>WILLIAMS LAKE (NC)</t>
  </si>
  <si>
    <t>Central Cariboo Zone (Williams Lake)</t>
  </si>
  <si>
    <t>TAUTRI</t>
  </si>
  <si>
    <t>123.25 W, 52.535 N, Elev. 1085 m</t>
  </si>
  <si>
    <t>1990-08-12 to 2025-07-22</t>
  </si>
  <si>
    <t>TATLA LAKE</t>
  </si>
  <si>
    <t>124.605 W, 51.9067 N, Elev. 945 m</t>
  </si>
  <si>
    <t>1990-07-19 to 2025-07-22</t>
  </si>
  <si>
    <t>TATLA LAKE HUB</t>
  </si>
  <si>
    <t>ALEXIS CREEK</t>
  </si>
  <si>
    <t>123.2717 W, 52.0767 N, Elev. 791 m -&gt; 123.2733 W, 52.0838 N, Elev. 791 m</t>
  </si>
  <si>
    <t>1904-06-09 to 2025-07-22</t>
  </si>
  <si>
    <t>RISKE CREEK</t>
  </si>
  <si>
    <t>122.51 W, 51.96 N, Elev. 884 m -&gt; 122.5042 W, 51.9594 N, Elev. 929 m</t>
  </si>
  <si>
    <t>1992-04-03 to 2025-07-22</t>
  </si>
  <si>
    <t>NAZKO</t>
  </si>
  <si>
    <t>123.5958 W, 52.9575 N, Elev. 910 m</t>
  </si>
  <si>
    <t>1995-05-22 to 2025-07-22</t>
  </si>
  <si>
    <t>PLACE LK. -&gt; PLACE LAKE</t>
  </si>
  <si>
    <t>122 W, 51.8167 N, Elev. 1065 m</t>
  </si>
  <si>
    <t>1988-11-01 to 2025-07-22</t>
  </si>
  <si>
    <t>PLACE LAKE</t>
  </si>
  <si>
    <t>ANAHIM LAKE</t>
  </si>
  <si>
    <t>125.3033 W, 52.4567 N, Elev. 1096 m</t>
  </si>
  <si>
    <t>1990-07-24 to 2025-07-22</t>
  </si>
  <si>
    <t>ANAHIM LAKE HUB</t>
  </si>
  <si>
    <t>ZZ KLEENA KLEENE</t>
  </si>
  <si>
    <t>125 W, 52 N, Elev. 9 m</t>
  </si>
  <si>
    <t>ZZ SATRE RANCH</t>
  </si>
  <si>
    <t>124.4 W, 51.6 N, Elev. 12 m</t>
  </si>
  <si>
    <t>1981-05-01 to 1982-09-29</t>
  </si>
  <si>
    <t>NEMIAH</t>
  </si>
  <si>
    <t>123.8183 W, 51.48 N, Elev. 1220 m</t>
  </si>
  <si>
    <t>1991-06-09 to 2025-07-22</t>
  </si>
  <si>
    <t>ZZ PAN PHILIPS</t>
  </si>
  <si>
    <t>125 W, 53 N, Elev. 0 m</t>
  </si>
  <si>
    <t>1983-05-09 to 1983-08-14</t>
  </si>
  <si>
    <t>LONE BUTTE</t>
  </si>
  <si>
    <t>121.162 W, 51.507 N, Elev. 1158 m</t>
  </si>
  <si>
    <t>1990-04-23 to 2025-07-22</t>
  </si>
  <si>
    <t>ZZ NO NAME</t>
  </si>
  <si>
    <t>124.0083 W, 52.9533 N, Elev. 862 m</t>
  </si>
  <si>
    <t>1991-04-21 to 2000-10-01</t>
  </si>
  <si>
    <t>ZZ BIG CREEK</t>
  </si>
  <si>
    <t>123.2 W, 51.7 N, Elev. 11 m</t>
  </si>
  <si>
    <t>1992-03-30 to 1993-07-25</t>
  </si>
  <si>
    <t>BALDFACE</t>
  </si>
  <si>
    <t>124.4823 W, 52.7101 N, Elev. 1666 m</t>
  </si>
  <si>
    <t>1992-04-30 to 2025-07-22</t>
  </si>
  <si>
    <t>GASPARD</t>
  </si>
  <si>
    <t>122.6617 W, 51.4517 N, Elev. 1675 m</t>
  </si>
  <si>
    <t>1992-04-23 to 2025-07-22</t>
  </si>
  <si>
    <t>ZZ MAKIN</t>
  </si>
  <si>
    <t>122.4 W, 52.3 N, Elev. 0 m</t>
  </si>
  <si>
    <t>1992-05-10 to 1994-10-12</t>
  </si>
  <si>
    <t>ZZ SKELTON</t>
  </si>
  <si>
    <t>122.1217 W, 52.6083 N, Elev. 853 m</t>
  </si>
  <si>
    <t>1992-05-10 to 2000-07-01</t>
  </si>
  <si>
    <t>KNIFE</t>
  </si>
  <si>
    <t>121.885 W, 52.065 N, Elev. 945 m -&gt; 121.8738 W, 52.0497 N, Elev. 821 m</t>
  </si>
  <si>
    <t>1992-05-10 to 2025-07-22</t>
  </si>
  <si>
    <t>MIDDLE LAKE</t>
  </si>
  <si>
    <t>124.875 W, 51.7017 N, Elev. 915 m</t>
  </si>
  <si>
    <t>1992-07-07 to 2025-07-22</t>
  </si>
  <si>
    <t>GAVIN</t>
  </si>
  <si>
    <t>121.7417 W, 52.47 N, Elev. 1081 m</t>
  </si>
  <si>
    <t>Central Cariboo Zone (Horsefly)</t>
  </si>
  <si>
    <t>BENSON</t>
  </si>
  <si>
    <t>122.065 W, 52.91 N, Elev. 1006 m</t>
  </si>
  <si>
    <t>1990-08-06 to 2025-07-22</t>
  </si>
  <si>
    <t>-&gt; Quesnel</t>
  </si>
  <si>
    <t>QUESNEL (EC)</t>
  </si>
  <si>
    <t>HORSEFLY</t>
  </si>
  <si>
    <t>121.3967 W, 52.33 N, Elev. 701 m -&gt;121.3983 W, 52.3278  N, Elev. 701 m</t>
  </si>
  <si>
    <t>1990-05-23 to 2025-07-22</t>
  </si>
  <si>
    <t>ZZ THUYA LAKE (NEC)</t>
  </si>
  <si>
    <t>120.34 W, 51.4117 N, Elev. 1432 m</t>
  </si>
  <si>
    <t>1991-05-10 to 2000-11-01</t>
  </si>
  <si>
    <t>Kamloops Fire Centre</t>
  </si>
  <si>
    <t>Kamloops Zone (Kamloops)</t>
  </si>
  <si>
    <t>COLDSCAUR LAKE</t>
  </si>
  <si>
    <t>120.39 W, 51.725 N, Elev. 1158 m -&gt; 120.3899 W, 51.7238 N, Elev 1122 m</t>
  </si>
  <si>
    <t>1970-01-01 to 2025-07-22</t>
  </si>
  <si>
    <t>TALCHAKO (MB) -&gt; TALCHAKO</t>
  </si>
  <si>
    <t>126.0283 W, 52.2517 N, Elev. 244 m -&gt;126.0284 W, 52.2514 N, Elev. 306 m</t>
  </si>
  <si>
    <t>1997-07-11 to 2025-07-22</t>
  </si>
  <si>
    <t>TALCHAKO</t>
  </si>
  <si>
    <t>TIMOTHY</t>
  </si>
  <si>
    <t>121.389 W, 51.913 N, Elev. 1161 m</t>
  </si>
  <si>
    <t>1998-07-20 to 2025-07-22</t>
  </si>
  <si>
    <t>YOUNG LAKE</t>
  </si>
  <si>
    <t>120.9976 W, 51.2378 N, Elev. 1170 m</t>
  </si>
  <si>
    <t>2001-08-03 to 2025-07-22</t>
  </si>
  <si>
    <t>MEADOW LAKE</t>
  </si>
  <si>
    <t>121.7167 W, 51.375 N, Elev. 1070 m</t>
  </si>
  <si>
    <t>1988-11-02 to 2025-07-22</t>
  </si>
  <si>
    <t>ZZ HORSEFLY R/S</t>
  </si>
  <si>
    <t>121.2 W, 52.2 N, Elev. 1296 m</t>
  </si>
  <si>
    <t>1971-05-03 to 2000-11-01</t>
  </si>
  <si>
    <t>CLEARWATER -&gt; Clearwater HUB</t>
  </si>
  <si>
    <t>120.095 W, 51.6283 N, Elev. 396 m -&gt; 120.0946 W, 51.6289 N, Elev. 440 m</t>
  </si>
  <si>
    <t>1990-08-10 to 2025-07-22</t>
  </si>
  <si>
    <t>CLEARWATER HUB</t>
  </si>
  <si>
    <t>ZZ BARRIERE</t>
  </si>
  <si>
    <t>120.1 W, 51.2 N, Elev. 4 m</t>
  </si>
  <si>
    <t>ZZ BENSON DR1</t>
  </si>
  <si>
    <t>122.1 W, 52.9 N, Elev. 997 m</t>
  </si>
  <si>
    <t>1987-07-14 to 2000-11-01</t>
  </si>
  <si>
    <t>ZZ HEMP (NEC)</t>
  </si>
  <si>
    <t>120.03 W, 51.925 N, Elev. 762 m</t>
  </si>
  <si>
    <t>1991-04-22 to 2000-11-01</t>
  </si>
  <si>
    <t>Kamloops Zone (Clearwater)</t>
  </si>
  <si>
    <t>EAST BARRIERE</t>
  </si>
  <si>
    <t>119.8817 W, 51.2533 N, Elev. 671 m -&gt; 119.8817 W, 51.2531 N, Elev. 631 m</t>
  </si>
  <si>
    <t>1989-02-24 to 2025-07-22</t>
  </si>
  <si>
    <t>WINDY MOUNTAIN</t>
  </si>
  <si>
    <t>120.65 W, 51.67 N, Elev. 1580 m -&gt; 120.6579 W, 51.6639 N, Elev, 1377 m</t>
  </si>
  <si>
    <t>1992-05-11 to 2025-07-22</t>
  </si>
  <si>
    <t>ZZ COLDSCAUR LAKE DR1</t>
  </si>
  <si>
    <t>120.4 W, 51.7 N, Elev. 11 m</t>
  </si>
  <si>
    <t>1979-05-08 to 2000-10-01</t>
  </si>
  <si>
    <t>ZZ LANG</t>
  </si>
  <si>
    <t>120.9 W, 51.9 N, Elev. 11 m</t>
  </si>
  <si>
    <t>1980-05-08 to 2000-10-01</t>
  </si>
  <si>
    <t>ZZ THUYA LAKE</t>
  </si>
  <si>
    <t>120.4 W, 51.4 N, Elev. 13 m</t>
  </si>
  <si>
    <t>ZZ VAVENBY (NEC)</t>
  </si>
  <si>
    <t>119.6733 W, 51.585 N, Elev. 792 m</t>
  </si>
  <si>
    <t>1991-02-23 to 2000-11-01</t>
  </si>
  <si>
    <t>HARBOUR LAKE (MB) -&gt; Harbour Lake</t>
  </si>
  <si>
    <t>119.115 W, 51.5233 N, Elev. 1372 m -&gt; 119.1133 W, 51.5227 N, Elev. 1516 m</t>
  </si>
  <si>
    <t>1992-07-21 to 2025-07-22</t>
  </si>
  <si>
    <t>HARBOUR LAKE</t>
  </si>
  <si>
    <t>DECEPTION</t>
  </si>
  <si>
    <t>120.608 W, 51.967 N, Elev. 1170 m</t>
  </si>
  <si>
    <t>ZZ LOON LAKE</t>
  </si>
  <si>
    <t>121.182 W, 51.061 N, Elev. 1600 m</t>
  </si>
  <si>
    <t>1998-08-21 to 2001-08-07</t>
  </si>
  <si>
    <t>CAHILTY</t>
  </si>
  <si>
    <t>119.8383 W, 50.8883 N, Elev. 1615 m -&gt; 119.8383 W, 50.8879 N, Elev. 1543 m</t>
  </si>
  <si>
    <t>1989-10-12 to 2025-07-22</t>
  </si>
  <si>
    <t>LIKELY RS</t>
  </si>
  <si>
    <t>121.5133 W, 52.615 N, Elev. 1046 m</t>
  </si>
  <si>
    <t>1991-03-22 to 2025-07-22</t>
  </si>
  <si>
    <t>ZZ LEMPRIERE CRK</t>
  </si>
  <si>
    <t>120.3 W, 52.5 N, Elev. 9 m</t>
  </si>
  <si>
    <t>1990-07-27 to 2000-09-01</t>
  </si>
  <si>
    <t>BLUE RIVER FS</t>
  </si>
  <si>
    <t>119.2983 W, 52.12 N, Elev. 683 m-&gt; 119.2981 W, 52.1205 N, Elev. 696 m</t>
  </si>
  <si>
    <t>1994-01-09 to 2010-01-01</t>
  </si>
  <si>
    <t>BLUE RIVER DL</t>
  </si>
  <si>
    <t>Disabled</t>
  </si>
  <si>
    <t>None</t>
  </si>
  <si>
    <t>Download</t>
  </si>
  <si>
    <t>ZZ AVOLA (NEC)</t>
  </si>
  <si>
    <t>119.3267 W, 51.7817 N, Elev. 518 m</t>
  </si>
  <si>
    <t>1989-07-07 to 2001-01-01</t>
  </si>
  <si>
    <t>ZZ HENDRIX LAKE</t>
  </si>
  <si>
    <t>120.9 W, 52.1 N, Elev. 15 m</t>
  </si>
  <si>
    <t>1981-06-05 to 1982-09-10</t>
  </si>
  <si>
    <t>ZZ BOWRON PARK DR1</t>
  </si>
  <si>
    <t>121.4 W, 53.3 N, Elev. 9 m</t>
  </si>
  <si>
    <t>1981-05-14 to 2000-10-01</t>
  </si>
  <si>
    <t>ZZ ALBREDA</t>
  </si>
  <si>
    <t>119.2 W, 52.6 N, Elev. 10 m</t>
  </si>
  <si>
    <t>1991-06-24 to 2000-09-01</t>
  </si>
  <si>
    <t>BIG VALLEY</t>
  </si>
  <si>
    <t>121.7617 W, 53.2617 N, Elev. 1355 m</t>
  </si>
  <si>
    <t>1991-03-27 to 2025-07-22</t>
  </si>
  <si>
    <t>MATHEW</t>
  </si>
  <si>
    <t>120.9117 W, 52.91 N, Elev. 1108 m</t>
  </si>
  <si>
    <t>PRAIRIE CREEK</t>
  </si>
  <si>
    <t>120.985 W, 52.3917 N, Elev. 1015 m</t>
  </si>
  <si>
    <t>1990-05-31 to 2025-07-22</t>
  </si>
  <si>
    <t>ZZ PLEASANT CREEK</t>
  </si>
  <si>
    <t>119.495 W, 52.5467 N, Elev. 914 m</t>
  </si>
  <si>
    <t>1990-09-02 to 2000-10-01</t>
  </si>
  <si>
    <t>WELLS GRAY</t>
  </si>
  <si>
    <t>120.2433 W, 52.3417 N, Elev. 975 m -&gt; 120.2434 W, 52.3425 N, Elev 958 m</t>
  </si>
  <si>
    <t>1995-07-07 to 2025-07-22</t>
  </si>
  <si>
    <t>BERRY</t>
  </si>
  <si>
    <t>119.4133 W, 51.9783 N, Elev. 1524 m -&gt; 119.4134 W, 51.9788 N, Elev. 1469 m</t>
  </si>
  <si>
    <t>1990-07-27 to 2025-07-22</t>
  </si>
  <si>
    <t>ZZ TUM TUM  LAKE</t>
  </si>
  <si>
    <t>119.1367 W, 51.8333 N, Elev. 975 m</t>
  </si>
  <si>
    <t>1991-05-19 to 2000-10-01</t>
  </si>
  <si>
    <t>ZZ RAFT RIVER (NEC)</t>
  </si>
  <si>
    <t>119.6567 W, 51.8167 N, Elev. 701 m</t>
  </si>
  <si>
    <t>1991-07-14 to 2000-11-01</t>
  </si>
  <si>
    <t>GOSNEL</t>
  </si>
  <si>
    <t xml:space="preserve">119.175 W, 52.4533 N, Elev. 1859 m -&gt; 119.1753 W, 52.4526 N, Elev. 1873 m </t>
  </si>
  <si>
    <t>1996-05-24 to 2025-07-22</t>
  </si>
  <si>
    <t>NIAGRA</t>
  </si>
  <si>
    <t>120.3583 W, 52.625 N, Elev. 910 m</t>
  </si>
  <si>
    <t>1995-05-28 to 2005-10-31</t>
  </si>
  <si>
    <t>ZZ NIAGRA</t>
  </si>
  <si>
    <t>ZZ GROUNDHOG (WIND)</t>
  </si>
  <si>
    <t>119.2167 W, 51.875 N, Elev. 2133 m</t>
  </si>
  <si>
    <t>1996-05-24 to 2005-06-02</t>
  </si>
  <si>
    <t>Store Forward</t>
  </si>
  <si>
    <t>ZZ HAMILTON L/O</t>
  </si>
  <si>
    <t>120.4 W, 50.1 N, Elev. 15 m</t>
  </si>
  <si>
    <t>Merritt Zone</t>
  </si>
  <si>
    <t>ZZ KAMLOOPS R/S</t>
  </si>
  <si>
    <t>120.3 W, 50.7 N, Elev. 3 m</t>
  </si>
  <si>
    <t>1972-05-01 to 2000-10-01</t>
  </si>
  <si>
    <t>ZZ LAMONT</t>
  </si>
  <si>
    <t>120.795 W, 49.3233 N, Elev. 1615 m</t>
  </si>
  <si>
    <t>1990-06-13 to 2000-10-01</t>
  </si>
  <si>
    <t>THYNNE</t>
  </si>
  <si>
    <t xml:space="preserve">120.8667 W, 49.715 N, Elev. 1524 m -&gt; 120.866 W, 49.7152 N, Elev. 1407 m </t>
  </si>
  <si>
    <t>1990-06-07 to 2025-07-22</t>
  </si>
  <si>
    <t>LILLOOET</t>
  </si>
  <si>
    <t>121.8883 W, 50.6717 N, Elev. 402 m -&gt; 121.8882 W, 50.6717 N, Elev. 402 m</t>
  </si>
  <si>
    <t>1989-09-18 to 2025-07-22</t>
  </si>
  <si>
    <t>Lillooet Zone</t>
  </si>
  <si>
    <t>BOTANIE</t>
  </si>
  <si>
    <t>121.57 W, 50.4 N, Elev. 1554 m -&gt; 121.5698 W, 50.4 N, Elev 1586 m</t>
  </si>
  <si>
    <t>1990-07-02 to 2007-09-13</t>
  </si>
  <si>
    <t>ZZ BOTANIE</t>
  </si>
  <si>
    <t>ZZ DILLARD</t>
  </si>
  <si>
    <t>120.4217 W, 49.7667 N, Elev. 1341 m</t>
  </si>
  <si>
    <t>1990-06-10 to 2000-10-01</t>
  </si>
  <si>
    <t>BRENDA MINES</t>
  </si>
  <si>
    <t>119.9933 W, 49.8683 N, Elev. 1493 m -&gt; 119.9925 W, 49.8684 N, Elev. 1463 m</t>
  </si>
  <si>
    <t>1989-06-14 to 2025-07-22</t>
  </si>
  <si>
    <t>Penticton Zone</t>
  </si>
  <si>
    <t>ZZ SPIUS CREEK</t>
  </si>
  <si>
    <t>121.1183 W, 49.9317 N, Elev. 1036 m</t>
  </si>
  <si>
    <t>1990-06-08 to 2000-10-01</t>
  </si>
  <si>
    <t>ZZ LUMBY R/S</t>
  </si>
  <si>
    <t>119 W, 50.2 N, Elev. 0 m</t>
  </si>
  <si>
    <t>Vernon Zone (Vernon)</t>
  </si>
  <si>
    <t>TURTLE</t>
  </si>
  <si>
    <t>119.63 W, 50.8033 N, Elev. 640 m -&gt; 119.6307 W, 50.8036 N, Elev. 660 m</t>
  </si>
  <si>
    <t>1991-11-04 to 2025-07-22</t>
  </si>
  <si>
    <t>ZZ GOLDBRIDGE</t>
  </si>
  <si>
    <t>122.8 W, 50.8 N, Elev. 0 m</t>
  </si>
  <si>
    <t>1977-05-08 to 2000-10-01</t>
  </si>
  <si>
    <t>ZZ GOLDBRIDGES</t>
  </si>
  <si>
    <t>ZZ VERNON  R/S</t>
  </si>
  <si>
    <t>119.3 W, 50.3 N, Elev. 0 m</t>
  </si>
  <si>
    <t>ZZ KAL LAKE</t>
  </si>
  <si>
    <t>119.3 W, 50.2 N, Elev. 4 m</t>
  </si>
  <si>
    <t>1986-04-01 to 1990-07-10</t>
  </si>
  <si>
    <t>ZZ SPRUCE</t>
  </si>
  <si>
    <t>119.9967 W, 50.4133 N, Elev. 1462 m</t>
  </si>
  <si>
    <t>1988-08-28 to 2000-11-01</t>
  </si>
  <si>
    <t>GLIMPSE</t>
  </si>
  <si>
    <t>120.2883 W, 50.27 N, Elev. 1311 m -&gt; 120.2883 W, 50.2704 N, Elev. 1372 m</t>
  </si>
  <si>
    <t>1990-05-14 to 2025-07-22</t>
  </si>
  <si>
    <t>D'ARCY -&gt; DARCY</t>
  </si>
  <si>
    <t>122.498 W, 50.5217 N, Elev. 346 m -&gt; 122.4978 W, 50.5217 N, Elev. 344 m</t>
  </si>
  <si>
    <t>1992-06-21 to 2025-07-22</t>
  </si>
  <si>
    <t>D'ARCY</t>
  </si>
  <si>
    <t>DARCY</t>
  </si>
  <si>
    <t>ZZ MANNING PARK</t>
  </si>
  <si>
    <t>120.8 W, 49 N, Elev. 0 m</t>
  </si>
  <si>
    <t>1978-05-16 to 2000-10-01</t>
  </si>
  <si>
    <t>MERRITT RS</t>
  </si>
  <si>
    <t>120.7457 W, 50.0875 N, Elev. 640 m -&gt; 120.7457 W, 50.0874 N, Elev. 640 m</t>
  </si>
  <si>
    <t>1989-01-06 to 2020-09-29</t>
  </si>
  <si>
    <t>ZZ MERRITT HUB</t>
  </si>
  <si>
    <t>ZZ CORNWALL</t>
  </si>
  <si>
    <t>121.4 W, 50.7 N, Elev. 20 m</t>
  </si>
  <si>
    <t>1979-06-05 to 2000-09-01</t>
  </si>
  <si>
    <t>ZZ TOD MT</t>
  </si>
  <si>
    <t>119.8 W, 50.9 N, Elev. 14 m</t>
  </si>
  <si>
    <t>1981-06-17 to 1982-09-30</t>
  </si>
  <si>
    <t>LYTTON FS</t>
  </si>
  <si>
    <t>121.5867 W, 50.2317 N, Elev. 295 m -&gt; 121.5648 W, 50.2475 N, Elev. 290 m</t>
  </si>
  <si>
    <t>1994-01-09 to 2009-10-20</t>
  </si>
  <si>
    <t>ZZ LYTTON FS</t>
  </si>
  <si>
    <t>FINTRY</t>
  </si>
  <si>
    <t>119.48 W, 50.2067 N, Elev. 670 m -&gt; 119.4804 W, 50.2062 N, Elev. 526 m</t>
  </si>
  <si>
    <t>1990-07-13 to 2025-07-22</t>
  </si>
  <si>
    <t>ZZ ROSE HILL</t>
  </si>
  <si>
    <t>120.3 W, 50.6 N, Elev. 5 m</t>
  </si>
  <si>
    <t>1992-09-21 to 2000-10-01</t>
  </si>
  <si>
    <t>122.835 W, 50.8533 N, Elev. 731 m -&gt; 122.8358 W, 50.8535 N, Elev. 704 m</t>
  </si>
  <si>
    <t>1998-05-11 to 2008-08-18</t>
  </si>
  <si>
    <t>PEMBERTON BASE</t>
  </si>
  <si>
    <t>122.526 W, 50.3806 N, Elev. 38 m -&gt; 122.7287 W, 50.3059 N, Elev. 203 m</t>
  </si>
  <si>
    <t>2001-05-30 to 2025-07-22</t>
  </si>
  <si>
    <t>ASPEN GROVE</t>
  </si>
  <si>
    <t>120.62 W, 49.948 N, Elev. 1065 m -&gt; 120.6211 W, 49.9481 N, Elev. 1065 m</t>
  </si>
  <si>
    <t>1998-11-30 to 2025-07-22</t>
  </si>
  <si>
    <t>ZZ DEWDROP</t>
  </si>
  <si>
    <t>120.6 W, 50.7 N, Elev. 7 m</t>
  </si>
  <si>
    <t>1992-03-30 to 2000-11-01</t>
  </si>
  <si>
    <t>ZZ RED PLATEAU</t>
  </si>
  <si>
    <t>120.6 W, 50.8 N, Elev. 12 m</t>
  </si>
  <si>
    <t>SPARKS LAKE (MB) -&gt; SPARKS LAKE</t>
  </si>
  <si>
    <t>120.8667 W, 50.9233 N, Elev. 1036 m -&gt; 120.8671 W, 50.9237 N, Elev. 960 m</t>
  </si>
  <si>
    <t>1991-03-17 to 2025-07-22</t>
  </si>
  <si>
    <t>SPARKS LAKE</t>
  </si>
  <si>
    <t>FRENCH BAR (MB) -&gt; FRENCH BAR</t>
  </si>
  <si>
    <t>122.255 W, 51.03 N, Elev. 1341 m -&gt; 122.2489 W, 51.1775 N, Elev, 1320 m</t>
  </si>
  <si>
    <t>FRENCH BAR</t>
  </si>
  <si>
    <t>LEIGHTON LK -&gt; LEIGHTON LAKE</t>
  </si>
  <si>
    <t>120.8367 W, 50.6167 N, Elev. 1204 m -&gt; 120.8362 W, 50.6153 N, Elev. 1153 m</t>
  </si>
  <si>
    <t>1989-08-29 to 2025-07-22</t>
  </si>
  <si>
    <t>LEIGHTON LAKE</t>
  </si>
  <si>
    <t>ZZ MANITOU</t>
  </si>
  <si>
    <t>122.7683 W, 51.0517 N, Elev. 1432 m</t>
  </si>
  <si>
    <t>1990-07-20 to 2000-11-01</t>
  </si>
  <si>
    <t>GWYNETH LAKE (MB) -&gt; GWYNETH  LAKE</t>
  </si>
  <si>
    <t>122.88 W, 50.7967 N, Elev. 1250 m -&gt; 122.8805 W, 50.7963 N, Elev. 1191 m</t>
  </si>
  <si>
    <t>1990-07-20 to 2025-07-22</t>
  </si>
  <si>
    <t>GWYNETH LAKE</t>
  </si>
  <si>
    <t>ZZ DOT</t>
  </si>
  <si>
    <t>121.1533 W, 50.2633 N, Elev. 853 m</t>
  </si>
  <si>
    <t>1990-01-08 to 2000-11-01</t>
  </si>
  <si>
    <t>MCLEAN LK -&gt; MCLEAN LAKE</t>
  </si>
  <si>
    <t>121.3583 W, 50.7917 N, Elev. 1128 m -&gt; 121.3581 W, 50.7923 N, Elev. 1123 m</t>
  </si>
  <si>
    <t>1988-10-17 to 2025-07-22</t>
  </si>
  <si>
    <t>MCLEAN LAKE</t>
  </si>
  <si>
    <t>ZZ WENTWORTH</t>
  </si>
  <si>
    <t>120.4867 W, 50.9683 N, Elev. 1646 m</t>
  </si>
  <si>
    <t>1989-10-18 to 2000-11-01</t>
  </si>
  <si>
    <t>ZZ CAHILTY DR3</t>
  </si>
  <si>
    <t>119.838 W, 50.888 N, Elev. 1615 m</t>
  </si>
  <si>
    <t>1987-07-10 to 2000-11-01</t>
  </si>
  <si>
    <t>ZZ MEADOW LAKE DR3</t>
  </si>
  <si>
    <t>124.7 W, 51.3 N, Elev. 10 m</t>
  </si>
  <si>
    <t>1988-11-02 to 2000-07-01</t>
  </si>
  <si>
    <t>ZZ OWL (NEC)</t>
  </si>
  <si>
    <t>122.7967 W, 50.3517 N, Elev. 774 m</t>
  </si>
  <si>
    <t>1996-06-18 to 1998-05-27</t>
  </si>
  <si>
    <t>NAHATLATCH</t>
  </si>
  <si>
    <t>122.0207 W, 49.9018 N, Elev. 1400 m -&gt; 122.0209 W, 49.9018 N, Elev. 551 m</t>
  </si>
  <si>
    <t>2001-07-06 to 2025-07-22</t>
  </si>
  <si>
    <t>120.7667 W, 49.0633 N, Elev. 1215 m -&gt; 120.7668 W, 49.0625 N, Elev. 1174 m</t>
  </si>
  <si>
    <t>1989-05-10 to 2025-07-22</t>
  </si>
  <si>
    <t>ZZ SMITH CREEK</t>
  </si>
  <si>
    <t>120.2183 W, 49.3083 N, Elev. 1402 m</t>
  </si>
  <si>
    <t>1990-03-11 to 2000-11-01</t>
  </si>
  <si>
    <t>ZZ TYNER</t>
  </si>
  <si>
    <t>120.9267 W, 50.3133 N, Elev. 1402 m</t>
  </si>
  <si>
    <t>1990-01-05 to 2000-11-01</t>
  </si>
  <si>
    <t>GREENSTONE HUB (WIND)</t>
  </si>
  <si>
    <t>120.64 W, 50.6117 N, Elev. 1829 m -&gt; 120.6415 W, 50.6112 N, Elev. 1780 m</t>
  </si>
  <si>
    <t>1989-03-22 to 2025-07-22</t>
  </si>
  <si>
    <t>GREENSTONE HUB</t>
  </si>
  <si>
    <t>AFTON</t>
  </si>
  <si>
    <t>120.4817 W, 50.6733 N, Elev. 780 m -&gt; 120.4822 W, 50.6727 N, Elev. 693 m</t>
  </si>
  <si>
    <t>1989-03-17 to 2025-07-22</t>
  </si>
  <si>
    <t>ZZ MID-SLOPE</t>
  </si>
  <si>
    <t>120.5 W, 50.6 N, Elev. 12 m</t>
  </si>
  <si>
    <t>1989-04-16 to 2000-11-01</t>
  </si>
  <si>
    <t>ZZ BOSTON BAR</t>
  </si>
  <si>
    <t>121.435 W, 49.855 N, Elev. 150 m</t>
  </si>
  <si>
    <t>1990-07-16 to 2004-10-29</t>
  </si>
  <si>
    <t>STEMWINDER</t>
  </si>
  <si>
    <t>120.1533 W, 49.38 N, Elev. 579 m</t>
  </si>
  <si>
    <t>1990-03-08 to 2008-08-29</t>
  </si>
  <si>
    <t>STATION BAY 2</t>
  </si>
  <si>
    <t>ZZ STEMWINDER</t>
  </si>
  <si>
    <t>PASKA LAKE</t>
  </si>
  <si>
    <t>120.674 W, 50.504 N, Elev. 1440 m -&gt; 120.674 W, 50.504 N, Elev. 1488 m</t>
  </si>
  <si>
    <t>1999-08-14 to 2025-07-22</t>
  </si>
  <si>
    <t>PENTICTON RS</t>
  </si>
  <si>
    <t>119.5533 W, 49.5183 N, Elev. 427 m -&gt; 119.5529 W, 49.5177 N, Elev. 492 m</t>
  </si>
  <si>
    <t>1988-08-16 to 2025-07-22</t>
  </si>
  <si>
    <t>ZZ LITTLE WHITE</t>
  </si>
  <si>
    <t>119.3 W, 49.7 N, Elev. 0 m</t>
  </si>
  <si>
    <t>1977-05-16 to 2000-10-01</t>
  </si>
  <si>
    <t>ZZ ABERDEEN</t>
  </si>
  <si>
    <t>118.9833 W, 50.1233 N, Elev. 1402 m</t>
  </si>
  <si>
    <t>1991-04-21 to 2000-11-01</t>
  </si>
  <si>
    <t>ASHNOLA (MB) -&gt; ASHNOLA</t>
  </si>
  <si>
    <t>120.1833 W, 49.14 N, Elev. 1335 m -&gt; 120.1844 W, 49.1391 N, Elev. 1683 m</t>
  </si>
  <si>
    <t>1991-09-20 to 2025-07-22</t>
  </si>
  <si>
    <t>ASHNOLA</t>
  </si>
  <si>
    <t>ZZ CHAIN LAKE</t>
  </si>
  <si>
    <t>120.3 W, 49.7 N, Elev. 10 m</t>
  </si>
  <si>
    <t>ZZ CHOPAKA</t>
  </si>
  <si>
    <t>119.7 W, 49 N, Elev. 4 m</t>
  </si>
  <si>
    <t>1990-03-14 to 2001-01-01</t>
  </si>
  <si>
    <t>MCCUDDY</t>
  </si>
  <si>
    <t>119.415 W, 49.1483 N, Elev. 1067 m -&gt; 119.415 W, 49.1483 N, Elev. 1023 m</t>
  </si>
  <si>
    <t>1989-08-11 to 2025-07-22</t>
  </si>
  <si>
    <t>ZZ IDA BELL LAKE</t>
  </si>
  <si>
    <t>119.2 W, 49.7 N, Elev. 12 m</t>
  </si>
  <si>
    <t>1986-05-22 to 1988-07-26</t>
  </si>
  <si>
    <t>ZZ IDA BELL LK II</t>
  </si>
  <si>
    <t>119.1767 W, 49.7367 N, Elev. 1250 m</t>
  </si>
  <si>
    <t>1987-07-31 to 2004-08-05</t>
  </si>
  <si>
    <t>ZZ AGUR LAKE (NEC)</t>
  </si>
  <si>
    <t>119.825 W, 49.57 N, Elev. 1189 m</t>
  </si>
  <si>
    <t>1989-10-02 to 2000-11-01</t>
  </si>
  <si>
    <t>ZZ FS OSOYOOS (NEC)</t>
  </si>
  <si>
    <t>119.5117 W, 49.055 N, Elev. 305 m</t>
  </si>
  <si>
    <t>1994-04-05 to 2000-12-01</t>
  </si>
  <si>
    <t>ZZ KAL LK. II</t>
  </si>
  <si>
    <t>119.2767 W, 50.2367 N, Elev. 457 m</t>
  </si>
  <si>
    <t>1987-07-29 to 2001-01-01</t>
  </si>
  <si>
    <t>HOWARD</t>
  </si>
  <si>
    <t>118.6594 W, 52.3721 N, Elev. 838 m -&gt; 118.6603 W, 52.3721 N, Elev. 838 m</t>
  </si>
  <si>
    <t>1990-01-23 to 2022-06-16</t>
  </si>
  <si>
    <t>ZZ HOWARD</t>
  </si>
  <si>
    <t>SEYMOUR ARM (MB) -&gt; SEYMOUR ARM</t>
  </si>
  <si>
    <t>118.915 W, 51.2733 N, Elev. 549 m -&gt; 118.9147 W, 51.2735 N, Elev. 497 m</t>
  </si>
  <si>
    <t>1990-07-02 to 2025-07-22</t>
  </si>
  <si>
    <t>SEYMOUR ARM</t>
  </si>
  <si>
    <t>ZZ BIG MOUTH</t>
  </si>
  <si>
    <t>118.3612 W, 51.8288 N, Elev. 832 m</t>
  </si>
  <si>
    <t>1993-05-03 to 2003-10-25</t>
  </si>
  <si>
    <t>Southeast Fire Centre</t>
  </si>
  <si>
    <t>Columbia Zone</t>
  </si>
  <si>
    <t>SALMON ARM</t>
  </si>
  <si>
    <t>119.235 W, 50.685 N, Elev. 527 m</t>
  </si>
  <si>
    <t>1989-10-05 to 2023-04-18</t>
  </si>
  <si>
    <t>ZZSALMON ARM</t>
  </si>
  <si>
    <t>ZZ SICAMOUS</t>
  </si>
  <si>
    <t>119 W, 50.8 N, Elev. 0 m</t>
  </si>
  <si>
    <t>1977-05-02 to 2000-10-01</t>
  </si>
  <si>
    <t>Vernon Zone (Salmon Arm)</t>
  </si>
  <si>
    <t>ZZ LAMMERS</t>
  </si>
  <si>
    <t>119.5 W, 51.3 N, Elev. 0 m</t>
  </si>
  <si>
    <t>1977-05-05 to 2000-10-01</t>
  </si>
  <si>
    <t>ZZ LAFORME CREEK</t>
  </si>
  <si>
    <t>118.2 W, 51.2 N, Elev. 5 m</t>
  </si>
  <si>
    <t>1978-05-01 to 2000-09-01</t>
  </si>
  <si>
    <t>ZZ TFL 33</t>
  </si>
  <si>
    <t>118.9633 W, 50.92 N, Elev. 1250 m</t>
  </si>
  <si>
    <t>1990-07-03 to 2004-09-22</t>
  </si>
  <si>
    <t>ZZ SIMARD (NEC)</t>
  </si>
  <si>
    <t>118.6467 W, 50.6117 N, Elev. 1768 m</t>
  </si>
  <si>
    <t>1990-07-25 to 2000-11-01</t>
  </si>
  <si>
    <t>CURWEN CREEK (MB) -&gt; CURWEN CREEK</t>
  </si>
  <si>
    <t>118.4233 W, 50.6033 N, Elev. 1250 m -&gt; 118.4229 W, 50.6022 N, Elev. 1286 m</t>
  </si>
  <si>
    <t>1990-07-09 to 2025-07-22</t>
  </si>
  <si>
    <t>CURWEN CREEK</t>
  </si>
  <si>
    <t>ZZ LAMBERTON PASS</t>
  </si>
  <si>
    <t>119.3983 W, 51.01 N, Elev. 1097 m</t>
  </si>
  <si>
    <t>1990-07-02 to 2000-11-01</t>
  </si>
  <si>
    <t>ZZ YARD CREEK</t>
  </si>
  <si>
    <t>118.7 W, 50.7 N, Elev. 13 m</t>
  </si>
  <si>
    <t>1979-06-04 to 2000-10-01</t>
  </si>
  <si>
    <t>ZZ GOLDSTREAM</t>
  </si>
  <si>
    <t>118.6578 W, 51.7453 N, Elev. 632 m</t>
  </si>
  <si>
    <t>1993-05-19 to 2005-09-13</t>
  </si>
  <si>
    <t>ZZ SPRAGUE</t>
  </si>
  <si>
    <t>118.5 W, 52.2 N, Elev. 12 m</t>
  </si>
  <si>
    <t>1993-05-02 to 1997-05-12</t>
  </si>
  <si>
    <t>ZZ KINGFISHER CK (NEC)</t>
  </si>
  <si>
    <t>118.7583 W, 50.6983 N, Elev. 640 m</t>
  </si>
  <si>
    <t>1990-07-09 to 2000-11-01</t>
  </si>
  <si>
    <t>ZZ MALAKWA</t>
  </si>
  <si>
    <t>118.8 W, 51 N, Elev. 10 m</t>
  </si>
  <si>
    <t>1983-05-02 to 1983-09-30</t>
  </si>
  <si>
    <t>ZZ MABLE  LK.</t>
  </si>
  <si>
    <t>118.7 W, 50.4 N, Elev. 4 m</t>
  </si>
  <si>
    <t>1984-05-01 to 2000-10-01</t>
  </si>
  <si>
    <t>ZZ TRACY CREEK</t>
  </si>
  <si>
    <t>119.44 W, 51.265 N, Elev. 1067 m</t>
  </si>
  <si>
    <t>1990-07-28 to 2000-11-01</t>
  </si>
  <si>
    <t>TSAR CREEK</t>
  </si>
  <si>
    <t>118.1025 W, 51.9972 N, Elev. 1200 m</t>
  </si>
  <si>
    <t>1990-05-13 to 2025-07-22</t>
  </si>
  <si>
    <t>MABEL LK II</t>
  </si>
  <si>
    <t>118.7733 W, 50.3517 N, Elev. 488 m -&gt; 118.7735 W, 50.3514 N, Elev. 562 m</t>
  </si>
  <si>
    <t>1904-04-23 to 2025-07-22</t>
  </si>
  <si>
    <t>MABEL LAKE 2</t>
  </si>
  <si>
    <t>REVELSTOKE FS -&gt; REVELSTOKE</t>
  </si>
  <si>
    <t>118.2172 W, 51.0603 N, Elev. 680 m</t>
  </si>
  <si>
    <t>1995-06-29 to 2025-07-22</t>
  </si>
  <si>
    <t>REVELSTOKE</t>
  </si>
  <si>
    <t>ZZ SOR-NIE</t>
  </si>
  <si>
    <t>118.1855 W, 51.4708 N, Elev. 761 m</t>
  </si>
  <si>
    <t>1994-09-04 to 2005-07-12</t>
  </si>
  <si>
    <t>ZZ ORIG CRAWFORD</t>
  </si>
  <si>
    <t>117.943 W, 50.7288 N, Elev. 1000 m</t>
  </si>
  <si>
    <t>1994-10-15 to 2005-04-12</t>
  </si>
  <si>
    <t>WHISKEY</t>
  </si>
  <si>
    <t>116.785 W, 51.0653 N, Elev. 1300 m -&gt; 116.785 W, 51.0653 N, Elev. 1354 m</t>
  </si>
  <si>
    <t>1976-05-21 to 2025-07-22</t>
  </si>
  <si>
    <t>Invermere Zone</t>
  </si>
  <si>
    <t>MARION</t>
  </si>
  <si>
    <t>116.3638 W, 51.0422 N, Elev. 1300 m</t>
  </si>
  <si>
    <t>1991-10-06 to 2025-07-22</t>
  </si>
  <si>
    <t>ZZ SPILLIMACHEEN</t>
  </si>
  <si>
    <t>116.4 W, 50.9 N, Elev. 0 m</t>
  </si>
  <si>
    <t>1982-05-01 to 2000-09-01</t>
  </si>
  <si>
    <t>ZZ KINBASKET</t>
  </si>
  <si>
    <t>118 W, 52 N, Elev. 9 m</t>
  </si>
  <si>
    <t>1982-05-31 to 1983-09-30</t>
  </si>
  <si>
    <t>ZZ GLACIER PARK</t>
  </si>
  <si>
    <t>117.5 W, 51.3 N, Elev. 0 m</t>
  </si>
  <si>
    <t>1989-01-01 to 1989-01-01</t>
  </si>
  <si>
    <t>ZZ DRIFTWOOD</t>
  </si>
  <si>
    <t>116.338 W, 50.8458 N, Elev. 938 m</t>
  </si>
  <si>
    <t>1989-08-17 to 2004-05-17</t>
  </si>
  <si>
    <t>SUCCOUR CREEK</t>
  </si>
  <si>
    <t>117.5417 W, 51.7162 N, Elev. 1000 m</t>
  </si>
  <si>
    <t>ZZ DONALD CREEK</t>
  </si>
  <si>
    <t>117.1638 W, 51.4312 N, Elev. 1300 m</t>
  </si>
  <si>
    <t>1990-06-09 to 2003-10-30</t>
  </si>
  <si>
    <t>TABERNACLE S/F (WIND)</t>
  </si>
  <si>
    <t>117.7613 W, 51.7513 N, Elev. 2438 m</t>
  </si>
  <si>
    <t>1997-06-22 to 2025-07-22</t>
  </si>
  <si>
    <t>TABERNACLE (WIND)</t>
  </si>
  <si>
    <t>TABERNACLE WIND</t>
  </si>
  <si>
    <t>ZZ NAKUSP RS</t>
  </si>
  <si>
    <t>117.7763 W, 50.2525 N, Elev. 651 m</t>
  </si>
  <si>
    <t>1989-04-20 to 2003-02-20</t>
  </si>
  <si>
    <t>Arrow Zone</t>
  </si>
  <si>
    <t>ZZ RIONDEL</t>
  </si>
  <si>
    <t>116.851 W, 49.747 N, Elev. 701 m</t>
  </si>
  <si>
    <t>1992-05-24 to 2001-07-04</t>
  </si>
  <si>
    <t>Kootenay Lake Zone</t>
  </si>
  <si>
    <t>GOLD HILL</t>
  </si>
  <si>
    <t>117.0645 W, 50.3658 N, Elev. 800 m</t>
  </si>
  <si>
    <t>1992-05-21 to 2025-07-22</t>
  </si>
  <si>
    <t>POWDER CREEK</t>
  </si>
  <si>
    <t>116.8551 W, 49.9065 N, Elev. 1019 m</t>
  </si>
  <si>
    <t>2001-07-04 to 2025-07-22</t>
  </si>
  <si>
    <t>ZZ FAUQUIER</t>
  </si>
  <si>
    <t>117.9 W, 50.3 N, Elev. 0 m</t>
  </si>
  <si>
    <t>1979-06-11 to 2000-10-01</t>
  </si>
  <si>
    <t>ZZ CRESTON DR1</t>
  </si>
  <si>
    <t>116.5 W, 49 N, Elev. 0 m</t>
  </si>
  <si>
    <t>1979-06-01 to 2000-10-01</t>
  </si>
  <si>
    <t>FALLS CK -&gt; FALLS CREEK</t>
  </si>
  <si>
    <t>117.8799 W, 50.383 N, Elev. 790 m</t>
  </si>
  <si>
    <t>2002-10-01 to 2025-07-22</t>
  </si>
  <si>
    <t>FALLS CREEK</t>
  </si>
  <si>
    <t>HOWSER</t>
  </si>
  <si>
    <t>117.0017 W, 50.3663 N, Elev. 1300 m</t>
  </si>
  <si>
    <t>1990-06-02 to 2010-09-08</t>
  </si>
  <si>
    <t>ZZ HOWSER</t>
  </si>
  <si>
    <t>DUNCAN</t>
  </si>
  <si>
    <t>117.1805 W, 50.7808 N, Elev. 1376 m</t>
  </si>
  <si>
    <t>ZZ KETTLE</t>
  </si>
  <si>
    <t>118.5 W, 49.8 N, Elev. 12 m</t>
  </si>
  <si>
    <t>1986-05-12 to 2000-08-01</t>
  </si>
  <si>
    <t>Boundary Zone</t>
  </si>
  <si>
    <t>117.4645 W, 50.6213 N, Elev. 991 m -&gt; 117.4272 W, 50.6053 N, Elev. 991 m</t>
  </si>
  <si>
    <t>1990-06-02 to 2025-07-22</t>
  </si>
  <si>
    <t>KETTLE II -&gt; KETTLE 2</t>
  </si>
  <si>
    <t>118.625 W, 49.96 N, Elev. 1341 m -&gt; 118.626 W, 49.96 N, Elev. 1389 m</t>
  </si>
  <si>
    <t>1987-08-09 to 2025-07-22</t>
  </si>
  <si>
    <t>KETTLE 2</t>
  </si>
  <si>
    <t>ZZ LAVINA</t>
  </si>
  <si>
    <t>116.8967 W, 50.2533 N, Elev. 2259 m</t>
  </si>
  <si>
    <t>1991-06-14 to 2000-10-01</t>
  </si>
  <si>
    <t>BEAVERDELL</t>
  </si>
  <si>
    <t>119.0883 W, 49.457 N, Elev. 807 m -&gt; 119.0886 W, 49.4564 N, Elev. 807 m</t>
  </si>
  <si>
    <t>1989-04-13 to 2025-07-22</t>
  </si>
  <si>
    <t>8 MILE -&gt; EIGHT MILE</t>
  </si>
  <si>
    <t>118.5783 W, 49.4328 N, Elev. 1338 m</t>
  </si>
  <si>
    <t>1993-05-08 to 2025-07-22</t>
  </si>
  <si>
    <t>EIGHT MILE</t>
  </si>
  <si>
    <t>GRAND FORKS</t>
  </si>
  <si>
    <t>118.4156 W, 49.0307 N, Elev. 630 m</t>
  </si>
  <si>
    <t>1989-05-17 to 2025-07-22</t>
  </si>
  <si>
    <t>NICOLL</t>
  </si>
  <si>
    <t>118.3603 W, 49.5267 N, Elev. 866 m</t>
  </si>
  <si>
    <t>1988-10-28 to 2025-07-22</t>
  </si>
  <si>
    <t>ROCK CREEK</t>
  </si>
  <si>
    <t>118.9367 W, 49.052 N, Elev. 609 m</t>
  </si>
  <si>
    <t>1991-09-17 to 2025-07-22</t>
  </si>
  <si>
    <t>-&gt; Castlegar (EC)</t>
  </si>
  <si>
    <t>CASTLEGAR (EC)</t>
  </si>
  <si>
    <t>OCTOPUS CREEK</t>
  </si>
  <si>
    <t>118.081 W, 49.699 N, Elev. 1432 m</t>
  </si>
  <si>
    <t>2000-09-09 to 2025-07-22</t>
  </si>
  <si>
    <t>ZZ NELWAY</t>
  </si>
  <si>
    <t>117.3 W, 49 N, Elev. 0 m</t>
  </si>
  <si>
    <t>CRESTON</t>
  </si>
  <si>
    <t>116.4958 W, 49.038 N, Elev. 683 m</t>
  </si>
  <si>
    <t>1989-10-22 to 2014-09-30</t>
  </si>
  <si>
    <t>ZZ CRESTON</t>
  </si>
  <si>
    <t>ZZ HARROP NURSERY</t>
  </si>
  <si>
    <t>117 W, 49.6 N, Elev. 0 m</t>
  </si>
  <si>
    <t>1983-05-01 to 1984-09-30</t>
  </si>
  <si>
    <t>ZZ REDFISH</t>
  </si>
  <si>
    <t>117.1 W, 49.6 N, Elev. 0 m</t>
  </si>
  <si>
    <t>1985-05-01 to 2000-10-01</t>
  </si>
  <si>
    <t>116.1638 W, 49.1253 N, Elev. 1098 m</t>
  </si>
  <si>
    <t>1993-04-11 to 2025-07-22</t>
  </si>
  <si>
    <t>PENDOREILLE</t>
  </si>
  <si>
    <t>117.4128 W, 49.053 N, Elev. 813 m -&gt; 117.4139 W, 49.0506 N, Elev. 725 m</t>
  </si>
  <si>
    <t>ZZ DUHAMEL</t>
  </si>
  <si>
    <t>117.3 W, 49.6 N, Elev. 6 m</t>
  </si>
  <si>
    <t>1989-05-04 to 2000-07-01</t>
  </si>
  <si>
    <t>SMALLWOOD</t>
  </si>
  <si>
    <t>117.4475 W, 49.4967 N, Elev. 997 m</t>
  </si>
  <si>
    <t>1991-07-22 to 2025-07-22</t>
  </si>
  <si>
    <t>ZZ EDGEWOOD</t>
  </si>
  <si>
    <t>118.2 W, 49.8 N, Elev. 15 m</t>
  </si>
  <si>
    <t>1992-06-15 to 2000-11-01</t>
  </si>
  <si>
    <t>SLOCAN</t>
  </si>
  <si>
    <t>117.44 W, 49.7847 N, Elev. 1230 m</t>
  </si>
  <si>
    <t>1991-10-13 to 2025-07-22</t>
  </si>
  <si>
    <t>NANCY GREENE</t>
  </si>
  <si>
    <t>117.9942 W, 49.2545 N, Elev. 1397 m</t>
  </si>
  <si>
    <t>1991-10-12 to 2025-07-22</t>
  </si>
  <si>
    <t>NORNS (WIND)</t>
  </si>
  <si>
    <t>117.787 W, 49.5025 N, Elev. 2423 m</t>
  </si>
  <si>
    <t>1992-08-28 to 2025-07-22</t>
  </si>
  <si>
    <t>NORNS</t>
  </si>
  <si>
    <t>ZZ BLUE LAKE (NEC)</t>
  </si>
  <si>
    <t>116.0217 W, 50.1722 N, Elev. 1301 m</t>
  </si>
  <si>
    <t>1994-04-18 to 2002-10-02</t>
  </si>
  <si>
    <t>PALLISER</t>
  </si>
  <si>
    <t>115.658 W, 50.49 N, Elev. 1100 m -&gt; 115.6664 W, 50.4946 N, Elev. 1100 m</t>
  </si>
  <si>
    <t>1997-09-30 to 2025-07-22</t>
  </si>
  <si>
    <t>ELKO</t>
  </si>
  <si>
    <t>115.2433 W, 49.2833 N, Elev. 775 m -&gt; 115.1545 W, 49.2876 N, Elev. 876 m</t>
  </si>
  <si>
    <t>1997-10-02 to 2025-07-22</t>
  </si>
  <si>
    <t>Cranbrook Zone</t>
  </si>
  <si>
    <t>ZZ INVERMERE R/S</t>
  </si>
  <si>
    <t>116 W, 50.5 N, Elev. 0 m</t>
  </si>
  <si>
    <t>ZZ FLATHEAD</t>
  </si>
  <si>
    <t>114.5 W, 49 N, Elev. 0 m</t>
  </si>
  <si>
    <t>1979-06-06 to 2000-10-01</t>
  </si>
  <si>
    <t>-&gt;Sparwood (EC)</t>
  </si>
  <si>
    <t>SPARWOOD (EC)</t>
  </si>
  <si>
    <t>ZZ KIKOMUN PARK</t>
  </si>
  <si>
    <t>115.2 W, 49.3 N, Elev. 10 m</t>
  </si>
  <si>
    <t>1989-04-19 to 2001-01-01</t>
  </si>
  <si>
    <t>TOBY -&gt; TOBY HUB</t>
  </si>
  <si>
    <t>116.0553 W, 50.5128 N, Elev. 894 m</t>
  </si>
  <si>
    <t>1989-04-19 to 2025-07-22</t>
  </si>
  <si>
    <t>TOBY HUB</t>
  </si>
  <si>
    <t>FLATHEAD 2</t>
  </si>
  <si>
    <t>114.5372 W, 49.0708 N, Elev. 1311 m -&gt; 114.5373 W, 49.0791 N, Elev. 1311 m</t>
  </si>
  <si>
    <t>1993-05-30 to 2025-07-22</t>
  </si>
  <si>
    <t>JOHNSON LAKE</t>
  </si>
  <si>
    <t>115.7367 W, 49.922 N, Elev. 853 m -&gt; 115.7583 W, 49.9444 N, Elev. 853 m</t>
  </si>
  <si>
    <t>ZZ QUINN</t>
  </si>
  <si>
    <t>115.2 W, 49.8 N, Elev. 17 m</t>
  </si>
  <si>
    <t>1986-06-09 to 2000-10-01</t>
  </si>
  <si>
    <t>DEWAR CREEK</t>
  </si>
  <si>
    <t>116.383 W, 49.7845 N, Elev. 1608 m</t>
  </si>
  <si>
    <t>ZZ BULL</t>
  </si>
  <si>
    <t>115.1388 W, 49.9025 N, Elev. 1326 m</t>
  </si>
  <si>
    <t>1993-05-08 to 2004-09-15</t>
  </si>
  <si>
    <t>BAKER HUB (WIND)</t>
  </si>
  <si>
    <t>115.6263 W, 49.4562 N, Elev. 2262 m</t>
  </si>
  <si>
    <t>1992-11-30 to 2008-02-29</t>
  </si>
  <si>
    <t>ZZ BAKER HUB AWL</t>
  </si>
  <si>
    <t>EMILY CREEK</t>
  </si>
  <si>
    <t>115.9772 W, 50.1451 N, Elev. 1190 m</t>
  </si>
  <si>
    <t>2002-10-02 to 2025-07-22</t>
  </si>
  <si>
    <t>CRANBROOK FS</t>
  </si>
  <si>
    <t>115.848 W, 49.6673 N, Elev. 996 m -&gt; 115.8483 W, 49.6673 N, Elev. 996 m</t>
  </si>
  <si>
    <t>2001-06-29 to 2025-07-22</t>
  </si>
  <si>
    <t>CRANBROOK</t>
  </si>
  <si>
    <t>NASS CAMP</t>
  </si>
  <si>
    <t>128.9933 W, 55.2883 N, Elev. 191 m -&gt; 128.9984 W, 55.2886 N, Elev. 176</t>
  </si>
  <si>
    <t>1989-10-29 to 2025-07-22</t>
  </si>
  <si>
    <t>KISPIOX -&gt; KISPIOX HUB</t>
  </si>
  <si>
    <t>127.6467 W, 55.435 N, Elev. 335 m -&gt; 127.6487 W, 55.4343 N, Elev. 328 m</t>
  </si>
  <si>
    <t>1989-08-27 to 2025-07-22</t>
  </si>
  <si>
    <t>KISPIOX HUB</t>
  </si>
  <si>
    <t>Bulkley Zone (Kispiox)</t>
  </si>
  <si>
    <t>CEDARVALE</t>
  </si>
  <si>
    <t>128.3133 W, 55.0267 N, Elev. 274 m -&gt; 128.3115 W, 55.0301  N, Elev. 174 m</t>
  </si>
  <si>
    <t>VAN DYKE</t>
  </si>
  <si>
    <t>129.0967 W, 56.0167 N, Elev. 305 m -&gt; 129.0998 W, 56.0127 N, Elev. 296 m</t>
  </si>
  <si>
    <t>1992-05-14 to 2025-07-22</t>
  </si>
  <si>
    <t>UPPER KISPIOX</t>
  </si>
  <si>
    <t>128.0417 W, 55.6 N, Elev. 410 m -&gt; 128.0478 W, 55.6015 N. Elev. 410 m</t>
  </si>
  <si>
    <t>1989-08-26 to 2025-07-22</t>
  </si>
  <si>
    <t>BELL-IRVING</t>
  </si>
  <si>
    <t>129.2933 W, 56.3483 N, Elev. 450 m -&gt; 129.2928 W, 56.3486 N. Elev. 391 m</t>
  </si>
  <si>
    <t>1995-06-07 to 2025-07-22</t>
  </si>
  <si>
    <t>CRANBERRY</t>
  </si>
  <si>
    <t>128.705 W, 55.5767 N, Elev. 500 m -&gt; 127.335 W, 55.5768 N, Elev. 496</t>
  </si>
  <si>
    <t>1995-08-01 to 2025-07-22</t>
  </si>
  <si>
    <t>-&gt; Fort St John (EC)</t>
  </si>
  <si>
    <t>FORT ST JOHN (NC)</t>
  </si>
  <si>
    <t>-&gt; Dawson Creek (NC)</t>
  </si>
  <si>
    <t>DAWSON CREEK (NC)</t>
  </si>
  <si>
    <t>ZZ KELLY LAKE</t>
  </si>
  <si>
    <t>120.1 W, 55.3 N, Elev. 7 m</t>
  </si>
  <si>
    <t>1986-04-14 to 2000-10-01</t>
  </si>
  <si>
    <t>NOEL</t>
  </si>
  <si>
    <t>120.4861 W, 55.2958 N, Elev. 988 m -&gt; 120.485 W, 55.2956 N, Elev. 977 m</t>
  </si>
  <si>
    <t>1996-06-19 to 2025-07-22</t>
  </si>
  <si>
    <t>ELK MOUNTAIN</t>
  </si>
  <si>
    <t>125.5114 W, 59.3337 N, Elev. 437 m -&gt; 125.5114 W, 59.3336 N, Elev. 437 m</t>
  </si>
  <si>
    <t>1993-05-29 to 2025-07-22</t>
  </si>
  <si>
    <t>FIRESIDE</t>
  </si>
  <si>
    <t>127.3349 W, 59.7227 N, Elev. 731 m -&gt; 127.335 W, 59.7226 N, Elev. 735 m</t>
  </si>
  <si>
    <t>1996-05-17 to 2025-07-22</t>
  </si>
  <si>
    <t>ZZ COAL RIVER</t>
  </si>
  <si>
    <t>127 W, 59.7 N, Elev. 5 m</t>
  </si>
  <si>
    <t>1979-05-07 to 2000-09-01</t>
  </si>
  <si>
    <t>ZZ BURNT ROSE</t>
  </si>
  <si>
    <t>128.1 W, 59.1 N, Elev. 0 m</t>
  </si>
  <si>
    <t>1981-06-08 to 1983-08-09</t>
  </si>
  <si>
    <t>ZZ GOOD HOPE LAKE</t>
  </si>
  <si>
    <t>129.3 W, 59.3 N, Elev. 8 m</t>
  </si>
  <si>
    <t>1983-07-12 to 2000-09-01</t>
  </si>
  <si>
    <t>KETCHIKA</t>
  </si>
  <si>
    <t>127.125 W, 58.727 N, Elev. 687 m</t>
  </si>
  <si>
    <t>1996-05-07 to 2025-05-03</t>
  </si>
  <si>
    <t>BOYA LAKE</t>
  </si>
  <si>
    <t>129.11 W, 59.3683 N, Elev. 730 m -&gt; 129.111 W, 59.3673 N, Elev. 742 m</t>
  </si>
  <si>
    <t>1995-06-22 to 2025-07-22</t>
  </si>
  <si>
    <t>ZZ LIARD PLAIN</t>
  </si>
  <si>
    <t>127.2 W, 59.7 N, Elev. 7 m</t>
  </si>
  <si>
    <t>1992-05-10 to 1992-08-13</t>
  </si>
  <si>
    <t>FROTH S/F (WIND)</t>
  </si>
  <si>
    <t>119.255 W, 52.0106 N, Elev. 2164 m -&gt; 119.255 W, 52.0105 N, Elev. 2149 m</t>
  </si>
  <si>
    <t>2005-08-31 to 2024-11-05</t>
  </si>
  <si>
    <t>Precipitation Amount|Rainfall 1hr|Rainfall 24hr|Relative Humidity|Relative Humidity (Mean)|Wind Direction|Wind Direction (Mean)|Wind Speed|Wind Speed (Mean)</t>
  </si>
  <si>
    <t>FROTH (WIND)</t>
  </si>
  <si>
    <t>FROTH-WIND</t>
  </si>
  <si>
    <t>No</t>
  </si>
  <si>
    <t>SILVERSTAR SF</t>
  </si>
  <si>
    <t>119.0654167 W, 50.3682 N, Elev. 1880 m</t>
  </si>
  <si>
    <t>2018-06-26 to 2025-07-21</t>
  </si>
  <si>
    <t>BAKER 2 HUB -&gt; BAKER</t>
  </si>
  <si>
    <t>115.6263 W, 49.4562 N, Elev. 2262 m -&gt; 115.6303 W, 49.4589 N, Elev. 2262 m</t>
  </si>
  <si>
    <t>2007-06-26 to 2025-07-22</t>
  </si>
  <si>
    <t>Precipitation Amount|Rainfall 1hr|Rainfall 24hr|Relative Humidity|Relative Humidity (Mean)|Temperature (Point)|Wind Direction|Wind Direction (Mean)|Wind Speed|Wind Speed (Mean)</t>
  </si>
  <si>
    <t>BAKER EAST/WEST HUB</t>
  </si>
  <si>
    <t>BAKER</t>
  </si>
  <si>
    <t>ZZ TOQUART</t>
  </si>
  <si>
    <t>125 W, 49 N, Elev. 40 m</t>
  </si>
  <si>
    <t>1990-07-12 to 1993-10-05</t>
  </si>
  <si>
    <t>ZZ UCLUELET</t>
  </si>
  <si>
    <t>125.6 W, 48.9 N, Elev. 1 m</t>
  </si>
  <si>
    <t>1989-03-26 to 1989-09-13</t>
  </si>
  <si>
    <t>ZZ STEWARDSON</t>
  </si>
  <si>
    <t>126.3 W, 49.4 N, Elev. 0 m</t>
  </si>
  <si>
    <t>1990-04-27 to 2000-08-01</t>
  </si>
  <si>
    <t>ZZ BR 304</t>
  </si>
  <si>
    <t>125.6 W, 49.1 N, Elev. 8 m</t>
  </si>
  <si>
    <t>1989-04-25 to 2000-10-01</t>
  </si>
  <si>
    <t>ZZ TM 35</t>
  </si>
  <si>
    <t>125.7 W, 49.2 N, Elev. 0 m</t>
  </si>
  <si>
    <t>1989-04-10 to 2000-10-01</t>
  </si>
  <si>
    <t>ZZ SNUG</t>
  </si>
  <si>
    <t>125 W, 49.1 N, Elev. 1 m</t>
  </si>
  <si>
    <t>1989-05-01 to 2000-10-01</t>
  </si>
  <si>
    <t>ZZ TSULQUATE</t>
  </si>
  <si>
    <t>127.5 W, 50.7 N, Elev. 1 m</t>
  </si>
  <si>
    <t>ZZ JENNIS BAY</t>
  </si>
  <si>
    <t>126.9 W, 50.9 N, Elev. 2 m</t>
  </si>
  <si>
    <t>1989-05-01 to 1994-09-19</t>
  </si>
  <si>
    <t>ZZ BEDINGFIELD</t>
  </si>
  <si>
    <t>125.9 W, 49.1 N, Elev. 0 m</t>
  </si>
  <si>
    <t>1990-06-01 to 1990-09-07</t>
  </si>
  <si>
    <t>ZZ CYPRE</t>
  </si>
  <si>
    <t>125.9014 W, 49.27975 N, Elev. 0 m</t>
  </si>
  <si>
    <t>1989-05-31 to 2000-10-01</t>
  </si>
  <si>
    <t>ZZ MOOYAH BAY</t>
  </si>
  <si>
    <t>126.5 W, 49.6 N, Elev. 0 m</t>
  </si>
  <si>
    <t>1991-05-01 to 2000-09-01</t>
  </si>
  <si>
    <t>ZZ NOOTKA</t>
  </si>
  <si>
    <t>126.5 W, 49.4 N, Elev. 30 m</t>
  </si>
  <si>
    <t>1992-05-01 to 1993-10-31</t>
  </si>
  <si>
    <t>ZZ BRANCH 417</t>
  </si>
  <si>
    <t>125 W, 48.9 N, Elev. 2 m</t>
  </si>
  <si>
    <t>1992-08-01 to 2000-09-01</t>
  </si>
  <si>
    <t>ZZ FORTUNE</t>
  </si>
  <si>
    <t>125.4 W, 49.2 N, Elev. 1 m</t>
  </si>
  <si>
    <t>1993-04-19 to 1995-08-19</t>
  </si>
  <si>
    <t>ZZ WHISKEY CREEK</t>
  </si>
  <si>
    <t>124 W, 50 N, Elev. 0 m</t>
  </si>
  <si>
    <t>1989-06-21 to 2000-10-01</t>
  </si>
  <si>
    <t>ZZ BUTTLE LK</t>
  </si>
  <si>
    <t>125.4 W, 49.5 N, Elev. 3 m</t>
  </si>
  <si>
    <t>1990-06-14 to 1990-10-23</t>
  </si>
  <si>
    <t>ZZ QUADRA ISLAND</t>
  </si>
  <si>
    <t>125.2 W, 50.2 N, Elev. 50 m</t>
  </si>
  <si>
    <t>1996-06-05 to 2000-10-01</t>
  </si>
  <si>
    <t>ZZ BOLDUC</t>
  </si>
  <si>
    <t>123.6 W, 48.6 N, Elev. 482 m</t>
  </si>
  <si>
    <t>1992-06-03 to 2000-10-01</t>
  </si>
  <si>
    <t>ZZ GILLIES BAY</t>
  </si>
  <si>
    <t>124.3 W, 49.4 N, Elev. 5 m</t>
  </si>
  <si>
    <t>1989-04-22 to 2000-11-01</t>
  </si>
  <si>
    <t>ZZ BUCKLEY M&amp;B BB42</t>
  </si>
  <si>
    <t>124.9 W, 49.5 N, Elev. 0 m</t>
  </si>
  <si>
    <t>1989-04-15 to 2000-10-01</t>
  </si>
  <si>
    <t>BC-FWx -&gt; CRD-WS</t>
  </si>
  <si>
    <t>31N CRD</t>
  </si>
  <si>
    <t>123.6375 W, 48.5297 N, Elev. 600 m</t>
  </si>
  <si>
    <t>2019-03-28 to 2019-12-07</t>
  </si>
  <si>
    <t>31N (CRD)</t>
  </si>
  <si>
    <t>Capital Regional District</t>
  </si>
  <si>
    <t>ZZ DENMAN</t>
  </si>
  <si>
    <t>124.7 W, 49.6 N, Elev. 0 m</t>
  </si>
  <si>
    <t>1989-04-15 to 1990-10-15</t>
  </si>
  <si>
    <t>ZZ WATERLOO</t>
  </si>
  <si>
    <t>124 W, 48.6 N, Elev. 7 m</t>
  </si>
  <si>
    <t>1990-07-08 to 2000-10-01</t>
  </si>
  <si>
    <t>ZZ HORNBY ISLAND</t>
  </si>
  <si>
    <t>124 W, 49 N, Elev. 0 m</t>
  </si>
  <si>
    <t>1990-09-18 to 2000-10-01</t>
  </si>
  <si>
    <t>ZZ GABRIOLA</t>
  </si>
  <si>
    <t>123.8333 W, 49.1867 N, Elev. 25 m</t>
  </si>
  <si>
    <t>1991-06-17 to 2000-11-01</t>
  </si>
  <si>
    <t>ZZ BUCKLEY M&amp;B BB80</t>
  </si>
  <si>
    <t>1992-04-15 to 2000-10-01</t>
  </si>
  <si>
    <t>ZZ MCNAB CREEK</t>
  </si>
  <si>
    <t>123.383 W, 49.566 N, Elev. 4 m</t>
  </si>
  <si>
    <t>1992-05-31 to 1993-08-06</t>
  </si>
  <si>
    <t>ZZ MAYNE IS.</t>
  </si>
  <si>
    <t>123.3 W, 48.7 N, Elev. 0 m</t>
  </si>
  <si>
    <t>1994-04-25 to 1994-10-14</t>
  </si>
  <si>
    <t>ZZ INDIAN RIVER</t>
  </si>
  <si>
    <t>122.8 W, 49.5 N, Elev. 4 m</t>
  </si>
  <si>
    <t>1990-07-10 to 1990-10-13</t>
  </si>
  <si>
    <t>ZZ SOWAQUA</t>
  </si>
  <si>
    <t>121 W, 49 N, Elev. 11 m</t>
  </si>
  <si>
    <t>1992-05-26 to 2000-10-01</t>
  </si>
  <si>
    <t>ZZ HAIG BASE TEMP</t>
  </si>
  <si>
    <t>121.492 W, 49.369 N, Elev. 162 m</t>
  </si>
  <si>
    <t>2001-04-25 to 2001-10-19</t>
  </si>
  <si>
    <t>Attribution, ID, Name, Location</t>
  </si>
  <si>
    <t>BC-FWx -&gt; MVRD</t>
  </si>
  <si>
    <t>554 -&gt; 01FW01</t>
  </si>
  <si>
    <t>-&gt; Capilano Fire Weather</t>
  </si>
  <si>
    <t>0 W, null N, Elev. null m -&gt; 123.10394 W, 49.44491N, Elev. 295 m</t>
  </si>
  <si>
    <t>2022-02-24 to 2025-07-21</t>
  </si>
  <si>
    <t>01FW01</t>
  </si>
  <si>
    <t>Capilano Fire Weather</t>
  </si>
  <si>
    <t>MVRD/WS</t>
  </si>
  <si>
    <t>In an opening at near Clyde's Pit</t>
  </si>
  <si>
    <t>Peter Marshall, Watersheds &amp; Environment</t>
  </si>
  <si>
    <t>604-318-7115</t>
  </si>
  <si>
    <t>USUW</t>
  </si>
  <si>
    <t>CAPILANO GVRD</t>
  </si>
  <si>
    <t>Greater Vancouver Water District</t>
  </si>
  <si>
    <t>555 -&gt; 02FW02</t>
  </si>
  <si>
    <t>-&gt; Seymour Fire Weather</t>
  </si>
  <si>
    <t>0 W, null N, Elev. null m  -&gt;'122.9463056 W, 49.48588889 N, Elev. 375 m</t>
  </si>
  <si>
    <t>02FW02</t>
  </si>
  <si>
    <t>Seymour Fire Weather</t>
  </si>
  <si>
    <t>At the end of Eldee Branch on the east side of Seymour Lake</t>
  </si>
  <si>
    <t>SEYMOUR GVRD</t>
  </si>
  <si>
    <t>556 -&gt; 04FW01</t>
  </si>
  <si>
    <t>-&gt; Coquitlam Fire Weather</t>
  </si>
  <si>
    <t>0 W, null N, Elev. null m -&gt; 122.7536111 W, 49.36386111 N, Elev. 352 m</t>
  </si>
  <si>
    <t>04FW01</t>
  </si>
  <si>
    <t>Coquitlam Fire Weather</t>
  </si>
  <si>
    <t>At the junction of Or and Ford branches. Station has moved two times</t>
  </si>
  <si>
    <t>COQUITLAM GVRD</t>
  </si>
  <si>
    <t>ZZ SCAR 2</t>
  </si>
  <si>
    <t>125.6 W, 51.1 N, Elev. 10 m</t>
  </si>
  <si>
    <t>1991-06-13 to 2000-08-01</t>
  </si>
  <si>
    <t>ZZ HUNAECHIN</t>
  </si>
  <si>
    <t>124 W, 50.1 N, Elev. 1 m</t>
  </si>
  <si>
    <t>1991-07-11 to 2000-08-01</t>
  </si>
  <si>
    <t>ZZ COLLINS BAY</t>
  </si>
  <si>
    <t>128.4 W, 53.3 N, Elev. 2 m</t>
  </si>
  <si>
    <t>1989-06-25 to 1992-08-30</t>
  </si>
  <si>
    <t>ZZ SECURITY BAY</t>
  </si>
  <si>
    <t>127.5 W, 51.4 N, Elev. 1 m</t>
  </si>
  <si>
    <t>1990-05-01 to 2000-09-01</t>
  </si>
  <si>
    <t>ZZ KILBELLA BAY</t>
  </si>
  <si>
    <t>127.3 W, 51.7 N, Elev. 1 m</t>
  </si>
  <si>
    <t>1990-04-11 to 2000-09-01</t>
  </si>
  <si>
    <t>ZZ CLYAK RIVER</t>
  </si>
  <si>
    <t>127.4 W, 51.9 N, Elev. 1 m</t>
  </si>
  <si>
    <t>1990-08-01 to 2000-10-01</t>
  </si>
  <si>
    <t>ZZ KWATNA</t>
  </si>
  <si>
    <t>127.4 W, 52.1 N, Elev. 1 m</t>
  </si>
  <si>
    <t>1990-04-22 to 2000-10-01</t>
  </si>
  <si>
    <t>ZZ DOC CREEK</t>
  </si>
  <si>
    <t>127.7 W, 52 N, Elev. 1 m</t>
  </si>
  <si>
    <t>1990-04-15 to 2000-10-01</t>
  </si>
  <si>
    <t>ZZ 52.4 IN THE WALL</t>
  </si>
  <si>
    <t>126.7 W, 52.4 N, Elev. 1 m</t>
  </si>
  <si>
    <t>1990-07-24 to 1991-09-17</t>
  </si>
  <si>
    <t>ZZ WINDSOR CREEK</t>
  </si>
  <si>
    <t>129.8 W, 54.3 N, Elev. 2 m</t>
  </si>
  <si>
    <t>1991-07-22 to 1993-09-20</t>
  </si>
  <si>
    <t>ZZ JENNY INLET</t>
  </si>
  <si>
    <t>127.6 W, 52.5 N, Elev. 2 m</t>
  </si>
  <si>
    <t>1992-04-14 to 2000-10-01</t>
  </si>
  <si>
    <t>ZZ TWIN CREEKS</t>
  </si>
  <si>
    <t>127.3 W, 52.3 N, Elev. 0 m</t>
  </si>
  <si>
    <t>1992-05-18 to 1993-10-06</t>
  </si>
  <si>
    <t>ZZ MAYER LAKE</t>
  </si>
  <si>
    <t>132.1 W, 53.4 N, Elev. 1 m</t>
  </si>
  <si>
    <t>1992-07-08 to 1992-10-22</t>
  </si>
  <si>
    <t>ZZ SCOTIA RIVER</t>
  </si>
  <si>
    <t>129.8 W, 54.2 N, Elev. 0 m</t>
  </si>
  <si>
    <t>1992-07-31 to 2000-09-01</t>
  </si>
  <si>
    <t>ZZ PARIL RIVER</t>
  </si>
  <si>
    <t>128.5 W, 53.3 N, Elev. 1 m</t>
  </si>
  <si>
    <t>1993-04-26 to 1995-05-09</t>
  </si>
  <si>
    <t>ZZ WOLVERINE</t>
  </si>
  <si>
    <t>128.26 W, 52.133 N, Elev. 1 m</t>
  </si>
  <si>
    <t>1993-07-10 to 1993-10-08</t>
  </si>
  <si>
    <t>ZZ RODERICK</t>
  </si>
  <si>
    <t>128.3 W, 52.7 N, Elev. 1 m</t>
  </si>
  <si>
    <t>1994-04-14 to 1995-08-19</t>
  </si>
  <si>
    <t>ZZ TRIUMPH BAY</t>
  </si>
  <si>
    <t>128.7 W, 53.4 N, Elev. 6 m</t>
  </si>
  <si>
    <t>1994-05-14 to 1994-09-07</t>
  </si>
  <si>
    <t>ZZ STANFORTH PT</t>
  </si>
  <si>
    <t>128.8 W, 53.5 N, Elev. 1 m</t>
  </si>
  <si>
    <t>1994-05-24 to 1994-10-07</t>
  </si>
  <si>
    <t>ZZ CHUTE LAKE</t>
  </si>
  <si>
    <t>129.1 W, 53.4 N, Elev. 0 m</t>
  </si>
  <si>
    <t>1994-05-11 to 1994-09-06</t>
  </si>
  <si>
    <t>ZZ CAMP 2 BAY</t>
  </si>
  <si>
    <t>126.8 W, 52.2 N, Elev. 1 m</t>
  </si>
  <si>
    <t>1990-08-02 to 2000-10-01</t>
  </si>
  <si>
    <t>ZZ NEECHANZ</t>
  </si>
  <si>
    <t>126.7 W, 51.6 N, Elev. 1 m</t>
  </si>
  <si>
    <t>1990-04-12 to 2000-10-01</t>
  </si>
  <si>
    <t>ZZ SHEEMAHANT</t>
  </si>
  <si>
    <t>126.6 W, 51.8 N, Elev. 1 m</t>
  </si>
  <si>
    <t>ZZ WASH WASH</t>
  </si>
  <si>
    <t>126.7 W, 51.8 N, Elev. 1 m</t>
  </si>
  <si>
    <t>ZZ TALEOMEY</t>
  </si>
  <si>
    <t>124 W, 50 N, Elev. 1 m</t>
  </si>
  <si>
    <t>1990-04-13 to 2000-09-01</t>
  </si>
  <si>
    <t>ZZ KIMSQUIT</t>
  </si>
  <si>
    <t>127.4 W, 53.5 N, Elev. 19 m</t>
  </si>
  <si>
    <t>1990-04-14 to 2000-10-01</t>
  </si>
  <si>
    <t>ZZ HAGENSBORG</t>
  </si>
  <si>
    <t>126.5913 W, 52.3836 N, Elev. 50 m</t>
  </si>
  <si>
    <t>2001-07-25 to 2005-07-13</t>
  </si>
  <si>
    <t>ZZ BELLA COOLA TEMP</t>
  </si>
  <si>
    <t>126.5 W, 52.3 N, Elev. 1 m</t>
  </si>
  <si>
    <t>1990-03-02 to 2000-10-01</t>
  </si>
  <si>
    <t>ZZ NUSATSUM</t>
  </si>
  <si>
    <t>126.7 W, 52.2 N, Elev. 7 m</t>
  </si>
  <si>
    <t>1992-04-14 to 1992-10-07</t>
  </si>
  <si>
    <t>ZZ WESTSIDE</t>
  </si>
  <si>
    <t>127.933 W, 52.12 N, Elev. 5 m</t>
  </si>
  <si>
    <t>1993-05-16 to 1995-08-17</t>
  </si>
  <si>
    <t>ZZ KITIMAT R</t>
  </si>
  <si>
    <t>128.6 W, 54.1 N, Elev. 13 m</t>
  </si>
  <si>
    <t>1989-04-27 to 2000-09-01</t>
  </si>
  <si>
    <t>ZZ KILDALA</t>
  </si>
  <si>
    <t>128.4 W, 53.8 N, Elev. 5 m</t>
  </si>
  <si>
    <t>1991-04-14 to 2000-09-01</t>
  </si>
  <si>
    <t>ZZ WILLOW CREEK</t>
  </si>
  <si>
    <t>130.2 W, 57.4 N, Elev. 0 m</t>
  </si>
  <si>
    <t>1990-05-09 to 2000-09-01</t>
  </si>
  <si>
    <t>ZZ BRONSON CREEK</t>
  </si>
  <si>
    <t>131.1 W, 56.6 N, Elev. 2 m</t>
  </si>
  <si>
    <t>1990-06-19 to 1991-09-11</t>
  </si>
  <si>
    <t>ZZ TODAGIN</t>
  </si>
  <si>
    <t>130.1 W, 57.6 N, Elev. 99 m</t>
  </si>
  <si>
    <t>1991-05-01 to 1994-05-24</t>
  </si>
  <si>
    <t>ZZ CCMC1</t>
  </si>
  <si>
    <t>122.4 W, 58.4 N, Elev. 4 m</t>
  </si>
  <si>
    <t>1990-05-22 to 2000-08-01</t>
  </si>
  <si>
    <t>FORT NELSON FS</t>
  </si>
  <si>
    <t>122.575 W, 58.8376 N, Elev. 382 m -&gt; 122.5736 W, 58.8418 N, Elev. 375 m</t>
  </si>
  <si>
    <t>1999-07-11 to 2025-07-22</t>
  </si>
  <si>
    <t>ZZ MOBERLY</t>
  </si>
  <si>
    <t>122.3 W, 55.4 N, Elev. 12 m</t>
  </si>
  <si>
    <t>1991-06-11 to 1995-05-23</t>
  </si>
  <si>
    <t>ZZ MESILINKA</t>
  </si>
  <si>
    <t>124.6 W, 56.2 N, Elev. 7 m</t>
  </si>
  <si>
    <t>1989-05-14 to 2000-10-01</t>
  </si>
  <si>
    <t>ZZ PHILIP</t>
  </si>
  <si>
    <t>123.7 W, 55 N, Elev. 10 m</t>
  </si>
  <si>
    <t>1989-05-10 to 2000-10-01</t>
  </si>
  <si>
    <t>ZZ BLACKWATER</t>
  </si>
  <si>
    <t>123.7 W, 55.5 N, Elev. 7 m</t>
  </si>
  <si>
    <t>ZZ RUPERT</t>
  </si>
  <si>
    <t>123.9 W, 55.3 N, Elev. 10 m</t>
  </si>
  <si>
    <t>1989-06-20 to 2000-10-01</t>
  </si>
  <si>
    <t>ZZ OSILINKA</t>
  </si>
  <si>
    <t>125.2 W, 56 N, Elev. 11 m</t>
  </si>
  <si>
    <t>1989-06-23 to 2000-09-01</t>
  </si>
  <si>
    <t>ZZ SAKENICHE</t>
  </si>
  <si>
    <t>125.9 W, 55.1 N, Elev. 88 m</t>
  </si>
  <si>
    <t>1992-05-28 to 2000-10-01</t>
  </si>
  <si>
    <t>ZZ TAKATOOT</t>
  </si>
  <si>
    <t>124.9 W, 55.2 N, Elev. 45 m</t>
  </si>
  <si>
    <t>1992-05-28 to 2000-09-01</t>
  </si>
  <si>
    <t>ZZ SALMON</t>
  </si>
  <si>
    <t>123.8 W, 54.9 N, Elev. 33 m</t>
  </si>
  <si>
    <t>1990-07-25 to 2000-09-01</t>
  </si>
  <si>
    <t>ZZ INZANA EAST</t>
  </si>
  <si>
    <t>125.2 W, 55 N, Elev. 11 m</t>
  </si>
  <si>
    <t>1992-06-09 to 2000-10-01</t>
  </si>
  <si>
    <t>ZZ OCOCK FSR</t>
  </si>
  <si>
    <t>124 W, 54.6 N, Elev. 8 m</t>
  </si>
  <si>
    <t>1992-06-02 to 2000-09-01</t>
  </si>
  <si>
    <t>ZZ SLL</t>
  </si>
  <si>
    <t>125.1 W, 54.9 N, Elev. 35 m</t>
  </si>
  <si>
    <t>1992-06-12 to 2000-09-01</t>
  </si>
  <si>
    <t>ZZ RIKKI</t>
  </si>
  <si>
    <t>123.7 W, 54.4 N, Elev. 79 m</t>
  </si>
  <si>
    <t>ZZ CHUIUS</t>
  </si>
  <si>
    <t>124.6 W, 54.7 N, Elev. 95 m</t>
  </si>
  <si>
    <t>1993-05-31 to 2000-10-01</t>
  </si>
  <si>
    <t>ZZ COLLINS CK</t>
  </si>
  <si>
    <t>124.4 W, 56.5 N, Elev. 7 m</t>
  </si>
  <si>
    <t>1992-06-30 to 2000-09-01</t>
  </si>
  <si>
    <t>ZZ NAKALAT</t>
  </si>
  <si>
    <t>124.9 W, 54.7 N, Elev. 7 m</t>
  </si>
  <si>
    <t>1993-04-18 to 1994-09-17</t>
  </si>
  <si>
    <t>ZZ CHUNAMON</t>
  </si>
  <si>
    <t>124.5 W, 56.3 N, Elev. 10 m</t>
  </si>
  <si>
    <t>1994-06-29 to 1995-07-28</t>
  </si>
  <si>
    <t>ZZ CLEARWATER CREEK</t>
  </si>
  <si>
    <t>123.2 W, 55.9 N, Elev. 85 m</t>
  </si>
  <si>
    <t>1994-07-22 to 1995-09-14</t>
  </si>
  <si>
    <t>ZZ SILVERN CREEK</t>
  </si>
  <si>
    <t>127.4 W, 54.8 N, Elev. 9 m</t>
  </si>
  <si>
    <t>1989-05-03 to 2000-10-01</t>
  </si>
  <si>
    <t>ZZ SMITHERS A/P</t>
  </si>
  <si>
    <t>127.2 W, 54.8 N, Elev. 522 m</t>
  </si>
  <si>
    <t>2000-11-24 to 2005-04-14</t>
  </si>
  <si>
    <t>ZZ BABINE CAMP</t>
  </si>
  <si>
    <t>125.5 W, 54.4 N, Elev. 9 m</t>
  </si>
  <si>
    <t>1987-07-10 to 2000-10-01</t>
  </si>
  <si>
    <t>ZZ DECKER LAKE</t>
  </si>
  <si>
    <t>126 W, 54.2 N, Elev. 9 m</t>
  </si>
  <si>
    <t>1989-06-07 to 2000-10-01</t>
  </si>
  <si>
    <t>ZZ PINKUT LAKE</t>
  </si>
  <si>
    <t>125.5 W, 54.3 N, Elev. 9 m</t>
  </si>
  <si>
    <t>1989-06-13 to 1989-09-22</t>
  </si>
  <si>
    <t>ZZ CORKSCREW</t>
  </si>
  <si>
    <t>124.2 W, 53.5 N, Elev. 9 m</t>
  </si>
  <si>
    <t>1990-04-20 to 2000-10-01</t>
  </si>
  <si>
    <t>ZZ BARLOW</t>
  </si>
  <si>
    <t>124.3 W, 54.1 N, Elev. 698 m</t>
  </si>
  <si>
    <t>1990-04-26 to 2000-10-01</t>
  </si>
  <si>
    <t>ZZ MALAPUT</t>
  </si>
  <si>
    <t>125.1 W, 53.2 N, Elev. 13 m</t>
  </si>
  <si>
    <t>1990-07-25 to 2000-10-01</t>
  </si>
  <si>
    <t>ZZ KEC CREEK</t>
  </si>
  <si>
    <t>124.1 W, 54.2 N, Elev. 8 m</t>
  </si>
  <si>
    <t>1990-06-19 to 1990-10-15</t>
  </si>
  <si>
    <t>ZZ FRANK LAKE</t>
  </si>
  <si>
    <t>124.1 W, 53.6 N, Elev. 12 m</t>
  </si>
  <si>
    <t>1990-06-16 to 2000-10-01</t>
  </si>
  <si>
    <t>ZZ BENTZI</t>
  </si>
  <si>
    <t>124.6 W, 53.5 N, Elev. 9 m</t>
  </si>
  <si>
    <t>1990-05-21 to 2000-10-01</t>
  </si>
  <si>
    <t>ZZ JIM SMITH POINT</t>
  </si>
  <si>
    <t>125.3 W, 53.4 N, Elev. 0 m</t>
  </si>
  <si>
    <t>1990-06-22 to 1991-09-15</t>
  </si>
  <si>
    <t>ZZ OOTSA</t>
  </si>
  <si>
    <t>125.1 W, 53.1 N, Elev. 14 m</t>
  </si>
  <si>
    <t>1991-05-01 to 1991-10-17</t>
  </si>
  <si>
    <t>ZZ KNEWSTUBB</t>
  </si>
  <si>
    <t>125.1 W, 53.3 N, Elev. 10 m</t>
  </si>
  <si>
    <t>1992-05-25 to 1992-10-20</t>
  </si>
  <si>
    <t>ZZ L&amp;M BURN</t>
  </si>
  <si>
    <t>124 W, 53.7 N, Elev. 12 m</t>
  </si>
  <si>
    <t>1992-05-11 to 1993-10-13</t>
  </si>
  <si>
    <t>ZZ HOLMES NORTHWEST</t>
  </si>
  <si>
    <t>126.2 W, 54.6 N, Elev. 12 m</t>
  </si>
  <si>
    <t>1991-08-08 to 2000-10-01</t>
  </si>
  <si>
    <t>ZZ REGEN CK</t>
  </si>
  <si>
    <t>126.7 W, 54.9 N, Elev. 9 m</t>
  </si>
  <si>
    <t>1992-06-01 to 1993-10-18</t>
  </si>
  <si>
    <t>ZZ MORRISON</t>
  </si>
  <si>
    <t>126.2 W, 55.2 N, Elev. 9 m</t>
  </si>
  <si>
    <t>1993-06-03 to 1995-07-24</t>
  </si>
  <si>
    <t>ZZ TOCHCHA</t>
  </si>
  <si>
    <t>125.9 W, 54.9 N, Elev. 10 m</t>
  </si>
  <si>
    <t>1993-06-07 to 1994-10-12</t>
  </si>
  <si>
    <t>ZZ KLO</t>
  </si>
  <si>
    <t>126.4 W, 54.2 N, Elev. 14 m</t>
  </si>
  <si>
    <t>1993-06-07 to 1994-10-14</t>
  </si>
  <si>
    <t>ZZ PARROTT</t>
  </si>
  <si>
    <t>126.6 W, 54.1 N, Elev. 9 m</t>
  </si>
  <si>
    <t>ZZ EMERSON</t>
  </si>
  <si>
    <t>126.9 W, 54.4 N, Elev. 10 m</t>
  </si>
  <si>
    <t>ZZ TOMMY</t>
  </si>
  <si>
    <t>126.9 W, 54.1 N, Elev. 9 m</t>
  </si>
  <si>
    <t>1993-06-07 to 1994-10-07</t>
  </si>
  <si>
    <t>ZZ THAUTIL</t>
  </si>
  <si>
    <t>127.4 W, 54.3 N, Elev. 10 m</t>
  </si>
  <si>
    <t>1993-07-20 to 1995-07-25</t>
  </si>
  <si>
    <t>ZZ CHISHOLM</t>
  </si>
  <si>
    <t>127.3 W, 54.2 N, Elev. 9 m</t>
  </si>
  <si>
    <t>1993-07-17 to 1994-10-06</t>
  </si>
  <si>
    <t>ZZ GOSSNELL</t>
  </si>
  <si>
    <t>127.4 W, 54.3 N, Elev. 9 m</t>
  </si>
  <si>
    <t>ZZ THATSA</t>
  </si>
  <si>
    <t>127 W, 53.6 N, Elev. 10 m</t>
  </si>
  <si>
    <t>1993-05-24 to 1995-07-25</t>
  </si>
  <si>
    <t>ZZ KENNY DAM</t>
  </si>
  <si>
    <t>124.9 W, 53.5 N, Elev. 10 m</t>
  </si>
  <si>
    <t>1994-04-28 to 2000-10-01</t>
  </si>
  <si>
    <t>ZZ SKINNY LK</t>
  </si>
  <si>
    <t>126.9 W, 53.8 N, Elev. 10 m</t>
  </si>
  <si>
    <t>1993-06-22 to 1994-10-13</t>
  </si>
  <si>
    <t>ZZ BYMAN LAKE</t>
  </si>
  <si>
    <t>126.3 W, 54.4 N, Elev. 10 m</t>
  </si>
  <si>
    <t>1993-08-15 to 1994-10-12</t>
  </si>
  <si>
    <t>ZZ BLUNT CREEK</t>
  </si>
  <si>
    <t>127.1 W, 55.8 N, Elev. 9 m</t>
  </si>
  <si>
    <t>1994-06-09 to 1994-10-13</t>
  </si>
  <si>
    <t>ZZ THOM FIRE</t>
  </si>
  <si>
    <t>126.9 W, 53.5 N, Elev. 9 m</t>
  </si>
  <si>
    <t>1994-07-05 to 1994-10-11</t>
  </si>
  <si>
    <t>ZZ TETACHUK LK.</t>
  </si>
  <si>
    <t>126.1 W, 53.3 N, Elev. 9 m</t>
  </si>
  <si>
    <t>1996-07-18 to 2000-09-01</t>
  </si>
  <si>
    <t>124.7764 W, 53.9358 N, Elev. 961 m -&gt; 124.7765 W, 53.9362 N, Elev. 961 m</t>
  </si>
  <si>
    <t>1998-07-03 to 2025-07-22</t>
  </si>
  <si>
    <t>ZZ UMITI DR1</t>
  </si>
  <si>
    <t>122 W, 53 N, Elev. 12 m</t>
  </si>
  <si>
    <t>1989-05-25 to 1990-10-08</t>
  </si>
  <si>
    <t>ZZ MASK</t>
  </si>
  <si>
    <t>122 W, 53.1 N, Elev. 11 m</t>
  </si>
  <si>
    <t>1991-05-24 to 2000-08-01</t>
  </si>
  <si>
    <t>ZZ MORKILL</t>
  </si>
  <si>
    <t>120 W, 53 N, Elev. 23 m</t>
  </si>
  <si>
    <t>1991-08-06 to 1992-10-01</t>
  </si>
  <si>
    <t>ZZ PTARMIGAN</t>
  </si>
  <si>
    <t>118.4 W, 52.4 N, Elev. 9 m</t>
  </si>
  <si>
    <t>1994-05-25 to 1994-09-01</t>
  </si>
  <si>
    <t>ZZ SHELFORD</t>
  </si>
  <si>
    <t>126.7 W, 53.9 N, Elev. 10 m</t>
  </si>
  <si>
    <t>1989-08-09 to 2000-10-01</t>
  </si>
  <si>
    <t>ZZ TASEKO</t>
  </si>
  <si>
    <t>123.6 W, 51.3 N, Elev. 14 m</t>
  </si>
  <si>
    <t>1989-09-13 to 2000-10-01</t>
  </si>
  <si>
    <t>ZZ BIG STICK</t>
  </si>
  <si>
    <t>125.1 W, 52 N, Elev. 35 m</t>
  </si>
  <si>
    <t>1990-07-15 to 1990-10-18</t>
  </si>
  <si>
    <t>ZZ PELICAN</t>
  </si>
  <si>
    <t>124.3 W, 53.1 N, Elev. 12 m</t>
  </si>
  <si>
    <t>1991-05-08 to 2000-10-01</t>
  </si>
  <si>
    <t>ZZ UMITI</t>
  </si>
  <si>
    <t>122.1 W, 53.2 N, Elev. 9 m</t>
  </si>
  <si>
    <t>1993-05-14 to 1994-10-21</t>
  </si>
  <si>
    <t>ZZ TFL #5</t>
  </si>
  <si>
    <t>122.6 W, 53.2 N, Elev. 8 m</t>
  </si>
  <si>
    <t>1993-04-06 to 1993-08-30</t>
  </si>
  <si>
    <t>ZZ TFL MACKENZIE</t>
  </si>
  <si>
    <t>119.867 W, 52.567 N, Elev. 14 m</t>
  </si>
  <si>
    <t>1993-05-28 to 1994-08-19</t>
  </si>
  <si>
    <t>ZZ SOCK LAKE</t>
  </si>
  <si>
    <t>120.067 W, 51.767 N, Elev. 11 m</t>
  </si>
  <si>
    <t>1993-06-02 to 1993-11-07</t>
  </si>
  <si>
    <t>ZZ PUN (RESEARCH)</t>
  </si>
  <si>
    <t>122.0233 W, 53.1867 N, Elev. 1400 m</t>
  </si>
  <si>
    <t>1994-06-14 to 2000-10-01</t>
  </si>
  <si>
    <t>ZZ BOWRON PARK</t>
  </si>
  <si>
    <t>121.416 W, 53.248 N, Elev. 1205 m</t>
  </si>
  <si>
    <t>1995-06-25 to 2000-01-09</t>
  </si>
  <si>
    <t>ZZ FARWELL BURN</t>
  </si>
  <si>
    <t>122.6358 W, 51.7898 N, Elev. 915 m</t>
  </si>
  <si>
    <t>2002-04-19 to 2003-06-30</t>
  </si>
  <si>
    <t>ZZ SAN JOSE</t>
  </si>
  <si>
    <t>121.9 W, 52.1 N, Elev. 8 m</t>
  </si>
  <si>
    <t>1997-04-12 to 1999-05-11</t>
  </si>
  <si>
    <t>ZZ BIGHORN  (PARKS)</t>
  </si>
  <si>
    <t>122.426 W, 51.787 N, Elev. 933 m</t>
  </si>
  <si>
    <t>2000-07-19 to 2002-11-30</t>
  </si>
  <si>
    <t>ZZ TFL5</t>
  </si>
  <si>
    <t>122 W, 53 N, Elev. 8 m</t>
  </si>
  <si>
    <t>1989-05-03 to 1990-08-16</t>
  </si>
  <si>
    <t>ZZ MAURY CREEK</t>
  </si>
  <si>
    <t>121.1 W, 52.1 N, Elev. 15 m</t>
  </si>
  <si>
    <t>1989-05-12 to 1989-10-16</t>
  </si>
  <si>
    <t>ZZ MARTIN CREEK</t>
  </si>
  <si>
    <t>119.4 W, 51.4 N, Elev. 16 m</t>
  </si>
  <si>
    <t>1989-05-18 to 1989-10-04</t>
  </si>
  <si>
    <t>ZZ MOFFAT</t>
  </si>
  <si>
    <t>121.2 W, 52.2 N, Elev. 13 m</t>
  </si>
  <si>
    <t>1989-05-29 to 2000-10-01</t>
  </si>
  <si>
    <t>ZZ HENDRIX MTN</t>
  </si>
  <si>
    <t>124 W, 50 N, Elev. 14 m</t>
  </si>
  <si>
    <t>1989-05-29 to 2000-09-01</t>
  </si>
  <si>
    <t>ZZ SCOT LAKE</t>
  </si>
  <si>
    <t>120.8 W, 51.2 N, Elev. 13 m</t>
  </si>
  <si>
    <t>1989-04-22 to 2000-10-01</t>
  </si>
  <si>
    <t>ZZ HENDRIX LK</t>
  </si>
  <si>
    <t>120.4 W, 52 N, Elev. 12 m</t>
  </si>
  <si>
    <t>1989-06-01 to 1990-06-29</t>
  </si>
  <si>
    <t>ZZ GRAFFUNDER LAKES</t>
  </si>
  <si>
    <t>120.5 W, 51.5 N, Elev. 14 m</t>
  </si>
  <si>
    <t>1989-06-14 to 1990-10-05</t>
  </si>
  <si>
    <t>ZZ HOWARD LAKE</t>
  </si>
  <si>
    <t>121.3 W, 51.7 N, Elev. 10 m</t>
  </si>
  <si>
    <t>1989-06-29 to 1992-04-01</t>
  </si>
  <si>
    <t>ZZ HARBOUR</t>
  </si>
  <si>
    <t>120.1 W, 51.5 N, Elev. 14 m</t>
  </si>
  <si>
    <t>1992-07-24 to 1992-07-28</t>
  </si>
  <si>
    <t>ZZ SPANISH</t>
  </si>
  <si>
    <t>1989-08-16 to 1991-08-06</t>
  </si>
  <si>
    <t>ZZ MOIRA LAKE</t>
  </si>
  <si>
    <t>120.3 W, 51.8 N, Elev. 16 m</t>
  </si>
  <si>
    <t>1990-07-09 to 1991-10-16</t>
  </si>
  <si>
    <t>ZZ KELLINGTON</t>
  </si>
  <si>
    <t>120.5 W, 51.9 N, Elev. 11 m</t>
  </si>
  <si>
    <t>1991-05-02 to 1992-10-09</t>
  </si>
  <si>
    <t>ZZ MILBURN</t>
  </si>
  <si>
    <t>123.4 W, 53.1 N, Elev. 8 m</t>
  </si>
  <si>
    <t>1991-05-06 to 1992-10-09</t>
  </si>
  <si>
    <t>ZZ CRUISER</t>
  </si>
  <si>
    <t>120.7 W, 52.2 N, Elev. 0 m</t>
  </si>
  <si>
    <t>1991-05-31 to 1991-09-25</t>
  </si>
  <si>
    <t>ZZ GAVIN DR1</t>
  </si>
  <si>
    <t>121.5 W, 52.5 N, Elev. 0 m</t>
  </si>
  <si>
    <t>1992-05-03 to 1992-05-13</t>
  </si>
  <si>
    <t>ZZ UPPER SPANISH</t>
  </si>
  <si>
    <t>120.2 W, 52 N, Elev. 14 m</t>
  </si>
  <si>
    <t>1991-07-31 to 1992-10-09</t>
  </si>
  <si>
    <t>ZZ MADPORARY</t>
  </si>
  <si>
    <t>119.4 W, 51.8 N, Elev. 11 m</t>
  </si>
  <si>
    <t>1992-05-05 to 1992-10-10</t>
  </si>
  <si>
    <t>ZZ MOOSE</t>
  </si>
  <si>
    <t>120.9 W, 51.6 N, Elev. 1064 m</t>
  </si>
  <si>
    <t>1992-05-20 to 2004-09-23</t>
  </si>
  <si>
    <t>ZZ MARTIN CREEK 2</t>
  </si>
  <si>
    <t>119.6 W, 51.7 N, Elev. 13 m</t>
  </si>
  <si>
    <t>1992-05-14 to 1992-10-16</t>
  </si>
  <si>
    <t>ZZ UPPER BOSS</t>
  </si>
  <si>
    <t>120.8 W, 52 N, Elev. 13 m</t>
  </si>
  <si>
    <t>1992-05-22 to 1994-09-16</t>
  </si>
  <si>
    <t>ZZ LITTLE SWIFT</t>
  </si>
  <si>
    <t>121.7 W, 52.9 N, Elev. 13 m</t>
  </si>
  <si>
    <t>1989-05-09 to 2000-10-01</t>
  </si>
  <si>
    <t>ZZ FOWLER LAKE</t>
  </si>
  <si>
    <t>120 W, 51 N, Elev. 13 m</t>
  </si>
  <si>
    <t>1989-05-16 to 1990-10-05</t>
  </si>
  <si>
    <t>ZZ PETERS CREEK</t>
  </si>
  <si>
    <t>121 W, 53 N, Elev. 13 m</t>
  </si>
  <si>
    <t>1989-05-23 to 1990-10-06</t>
  </si>
  <si>
    <t>ZZ CUNNINGHAM</t>
  </si>
  <si>
    <t>121 W, 52 N, Elev. 13 m</t>
  </si>
  <si>
    <t>ZZ ROARING</t>
  </si>
  <si>
    <t>120.3 W, 50.5 N, Elev. 9 m</t>
  </si>
  <si>
    <t>1989-06-19 to 1990-07-22</t>
  </si>
  <si>
    <t>ZZ KANGAROO</t>
  </si>
  <si>
    <t>121.5 W, 52.5 N, Elev. 98 m</t>
  </si>
  <si>
    <t>1989-07-13 to 2000-10-01</t>
  </si>
  <si>
    <t>ZZ GOOSE POINT</t>
  </si>
  <si>
    <t>123 W, 50 N, Elev. 0 m</t>
  </si>
  <si>
    <t>1990-05-24 to 1991-10-06</t>
  </si>
  <si>
    <t>ZZ DOMINION CREEK</t>
  </si>
  <si>
    <t>119.1 W, 52.5 N, Elev. 9 m</t>
  </si>
  <si>
    <t>1990-07-27 to 1991-10-16</t>
  </si>
  <si>
    <t>ZZ CLEMINA</t>
  </si>
  <si>
    <t>119 W, 52.5 N, Elev. 7 m</t>
  </si>
  <si>
    <t>1991-06-08 to 1991-06-27</t>
  </si>
  <si>
    <t>ZZ MCKUSKEY</t>
  </si>
  <si>
    <t>121.4 W, 52.3 N, Elev. 0 m</t>
  </si>
  <si>
    <t>1990-07-15 to 1991-08-21</t>
  </si>
  <si>
    <t>ZZ BOULDRY</t>
  </si>
  <si>
    <t>120.5 W, 52.5 N, Elev. 30 m</t>
  </si>
  <si>
    <t>1991-06-17 to 1991-10-08</t>
  </si>
  <si>
    <t>ZZ TWO CREEK</t>
  </si>
  <si>
    <t>122.8 W, 52.4 N, Elev. 13 m</t>
  </si>
  <si>
    <t>1991-06-05 to 1992-08-01</t>
  </si>
  <si>
    <t>ZZ BLUE</t>
  </si>
  <si>
    <t>119.4 W, 52.1 N, Elev. 10 m</t>
  </si>
  <si>
    <t>1992-06-15 to 1992-10-09</t>
  </si>
  <si>
    <t>ZZ MITCHELL</t>
  </si>
  <si>
    <t>121.4 W, 52.5 N, Elev. 9 m</t>
  </si>
  <si>
    <t>1992-04-28 to 1993-10-11</t>
  </si>
  <si>
    <t>ZZ ADOLPH CR.</t>
  </si>
  <si>
    <t>119.35 W, 52.5 N, Elev. 14 m</t>
  </si>
  <si>
    <t>1993-06-05 to 1994-10-04</t>
  </si>
  <si>
    <t>ZZ OLIVER</t>
  </si>
  <si>
    <t>119.1 W, 51.8 N, Elev. 8 m</t>
  </si>
  <si>
    <t>1992-05-07 to 2000-10-01</t>
  </si>
  <si>
    <t>ZZ ISAIAH</t>
  </si>
  <si>
    <t>120.9 W, 52.7 N, Elev. 9 m</t>
  </si>
  <si>
    <t>1992-05-21 to 2000-10-01</t>
  </si>
  <si>
    <t>ZZ TOLKO #1</t>
  </si>
  <si>
    <t>119.1 W, 52.3 N, Elev. 5 m</t>
  </si>
  <si>
    <t>1995-09-02 to 2000-10-01</t>
  </si>
  <si>
    <t>ZZ GOTCHEN</t>
  </si>
  <si>
    <t>120.683 W, 52.133 N, Elev. 12 m</t>
  </si>
  <si>
    <t>1993-06-19 to 1993-09-25</t>
  </si>
  <si>
    <t>ZZ NORTH BLUE</t>
  </si>
  <si>
    <t>1994-06-17 to 1997-06-10</t>
  </si>
  <si>
    <t>ZZ CAMP CREEK</t>
  </si>
  <si>
    <t>119.1 W, 51.3 N, Elev. 13 m</t>
  </si>
  <si>
    <t>1994-07-07 to 1995-09-17</t>
  </si>
  <si>
    <t>ZZ TISDALL</t>
  </si>
  <si>
    <t>121.016 W, 52.233 N, Elev. 15 m</t>
  </si>
  <si>
    <t>1996-07-06 to 1996-10-07</t>
  </si>
  <si>
    <t>ZZ TULAMEEN</t>
  </si>
  <si>
    <t>120.7699 W, 49.5482 N, Elev. 876 m</t>
  </si>
  <si>
    <t>2001-05-08 to 2001-10-16</t>
  </si>
  <si>
    <t>ZZ UZTLIUS</t>
  </si>
  <si>
    <t>121.3 W, 49.8 N, Elev. 11 m</t>
  </si>
  <si>
    <t>1989-04-28 to 2000-10-01</t>
  </si>
  <si>
    <t>ZZ TSILEUH</t>
  </si>
  <si>
    <t>121.5 W, 49.7 N, Elev. 10 m</t>
  </si>
  <si>
    <t>1989-05-27 to 2000-10-01</t>
  </si>
  <si>
    <t>ZZ MUD CREEK</t>
  </si>
  <si>
    <t>122.751 W, 51.0619 N, Elev. 0 m</t>
  </si>
  <si>
    <t>2001-07-22 to 2001-10-29</t>
  </si>
  <si>
    <t>ZZ CADWALLER</t>
  </si>
  <si>
    <t>122.645 W, 50.684 N, Elev. 0 m</t>
  </si>
  <si>
    <t>2001-07-27 to 2001-10-29</t>
  </si>
  <si>
    <t>ZZ DEWDROP II</t>
  </si>
  <si>
    <t>120.38 W, 50.46 N, Elev. 443 m</t>
  </si>
  <si>
    <t>2002-02-26 to 2003-05-07</t>
  </si>
  <si>
    <t>ZZ JOFFRE CREEK</t>
  </si>
  <si>
    <t>122.345 W, 50.1966 N, Elev. 950 m</t>
  </si>
  <si>
    <t>2002-05-01 to 2003-10-21</t>
  </si>
  <si>
    <t>ZZ HEMP</t>
  </si>
  <si>
    <t>120 W, 51.6 N, Elev. 14 m</t>
  </si>
  <si>
    <t>1993-06-20 to 1993-07-05</t>
  </si>
  <si>
    <t>ZZ CERISE</t>
  </si>
  <si>
    <t>122.3 W, 50.3 N, Elev. 4 m</t>
  </si>
  <si>
    <t>1989-05-16 to 2000-09-01</t>
  </si>
  <si>
    <t>ZZ WEST FACE</t>
  </si>
  <si>
    <t>121 W, 50 N, Elev. 13 m</t>
  </si>
  <si>
    <t>1989-05-02 to 2000-10-01</t>
  </si>
  <si>
    <t>ZZ HURLEY</t>
  </si>
  <si>
    <t>123 W, 50 N, Elev. 13 m</t>
  </si>
  <si>
    <t>1989-05-17 to 1989-09-22</t>
  </si>
  <si>
    <t>ZZ NOEL SOUTH</t>
  </si>
  <si>
    <t>122 W, 50 N, Elev. 14 m</t>
  </si>
  <si>
    <t>1989-05-15 to 1989-10-16</t>
  </si>
  <si>
    <t>ZZ CARPENTER</t>
  </si>
  <si>
    <t>122 W, 50 N, Elev. 4 m</t>
  </si>
  <si>
    <t>1989-06-08 to 1989-10-12</t>
  </si>
  <si>
    <t>ZZ BOULDER</t>
  </si>
  <si>
    <t>1989-06-16 to 1989-10-12</t>
  </si>
  <si>
    <t>ZZ SLOK</t>
  </si>
  <si>
    <t>122 W, 50.5 N, Elev. 16 m</t>
  </si>
  <si>
    <t>1990-07-18 to 1990-10-18</t>
  </si>
  <si>
    <t>ZZ CADWALLADER</t>
  </si>
  <si>
    <t>122.4 W, 50.4 N, Elev. 16 m</t>
  </si>
  <si>
    <t>1990-07-10 to 1991-09-26</t>
  </si>
  <si>
    <t>ZZ MOHA</t>
  </si>
  <si>
    <t>122.2 W, 50.6 N, Elev. 12 m</t>
  </si>
  <si>
    <t>1991-07-08 to 1992-07-31</t>
  </si>
  <si>
    <t>ZZ MILLER FLATS</t>
  </si>
  <si>
    <t>122.2 W, 51.2 N, Elev. 3 m</t>
  </si>
  <si>
    <t>1992-11-10 to 1993-02-11</t>
  </si>
  <si>
    <t>ZZ ANGEL LK</t>
  </si>
  <si>
    <t>119.3 W, 49.3 N, Elev. 18 m</t>
  </si>
  <si>
    <t>1989-05-05 to 2000-09-01</t>
  </si>
  <si>
    <t>ZZ SPEM</t>
  </si>
  <si>
    <t>119 W, 49 N, Elev. 15 m</t>
  </si>
  <si>
    <t>1992-04-10 to 1992-04-21</t>
  </si>
  <si>
    <t>ZZ MCCULLOCH</t>
  </si>
  <si>
    <t>119 W, 49 N, Elev. 16 m</t>
  </si>
  <si>
    <t>1990-07-02 to 1990-10-24</t>
  </si>
  <si>
    <t>ZZ PROSPECT</t>
  </si>
  <si>
    <t>121.1 W, 50.1 N, Elev. 10 m</t>
  </si>
  <si>
    <t>1990-04-25 to 1990-10-03</t>
  </si>
  <si>
    <t>ZZ LAMBLY 2</t>
  </si>
  <si>
    <t>119.7076 W, 49.9596 N, Elev. 1150 m</t>
  </si>
  <si>
    <t>2001-06-26 to 2001-10-17</t>
  </si>
  <si>
    <t>ZZ LAMBLY 3</t>
  </si>
  <si>
    <t>119.7096 W, 49.959 N, Elev. 1150 m</t>
  </si>
  <si>
    <t>ZZ WABASH</t>
  </si>
  <si>
    <t>119.2 W, 49.2 N, Elev. 14 m</t>
  </si>
  <si>
    <t>1993-06-04 to 1993-10-15</t>
  </si>
  <si>
    <t>ZZ LAMBLY[DEMO2000]</t>
  </si>
  <si>
    <t>119.717 W, 49.967 N, Elev. 1100 m</t>
  </si>
  <si>
    <t>2000-06-09 to 2002-10-22</t>
  </si>
  <si>
    <t>ZZ STYX CREEK</t>
  </si>
  <si>
    <t>118.8957 W, 50.4442 N, Elev. 1180 m</t>
  </si>
  <si>
    <t>2002-05-28 to 2002-10-22</t>
  </si>
  <si>
    <t>ZZ SOUTH FORK</t>
  </si>
  <si>
    <t>119.57 W, 50.2055 N, Elev. 1100 m</t>
  </si>
  <si>
    <t>2002-06-24 to 2002-10-22</t>
  </si>
  <si>
    <t>ZZ CAYENNE</t>
  </si>
  <si>
    <t>119 W, 52 N, Elev. 5 m</t>
  </si>
  <si>
    <t>1989-03-29 to 2000-10-01</t>
  </si>
  <si>
    <t>ZZ FINN CREEK</t>
  </si>
  <si>
    <t>119.1 W, 52 N, Elev. 12 m</t>
  </si>
  <si>
    <t>ZZ BELL POLE</t>
  </si>
  <si>
    <t>117 W, 50.8 N, Elev. 12 m</t>
  </si>
  <si>
    <t>1989-05-31 to 1989-10-07</t>
  </si>
  <si>
    <t>ZZ GANNETT</t>
  </si>
  <si>
    <t>119.3 W, 51.7 N, Elev. 13 m</t>
  </si>
  <si>
    <t>1989-04-30 to 1989-09-11</t>
  </si>
  <si>
    <t>ZZ NITEMARE CRK.</t>
  </si>
  <si>
    <t>118.16 W, 51.35 N, Elev. 1000 m</t>
  </si>
  <si>
    <t>2001-07-06 to 2001-09-24</t>
  </si>
  <si>
    <t>Manual</t>
  </si>
  <si>
    <t>ZZ FRISBY</t>
  </si>
  <si>
    <t>118.16 W, 51.12 N, Elev. 1000 m</t>
  </si>
  <si>
    <t>2002-07-13 to 2002-07-15</t>
  </si>
  <si>
    <t>ZZ FISSURE</t>
  </si>
  <si>
    <t>118.5 W, 51.5 N, Elev. 13 m</t>
  </si>
  <si>
    <t>ZZ DAWSON</t>
  </si>
  <si>
    <t>118 W, 52 N, Elev. 35 m</t>
  </si>
  <si>
    <t>1994-06-05 to 1994-09-15</t>
  </si>
  <si>
    <t>ZZ WEST RIDGE QD(NEC)</t>
  </si>
  <si>
    <t>119.496 W, 50.659 N, Elev. 1768 m</t>
  </si>
  <si>
    <t>1998-08-15 to 1998-12-07</t>
  </si>
  <si>
    <t>ZZ BUSH RIVER</t>
  </si>
  <si>
    <t>117.2 W, 51.5 N, Elev. 8 m</t>
  </si>
  <si>
    <t>1989-05-08 to 1999-06-13</t>
  </si>
  <si>
    <t>ZZ BEAVERFOOT RIVER</t>
  </si>
  <si>
    <t>116.2 W, 51 N, Elev. 14 m</t>
  </si>
  <si>
    <t>1994-04-28 to 1994-05-17</t>
  </si>
  <si>
    <t>ZZ BOULDER CREEK</t>
  </si>
  <si>
    <t>117.3 W, 51.2 N, Elev. 13 m</t>
  </si>
  <si>
    <t>1989-04-23 to 2000-09-01</t>
  </si>
  <si>
    <t>ZZ GLACIER</t>
  </si>
  <si>
    <t>117.2 W, 51.2 N, Elev. 14 m</t>
  </si>
  <si>
    <t>1989-06-01 to 2000-10-01</t>
  </si>
  <si>
    <t>ZZ EAST SIDE</t>
  </si>
  <si>
    <t>117.4 W, 51.4 N, Elev. 13 m</t>
  </si>
  <si>
    <t>1989-05-11 to 2000-09-01</t>
  </si>
  <si>
    <t>ZZ CARIBOU</t>
  </si>
  <si>
    <t>117.1 W, 51.1 N, Elev. 16 m</t>
  </si>
  <si>
    <t>1989-08-18 to 2000-10-01</t>
  </si>
  <si>
    <t>ZZ BACHELOR</t>
  </si>
  <si>
    <t>117 W, 51 N, Elev. 13 m</t>
  </si>
  <si>
    <t>1990-06-05 to 2000-09-01</t>
  </si>
  <si>
    <t>ZZ CUPOLA CR</t>
  </si>
  <si>
    <t>117.4 W, 51.4 N, Elev. 15 m</t>
  </si>
  <si>
    <t>1990-06-30 to 1994-10-12</t>
  </si>
  <si>
    <t>ZZ GOLD RIVER</t>
  </si>
  <si>
    <t>117.1 W, 51.7 N, Elev. 8 m</t>
  </si>
  <si>
    <t>1990-06-29 to 2000-10-01</t>
  </si>
  <si>
    <t>ZZ SULLIVAN CAMP</t>
  </si>
  <si>
    <t>117.9 W, 52 N, Elev. 8 m</t>
  </si>
  <si>
    <t>1990-06-12 to 2000-10-01</t>
  </si>
  <si>
    <t>ZZ REDBURN CREEK ST</t>
  </si>
  <si>
    <t>117 W, 51 N, Elev. 10 m</t>
  </si>
  <si>
    <t>1990-09-06 to 1991-07-31</t>
  </si>
  <si>
    <t>ZZ ICEFALL</t>
  </si>
  <si>
    <t>117.1 W, 51.5 N, Elev. 11 m</t>
  </si>
  <si>
    <t>1992-05-08 to 1993-05-19</t>
  </si>
  <si>
    <t>ZZ DOUBLE EDDY</t>
  </si>
  <si>
    <t>117.9 W, 51.8 N, Elev. 11 m</t>
  </si>
  <si>
    <t>1993-05-31 to 1993-09-29</t>
  </si>
  <si>
    <t>ZZ GARRETT CR</t>
  </si>
  <si>
    <t>117.9 W, 51.5 N, Elev. 13 m</t>
  </si>
  <si>
    <t>1993-07-31 to 2000-09-01</t>
  </si>
  <si>
    <t>ZZ VOWELL</t>
  </si>
  <si>
    <t>116.9 W, 50.9 N, Elev. 1406 m</t>
  </si>
  <si>
    <t>1993-06-01 to 2001-09-29</t>
  </si>
  <si>
    <t>ZZ BUSH RIVER 2</t>
  </si>
  <si>
    <t>117.2 W, 51.5 N, Elev. 9 m</t>
  </si>
  <si>
    <t>1994-04-24 to 2000-09-01</t>
  </si>
  <si>
    <t>ZZ BLACK/GOLD</t>
  </si>
  <si>
    <t>117.5 W, 51.4 N, Elev. 11 m</t>
  </si>
  <si>
    <t>1994-07-26 to 2000-10-01</t>
  </si>
  <si>
    <t>ZZ WAYNE CRK</t>
  </si>
  <si>
    <t>117.5 W, 51.5 N, Elev. 5 m</t>
  </si>
  <si>
    <t>1994-08-02 to 2000-09-01</t>
  </si>
  <si>
    <t>ZZ BLUEWATER 2</t>
  </si>
  <si>
    <t>117.1 W, 51.4 N, Elev. 993 m</t>
  </si>
  <si>
    <t>1997-05-22 to 2001-10-11</t>
  </si>
  <si>
    <t>ZZ GOLD2</t>
  </si>
  <si>
    <t>117.8 W, 50.8 N, Elev. 12 m</t>
  </si>
  <si>
    <t>1995-05-14 to 1995-09-23</t>
  </si>
  <si>
    <t>ZZ BUSH RIVER 3</t>
  </si>
  <si>
    <t>117.2 W, 51.5 N, Elev. 13 m</t>
  </si>
  <si>
    <t>1997-06-02 to 1998-05-27</t>
  </si>
  <si>
    <t>ZZ SULLIVAN</t>
  </si>
  <si>
    <t>117.5 W, 52 N, Elev. 10 m</t>
  </si>
  <si>
    <t>1997-05-23 to 1997-09-23</t>
  </si>
  <si>
    <t>ZZ KASLORIVER</t>
  </si>
  <si>
    <t>117 W, 50 N, Elev. 11 m</t>
  </si>
  <si>
    <t>1990-04-03 to 1990-10-12</t>
  </si>
  <si>
    <t>ZZ VOLCANIC</t>
  </si>
  <si>
    <t>118.4 W, 49.2 N, Elev. 10 m</t>
  </si>
  <si>
    <t>1989-05-04 to 2000-10-01</t>
  </si>
  <si>
    <t>ZZ ITALY</t>
  </si>
  <si>
    <t>118.1 W, 49.1 N, Elev. 11 m</t>
  </si>
  <si>
    <t>ZZ FIVA</t>
  </si>
  <si>
    <t>118.5 W, 49.2 N, Elev. 8 m</t>
  </si>
  <si>
    <t>1989-07-13 to 1990-09-29</t>
  </si>
  <si>
    <t>ZZ MARYLAND</t>
  </si>
  <si>
    <t>116.9383 W, 49.04 N, Elev. 1507 m</t>
  </si>
  <si>
    <t>1994-01-01 to 2000-11-01</t>
  </si>
  <si>
    <t>ROUND PRAIRIE</t>
  </si>
  <si>
    <t>114.8997 W, 50.0867 N, Elev. 1647 m -&gt; 114.9004 W, 50.082 N, Elev. 1647 m</t>
  </si>
  <si>
    <t>2001-06-22 to 2025-07-22</t>
  </si>
  <si>
    <t>NEGRO CK -&gt; Bigattini</t>
  </si>
  <si>
    <t>115.9872 W, 49.4539 N, Elev. 1572 m</t>
  </si>
  <si>
    <t>2001-06-22 to 2023-04-14</t>
  </si>
  <si>
    <t>BIGATTINI (Formerly NEGRO CREEK)</t>
  </si>
  <si>
    <t>NEGRO CREEK</t>
  </si>
  <si>
    <t>WHITE RIVER</t>
  </si>
  <si>
    <t xml:space="preserve">115.266 W, 50.185 N, Elev. 1357 m -&gt; 115.2676 W, 50.185 N, Elev. 1357 m </t>
  </si>
  <si>
    <t>2000-08-17 to 2025-07-22</t>
  </si>
  <si>
    <t>CHERRY LAKE</t>
  </si>
  <si>
    <t>115.542 W, 49.188 N, Elev. 1372 m</t>
  </si>
  <si>
    <t>1999-08-31 to 2025-07-22</t>
  </si>
  <si>
    <t>ZZ FENWICK</t>
  </si>
  <si>
    <t>115.3 W, 50.3 N, Elev. 16 m</t>
  </si>
  <si>
    <t>1989-06-03 to 2000-09-01</t>
  </si>
  <si>
    <t>CARIBOO CK</t>
  </si>
  <si>
    <t>117.2303 W, 51.1767 N, Elev. 1518 m -&gt; 117.2317 W, 51.1764 N, Elev. 1518 m</t>
  </si>
  <si>
    <t>2001-07-04 to 2021-09-15</t>
  </si>
  <si>
    <t>CARIBOO CREEK</t>
  </si>
  <si>
    <t>ZZ CARIBOO CREEK</t>
  </si>
  <si>
    <t>ZZ SAWMILL CR</t>
  </si>
  <si>
    <t>116.2 W, 49.3 N, Elev. 15 m</t>
  </si>
  <si>
    <t>1989-08-11 to 2000-10-01</t>
  </si>
  <si>
    <t>ZZ SEMLIN</t>
  </si>
  <si>
    <t>115.5 W, 49.2 N, Elev. 15 m</t>
  </si>
  <si>
    <t>1989-07-24 to 1992-10-02</t>
  </si>
  <si>
    <t>ZZ DUTCH CR</t>
  </si>
  <si>
    <t>116.3 W, 50.3 N, Elev. 18 m</t>
  </si>
  <si>
    <t>1990-05-20 to 1990-10-18</t>
  </si>
  <si>
    <t>ZZ CAMP ONE</t>
  </si>
  <si>
    <t>115.8 W, 50.3 N, Elev. 16 m</t>
  </si>
  <si>
    <t>1990-05-09 to 1990-09-13</t>
  </si>
  <si>
    <t>ZZ MAIYUK CR.</t>
  </si>
  <si>
    <t>115.2 W, 50.3 N, Elev. 15 m</t>
  </si>
  <si>
    <t>1990-06-04 to 1991-09-16</t>
  </si>
  <si>
    <t>ZZ BREWER</t>
  </si>
  <si>
    <t>116.1 W, 50.4 N, Elev. 16 m</t>
  </si>
  <si>
    <t>1990-04-29 to 2000-09-01</t>
  </si>
  <si>
    <t>ZZ SKOOKUMCHUK</t>
  </si>
  <si>
    <t>115.8 W, 49.9 N, Elev. 9 m</t>
  </si>
  <si>
    <t>1991-04-18 to 1991-11-04</t>
  </si>
  <si>
    <t>ZZ CANAL FLATS</t>
  </si>
  <si>
    <t>115.8 W, 50.1 N, Elev. 846 m</t>
  </si>
  <si>
    <t>1991-06-06 to 2001-10-18</t>
  </si>
  <si>
    <t>ZZ NORTH FORK</t>
  </si>
  <si>
    <t>115.3 W, 50.4 N, Elev. 17 m</t>
  </si>
  <si>
    <t>1991-06-27 to 1992-07-21</t>
  </si>
  <si>
    <t>ZZ MOSCOW</t>
  </si>
  <si>
    <t>115.5 W, 50.2 N, Elev. 13 m</t>
  </si>
  <si>
    <t>1992-05-24 to 1992-10-18</t>
  </si>
  <si>
    <t>ZZ THUNDER</t>
  </si>
  <si>
    <t>115.3 W, 50.1 N, Elev. 17 m</t>
  </si>
  <si>
    <t>1992-07-23 to 2000-10-01</t>
  </si>
  <si>
    <t>ZZ CROSS</t>
  </si>
  <si>
    <t>115.5 W, 50.7 N, Elev. 16 m</t>
  </si>
  <si>
    <t>1992-09-02 to 1993-10-16</t>
  </si>
  <si>
    <t>ZZ PICTURE VALLEY</t>
  </si>
  <si>
    <t>115.3 W, 49.3 N, Elev. 10 m</t>
  </si>
  <si>
    <t>1993-05-18 to 1994-06-02</t>
  </si>
  <si>
    <t>ZZ LAMB CR</t>
  </si>
  <si>
    <t>115.8 W, 49.3 N, Elev. 11 m</t>
  </si>
  <si>
    <t>1993-06-08 to 2000-09-01</t>
  </si>
  <si>
    <t>ZZ MCLEOD KNP</t>
  </si>
  <si>
    <t>116 W, 50.8 N, Elev. 11 m</t>
  </si>
  <si>
    <t>1993-04-30 to 1995-08-23</t>
  </si>
  <si>
    <t>ZZ SWEDE KNP</t>
  </si>
  <si>
    <t>115.9 W, 50.7 N, Elev. 14 m</t>
  </si>
  <si>
    <t>1993-04-30 to 1995-08-04</t>
  </si>
  <si>
    <t>ZZ TWIN LAKES</t>
  </si>
  <si>
    <t>115.3 W, 49.2 N, Elev. 9 m</t>
  </si>
  <si>
    <t>1994-04-25 to 1997-05-06</t>
  </si>
  <si>
    <t>ZZ BURNAIS</t>
  </si>
  <si>
    <t>115.9 W, 50.5 N, Elev. 15 m</t>
  </si>
  <si>
    <t>1994-07-02 to 1995-09-30</t>
  </si>
  <si>
    <t>ZZ BULKLEY CANYON</t>
  </si>
  <si>
    <t>127.3 W, 55.1 N, Elev. 40 m</t>
  </si>
  <si>
    <t>1989-04-18 to 1989-09-07</t>
  </si>
  <si>
    <t>ZZ KINSCHKUSCH</t>
  </si>
  <si>
    <t>127 W, 55 N, Elev. 2 m</t>
  </si>
  <si>
    <t>1989-05-10 to 1989-09-16</t>
  </si>
  <si>
    <t>ZZ BORDEN LAKE</t>
  </si>
  <si>
    <t>128.7 W, 55.6 N, Elev. 4 m</t>
  </si>
  <si>
    <t>1989-05-19 to 1989-09-22</t>
  </si>
  <si>
    <t>ZZ GAIL CREEK</t>
  </si>
  <si>
    <t>127.1 W, 55.6 N, Elev. 11 m</t>
  </si>
  <si>
    <t>1989-06-03 to 2000-10-01</t>
  </si>
  <si>
    <t>ZZ WEEGEE</t>
  </si>
  <si>
    <t>129.4 W, 56.4 N, Elev. 2 m</t>
  </si>
  <si>
    <t>1990-05-16 to 2000-10-01</t>
  </si>
  <si>
    <t>ZZ WEBER CREEK</t>
  </si>
  <si>
    <t>128.2 W, 55.5 N, Elev. 7 m</t>
  </si>
  <si>
    <t>1990-08-08 to 1996-08-23</t>
  </si>
  <si>
    <t>ZZ HOAN</t>
  </si>
  <si>
    <t>129.1 W, 55.2 N, Elev. 1 m</t>
  </si>
  <si>
    <t>1994-06-01 to 1994-08-31</t>
  </si>
  <si>
    <t>ZZ GYPSY 1</t>
  </si>
  <si>
    <t>122.9 W, 49.2 N, Elev. 50 m</t>
  </si>
  <si>
    <t>1991-11-06 to 2000-06-05</t>
  </si>
  <si>
    <t>ZZ WATKINS2</t>
  </si>
  <si>
    <t>122 W, 49 N, Elev. 0 m</t>
  </si>
  <si>
    <t>1991-03-05 to 1991-03-14</t>
  </si>
  <si>
    <t>BCWS HQ</t>
  </si>
  <si>
    <t>CHURN CREEK</t>
  </si>
  <si>
    <t>122.3202 W, 51.4027 N, Elev. 1100 m</t>
  </si>
  <si>
    <t>2003-04-14 to 2025-07-22</t>
  </si>
  <si>
    <t>AUGUST LAKE</t>
  </si>
  <si>
    <t>120.4571 W, 49.4335 N, Elev. 855 m</t>
  </si>
  <si>
    <t>2003-05-26 to 2025-07-22</t>
  </si>
  <si>
    <t>AKOKLI CREEK</t>
  </si>
  <si>
    <t>116.7464 W, 49.4358 N, Elev. 821 m</t>
  </si>
  <si>
    <t>2003-01-01 to 2025-07-22</t>
  </si>
  <si>
    <t>ZZ MUCHALAT LAKE</t>
  </si>
  <si>
    <t>126.1455 W, 49.8875 N, Elev. 1125 m -&gt; 126.1454 W, 49.8875 N, Elev. 1125 m</t>
  </si>
  <si>
    <t>2003-09-08 to 2005-08-31</t>
  </si>
  <si>
    <t>ZZ CHIL QD</t>
  </si>
  <si>
    <t>124.0611 W, 51.7236 N, Elev. 1250 m</t>
  </si>
  <si>
    <t>2003-07-26 to 2003-08-14</t>
  </si>
  <si>
    <t>ZZ MCLURE QD</t>
  </si>
  <si>
    <t>120.2 W, 51.1 N, Elev. 600 m</t>
  </si>
  <si>
    <t>2003-08-02 to 2003-09-20</t>
  </si>
  <si>
    <t>ZZ WHITEWATER</t>
  </si>
  <si>
    <t>117.2406 W, 49.4958 N, Elev. 2000 m</t>
  </si>
  <si>
    <t>2003-08-17 to 2003-10-15</t>
  </si>
  <si>
    <t>ZZ LAMB QD</t>
  </si>
  <si>
    <t>115.8553 W, 49.367 N, Elev. 1060 m</t>
  </si>
  <si>
    <t>2003-08-25 to 2003-10-17</t>
  </si>
  <si>
    <t>HARROW</t>
  </si>
  <si>
    <t>117.9894 W, 50.0237 N, Elev. 2000 m</t>
  </si>
  <si>
    <t>2003-08-20 to 2003-09-26</t>
  </si>
  <si>
    <t>ZZ HARROW</t>
  </si>
  <si>
    <t>ZZ SITKUM CREEK</t>
  </si>
  <si>
    <t>118.4234 W, 50.3926 N, Elev. 1200 m</t>
  </si>
  <si>
    <t>2003-07-27 to 2003-09-03</t>
  </si>
  <si>
    <t>WR62A</t>
  </si>
  <si>
    <t>ZZ NORTH DELTA MOTH</t>
  </si>
  <si>
    <t>122.55 W, 49.15 N, Elev. 100 m</t>
  </si>
  <si>
    <t>2004-01-16 to 2004-05-18</t>
  </si>
  <si>
    <t>WARDNER</t>
  </si>
  <si>
    <t>115.3976 W, 49.3881 N, Elev. 797 m</t>
  </si>
  <si>
    <t>2004-03-23 to 2004-05-26</t>
  </si>
  <si>
    <t>ZZ WARDNER</t>
  </si>
  <si>
    <t>ZZ HAT CREEK</t>
  </si>
  <si>
    <t>121.5653 W, 50.7611 N, Elev. 1085 m</t>
  </si>
  <si>
    <t>2004-04-02 to 2005-05-06</t>
  </si>
  <si>
    <t>BRISCO</t>
  </si>
  <si>
    <t>116.2449 W, 50.8193 N, Elev. 930 m</t>
  </si>
  <si>
    <t>2004-05-12 to 2025-07-22</t>
  </si>
  <si>
    <t>117.0571 W, 51.4357 N, Elev. 861 m</t>
  </si>
  <si>
    <t>2004-06-01 to 2025-07-22</t>
  </si>
  <si>
    <t>ZZ MUD LAKE</t>
  </si>
  <si>
    <t>119.1214 W, 52.1125 N, Elev. 774 m</t>
  </si>
  <si>
    <t>2004-06-09 to 2005-10-26</t>
  </si>
  <si>
    <t>BIG-MOUTH 2</t>
  </si>
  <si>
    <t>118.5914 W, 51.8533 N, Elev. 1091 m</t>
  </si>
  <si>
    <t>2004-06-14 to 2025-07-22</t>
  </si>
  <si>
    <t>BIG MOUTH 2</t>
  </si>
  <si>
    <t>ZZ DICKEY CREEK</t>
  </si>
  <si>
    <t>122.0203 W, 50.7561 N, Elev. 1640 m</t>
  </si>
  <si>
    <t>2004-06-21 to 2004-07-15</t>
  </si>
  <si>
    <t>ZZ TURNER LAKE</t>
  </si>
  <si>
    <t>125.2693 W, 52.2369 N, Elev. 1230 m</t>
  </si>
  <si>
    <t>2004-07-17 to 2004-09-03</t>
  </si>
  <si>
    <t>ZZ SWAN LAKE</t>
  </si>
  <si>
    <t>131.4556 W, 59.8843 N, Elev. 690 m</t>
  </si>
  <si>
    <t>2004-07-20 to 2005-09-22</t>
  </si>
  <si>
    <t>CRAWFORD</t>
  </si>
  <si>
    <t>117.9578 W, 50.765 N, Elev. 887 m</t>
  </si>
  <si>
    <t>2004-07-30 to 2025-07-22</t>
  </si>
  <si>
    <t>MINER LAKE</t>
  </si>
  <si>
    <t>124.9961 W, 51.8825 N, Elev. 1355 m</t>
  </si>
  <si>
    <t>2004-08-03 to 2004-09-08</t>
  </si>
  <si>
    <t>ZZ MINER LAKE</t>
  </si>
  <si>
    <t>ZZ THUNDER MOUNTAIN</t>
  </si>
  <si>
    <t>119.1242 W, 49.7672 N, Elev. 1300 m</t>
  </si>
  <si>
    <t>2004-08-01 to 2004-08-05</t>
  </si>
  <si>
    <t>IDA BELL III -&gt; IDABELL LAKE 3</t>
  </si>
  <si>
    <t>119.1242 W, 49.7672 N, Elev. 1300 m -&gt; 119.1241 W, 49.7672 N, Elev. 1246 m</t>
  </si>
  <si>
    <t>2004-08-01 to 2025-07-22</t>
  </si>
  <si>
    <t>IDA BELL LAKE 3</t>
  </si>
  <si>
    <t>IDABEL LAKE 3</t>
  </si>
  <si>
    <t>ZZ CAP</t>
  </si>
  <si>
    <t>122.4281 W, 50.7469 N, Elev. 2165 m</t>
  </si>
  <si>
    <t>2004-08-17 to 2004-08-30</t>
  </si>
  <si>
    <t>SICAMOUS</t>
  </si>
  <si>
    <t xml:space="preserve">119.0017 W, 50.8636 N, Elev. 1050 m -&gt; 119.0028 W, 50.8635 N, Elev. 1115 m </t>
  </si>
  <si>
    <t>2004-09-28 to 2025-07-22</t>
  </si>
  <si>
    <t>GOATHAVEN</t>
  </si>
  <si>
    <t>115.2144 W, 49.6673 N, Elev. 1051 m -&gt; 115.2144 W, 49.6673 N, Elev. 1063 m</t>
  </si>
  <si>
    <t>2004-01-01 to 2025-07-22</t>
  </si>
  <si>
    <t>ZZ RUSSELL LAKE</t>
  </si>
  <si>
    <t>120.0433 W, 51.5814 N, Elev. 1200 m</t>
  </si>
  <si>
    <t>2005-04-13 to 2005-10-26</t>
  </si>
  <si>
    <t>CALLAGHAN VALLEY (EC)</t>
  </si>
  <si>
    <t>ZZ SASKUM LAKE</t>
  </si>
  <si>
    <t>119.7136 W, 51.4397 N, Elev. 900 m</t>
  </si>
  <si>
    <t>2005-06-24 to 2005-10-26</t>
  </si>
  <si>
    <t>CARROTT LAKE</t>
  </si>
  <si>
    <t>124.4403 W, 53.4 N, Elev. 1000 m -&gt;124.4389 W, 53.4008 N, Elev. 1000 m</t>
  </si>
  <si>
    <t>2005-07-12 to 2019-05-28</t>
  </si>
  <si>
    <t>ZZ CARROTT LAKE</t>
  </si>
  <si>
    <t>HAGENSBORG II - HAGENSBORG 2</t>
  </si>
  <si>
    <t>126.5897 W, 52.3872 N, Elev. 50 m -&gt; 126.5897 W, 52.3873 N, Elev. 47 m</t>
  </si>
  <si>
    <t>2005-07-14 to 2025-07-22</t>
  </si>
  <si>
    <t>HAGENSBORG 2</t>
  </si>
  <si>
    <t>DOWNIE</t>
  </si>
  <si>
    <t>118.2721 W, 51.5154 N, Elev. 757 m</t>
  </si>
  <si>
    <t>2005-07-19 to 2025-07-22</t>
  </si>
  <si>
    <t>CARPENTER LAKE TEMP</t>
  </si>
  <si>
    <t>122.3369 W, 50.8272 N, Elev. 1980 m -&gt; 122.3369 W, 50.8273 N, Elev. 2017 m</t>
  </si>
  <si>
    <t>2005-07-26 to 2007-10-10</t>
  </si>
  <si>
    <t>ZZ CARPENTER LAKE TEMP</t>
  </si>
  <si>
    <t>TURNER _Tweedsmuir</t>
  </si>
  <si>
    <t>125.7827 W, 52.2692 N, Elev. 1098 m</t>
  </si>
  <si>
    <t>2005-08-11 to 2006-08-11</t>
  </si>
  <si>
    <t>ZZ TURNER _TWEEDSMUIR</t>
  </si>
  <si>
    <t>ZZ ELAHO</t>
  </si>
  <si>
    <t>123.5589 W, 50.3242 N, Elev. 650 m</t>
  </si>
  <si>
    <t>2005-08-14 to 2005-09-22</t>
  </si>
  <si>
    <t>SATURNA (EC)</t>
  </si>
  <si>
    <t>GOLDSTREAM II -&gt; GOLDSTREAM 2</t>
  </si>
  <si>
    <t>118.4871 W, 51.6694 N, Elev. 1333 m</t>
  </si>
  <si>
    <t>2005-09-15 to 2025-07-22</t>
  </si>
  <si>
    <t>GOLDSTREAM 2</t>
  </si>
  <si>
    <t>BUSK TEMP</t>
  </si>
  <si>
    <t>117.1258 W, 49.6278 N, Elev. 1376 m</t>
  </si>
  <si>
    <t>2005-09-21 to 2005-10-03</t>
  </si>
  <si>
    <t>ZZ BUSK TEMP</t>
  </si>
  <si>
    <t>ZZ REMSATWX1</t>
  </si>
  <si>
    <t>122.9531 W, 50.1169 N, Elev. 678 m</t>
  </si>
  <si>
    <t>2005-09-28 to 2005-09-29</t>
  </si>
  <si>
    <t>ZZ REMSATWX2</t>
  </si>
  <si>
    <t>122.7292 W, 50.3058 N, Elev. 206 m</t>
  </si>
  <si>
    <t>BONE Temp</t>
  </si>
  <si>
    <t>119.0256 W, 52.2502 N, Elev. 1109 m</t>
  </si>
  <si>
    <t>2005-08-26 to 2005-09-21</t>
  </si>
  <si>
    <t>ZZ BONE TEMP</t>
  </si>
  <si>
    <t>CANVAS Temp</t>
  </si>
  <si>
    <t>119.2868 W, 52.4697 N, Elev. 1160 m</t>
  </si>
  <si>
    <t>2005-08-28 to 2005-09-21</t>
  </si>
  <si>
    <t>ZZ CANVAS TEMP</t>
  </si>
  <si>
    <t>W RAFT Temp</t>
  </si>
  <si>
    <t>119.7708 W, 52.8415 N, Elev. 1070 m</t>
  </si>
  <si>
    <t>2005-08-28 to 2005-09-23</t>
  </si>
  <si>
    <t>ZZ W RAFT TEMP</t>
  </si>
  <si>
    <t>ANDERSON</t>
  </si>
  <si>
    <t>122.082 W, 52.076 N, Elev. 920 m</t>
  </si>
  <si>
    <t>2005-11-06 to 2007-06-14</t>
  </si>
  <si>
    <t>ANDERSON CREEK</t>
  </si>
  <si>
    <t>ZZ ANDERSON</t>
  </si>
  <si>
    <t>ZZ ENGLISHMAN RIVER</t>
  </si>
  <si>
    <t>124.4106 W, 49.2119 N, Elev. 309 m</t>
  </si>
  <si>
    <t>2005-11-22 to 2006-06-13</t>
  </si>
  <si>
    <t>ZZ GYPSY 2</t>
  </si>
  <si>
    <t>124.0147 W, 49.2283 N, Elev. 156 m</t>
  </si>
  <si>
    <t>2006-02-10 to 2006-06-06</t>
  </si>
  <si>
    <t>NEWGATE 2</t>
  </si>
  <si>
    <t>115.2127 W, 49.0317 N, Elev. 794 m</t>
  </si>
  <si>
    <t>2006-04-10 to 2006-04-20</t>
  </si>
  <si>
    <t>ZZ NEWGATE 2</t>
  </si>
  <si>
    <t>MESACHIE 2</t>
  </si>
  <si>
    <t>124.1361 W, 48.8181 N, Elev. 210 m -&gt; 124.1371 W, 48.8228 N, Elev. 185 m</t>
  </si>
  <si>
    <t>2006-05-04 to 2025-07-22</t>
  </si>
  <si>
    <t>NEW DENVER</t>
  </si>
  <si>
    <t>117.3749 W, 49.984 N, Elev. 549 m</t>
  </si>
  <si>
    <t>2006-05-26 to 2006-05-31</t>
  </si>
  <si>
    <t>ZZ NEW DENVER</t>
  </si>
  <si>
    <t>PINE CREEK</t>
  </si>
  <si>
    <t>127.3258 W, 54.6838 N, Elev. 1320 m -&gt; 127.3234 W, 54.683 N, Elev. 1300 m</t>
  </si>
  <si>
    <t>2006-06-02 to 2025-07-22</t>
  </si>
  <si>
    <t>ZZ WAPITI</t>
  </si>
  <si>
    <t>120.6306 W, 54.6322 N, Elev. 1241 m</t>
  </si>
  <si>
    <t>2006-07-03 to 2006-07-06</t>
  </si>
  <si>
    <t>BATNUNI</t>
  </si>
  <si>
    <t>123.4456 W, 53.2873 N, Elev. 1039 m</t>
  </si>
  <si>
    <t>2006-07-09 to 2006-07-11</t>
  </si>
  <si>
    <t>ZZ BATNUNI</t>
  </si>
  <si>
    <t>FALKLAND</t>
  </si>
  <si>
    <t>119.5606 W, 50.4725 N, Elev. 1281 m</t>
  </si>
  <si>
    <t>2006-07-27 to 2006-08-03</t>
  </si>
  <si>
    <t>ZZ FALKLAND</t>
  </si>
  <si>
    <t>TS SAN JUAN</t>
  </si>
  <si>
    <t>124.2006 W, 48.5711 N, Elev. 296 m -&gt; 124.2 W, 48.5713 N, Elev. 294 m</t>
  </si>
  <si>
    <t>2006-08-01 to 2025-07-22</t>
  </si>
  <si>
    <t>FOR/BCTS</t>
  </si>
  <si>
    <t>TS NAKA CREEK</t>
  </si>
  <si>
    <t>115.2144 W, 49.6673 N, Elev. 1051 m -&gt; 126.4339 W, 50.3701 N, Elev. 515 m</t>
  </si>
  <si>
    <t>2006-08-09 to 2025-07-22</t>
  </si>
  <si>
    <t>ZZ PASAYTON</t>
  </si>
  <si>
    <t>120.5569 W, 49.0625 N, Elev. 1103 m</t>
  </si>
  <si>
    <t>2006-09-01 to 2006-09-24</t>
  </si>
  <si>
    <t>ZZ PLACER</t>
  </si>
  <si>
    <t>120.5019 W, 49.1244 N, Elev. 1553 m</t>
  </si>
  <si>
    <t>2006-09-11 to 2006-09-24</t>
  </si>
  <si>
    <t>TS EFFINGHAM</t>
  </si>
  <si>
    <t>125.2825 W, 49.17 N, Elev. 632 m</t>
  </si>
  <si>
    <t>2006-10-31 to 2025-07-22</t>
  </si>
  <si>
    <t>GM COURTENAY</t>
  </si>
  <si>
    <t>124.9971 W, 49.7104 N, Elev. 37 m</t>
  </si>
  <si>
    <t>2007-02-01 to 2007-06-07</t>
  </si>
  <si>
    <t>ZZ GM COURTENAY</t>
  </si>
  <si>
    <t>KIYU CREEK</t>
  </si>
  <si>
    <t>126.5145 W, 50.0926 N, Elev. 455 m</t>
  </si>
  <si>
    <t>2007-04-12 to 2007-05-16</t>
  </si>
  <si>
    <t>ZZ KIYU CREEK</t>
  </si>
  <si>
    <t>-&gt; IRON CREEK</t>
  </si>
  <si>
    <t>0 W, null N, Elev. null m -&gt; 127.9276 W, 60.0069 N, Elev. 674 m</t>
  </si>
  <si>
    <t>2022-07-14 to 2025-07-21</t>
  </si>
  <si>
    <t>IRON CREEK YFS</t>
  </si>
  <si>
    <t>Yukon Forest Service</t>
  </si>
  <si>
    <t>OELRICH</t>
  </si>
  <si>
    <t>120.5439 W, 49.6636 N, Elev. 1449 m</t>
  </si>
  <si>
    <t>2007-04-30 to 2009-10-19</t>
  </si>
  <si>
    <t>ZZ OELRICH SF</t>
  </si>
  <si>
    <t>MACHETE</t>
  </si>
  <si>
    <t>120.4908 W, 51.3725 N, Elev. 1467 m</t>
  </si>
  <si>
    <t>2007-05-03 to 2007-10-04</t>
  </si>
  <si>
    <t>ZZ MACHETE</t>
  </si>
  <si>
    <t xml:space="preserve">121.3575 W, 49.6551 N, Elev. 630 m -&gt; 121.3576 W, 49.6551 N, Elev. 655 m </t>
  </si>
  <si>
    <t>1904-07-23 to 2025-07-22</t>
  </si>
  <si>
    <t>UPPER PLACER</t>
  </si>
  <si>
    <t>120.4558 W, 49.1789 N, Elev. 1674 m</t>
  </si>
  <si>
    <t>2007-05-23 to 2007-09-29</t>
  </si>
  <si>
    <t>ZZ UPPER PLACER</t>
  </si>
  <si>
    <t>SASKUM</t>
  </si>
  <si>
    <t>119.6908 W, 51.4367 N, Elev. 1369 m</t>
  </si>
  <si>
    <t>2007-05-31 to 2008-10-22</t>
  </si>
  <si>
    <t>ZZ SASKUM</t>
  </si>
  <si>
    <t>ZZ STANLEY PARK</t>
  </si>
  <si>
    <t>123.1219444 W, 49.29527778 N, Elev. 10 m</t>
  </si>
  <si>
    <t>2007-06-26 to 2007-10-05</t>
  </si>
  <si>
    <t>ZZ SPRINGER</t>
  </si>
  <si>
    <t>117.4177778 W, 49.75861111 N, Elev. 1790 m</t>
  </si>
  <si>
    <t>2007-08-01 to 2007-08-12</t>
  </si>
  <si>
    <t>ZZ NEEDLES 2</t>
  </si>
  <si>
    <t>118.0502778 W, 49.94277778 N, Elev. 746 m</t>
  </si>
  <si>
    <t>2007-08-04 to 2007-08-20</t>
  </si>
  <si>
    <t>ZZ HA HA MST</t>
  </si>
  <si>
    <t>115.615 W, 49.415 N, Elev. 1335 m</t>
  </si>
  <si>
    <t>2006-07-15 to 2007-01-01</t>
  </si>
  <si>
    <t>ZZ GALENA BAY</t>
  </si>
  <si>
    <t>117.8533306 W, 50.54538 N, Elev. 1619 m -&gt; 117.854 W, 50.5454 N, Elev. 1619 m</t>
  </si>
  <si>
    <t>2007-08-19 to 2009-09-11</t>
  </si>
  <si>
    <t>TS ARTLISH</t>
  </si>
  <si>
    <t>126.92823 W, 50.13242 N, Elev. 130 m -&gt; 126.92823 W, 50.13242 N, Elev. 120 m</t>
  </si>
  <si>
    <t>2007-08-23 to 2025-07-22</t>
  </si>
  <si>
    <t>TS ELPHINSTONE</t>
  </si>
  <si>
    <t>123.56484 W, 49.42805 N, Elev. 593 m -&gt; 123.5649 W, 49.428 N, Elev. 615 m</t>
  </si>
  <si>
    <t>2008-03-08 to 2025-07-22</t>
  </si>
  <si>
    <t>ZZ BAY ST TESTQD</t>
  </si>
  <si>
    <t>123.3749333 W, 48.4348 N, Elev. 50 m -&gt; 123.3749 N, 48.4348 N, Elev. 50 m</t>
  </si>
  <si>
    <t>2007-11-30 to 2017-07-14</t>
  </si>
  <si>
    <t>ZZ SALTAIR GM</t>
  </si>
  <si>
    <t>123.7719444 W, 48.96361111 N, Elev. 18 m</t>
  </si>
  <si>
    <t>2007-12-20 to 2008-06-11</t>
  </si>
  <si>
    <t>ZZ CHEHALIS LAKE</t>
  </si>
  <si>
    <t>122.0308333 W, 49.03330556 N, Elev. 235 m</t>
  </si>
  <si>
    <t>2007-12-21 to 2008-04-28</t>
  </si>
  <si>
    <t>ZZ LOGAN LAKE</t>
  </si>
  <si>
    <t>120.8111111 W, 50.50102778 N, Elev. 1163 m</t>
  </si>
  <si>
    <t>2008-03-17 to 2008-03-27</t>
  </si>
  <si>
    <t>NORTH COWICHAN (EC)</t>
  </si>
  <si>
    <t>QUALICUM AP (EC)</t>
  </si>
  <si>
    <t>SECHELT (EC)</t>
  </si>
  <si>
    <t>ZZ HIGHLAND POST</t>
  </si>
  <si>
    <t>128.1666667 W, 57.64666667 N, Elev. 1077 m</t>
  </si>
  <si>
    <t>2008-05-22 to 2008-05-28</t>
  </si>
  <si>
    <t>ZZ RED ROCK</t>
  </si>
  <si>
    <t>120.4755556 W, 49.18138889 N, Elev. 1722 m</t>
  </si>
  <si>
    <t>2008-05-30 to 2008-10-21</t>
  </si>
  <si>
    <t>ZZ SIWASH</t>
  </si>
  <si>
    <t>120.4211111 W, 49.77583333 N, Elev. 1483 m</t>
  </si>
  <si>
    <t>2008-05-29 to 2008-10-21</t>
  </si>
  <si>
    <t>ZZ KODIAK</t>
  </si>
  <si>
    <t>119.6602778 W, 50.17972222 N, Elev. 1601 m</t>
  </si>
  <si>
    <t>2008-06-05 to 2008-10-22</t>
  </si>
  <si>
    <t>REARGUARD</t>
  </si>
  <si>
    <t>119.2113 W, 53.03233 N, Elev. 872 m</t>
  </si>
  <si>
    <t>2008-07-09 to 2008-11-17</t>
  </si>
  <si>
    <t>ZZ REARGUARD</t>
  </si>
  <si>
    <t>ZZ YELLOWHEAD</t>
  </si>
  <si>
    <t>118.7788889 W, 52.90722222 N, Elev. 1080 m</t>
  </si>
  <si>
    <t>2008-07-17 to 2008-11-17</t>
  </si>
  <si>
    <t>SKOONKA</t>
  </si>
  <si>
    <t>121.5515 W, 50.43869 N, Elev. 1557 m -&gt; 121.5515 W, 50.4387 N, Elev. 1557 m</t>
  </si>
  <si>
    <t>2008-07-11 to 2025-07-22</t>
  </si>
  <si>
    <t>TS THEODOSIA</t>
  </si>
  <si>
    <t>124.61373 W, 50.10348 N, Elev. 91 m -&gt; 124.6146 W, 50.10348 N, Elev. 103 m</t>
  </si>
  <si>
    <t>2008-07-17 to 2025-07-22</t>
  </si>
  <si>
    <t>ZZ DANIELS PASS</t>
  </si>
  <si>
    <t>124.4122222 W, 50.40263889 N, Elev. 856 m -&gt; 124.4122 W, 50.4026 N, Elev. 856 m</t>
  </si>
  <si>
    <t>2008-07-29 to 2009-10-06</t>
  </si>
  <si>
    <t>ZZ MONTROSE INTAKE</t>
  </si>
  <si>
    <t>124.1141667 W, 50.65694444 N, Elev. 644 m -&gt; 124.1143 W, 50.6572 N, Elev. 644 m</t>
  </si>
  <si>
    <t>2008-07-29 to 2009-10-05</t>
  </si>
  <si>
    <t>FIVE MILE</t>
  </si>
  <si>
    <t>122.68889 W, 50.91089 N, Elev. 865 m -&gt; 122.68889 W, 50.91089 N, Elev. 875 m</t>
  </si>
  <si>
    <t>2008-08-07 to 2025-07-22</t>
  </si>
  <si>
    <t>GWILLIM</t>
  </si>
  <si>
    <t>121.56393 W, 55.29548 N, Elev. 1100 m</t>
  </si>
  <si>
    <t>2008-08-12 to 2008-10-22</t>
  </si>
  <si>
    <t>ZZ GWILLIM</t>
  </si>
  <si>
    <t>ZZ EAST TOBA</t>
  </si>
  <si>
    <t>123.8830556 W, 50.64777778 N, Elev. 731 m -&gt; 123.8832 W, 50.6479 N, Elev. 731 m</t>
  </si>
  <si>
    <t>2008-08-15 to 2009-09-28</t>
  </si>
  <si>
    <t>ZZ AGASSIZ GM</t>
  </si>
  <si>
    <t>121.7805556 W, 49.27111111 N, Elev. 19 m -&gt; 121.7808 W, 49.2713 N, Elev. 19</t>
  </si>
  <si>
    <t>2009-02-10 to 2010-06-23</t>
  </si>
  <si>
    <t>ZZ IRONWOOD SPRINGS</t>
  </si>
  <si>
    <t>123.5283333 W, 52.07138889 N, Elev. 798 m</t>
  </si>
  <si>
    <t>2009-03-23 to 2009-05-14</t>
  </si>
  <si>
    <t>ZZ FOUR BROTHERS</t>
  </si>
  <si>
    <t>121.6502778 W, 49.2325 N, Elev. 657 m</t>
  </si>
  <si>
    <t>2009-04-08 to 2009-08-04</t>
  </si>
  <si>
    <t>BIG SILVER 2</t>
  </si>
  <si>
    <t>121.85962 W, 49.691 N, Elev. 561 m -&gt; 121.8366 W, 49.7234 N, Elev. 570 m</t>
  </si>
  <si>
    <t>2009-06-18 to 2025-07-22</t>
  </si>
  <si>
    <t>ZZ GUNN CREEK</t>
  </si>
  <si>
    <t>122.7666667 W, 50.89444444 N, Elev. 657 m</t>
  </si>
  <si>
    <t>2009-06-03 to 2009-06-14</t>
  </si>
  <si>
    <t>ZZ SMITH RIVER</t>
  </si>
  <si>
    <t>126.9166667 W, 59.65 N, Elev. 500 m</t>
  </si>
  <si>
    <t>2009-06-27 to 2009-09-10</t>
  </si>
  <si>
    <t>OSBORN</t>
  </si>
  <si>
    <t>120.38194 W, 56.55833 N, Elev. 700 m -&gt; 120.3952 W, 56.5553 N, Elev. 700 m</t>
  </si>
  <si>
    <t>2009-06-30 to 2025-07-22</t>
  </si>
  <si>
    <t>ZZ SHORT CREEK</t>
  </si>
  <si>
    <t>119.7955556 W, 50.19777778 N, Elev. 1814 m</t>
  </si>
  <si>
    <t>2009-07-22 to 2009-08-20</t>
  </si>
  <si>
    <t>ZZ SETON LK SOUTH</t>
  </si>
  <si>
    <t>122.1741667 W, 50.68555556 N, Elev. 1523 m</t>
  </si>
  <si>
    <t>2009-07-22 to 2009-08-04</t>
  </si>
  <si>
    <t>ZZ HELL DOG QD</t>
  </si>
  <si>
    <t>122.3005556 W, 50.96305556 N, Elev. 938 m</t>
  </si>
  <si>
    <t>2009-08-12 to 2009-10-21</t>
  </si>
  <si>
    <t>ZZ MOMICH LAKE</t>
  </si>
  <si>
    <t>119.3225 W, 51.29527778 N, Elev. 1409 m</t>
  </si>
  <si>
    <t>2009-08-13 to 2009-10-20</t>
  </si>
  <si>
    <t>ZZ NOTCH QD</t>
  </si>
  <si>
    <t>119.45 W, 50.74583333 N, Elev. 1407 m</t>
  </si>
  <si>
    <t>2009-08-26 to 2009-09-22</t>
  </si>
  <si>
    <t>ZZ LAVA QD</t>
  </si>
  <si>
    <t>123.8908333 W, 52.07336111 N, Elev. 1055 m</t>
  </si>
  <si>
    <t>2009-09-12 to 2009-09-30</t>
  </si>
  <si>
    <t>SPLINTLUM</t>
  </si>
  <si>
    <t>121.65495 W, 50.3513 N, Elev. 424 m -&gt; 121.6549 W, 50.3511 N, Elev. 424 m</t>
  </si>
  <si>
    <t>2009-10-21 to 2025-07-22</t>
  </si>
  <si>
    <t>TS MAURELLE</t>
  </si>
  <si>
    <t>125.1309 W, 50.27092 N, Elev. 132 m -&gt; 125.1309 W, 50.27092 N, Elev. 140 m</t>
  </si>
  <si>
    <t>2010-03-10 to 2025-07-22</t>
  </si>
  <si>
    <t>TS MCNABB</t>
  </si>
  <si>
    <t>123.38722 W, 49.5855 N, Elev. 154 m -&gt; 123.3873 W, 49.5855 N, Elev. 140 m</t>
  </si>
  <si>
    <t>2010-04-14 to 2025-07-22</t>
  </si>
  <si>
    <t>KOOCANUSA</t>
  </si>
  <si>
    <t>115.22528 W, 49.04694 N, Elev. 804 m -&gt; 115.2253 W, 49.04694 N, Elev. 804 m</t>
  </si>
  <si>
    <t>2010-06-10 to 2025-07-22</t>
  </si>
  <si>
    <t>MAYSON</t>
  </si>
  <si>
    <t>120.41197 W, 51.21111 N, Elev. 1315 m -&gt; 120.41197 W, 51.21111 N, Elev. 1311 m</t>
  </si>
  <si>
    <t>2010-07-08 to 2025-07-22</t>
  </si>
  <si>
    <t>MEAGER CREEK</t>
  </si>
  <si>
    <t>123.41 W, 50.61972 N, Elev. 545 m -&gt; 123.4101 W, 50.61972 N, Elev. 549 m</t>
  </si>
  <si>
    <t>2010-07-14 to 2025-07-22</t>
  </si>
  <si>
    <t>RORY CREEK</t>
  </si>
  <si>
    <t>116.79332 W, 50.61262 N, Elev. 1580 m</t>
  </si>
  <si>
    <t>2010-10-07 to 2025-07-22</t>
  </si>
  <si>
    <t>QUINSAM BASE FWX (TRIAL)</t>
  </si>
  <si>
    <t>125.29401 W, 50.02723 N, Elev. 100 m -&gt; 125.2929 W, 50.0267 N, Elev. 68 m</t>
  </si>
  <si>
    <t>2010-10-01 to 2025-07-22</t>
  </si>
  <si>
    <t>QUINSAM BASE FWX</t>
  </si>
  <si>
    <t>PAT BAY F6 TEST</t>
  </si>
  <si>
    <t>123.4365333 W, 48.64473333 N, Elev. 32 m</t>
  </si>
  <si>
    <t>2010-05-25 to 2019-04-23</t>
  </si>
  <si>
    <t>ZZ DEEP CREEK TS</t>
  </si>
  <si>
    <t>119.2829667 W, 50.56986667 N, Elev. 1118 m</t>
  </si>
  <si>
    <t>2011-06-16 to 2016-10-05</t>
  </si>
  <si>
    <t>BLUE RIVER 2</t>
  </si>
  <si>
    <t>119.2935833 W, 52.12225 N, Elev. 695 m -&gt; 119.2936 W, 52.1223 N, Elev. 684 m</t>
  </si>
  <si>
    <t>2011-06-29 to 2025-07-22</t>
  </si>
  <si>
    <t>TATLAYOKO LAKE (EC)</t>
  </si>
  <si>
    <t>WARFIELD RCS (EC)</t>
  </si>
  <si>
    <t>STATION BAY</t>
  </si>
  <si>
    <t>119.7013889 W, 50.50025 N, Elev. 1153 m -&gt; 119.7008 W, 50.50025 N, Elev. 1089 m</t>
  </si>
  <si>
    <t>2012-07-13 to 2019-05-31</t>
  </si>
  <si>
    <t>ZZ STATION BAY</t>
  </si>
  <si>
    <t>ZZ BUG CAMP CREEK</t>
  </si>
  <si>
    <t>119.5135833 W, 51.20275 N, Elev. 591 m</t>
  </si>
  <si>
    <t>2012-07-12 to 2014-06-16</t>
  </si>
  <si>
    <t>ZZ CLIFTON</t>
  </si>
  <si>
    <t>119.8142167 W, 49.2345 N, Elev. 557 m</t>
  </si>
  <si>
    <t>2017-07-26 to 2017-07-27</t>
  </si>
  <si>
    <t>MARTINS GULCH CRD</t>
  </si>
  <si>
    <t>123.764444 W, 48.516111 N, Elev. 512 m</t>
  </si>
  <si>
    <t>2014-04-16 to 2022-02-24</t>
  </si>
  <si>
    <t>MARTINS GULCH (CRD)</t>
  </si>
  <si>
    <t>14G CRD</t>
  </si>
  <si>
    <t>123.613889 W, 48.494444 N, Elev. 485 m</t>
  </si>
  <si>
    <t>14G (CRD)</t>
  </si>
  <si>
    <t>4RW6 CRD</t>
  </si>
  <si>
    <t>123.749444 W, 48.586111 N, Elev. 665 m</t>
  </si>
  <si>
    <t>4RW6 (CRD)</t>
  </si>
  <si>
    <t>FORD MOUNTAIN</t>
  </si>
  <si>
    <t xml:space="preserve">121.6375278 W, 49.1040278 N, Elev. 247 m -&gt; 121.6375278 W, 49.1040278 N, Elev. 372 m </t>
  </si>
  <si>
    <t>2012-08-22 to 2025-07-22</t>
  </si>
  <si>
    <t>ZZ STEWART CREEK QD</t>
  </si>
  <si>
    <t>117.2593167 W, 49.29415 N, Elev. 1250 m</t>
  </si>
  <si>
    <t>2013-05-24 to 2014-08-07</t>
  </si>
  <si>
    <t>ZZ SLOQUET TEMP</t>
  </si>
  <si>
    <t xml:space="preserve">122.3652333 W, 49.71543333 N, Elev. 330 m </t>
  </si>
  <si>
    <t>2013-06-05 to 2014-06-09</t>
  </si>
  <si>
    <t>ZZ BULL CREEK TEMP</t>
  </si>
  <si>
    <t>119.9747167 W, 49.59471667 N, Elev. 1407 m</t>
  </si>
  <si>
    <t>2013-05-30 to 2014-10-01</t>
  </si>
  <si>
    <t>SEVEREID</t>
  </si>
  <si>
    <t>121.65168 W, 54.16957 N, Elev. 798 m -&gt; 121.6519 W, 54.1693 N, Elev. 799 m</t>
  </si>
  <si>
    <t>2013-11-06 to 2025-07-22</t>
  </si>
  <si>
    <t>NORTH BASIN CRD</t>
  </si>
  <si>
    <t>123.706806 W, 48.572222 N, Elev. 180 m</t>
  </si>
  <si>
    <t>NORTH BASIN (CRD)</t>
  </si>
  <si>
    <t>ZZ HAYLEMORE CREEK QD</t>
  </si>
  <si>
    <t>122.4458333 W, 50.52908333 N, Elev. 765 m</t>
  </si>
  <si>
    <t>2014-04-01 to 2014-06-16</t>
  </si>
  <si>
    <t>ZZ JOHNSTONE CREEK QD</t>
  </si>
  <si>
    <t>119.061 W, 49.0505 N, Elev. 930 m</t>
  </si>
  <si>
    <t>2014-04-03 to 2015-04-21</t>
  </si>
  <si>
    <t>ZZ COOPER QD</t>
  </si>
  <si>
    <t>117.05 W, 50.11 N, Elev. 1020 m</t>
  </si>
  <si>
    <t>2014-05-15 to 2014-06-10</t>
  </si>
  <si>
    <t>ASHCROFT (EC)</t>
  </si>
  <si>
    <t>ZZ SLEEPY HOLLOW TEMP</t>
  </si>
  <si>
    <t>118.7758333 W, 50.68278333 N, Elev. 751 m</t>
  </si>
  <si>
    <t>2014-06-06 to 2018-10-16</t>
  </si>
  <si>
    <t>ZZ WEST KOKANEE QD</t>
  </si>
  <si>
    <t>117.11 W, 49.4 N, Elev. 1455 m</t>
  </si>
  <si>
    <t>2014-06-07 to 2014-07-21</t>
  </si>
  <si>
    <t>MUDPIT</t>
  </si>
  <si>
    <t>119.3925 W, 51.31308 N, Elev. 884 m -&gt; 119.3926 W, 51.3127 N, Elev. 884 m</t>
  </si>
  <si>
    <t>2014-06-15 to 2025-07-22</t>
  </si>
  <si>
    <t>ZZ CENTER MOUNTAIN TEMP</t>
  </si>
  <si>
    <t>118.74 W, 49.71388333 N, Elev. 1393 m</t>
  </si>
  <si>
    <t>2014-06-17 to 2014-10-28</t>
  </si>
  <si>
    <t>ZZ LIZZIE BAY TEMP</t>
  </si>
  <si>
    <t>122.2287667 W, 49.75436667 N, Elev. 111 m</t>
  </si>
  <si>
    <t>2014-06-17 to 2016-06-23</t>
  </si>
  <si>
    <t>ZZ RED CREEK TEMP</t>
  </si>
  <si>
    <t>120.2208333 W, 49.52916667 N, Elev. 1400 m</t>
  </si>
  <si>
    <t>2014-06-25 to 2018-09-11</t>
  </si>
  <si>
    <t>NORTH SLOQUET</t>
  </si>
  <si>
    <t>122.28638 W, 49.74833 N, Elev. 223 m</t>
  </si>
  <si>
    <t>2014-07-04 to 2019-06-05</t>
  </si>
  <si>
    <t>ZZ NORTH SLOQUET</t>
  </si>
  <si>
    <t>ZZ SPRINGER QD</t>
  </si>
  <si>
    <t>117.3969333 W, 49.79713333 N, Elev. 1826 m</t>
  </si>
  <si>
    <t>2014-07-20 to 2014-08-04</t>
  </si>
  <si>
    <t>ZZ CLENDINNING QD</t>
  </si>
  <si>
    <t>123.5495 W, 50.3168 N, Elev. 800 m</t>
  </si>
  <si>
    <t>2014-07-26 to 2014-08-28</t>
  </si>
  <si>
    <t>ZZ MOGUL CREEK QD</t>
  </si>
  <si>
    <t>122.2514333 W, 55.91256667 N, Elev. 986 m</t>
  </si>
  <si>
    <t>2014-07-25 to 2014-09-15</t>
  </si>
  <si>
    <t>ZZ ARTHUR CREEK TEMP</t>
  </si>
  <si>
    <t>119.54195 W, 50.555 N, Elev. 1598 m</t>
  </si>
  <si>
    <t>2014-07-30 to 2014-10-15</t>
  </si>
  <si>
    <t>ZZ R10070 QD</t>
  </si>
  <si>
    <t>124.9092333 W, 53.29358333 N, Elev. 1171 m</t>
  </si>
  <si>
    <t>2014-08-01 to 2014-10-23</t>
  </si>
  <si>
    <t>ZZ G60195 QD</t>
  </si>
  <si>
    <t>125.0624 W, 56.25625 N, Elev. 1707 m</t>
  </si>
  <si>
    <t>2014-08-04 to 2014-09-09</t>
  </si>
  <si>
    <t>ZZ WHITE ROCK QD</t>
  </si>
  <si>
    <t>115.4353333 W, 50.23395 N, Elev. 1596 m</t>
  </si>
  <si>
    <t>2014-08-06 to 2014-09-05</t>
  </si>
  <si>
    <t>ZZ SLOCAN N50320 QD</t>
  </si>
  <si>
    <t>117.5465 W, 49.48673333 N, Elev. 1550 m</t>
  </si>
  <si>
    <t>2014-08-07 to 2014-09-10</t>
  </si>
  <si>
    <t>ZZ NARCO QD</t>
  </si>
  <si>
    <t>124.1898667 W, 52.90498333 N, Elev. 1215 m</t>
  </si>
  <si>
    <t>2014-08-26 to 2014-10-06</t>
  </si>
  <si>
    <t>Attribution, Location</t>
  </si>
  <si>
    <t>BC-FWx -&gt; BC-FERN</t>
  </si>
  <si>
    <t>CLAYTON FALLS</t>
  </si>
  <si>
    <t>126.890543 W, 52.279579 N, Elev. 1260 m -&gt; 126.8902 W, 52.2799 N, Elev. 1275 m</t>
  </si>
  <si>
    <t>2014-10-02 to 2025-07-21</t>
  </si>
  <si>
    <t>3C10P</t>
  </si>
  <si>
    <t>FOR/FERN</t>
  </si>
  <si>
    <t>Central coast</t>
  </si>
  <si>
    <t>2014/10/05</t>
  </si>
  <si>
    <t>William Floyd, Coast Office</t>
  </si>
  <si>
    <t>ZZ HOLMES CRK QD</t>
  </si>
  <si>
    <t>117.0108167 W, 49.97615 N, Elev. 877 m</t>
  </si>
  <si>
    <t>2014-10-03 to 2014-10-22</t>
  </si>
  <si>
    <t>DARKWOODS</t>
  </si>
  <si>
    <t>116.95025 W, 49.3576111 N, Elev. 1657 m</t>
  </si>
  <si>
    <t>2014-10-15 to 2025-07-22</t>
  </si>
  <si>
    <t>ZZ GYPSYMOTH - SURRY</t>
  </si>
  <si>
    <t>122.7342833 W, 49.11548333 N, Elev. 15 m</t>
  </si>
  <si>
    <t>2015-01-20 to 2015-06-16</t>
  </si>
  <si>
    <t>ZZ 12 MILE QD</t>
  </si>
  <si>
    <t>117.0256 W, 49.9846 N, Elev. 911 m</t>
  </si>
  <si>
    <t>2015-04-21 to 2015-07-06</t>
  </si>
  <si>
    <t>ZZ SATHER QD</t>
  </si>
  <si>
    <t>125.4413333 W, 53.77516667 N, Elev. 903 m</t>
  </si>
  <si>
    <t>2015-05-08 to 2015-06-22</t>
  </si>
  <si>
    <t>ZZ PROPHET QD</t>
  </si>
  <si>
    <t>121.6542833 W, 58.04426667 N, Elev. 853 m</t>
  </si>
  <si>
    <t>2015-05-28 to 2015-06-15</t>
  </si>
  <si>
    <t>ZZ KIRTON TS</t>
  </si>
  <si>
    <t>120.0233333 W, 49.63778333 N, Elev. 1491 m</t>
  </si>
  <si>
    <t>2015-06-02 to 2015-10-06</t>
  </si>
  <si>
    <t>ZZ HUPEL TS</t>
  </si>
  <si>
    <t>118.77945 W, 50.63445 N, Elev. 912 m</t>
  </si>
  <si>
    <t>2014-10-31 to 2015-10-07</t>
  </si>
  <si>
    <t>ZZ KEALY CREEK TS</t>
  </si>
  <si>
    <t>118.4452833 W, 50.40876667 N, Elev. 1223 m</t>
  </si>
  <si>
    <t>2015-06-09 to 2015-10-07</t>
  </si>
  <si>
    <t>ZZ POSTILL LAKE TEMP</t>
  </si>
  <si>
    <t>119.22945 W, 49.98528333 N, Elev. 1395 m</t>
  </si>
  <si>
    <t>2015-06-11 to 2017-11-01</t>
  </si>
  <si>
    <t>ZZ ESPERON TS</t>
  </si>
  <si>
    <t>119.6911167 W, 50.07055 N, Elev. 1429 m</t>
  </si>
  <si>
    <t>2015-06-10 to 2015-10-07</t>
  </si>
  <si>
    <t>ZZ CLENDINNING 2 QD</t>
  </si>
  <si>
    <t>123.4428667 W, 50.11845 N, Elev. 317 m</t>
  </si>
  <si>
    <t>2015-06-16 to 2015-08-26</t>
  </si>
  <si>
    <t>POWELL RIVER WEST LAKE</t>
  </si>
  <si>
    <t>124.44944 W, 49.81806 N, Elev. 100 m -&gt; 124.4499 W, 49.818 N, Elev. 160 m</t>
  </si>
  <si>
    <t>2015-06-23 to 2025-07-22</t>
  </si>
  <si>
    <t>ZZ KING SALMON QD</t>
  </si>
  <si>
    <t>132.9635167 W, 58.70946667 N, Elev. 627 m</t>
  </si>
  <si>
    <t>2015-06-23 to 2016-08-17</t>
  </si>
  <si>
    <t>ZZ N70261QD</t>
  </si>
  <si>
    <t>117.2528833 W, 49.58245 N, Elev. 1204 m</t>
  </si>
  <si>
    <t>2015-07-06 to 2015-08-10</t>
  </si>
  <si>
    <t>MOUNT CAYLEY</t>
  </si>
  <si>
    <t>123.2771 W, 50.0708 N, Elev. 1592 m</t>
  </si>
  <si>
    <t>2015-07-13 to 2025-07-22</t>
  </si>
  <si>
    <t>ZZ BOULDER QD</t>
  </si>
  <si>
    <t>123.3967 W, 50.6199 N, Elev. 413 m</t>
  </si>
  <si>
    <t>2015-07-24 to 2015-08-26</t>
  </si>
  <si>
    <t>ZZPHILIP</t>
  </si>
  <si>
    <t>123.6303 W, 55.2393 N, Elev. 1000 m</t>
  </si>
  <si>
    <t>2015-08-06 to 2016-07-08</t>
  </si>
  <si>
    <t>ZZ N60584QD</t>
  </si>
  <si>
    <t>119.0445667 W, 49.15473333 N, Elev. 1126 m</t>
  </si>
  <si>
    <t>2015-08-20 to 2015-09-01</t>
  </si>
  <si>
    <t>ZZ WHISTLER TEMP QD</t>
  </si>
  <si>
    <t>123.0475 W, 50.08388333 N, Elev. 593 m</t>
  </si>
  <si>
    <t>2015-09-02 to 2016-05-30</t>
  </si>
  <si>
    <t>ZZ K50615 QD</t>
  </si>
  <si>
    <t>119.6536167 W, 49.16195 N, Elev. 1717 m</t>
  </si>
  <si>
    <t>2015-09-07 to 2015-09-15</t>
  </si>
  <si>
    <t>1239 -&gt; CBA24550</t>
  </si>
  <si>
    <t>SASKATCHEWAN CROSSING</t>
  </si>
  <si>
    <t>116.7148167 W, 51.96803333 N, Elev. 1442 m -&gt;116.7145 W, 51.9681 N, Elev. 1442 m</t>
  </si>
  <si>
    <t>2015-09-14 to 2025-07-21</t>
  </si>
  <si>
    <t>Parks Canada</t>
  </si>
  <si>
    <t>1240 -&gt; CBA47004</t>
  </si>
  <si>
    <t>BOULDER CREEK</t>
  </si>
  <si>
    <t>116.5264333 W, 51.36643333 N, Elev. 1275 m -&gt; 116.5264 W, 51.3665 N, Elev. 1276 m</t>
  </si>
  <si>
    <t>2015-09-13 to 2025-07-21</t>
  </si>
  <si>
    <t>1241 -&gt; CBA4A66C</t>
  </si>
  <si>
    <t>VERMILLION CROSSING</t>
  </si>
  <si>
    <t>115.9789167 W, 51.02336667 N, Elev. 1277 m -&gt; 115.9766 W, 51.0194 N, Elev. 1272 m</t>
  </si>
  <si>
    <t>1242 -&gt; CBA48080</t>
  </si>
  <si>
    <t>MCLEOD MEADOWS</t>
  </si>
  <si>
    <t>115.9508167 W, 50.76911667 N, Elev. 1132 m -&gt; 115.9510 W, 50.7691 N, Elev. 1120 m</t>
  </si>
  <si>
    <t>BC-FWx -&gt; BCH-GSO-HMP-SiteC</t>
  </si>
  <si>
    <t>ATTACHIE PLATEAU</t>
  </si>
  <si>
    <t>121.4664333 W, 56.23266667 N, Elev. 646 m</t>
  </si>
  <si>
    <t>2015-09-13 to 2015-11-17</t>
  </si>
  <si>
    <t>BEAR FLAT</t>
  </si>
  <si>
    <t>121.2127167 W, 56.27511667 N, Elev. 474 m</t>
  </si>
  <si>
    <t>2015-09-13 to 2015-11-13</t>
  </si>
  <si>
    <t>ZZ SITE C - STATION 7</t>
  </si>
  <si>
    <t>120.9120833 W, 56.20516667 N, Elev. 606 m</t>
  </si>
  <si>
    <t>ZZ KEEN CRK QD</t>
  </si>
  <si>
    <t>116.9998667 W, 49.91733333 N, Elev. 1020 m</t>
  </si>
  <si>
    <t>2015-09-23 to 2016-05-25</t>
  </si>
  <si>
    <t>ZZ COBBLE HILL TEST</t>
  </si>
  <si>
    <t>123.5920167 W, 48.70028333 N, Elev. 375 m</t>
  </si>
  <si>
    <t>2015-10-06 to 2016-10-27</t>
  </si>
  <si>
    <t>ZZ WHISTLER TEMP</t>
  </si>
  <si>
    <t>123.0412667 W, 50.0825 N, Elev. 595 m</t>
  </si>
  <si>
    <t>2016-05-17 to 2016-10-19</t>
  </si>
  <si>
    <t>NARROWS INLET</t>
  </si>
  <si>
    <t>123.7051389 W, 49.751775 N, Elev. 1 m</t>
  </si>
  <si>
    <t>2016-06-01 to 2021-08-10</t>
  </si>
  <si>
    <t>Dew Point Temperature|Precipitation Amount|Rainfall 1hr|Relative Humidity|Relative Humidity (Mean)|Snow Depth|Temperature|Temperature (Point)|Wind Direction|Wind Direction (Mean)|Wind Speed|Wind Speed (Mean)</t>
  </si>
  <si>
    <t>ZZ NARROWS INLET</t>
  </si>
  <si>
    <t>ZZ CANYON CREEK QD</t>
  </si>
  <si>
    <t>116.66155 W, 49.72728333 N, Elev. 1400 m</t>
  </si>
  <si>
    <t>2016-05-25 to 2016-06-10</t>
  </si>
  <si>
    <t>ZZ CANYON CREEK  QD</t>
  </si>
  <si>
    <t>ZZ LOST CHAIN TS</t>
  </si>
  <si>
    <t>120.0666667 W, 49.64861667 N, Elev. 1633 m</t>
  </si>
  <si>
    <t>2015-08-06 to 2016-10-12</t>
  </si>
  <si>
    <t>ZZ ICE BOX TS</t>
  </si>
  <si>
    <t>118.6408333 W, 50.69195 N, Elev. 756 m</t>
  </si>
  <si>
    <t>2016-06-03 to 2016-10-12</t>
  </si>
  <si>
    <t>ZZ MISSION RIDGE TS</t>
  </si>
  <si>
    <t>119.1238833 W, 49.89471667 N, Elev. 1250 m</t>
  </si>
  <si>
    <t>2015-08-21 to 2016-09-17</t>
  </si>
  <si>
    <t>ZZ HOPE CREEK QD</t>
  </si>
  <si>
    <t>117.2013333 W, 50.47771667 N, Elev. 820 m</t>
  </si>
  <si>
    <t>2016-06-14 to 2016-07-07</t>
  </si>
  <si>
    <t>ZZ TEEPEE CREEK TEMP</t>
  </si>
  <si>
    <t>121.1888833 W, 50.08333333 N, Elev. 1345 m</t>
  </si>
  <si>
    <t>2016-07-11 to 2016-10-14</t>
  </si>
  <si>
    <t>ZZ GALTON QD</t>
  </si>
  <si>
    <t>115.0026667 W, 49.16483333 N, Elev. 2174 m</t>
  </si>
  <si>
    <t>2016-07-27 to 2016-09-23</t>
  </si>
  <si>
    <t>1260 -&gt; CBA572FE</t>
  </si>
  <si>
    <t>REDSTREAK</t>
  </si>
  <si>
    <t>116.0627833 W, 50.62288333 N, Elev. 1009 m</t>
  </si>
  <si>
    <t>2017-01-04 to 2025-07-21</t>
  </si>
  <si>
    <t>1261 -&gt; CBA1E2A6</t>
  </si>
  <si>
    <t>ONE MILE</t>
  </si>
  <si>
    <t>118.2072333 W, 51.02203333 N, Elev. 527 m -&gt; 118.2074 W, 51.0220 N, Elev. 533 m</t>
  </si>
  <si>
    <t>1262 -&gt; CBA18740</t>
  </si>
  <si>
    <t>CARIBOU CORNER</t>
  </si>
  <si>
    <t>118.1513833 W, 51.02535 N, Elev. 1561 m</t>
  </si>
  <si>
    <t>2017-06-13 to 2025-07-21</t>
  </si>
  <si>
    <t>1263 -&gt; CBA1F1D0</t>
  </si>
  <si>
    <t>FIDELITY</t>
  </si>
  <si>
    <t>117.68105 W, 51.23438333 N, Elev. 1308 m -&gt; 117.6808 W, 51.2348 N, Elev. 1306 m</t>
  </si>
  <si>
    <t>1264-&gt; CBA19436</t>
  </si>
  <si>
    <t>LOWER BEAVER</t>
  </si>
  <si>
    <t>117.4740833 W, 51.41488333 N, Elev. 835 m -&gt; 117.4743 W, 51.4148 N, Elev. 826 m</t>
  </si>
  <si>
    <t>1265 -&gt; CBA1B2DA</t>
  </si>
  <si>
    <t>UPPER BEAVER</t>
  </si>
  <si>
    <t>117.3740833 W, 51.31453333 N, Elev. 1638 m -&gt; 117.3739 W, 51.3145 N, Elev. 1636 m</t>
  </si>
  <si>
    <t>2017-05-09 to 2025-07-21</t>
  </si>
  <si>
    <t>ZZ GOAT CREEK TS</t>
  </si>
  <si>
    <t>119.3947 W, 51.54013333 N, Elev. 1518 m</t>
  </si>
  <si>
    <t>2016-08-09 to 2016-10-20</t>
  </si>
  <si>
    <t>ZZ OLD FADDY QD</t>
  </si>
  <si>
    <t>129.0938667 W, 59.8928 N, Elev. 866 m</t>
  </si>
  <si>
    <t>2016-08-16 to 2016-09-23</t>
  </si>
  <si>
    <t>VALEMOUNT AIRPORT</t>
  </si>
  <si>
    <t>119.3386111 W, 52.8597222 N, Elev. 788 m</t>
  </si>
  <si>
    <t>2016-08-25 to 2025-07-22</t>
  </si>
  <si>
    <t>ZZ LYTTON QD6</t>
  </si>
  <si>
    <t>121.6 W, 50.18888333 N, Elev. 636 m</t>
  </si>
  <si>
    <t>2016-09-02 to 2016-09-28</t>
  </si>
  <si>
    <t>OLD FADDY</t>
  </si>
  <si>
    <t>129.09333 W, 59.8928 N, Elev. 866 m -&gt; 129.0939 W, 59.8929 N, Elev. 866 m</t>
  </si>
  <si>
    <t>2016-09-23 to 2025-07-22</t>
  </si>
  <si>
    <t>ZZ CONDOR CREEK QD6</t>
  </si>
  <si>
    <t>122.2503833 W, 50.96158333 N, Elev. 1347 m</t>
  </si>
  <si>
    <t>2016-09-28 to 2017-05-29</t>
  </si>
  <si>
    <t>ZZ KEEN 2 QD</t>
  </si>
  <si>
    <t>117.0886667 W, 49.89795 N, Elev. 1250 m</t>
  </si>
  <si>
    <t>2016-10-11 to 2016-10-15</t>
  </si>
  <si>
    <t>MOUNT ARROWSMITH</t>
  </si>
  <si>
    <t>124.5667833 W, 49.20695 N, Elev. 1459 m</t>
  </si>
  <si>
    <t>2016-12-13 to 2017-09-21</t>
  </si>
  <si>
    <t>APE LAKE</t>
  </si>
  <si>
    <t>126.2626806 W, 52.1345694 N, Elev. 1414 m</t>
  </si>
  <si>
    <t>2016-12-14 to 2025-07-22</t>
  </si>
  <si>
    <t>3C09P</t>
  </si>
  <si>
    <t>Ape Lake</t>
  </si>
  <si>
    <t>2016/10/05</t>
  </si>
  <si>
    <t>Big a</t>
  </si>
  <si>
    <t>MACHMELL KLINIKLINI</t>
  </si>
  <si>
    <t>126.1407444 W, 51.6555806 N, Elev. 1609 m</t>
  </si>
  <si>
    <t>2016-12-19 to 2025-07-22</t>
  </si>
  <si>
    <t>WEST KELOWNA</t>
  </si>
  <si>
    <t>119.5695 W, 49.8832 N, Elev. 650 m</t>
  </si>
  <si>
    <t>ZZ RED HILLS PB QD</t>
  </si>
  <si>
    <t>125.6 W, 54.04166667 N, Elev. 800 m</t>
  </si>
  <si>
    <t>2017-04-03 to 2017-06-12</t>
  </si>
  <si>
    <t>ZZ HOPE CRK QD</t>
  </si>
  <si>
    <t>117.1998167 W, 50.4747 N, Elev. 773 m</t>
  </si>
  <si>
    <t>2017-05-01 to 2017-05-08</t>
  </si>
  <si>
    <t>ZZ LAVINA QD 2</t>
  </si>
  <si>
    <t>116.899 W, 50.29095 N, Elev. 795 m</t>
  </si>
  <si>
    <t>2018-09-21 to 2020-09-16</t>
  </si>
  <si>
    <t>ZZ SALTSPRING 3</t>
  </si>
  <si>
    <t>123.4746667 W, 48.77278333 N, Elev. 18 m</t>
  </si>
  <si>
    <t>2017-05-14 to 2018-06-05</t>
  </si>
  <si>
    <t>CHEAKAMUS</t>
  </si>
  <si>
    <t>123.0412722 W, 50.0825056 N, Elev. 595 m -&gt; 123.0475 W, 50.0835 N, Elev. 592 m</t>
  </si>
  <si>
    <t>2017-05-18 to 2025-07-22</t>
  </si>
  <si>
    <t>ZZ KATHLEEN LAKE TEMP</t>
  </si>
  <si>
    <t>120.06695 W, 49.73833333 N, Elev. 1397 m</t>
  </si>
  <si>
    <t>2017-06-01 to 2017-10-20</t>
  </si>
  <si>
    <t>ZZ RAVEN LAKE QD</t>
  </si>
  <si>
    <t>122.9137333 W, 52.0159 N, Elev. 1252 m</t>
  </si>
  <si>
    <t>2017-05-29 to 2017-10-13</t>
  </si>
  <si>
    <t>ZZ HOOKER CREEK QD</t>
  </si>
  <si>
    <t>116.6886 W, 49.694017 N, Elev. 1284 m -&gt; 116.6974 W, 49.6946 N, Elev. 1170 m</t>
  </si>
  <si>
    <t>2017-06-04 to 2021-06-08</t>
  </si>
  <si>
    <t>ZZ LITTLE FORT TEMP</t>
  </si>
  <si>
    <t>120.2238833 W, 51.41278333 N, Elev. 680 m</t>
  </si>
  <si>
    <t>2017-06-02 to 2017-11-15</t>
  </si>
  <si>
    <t>ZZ BRITTON CREEK TEMP</t>
  </si>
  <si>
    <t>120.92305 W, 49.52388333 N, Elev. 1292 m</t>
  </si>
  <si>
    <t>2017-06-06 to 2018-09-12</t>
  </si>
  <si>
    <t>ZZ PARK MTN TEMP</t>
  </si>
  <si>
    <t>118.47805 W, 50.59721667 N, Elev. 1570 m</t>
  </si>
  <si>
    <t>2017-06-10 to 2017-10-17</t>
  </si>
  <si>
    <t>VICTORIA RADIO SHOP TEST</t>
  </si>
  <si>
    <t>123.3746 W, 48.4347 N, Elev. 10 m</t>
  </si>
  <si>
    <t>2017-06-13 to 2019-04-11</t>
  </si>
  <si>
    <t>ZZ CACHE CREEK AIRPORT QD</t>
  </si>
  <si>
    <t>121.1948167 W, 50.46991667 N, Elev. 632 m</t>
  </si>
  <si>
    <t>2017-07-09 to 2017-07-18</t>
  </si>
  <si>
    <t>ZZ MCLEAN QD</t>
  </si>
  <si>
    <t>121.2148667 W, 50.47533333 N, Elev. 1110 m</t>
  </si>
  <si>
    <t>2017-07-09 to 2017-07-19</t>
  </si>
  <si>
    <t>ZZ KLEENA KLEENE QD</t>
  </si>
  <si>
    <t>124.792 W, 51.87098333 N, Elev. 1511 m</t>
  </si>
  <si>
    <t>2017-07-21 to 2017-10-03</t>
  </si>
  <si>
    <t>ZZ WILLIAMS LAKE QD</t>
  </si>
  <si>
    <t>122.0637833 W, 52.18428333 N, Elev. 940 m</t>
  </si>
  <si>
    <t>2017-07-19 to 2017-10-03</t>
  </si>
  <si>
    <t>ZZ FISHPOT QD</t>
  </si>
  <si>
    <t>123.918 W, 52.918 N, Elev. 1114 m</t>
  </si>
  <si>
    <t>2017-07-26 to 2017-11-17</t>
  </si>
  <si>
    <t>ZZ TZENZAICUT QD</t>
  </si>
  <si>
    <t>122.88845 W, 52.67853333 N, Elev. 1200 m</t>
  </si>
  <si>
    <t>2017-08-01 to 2017-10-03</t>
  </si>
  <si>
    <t>ZZ HARROP CREEK QD</t>
  </si>
  <si>
    <t>117.0309167 W, 49.56905 N, Elev. 1681 m</t>
  </si>
  <si>
    <t>2017-08-07 to 2017-08-22</t>
  </si>
  <si>
    <t>ZZ GRAVE CREEK QD</t>
  </si>
  <si>
    <t>115.3048667 W, 50.18246667 N, Elev. 1465 m</t>
  </si>
  <si>
    <t>2017-08-22 to 2017-08-30</t>
  </si>
  <si>
    <t>ZZ BUCHANAN QD2</t>
  </si>
  <si>
    <t>116.9583167 W, 49.97163333 N, Elev. 1784 m -&gt; 117.0886 W, 50.0494 N, Elev. 1784 m</t>
  </si>
  <si>
    <t>2017-10-16 to 2022-04-26</t>
  </si>
  <si>
    <t>ZZ BUCHANAN QD</t>
  </si>
  <si>
    <t>TETRAHEDRON</t>
  </si>
  <si>
    <t>123.6051333 W, 49.59785 N, Elev. 1422 m</t>
  </si>
  <si>
    <t>2017-10-18 to 2025-07-21</t>
  </si>
  <si>
    <t>ZZ MURRAY CREEK QD</t>
  </si>
  <si>
    <t>121.375 W, 50.41721667 N, Elev. 383 m</t>
  </si>
  <si>
    <t>2018-03-17 to 2018-05-24</t>
  </si>
  <si>
    <t>ZZ HOPE CREEK II QD</t>
  </si>
  <si>
    <t>117.1422 W, 50.43998333 N, Elev. 1068 m</t>
  </si>
  <si>
    <t>2018-05-01 to 2018-05-31</t>
  </si>
  <si>
    <t>ZZ ROCKINGHAM QD</t>
  </si>
  <si>
    <t>118.518611 W, 52.864733 N, Elev. 1120 m</t>
  </si>
  <si>
    <t>2018-05-15 to 2020-09-25</t>
  </si>
  <si>
    <t>ZZ K20351 QD</t>
  </si>
  <si>
    <t>120.85055 W, 51.15083333 N, Elev. 1065 m</t>
  </si>
  <si>
    <t>2018-05-28 to 2018-06-04</t>
  </si>
  <si>
    <t>ZZ K70348 QD</t>
  </si>
  <si>
    <t>122.4347167 W, 50.63638333 N, Elev. 603 m</t>
  </si>
  <si>
    <t>2018-05-30 to 2018-06-01</t>
  </si>
  <si>
    <t>ZZ KEEN 3 QD</t>
  </si>
  <si>
    <t>117.0879 W, 49.89871667 N, Elev. 1227 m</t>
  </si>
  <si>
    <t>2018-05-30 to 2018-06-28</t>
  </si>
  <si>
    <t>LARCH HILLS WEST</t>
  </si>
  <si>
    <t>119.1761111 W, 50.6905556 N, Elev. 892 m -&gt; 119.1761111 W, 50.6905556 N, Elev. 904 m</t>
  </si>
  <si>
    <t>2018-07-03 to 2025-07-22</t>
  </si>
  <si>
    <t>ZZ WILLIS EXT</t>
  </si>
  <si>
    <t>120.40705 W, 49.3393 N, Elev. 1464 m</t>
  </si>
  <si>
    <t>2018-07-10 to 2020-06-16</t>
  </si>
  <si>
    <t>LODESTONE EXT</t>
  </si>
  <si>
    <t>120.7925 W, 49.4696944 N, Elev. 1543 m</t>
  </si>
  <si>
    <t>2018-07-09 to 2025-07-22</t>
  </si>
  <si>
    <t>INKANEEP EXT</t>
  </si>
  <si>
    <t>119.3914167 W, 49.1046111 N, Elev. 1127 m</t>
  </si>
  <si>
    <t>2018-07-09 to 2020-06-16</t>
  </si>
  <si>
    <t>INKANEEP 2 EXT</t>
  </si>
  <si>
    <t>ZZ INKANEEP EXT</t>
  </si>
  <si>
    <t>GRIZZLY EXT</t>
  </si>
  <si>
    <t>119.2202778 W, 49.27 N, Elev. 1520 m -&gt; 119.2203 W, 49.27 N, Elev. 1534 m</t>
  </si>
  <si>
    <t>ZZ SULPHUR CREEK QD</t>
  </si>
  <si>
    <t>115.0245667 W, 49.71871667 N, Elev. 1770 m</t>
  </si>
  <si>
    <t>2018-07-15 to 2019-09-11</t>
  </si>
  <si>
    <t>ZZ-ZYMOETZ QD</t>
  </si>
  <si>
    <t>127.9699833 W, 54.67325 N, Elev. 500 m</t>
  </si>
  <si>
    <t>2018-08-01 to 2019-05-15</t>
  </si>
  <si>
    <t>ZZ K51238 QD</t>
  </si>
  <si>
    <t>119.72945 W, 49.08221667 N, Elev. 392 m</t>
  </si>
  <si>
    <t>2018-08-06 to 2018-08-26</t>
  </si>
  <si>
    <t>ZZ STIKINE COMPLEX QD</t>
  </si>
  <si>
    <t>131.3834167 W, 57.86128333 N, Elev. 855 m</t>
  </si>
  <si>
    <t>2018-08-10 to 2018-09-06</t>
  </si>
  <si>
    <t>ZZ JULLIET 317 QD</t>
  </si>
  <si>
    <t>121.0778333 W, 49.79878333 N, Elev. 100 m</t>
  </si>
  <si>
    <t>2018-08-16 to 2018-08-30</t>
  </si>
  <si>
    <t xml:space="preserve">FOUR BARREL TEST -&gt; BOOTHROYD </t>
  </si>
  <si>
    <t>121.5162778 W, 49.9694833 N, Elev. 270 m -&gt; 121.4892 W, 49.9754 N, Elev. 361 m</t>
  </si>
  <si>
    <t>2018-08-27 to 2025-07-21</t>
  </si>
  <si>
    <t>BOOTHROYD</t>
  </si>
  <si>
    <t>ZZ MEACHEN QD</t>
  </si>
  <si>
    <t>116.2691 W, 49.59851667 N, Elev. 1116 m</t>
  </si>
  <si>
    <t>2018-08-21 to 2018-09-12</t>
  </si>
  <si>
    <t>ZZ SYRINGA QD</t>
  </si>
  <si>
    <t>117.9604333 W, 49.40878333 N, Elev. 863 m</t>
  </si>
  <si>
    <t>2018-08-23 to 2018-09-23</t>
  </si>
  <si>
    <t>ZZ PLACER 690 QD</t>
  </si>
  <si>
    <t>120.4166667 W, 49.18195 N, Elev. 1925 m</t>
  </si>
  <si>
    <t>2018-08-27 to 2019-03-27</t>
  </si>
  <si>
    <t>ZZ OLD TOM CREEK 670 QD</t>
  </si>
  <si>
    <t>119.9158333 W, 49.26611667 N, Elev. 1929 m</t>
  </si>
  <si>
    <t>2018-08-30 to 2019-07-30</t>
  </si>
  <si>
    <t>SAWTOOTH</t>
  </si>
  <si>
    <t>125.3666667 W, 55.3072222 N, Elev. 600 m -&gt; 125.3484 W, 55.3144 N, Elev. 996 m</t>
  </si>
  <si>
    <t>2019-06-26 to 2025-07-22</t>
  </si>
  <si>
    <t>PERSEVERANCE</t>
  </si>
  <si>
    <t>125.1312667 W, 49.59355 N, Elev. 970 m</t>
  </si>
  <si>
    <t>2018-12-05 to 2022-02-24</t>
  </si>
  <si>
    <t>Test</t>
  </si>
  <si>
    <t>KLINAKLINI</t>
  </si>
  <si>
    <t>125.76953 W, 51.38002 N, Elev. 1532 m</t>
  </si>
  <si>
    <t>2019-01-08 to 2025-07-22</t>
  </si>
  <si>
    <t>HOMATHKO</t>
  </si>
  <si>
    <t>124.950181 W, 51.10187 N, Elev. 1481 m</t>
  </si>
  <si>
    <t>2018-12-05 to 2025-07-21</t>
  </si>
  <si>
    <t>LOWER CAIN</t>
  </si>
  <si>
    <t>126.3563 W, 50.22575 N, Elev. 1295 m</t>
  </si>
  <si>
    <t>2018-12-12 to 2025-07-22</t>
  </si>
  <si>
    <t>Dew Point Temperature|Precipitation Amount|Rainfall 1hr|Rainfall 24hr|Relative Humidity|Relative Humidity (Mean)|Snow Depth|Temperature|Temperature (Point)</t>
  </si>
  <si>
    <t>ZZ CRATER MTN QD</t>
  </si>
  <si>
    <t>120.0041667 W, 49.19 N, Elev. 570 m</t>
  </si>
  <si>
    <t>2019-03-27 to 2019-04-18</t>
  </si>
  <si>
    <t>ZZ VAN HOUTEN QD</t>
  </si>
  <si>
    <t>118.119722 W, 49.695556 N, Elev. 720 m</t>
  </si>
  <si>
    <t>2019-03-28 to 2021-05-13</t>
  </si>
  <si>
    <t>ZZ GOAT QD</t>
  </si>
  <si>
    <t>116.3724 W, 49.2761 N, Elev. 1330 m</t>
  </si>
  <si>
    <t>2019-04-28 to 2019-06-11</t>
  </si>
  <si>
    <t>ZZ DATE CREEK PB</t>
  </si>
  <si>
    <t>127.7888667 W, 55.37475 N, Elev. 680 m -&gt; 127.7888667 W, 55.3474 N, Elev. 680 m</t>
  </si>
  <si>
    <t>2019-05-15 to 2020-10-01</t>
  </si>
  <si>
    <t>119.726944 W, 50.497222 N, Elev. 1100 m</t>
  </si>
  <si>
    <t>2019-05-31 to 2025-07-22</t>
  </si>
  <si>
    <t>TS BURMAN</t>
  </si>
  <si>
    <t>126.032697 W, 49.610222 N, Elev. 77 m -&gt; 126.032697 W, 49.610222 N, Elev. 71 m</t>
  </si>
  <si>
    <t>2019-06-07 to 2025-07-21</t>
  </si>
  <si>
    <t>FRANK CREEK</t>
  </si>
  <si>
    <t>122.2811111 W, 49.8744444 N, Elev. 305 m -&gt; 122.2816 W, 49.87.47 N, Elev. 308 m</t>
  </si>
  <si>
    <t>2019-06-05 to 2025-07-22</t>
  </si>
  <si>
    <t>FORRESTKERR</t>
  </si>
  <si>
    <t>130.6783611 W, 56.7116389 N, Elev. 276 m</t>
  </si>
  <si>
    <t>2019-07-16 to 2025-07-22</t>
  </si>
  <si>
    <t>TS ATLUCK</t>
  </si>
  <si>
    <t>127.0796111 W, 50.2678056 N, Elev. 462 m -&gt; 127.0835 W, 50.2651 N, Elev. 384 m</t>
  </si>
  <si>
    <t>2019-08-13 to 2025-07-22</t>
  </si>
  <si>
    <t>ZZ RICHTER MTN QD</t>
  </si>
  <si>
    <t>119.6758333 W, 49.11555 N, Elev. 1865 m</t>
  </si>
  <si>
    <t>2019-07-30 to 2019-08-21</t>
  </si>
  <si>
    <t>CHEF CREEK TEST</t>
  </si>
  <si>
    <t>124.75805 W, 49.40388333 N, Elev. 456 m -&gt; 124.7584 W, 49.4041 N, Elev. 669 m</t>
  </si>
  <si>
    <t>2019-08-20 to 2025-07-22</t>
  </si>
  <si>
    <t>ZZ VASEAUX QD</t>
  </si>
  <si>
    <t>119.4322167 W, 49.23805 N, Elev. 1457 m</t>
  </si>
  <si>
    <t>2019-08-18 to 2019-09-12</t>
  </si>
  <si>
    <t>ZZ QD BIG BAR</t>
  </si>
  <si>
    <t>122.0783333 W, 51.17805 N, Elev. 500 m</t>
  </si>
  <si>
    <t>2019-08-29 to 2019-10-29</t>
  </si>
  <si>
    <t>ZZ QD NORTHFORK ROAD</t>
  </si>
  <si>
    <t>118.4229167 W, 50.60215 N, Elev. 1200 m</t>
  </si>
  <si>
    <t>2019-09-19 to 2020-09-24</t>
  </si>
  <si>
    <t>PLUMMER HUT</t>
  </si>
  <si>
    <t>125.1645 W, 51.3735 N, Elev. 2710 m _&gt; 125.1645 W, 51.3735 N, Elev. 2712 m</t>
  </si>
  <si>
    <t>2019-10-23 to 2025-07-17</t>
  </si>
  <si>
    <t>-&gt;SPARWOOD QD</t>
  </si>
  <si>
    <t>2022-06-26 to 2022-11-15</t>
  </si>
  <si>
    <t>ZZ SPARWOOD QD</t>
  </si>
  <si>
    <t>ZZ SPARWOOD QD2</t>
  </si>
  <si>
    <t>114.8823 W, 49.833083 N, Elev. 1172 m</t>
  </si>
  <si>
    <t>2020-05-14 to 2021-11-10</t>
  </si>
  <si>
    <t>MCNULTY EXT</t>
  </si>
  <si>
    <t>120.173222 W, 49.555694 N, Elev. 1595 m</t>
  </si>
  <si>
    <t>2020-06-16 to 2025-07-21</t>
  </si>
  <si>
    <t>APEX EXT</t>
  </si>
  <si>
    <t>119.997611 W, 49.435194 N, Elev. 1716 m</t>
  </si>
  <si>
    <t>2020-06-16 to 2022-04-26</t>
  </si>
  <si>
    <t>Biga</t>
  </si>
  <si>
    <t>ZZ APEX EXT</t>
  </si>
  <si>
    <t>ZZ NAV TERRACE QD</t>
  </si>
  <si>
    <t>128.58195 W, 54.47381667 N, Elev. 220 m</t>
  </si>
  <si>
    <t>2020-06-17 to 2020-10-01</t>
  </si>
  <si>
    <t>TS NAHMINT</t>
  </si>
  <si>
    <t>125.1218 W, 49.2074 N, Elev. 341 m -&gt; 125.1218 W, 49.2075 N, Elev. 354 m</t>
  </si>
  <si>
    <t>2020-08-04 to 2025-07-21</t>
  </si>
  <si>
    <t>MERRITT 2 HUB</t>
  </si>
  <si>
    <t>120.744167 W, 50.121389 N, Elev. 640 m</t>
  </si>
  <si>
    <t>2020-09-10 to 2025-07-21</t>
  </si>
  <si>
    <t>MERRITT HUB</t>
  </si>
  <si>
    <t>ZZ BIRNAM QD 4</t>
  </si>
  <si>
    <t>116.850196 W, 50.333374 N, Elev. 1100 m</t>
  </si>
  <si>
    <t>2020-08-25 to 2021-06-01</t>
  </si>
  <si>
    <t>ZZ KAMLOOPS RADIO SHOP TEST</t>
  </si>
  <si>
    <t>120.4816667 W, 50.67333333 N, Elev. 780 m</t>
  </si>
  <si>
    <t>2020-09-10 to 2020-09-29</t>
  </si>
  <si>
    <t>ZZ SVOBODA QD2</t>
  </si>
  <si>
    <t>117.242283 W, 49.5335 N, Elev. 817 m</t>
  </si>
  <si>
    <t>2020-09-16 to 2020-10-20</t>
  </si>
  <si>
    <t>-&gt; BIG BAR PROJECT</t>
  </si>
  <si>
    <t>0 W, null N, Elev. null m -&gt; 122.1574 W, 51.221 N, Elev. 455 m</t>
  </si>
  <si>
    <t>2021-02-22 to 2022-09-13</t>
  </si>
  <si>
    <t>ZZ BIG BAR PROJECT</t>
  </si>
  <si>
    <t>2021-03-10 to 2021-04-12</t>
  </si>
  <si>
    <t>ZZ GOAT MT QD4</t>
  </si>
  <si>
    <t>2021-03-27 to 2021-06-03</t>
  </si>
  <si>
    <t>ZZ CRATER MTN QD 2</t>
  </si>
  <si>
    <t>-&gt; TS BLACKWATER</t>
  </si>
  <si>
    <t>0 W, null N, Elev. null m -&gt; 125.5757 W, 50.1711 N, Elev. 289 m</t>
  </si>
  <si>
    <t>2021-03-29 to 2025-07-21</t>
  </si>
  <si>
    <t>TS BLACKWATER</t>
  </si>
  <si>
    <t>2021-03-31 to 2021-04-30</t>
  </si>
  <si>
    <t>ZZ QUARTZ LAKE</t>
  </si>
  <si>
    <t>2021-04-15 to 2021-09-08</t>
  </si>
  <si>
    <t>ZZ CHITTENDEN MEADOWS QD</t>
  </si>
  <si>
    <t>2021-06-24 to 2021-08-07</t>
  </si>
  <si>
    <t>ZZ ELEVEN MILE CREEK QD</t>
  </si>
  <si>
    <t>2021-07-19 to 2021-07-27</t>
  </si>
  <si>
    <t>ZZ QD EMBLETON</t>
  </si>
  <si>
    <t>2021-07-29 to 2021-09-08</t>
  </si>
  <si>
    <t>ZZ SHACKAN QD</t>
  </si>
  <si>
    <t>2021-07-30 to 2021-09-08</t>
  </si>
  <si>
    <t>ZZ TREMONT QD</t>
  </si>
  <si>
    <t>2021-08-06 to 2021-09-04</t>
  </si>
  <si>
    <t>ZZ QD 3 VALLEY GAP</t>
  </si>
  <si>
    <t>2021-08-06 to 2021-09-07</t>
  </si>
  <si>
    <t>ZZ QD BUNTING ROAD</t>
  </si>
  <si>
    <t>2021-08-08 to 2021-09-06</t>
  </si>
  <si>
    <t>ZZ MOMICH LAKE QD</t>
  </si>
  <si>
    <t xml:space="preserve"> -&gt; CARIBOO CREEK</t>
  </si>
  <si>
    <t>0 W, null N, Elev. null m -&gt; 117.1757 W, 51.1753 W, Elev 1529 m</t>
  </si>
  <si>
    <t>2021-09-03 to 2025-07-21</t>
  </si>
  <si>
    <t>2021-09-04 to 2021-09-17</t>
  </si>
  <si>
    <t>ZZ IRISH CREEK QD</t>
  </si>
  <si>
    <t>2021-09-09 to 2021-11-01</t>
  </si>
  <si>
    <t>ZZ QUARTZ LAKE QD</t>
  </si>
  <si>
    <t>2021-09-14 to 2021-10-13</t>
  </si>
  <si>
    <t>ZZ QD BIRNAM</t>
  </si>
  <si>
    <t>-&gt; Bella Bella (EC)</t>
  </si>
  <si>
    <t>2021-09-29 to 2022-02-24</t>
  </si>
  <si>
    <t>BELLA BELLA (EC)</t>
  </si>
  <si>
    <t>-&gt; ZZQD REXIN</t>
  </si>
  <si>
    <t>0 W, null N, Elev. null m -&gt; 118.9755 W, 49.072 N, Elev 844 m</t>
  </si>
  <si>
    <t>2022-03-28 to 2023-04-24</t>
  </si>
  <si>
    <t>ZZQD REXIN</t>
  </si>
  <si>
    <t>-&gt; TERRACE AIRPORT QUICK DEPLOY</t>
  </si>
  <si>
    <t>0 W, null N, Elev. null m -&gt; 128.5667 W, 54.4667 N, Elev. 218 m</t>
  </si>
  <si>
    <t>2022-06-26 to 2024-07-22</t>
  </si>
  <si>
    <t>TERRACE AIRPORT QD</t>
  </si>
  <si>
    <t>-&gt; WISEMAN</t>
  </si>
  <si>
    <t>0 W, null N, Elev. null m -&gt; 118.9432 W, 50.7969 N, Elev. 1029 m</t>
  </si>
  <si>
    <t>2022-06-26 to 2024-02-16</t>
  </si>
  <si>
    <t>QD WISEMAN</t>
  </si>
  <si>
    <t>-&gt; INKANEEP 2 EXT</t>
  </si>
  <si>
    <t>0 W, null N, Elev. null m -&gt; 119.3 W, 49.1167 N, Elev. 1384 m</t>
  </si>
  <si>
    <t>2022-07-18 to 2025-06-24</t>
  </si>
  <si>
    <t>2022-07-22 to 2022-08-03</t>
  </si>
  <si>
    <t>ZZNOHOMIN CREEK QD</t>
  </si>
  <si>
    <t>2022-08-10 to 2022-08-30</t>
  </si>
  <si>
    <t>ZZ QD K50863</t>
  </si>
  <si>
    <t>2022-08-10 to 2022-08-23</t>
  </si>
  <si>
    <t>MARIA CREEK QD</t>
  </si>
  <si>
    <t>2022-08-16 to 2022-08-17</t>
  </si>
  <si>
    <t>ZZ QD COULDREY - DELETE</t>
  </si>
  <si>
    <t>2022-08-17 to 2022-09-16</t>
  </si>
  <si>
    <t>ZZ QD COULDREY</t>
  </si>
  <si>
    <t>2022-08-27 to 2022-09-23</t>
  </si>
  <si>
    <t>ZZ BULL MOUNTAIN QD</t>
  </si>
  <si>
    <t>2022-09-05 to 2022-11-14</t>
  </si>
  <si>
    <t>ZZ QUARTZ QD</t>
  </si>
  <si>
    <t>2022-09-07 to 2022-09-17</t>
  </si>
  <si>
    <t>ZZ QD V11746</t>
  </si>
  <si>
    <t>2022-09-16 to 2022-10-21</t>
  </si>
  <si>
    <t>ZZ BATTLESHIP QD</t>
  </si>
  <si>
    <t>-&gt; BIGATTINI</t>
  </si>
  <si>
    <t>0 W, null N, Elev. null m -&gt; 115.9872 W, 49.4539 N, Elev. 1540 m</t>
  </si>
  <si>
    <t>2022-09-28 to 2025-07-21</t>
  </si>
  <si>
    <t>BIGATTINI</t>
  </si>
  <si>
    <t>2022-09-16 to 2022-11-03</t>
  </si>
  <si>
    <t>ZZ QD CRATER MTN</t>
  </si>
  <si>
    <t>2022-09-22 to 2022-10-25</t>
  </si>
  <si>
    <t>ZZ MCDONALD QD</t>
  </si>
  <si>
    <t>-&gt; RAFT</t>
  </si>
  <si>
    <t>0 W, null N, Elev. null m -&gt; 119.6751 W, 51.765 N, Elev. 920 m</t>
  </si>
  <si>
    <t>2022-10-02 to 2024-10-24</t>
  </si>
  <si>
    <t>RAFT</t>
  </si>
  <si>
    <t>-&gt; VAVENBY MOUNTAN</t>
  </si>
  <si>
    <t>0 W, null N, Elev. null m -&gt; 119.7382 W, 51.5561 N, Elev. 1069 m</t>
  </si>
  <si>
    <t>2022-10-04 to 2025-07-22</t>
  </si>
  <si>
    <t>VAVENBY MTN</t>
  </si>
  <si>
    <t>2022-10-18 to 2022-11-02</t>
  </si>
  <si>
    <t>ZZ QD BRADLEY</t>
  </si>
  <si>
    <t>2023-04-03 to 2023-04-18</t>
  </si>
  <si>
    <t>ZZ QD DEER PARK</t>
  </si>
  <si>
    <t>2023-04-06 to 2023-04-24</t>
  </si>
  <si>
    <t>ZZQD MCDONALD</t>
  </si>
  <si>
    <t>2023-04-06 to 2023-06-16</t>
  </si>
  <si>
    <t>ZZSALISBURY QD</t>
  </si>
  <si>
    <t>2023-04-21 to 2023-05-18</t>
  </si>
  <si>
    <t>QD TROZZO CREEK</t>
  </si>
  <si>
    <t>2023-05-12 to 2023-05-31</t>
  </si>
  <si>
    <t>ZZQD SUTHERLAND</t>
  </si>
  <si>
    <t>2023-05-18 to 2023-07-19</t>
  </si>
  <si>
    <t>QD EAST OF BURTON</t>
  </si>
  <si>
    <t>2023-05-27 to 2023-08-01</t>
  </si>
  <si>
    <t>QD DHAUL</t>
  </si>
  <si>
    <t>2023-06-30 to 2023-07-17</t>
  </si>
  <si>
    <t>ZZ QD OMINECA</t>
  </si>
  <si>
    <t>2023-07-17 to 2023-10-11</t>
  </si>
  <si>
    <t>FALL RIVER QD8</t>
  </si>
  <si>
    <t>2023-07-19 to 2023-08-06</t>
  </si>
  <si>
    <t>ALEC MEADOW QD</t>
  </si>
  <si>
    <t>2023-07-29 to 2023-09-23</t>
  </si>
  <si>
    <t>QD K71535</t>
  </si>
  <si>
    <t>2023-08-02 to 2023-10-06</t>
  </si>
  <si>
    <t>QD K21633</t>
  </si>
  <si>
    <t>2023-08-05 to 2023-10-03</t>
  </si>
  <si>
    <t>TS SOUTH FORK</t>
  </si>
  <si>
    <t>2023-08-05 to 2023-09-16</t>
  </si>
  <si>
    <t>QD K22024</t>
  </si>
  <si>
    <t>2023-08-24 to 2023-09-28</t>
  </si>
  <si>
    <t>QD BEAR CREEK</t>
  </si>
  <si>
    <t>2023-08-24 to 2023-09-24</t>
  </si>
  <si>
    <t>QD YALAKOM VALLEY</t>
  </si>
  <si>
    <t>2023-09-02 to 2023-09-28</t>
  </si>
  <si>
    <t>QD POWERS CREEK</t>
  </si>
  <si>
    <t>2023-09-16 to 2023-10-06</t>
  </si>
  <si>
    <t>QD MAGNA BAY</t>
  </si>
  <si>
    <t>2023-09-19 to 2023-10-11</t>
  </si>
  <si>
    <t>QD MCDONALD</t>
  </si>
  <si>
    <t>2023-09-25 to 2023-12-22</t>
  </si>
  <si>
    <t>Precipitation Amount|Relative Humidity (Mean)|Temperature (Point)|Wind Speed (Mean)</t>
  </si>
  <si>
    <t>ADAMS LAKE SOUTH PRECIP</t>
  </si>
  <si>
    <t>-&gt; SPARWOOD</t>
  </si>
  <si>
    <t>0 W, null N, Elev. null m -&gt; 114.8829 W, 49.833 N, Elev. 1208 m</t>
  </si>
  <si>
    <t>2023-10-31 to 2025-07-21</t>
  </si>
  <si>
    <t>SPARWOOD</t>
  </si>
  <si>
    <t>2023-10-12 to 2024-07-02</t>
  </si>
  <si>
    <t>QD WEST DUNCAN</t>
  </si>
  <si>
    <t>-&gt; ROCKINGHAM</t>
  </si>
  <si>
    <t>0 W, null N, Elev. null m -&gt; 118.5203 W, 52.8643 N, Elev. 1123 m</t>
  </si>
  <si>
    <t>2023-10-23 to 2025-07-21</t>
  </si>
  <si>
    <t>ROCKINGHAM</t>
  </si>
  <si>
    <t>-&gt; GOATLICK</t>
  </si>
  <si>
    <t>0 W, null N, Elev. null m -&gt; 118.7743 W, 52.5074 N, Elev. 957 m</t>
  </si>
  <si>
    <t>GOATLICK</t>
  </si>
  <si>
    <t>-&gt; BC-FWx</t>
  </si>
  <si>
    <t>-&gt; LITTLE CHOPAKA</t>
  </si>
  <si>
    <t>-&gt; 119.6909 W, 49.0251 N, Elev. 461 m</t>
  </si>
  <si>
    <t>LITTLE CHOPEKA</t>
  </si>
  <si>
    <t>LITTLE CHOPAKA</t>
  </si>
  <si>
    <t>-&gt; TERRACE</t>
  </si>
  <si>
    <t>-&gt; 128.5714 W, 54.438 N, Elev. 199 m</t>
  </si>
  <si>
    <t>TERRACE</t>
  </si>
  <si>
    <t>-&gt; WILLIS</t>
  </si>
  <si>
    <t>-&gt; 120.4071 W, 49.3394 N, Elev. 1455 m</t>
  </si>
  <si>
    <t>WILLIS</t>
  </si>
  <si>
    <t>-&gt; BURNS LAKE</t>
  </si>
  <si>
    <t>-&gt; 125.7599 W, 54.2591 N, Elev. 830 m</t>
  </si>
  <si>
    <t>BURNS LAKE</t>
  </si>
  <si>
    <t>-&gt; KOMIE</t>
  </si>
  <si>
    <t>-&gt; 122.0718 W, 59.3394 N, Elev. 704 m</t>
  </si>
  <si>
    <t>KOMIE</t>
  </si>
  <si>
    <t>-&gt; WILDHORSE WX</t>
  </si>
  <si>
    <t>-&gt; 122.15 W, 51.2333 N, Elev. 577 m</t>
  </si>
  <si>
    <t>WILDHORSE WX</t>
  </si>
  <si>
    <t>-&gt; CHETWYND FB</t>
  </si>
  <si>
    <t>-&gt; 121.6137 W, 55.6907 N, Elev. 616 m</t>
  </si>
  <si>
    <t>CHETWYND</t>
  </si>
  <si>
    <t>CHETWYND FB</t>
  </si>
  <si>
    <t>-&gt; BLUEBERRY</t>
  </si>
  <si>
    <t>-&gt; 119.6007 W, 53.3159 N, Elev. 1088 m</t>
  </si>
  <si>
    <t>-&gt; TS TSITIKA</t>
  </si>
  <si>
    <t>-&gt; 126.5401 W, 50.3752 N, Elev. 211 m</t>
  </si>
  <si>
    <t>TS TSITIKA</t>
  </si>
  <si>
    <t>-&gt; MESACHIE 3</t>
  </si>
  <si>
    <t>-&gt; 124.131 W, 48.8199 N, Elev. 197 m</t>
  </si>
  <si>
    <t>MESACHIE 3</t>
  </si>
  <si>
    <t>-&gt; MASHITER</t>
  </si>
  <si>
    <t>-&gt; 123.0983 W, 49.752 N, Elev. 262 m</t>
  </si>
  <si>
    <t>MASHITER</t>
  </si>
  <si>
    <t>-&gt; BAKER CREEK</t>
  </si>
  <si>
    <t>-&gt; 122.8311 W, 52.9639 N, Elev. 826 m</t>
  </si>
  <si>
    <t>BAKER CREEK</t>
  </si>
  <si>
    <t>-&gt; 4332</t>
  </si>
  <si>
    <t>-&gt; KASIKS PNG</t>
  </si>
  <si>
    <t>-&gt; 129.3252 W, 54.3233 N, Elev. 10 m</t>
  </si>
  <si>
    <t>KASIKS PNG</t>
  </si>
  <si>
    <t>-&gt; 509</t>
  </si>
  <si>
    <t>-&gt; Begbie DL</t>
  </si>
  <si>
    <t>-&gt; 121.36 W, 51.4733 N, Elev. 1276</t>
  </si>
  <si>
    <t>BEGBIE SF</t>
  </si>
  <si>
    <t>BEGBIE DL</t>
  </si>
  <si>
    <t>ADDENBROKE -&gt; Addenbroke Island</t>
  </si>
  <si>
    <t>127.8639 W, 51.6035 N, Elev. null m</t>
  </si>
  <si>
    <t>2023-04-06 to 2023-04-06</t>
  </si>
  <si>
    <t>Dew Point Temperature|Temperature</t>
  </si>
  <si>
    <t>BOAT BLUFF</t>
  </si>
  <si>
    <t>128.5239 W, 52.643 N, Elev. null m</t>
  </si>
  <si>
    <t>BONILLA -&gt; BONILLA ISLAND</t>
  </si>
  <si>
    <t>130.6377 W, 53.4928 N, Elev. null m</t>
  </si>
  <si>
    <t>DRYAD -&gt; DRYAD POINT</t>
  </si>
  <si>
    <t>128.112 W, 52.185 N, Elev. null m</t>
  </si>
  <si>
    <t>GREEN -&gt; GREEN ISLAND</t>
  </si>
  <si>
    <t>130.7081 W, 54.5686 N, Elev. null m</t>
  </si>
  <si>
    <t>IVORY -&gt; IVORY ISLAND</t>
  </si>
  <si>
    <t>128.4067 W, 52.2697 N, Elev. null m</t>
  </si>
  <si>
    <t>LANGARA -&gt; LANGARA ISLAND</t>
  </si>
  <si>
    <t>133.058 W, 54.2551 N, Elev. null m</t>
  </si>
  <si>
    <t>LANGARA ISLAND (EC)</t>
  </si>
  <si>
    <t>MCINNES -&gt; MCINNES ISLAND</t>
  </si>
  <si>
    <t>128.75 W, 52.25 N, Elev. null m</t>
  </si>
  <si>
    <t>MCINNIS ISLAND (EC)</t>
  </si>
  <si>
    <t>ID, Name</t>
  </si>
  <si>
    <t>BC-Air</t>
  </si>
  <si>
    <t>E290310 -&gt; 585</t>
  </si>
  <si>
    <t>-&gt; ELKFORD ROCKY MOUNTAIN SCHOOL</t>
  </si>
  <si>
    <t>114.93342 W, 50.0077944 N, Elev. null m</t>
  </si>
  <si>
    <t>2021-12-14 to 2025-07-20</t>
  </si>
  <si>
    <t>Wind Direction (Point)|Wind Speed (Point)</t>
  </si>
  <si>
    <t>E299830 -&gt; 469</t>
  </si>
  <si>
    <t>-&gt; Fort St John Key Learning Centre</t>
  </si>
  <si>
    <t>120.856111 W, 56.244722 N, Elev. null m</t>
  </si>
  <si>
    <t>2020-10-29 to 2025-07-20</t>
  </si>
  <si>
    <t>Relative Humidity (Point)|Wind Direction (Point)|Wind Speed (Point)</t>
  </si>
  <si>
    <t>Concatenate</t>
  </si>
  <si>
    <t>Fort St John Key Learning Centre -&gt; 469</t>
  </si>
  <si>
    <t>2020-10-08 to 2020-11-22</t>
  </si>
  <si>
    <t>Relative Humidity (Point)|Wind Direction (Point)</t>
  </si>
  <si>
    <t>ID, Name, Location</t>
  </si>
  <si>
    <t>E221801 -&gt; 294</t>
  </si>
  <si>
    <t xml:space="preserve">-&gt; HARMAC PACIFIC </t>
  </si>
  <si>
    <t>123.845 W, 49.1578 N, Elev. null m -&gt; 123.8475 W, 49.13527778 N, Elev. 23 m</t>
  </si>
  <si>
    <t>Delete - Defer to record 12170</t>
  </si>
  <si>
    <t>Kelowna College -&gt; 102</t>
  </si>
  <si>
    <t>-&gt; Kelowna College</t>
  </si>
  <si>
    <t>E320051-&gt;576</t>
  </si>
  <si>
    <t>-&gt; Kitimat Industrial Avenue</t>
  </si>
  <si>
    <t>128.688 W, 54.061 N, Elev. null m -&gt; 128.688 W, 54.061 N, Elev. 21 m</t>
  </si>
  <si>
    <t>2022-06-02 to 2025-07-20</t>
  </si>
  <si>
    <t>Moricetown MAML -&gt; 215</t>
  </si>
  <si>
    <t>-&gt; Moricetown MAML</t>
  </si>
  <si>
    <t>Pine River Gas Plant -&gt; 107</t>
  </si>
  <si>
    <t>-&gt; Pine River Gas Plant</t>
  </si>
  <si>
    <t>121.928814 W, 55.570022 N, Elev. null m</t>
  </si>
  <si>
    <t>2020-09-14 to 2020-09-24</t>
  </si>
  <si>
    <t>BC-Air -&gt; PRPA</t>
  </si>
  <si>
    <t>E327924 -&gt; 589</t>
  </si>
  <si>
    <t>-&gt; Port Edwards Sunset Drive</t>
  </si>
  <si>
    <t>130.29045 W, 54.2231999 N, Elev. null m -&gt; 130.29045 W, 54.2231999 N, Elev. 39 m</t>
  </si>
  <si>
    <t>2022-03-17 to 2025-07-20</t>
  </si>
  <si>
    <t>E326405 -&gt; 583</t>
  </si>
  <si>
    <t>-&gt; Quesnel Johnstone Avenue</t>
  </si>
  <si>
    <t>122.4934 W, 52.96936 N, Elev. null m -&gt; 122.4934 W, 52.96936 N, Elev. 505 m</t>
  </si>
  <si>
    <t>2021-11-01 to 2025-07-20</t>
  </si>
  <si>
    <t>Delete - Site covered elsewhere</t>
  </si>
  <si>
    <t>Smithers St Josephs -&gt; 171</t>
  </si>
  <si>
    <t>-&gt; Smithers St Joseph</t>
  </si>
  <si>
    <t>E326011 -&gt; 582</t>
  </si>
  <si>
    <t>-&gt; Taylor Farm 247 Road</t>
  </si>
  <si>
    <t>120.61 W, 56.1532 N, Elev. null m -&gt; 120.61 W, 56.1532 N, Elev. 620 m</t>
  </si>
  <si>
    <t>2021-09-17 to 2025-07-20</t>
  </si>
  <si>
    <t>0260012 -&gt; 192</t>
  </si>
  <si>
    <t>-&gt; Trail Columbia Gardens Airport</t>
  </si>
  <si>
    <t>117.60711 W, 49.046405 N, Elev. null m -&gt; 117.60711W, 49.04605 N, Elev. 428 m</t>
  </si>
  <si>
    <t>E330194 -&gt; 587</t>
  </si>
  <si>
    <t>-&gt; Warfield Haley Park Met_60</t>
  </si>
  <si>
    <t xml:space="preserve">117.74366 W, 49.097286 N, Elev. null m -&gt; 117.74366 W, 49.097286 N, Elev. 600 m </t>
  </si>
  <si>
    <t>2022-10-28 to 2025-07-20</t>
  </si>
  <si>
    <t>E330211-&gt; 579</t>
  </si>
  <si>
    <t>-&gt; Willow Creek Mine</t>
  </si>
  <si>
    <t>122.235639 W, 55.6355 N, Elev. null m -&gt; 122.235639 W, 55.6355 N, Elev. 626 m</t>
  </si>
  <si>
    <t>2022-11-09 to 2025-07-20</t>
  </si>
  <si>
    <t>E328532 -&gt; 590</t>
  </si>
  <si>
    <t>-&gt; Willow Flats Compressor Station 2</t>
  </si>
  <si>
    <t>122.2039 W, 55.6478 N, Elev. null m -&gt; 122.2039 W, 55.6478 N, Elev. 630 m</t>
  </si>
  <si>
    <t>2022-06-09 to 2025-07-20</t>
  </si>
  <si>
    <t>ID</t>
  </si>
  <si>
    <t>M116006 -&gt; 347</t>
  </si>
  <si>
    <t>100 Mile House</t>
  </si>
  <si>
    <t>121.375 W, 51.65416667 N, Elev. 1000 m</t>
  </si>
  <si>
    <t>1992-11-11 to 1998-09-28</t>
  </si>
  <si>
    <t>Temperature (Mean)|Wind Direction (Point)|Wind Speed (Point)</t>
  </si>
  <si>
    <t>Attribution,ID, Missing Data</t>
  </si>
  <si>
    <t>BC-Air -&gt; MVRD</t>
  </si>
  <si>
    <t>E289309 -&gt; T045</t>
  </si>
  <si>
    <t xml:space="preserve">Abbotsford A Columbia Street </t>
  </si>
  <si>
    <t>122.3266 W, 49.0215 N, Elev. 65 m</t>
  </si>
  <si>
    <t>Attribution</t>
  </si>
  <si>
    <t>E246240 -&gt; T034</t>
  </si>
  <si>
    <t>Abbotsford Airport -  Walmsley Road</t>
  </si>
  <si>
    <t>122.343 W, 49.0235 N, Elev. 65 m</t>
  </si>
  <si>
    <t>2001-04-30 to 2009-01-01</t>
  </si>
  <si>
    <t>Temperature (Mean)|Wind Speed (Point)</t>
  </si>
  <si>
    <t>Concatenate with Station ID 12589 if appropriate, and then delete.</t>
  </si>
  <si>
    <t>E238212 -&gt; T033</t>
  </si>
  <si>
    <t>Abbotsford Central</t>
  </si>
  <si>
    <t>122.2263889 W, 49.04277778 N, Elev. 80 m</t>
  </si>
  <si>
    <t>E293810 -&gt; T044</t>
  </si>
  <si>
    <t>Agassiz Municipal Hall</t>
  </si>
  <si>
    <t>121.762334 W, 49.238032 N, Elev. 23 m</t>
  </si>
  <si>
    <t>E230617 -&gt; 22</t>
  </si>
  <si>
    <t>Ainsworth 100 Mile</t>
  </si>
  <si>
    <t>121.365 W, 51.65333333 N, Elev. 1063 m</t>
  </si>
  <si>
    <t>1998-09-30 to 2018-06-16</t>
  </si>
  <si>
    <t>Precipitation Amount|Precipitation Climatology|Relative Humidity|Relative Humidity (Point)|Temperature (Mean)|Wind Direction (Point)|Wind Speed (Point)</t>
  </si>
  <si>
    <t>Attribution, ID, Location, Missing Data</t>
  </si>
  <si>
    <t>M110514 -&gt; T038</t>
  </si>
  <si>
    <t>122.9422222 W, 49.15972222 N, Elev. 160 m -&gt; 133.9607 W, 49.1657 N, Elev. 6 m</t>
  </si>
  <si>
    <t>ID.</t>
  </si>
  <si>
    <t>E295729 -&gt; 450</t>
  </si>
  <si>
    <t>Bessborough 237 Road</t>
  </si>
  <si>
    <t>120.483611 W, 55.791944 N, Elev. 665 m</t>
  </si>
  <si>
    <t>2015-09-22 to 2025-07-20</t>
  </si>
  <si>
    <t>E257435-&gt; 97</t>
  </si>
  <si>
    <t>Birch Bank Golf Course</t>
  </si>
  <si>
    <t>117.7330556 W, 49.15805556 N, Elev. 527 m</t>
  </si>
  <si>
    <t>2004-11-08 to 2025-07-20</t>
  </si>
  <si>
    <t>Relative Humidity|Relative Humidity (Point)|Temperature (Mean)|Wind Direction (Point)|Wind Speed (Point)</t>
  </si>
  <si>
    <t>E306063</t>
  </si>
  <si>
    <t>Blueberry River First Nation School</t>
  </si>
  <si>
    <t>121.10429 W, 56.701655 N, Elev. 675 m</t>
  </si>
  <si>
    <t>2016-06-24 to 2017-11-30</t>
  </si>
  <si>
    <t>Relative Humidity|Relative Humidity (Point)|Temperature (Mean)|Wind Speed (Point)</t>
  </si>
  <si>
    <t>E238240 -&gt; 310</t>
  </si>
  <si>
    <t>Boston Bar RCMP Station</t>
  </si>
  <si>
    <t>121.4425 W, 49.86583333 N, Elev. 180 m</t>
  </si>
  <si>
    <t>1999-07-08 to 2002-06-20</t>
  </si>
  <si>
    <t>Relative Humidity (Point)|Temperature (Mean)|Wind Direction (Point)|Wind Speed (Point)</t>
  </si>
  <si>
    <t>M114017 -&gt; 343</t>
  </si>
  <si>
    <t>Brilliant</t>
  </si>
  <si>
    <t>117.6402778 W, 49.32166667 N, Elev. 449 m</t>
  </si>
  <si>
    <t>1993-05-14 to 2002-07-31</t>
  </si>
  <si>
    <t>Attribution,ID, Delete Reference to 12591</t>
  </si>
  <si>
    <t>E244515 -&gt; T022</t>
  </si>
  <si>
    <t>Burnaby Burmount</t>
  </si>
  <si>
    <t>122.9356 W, 49.2667 N, Elev. 101 m</t>
  </si>
  <si>
    <t>0310177 -&gt; T004</t>
  </si>
  <si>
    <t>Burnaby Kensington Park</t>
  </si>
  <si>
    <t>122.9711 W, 49.2794 N, Elev. 133 m -&gt; 122.9707 W, 49.2792  N, Elev. 104 m</t>
  </si>
  <si>
    <t>2018-03-21 to 2025-07-20</t>
  </si>
  <si>
    <t>Attribution, Delete Reference to 12532</t>
  </si>
  <si>
    <t>E206270 -&gt; T014</t>
  </si>
  <si>
    <t>Burnaby Mountain</t>
  </si>
  <si>
    <t>122.9222 W, 49.2797 N, Elev. 360 m</t>
  </si>
  <si>
    <t>Attribution,Delete Reference to 12593</t>
  </si>
  <si>
    <t>E244517 -&gt; T024</t>
  </si>
  <si>
    <t>Burnaby North Eton</t>
  </si>
  <si>
    <t>123.0078 W, 49.2875 N, Elev. 70 m</t>
  </si>
  <si>
    <t>Attribution, ID, Missing Data</t>
  </si>
  <si>
    <t>E207418 -&gt; T018</t>
  </si>
  <si>
    <t>122.9856 W, 49.2153 N, Elev. 122 m</t>
  </si>
  <si>
    <t>E225267 -&gt; 104</t>
  </si>
  <si>
    <t>Burns Lake Fire Centre</t>
  </si>
  <si>
    <t>125.7644444 W, 54.23083333 N, Elev. 652 m</t>
  </si>
  <si>
    <t>1997-03-08 to 2025-07-20</t>
  </si>
  <si>
    <t>E292669 -&gt; 439</t>
  </si>
  <si>
    <t>Burns Lake Sheraton East</t>
  </si>
  <si>
    <t>125.4495 W, 54.1527 N, Elev. 679 m</t>
  </si>
  <si>
    <t>2013-01-10 to 2025-07-20</t>
  </si>
  <si>
    <t>ID, Missing Data</t>
  </si>
  <si>
    <t>M114217 -&gt; 350</t>
  </si>
  <si>
    <t>Castlegar Met</t>
  </si>
  <si>
    <t>117.6577778 W, 49.31388889 N, Elev. 451 m</t>
  </si>
  <si>
    <t>1985-10-20 to 1993-04-19</t>
  </si>
  <si>
    <t>M114009 -&gt; 98</t>
  </si>
  <si>
    <t>Celgar Pulp</t>
  </si>
  <si>
    <t>117.7188889 W, 49.33333333 N, Elev. 449 m</t>
  </si>
  <si>
    <t>1999-01-01 to 2025-07-20</t>
  </si>
  <si>
    <t>E253229 -&gt; 166</t>
  </si>
  <si>
    <t>Central Saanich Stellys Cross Road</t>
  </si>
  <si>
    <t>123.4422222 W, 48.58 N, Elev. 60 m</t>
  </si>
  <si>
    <t>2003-11-12 to 2010-03-03</t>
  </si>
  <si>
    <t>Attribution, Delete Reference to 12536</t>
  </si>
  <si>
    <t>E220891 -&gt; T012</t>
  </si>
  <si>
    <t>Chilliwack Airport</t>
  </si>
  <si>
    <t>121.9405556 W, 49.15611111 N, Elev. 10 m</t>
  </si>
  <si>
    <t>Attribution,Concatenate w/12536</t>
  </si>
  <si>
    <t>M110517 -&gt; T012</t>
  </si>
  <si>
    <t>121.9469444 W, 49.15111111 N, Elev. 15 m</t>
  </si>
  <si>
    <t>1994-05-17 to 2000-03-14</t>
  </si>
  <si>
    <t>M110516 -&gt; T012</t>
  </si>
  <si>
    <t>Chilliwack Airport Met</t>
  </si>
  <si>
    <t>121.9469444 W, 49.15111111 N, Elev. 30 m</t>
  </si>
  <si>
    <t>1987-03-26 to 1991-07-16</t>
  </si>
  <si>
    <t>E240337 -&gt; 553</t>
  </si>
  <si>
    <t>Colwood City Hall</t>
  </si>
  <si>
    <t>123.49278 W, 48.42389 N, Elev. 75 m</t>
  </si>
  <si>
    <t>2018-09-06 to 2025-07-20</t>
  </si>
  <si>
    <t>Attribution, ID, Reference 12538</t>
  </si>
  <si>
    <t>E242892 -&gt; T032</t>
  </si>
  <si>
    <t>Coquitlam Douglas College</t>
  </si>
  <si>
    <t>122.7914 W, 49.2881 N, Elev. 61 m</t>
  </si>
  <si>
    <t>E285829 -&gt; 526</t>
  </si>
  <si>
    <t>Courtenay Elementary School</t>
  </si>
  <si>
    <t>124.996222 W, 49.682603 N, Elev. 27 m</t>
  </si>
  <si>
    <t>2012-09-06 to 2025-07-20</t>
  </si>
  <si>
    <t>E313510 -&gt; 551</t>
  </si>
  <si>
    <t>Cranbrook Muriel Baxter</t>
  </si>
  <si>
    <t>115.753682 W, 49.507103 N, Elev. 941 m</t>
  </si>
  <si>
    <t>2018-08-24 to 2025-07-20</t>
  </si>
  <si>
    <t>E256215 -&gt; 99</t>
  </si>
  <si>
    <t>116.5527778 W, 49.13388889 N, Elev. 529 m</t>
  </si>
  <si>
    <t>2007-05-31 to 2009-08-24</t>
  </si>
  <si>
    <t>M114018 -&gt; 31</t>
  </si>
  <si>
    <t>Creston PC School</t>
  </si>
  <si>
    <t>116.5125 W, 49.09444444 N, Elev. 609 m</t>
  </si>
  <si>
    <t>1995-05-19 to 2015-09-10</t>
  </si>
  <si>
    <t>Relative Humidity|Temperature (Mean)|Wind Direction (Point)|Wind Speed (Point)</t>
  </si>
  <si>
    <t>E262799 -&gt; 354</t>
  </si>
  <si>
    <t>Creston South Hanson Farm</t>
  </si>
  <si>
    <t>116.5438889 W, 49.04388889 N, Elev. 525 m</t>
  </si>
  <si>
    <t>2006-04-01 to 2008-09-25</t>
  </si>
  <si>
    <t>Precipitation Amount|Relative Humidity (Point)|Temperature (Mean)|Wind Direction (Point)|Wind Speed (Point)</t>
  </si>
  <si>
    <t>M101004 -&gt; 37</t>
  </si>
  <si>
    <t>Crofton</t>
  </si>
  <si>
    <t>123.6458333 W, 48.88027778 N, Elev. 20 m</t>
  </si>
  <si>
    <t>1990-07-11 to 2016-04-26</t>
  </si>
  <si>
    <t>E220217 -&gt; 39</t>
  </si>
  <si>
    <t>Crofton Substation</t>
  </si>
  <si>
    <t>123.653929 W, 48.874529 N, Elev. 22 m</t>
  </si>
  <si>
    <t>2016-02-25 to 2025-07-20</t>
  </si>
  <si>
    <t>Air Pressure (Point)|Relative Humidity|Relative Humidity (Point)|Temperature (Mean)|Wind Direction (Point)|Wind Speed (Point)</t>
  </si>
  <si>
    <t>E277329 -&gt; 523</t>
  </si>
  <si>
    <t>Duncan Cairnsmore</t>
  </si>
  <si>
    <t>123.715833 W, 48.785 N, Elev. 32 m</t>
  </si>
  <si>
    <t>2009-08-17 to 2018-04-29</t>
  </si>
  <si>
    <t>E311128 -&gt; 537</t>
  </si>
  <si>
    <t>Duncan College Street</t>
  </si>
  <si>
    <t>123.717307 W, 48.786114 N, Elev. 32 m</t>
  </si>
  <si>
    <t>2018-01-01 to 2025-07-20</t>
  </si>
  <si>
    <t>E242166 -&gt; 290</t>
  </si>
  <si>
    <t>Duncan Mobile Transfer Station</t>
  </si>
  <si>
    <t>123.6841667 W, 48.80361111 N, Elev. 244 m</t>
  </si>
  <si>
    <t>2000-07-01 to 2001-05-08</t>
  </si>
  <si>
    <t>E251329 -&gt; 44</t>
  </si>
  <si>
    <t>Elk Falls Pulp Mill</t>
  </si>
  <si>
    <t>125.2869444 W, 50.07333333 N, Elev. 15 m</t>
  </si>
  <si>
    <t>2003-02-11 to 2010-09-09</t>
  </si>
  <si>
    <t>E231478 -&gt; 47</t>
  </si>
  <si>
    <t>Esquimalt Graving Dock</t>
  </si>
  <si>
    <t>123.4219444 W, 48.43722222 N, Elev. 23 m</t>
  </si>
  <si>
    <t>2004-08-29 to 2013-09-17</t>
  </si>
  <si>
    <t>Precipitation Amount|Relative Humidity|Relative Humidity (Point)|Temperature (Mean)|Wind Direction (Point)|Wind Speed (Point)</t>
  </si>
  <si>
    <t>E295892 -&gt; 464</t>
  </si>
  <si>
    <t>Farmington Community Hall</t>
  </si>
  <si>
    <t>120.53146 W, 55.913303 N, Elev. 696 m</t>
  </si>
  <si>
    <t>2014-01-29 to 2025-07-20</t>
  </si>
  <si>
    <t>E239298 -&gt; 396</t>
  </si>
  <si>
    <t>Fort Nelson Brucker Ranch</t>
  </si>
  <si>
    <t>122.5894444 W, 58.57777778 N, Elev. 518 m</t>
  </si>
  <si>
    <t>2000-07-25 to 2005-04-01</t>
  </si>
  <si>
    <t>E250350 -&gt; 50</t>
  </si>
  <si>
    <t>Fort Nelson Chalo School</t>
  </si>
  <si>
    <t>122.6622222 W, 58.74805556 N, Elev. 380 m</t>
  </si>
  <si>
    <t>2003-01-01 to 2009-05-14</t>
  </si>
  <si>
    <t>0770705 -&gt; 399</t>
  </si>
  <si>
    <t>Fort Nelson Townsite</t>
  </si>
  <si>
    <t>122.7041667 W, 58.81027778 N, Elev. 408 m</t>
  </si>
  <si>
    <t>2000-07-01 to 2005-09-21</t>
  </si>
  <si>
    <t>Attribution, ID</t>
  </si>
  <si>
    <t>BC-Air -&gt; BCH-SiteC</t>
  </si>
  <si>
    <t>E304550 -&gt; 489</t>
  </si>
  <si>
    <t>Fort St John 85 Avenue</t>
  </si>
  <si>
    <t>120.853895 W, 56.231792 N, Elev. null m</t>
  </si>
  <si>
    <t>2017-01-01 to 2025-07-20</t>
  </si>
  <si>
    <t>Wind Speed (Point)</t>
  </si>
  <si>
    <t>E295949 -&gt; 452</t>
  </si>
  <si>
    <t>Fraser Lake Endako Mines_60</t>
  </si>
  <si>
    <t>125.095833 W, 54.034444 N, Elev. 1005 m</t>
  </si>
  <si>
    <t>2013-10-18 to 2025-07-20</t>
  </si>
  <si>
    <t>M111068 -&gt; 54</t>
  </si>
  <si>
    <t>Glendale</t>
  </si>
  <si>
    <t>122.1736111 W, 52.15222222 N, Elev. 628 m</t>
  </si>
  <si>
    <t>1990-09-26 to 2015-02-06</t>
  </si>
  <si>
    <t>M120001 -&gt; 380</t>
  </si>
  <si>
    <t>Golden Bear</t>
  </si>
  <si>
    <t>132.2875 W, 58.20555556 N, Elev. 980 m</t>
  </si>
  <si>
    <t>1993-10-01 to 2000-03-17</t>
  </si>
  <si>
    <t>E256894 -&gt; 356</t>
  </si>
  <si>
    <t>Golden CPR</t>
  </si>
  <si>
    <t>116.9308333 W, 51.27 N, Elev. 857 m</t>
  </si>
  <si>
    <t>2004-10-06 to 2006-10-03</t>
  </si>
  <si>
    <t>E256895 -&gt; 357</t>
  </si>
  <si>
    <t>Golden Golf Course</t>
  </si>
  <si>
    <t>117.0066667 W, 51.3325 N, Elev. 795 m</t>
  </si>
  <si>
    <t>2004-09-15 to 2006-11-23</t>
  </si>
  <si>
    <t>E243003 -&gt; 19</t>
  </si>
  <si>
    <t>Golden Lady Grey School</t>
  </si>
  <si>
    <t>116.9716667 W, 51.29555556 N, Elev. 773 m</t>
  </si>
  <si>
    <t>2000-11-23 to 2025-07-20</t>
  </si>
  <si>
    <t>E262779 -&gt; 56</t>
  </si>
  <si>
    <t>Grand Forks Airport</t>
  </si>
  <si>
    <t>118.4269444 W, 49.01472222 N, Elev. 520 m</t>
  </si>
  <si>
    <t>2006-04-13 to 2025-07-20</t>
  </si>
  <si>
    <t>E223885 -&gt; 342</t>
  </si>
  <si>
    <t>Grand Forks Mobile</t>
  </si>
  <si>
    <t>118.4375 W, 49.02777778 N, Elev. 525 m</t>
  </si>
  <si>
    <t>1996-10-30 to 1997-11-02</t>
  </si>
  <si>
    <t>Relative Humidity (Point)|Temperature (Mean)|Wind Speed (Point)</t>
  </si>
  <si>
    <t>M102038 -&gt; 60 -&gt; 294</t>
  </si>
  <si>
    <t>Harmac Pacific</t>
  </si>
  <si>
    <t>123.8475 W, 49.13527778 N, Elev. 23 m</t>
  </si>
  <si>
    <t>1996-01-01 to 2020-05-30</t>
  </si>
  <si>
    <t>Attribution, Delete Reference to 12549</t>
  </si>
  <si>
    <t>E223756 -&gt; T029</t>
  </si>
  <si>
    <t>121.4994444 W, 49.36972222 N, Elev. 39 m</t>
  </si>
  <si>
    <t>E254955 -&gt; 64</t>
  </si>
  <si>
    <t>Hope Othello Compressor Station</t>
  </si>
  <si>
    <t>121.3652778 W, 49.38277778 N, Elev. 228 m</t>
  </si>
  <si>
    <t>2004-03-01 to 2023-12-31</t>
  </si>
  <si>
    <t>Attribution, Delete Reference to 2634</t>
  </si>
  <si>
    <t>E275843 -&gt; T035</t>
  </si>
  <si>
    <t>Horseshoe Bay</t>
  </si>
  <si>
    <t>123.2766 W, 49.3686 N, Elev. 65 m</t>
  </si>
  <si>
    <t>M104271 -&gt; T035</t>
  </si>
  <si>
    <t>Horseshoe Bay Met</t>
  </si>
  <si>
    <t>123.2797222 W, 49.37277778 N, Elev. 60 m -&gt; 123.2767 W, 49.3686 N, Elev. 65 m</t>
  </si>
  <si>
    <t>1985-05-31 to 1987-02-17</t>
  </si>
  <si>
    <t>M107004-&gt; 3</t>
  </si>
  <si>
    <t>Houston Firehall</t>
  </si>
  <si>
    <t>126.645 W, 54.39722222 N, Elev. 594 m</t>
  </si>
  <si>
    <t>1994-11-22 to 2025-07-13</t>
  </si>
  <si>
    <t>Attribtution, ID</t>
  </si>
  <si>
    <t>BC-Air -&gt; BC Hydro Site C</t>
  </si>
  <si>
    <t>E321711 -&gt; 578</t>
  </si>
  <si>
    <t>Hudson Hope Dudley Drive</t>
  </si>
  <si>
    <t>121.91118 W, 56.02686 N, Elev. null m</t>
  </si>
  <si>
    <t>2021-02-25 to 2025-07-20</t>
  </si>
  <si>
    <t>Unspecified -&gt; Hourly</t>
  </si>
  <si>
    <t>Relative Humidity (Point)|Wind Speed (Point)</t>
  </si>
  <si>
    <t>E303935 -&gt; 481</t>
  </si>
  <si>
    <t>Kamloops Aberdeen</t>
  </si>
  <si>
    <t>120.37207 W, 50.63694 N, Elev. 857 m</t>
  </si>
  <si>
    <t>2015-10-16 to 2018-01-19</t>
  </si>
  <si>
    <t>M116003 -&gt; 66</t>
  </si>
  <si>
    <t>Kamloops Brocklehurst</t>
  </si>
  <si>
    <t>120.3975 W, 50.6975 N, Elev. 347 m</t>
  </si>
  <si>
    <t>1996-11-01 to 2009-12-15</t>
  </si>
  <si>
    <t>0605008 -&gt; 267</t>
  </si>
  <si>
    <t>Kamloops Federal Building</t>
  </si>
  <si>
    <t>120.334016 W, 50.67477 N, Elev. 381 m</t>
  </si>
  <si>
    <t>2018-08-17 to 2025-07-20</t>
  </si>
  <si>
    <t xml:space="preserve">ID, </t>
  </si>
  <si>
    <t>0500886 -&gt;102</t>
  </si>
  <si>
    <t>Kelowna College</t>
  </si>
  <si>
    <t>119.477367 W, 49.862336 N, Elev. 347 m</t>
  </si>
  <si>
    <t>2009-01-01 to 2019-06-03</t>
  </si>
  <si>
    <t>M112070 -&gt; 102</t>
  </si>
  <si>
    <t>119.475 W, 49.86111111 N, Elev. 300 m</t>
  </si>
  <si>
    <t>1994-10-29 to 2009-07-01</t>
  </si>
  <si>
    <t>E317850 -&gt;571</t>
  </si>
  <si>
    <t>Kelowna KLO Road</t>
  </si>
  <si>
    <t>119.467461 W, 49.862119 N, Elev. 350 m</t>
  </si>
  <si>
    <t>2019-09-01 to 2025-07-20</t>
  </si>
  <si>
    <t>E272963 -&gt; 70</t>
  </si>
  <si>
    <t>Keremeos Municipal Office</t>
  </si>
  <si>
    <t>119.82751 W, 49.204702 N, Elev. 423 m</t>
  </si>
  <si>
    <t>2008-08-12 to 2009-12-21</t>
  </si>
  <si>
    <t>M106008 -&gt; 72</t>
  </si>
  <si>
    <t>Kitimat Eurocan Dock</t>
  </si>
  <si>
    <t>128.6783333 W, 53.995 N, Elev. 10 m</t>
  </si>
  <si>
    <t>1996-10-07 to 2010-02-15</t>
  </si>
  <si>
    <t>E282711 -&gt; 271</t>
  </si>
  <si>
    <t>Kitimat Haisla Village</t>
  </si>
  <si>
    <t>128.650768 W, 53.973228 N, Elev. 5 m</t>
  </si>
  <si>
    <t>2011-03-08 to 2025-07-20</t>
  </si>
  <si>
    <t>E223616 -&gt;75</t>
  </si>
  <si>
    <t>Kitimat Haul Road</t>
  </si>
  <si>
    <t>128.70269 W, 54.029194 N, Elev. 11 m</t>
  </si>
  <si>
    <t>2009-01-01 to 2025-07-20</t>
  </si>
  <si>
    <t>M106009 -&gt;73</t>
  </si>
  <si>
    <t>128.7016667 W, 54.02972222 N, Elev. 2 m</t>
  </si>
  <si>
    <t>1996-10-04 to 2009-07-01</t>
  </si>
  <si>
    <t>E216670 -&gt; 279</t>
  </si>
  <si>
    <t>Kitimat Riverlodge</t>
  </si>
  <si>
    <t>128.671436 W, 54.05389 N, Elev. 18 m</t>
  </si>
  <si>
    <t>2011-05-24 to 2025-07-20</t>
  </si>
  <si>
    <t>E223615 -&gt; 80</t>
  </si>
  <si>
    <t>Kitimat Whitesail</t>
  </si>
  <si>
    <t>128.639131 W, 54.066909 N, Elev. 94 m</t>
  </si>
  <si>
    <t>Data needs concatenating with 12170</t>
  </si>
  <si>
    <t>M106010 -&gt; 80</t>
  </si>
  <si>
    <t>128.6402778 W, 54.0675 N, Elev. 119 m</t>
  </si>
  <si>
    <t>1997-01-09 to 2009-07-01</t>
  </si>
  <si>
    <t>E286269 -&gt; 418</t>
  </si>
  <si>
    <t>Kitimat Yacht Club</t>
  </si>
  <si>
    <t>128.692 W, 53.9847 N, Elev. 2 m</t>
  </si>
  <si>
    <t>2011-06-15 to 2025-07-20</t>
  </si>
  <si>
    <t>E255714 -&gt; 82</t>
  </si>
  <si>
    <t>Kitwanga School</t>
  </si>
  <si>
    <t>128.0158333 W, 55.11722222 N, Elev. 253 m</t>
  </si>
  <si>
    <t>2005-02-18 to 2016-07-19</t>
  </si>
  <si>
    <t>E248774 -&gt; 85</t>
  </si>
  <si>
    <t>Kwoen Gas Plant</t>
  </si>
  <si>
    <t>121.7047222 W, 55.37777778 N, Elev. 665 m</t>
  </si>
  <si>
    <t>2002-09-08 to 2020-05-30</t>
  </si>
  <si>
    <t>M104273 -&gt; 88</t>
  </si>
  <si>
    <t>Langdale Ferry Terminal</t>
  </si>
  <si>
    <t>123.4719444 W, 49.43444444 N, Elev. 15 m</t>
  </si>
  <si>
    <t>1987-09-11 to 2016-08-09</t>
  </si>
  <si>
    <t>E249735 -&gt; 295</t>
  </si>
  <si>
    <t>Langford Dogwood School</t>
  </si>
  <si>
    <t>123.5033333 W, 48.45305556 N, Elev. 80 m</t>
  </si>
  <si>
    <t>2003-11-01 to 2005-07-01</t>
  </si>
  <si>
    <t>E264882 -&gt; 14</t>
  </si>
  <si>
    <t>Langford Lakewood Elementary School</t>
  </si>
  <si>
    <t>123.5075 W, 48.46583333 N, Elev. 100 m</t>
  </si>
  <si>
    <t>2007-02-23 to 2010-09-20</t>
  </si>
  <si>
    <t>Attribution, Delete Reference to 12556</t>
  </si>
  <si>
    <t>E209178 -&gt; T027</t>
  </si>
  <si>
    <t>122.5669 W, 49.0956 N, Elev. 82 m</t>
  </si>
  <si>
    <t>Attribution,ID</t>
  </si>
  <si>
    <t>M110515 -&gt; 324</t>
  </si>
  <si>
    <t>Langley Peterson</t>
  </si>
  <si>
    <t xml:space="preserve">122.5733333 W, 49.08722222 N, Elev. 110 m -&gt; </t>
  </si>
  <si>
    <t>1987-02-19 to 1996-03-11</t>
  </si>
  <si>
    <t>E230577 -&gt; 385</t>
  </si>
  <si>
    <t>Manalta</t>
  </si>
  <si>
    <t>127.1202778 W, 54.645 N, Elev. 651 m</t>
  </si>
  <si>
    <t>1998-02-05 to 2000-08-30</t>
  </si>
  <si>
    <t>Attribution, Delete Reference to 12600</t>
  </si>
  <si>
    <t>E232245 -&gt; T028</t>
  </si>
  <si>
    <t>Maple Ridge Golden Ears School</t>
  </si>
  <si>
    <t>122.5819 W, 49.215 N, Elev. 100 m</t>
  </si>
  <si>
    <t>ID, Locaiton</t>
  </si>
  <si>
    <t>E237431 -&gt; 344</t>
  </si>
  <si>
    <t>Merritt Granite-Garcia Mobile</t>
  </si>
  <si>
    <t>120.7888889 W, 50.11277778 N, Elev. 500 m -&gt; 121.7889 Wm 50.1128 N, Elev. 500 m</t>
  </si>
  <si>
    <t>1999-05-14 to 2000-05-29</t>
  </si>
  <si>
    <t>E264682 -&gt; 94</t>
  </si>
  <si>
    <t>Merritt Parcel Street</t>
  </si>
  <si>
    <t>120.7922222 W, 50.105 N, Elev. 603 m</t>
  </si>
  <si>
    <t>2006-12-04 to 2025-07-19</t>
  </si>
  <si>
    <t>Attribution, Delete Reference to 12558</t>
  </si>
  <si>
    <t>E302130 -&gt; T043</t>
  </si>
  <si>
    <t>Mission School Works Yard</t>
  </si>
  <si>
    <t>122.311078 W, 49.14149 N, Elev. 74 m</t>
  </si>
  <si>
    <t>Attribution, ID, Name, Location, missing data</t>
  </si>
  <si>
    <t>Agassiz Municipal Hall -&gt;T044</t>
  </si>
  <si>
    <t>NA -&gt; Agassiz Municiple Hall</t>
  </si>
  <si>
    <t>121.762334 W, 49.238032 N, Elev. null m -&gt; 121.762264 W, 49.238008 N, Elev. 23 m</t>
  </si>
  <si>
    <t>2020-07-27 to 2020-11-22</t>
  </si>
  <si>
    <t>New Westminster Sapperton Park -&gt; T046</t>
  </si>
  <si>
    <t>NA -&gt; New Westminister</t>
  </si>
  <si>
    <t>122.894487 W, 49.227045 N, Elev. null m -&gt; 122.894487 W, 49.227045 N, Elev. 45 m</t>
  </si>
  <si>
    <t>2020-07-27 to 2020-11-08</t>
  </si>
  <si>
    <t>Wind Direction (Point)</t>
  </si>
  <si>
    <t>Surrey East -&gt; T015</t>
  </si>
  <si>
    <t>NA -&gt; Surrey East</t>
  </si>
  <si>
    <t>122.6942 W, 49.1328 N, Elev. null m -&gt; 122.695491 W, 49.134235 N, Elev. 79 m</t>
  </si>
  <si>
    <t>Attribution, ID, Name, Location, Concatenate with 12949</t>
  </si>
  <si>
    <t>Vancouver Clark Drive -&gt; T050</t>
  </si>
  <si>
    <t>NA -&gt; Vancouver Clark Drive</t>
  </si>
  <si>
    <t>123.077811 W, 49.26029 N, Elev. null m -&gt; 123.077811 W, 49.26029 N, Elev. 29 m</t>
  </si>
  <si>
    <t>Birchbank Golf Course -?&gt; 97</t>
  </si>
  <si>
    <t>117.73312 W, 49.157855 N, Elev. null m</t>
  </si>
  <si>
    <t>Burns Lake Fire Centre -?&gt; 104</t>
  </si>
  <si>
    <t>125.7643 W, 54.2307 N, Elev. null m</t>
  </si>
  <si>
    <t>Burns Lake Sheraton East -?&gt; 439</t>
  </si>
  <si>
    <t>125.4495 W, 54.1527 N, Elev. null m</t>
  </si>
  <si>
    <t>Colwood City Hall -?&gt; 553</t>
  </si>
  <si>
    <t>123.49278 W, 48.42389 N, Elev. null m</t>
  </si>
  <si>
    <t>Courtenay Elementary School -&gt; 526</t>
  </si>
  <si>
    <t>124.996222 W, 49.682603 N, Elev. null m</t>
  </si>
  <si>
    <t>Cranbrook Muriel Baxter -?&gt; 551</t>
  </si>
  <si>
    <t>115.753682 W, 49.507103 N, Elev. null m</t>
  </si>
  <si>
    <t>Crofton Substation -?&gt; 39</t>
  </si>
  <si>
    <t>123.653929 W, 48.874529 N, Elev. null m</t>
  </si>
  <si>
    <t>Duncan College Street -&gt;537</t>
  </si>
  <si>
    <t>123.717307 W, 48.786114 N, Elev. null m</t>
  </si>
  <si>
    <t>Fraser Lake Endako Mines -&gt; 452</t>
  </si>
  <si>
    <t>125.095833 W, 54.034444 N, Elev. null m</t>
  </si>
  <si>
    <t>Golden Lady Grey School -&gt; 19</t>
  </si>
  <si>
    <t>116.9716 W, 51.2956 N, Elev. null m</t>
  </si>
  <si>
    <t>Grand Forks Airport -&gt; 56</t>
  </si>
  <si>
    <t>118.4269 W, 49.0147 N, Elev. null m</t>
  </si>
  <si>
    <t>Harmac Pacific -&gt; 60 -&gt; 294</t>
  </si>
  <si>
    <t>123.845 W, 49.1578 N, Elev. null m</t>
  </si>
  <si>
    <t>Hope Othello Compressor Station -&gt; 64</t>
  </si>
  <si>
    <t>121.3653 W, 49.3828 N, Elev. null m</t>
  </si>
  <si>
    <t>Horseshoe Bay -&gt; T035</t>
  </si>
  <si>
    <t xml:space="preserve">123.2766 W, 49.3686 N, Elev. null m </t>
  </si>
  <si>
    <t>Houston Firehall -&gt; 3</t>
  </si>
  <si>
    <t>126.645 W, 54.3972 N, Elev. null m</t>
  </si>
  <si>
    <t>2020-07-27 to 2020-11-15</t>
  </si>
  <si>
    <t>Kamloops Federal Building -?&gt; 267</t>
  </si>
  <si>
    <t>120.334016 W, 50.67477 N, Elev. null m</t>
  </si>
  <si>
    <t>Attribution, Concatenate and delete</t>
  </si>
  <si>
    <t>Burnaby Kensington Park - T004</t>
  </si>
  <si>
    <t xml:space="preserve">122.9711 W, 49.2794 N, Elev. null m </t>
  </si>
  <si>
    <t>Kitimat Haisla Village -&gt; 271</t>
  </si>
  <si>
    <t>128.650768 W, 53.973228 N, Elev. null m</t>
  </si>
  <si>
    <t>Kitimat Haul Road -&gt; 75</t>
  </si>
  <si>
    <t>128.70269 W, 54.029194 N, Elev. null m</t>
  </si>
  <si>
    <t>Kitimat Riverlodge -&gt; 77</t>
  </si>
  <si>
    <t>128.671436 W, 54.05389 N, Elev. null m</t>
  </si>
  <si>
    <t>Kitimat Whitesail -&gt; 80</t>
  </si>
  <si>
    <t>128.639131 W, 54.066909 N, Elev. null m</t>
  </si>
  <si>
    <t>Kitimat Yacht Club -&gt; 418</t>
  </si>
  <si>
    <t>128.692 W, 54 N, Elev. null m</t>
  </si>
  <si>
    <t>Pine River Hasler -?&gt; 110</t>
  </si>
  <si>
    <t>121.99348 W, 55.601678 N, Elev. null m</t>
  </si>
  <si>
    <t>North Vancouver Second Narrows -&gt; T006</t>
  </si>
  <si>
    <t>123.0203 W, 49.3017 N, Elev. null m</t>
  </si>
  <si>
    <t>Taylor South Hill -?&gt; 176</t>
  </si>
  <si>
    <t>120.662779 W, 56.105871 N, Elev. null m</t>
  </si>
  <si>
    <t>Taylor Townsite -?&gt; 179</t>
  </si>
  <si>
    <t>120.686985 W, 56.150186 N, Elev. null m</t>
  </si>
  <si>
    <t>Trail Columbia Gardens Airport -&gt; 192</t>
  </si>
  <si>
    <t>117.60711 W, 49.046405 N, Elev. null m</t>
  </si>
  <si>
    <t>Celgar Pulp -?&gt; 98</t>
  </si>
  <si>
    <t xml:space="preserve">NA </t>
  </si>
  <si>
    <t>117.7188 W, 49.3333 N, Elev. null m</t>
  </si>
  <si>
    <t>Abbotsford A Columbia Street -&gt; T045</t>
  </si>
  <si>
    <t>NA -&gt; Abbotsford Airport</t>
  </si>
  <si>
    <t>122.3266 W, 49.0215 N, Elev. null m -&gt; 122.3265 W, 49.0215 N, Elev. 65 m</t>
  </si>
  <si>
    <t>2020-07-01 to 2020-11-22</t>
  </si>
  <si>
    <t>Attribution, ID, Name, Location, Missing Data</t>
  </si>
  <si>
    <t>Abbotsford Central -&gt; T033</t>
  </si>
  <si>
    <t>NA -&gt; Abbotsford-Mill Lake</t>
  </si>
  <si>
    <t>122.3097 W, 49.0428 N, Elev. null m -&gt; 122.3089 W, 49.0426 N, Elev. 58 m</t>
  </si>
  <si>
    <t>Bessborough 237 Road -&gt; 450</t>
  </si>
  <si>
    <t>NA -&gt; Bessborough 237 Road</t>
  </si>
  <si>
    <t>120.483611 W, 55.791944 N, Elev. null m</t>
  </si>
  <si>
    <t>Burnaby Mountain -&gt; T014</t>
  </si>
  <si>
    <t>NA -&gt; Burnaby Mountain</t>
  </si>
  <si>
    <t>122.9222 W, 49.2797 N, Elev. null m -&gt; 122.9223 W, 49.2798 N, Elev. 360 m</t>
  </si>
  <si>
    <t>Burnaby North Eton -&gt; T024</t>
  </si>
  <si>
    <t>NA -&gt; Burnaby North</t>
  </si>
  <si>
    <t>123.0078 W, 49.2875 N, Elev. null m -&gt; 123.008 W, 49.2875 N, Elev. 70 m</t>
  </si>
  <si>
    <t>Burnaby South -&gt; T018</t>
  </si>
  <si>
    <t>NA -&gt; Burnaby South</t>
  </si>
  <si>
    <t>122.9856 W, 49.2153 N, Elev. null m -&gt; 122.9857 WW, 49.2152 N, Elev. 20 m</t>
  </si>
  <si>
    <t>North Burnaby Capitol Hill -&gt; T023</t>
  </si>
  <si>
    <t>NA -&gt; Burnaby-Capitol Hill</t>
  </si>
  <si>
    <t>122.9856 W, 49.2878 N, Elev. null m -&gt; 122.9856 W, 49.2879 N, Elev. 200 m</t>
  </si>
  <si>
    <t>Burnaby Burmount -&gt; T022</t>
  </si>
  <si>
    <t>NA -&gt; Burnbay-Burmount</t>
  </si>
  <si>
    <t>122.9356 W, 49.2667 N, Elev. null m -&gt; 122.9355 W, 49.2667 N, Elev. 101 m</t>
  </si>
  <si>
    <t>Chilliwack Airport -&gt; T012</t>
  </si>
  <si>
    <t>NA -&gt; Chilliwak Airport</t>
  </si>
  <si>
    <t>121.9406 W, 49.1561 N, Elev. null m -&gt; 121.9403 W, 49.1558 N, Elev. 12 m</t>
  </si>
  <si>
    <t>Coquitlam Douglas College -&gt; T032</t>
  </si>
  <si>
    <t>NA -&gt; Coquitlam</t>
  </si>
  <si>
    <t>122.7914 W, 49.2881 N, Elev. null m -&gt; 122.7916W, 49.2883 N, Elev. 38 m</t>
  </si>
  <si>
    <t>Confirm data time series overlap with 12454, if the same then delete, if gap fill the concatenate into 12454, and then delete.</t>
  </si>
  <si>
    <t>Crofton Elementary -&gt; 564</t>
  </si>
  <si>
    <t>NA -&gt; Crofton Elementary</t>
  </si>
  <si>
    <t>123.64388889 W, 48.86 N, Elev. null m</t>
  </si>
  <si>
    <t>Farmington Community Hall -?&gt; 464</t>
  </si>
  <si>
    <t>NA -&gt; Farmington Community Hall</t>
  </si>
  <si>
    <t>120.53157 W, 55.9132326 N, Elev. null m</t>
  </si>
  <si>
    <t>Fort St John North Camp C  -?&gt; 517</t>
  </si>
  <si>
    <t>NA -&gt; Fort St John North Camp C</t>
  </si>
  <si>
    <t>120.90108 W, 56.2032887 N, Elev. null m</t>
  </si>
  <si>
    <t>2020-07-27 to 2020-10-18</t>
  </si>
  <si>
    <t>Relative Humidity (Point)</t>
  </si>
  <si>
    <t>Hope Airport -&gt; T029</t>
  </si>
  <si>
    <t>NA -&gt; Hope</t>
  </si>
  <si>
    <t>121.4994 W, 49.3697 N, Elev. null m -&gt; 121.4991 W, 49.3698 N, Elev. 40 m</t>
  </si>
  <si>
    <t>Kelowna KLO Road -&gt; 571</t>
  </si>
  <si>
    <t>NA -&gt; Kelowna KLO Road</t>
  </si>
  <si>
    <t>119.467461 W, 49.862119 N, Elev. null m</t>
  </si>
  <si>
    <t>Langley Central -&gt; T027</t>
  </si>
  <si>
    <t>NA -&gt; Langley</t>
  </si>
  <si>
    <t>122.5669 W, 49.0956 N, Elev. null m -&gt; 122.5671 W, 49.0956 N, Elev. 88 m</t>
  </si>
  <si>
    <t>North Vancouver Mahon Park -&gt; T026</t>
  </si>
  <si>
    <t xml:space="preserve">NA -&gt; Mahon Park </t>
  </si>
  <si>
    <t>123.0836 W, 49.3239 N, Elev. null m -&gt; 123.0835 W, 49.3239 N, Elev. 71 m</t>
  </si>
  <si>
    <t>Maple Ridge Golden Ears School -&gt; T028</t>
  </si>
  <si>
    <t>NA -&gt; Maple Ridge</t>
  </si>
  <si>
    <t xml:space="preserve">122.5819 W, 49.215 N, Elev. null m -&gt; 122.5821 W, 49.2149 N, Elev. 50 m </t>
  </si>
  <si>
    <t>Merritt Parcel Street -?&gt; 94</t>
  </si>
  <si>
    <t>NA -&gt; Merritt Parcel Street</t>
  </si>
  <si>
    <t>120.7921 W, 50.105 N, Elev. null m</t>
  </si>
  <si>
    <t>Mission School Works Yard -&gt;T043</t>
  </si>
  <si>
    <t>NA -&gt; Mission</t>
  </si>
  <si>
    <t>122.311078 W, 49.14149 N, Elev. null m -&gt; 122.31078 W, 49.14149 N, Elev. 74 m</t>
  </si>
  <si>
    <t>North Delta -&gt; T013</t>
  </si>
  <si>
    <t>NA -&gt; North Delta</t>
  </si>
  <si>
    <t>122.9017 W, 49.1583 N, Elev. null m -&gt; 122.9017 W, 49.1583 N, Elev. 113 m</t>
  </si>
  <si>
    <t>Attribution, Concatenate</t>
  </si>
  <si>
    <t>Peace Valley Attachie Flat Upper Terrace -&gt; 540</t>
  </si>
  <si>
    <t>NA -&gt; Peace Valley Attachie Flat Upper Terrace</t>
  </si>
  <si>
    <t>121.41944 W, 56.231213 N, Elev. null m</t>
  </si>
  <si>
    <t>PG Marsulex -?&gt; 210</t>
  </si>
  <si>
    <t>NA -&gt; PG Marsulex</t>
  </si>
  <si>
    <t>122.6672 W, 53.845 N, Elev. null m</t>
  </si>
  <si>
    <t>Attribution, ID, Name, Location, Missing Data (differs from 12220)</t>
  </si>
  <si>
    <t>Pitt Meadows Meadowlands School -&gt; T020</t>
  </si>
  <si>
    <t>NA -&gt; Pitt Meadows Airport</t>
  </si>
  <si>
    <t>122.7089 W, 49.2453 N, Elev. null m -&gt; 122.7089 W, 49.2452 N, Elev. 10 m</t>
  </si>
  <si>
    <t>Port Alberni Elementary -?&gt; 263</t>
  </si>
  <si>
    <t>NA -&gt; Port Alberni Elementary</t>
  </si>
  <si>
    <t>124.806628 W, 49.261014 N, Elev. null m</t>
  </si>
  <si>
    <t>Port Mellon -?&gt; 117</t>
  </si>
  <si>
    <t>NA -&gt; Port Mellon</t>
  </si>
  <si>
    <t>123.4822 W, 49.5228 N, Elev. null m</t>
  </si>
  <si>
    <t>Powell River James Thomson School -?&gt; E271963</t>
  </si>
  <si>
    <t>NA -&gt; Powell River James Thomson School</t>
  </si>
  <si>
    <t>124.5624 W, 49.889299 N, Elev. null m</t>
  </si>
  <si>
    <t>Powell River Pacifica -&gt; E238705</t>
  </si>
  <si>
    <t>NA -&gt; Powell River Pacifica</t>
  </si>
  <si>
    <t>124.5556 W, 49.8742 N, Elev. null m</t>
  </si>
  <si>
    <t>Prince George Exploration Place -?&gt; 280</t>
  </si>
  <si>
    <t>NA -&gt; Prince George Exploration Place</t>
  </si>
  <si>
    <t>122.734049 W, 53.905139 N, Elev. null m</t>
  </si>
  <si>
    <t>Prince George Plaza 400 -?&gt; 144</t>
  </si>
  <si>
    <t>NA -&gt; Prince George Plaza 400</t>
  </si>
  <si>
    <t>122.74194 W, 53.91472 N, Elev. null m</t>
  </si>
  <si>
    <t>Prince George Pulp -?&gt; 146</t>
  </si>
  <si>
    <t>NA -&gt; Prince George Pulp</t>
  </si>
  <si>
    <t>122.6861 W, 53.9244 N, Elev. null m</t>
  </si>
  <si>
    <t>Confirm data time series overlap with 12442.  If data time series is the same then delete, if not then concatenate with 12442 into the Additional PRPA station (ENV Native ID 547) and delete</t>
  </si>
  <si>
    <t>Prince Rupert Fairview -&gt; 547</t>
  </si>
  <si>
    <t>NA -&gt; Prince Rupert Fairview</t>
  </si>
  <si>
    <t>130.35242 W, 54.292637 N, Elev. null m</t>
  </si>
  <si>
    <t>Prince Rupert Roosevelt Park School -?&gt; 425</t>
  </si>
  <si>
    <t>NA -&gt; Prince Rupert Roosevelt Park School</t>
  </si>
  <si>
    <t>130.3269 W, 54.3064 N, Elev. null m</t>
  </si>
  <si>
    <t>2020-07-27 to 2020-08-05</t>
  </si>
  <si>
    <t>Quesnel CP -&gt; M111073 -&gt; 153</t>
  </si>
  <si>
    <t>NA -&gt; Quesnel CP</t>
  </si>
  <si>
    <t>122.4883 W, 52.9919 N, Elev. null m</t>
  </si>
  <si>
    <t>Richmond South -&gt; T017</t>
  </si>
  <si>
    <t>NA -&gt; Richmond South</t>
  </si>
  <si>
    <t>123.1083 W, 49.1414 N, Elev. null m -&gt; 123.1082 W, 49.1414 N, Elev. 4 m</t>
  </si>
  <si>
    <t>Port Moody Rocky Point Park -&gt; T009</t>
  </si>
  <si>
    <t>NA -&gt; Rocky Point Park</t>
  </si>
  <si>
    <t>122.8492 W, 49.2808 N, Elev. null m -&gt; 122.8493 W, 49.2809 N, Elev. 13 m</t>
  </si>
  <si>
    <t>Skookumchuck Farstad Way -?&gt; 543</t>
  </si>
  <si>
    <t>NA -&gt; Skookumchuck Farstad Way</t>
  </si>
  <si>
    <t>115.755613 W, 49.905404 N, Elev. null m</t>
  </si>
  <si>
    <t>Concatenate with 12441 and delete</t>
  </si>
  <si>
    <t>Smithers Muheim Memorial -&gt; 563</t>
  </si>
  <si>
    <t>NA -&gt; Smithers Muheim Memorial</t>
  </si>
  <si>
    <t>127.168542 W, 54.7784861 N, Elev. null m</t>
  </si>
  <si>
    <t>Squamish Elementary -?&gt; 493</t>
  </si>
  <si>
    <t>NA -&gt; Squamish Elementary</t>
  </si>
  <si>
    <t>123.15133 W, 49.70516 N, Elev. null m</t>
  </si>
  <si>
    <t>Stewart Youth Centre -?&gt; E292249</t>
  </si>
  <si>
    <t>NA -&gt; Stewart Youth Centre</t>
  </si>
  <si>
    <t>129.985 W, 55.9381 N, Elev. null m</t>
  </si>
  <si>
    <t>Telkwa -?&gt; 213</t>
  </si>
  <si>
    <t>NA -&gt; Telkwa</t>
  </si>
  <si>
    <t>127.05434 W, 54.691479 N, Elev. null m</t>
  </si>
  <si>
    <t>Terrace Skeena Middle School -?&gt; 473</t>
  </si>
  <si>
    <t>NA -&gt; Terrace Skeena Middle School</t>
  </si>
  <si>
    <t>128.6075 W, 54.52167 N, Elev. null m</t>
  </si>
  <si>
    <t>Trail Butler Park -?&gt; 189</t>
  </si>
  <si>
    <t>NA -&gt; Trail Butler Park</t>
  </si>
  <si>
    <t>117.697828 W, 49.096218 N, Elev. null m</t>
  </si>
  <si>
    <t>Valemount -?&gt; 209</t>
  </si>
  <si>
    <t>NA -&gt; Valemount</t>
  </si>
  <si>
    <t>119.269821 W, 52.832459 N, Elev. null m</t>
  </si>
  <si>
    <t>2020-07-27 to 2020-09-27</t>
  </si>
  <si>
    <t>Vanderhoof Courthouse -?&gt; 207</t>
  </si>
  <si>
    <t>NA -&gt; Vanderhoof Courthouse</t>
  </si>
  <si>
    <t>124.0061 W, 54.0163 N, Elev. null m</t>
  </si>
  <si>
    <t>Vernon Science Centre -?&gt; 194</t>
  </si>
  <si>
    <t>NA -&gt; Vernon Science Centre</t>
  </si>
  <si>
    <t>119.270723 W, 50.260617 N, Elev. null m</t>
  </si>
  <si>
    <t>Victoria Topaz -?&gt; 8</t>
  </si>
  <si>
    <t>NA -&gt; Victoria Topaz</t>
  </si>
  <si>
    <t>123.363165 W, 48.441942 N, Elev. null m</t>
  </si>
  <si>
    <t>Warfield Elementary -?&gt; 0260011</t>
  </si>
  <si>
    <t>NA -&gt; Warfield Elementary</t>
  </si>
  <si>
    <t>117.7469 W, 49.0952 N, Elev. null m</t>
  </si>
  <si>
    <t>Williams Lake Columneetza School -?&gt; 549</t>
  </si>
  <si>
    <t>NA -&gt; Williams Lake Columneetza School</t>
  </si>
  <si>
    <t>122.150391 W, 52.14428 N, Elev. null m</t>
  </si>
  <si>
    <t>Vancouver International Airport #2 -&gt; T031</t>
  </si>
  <si>
    <t>NA -&gt; YVR</t>
  </si>
  <si>
    <t>123.1522 W, 49.1864 N, Elev. null m -&gt; 123.1524 W, 49.1863 N, Elev. 1 m</t>
  </si>
  <si>
    <t>M114216 -&gt; 361</t>
  </si>
  <si>
    <t>Nelson</t>
  </si>
  <si>
    <t>117.2969444 W, 49.49277778 N, Elev. 538 m</t>
  </si>
  <si>
    <t>1985-10-23 to 1987-09-22</t>
  </si>
  <si>
    <t>E260397 -&gt;96</t>
  </si>
  <si>
    <t>New Hazelton School</t>
  </si>
  <si>
    <t>127.5861111 W, 55.24527778 N, Elev. 321 m</t>
  </si>
  <si>
    <t>2005-08-11 to 2016-06-28</t>
  </si>
  <si>
    <t>Missing Data</t>
  </si>
  <si>
    <t>E308566 -&gt; T046</t>
  </si>
  <si>
    <t>New Westminster Sapperton Park -&gt; Sapperton Park</t>
  </si>
  <si>
    <t>122.894487 W, 49.227045 N, Elev. 45 m -&gt; 122.8944487W, 49.227045 N, Elev. 45 m</t>
  </si>
  <si>
    <t>Attribution, Delete Reference to 12601</t>
  </si>
  <si>
    <t>E244516 -&gt; T023</t>
  </si>
  <si>
    <t>North Burnaby Capitol Hill -&gt; Burnaby-Capitol Hill</t>
  </si>
  <si>
    <t>122.9856 W, 49.2878 N, Elev. 200 m</t>
  </si>
  <si>
    <t>E207723 -&gt; T013</t>
  </si>
  <si>
    <t>122.9017 W, 49.1583 N, Elev. 111 m</t>
  </si>
  <si>
    <t>Attribution, Delete Reference to 12603</t>
  </si>
  <si>
    <t>E209177 - &gt; T026</t>
  </si>
  <si>
    <t>North Vancouver Mahon Park -&gt; N. Vancouver-Mahon Park</t>
  </si>
  <si>
    <t>123.0836 W, 49.3239 N, Elev. 80 m</t>
  </si>
  <si>
    <t>0310179 -&gt; T006</t>
  </si>
  <si>
    <t>North Vancouver Second Narrows -&gt; N. Vancouver Second Narrows</t>
  </si>
  <si>
    <t>123.0203 W, 49.3017 N, Elev. 15 m -&gt; 123.0204 W, 49.3015 N, Elev. 4 m</t>
  </si>
  <si>
    <t>2018-08-01 to 2025-07-20</t>
  </si>
  <si>
    <t>E257415 -&gt; 120</t>
  </si>
  <si>
    <t>Osoyoos Canada Customs</t>
  </si>
  <si>
    <t>119.4625 W, 49 N, Elev. 308 m</t>
  </si>
  <si>
    <t>2004-11-25 to 2012-09-09</t>
  </si>
  <si>
    <t>E244775 -&gt; 345</t>
  </si>
  <si>
    <t>Osoyoos Shaw Gardens</t>
  </si>
  <si>
    <t>119.4688889 W, 49.03222222 N, Elev. 297 m</t>
  </si>
  <si>
    <t>2001-08-15 to 2002-09-10</t>
  </si>
  <si>
    <t>E304453 -&gt; 540</t>
  </si>
  <si>
    <t>Peace Valley Attachie Flat Upper Terrace_60 -&gt; Peace Valley Attachie Flat Upper Terrace</t>
  </si>
  <si>
    <t>121.41944 W, 56.231213 N, Elev. 480 m</t>
  </si>
  <si>
    <t>Air Pressure (Point)|Relative Humidity|Relative Humidity (Point)|Temperature (Mean)|Wind Speed (Point)</t>
  </si>
  <si>
    <t>0770703 -&gt; 107</t>
  </si>
  <si>
    <t>Pine River Gas Plant</t>
  </si>
  <si>
    <t>121.9208333 W, 55.575 N, Elev. 1113 m</t>
  </si>
  <si>
    <t>2001-08-24 to 2025-07-20</t>
  </si>
  <si>
    <t>E237631 -&gt; 110</t>
  </si>
  <si>
    <t>Pine River Hasler</t>
  </si>
  <si>
    <t>121.9722222 W, 55.60555556 N, Elev. 610 m</t>
  </si>
  <si>
    <t>M110510 -&gt; T016</t>
  </si>
  <si>
    <t>Pitt Meadows -&gt; Pitt Meadows Airport</t>
  </si>
  <si>
    <t>122.7166667 W, 49.21666667 N, Elev. 3 m -&gt; 122.706110 W, 49.209440 N, Elev. 15 m</t>
  </si>
  <si>
    <t>1986-06-04 to 1996-03-06</t>
  </si>
  <si>
    <t>Attribution, ID, Location, Missing Data (Differs from 12562)</t>
  </si>
  <si>
    <t>E232244 -&gt; T020</t>
  </si>
  <si>
    <t>Pitt Meadows Meadowlands School</t>
  </si>
  <si>
    <t xml:space="preserve">122.7089 W, 49.2453 N, Elev. 20 m -&gt; 122.7089 W, 49.2453 N, Elev. 4 m </t>
  </si>
  <si>
    <t>E273483 -&gt; 263</t>
  </si>
  <si>
    <t>Port Alberni Elementary</t>
  </si>
  <si>
    <t>124.806628 W, 49.261014 N, Elev. 21 m</t>
  </si>
  <si>
    <t>2012-10-12 to 2025-07-20</t>
  </si>
  <si>
    <t>M103335 -&gt; 298</t>
  </si>
  <si>
    <t>Port Alberni Met</t>
  </si>
  <si>
    <t>124.8013889 W, 49.24555556 N, Elev. 51 m</t>
  </si>
  <si>
    <t>1989-02-07 to 1995-06-21</t>
  </si>
  <si>
    <t>E234430 -&gt; 114</t>
  </si>
  <si>
    <t>Port Alice Mill</t>
  </si>
  <si>
    <t>127.4505556 W, 50.38416667 N, Elev. 88 m</t>
  </si>
  <si>
    <t>1998-11-01 to 2009-12-18</t>
  </si>
  <si>
    <t>E243949 -&gt; 325</t>
  </si>
  <si>
    <t>Port Edward Mill</t>
  </si>
  <si>
    <t>130.2922222 W, 54.23361111 N, Elev. 30 m</t>
  </si>
  <si>
    <t>2001-05-20 to 2004-10-25</t>
  </si>
  <si>
    <t>E226338 -&gt; 117</t>
  </si>
  <si>
    <t>Port Mellon</t>
  </si>
  <si>
    <t>123.4822222 W, 49.52277778 N, Elev. 3 m</t>
  </si>
  <si>
    <t>2009-01-01 to 2025-07-17</t>
  </si>
  <si>
    <t>Attribution, ID, Name</t>
  </si>
  <si>
    <t>0310162 -&gt; T009</t>
  </si>
  <si>
    <t>Port Moody Rocky Point Park -&gt; Port Moody</t>
  </si>
  <si>
    <t>122.8492 W, 49.2808 N, Elev. 15 m</t>
  </si>
  <si>
    <t>E307124 -&gt; 521</t>
  </si>
  <si>
    <t>Pouce Coupe 200 Road BCOGC CAMEL</t>
  </si>
  <si>
    <t>120.132649 W, 55.634323 N, Elev. 833 m</t>
  </si>
  <si>
    <t>2017-06-20 to 2018-05-28</t>
  </si>
  <si>
    <t>Relative Humidity (Point)|Temperature (Mean)</t>
  </si>
  <si>
    <t>E271963 -&gt; 122</t>
  </si>
  <si>
    <t>Powell River James Thomson School</t>
  </si>
  <si>
    <t>124.5624 W, 49.889299 N, Elev. 125 m</t>
  </si>
  <si>
    <t>2019-01-09 to 2025-01-26</t>
  </si>
  <si>
    <t>E238705 -&gt; 126</t>
  </si>
  <si>
    <t>Powell River Pacifica</t>
  </si>
  <si>
    <t>124.5555556 W, 49.87416667 N, Elev. 45 m</t>
  </si>
  <si>
    <t>2000-07-19 to 2023-08-02</t>
  </si>
  <si>
    <t>E293670 -&gt;280</t>
  </si>
  <si>
    <t>Prince George Exploration Place</t>
  </si>
  <si>
    <t>122.734049 W, 53.905139 N, Elev. 576 m</t>
  </si>
  <si>
    <t>2013-07-07 to 2025-07-20</t>
  </si>
  <si>
    <t>M109940 -&gt; 403</t>
  </si>
  <si>
    <t>Prince George Foreman Flats</t>
  </si>
  <si>
    <t>122.6827778 W, 53.93333333 N, Elev. 578 m</t>
  </si>
  <si>
    <t>1985-01-17 to 1989-09-05</t>
  </si>
  <si>
    <t>ID, Location</t>
  </si>
  <si>
    <t>0450270 -&gt; 136</t>
  </si>
  <si>
    <t>Prince George Gladstone School</t>
  </si>
  <si>
    <t>122.7613889 W, 53.85805556 N, Elev. 583 m -&gt; 122.7633 W, 53.8592 N, Elev. 583 m</t>
  </si>
  <si>
    <t>2005-07-21 to 2015-11-12</t>
  </si>
  <si>
    <t>E224014 -&gt; 138</t>
  </si>
  <si>
    <t>Prince George Glenview School</t>
  </si>
  <si>
    <t>122.7761111 W, 53.99555556 N, Elev. 750 m</t>
  </si>
  <si>
    <t>1996-12-11 to 2025-07-20</t>
  </si>
  <si>
    <t>M109915 -&gt; 405</t>
  </si>
  <si>
    <t>Prince George Jail</t>
  </si>
  <si>
    <t>122.7133333 W, 53.90694444 N, Elev. 623 m</t>
  </si>
  <si>
    <t>1984-12-18 to 1987-06-16</t>
  </si>
  <si>
    <t>M109943 -&gt; 406</t>
  </si>
  <si>
    <t>Prince George Lakewood</t>
  </si>
  <si>
    <t>122.7961111 W, 53.91527778 N, Elev. 584 m</t>
  </si>
  <si>
    <t>1984-12-17 to 1987-06-16</t>
  </si>
  <si>
    <t>ID Location</t>
  </si>
  <si>
    <t>E278829 -&gt; 233</t>
  </si>
  <si>
    <t>Prince George Marsulex Met</t>
  </si>
  <si>
    <t>122.6672222 W, 53.845 N, Elev. 535 m -&gt; 122.6908 N, 53.9675 W, Elev. 577 m</t>
  </si>
  <si>
    <t>2009-02-18 to 2025-01-03</t>
  </si>
  <si>
    <t>Relative Humidity|Relative Humidity (Point)|Temperature (Mean)|Wind Direction (Point)</t>
  </si>
  <si>
    <t>M109913 -&gt; 142</t>
  </si>
  <si>
    <t>Prince George Northwood</t>
  </si>
  <si>
    <t>122.6908333 W, 53.9675 N, Elev. 577 m</t>
  </si>
  <si>
    <t>1987-06-18 to 2013-10-09</t>
  </si>
  <si>
    <t>0450307 -&gt; 144</t>
  </si>
  <si>
    <t>Prince George Plaza 400</t>
  </si>
  <si>
    <t>122.74194 W, 53.91472 N, Elev. 588 m</t>
  </si>
  <si>
    <t>Data should be concatenated into one record</t>
  </si>
  <si>
    <t>M109912 -&gt; 144</t>
  </si>
  <si>
    <t>122.7411111 W, 53.91333333 N, Elev. 595 m</t>
  </si>
  <si>
    <t>1984-12-17 to 2009-07-01</t>
  </si>
  <si>
    <t>M109914 -&gt; 146</t>
  </si>
  <si>
    <t>Prince George Pulp</t>
  </si>
  <si>
    <t>122.6861111 W, 53.92444444 N, Elev. 600 m</t>
  </si>
  <si>
    <t>1987-06-23 to 2025-07-20</t>
  </si>
  <si>
    <t>M109946 -&gt; 408</t>
  </si>
  <si>
    <t>Prince George Van Bien</t>
  </si>
  <si>
    <t>122.7602778 W, 53.88916667 N, Elev. 594 m</t>
  </si>
  <si>
    <t>1985-01-21 to 1989-08-17</t>
  </si>
  <si>
    <t>M106037 -&gt; 326</t>
  </si>
  <si>
    <t>Prince Rupert</t>
  </si>
  <si>
    <t>130.2888889 W, 54.23222222 N, Elev. 35 m</t>
  </si>
  <si>
    <t>1990-10-03 to 1996-09-15</t>
  </si>
  <si>
    <t>E231838 -&gt; 327</t>
  </si>
  <si>
    <t>Prince Rupert Galloway Rapids</t>
  </si>
  <si>
    <t>130.2680556 W, 54.25972222 N, Elev. 1 m -&gt; 130.2889 W, 54.2322 N, Elev. 1 m</t>
  </si>
  <si>
    <t>2001-05-11 to 2004-03-01</t>
  </si>
  <si>
    <t>E288469 -&gt; 425</t>
  </si>
  <si>
    <t>Prince Rupert Roosevelt Park School Met_60 -&gt; Prince Rupert Roosevelt Park School</t>
  </si>
  <si>
    <t>130.3269 W, 54.3064 N, Elev. 80 m</t>
  </si>
  <si>
    <t>2012-06-17 to 2025-07-20</t>
  </si>
  <si>
    <t>M102039 -&gt; 300</t>
  </si>
  <si>
    <t>Qualicum Beach</t>
  </si>
  <si>
    <t>124.4444444 W, 49.34722222 N, Elev. 57 m</t>
  </si>
  <si>
    <t>1994-02-18 to 1997-08-01</t>
  </si>
  <si>
    <t>E233625 -&gt; 150</t>
  </si>
  <si>
    <t>Qualicum Beach Jones Street</t>
  </si>
  <si>
    <t>124.4516667 W, 49.33861111 N, Elev. 98 m</t>
  </si>
  <si>
    <t>1999-01-07 to 2012-11-26</t>
  </si>
  <si>
    <t>M111073 -&gt; 153</t>
  </si>
  <si>
    <t>Quesnel CP</t>
  </si>
  <si>
    <t>122.4883333 W, 52.99194444 N, Elev. 488 m</t>
  </si>
  <si>
    <t>1991-06-18 to 2022-09-11</t>
  </si>
  <si>
    <t>M111065 -&gt; 155</t>
  </si>
  <si>
    <t>Quesnel Linden</t>
  </si>
  <si>
    <t>122.5038889 W, 53.01 N, Elev. 543 m</t>
  </si>
  <si>
    <t>1990-02-05 to 2015-02-06</t>
  </si>
  <si>
    <t>E208096 -&gt; 158</t>
  </si>
  <si>
    <t>Quesnel Senior Secondary</t>
  </si>
  <si>
    <t>122.4922222 W, 52.98222222 N, Elev. 500 m</t>
  </si>
  <si>
    <t>2007-05-09 to 2019-06-25</t>
  </si>
  <si>
    <t>E226268 -&gt; 390</t>
  </si>
  <si>
    <t>Quick Mobile</t>
  </si>
  <si>
    <t>126.8511111 W, 54.62138889 N, Elev. 552 m</t>
  </si>
  <si>
    <t>1997-05-12 to 1998-06-01</t>
  </si>
  <si>
    <t>E248021 -&gt; 162</t>
  </si>
  <si>
    <t>Revelstoke Mt Begbie School</t>
  </si>
  <si>
    <t>118.1883333 W, 50.98722222 N, Elev. 1500 m</t>
  </si>
  <si>
    <t>2002-09-24 to 2012-07-25</t>
  </si>
  <si>
    <t>E207417 -&gt; T17</t>
  </si>
  <si>
    <t>123.1083 W, 49.1414 N, Elev. 15 m</t>
  </si>
  <si>
    <t>M101110 -&gt; 302</t>
  </si>
  <si>
    <t>Saturna Met</t>
  </si>
  <si>
    <t>123.17 W, 48.77444444 N, Elev. 445 m</t>
  </si>
  <si>
    <t>1985-07-11 to 1995-09-26</t>
  </si>
  <si>
    <t>M101005 -&gt; 303</t>
  </si>
  <si>
    <t>Saturna Pike</t>
  </si>
  <si>
    <t>123.17 W, 48.77444444 N, Elev. 478 m</t>
  </si>
  <si>
    <t>1992-10-08 to 2002-01-04</t>
  </si>
  <si>
    <t>M115024 -&gt; 366</t>
  </si>
  <si>
    <t>Skookumchuck</t>
  </si>
  <si>
    <t>115.7458333 W, 49.83694444 N, Elev. 783 m</t>
  </si>
  <si>
    <t>1987-11-10 to 2005-07-19</t>
  </si>
  <si>
    <t>Consider Deleting - data is not worth keeping</t>
  </si>
  <si>
    <t>E254190 -&gt; 543</t>
  </si>
  <si>
    <t>Skookumchuck Farstad Way</t>
  </si>
  <si>
    <t>115.755613 W, 49.905404 N, Elev. 746 m</t>
  </si>
  <si>
    <t>2018-02-09 to 2025-06-29</t>
  </si>
  <si>
    <t>E315110 -&gt; 563</t>
  </si>
  <si>
    <t>Smithers Muheim Memorial</t>
  </si>
  <si>
    <t>127.168542 W, 54.7784861 N, Elev. 496 m</t>
  </si>
  <si>
    <t>2019-02-01 to 2025-07-20</t>
  </si>
  <si>
    <t>E206589 -&gt; 171</t>
  </si>
  <si>
    <t>Smithers St Josephs</t>
  </si>
  <si>
    <t>127.177324 W, 54.783308 N, Elev. 495 m</t>
  </si>
  <si>
    <t>2009-01-01 to 2018-12-07</t>
  </si>
  <si>
    <t>Concatenate with 12283 and delete</t>
  </si>
  <si>
    <t>M107005 -&gt; 171</t>
  </si>
  <si>
    <t>127.1775 W, 54.78305556 N, Elev. 481 m</t>
  </si>
  <si>
    <t>1994-11-22 to 2009-07-01</t>
  </si>
  <si>
    <t>E206589_171 Smithers St Jo</t>
  </si>
  <si>
    <t>Sooke Dam FWx - Smithers st jo</t>
  </si>
  <si>
    <t>2018-11-22 to 2018-12-07</t>
  </si>
  <si>
    <t>Relative Humidity (Point)|Temperature (Mean)|Wind Direction (Point)</t>
  </si>
  <si>
    <t>Check for overlaping records with 12545, If data for 2017 - 202010 the same, the concatenate the records and then delete this station.  If not then delete this station completely</t>
  </si>
  <si>
    <t>E309527 -&gt; 517</t>
  </si>
  <si>
    <t>Sooke Dam FWx -&gt; Fort St John North Camp</t>
  </si>
  <si>
    <t>2017-01-01 to 2025-07-05</t>
  </si>
  <si>
    <t>Confirm data time series overlap with 12568.  If data time series is the same then delete 12568, if not then concatenate with 12568 into the Additional PRPA station (ENV Native ID 547) and delete.</t>
  </si>
  <si>
    <t>E312331 - Prince Rupert Fairview</t>
  </si>
  <si>
    <t>Sooke Dam FWx - Prince rupert Fairview</t>
  </si>
  <si>
    <t>2017-07-26 to 2025-07-20</t>
  </si>
  <si>
    <t>ID, Name, Locaiton</t>
  </si>
  <si>
    <t>E316070 -&gt; 564</t>
  </si>
  <si>
    <t xml:space="preserve">Sooke Dam FWx -&gt; Crofton Elementary </t>
  </si>
  <si>
    <t>123.700556 W, 48.516111 N, Elev. 180 m  -&gt; 123.64388889 W, 48.86 N, Elev. 38 m</t>
  </si>
  <si>
    <t>2019-06-10 to 2025-07-20</t>
  </si>
  <si>
    <t>Fort St John 85th Avenue</t>
  </si>
  <si>
    <t>M110511</t>
  </si>
  <si>
    <t>South Langley Met</t>
  </si>
  <si>
    <t>122.5611111 W, 49.00416667 N, Elev. 80 m</t>
  </si>
  <si>
    <t>1985-06-19 to 1993-12-23</t>
  </si>
  <si>
    <t>M104270 -&gt; 173</t>
  </si>
  <si>
    <t>Squamish</t>
  </si>
  <si>
    <t>123.1536111 W, 49.7 N, Elev. 10 m</t>
  </si>
  <si>
    <t>1985-05-30 to 2010-02-01</t>
  </si>
  <si>
    <t>E304570 -&gt; 493</t>
  </si>
  <si>
    <t>Squamish Elementary</t>
  </si>
  <si>
    <t>123.15133 W, 49.70516 N, Elev. 6 m</t>
  </si>
  <si>
    <t>2015-12-17 to 2025-07-20</t>
  </si>
  <si>
    <t>E292249 -&gt;435</t>
  </si>
  <si>
    <t>Stewart Youth Centre Met_60</t>
  </si>
  <si>
    <t>129.985 W, 55.9381 N, Elev. 13 m</t>
  </si>
  <si>
    <t>2013-03-12 to 2023-04-07</t>
  </si>
  <si>
    <t>M110512</t>
  </si>
  <si>
    <t>Sumas</t>
  </si>
  <si>
    <t>122.1597222 W, 49.03472222 N, Elev. 6 m</t>
  </si>
  <si>
    <t>1985-06-27 to 1987-03-24</t>
  </si>
  <si>
    <t>Attribution, Missing Data</t>
  </si>
  <si>
    <t>E206271 -&gt; T015</t>
  </si>
  <si>
    <t>122.6942 W, 49.1328 N, Elev. 79 m</t>
  </si>
  <si>
    <t>M110513</t>
  </si>
  <si>
    <t>Surrey Echo</t>
  </si>
  <si>
    <t>122.7975 W, 49.18972222 N, Elev. 82 m</t>
  </si>
  <si>
    <t>1985-05-30 to 1996-03-11</t>
  </si>
  <si>
    <t>E304685 -&gt;499</t>
  </si>
  <si>
    <t>Taylor Lone Wolf Golf Course</t>
  </si>
  <si>
    <t>120.67594 W, 56.16013 N, Elev. 488 m</t>
  </si>
  <si>
    <t>2016-01-26 to 2018-03-06</t>
  </si>
  <si>
    <t>E234230 -&gt;176</t>
  </si>
  <si>
    <t>Taylor South Hill</t>
  </si>
  <si>
    <t>120.6633333 W, 56.10583333 N, Elev. 686 m</t>
  </si>
  <si>
    <t>2000-07-18 to 2025-07-20</t>
  </si>
  <si>
    <t>0770708 -&gt; 179</t>
  </si>
  <si>
    <t>Taylor Townsite</t>
  </si>
  <si>
    <t>120.6861111 W, 56.15083333 N, Elev. 480 m</t>
  </si>
  <si>
    <t>2000-07-25 to 2025-07-20</t>
  </si>
  <si>
    <t>E230557 -&gt; 213</t>
  </si>
  <si>
    <t>Telkwa</t>
  </si>
  <si>
    <t>127.0547222 W, 54.69111111 N, Elev. 510 m</t>
  </si>
  <si>
    <t>1998-02-05 to 2025-07-20</t>
  </si>
  <si>
    <t>M107028 -&gt; 185</t>
  </si>
  <si>
    <t>Terrace BC Access Centre</t>
  </si>
  <si>
    <t>128.5975 W, 54.51833333 N, Elev. 80 m</t>
  </si>
  <si>
    <t>1996-11-07 to 2015-05-06</t>
  </si>
  <si>
    <t>E300350 -&gt;473</t>
  </si>
  <si>
    <t>Terrace Skeena Middle School</t>
  </si>
  <si>
    <t>128.6075 W, 54.52167 N, Elev. 81 m</t>
  </si>
  <si>
    <t>2015-01-13 to 2025-07-20</t>
  </si>
  <si>
    <t>CLOSED - Possibly Trail Butler park pre 2010</t>
  </si>
  <si>
    <t>M114902</t>
  </si>
  <si>
    <t>Trail</t>
  </si>
  <si>
    <t>117.6955556 W, 49.09555556 N, Elev. 977 m</t>
  </si>
  <si>
    <t>1985-10-17 to 2009-07-01</t>
  </si>
  <si>
    <t>0250009 -&gt;189</t>
  </si>
  <si>
    <t>Trail Butler Park</t>
  </si>
  <si>
    <t>117.697828 W, 49.096218 N, Elev. 422 m</t>
  </si>
  <si>
    <t>E237758 -&gt;192</t>
  </si>
  <si>
    <t>Trail Columbia Gardens Airport</t>
  </si>
  <si>
    <t>117.6072222 W, 49.04472222 N, Elev. 418 m</t>
  </si>
  <si>
    <t>1999-07-07 to 2020-05-30</t>
  </si>
  <si>
    <t>E282169 -&gt; 266</t>
  </si>
  <si>
    <t>Ucluelet Amphitrite Point</t>
  </si>
  <si>
    <t>125.541209 W, 48.921799 N, Elev. 14 m</t>
  </si>
  <si>
    <t>2010-09-25 to 2017-07-20</t>
  </si>
  <si>
    <t>E274205</t>
  </si>
  <si>
    <t>Valemount Courthouse</t>
  </si>
  <si>
    <t>119.2680556 W, 52.83305556 N, Elev. 792 m</t>
  </si>
  <si>
    <t>2008-12-05 to 2019-04-21</t>
  </si>
  <si>
    <t>E234293 -&gt; 209</t>
  </si>
  <si>
    <t>Valemount Firehall -&gt; Valemount</t>
  </si>
  <si>
    <t>119.269821 W, 52.832459 N, Elev. 800 m</t>
  </si>
  <si>
    <t>E316370 -&gt; T050</t>
  </si>
  <si>
    <t>Vancouver Clark Drive</t>
  </si>
  <si>
    <t>Attribution, ID, Name, Missing Data</t>
  </si>
  <si>
    <t>E232246 -&gt; T031</t>
  </si>
  <si>
    <t>Vancouver International Airport #2 -&gt; Richmond Airport</t>
  </si>
  <si>
    <t>123.1522 W, 49.1864 N, Elev. 10 m</t>
  </si>
  <si>
    <t>E269223 -&gt; 207</t>
  </si>
  <si>
    <t>Vanderhoof Courthouse</t>
  </si>
  <si>
    <t>124.0061111 W, 54.01638889 N, Elev. 638 m</t>
  </si>
  <si>
    <t>2007-10-05 to 2025-07-20</t>
  </si>
  <si>
    <t>E249492 -&gt; 194</t>
  </si>
  <si>
    <t>Vernon Science Centre</t>
  </si>
  <si>
    <t>119.2702778 W, 50.26083333 N, Elev. 385 m</t>
  </si>
  <si>
    <t>2003-11-27 to 2025-07-20</t>
  </si>
  <si>
    <t>E260701 -&gt; 203</t>
  </si>
  <si>
    <t>Victoria Christopher Point</t>
  </si>
  <si>
    <t>123.5641667 W, 48.30972222 N, Elev. 2 m</t>
  </si>
  <si>
    <t>2007-01-23 to 2009-02-12</t>
  </si>
  <si>
    <t>0110031 -&gt; 205</t>
  </si>
  <si>
    <t>Victoria Royal Roads University</t>
  </si>
  <si>
    <t>123.4686111 W, 48.43 N, Elev. 1 m</t>
  </si>
  <si>
    <t>1998-03-12 to 2009-01-19</t>
  </si>
  <si>
    <t>E231866 -&gt; 8</t>
  </si>
  <si>
    <t>Victoria Topaz</t>
  </si>
  <si>
    <t>123.3630556 W, 48.44194444 N, Elev. 31 m</t>
  </si>
  <si>
    <t>2001-10-19 to 2025-07-20</t>
  </si>
  <si>
    <t>0260011 -&gt;196</t>
  </si>
  <si>
    <t xml:space="preserve">Warfield -&gt; Warfield Elementary </t>
  </si>
  <si>
    <t>117.7469444 W, 49.09527778 N, Elev. 604 m</t>
  </si>
  <si>
    <t>2005-01-12 to 2023-03-12</t>
  </si>
  <si>
    <t>M109011 -&gt; 377</t>
  </si>
  <si>
    <t>Wells</t>
  </si>
  <si>
    <t>121.5786111 W, 53.09833333 N, Elev. 1207 m</t>
  </si>
  <si>
    <t>1990-07-25 to 1991-10-08</t>
  </si>
  <si>
    <t>E248623 -&gt; 199</t>
  </si>
  <si>
    <t>Williams Lake Canadian Tire</t>
  </si>
  <si>
    <t>122.1313889 W, 52.1175 N, Elev. 578 m</t>
  </si>
  <si>
    <t>2002-06-13 to 2018-09-24</t>
  </si>
  <si>
    <t>0550502 -&gt; 549</t>
  </si>
  <si>
    <t>Williams Lake Columneetza School</t>
  </si>
  <si>
    <t>122.150391 W, 52.14428 N, Elev. 631 m</t>
  </si>
  <si>
    <t>Delete - covered elsewhere</t>
  </si>
  <si>
    <t>Prince George Hwy 16/97 MAML</t>
  </si>
  <si>
    <t>Delete Reference to 2612</t>
  </si>
  <si>
    <t>-&gt; MVRD</t>
  </si>
  <si>
    <t>-&gt; T051</t>
  </si>
  <si>
    <t>-&gt; Agassiz - Centential Park</t>
  </si>
  <si>
    <t>-&gt; 121.7748 W, 49.2384 N, Elev. 23 m</t>
  </si>
  <si>
    <t>T051</t>
  </si>
  <si>
    <t>Agassiz - Centential Park</t>
  </si>
  <si>
    <t>MVRD</t>
  </si>
  <si>
    <t>AQ</t>
  </si>
  <si>
    <t>-&gt; T039</t>
  </si>
  <si>
    <t>-&gt; 123.082 W, 49.0099 N, Elev 52 m</t>
  </si>
  <si>
    <t>Additional (see stations 12568 and 12442</t>
  </si>
  <si>
    <t>-&gt; PRPA</t>
  </si>
  <si>
    <t>-&gt; 547</t>
  </si>
  <si>
    <t>-&gt;Prince Rupert Fairview</t>
  </si>
  <si>
    <t>-&gt; 130.352188 W, 54.292615 N, Elev. 15 m</t>
  </si>
  <si>
    <t>BC-Snow -&gt; RT</t>
  </si>
  <si>
    <t>1B01P</t>
  </si>
  <si>
    <t>126.417 W, 53.733 N, Elev. 1490 m</t>
  </si>
  <si>
    <t>1992-04-05 to 2020-07-03</t>
  </si>
  <si>
    <t>Precipitation 1hr|Precipitation Amount|Precipitation Climatology|Snow Water Equivalent|Snowfall Amount|Temperature (Max.)|Temperature (Mean)|Temperature (Min.)|Temperature Climatology (Max.)|Temperature Climatology (Mean)|Temperature Climatology (Min.)</t>
  </si>
  <si>
    <t>1B08P</t>
  </si>
  <si>
    <t>Mt. Pondosy</t>
  </si>
  <si>
    <t>126.867 W, 53.167 N, Elev. 1400 m</t>
  </si>
  <si>
    <t>1992-04-05 to 2020-10-01</t>
  </si>
  <si>
    <t>1B02P</t>
  </si>
  <si>
    <t>127.633333 W, 53.5667 N, Elev. 1300 m</t>
  </si>
  <si>
    <t>-&gt; BCH-GSO-HMP</t>
  </si>
  <si>
    <t>-&gt; ALM</t>
  </si>
  <si>
    <t>-&gt; Alouette Dam East Embankment</t>
  </si>
  <si>
    <t>-&gt; 122.485421 W, 49.285665 N, Elev. 129 m</t>
  </si>
  <si>
    <t>ALM</t>
  </si>
  <si>
    <t>Alouette Dam East Embankment</t>
  </si>
  <si>
    <t>BCH/GSO-HMP</t>
  </si>
  <si>
    <t>BCH-GSO-HMP</t>
  </si>
  <si>
    <t>TRZ</t>
  </si>
  <si>
    <t>-&gt; Bridge River below Terzaghi Dam</t>
  </si>
  <si>
    <t>-&gt; 122.1837 W, 50.9724 N, Elev. 558 m</t>
  </si>
  <si>
    <t>2021-04-03 to 2025-07-15</t>
  </si>
  <si>
    <t>Temperature (Max.)|Temperature (Min.)|Temperature (Point)</t>
  </si>
  <si>
    <t>Bridge River below Terxaghi Dam</t>
  </si>
  <si>
    <t>GLD2</t>
  </si>
  <si>
    <t>-&gt; Gold River Below Ucona River</t>
  </si>
  <si>
    <t>0 W, null N, Elev. null m -&gt; 126.109 W, 49.70496 N, Elev. 10 m</t>
  </si>
  <si>
    <t>2022-02-16 to 2025-07-15</t>
  </si>
  <si>
    <t>Precipitation Amount|Temperature (Max.)|Temperature (Min.)|Temperature (Point)</t>
  </si>
  <si>
    <t>Gold River below Ucona River</t>
  </si>
  <si>
    <t>WLU</t>
  </si>
  <si>
    <t>-&gt; Wahleach Lake Upper</t>
  </si>
  <si>
    <t>0 W, null N, Elev. null m -&gt; 121.579883 W. 49.23275 N, Elev. 1480 m</t>
  </si>
  <si>
    <t>2021-04-10 to 2025-06-30</t>
  </si>
  <si>
    <t>Snow Water Equivalent|Temperature (Max.)|Temperature (Min.)|Temperature (Point)</t>
  </si>
  <si>
    <t>Wahleach Lake Upper</t>
  </si>
  <si>
    <t>85A</t>
  </si>
  <si>
    <t>85th Ave -&gt; 85th Avenue</t>
  </si>
  <si>
    <t>120.854 W, 56.232 N, Elev. 686 m</t>
  </si>
  <si>
    <t>2017-01-01 to 2020-07-01</t>
  </si>
  <si>
    <t>Wind Direction (Mean)|Wind Speed (Mean)</t>
  </si>
  <si>
    <t>STC9 -??&gt; 85A</t>
  </si>
  <si>
    <t>85 Avenue -&gt; 85th Avenue</t>
  </si>
  <si>
    <t>BCH/SITEC</t>
  </si>
  <si>
    <t>AKN</t>
  </si>
  <si>
    <t>Aiken Lake</t>
  </si>
  <si>
    <t>125.7416667 W, 56.43666667 N, Elev. 970 m</t>
  </si>
  <si>
    <t>1960-01-02 to 2025-07-15</t>
  </si>
  <si>
    <t>Precipitation Amount|Precipitation Climatology|Snow Water Equivalent|Surface Snow Depth (Point)|Temperature (Max.)|Temperature (Min.)|Temperature (Point)|Temperature Climatology (Max.)|Temperature Climatology (Mean)|Temperature Climatology (Min.)</t>
  </si>
  <si>
    <t>AKI</t>
  </si>
  <si>
    <t>Akie nr the 760m contour -&gt; Aike River near the 760 m contour</t>
  </si>
  <si>
    <t>124.8955556 W, 57.18833333 N, Elev. 760 m -&gt; 124.904244 W, 57.1911917 N, Elev. 760 m</t>
  </si>
  <si>
    <t>1982-10-16 to 2025-07-15</t>
  </si>
  <si>
    <t>Precipitation Amount|Precipitation Climatology|Temperature (Max.)|Temperature (Min.)|Temperature (Point)|Temperature Climatology (Max.)|Temperature Climatology (Mean)|Temperature Climatology (Min.)</t>
  </si>
  <si>
    <t>Akie River near the 760 m contour</t>
  </si>
  <si>
    <t>ALU</t>
  </si>
  <si>
    <t>Alouette Lake forebay -&gt; Alouette Lake Forebay</t>
  </si>
  <si>
    <t xml:space="preserve">122.4862139 W, 49.28744167 N, Elev. 125 m -&gt; 122.483436  W, 49.28744167 N, Elev. 125 m  </t>
  </si>
  <si>
    <t>Precipitation Amount|Temperature (Max.)|Temperature (Min.)|Temperature (Point)|Temperature Climatology (Max.)|Temperature Climatology (Mean)|Temperature Climatology (Min.)</t>
  </si>
  <si>
    <t>Alouette Lake Forebay</t>
  </si>
  <si>
    <t>AFL</t>
  </si>
  <si>
    <t>Attachie Flat Lower Terrace</t>
  </si>
  <si>
    <t>121.424 W, 56.222 N, Elev. 441 m</t>
  </si>
  <si>
    <t>2017-01-01 to 2017-09-06</t>
  </si>
  <si>
    <t>Air Pressure (Point)|Downwelling Longwave Radiation|Downwelling Longwave Radiation - temperature corrected|Downwelling Shortwave Radiation|Relative Humidity (Point)|Snowfall Amount|Soil Heatflux 1|Soil Heatflux 2|Soil Moisture|Soil Temperature (Mean)|Temperature (Point)|Upwelling Longwave Radiation|Upwelling Longwave Radiation - temperature corrected|Upwelling Shortwave Radiation|Wind Direction (Mean)|Wind Speed (Mean)</t>
  </si>
  <si>
    <t>AFU</t>
  </si>
  <si>
    <t>Attachie Flat Upper Terrace</t>
  </si>
  <si>
    <t>121.419 W, 56.231 N, Elev. 479 m</t>
  </si>
  <si>
    <t>Air Pressure (Point)|Downwelling Longwave Radiation|Downwelling Longwave Radiation - temperature corrected|Downwelling Shortwave Radiation|Rainfall Amount|Relative Humidity (Point)|Snowfall Amount|Soil Heatflux 1|Soil Heatflux 2|Soil Moisture|Soil Temperature (Mean)|Temperature (Point)|Upwelling Longwave Radiation|Upwelling Longwave Radiation - temperature corrected|Upwelling Shortwave Radiation|Visibility|Wind Direction (Mean)|Wind Speed (Mean)</t>
  </si>
  <si>
    <t>ATP</t>
  </si>
  <si>
    <t>Attachie Plateau</t>
  </si>
  <si>
    <t>121.466 W, 56.233 N, Elev. 646 m</t>
  </si>
  <si>
    <t>Air Pressure (Point)|Downwelling Shortwave Radiation|Net Radiation|Rainfall Amount|Relative Humidity (Point)|Snowfall Amount|Soil Heatflux 1|Soil Heatflux 2|Soil Moisture|Soil Temperature (Mean)|Temperature (Point)|Wind Direction (Mean)|Wind Speed (Mean)</t>
  </si>
  <si>
    <t>BAR</t>
  </si>
  <si>
    <t>Barnes Ck -&gt; Barnes Creek</t>
  </si>
  <si>
    <t>118.3492167 W, 50.06601667 N, Elev. 1620 m -&gt; 118.351122 W, 50.0685528 W, Elev. 1620 m</t>
  </si>
  <si>
    <t>Precipitation Amount|Precipitation Climatology|Snow Water Equivalent|Temperature (Max.)|Temperature (Min.)|Temperature (Point)|Temperature Climatology (Max.)|Temperature Climatology (Mean)|Temperature Climatology (Min.)</t>
  </si>
  <si>
    <t>Barnes Creek</t>
  </si>
  <si>
    <t>BCK</t>
  </si>
  <si>
    <t>Bear Ck Res. -&gt; Bear Creek Resevoir</t>
  </si>
  <si>
    <t>123.9138889 W, 48.50333333 N, Elev. 419 m -&gt; 123.8964 W, 48.5026778 N, Elev. 419 m</t>
  </si>
  <si>
    <t>1980-10-22 to 2025-07-15</t>
  </si>
  <si>
    <t>Bear Creek Reservoir</t>
  </si>
  <si>
    <t>BEF</t>
  </si>
  <si>
    <t>Bear Flat</t>
  </si>
  <si>
    <t>121.213 W, 56.275 N, Elev. 475 m</t>
  </si>
  <si>
    <t>BVR</t>
  </si>
  <si>
    <t>Beaver R. nr the Mouth -&gt; Beaver River near the Mouth</t>
  </si>
  <si>
    <t>117.4616667 W, 51.50972222 N, Elev. 780 m</t>
  </si>
  <si>
    <t>1985-01-02 to 2021-12-14</t>
  </si>
  <si>
    <t>BLO</t>
  </si>
  <si>
    <t>Bralorne</t>
  </si>
  <si>
    <t>122.788819444444 W, 50.7751888888889 N, Elev. 1382 m</t>
  </si>
  <si>
    <t>2022-10-15 to 2025-07-15</t>
  </si>
  <si>
    <t>Precipitation Amount|Snow Water Equivalent|Surface Snow Depth (Point)|Temperature (Max.)|Temperature (Min.)|Temperature (Point)</t>
  </si>
  <si>
    <t>BLN</t>
  </si>
  <si>
    <t>Bralorne Upper</t>
  </si>
  <si>
    <t>122.74525 W, 50.79927778 N, Elev. 1920 m</t>
  </si>
  <si>
    <t>1984-01-02 to 2024-09-13</t>
  </si>
  <si>
    <t>Site CLOSED - Move all data collected post October 1, 2022 to new ENV-ASP site "Breanda Mines" Line 1718</t>
  </si>
  <si>
    <t>BCH-GSO-HMP -&gt; ENV ASP</t>
  </si>
  <si>
    <t>BMN</t>
  </si>
  <si>
    <t>Brenda Mines</t>
  </si>
  <si>
    <t>119.9888889 W, 49.86805556 N, Elev. 1460 m</t>
  </si>
  <si>
    <t>1993-01-27 to 2025-07-15</t>
  </si>
  <si>
    <t>Additional - Responsibility Change - move any data from 2436 collected from Octo0ber 1, 2022 to this site</t>
  </si>
  <si>
    <t>BC-Snow</t>
  </si>
  <si>
    <t>-&gt; 2F18P</t>
  </si>
  <si>
    <t>-&gt; 119.9888889 W, 49.86805556 N, Elev. 1460 m</t>
  </si>
  <si>
    <t>BGP</t>
  </si>
  <si>
    <t>Bridge Glacier Proglacial Lake</t>
  </si>
  <si>
    <t>123.486 W, 50.83149 N, Elev. 1505 m</t>
  </si>
  <si>
    <t>2022-10-01 to 2025-07-15</t>
  </si>
  <si>
    <t>BRI</t>
  </si>
  <si>
    <t>Bridge R. blw Glacier -&gt; Bridge River below Glacier</t>
  </si>
  <si>
    <t>123.4502778 W, 50.85611111 N, Elev. 1350 m</t>
  </si>
  <si>
    <t>1982-01-02 to 2024-10-02</t>
  </si>
  <si>
    <t xml:space="preserve"> Bridge River below Glacier</t>
  </si>
  <si>
    <t>DOW</t>
  </si>
  <si>
    <t>Bridge River above Downton Lake</t>
  </si>
  <si>
    <t>123.203 W, 50.8212 N, Elev. 750 m</t>
  </si>
  <si>
    <t>2017-06-01 to 2024-10-02</t>
  </si>
  <si>
    <t>BUL</t>
  </si>
  <si>
    <t>Bull R. @ Wardner -&gt; Bull River at Wardner</t>
  </si>
  <si>
    <t>115.3638889 W, 49.49305556 N, Elev. 800 m</t>
  </si>
  <si>
    <t>1982-09-05 to 2025-07-15</t>
  </si>
  <si>
    <t>Bull River near Wardner</t>
  </si>
  <si>
    <t>CAC</t>
  </si>
  <si>
    <t>Callaghan Creek</t>
  </si>
  <si>
    <t>123.102889 W, 50.137056 N, Elev. 1017 m</t>
  </si>
  <si>
    <t>CCU</t>
  </si>
  <si>
    <t>Caribou Creek Upper</t>
  </si>
  <si>
    <t>117.228 W, 51.109 N, Elev. 2201 m</t>
  </si>
  <si>
    <t>2018-03-01 to 2025-07-15</t>
  </si>
  <si>
    <t>Precipitation Amount|Snow Water Equivalent|Temperature (Max.)|Temperature (Min.)|Temperature (Point)</t>
  </si>
  <si>
    <t>CHK</t>
  </si>
  <si>
    <t>Cheakamus R. ab Millar Ck -&gt; Cheakumus River above Millar Creek</t>
  </si>
  <si>
    <t>123.0338889 W, 50.07972222 N, Elev. 640 m</t>
  </si>
  <si>
    <t>1960-01-02 to 2024-10-02</t>
  </si>
  <si>
    <t>Cheakumus River above Millar Creek</t>
  </si>
  <si>
    <t>CHW</t>
  </si>
  <si>
    <t>Chowade Upper</t>
  </si>
  <si>
    <t>122.7788667 W, 56.63683333 N, Elev. 1480 m</t>
  </si>
  <si>
    <t>1980-09-15 to 2025-07-15</t>
  </si>
  <si>
    <t>CLO</t>
  </si>
  <si>
    <t>Clowhom Falls</t>
  </si>
  <si>
    <t>123.5222222 W, 49.70833333 N, Elev. 10 m -&gt; 123.5290 W, 49.7109 N, Elev. 10 m</t>
  </si>
  <si>
    <t>CLW</t>
  </si>
  <si>
    <t>Clowhom R. nr Clowhom Lake -&gt; Clowhom River near Clowhom Lake</t>
  </si>
  <si>
    <t>123.4202778 W, 49.78777778 N, Elev. 125 m</t>
  </si>
  <si>
    <t>1993-01-02 to 2024-10-02</t>
  </si>
  <si>
    <t>Clowhom River near Clowhom Lake</t>
  </si>
  <si>
    <t>CPI</t>
  </si>
  <si>
    <t>Colpitti Creek</t>
  </si>
  <si>
    <t>117.611 W, 51.6077 N, Elev. 2131 m</t>
  </si>
  <si>
    <t>BIR</t>
  </si>
  <si>
    <t>Columbia R. @ Birchbank -&gt; Columbia River at Birchbank</t>
  </si>
  <si>
    <t>117.7163889 W, 49.17777778 N, Elev. 410 m</t>
  </si>
  <si>
    <t>1987-05-30 to 2024-09-20</t>
  </si>
  <si>
    <t xml:space="preserve"> Columbia River at Birchbank</t>
  </si>
  <si>
    <t>DON</t>
  </si>
  <si>
    <t>Columbia River at Donald</t>
  </si>
  <si>
    <t>117.181 W, 51.4837 N, Elev. 770 m</t>
  </si>
  <si>
    <t>2017-06-01 to 2025-07-15</t>
  </si>
  <si>
    <t>CMX</t>
  </si>
  <si>
    <t>Comox Dam forebay -&gt; Comox Dam Forebay</t>
  </si>
  <si>
    <t>125.0944444 W, 49.64305556 N, Elev. 135 m -&gt; 125.096111 W, 49.6436556 N, Elev. 138 m</t>
  </si>
  <si>
    <t>Comox Dam Forebay</t>
  </si>
  <si>
    <t>COX</t>
  </si>
  <si>
    <t>Comox Lake @ Courtenay -&gt; Comox Lake at Courtenay</t>
  </si>
  <si>
    <t>125.08 W, 49.64 N, Elev. 140 m</t>
  </si>
  <si>
    <t>1993-03-30 to 2021-12-14</t>
  </si>
  <si>
    <t>CRG</t>
  </si>
  <si>
    <t>Conrad Glacier</t>
  </si>
  <si>
    <t>116.93975 W, 50.812033 N, Elev. 2599 m</t>
  </si>
  <si>
    <t>Surface Snow Depth (Point)|Temperature (Max.)|Temperature (Min.)|Temperature (Point)</t>
  </si>
  <si>
    <t>CDW</t>
  </si>
  <si>
    <t>Coquitlam Dam Climate</t>
  </si>
  <si>
    <t>122.775 W, 49.35415 N, Elev. 152 m</t>
  </si>
  <si>
    <t>2021-10-01 to 2025-07-15</t>
  </si>
  <si>
    <t>COQ</t>
  </si>
  <si>
    <t>Coquitlam Lake forebay</t>
  </si>
  <si>
    <t>122.779625 W, 49.35558611 N, Elev. 160 m</t>
  </si>
  <si>
    <t>1960-01-02 to 2024-09-29</t>
  </si>
  <si>
    <t>CQM</t>
  </si>
  <si>
    <t>Coquitlam R. ab Lake -&gt; Coquitlam River above Lake</t>
  </si>
  <si>
    <t>122.7924861 W, 49.48829444 N, Elev. 290 m</t>
  </si>
  <si>
    <t>CQM2</t>
  </si>
  <si>
    <t>Coquitlam River above Coquitlam Lake 2</t>
  </si>
  <si>
    <t>122.793 W, 49.48778 N, Elev. 290 m</t>
  </si>
  <si>
    <t>CSC</t>
  </si>
  <si>
    <t>Coursier Lake - climate</t>
  </si>
  <si>
    <t>118.1005556 W, 50.72138889 N, Elev. 1265 m</t>
  </si>
  <si>
    <t>1996-09-07 to 2017-05-31</t>
  </si>
  <si>
    <t>Precipitation Amount|Precipitation Climatology|Temperature (Max.)|Temperature (Min.)|Temperature Climatology (Max.)|Temperature Climatology (Mean)|Temperature Climatology (Min.)</t>
  </si>
  <si>
    <t>CRU</t>
  </si>
  <si>
    <t>Cruickshank R. nr the Mouth -&gt; Cruickshank River near the Mouth</t>
  </si>
  <si>
    <t>125.2008333 W, 49.57916667 N, Elev. 150 m</t>
  </si>
  <si>
    <t>1980-10-22 to 2024-09-28</t>
  </si>
  <si>
    <t>CRU2</t>
  </si>
  <si>
    <t>Cruickshank River Near The Mouth 2</t>
  </si>
  <si>
    <t>125.209 W, 49.5784 N, Elev. 150 m</t>
  </si>
  <si>
    <t>CRY</t>
  </si>
  <si>
    <t>Crying Girl Prairie</t>
  </si>
  <si>
    <t>122.893 W, 56.3859 N, Elev. 1358 m</t>
  </si>
  <si>
    <t>DAI</t>
  </si>
  <si>
    <t>Daisy Lake</t>
  </si>
  <si>
    <t>123.135 W, 49.975 N, Elev. 390 m</t>
  </si>
  <si>
    <t>2016-10-01 to 2025-07-15</t>
  </si>
  <si>
    <t>CMS</t>
  </si>
  <si>
    <t>Daisy Lake Dam</t>
  </si>
  <si>
    <t>123.1347222 W, 49.975 N, Elev. 390 m</t>
  </si>
  <si>
    <t>1960-01-02 to 2016-09-30</t>
  </si>
  <si>
    <t>DIK</t>
  </si>
  <si>
    <t>Dickson Lake</t>
  </si>
  <si>
    <t>122.07 W, 49.3167 N, Elev. 1154.901 m</t>
  </si>
  <si>
    <t>2023-12-01 to 2025-07-15</t>
  </si>
  <si>
    <t>DWL</t>
  </si>
  <si>
    <t>Dowling Creek</t>
  </si>
  <si>
    <t>122.436 W, 55.8251 N, Elev. 1456 m</t>
  </si>
  <si>
    <t>DLU</t>
  </si>
  <si>
    <t>Downton Lake Upper</t>
  </si>
  <si>
    <t>123.183 W, 50.8593 N, Elev. 1829 m</t>
  </si>
  <si>
    <t>2016-10-01 to 2025-06-30</t>
  </si>
  <si>
    <t>DCD2</t>
  </si>
  <si>
    <t>Duncan Lake Dam 2</t>
  </si>
  <si>
    <t>116.972 W, 50.2388 N, Elev. 559 m -&gt; 116.971343 W, 50.2387 N, Elev/ 559 m</t>
  </si>
  <si>
    <t xml:space="preserve">Name, ID, </t>
  </si>
  <si>
    <t>DBC -&gt; DBC2?</t>
  </si>
  <si>
    <t>Duncan R. blw BB Ck -&gt; Duncan River Below Blue Berry Creek 2</t>
  </si>
  <si>
    <t>117.0489361 W, 50.63838333 N, Elev. 590 m</t>
  </si>
  <si>
    <t>1960-01-02 to 2024-09-30</t>
  </si>
  <si>
    <t>DBC2 -&gt; DBC?</t>
  </si>
  <si>
    <t>Duncan River below Blue Berry Creek 2</t>
  </si>
  <si>
    <t>DCN</t>
  </si>
  <si>
    <t>Duncan Res. @ Duncan Dam</t>
  </si>
  <si>
    <t>116.9483333 W, 50.255 N, Elev. 580 m</t>
  </si>
  <si>
    <t>1984-08-24 to 2024-09-22</t>
  </si>
  <si>
    <t>EAC</t>
  </si>
  <si>
    <t>East Ck - snowpillow -&gt; East Creek</t>
  </si>
  <si>
    <t>116.9297333 W, 50.6396 N, Elev. 2030 m</t>
  </si>
  <si>
    <t>East Creek</t>
  </si>
  <si>
    <t>ELR</t>
  </si>
  <si>
    <t>Elk R. @ Fernie -&gt; Elk River at Fernie</t>
  </si>
  <si>
    <t>115.07 W, 49.51 N, Elev. 1000 m</t>
  </si>
  <si>
    <t>1982-09-04 to 2019-03-31</t>
  </si>
  <si>
    <t>Name, Location?</t>
  </si>
  <si>
    <t>ELK</t>
  </si>
  <si>
    <t>Elk R. ab Campbell Lk</t>
  </si>
  <si>
    <t>1980-10-18 to 2019-03-31</t>
  </si>
  <si>
    <t>ECL</t>
  </si>
  <si>
    <t>Elk River above Upper Campbell Lake</t>
  </si>
  <si>
    <t>125.8132639 W, 49.85804722 N, Elev. 270 m</t>
  </si>
  <si>
    <t>2020-02-01 to 2025-07-15</t>
  </si>
  <si>
    <t>ASH</t>
  </si>
  <si>
    <t>Elsie Lk forebay -&gt; Elsie Lake Forebay</t>
  </si>
  <si>
    <t>125.1438333 W, 49.44055556 N, Elev. 340 m -&gt; 125.144125 W, 49.44034722 N, Elev. 340 m</t>
  </si>
  <si>
    <t>Elsie Lake Forebay</t>
  </si>
  <si>
    <t>ERC</t>
  </si>
  <si>
    <t>Eric Ck -&gt; Rees Creek</t>
  </si>
  <si>
    <t>125.2881667 W, 49.60536111 N, Elev. 280 m</t>
  </si>
  <si>
    <t>1980-10-22 to 2025-02-11</t>
  </si>
  <si>
    <t>FLC</t>
  </si>
  <si>
    <t>Farrell Creek</t>
  </si>
  <si>
    <t>121.701 W, 56.12 N, Elev. 472 m</t>
  </si>
  <si>
    <t>Air Pressure (Point)|Downwelling Shortwave Radiation|Net Radiation|Relative Humidity (Point)|Snowfall Amount|Soil Heatflux 1|Soil Heatflux 2|Soil Moisture|Soil Temperature (Mean)|Temperature (Point)|Wind Direction (Mean)|Wind Speed (Mean)</t>
  </si>
  <si>
    <t>FAQ</t>
  </si>
  <si>
    <t>Fauquier Water Treatment Plant</t>
  </si>
  <si>
    <t>118.074228 W, 49.864182 N, Elev. 519 m</t>
  </si>
  <si>
    <t>Precipitation Amount|Surface Snow Depth (Point)|Temperature (Max.)|Temperature (Min.)|Temperature (Point)</t>
  </si>
  <si>
    <t>FER</t>
  </si>
  <si>
    <t>Fernie</t>
  </si>
  <si>
    <t>115.073 W, 49.4884 N, Elev. 1101 m</t>
  </si>
  <si>
    <t>PARKS CANADA</t>
  </si>
  <si>
    <t>FDL</t>
  </si>
  <si>
    <t>Fidelty Mtn. -&gt; Fidelity Mountain</t>
  </si>
  <si>
    <t>117.7006167 W, 51.23741667 N, Elev. 1800 m</t>
  </si>
  <si>
    <t>1982-11-05 to 2023-10-17</t>
  </si>
  <si>
    <t>FIN</t>
  </si>
  <si>
    <t>Finlay R. ab Akie R. -&gt; Finlay River above Akie River</t>
  </si>
  <si>
    <t>125.2491667 W, 57.125 N, Elev. 711 m -&gt; 125.2528472 W, 57.12144167 N, Elev. 711 m</t>
  </si>
  <si>
    <t>Finlay River above Akie River</t>
  </si>
  <si>
    <t>FLK</t>
  </si>
  <si>
    <t>Floe Lk</t>
  </si>
  <si>
    <t>116.1371167 W, 51.05991667 N, Elev. 2090 m</t>
  </si>
  <si>
    <t>1993-01-02 to 2025-07-15</t>
  </si>
  <si>
    <t>Floe Lake</t>
  </si>
  <si>
    <t>FLL</t>
  </si>
  <si>
    <t>118.586 W, 52.05381 N, Elev. 577 m</t>
  </si>
  <si>
    <t>2022-07-14 to 2025-07-15</t>
  </si>
  <si>
    <t>FDK</t>
  </si>
  <si>
    <t>Fredrickson Lake</t>
  </si>
  <si>
    <t>126.521 W, 56.94846 N, Elev. 1326 m</t>
  </si>
  <si>
    <t>YGS</t>
  </si>
  <si>
    <t>Germansen Landing</t>
  </si>
  <si>
    <t>124.701 W, 55.7855 N, Elev. 766 m</t>
  </si>
  <si>
    <t>2018-08-01 to 2025-07-15</t>
  </si>
  <si>
    <t>GRP</t>
  </si>
  <si>
    <t>Glacier nr Roger's Pass -&gt; Glacier near Roger's Pass</t>
  </si>
  <si>
    <t>117.5086111 W, 51.26972222 N, Elev. 1182 m -&gt; 117.511008 W, 51.2707222 N, Elev. 1182 m</t>
  </si>
  <si>
    <t>1982-11-03 to 2025-07-15</t>
  </si>
  <si>
    <t>Glacier near Roger's Pass</t>
  </si>
  <si>
    <t>PMD</t>
  </si>
  <si>
    <t>GMS Hudson's Hope</t>
  </si>
  <si>
    <t>122.1835 W, 56.0125 N, Elev. 720 m</t>
  </si>
  <si>
    <t>1985-08-27 to 2024-10-02</t>
  </si>
  <si>
    <t>GOC</t>
  </si>
  <si>
    <t>Gold Ck</t>
  </si>
  <si>
    <t>122.4773611 W, 49.44655556 N, Elev. 794 m</t>
  </si>
  <si>
    <t>Gold Creek</t>
  </si>
  <si>
    <t>GLD</t>
  </si>
  <si>
    <t>Gold R. nr Ucona R. -&gt; Gold River near Ucona River</t>
  </si>
  <si>
    <t>126.1061111 W, 49.70583333 N, Elev. 10 m</t>
  </si>
  <si>
    <t>1993-01-02 to 2024-09-26</t>
  </si>
  <si>
    <t>ADDITIONAL</t>
  </si>
  <si>
    <t>-&gt; GLD 2</t>
  </si>
  <si>
    <t>-&gt; Gold River Below Ucona River 2</t>
  </si>
  <si>
    <t>-&gt; 126.109406 W, 49.7032 N, Elev. 10 m</t>
  </si>
  <si>
    <t>GOL</t>
  </si>
  <si>
    <t>Goldstream R. blw Old Camp Ck - Goldstream River Below Old Camp Creek</t>
  </si>
  <si>
    <t>118.5969944 W, 51.66843056 N, Elev. 600 m</t>
  </si>
  <si>
    <t>1960-01-02 to 2024-10-01</t>
  </si>
  <si>
    <t>GOL2</t>
  </si>
  <si>
    <t>Goldstream River Below Old Camp Creek 2</t>
  </si>
  <si>
    <t>118.596055 W, 51.669195 N, Elev. 617 m</t>
  </si>
  <si>
    <t>GRN</t>
  </si>
  <si>
    <t>Green Mtn.</t>
  </si>
  <si>
    <t>122.9246111 W, 50.79558333 N, Elev. 1780 m</t>
  </si>
  <si>
    <t>1984-10-02 to 2025-07-15</t>
  </si>
  <si>
    <t>Green Mountain</t>
  </si>
  <si>
    <t>HFF</t>
  </si>
  <si>
    <t>Halfway R. @ Farrell Ck -&gt; Halfway River Near Farrell Creek</t>
  </si>
  <si>
    <t>121.6294444 W, 56.25085 N, Elev. 480 m</t>
  </si>
  <si>
    <t>1981-05-09 to 2025-07-15</t>
  </si>
  <si>
    <t>Halfway River near Farrell Creek</t>
  </si>
  <si>
    <t>HFG</t>
  </si>
  <si>
    <t>Halfway River above Graham River</t>
  </si>
  <si>
    <t>122.2410972 W, 56.50833611 N, Elev. 657 m</t>
  </si>
  <si>
    <t>HEB</t>
  </si>
  <si>
    <t>Heber R. nr Gold R. -&gt; Heber River near Gold River</t>
  </si>
  <si>
    <t>125.9863889 W, 49.81527778 N, Elev. 215 m</t>
  </si>
  <si>
    <t>1993-01-02 to 2021-10-31</t>
  </si>
  <si>
    <t>HRN</t>
  </si>
  <si>
    <t>Horn Ck -&gt; Horn Creek</t>
  </si>
  <si>
    <t>123.606 W, 56.73476667 N, Elev. 1450 m</t>
  </si>
  <si>
    <t>1981-01-02 to 2025-07-15</t>
  </si>
  <si>
    <t>Horn Creek</t>
  </si>
  <si>
    <t>HUR</t>
  </si>
  <si>
    <t>Hurley R. ab Lone Goat Ck -&gt; Hurley River above Lone Goat Creek</t>
  </si>
  <si>
    <t>122.9421556 W, 50.73048889 N, Elev. 990 m</t>
  </si>
  <si>
    <t>1984-10-02 to 2024-06-30</t>
  </si>
  <si>
    <t>HUR2</t>
  </si>
  <si>
    <t>Hurley River Below Lone Goat Creek 2</t>
  </si>
  <si>
    <t>122.942242 W, 50.730979 N, Elev. 1012 m -&gt; 122.942242 W, 50.7311 N, Elev. 1012 m</t>
  </si>
  <si>
    <t>2021-09-24 to 2025-07-15</t>
  </si>
  <si>
    <t>ILL</t>
  </si>
  <si>
    <t>Illecilliwaet R. @ Greeley -&gt; Illecilliwaet River at Greeley</t>
  </si>
  <si>
    <t>118.0827333 W, 51.01333056 N, Elev. 500 m</t>
  </si>
  <si>
    <t>1984-10-02 to 2024-09-22</t>
  </si>
  <si>
    <t>Illecilliwaet River at Greeley</t>
  </si>
  <si>
    <t>ING</t>
  </si>
  <si>
    <t>Ingenika R. ab Swannell R. -&gt; Ingenika River above Swannell River</t>
  </si>
  <si>
    <t>125.1030556 W, 56.73055556 N, Elev. 711 m -&gt; 125.1116083 W, 56.72735556 N, Elev. 711 m</t>
  </si>
  <si>
    <t>Ingenika River above Swannell River</t>
  </si>
  <si>
    <t>This is the correct station to use</t>
  </si>
  <si>
    <t>JHL</t>
  </si>
  <si>
    <t>Johanson Lake</t>
  </si>
  <si>
    <t>126.194 W, 56.60542 N, Elev. 1467 m</t>
  </si>
  <si>
    <t>2023-11-01 to 2025-07-15</t>
  </si>
  <si>
    <t>Concatenate data with 13217, then delete</t>
  </si>
  <si>
    <t>2022-06-30 to 2024-01-09</t>
  </si>
  <si>
    <t>JHT</t>
  </si>
  <si>
    <t>John Hart sub-station</t>
  </si>
  <si>
    <t>125.3086111 W, 50.04333333 N, Elev. 15 m</t>
  </si>
  <si>
    <t>1993-06-29 to 2025-07-15</t>
  </si>
  <si>
    <t>John Hart Substation</t>
  </si>
  <si>
    <t>KAA</t>
  </si>
  <si>
    <t>Kaslo Airport</t>
  </si>
  <si>
    <t>116.928277777778 W, 49.90375 N, Elev. 717 m</t>
  </si>
  <si>
    <t>KAZ</t>
  </si>
  <si>
    <t>Kaza Lake</t>
  </si>
  <si>
    <t>126.2975972 W, 56.02119167 N, Elev. 1257 m</t>
  </si>
  <si>
    <t>KEY</t>
  </si>
  <si>
    <t>Keystone Creek</t>
  </si>
  <si>
    <t>118.361 W, 51.4113 N, Elev. 1840 m</t>
  </si>
  <si>
    <t>GRT</t>
  </si>
  <si>
    <t>Kinbasket Lake blw Garrett -&gt; Kinbasket Lake below Garrett</t>
  </si>
  <si>
    <t>117.8783056 W, 51.87705556 N, Elev. 770 m</t>
  </si>
  <si>
    <t>1985-01-02 to 2024-09-22</t>
  </si>
  <si>
    <t>Kinbasket Lake below Garrett</t>
  </si>
  <si>
    <t>FST</t>
  </si>
  <si>
    <t>Kootenay R. @ Fort Steele -&gt; Kootenay River at Fort Steele</t>
  </si>
  <si>
    <t>115.6346111 W, 49.61122778 N, Elev. 770 m</t>
  </si>
  <si>
    <t>1982-11-03 to 2023-10-17</t>
  </si>
  <si>
    <t>Kootenay River at Fort Steele</t>
  </si>
  <si>
    <t>KWA</t>
  </si>
  <si>
    <t>Kwadacha North - snowpillow -&gt; Kawadach North</t>
  </si>
  <si>
    <t>125.0731667 W, 57.62333333 N, Elev. 1554 m</t>
  </si>
  <si>
    <t>1980-09-16 to 2025-07-15</t>
  </si>
  <si>
    <t>Kwadacha North</t>
  </si>
  <si>
    <t>LJU</t>
  </si>
  <si>
    <t>LaJoie Upper</t>
  </si>
  <si>
    <t>123.1835 W, 50.85933333 N, Elev. 1829 m</t>
  </si>
  <si>
    <t>1984-10-02 to 2016-09-30</t>
  </si>
  <si>
    <t>Lajoie Upper</t>
  </si>
  <si>
    <t>LCU</t>
  </si>
  <si>
    <t>Lamont Creek Upper</t>
  </si>
  <si>
    <t>122.314 W, 49.58191 N, Elev. 1208 m</t>
  </si>
  <si>
    <t>2021-04-10 to 2025-07-15</t>
  </si>
  <si>
    <t>Lamont Upper Creek</t>
  </si>
  <si>
    <t>MLP</t>
  </si>
  <si>
    <t>McGillivray Pass</t>
  </si>
  <si>
    <t>122.625375 W, 50.6985555555556 N, Elev. 1718 m</t>
  </si>
  <si>
    <t>MCQ</t>
  </si>
  <si>
    <t>McQue Terrace</t>
  </si>
  <si>
    <t>123.4041667 W, 56.9815 N, Elev. 1200 m</t>
  </si>
  <si>
    <t>1980-09-14 to 2025-07-15</t>
  </si>
  <si>
    <t>MES</t>
  </si>
  <si>
    <t>Mesilinka R. ab Gopherhole Ck -&gt; Mesilinka River above Gopherhole Creek</t>
  </si>
  <si>
    <t>124.6441667 W, 56.245 N, Elev. 728 m</t>
  </si>
  <si>
    <t>1983-09-22 to 2002-12-31</t>
  </si>
  <si>
    <t>Mesilinka River above Gopherhole Creek</t>
  </si>
  <si>
    <t>MIS</t>
  </si>
  <si>
    <t>Mission Ridge</t>
  </si>
  <si>
    <t>122.2076944 W, 50.76255556 N, Elev. 1850 m</t>
  </si>
  <si>
    <t>1984-09-08 to 2025-07-15</t>
  </si>
  <si>
    <t>MOB</t>
  </si>
  <si>
    <t>Moberly R. @ Ft. St. John -&gt; Moberly River near Ft. St. John</t>
  </si>
  <si>
    <t>121.3469444 W, 56.09305556 N, Elev. 600 m -&gt; 121.3471528 W, 56.09306667 W, Elev. 600 m</t>
  </si>
  <si>
    <t>1982-05-26 to 2025-07-15</t>
  </si>
  <si>
    <t>Moberly River near Fort St. John</t>
  </si>
  <si>
    <t>MOL</t>
  </si>
  <si>
    <t>Molson Ck -&gt; Molson Creek</t>
  </si>
  <si>
    <t>118.22575 W, 52.22165 N, Elev. 1935 m -&gt; 118.2258333 W, 52.220555556 N. Elev. 1935 m</t>
  </si>
  <si>
    <t>1984-09-13 to 2025-07-15</t>
  </si>
  <si>
    <t>Molson Creek</t>
  </si>
  <si>
    <t>MOC</t>
  </si>
  <si>
    <t>Monkman Creek</t>
  </si>
  <si>
    <t>121.2316972 W, 54.72528056 N, Elev. 1570 m</t>
  </si>
  <si>
    <t>2022-10-15 to 2025-07-08</t>
  </si>
  <si>
    <t>15-minute</t>
  </si>
  <si>
    <t>MOR</t>
  </si>
  <si>
    <t>Morrissey Ridge</t>
  </si>
  <si>
    <t>114.975 W, 49.44722222 N, Elev. 1860 m</t>
  </si>
  <si>
    <t>1983-10-07 to 2025-07-15</t>
  </si>
  <si>
    <t>MNS</t>
  </si>
  <si>
    <t>Mount Sheba</t>
  </si>
  <si>
    <t>121.8041667 W, 54.52666667 N, Elev. 1484 m</t>
  </si>
  <si>
    <t>MTR</t>
  </si>
  <si>
    <t>Mt. Revelstoke -&gt; Mount Revelstoke</t>
  </si>
  <si>
    <t>118.1502778 W, 51.03916667 N, Elev. 1850 m -&gt; 118.1516028 W, 51.03634167 N, Elev. 1850 m</t>
  </si>
  <si>
    <t>Mount Revelstoke</t>
  </si>
  <si>
    <t>MSK</t>
  </si>
  <si>
    <t>Muskwa-Kechika</t>
  </si>
  <si>
    <t>123.106 W, 56.7814 N, Elev. 1196 m</t>
  </si>
  <si>
    <t>NAT</t>
  </si>
  <si>
    <t>Nation R. nr the Mouth -&gt; Nation River near the Mouth</t>
  </si>
  <si>
    <t>123.61 W, 55.43 N, Elev. 725 m -&gt; 123.6212389 W, 55.43404722 N, Elev. 725 m</t>
  </si>
  <si>
    <t>1982-11-02 to 2025-07-15</t>
  </si>
  <si>
    <t>Nation River near the mouth</t>
  </si>
  <si>
    <t>NDE</t>
  </si>
  <si>
    <t>New Denver East</t>
  </si>
  <si>
    <t>117.358372 W, 49.996657 N, Elev. 653 m</t>
  </si>
  <si>
    <t>NTY</t>
  </si>
  <si>
    <t>North Tyaughton Ck -&gt; North Tyaughton Creek</t>
  </si>
  <si>
    <t>122.7939167 W, 51.14752778 N, Elev. 1969 m -&gt; 122.7855833 W, 51.14752778 N. Elev. 1969 m</t>
  </si>
  <si>
    <t>1984-10-02 to 2025-06-30</t>
  </si>
  <si>
    <t>North Tyaughton Creek</t>
  </si>
  <si>
    <t>NOT on ENV LIST</t>
  </si>
  <si>
    <t>OMI</t>
  </si>
  <si>
    <t>Ominica R. ab Osilinka R. -&gt; Omineca River above Osilinka River</t>
  </si>
  <si>
    <t>124.56 W, 55.94 N, Elev. 715 m</t>
  </si>
  <si>
    <t>1983-09-23 to 2017-03-31</t>
  </si>
  <si>
    <t>OSL</t>
  </si>
  <si>
    <t>Osilinka R. nr End Lk -&gt; Osilinka River near End Lake</t>
  </si>
  <si>
    <t>124.8013889 W, 56.12666667 N, Elev. 775 m -&gt; 124.8006972 W, 56.12661389 N, Elev. 775 m</t>
  </si>
  <si>
    <t>1982-10-17 to 2025-07-15</t>
  </si>
  <si>
    <t>Osilinka River near End Lake</t>
  </si>
  <si>
    <t>OSP</t>
  </si>
  <si>
    <t>Ospika R. ab Alley Ck -&gt; Ospika River above Alley Creek</t>
  </si>
  <si>
    <t>123.93 W, 56.46 N, Elev. 750 m</t>
  </si>
  <si>
    <t>1960-01-02 to 2017-03-31</t>
  </si>
  <si>
    <t>PAK</t>
  </si>
  <si>
    <t>Pack R. @ outlet of Mcleod Lk -&gt; Pack River at outlet of Mcleod Lake</t>
  </si>
  <si>
    <t>123.0366083 W, 54.99784444 N, Elev. 675 m</t>
  </si>
  <si>
    <t>Pack River at outlet of McLeod Lake</t>
  </si>
  <si>
    <t>PRS</t>
  </si>
  <si>
    <t>Parsnip R. ab Misinchinka R. -&gt; Parsnip River above Misinchinka River</t>
  </si>
  <si>
    <t>122.9 W, 55.08 N, Elev. 700 m -&gt; 122.9161 W, 55.083469 N, Elev. 700 m</t>
  </si>
  <si>
    <t>1983-09-16 to 2025-07-15</t>
  </si>
  <si>
    <t>Parsnip River above Misinchinka River</t>
  </si>
  <si>
    <t>PAR</t>
  </si>
  <si>
    <t>Parsnip Upper</t>
  </si>
  <si>
    <t>122.1458333 W, 54.6125 N, Elev. 790 m -&gt; 122.13758 W, 54.605556 N, Elev. 790 m</t>
  </si>
  <si>
    <t>ALC</t>
  </si>
  <si>
    <t>Peace River above Alces River</t>
  </si>
  <si>
    <t>120.056 W, 56.1268 N, Elev. 360 m</t>
  </si>
  <si>
    <t>2017-06-01 to 2021-11-16</t>
  </si>
  <si>
    <t>PLL</t>
  </si>
  <si>
    <t>Philip Lake</t>
  </si>
  <si>
    <t>123.897927 W, 55.1238 N, Elev. 1028 m</t>
  </si>
  <si>
    <t>PYN</t>
  </si>
  <si>
    <t>Pine Pass</t>
  </si>
  <si>
    <t>122.6373333 W, 55.353 N, Elev. 1400 m</t>
  </si>
  <si>
    <t>1988-10-27 to 2025-07-15</t>
  </si>
  <si>
    <t>PKA</t>
  </si>
  <si>
    <t>Pink Mountain Alpine</t>
  </si>
  <si>
    <t>122.865 W, 57.0617 N, Elev. 1755 m</t>
  </si>
  <si>
    <t>name</t>
  </si>
  <si>
    <t>PNK</t>
  </si>
  <si>
    <t>Pink Mtn. -&gt; Pink Mountain</t>
  </si>
  <si>
    <t>122.3535 W, 57.00196667 N, Elev. 1204 m</t>
  </si>
  <si>
    <t>1980-09-13 to 2025-07-15</t>
  </si>
  <si>
    <t>Pink Mountain</t>
  </si>
  <si>
    <t>PMD2</t>
  </si>
  <si>
    <t>Portage Mountain Development 2</t>
  </si>
  <si>
    <t>122.1829 W, 56.0131 N, Elev. 720 m</t>
  </si>
  <si>
    <t>PUL</t>
  </si>
  <si>
    <t>Pulpit Lk -&gt; Pulpit Lake</t>
  </si>
  <si>
    <t>126.7487833 W, 57.54828333 N, Elev. 1311 m</t>
  </si>
  <si>
    <t>1989-08-27 to 2025-07-15</t>
  </si>
  <si>
    <t>Pulpit Lake</t>
  </si>
  <si>
    <t>QBY</t>
  </si>
  <si>
    <t>Queen's Bay -  elevation</t>
  </si>
  <si>
    <t>116.9297222 W, 49.65444444 N, Elev. 545 m</t>
  </si>
  <si>
    <t>1987-05-30 to 2024-09-15</t>
  </si>
  <si>
    <t>Queen's Bay</t>
  </si>
  <si>
    <t>QIN</t>
  </si>
  <si>
    <t>Quinsam R. @ Argonaut Brg -&gt; Quinsam Riber at Argonaut Bridge</t>
  </si>
  <si>
    <t>125.5 W, 49.93 N, Elev. 280 m -&gt; 125.51034 W, 49.930019 N, Elev. 280 m</t>
  </si>
  <si>
    <t>1993-01-29 to 2017-03-31</t>
  </si>
  <si>
    <t>QSM</t>
  </si>
  <si>
    <t>Quinsam R. nr Campbell R. -&gt; Quinsam River at Campbell River</t>
  </si>
  <si>
    <t>125.3003861 W, 50.02927222 N, Elev. 15 m</t>
  </si>
  <si>
    <t>1985-04-10 to 2017-03-31</t>
  </si>
  <si>
    <t>QIN2</t>
  </si>
  <si>
    <t>Quinsam River at Argonaut Bridge 2</t>
  </si>
  <si>
    <t>125.51 W, 49.93002 N, Elev. 280 m</t>
  </si>
  <si>
    <t>2022-05-01 to 2025-07-15</t>
  </si>
  <si>
    <t>BCH-GSO-HMP -&gt; PC-FWx</t>
  </si>
  <si>
    <t>RST  -&gt; CBA572FE</t>
  </si>
  <si>
    <t>Redstreak</t>
  </si>
  <si>
    <t>2021-10-02 to 2024-09-30</t>
  </si>
  <si>
    <t>RST</t>
  </si>
  <si>
    <t>Canada-Parks</t>
  </si>
  <si>
    <t>SAM</t>
  </si>
  <si>
    <t>Salmon R. ab the Diversion 0&gt; Salmon River above the Diversion</t>
  </si>
  <si>
    <t>125.6722222 W, 50.09166667 N, Elev. 215 m</t>
  </si>
  <si>
    <t>1985-02-13 to 2017-03-31</t>
  </si>
  <si>
    <t>SBD2</t>
  </si>
  <si>
    <t>Salmon River Below Campbell Lake Diversion 2</t>
  </si>
  <si>
    <t>125.669767 W, 50.093619 N, Elev. 226 m -&gt; 125.669767 W, 50.0935 N, Elev. 226 m</t>
  </si>
  <si>
    <t>2022-02-01 to 2025-07-15</t>
  </si>
  <si>
    <t>SHH</t>
  </si>
  <si>
    <t>Shalalth</t>
  </si>
  <si>
    <t>122.242 W, 50.7281 N, Elev. 290 m</t>
  </si>
  <si>
    <t>SON</t>
  </si>
  <si>
    <t>122.2423833 W, 50.72808056 N, Elev. 290 m</t>
  </si>
  <si>
    <t>SKI</t>
  </si>
  <si>
    <t>Sikanni Lake</t>
  </si>
  <si>
    <t>124.1319806 W, 57.26375556 N, Elev. 1387 m</t>
  </si>
  <si>
    <t>SNC</t>
  </si>
  <si>
    <t>Site C North Camp</t>
  </si>
  <si>
    <t>120.902 W, 56.203 N, Elev. 583 m</t>
  </si>
  <si>
    <t>SLK</t>
  </si>
  <si>
    <t>St. Leon Ck -&gt; St. Leon Creek</t>
  </si>
  <si>
    <t>117.7012 W, 50.43416667 N, Elev. 1800 m</t>
  </si>
  <si>
    <t>St. Leon Creek</t>
  </si>
  <si>
    <t>STA</t>
  </si>
  <si>
    <t>Stave R. ab Stave Lk -&gt; Stave River above Stave Lake</t>
  </si>
  <si>
    <t>122.3219444 W, 49.55611111 N, Elev. 330 m</t>
  </si>
  <si>
    <t>1960-01-02 to 2024-09-20</t>
  </si>
  <si>
    <t>Stave River above Stave Lake</t>
  </si>
  <si>
    <t>STV</t>
  </si>
  <si>
    <t>Stave R. Upper</t>
  </si>
  <si>
    <t>122.4020556 W, 49.62366667 N, Elev. 930 m</t>
  </si>
  <si>
    <t>Stave River Upper</t>
  </si>
  <si>
    <t>SCA</t>
  </si>
  <si>
    <t>Strathcona Dam</t>
  </si>
  <si>
    <t>125.5838889 W, 49.99694444 N, Elev. 227 m</t>
  </si>
  <si>
    <t>1980-10-22 to 2016-09-30</t>
  </si>
  <si>
    <t>SCU</t>
  </si>
  <si>
    <t>Succour Creek</t>
  </si>
  <si>
    <t>117.542 W, 51.71614 N, Elev. 800 m</t>
  </si>
  <si>
    <t>SGL</t>
  </si>
  <si>
    <t>Sugar Lake Res. @ Outlet -&gt; Sigar Lake Resevoir at the Outlet</t>
  </si>
  <si>
    <t>118.53 W, 50.35 N, Elev. 675 m</t>
  </si>
  <si>
    <t>1999-01-03 to 2024-09-13</t>
  </si>
  <si>
    <t>Sigar Lake Resevoir at the Outlet</t>
  </si>
  <si>
    <t>TAB</t>
  </si>
  <si>
    <t>Taylor Bison</t>
  </si>
  <si>
    <t>120.758 W, 56.167 N, Elev. 411 m</t>
  </si>
  <si>
    <t>2017-09-14 to 2020-07-01</t>
  </si>
  <si>
    <t>TEC</t>
  </si>
  <si>
    <t>Tea Creek</t>
  </si>
  <si>
    <t>120.954 W, 56.237 N, Elev. 653 m</t>
  </si>
  <si>
    <t>2017-09-13 to 2020-07-01</t>
  </si>
  <si>
    <t>TNS</t>
  </si>
  <si>
    <t>Townsend</t>
  </si>
  <si>
    <t>122.24 W, 56.83 N, Elev. 1011 m -&gt; 122.23972 W, 56.83 N, Elev. 1011 m</t>
  </si>
  <si>
    <t>TSY</t>
  </si>
  <si>
    <t>Tsaydaychi Lake</t>
  </si>
  <si>
    <t>124.096333 W, 55.41635 N, Elev. 1189 m -&gt; 124.76 W, 55.41635 N, Elev. 1189 m</t>
  </si>
  <si>
    <t>UCE</t>
  </si>
  <si>
    <t>Upper Campbell Lake near Elk River Road</t>
  </si>
  <si>
    <t>125.584 W, 49.9727 N, Elev. 249 m</t>
  </si>
  <si>
    <t>CMU</t>
  </si>
  <si>
    <t>Upper Cheakamus</t>
  </si>
  <si>
    <t>123.1333333 W, 50.12222222 N, Elev. 880 m</t>
  </si>
  <si>
    <t>CMJ</t>
  </si>
  <si>
    <t>WAH</t>
  </si>
  <si>
    <t>Wahleach (Jones) Res. -&gt; Wahleach Resevoir (Jones Lake)</t>
  </si>
  <si>
    <t>121.6186111 W, 49.23194444 N, Elev. 641 m</t>
  </si>
  <si>
    <t>Wahleach Reservoir (Jones Lake)</t>
  </si>
  <si>
    <t>WRL</t>
  </si>
  <si>
    <t>Ware Lower</t>
  </si>
  <si>
    <t>125.6773389 W, 57.40755556 N, Elev. 971 m</t>
  </si>
  <si>
    <t>Snow Water Equivalent|Surface Snow Depth (Point)|Temperature (Max.)|Temperature (Min.)|Temperature (Point)</t>
  </si>
  <si>
    <t>WRU</t>
  </si>
  <si>
    <t>Ware Upper</t>
  </si>
  <si>
    <t>125.7 W, 57.3962 N, Elev. 1565 m</t>
  </si>
  <si>
    <t>WCC</t>
  </si>
  <si>
    <t>Wildcat Creek</t>
  </si>
  <si>
    <t>116.629 W, 51.6963 N, Elev. 2122 m</t>
  </si>
  <si>
    <t>LST</t>
  </si>
  <si>
    <t xml:space="preserve">Williston @ Lost Cabin Ck -&gt; Williston Lake at Lost Cabin Creek </t>
  </si>
  <si>
    <t>123.7467167 W, 56.05063333 N, Elev. 712 m -&gt; 123.74819 W, 56.04997 N, Elev. 712 m</t>
  </si>
  <si>
    <t>1983-09-23 to 2025-07-15</t>
  </si>
  <si>
    <t>Williston Lake at Lost Cabin Creek</t>
  </si>
  <si>
    <t>WSC</t>
  </si>
  <si>
    <t>Williston @ Schooler Ck -&gt; Williston at Schooler Creek</t>
  </si>
  <si>
    <t>122.7158333 W, 56.10611111 N, Elev. 676 m</t>
  </si>
  <si>
    <t>1982-10-23 to 2024-09-13</t>
  </si>
  <si>
    <t>Williston at Schooler Creek</t>
  </si>
  <si>
    <t>WOL</t>
  </si>
  <si>
    <t>Wolf R. Upper -&gt; Wolf River Upper</t>
  </si>
  <si>
    <t>125.7416667 W, 49.68055556 N, Elev. 1490 m -&gt; 125.67925 W, 49.7041389 W, Elev. 1490 m</t>
  </si>
  <si>
    <t>1980-10-22 to 2025-06-30</t>
  </si>
  <si>
    <t>Wolf River Upper</t>
  </si>
  <si>
    <t>WON</t>
  </si>
  <si>
    <t>Wonowon</t>
  </si>
  <si>
    <t>121.8040278 W, 56.72922222 N, Elev. 910 m -&gt; 121.138111 W, 56.7289306 N, Elev. 925 m</t>
  </si>
  <si>
    <t>1980-09-12 to 2025-07-15</t>
  </si>
  <si>
    <t>BC-Snow -&gt; BCH-GSO-HMP</t>
  </si>
  <si>
    <t>4A30P</t>
  </si>
  <si>
    <t>125.733 W, 56.45 N, Elev. 1040 m</t>
  </si>
  <si>
    <t>1984-10-31 to 2020-10-01</t>
  </si>
  <si>
    <t>Precipitation 1hr|Precipitation Amount|Precipitation Climatology|Snow Depth|Snow Water Equivalent|Snowfall Amount|Temperature (Max.)|Temperature (Mean)|Temperature (Min.)|Temperature Climatology (Max.)|Temperature Climatology (Mean)|Temperature Climatology (Min.)</t>
  </si>
  <si>
    <t>1E08P</t>
  </si>
  <si>
    <t>Azure River</t>
  </si>
  <si>
    <t>119.717 W, 52.617 N, Elev. 1310 m</t>
  </si>
  <si>
    <t>1996-09-13 to 2024-05-28</t>
  </si>
  <si>
    <t>Cumulative Precipitation|Precipitation 1hr|Precipitation 24hr|Precipitation Amount|Precipitation Climatology|Snow Depth|Snow Water Equivalent|Snowfall Amount|Surface Snow Depth (Point)|Temperature (Max.)|Temperature (Mean)|Temperature (Min.)|Temperature Climatology (Max.)|Temperature Climatology (Mean)|Temperature Climatology (Min.)</t>
  </si>
  <si>
    <t>ENV/ASWS</t>
  </si>
  <si>
    <t>1A03P</t>
  </si>
  <si>
    <t>Barkerville</t>
  </si>
  <si>
    <t>121.483 W, 53.05 N, Elev. 1520 m</t>
  </si>
  <si>
    <t>1968-10-04 to 2024-05-28</t>
  </si>
  <si>
    <t>attribution</t>
  </si>
  <si>
    <t>2B06P</t>
  </si>
  <si>
    <t>118.35 W, 50.0667 N, Elev. 1620 m</t>
  </si>
  <si>
    <t>1992-10-01 to 2020-10-01</t>
  </si>
  <si>
    <t>2G03P</t>
  </si>
  <si>
    <t>Blackwall Peak</t>
  </si>
  <si>
    <t>120.767 W, 49.1 N, Elev. 1940 m</t>
  </si>
  <si>
    <t>1967-10-01 to 2024-05-28</t>
  </si>
  <si>
    <t>4C11P</t>
  </si>
  <si>
    <t>Bluff Creek</t>
  </si>
  <si>
    <t>126.45 W, 58.5333 N, Elev. 1040 m</t>
  </si>
  <si>
    <t>1990-10-02 to 2001-01-01</t>
  </si>
  <si>
    <t>Precipitation Amount|Precipitation Climatology|Snowfall Amount|Surface Snow Depth (Point)|Temperature (Max.)|Temperature (Min.)|Temperature Climatology (Max.)|Temperature Climatology (Mean)|Temperature Climatology (Min.)</t>
  </si>
  <si>
    <t>1C20P</t>
  </si>
  <si>
    <t>Boss Mountain Mine</t>
  </si>
  <si>
    <t>120.867 W, 52.117 N, Elev. 1460 m</t>
  </si>
  <si>
    <t>1993-10-01 to 2024-04-16</t>
  </si>
  <si>
    <t>1D12P</t>
  </si>
  <si>
    <t>Boston Bar Creek (Lower)</t>
  </si>
  <si>
    <t>121.21667 W, 49.583 N, Elev. 1230 m</t>
  </si>
  <si>
    <t>1980-11-01 to 1981-07-02</t>
  </si>
  <si>
    <t>Snowfall Amount</t>
  </si>
  <si>
    <t>1D11P</t>
  </si>
  <si>
    <t>Boston Bar Creek (Upper)</t>
  </si>
  <si>
    <t>121.21667 W, 49.583 N, Elev. 1340 m</t>
  </si>
  <si>
    <t>1973-10-01 to 2001-01-01</t>
  </si>
  <si>
    <t>Precipitation Amount|Precipitation Climatology|Snow Water Equivalent|Snowfall Amount|Temperature (Max.)|Temperature (Min.)|Temperature Climatology (Max.)|Temperature Climatology (Mean)|Temperature Climatology (Min.)</t>
  </si>
  <si>
    <t>2F18P</t>
  </si>
  <si>
    <t>120 W, 49.8833 N, Elev. 1460 m</t>
  </si>
  <si>
    <t>3C08P</t>
  </si>
  <si>
    <t>Burnt Bridge Creek</t>
  </si>
  <si>
    <t>126.25 W, 52.4833 N, Elev. 1330 m</t>
  </si>
  <si>
    <t>1997-10-02 to 2024-05-28</t>
  </si>
  <si>
    <t>4B18P</t>
  </si>
  <si>
    <t>Cedar-Kiteen</t>
  </si>
  <si>
    <t>128.717 W, 55.15 N, Elev. 885 m</t>
  </si>
  <si>
    <t>2000-07-08 to 2024-08-29</t>
  </si>
  <si>
    <t>1F06P</t>
  </si>
  <si>
    <t>Celista Mountain -&gt; Celista</t>
  </si>
  <si>
    <t>118.883 W, 51.383 N, Elev. 1551 m</t>
  </si>
  <si>
    <t>2004-10-02 to 2024-05-28</t>
  </si>
  <si>
    <t>Cumulative Precipitation|Precipitation 1hr|Precipitation 24hr|Precipitation Amount|Snow Depth|Snow Water Equivalent|Snowfall Amount|Surface Snow Depth (Point)|Temperature (Max.)|Temperature (Mean)|Temperature (Min.)</t>
  </si>
  <si>
    <t>Celista</t>
  </si>
  <si>
    <t>1D17P</t>
  </si>
  <si>
    <t>Chilliwack River</t>
  </si>
  <si>
    <t>121.717 W, 49.033 N, Elev. 1600 m</t>
  </si>
  <si>
    <t>1991-10-01 to 2024-05-28</t>
  </si>
  <si>
    <t>1E14P</t>
  </si>
  <si>
    <t>Cook Creek</t>
  </si>
  <si>
    <t>119.3 W, 52.167 N, Elev. 1280 m</t>
  </si>
  <si>
    <t>1999-09-19 to 2024-05-28</t>
  </si>
  <si>
    <t>4C09P</t>
  </si>
  <si>
    <t>Deadwood River</t>
  </si>
  <si>
    <t>128.317 W, 59.25 N, Elev. 1300 m</t>
  </si>
  <si>
    <t>1990-10-03 to 2009-09-19</t>
  </si>
  <si>
    <t>Precipitation Amount|Precipitation Climatology|Snow Water Equivalent|Snowfall Amount|Temperature (Max.)|Temperature (Mean)|Temperature (Min.)|Temperature Climatology (Max.)|Temperature Climatology (Mean)|Temperature Climatology (Min.)</t>
  </si>
  <si>
    <t>1D18P</t>
  </si>
  <si>
    <t>Disappointment Lake</t>
  </si>
  <si>
    <t>122.75 W, 49.55 N, Elev. 1040 m</t>
  </si>
  <si>
    <t>1994-10-30 to 2020-10-01</t>
  </si>
  <si>
    <t>Precipitation 1hr|Precipitation Amount|Snow Depth|Snow Water Equivalent|Snowfall Amount|Temperature (Max.)|Temperature (Mean)|Temperature (Min.)</t>
  </si>
  <si>
    <t>1A19P</t>
  </si>
  <si>
    <t>Dome Mountain</t>
  </si>
  <si>
    <t>121.017 W, 53.617 N, Elev. 1820 m</t>
  </si>
  <si>
    <t>2005-10-01 to 2024-05-28</t>
  </si>
  <si>
    <t>2A30P</t>
  </si>
  <si>
    <t>Downie Creek</t>
  </si>
  <si>
    <t>118.517 W, 51.5 N, Elev. 1130 m</t>
  </si>
  <si>
    <t>1976-11-09 to 2020-10-01</t>
  </si>
  <si>
    <t>Precipitation 1hr|Snow Water Equivalent|Snowfall Amount|Temperature (Max.)|Temperature (Mean)|Temperature (Min.)|Temperature Climatology (Max.)|Temperature Climatology (Mean)|Temperature Climatology (Min.)</t>
  </si>
  <si>
    <t>2D08P</t>
  </si>
  <si>
    <t>116.933 W, 50.6333 N, Elev. 2030 m</t>
  </si>
  <si>
    <t>1980-10-31 to 2020-10-01</t>
  </si>
  <si>
    <t>1F04P</t>
  </si>
  <si>
    <t>Enderby</t>
  </si>
  <si>
    <t>118.9269 W, 50.6525 N, Elev. 1950 m</t>
  </si>
  <si>
    <t>2019-12-10 to 2024-05-28</t>
  </si>
  <si>
    <t>Cumulative Precipitation|Precipitation 1hr|Precipitation 24hr|Snow Depth|Snow Water Equivalent|Temperature (Mean)</t>
  </si>
  <si>
    <t>2A17P</t>
  </si>
  <si>
    <t>Fidelity Mountain</t>
  </si>
  <si>
    <t>117.7 W, 51.2333 N, Elev. 1870 m</t>
  </si>
  <si>
    <t>1987-10-23 to 1988-12-31</t>
  </si>
  <si>
    <t>Precipitation Amount|Snowfall Amount|Temperature (Max.)|Temperature (Min.)</t>
  </si>
  <si>
    <t>3A23P</t>
  </si>
  <si>
    <t>Five Fingers Creek</t>
  </si>
  <si>
    <t>124.9 W, 51.5333 N, Elev. 1770 m</t>
  </si>
  <si>
    <t>1988-10-25 to 2001-01-01</t>
  </si>
  <si>
    <t>Precipitation Amount|Precipitation Climatology|Snowfall Amount|Temperature (Max.)|Temperature (Min.)|Temperature Climatology (Max.)|Temperature Climatology (Mean)|Temperature Climatology (Min.)</t>
  </si>
  <si>
    <t>2C14P</t>
  </si>
  <si>
    <t>116.133 W, 51.05 N, Elev. 2090 m</t>
  </si>
  <si>
    <t>4D08P</t>
  </si>
  <si>
    <t>Forrest Kerr Creek</t>
  </si>
  <si>
    <t>130.783 W, 56.95 N, Elev. 560 m</t>
  </si>
  <si>
    <t>1990-10-01 to 2001-09-03</t>
  </si>
  <si>
    <t>4C14P</t>
  </si>
  <si>
    <t>Frog River</t>
  </si>
  <si>
    <t>127.5 W, 57.9833 N, Elev. 1480 m</t>
  </si>
  <si>
    <t>1990-10-03 to 2001-01-01</t>
  </si>
  <si>
    <t>4B12P</t>
  </si>
  <si>
    <t>Granduc Mine</t>
  </si>
  <si>
    <t>129.65 W, 56.25 N, Elev. 790 m</t>
  </si>
  <si>
    <t>2001-10-01 to 2024-05-28</t>
  </si>
  <si>
    <t>Snow Depth|Snow Water Equivalent|Snowfall Amount|Temperature (Max.)|Temperature (Mean)|Temperature (Min.)</t>
  </si>
  <si>
    <t>2E07P</t>
  </si>
  <si>
    <t>Grano Creek</t>
  </si>
  <si>
    <t>118.683 W, 49.55 N, Elev. 1860 m</t>
  </si>
  <si>
    <t>1997-07-24 to 2024-05-28</t>
  </si>
  <si>
    <t>1D15P</t>
  </si>
  <si>
    <t>121.183 W, 49.6 N, Elev. 1660 m</t>
  </si>
  <si>
    <t>1987-11-09 to 2009-12-02</t>
  </si>
  <si>
    <t>Precipitation 1hr|Precipitation Amount|Precipitation Climatology|Snow Water Equivalent|Snowfall Amount|Surface Snow Depth (Point)|Temperature (Max.)|Temperature (Mean)|Temperature (Min.)|Temperature Climatology (Max.)|Temperature Climatology (Mean)|Temperature Climatology (Min.)</t>
  </si>
  <si>
    <t>1C12P</t>
  </si>
  <si>
    <t>122.917 W, 50.8 N, Elev. 1780 m</t>
  </si>
  <si>
    <t>1993-10-01 to 2020-10-01</t>
  </si>
  <si>
    <t>2F08P</t>
  </si>
  <si>
    <t>Greyback Resevoir</t>
  </si>
  <si>
    <t>119.4224 W, 49.6158 N, Elev. 1550 m</t>
  </si>
  <si>
    <t>3B24P</t>
  </si>
  <si>
    <t>Heather Mountain Upper</t>
  </si>
  <si>
    <t>124.452 W, 48.9439 N, Elev. 1190 m</t>
  </si>
  <si>
    <t>1A14P</t>
  </si>
  <si>
    <t>Hedrick Lake</t>
  </si>
  <si>
    <t>121 W, 54.1 N, Elev. 1100 m</t>
  </si>
  <si>
    <t>1999-09-24 to 2024-05-28</t>
  </si>
  <si>
    <t>3B23P</t>
  </si>
  <si>
    <t>Jump Creek</t>
  </si>
  <si>
    <t>124.283 W, 48.9667 N, Elev. 1160 m</t>
  </si>
  <si>
    <t>1995-11-15 to 2024-05-28</t>
  </si>
  <si>
    <t>4D11P</t>
  </si>
  <si>
    <t>Kinaskan Lake</t>
  </si>
  <si>
    <t>130.25 W, 57.5667 N, Elev. 1020 m</t>
  </si>
  <si>
    <t>1990-10-01 to 2024-05-28</t>
  </si>
  <si>
    <t>Cumulative Precipitation|Precipitation 1hr|Precipitation 24hr|Precipitation Amount|Precipitation Climatology|Snow Depth|Snow Water Equivalent|Snowfall Amount|Temperature (Max.)|Temperature (Mean)|Temperature (Min.)|Temperature Climatology (Max.)|Temperature Climatology (Mean)|Temperature Climatology (Min.)</t>
  </si>
  <si>
    <t>1A15P</t>
  </si>
  <si>
    <t>Knudsen Lake</t>
  </si>
  <si>
    <t>120.7825 W, 54.3028 N, Elev. 1601 m</t>
  </si>
  <si>
    <t>2019-12-10 to 2024-07-02</t>
  </si>
  <si>
    <t>1A15B</t>
  </si>
  <si>
    <t>Knudson Lake</t>
  </si>
  <si>
    <t>1E10P</t>
  </si>
  <si>
    <t>Kostal Lake</t>
  </si>
  <si>
    <t>120.033 W, 52.2 N, Elev. 1770 m</t>
  </si>
  <si>
    <t>1984-10-10 to 2024-05-28</t>
  </si>
  <si>
    <t>4A27P</t>
  </si>
  <si>
    <t>Kwadacha River</t>
  </si>
  <si>
    <t>125.067 W, 57.6167 N, Elev. 1620 m</t>
  </si>
  <si>
    <t>1983-12-31 to 2020-10-01</t>
  </si>
  <si>
    <t>4B15P</t>
  </si>
  <si>
    <t>Lu Lake</t>
  </si>
  <si>
    <t>126.3 W, 54.2 N, Elev. 1310 m</t>
  </si>
  <si>
    <t>1997-07-12 to 2024-05-28</t>
  </si>
  <si>
    <t>1A02P</t>
  </si>
  <si>
    <t>McBride (Upper)</t>
  </si>
  <si>
    <t>120.333 W, 53.3 N, Elev. 1620 m</t>
  </si>
  <si>
    <t>1971-10-01 to 2024-08-29</t>
  </si>
  <si>
    <t>McBride Upper</t>
  </si>
  <si>
    <t>2F05P</t>
  </si>
  <si>
    <t>Mission Creek</t>
  </si>
  <si>
    <t>118.95 W, 49.95 N, Elev. 1780 m</t>
  </si>
  <si>
    <t>1969-10-20 to 2024-08-29</t>
  </si>
  <si>
    <t>1C18P</t>
  </si>
  <si>
    <t>122.2 W, 50.767 N, Elev. 1850 m</t>
  </si>
  <si>
    <t>1969-11-01 to 2020-10-01</t>
  </si>
  <si>
    <t>2A21P</t>
  </si>
  <si>
    <t>118.233 W, 52.2333 N, Elev. 1980 m</t>
  </si>
  <si>
    <t>1980-10-24 to 2020-10-01</t>
  </si>
  <si>
    <t>2C09Q</t>
  </si>
  <si>
    <t>114.967 W, 49.45 N, Elev. 1800 m</t>
  </si>
  <si>
    <t>1983-10-15 to 2020-10-01</t>
  </si>
  <si>
    <t>2C09P</t>
  </si>
  <si>
    <t>114.967 W, 49.45 N, Elev. 1860 m</t>
  </si>
  <si>
    <t>1979-10-15 to 1983-05-25</t>
  </si>
  <si>
    <t>1E02P</t>
  </si>
  <si>
    <t>Mount Cook</t>
  </si>
  <si>
    <t>121.65 W, 49.667 N, Elev. 1550 m</t>
  </si>
  <si>
    <t>1999-10-21 to 2024-05-28</t>
  </si>
  <si>
    <t>2A06P</t>
  </si>
  <si>
    <t>118.15 W, 51.033 N, Elev. 1830 m</t>
  </si>
  <si>
    <t>1992-11-04 to 2020-10-01</t>
  </si>
  <si>
    <t>1E11P</t>
  </si>
  <si>
    <t>Mount Saint Anne</t>
  </si>
  <si>
    <t>119.233 W, 52.2667 N, Elev. 1770 m</t>
  </si>
  <si>
    <t xml:space="preserve">BC-Snow </t>
  </si>
  <si>
    <t>CLOSED - responsibility change - Move any data from this site collected from October 1, 2022 on to New addditional station (line 1932 - "Moyie Mountain", BC H)</t>
  </si>
  <si>
    <t xml:space="preserve">2C10P </t>
  </si>
  <si>
    <t>Moyie Mountain</t>
  </si>
  <si>
    <t>115.767 W, 49.25 N, Elev. 1930 m</t>
  </si>
  <si>
    <t>1971-10-19 to 2023-10-20</t>
  </si>
  <si>
    <t>3B25P</t>
  </si>
  <si>
    <t>North Road Lab</t>
  </si>
  <si>
    <t>123.4124 W, 48.4859 N, Elev. 35 m</t>
  </si>
  <si>
    <t>2019-12-10 to 2023-05-17</t>
  </si>
  <si>
    <t>3A22P</t>
  </si>
  <si>
    <t>Nostetuko River</t>
  </si>
  <si>
    <t>124.45 W, 51.25 N, Elev. 1500 m</t>
  </si>
  <si>
    <t>1988-10-25 to 2024-05-28</t>
  </si>
  <si>
    <t>1D14P</t>
  </si>
  <si>
    <t>Ottomite</t>
  </si>
  <si>
    <t>121.15 W, 49.6 N, Elev. 1460 m</t>
  </si>
  <si>
    <t>1980-10-31 to 1987-06-30</t>
  </si>
  <si>
    <t>PKM</t>
  </si>
  <si>
    <t>Park Mountain</t>
  </si>
  <si>
    <t>118.6197222 W, 50.44722222 N, Elev. 1890 m</t>
  </si>
  <si>
    <t>2000-01-11 to 2008-12-07</t>
  </si>
  <si>
    <t>Precipitation Amount|Temperature (Max.)|Temperature (Min.)|Temperature Climatology (Max.)|Temperature Climatology (Mean)|Temperature Climatology (Min.)</t>
  </si>
  <si>
    <t>1F03P</t>
  </si>
  <si>
    <t>118.617 W, 50.45 N, Elev. 1890 m -&gt; 118.6185 W, 50.4495 N, Elev. 1890 m</t>
  </si>
  <si>
    <t>1984-10-29 to 2024-05-28</t>
  </si>
  <si>
    <t>4A02P -&gt; PYN</t>
  </si>
  <si>
    <t>122.633 W, 55.35 N, Elev. 1400 m</t>
  </si>
  <si>
    <t>1988-10-20 to 2020-10-01</t>
  </si>
  <si>
    <t>4A09P</t>
  </si>
  <si>
    <t>126.783 W, 57.5333 N, Elev. 1310 m</t>
  </si>
  <si>
    <t>1989-10-02 to 2020-10-01</t>
  </si>
  <si>
    <t>2D14P</t>
  </si>
  <si>
    <t>Redfish Creek</t>
  </si>
  <si>
    <t>117.083333 W, 49.683333 N, Elev. 2104 m</t>
  </si>
  <si>
    <t>2001-07-10 to 2024-05-28</t>
  </si>
  <si>
    <t>1A17P</t>
  </si>
  <si>
    <t>Revolution Creek</t>
  </si>
  <si>
    <t>120.367 W, 53.783 N, Elev. 1690 m</t>
  </si>
  <si>
    <t>1984-10-01 to 2024-05-12</t>
  </si>
  <si>
    <t>4B16P</t>
  </si>
  <si>
    <t>Shedin Creek</t>
  </si>
  <si>
    <t>127.7 W, 55.85 N, Elev. 1480 m</t>
  </si>
  <si>
    <t>1995-10-01 to 2024-08-29</t>
  </si>
  <si>
    <t>1D19P</t>
  </si>
  <si>
    <t>Spuzzum Creek -&gt; Spuzzum</t>
  </si>
  <si>
    <t>121.65 W, 49.667 N, Elev. 1180 m</t>
  </si>
  <si>
    <t>1998-10-01 to 2024-05-28</t>
  </si>
  <si>
    <t>Spuzzum Creek</t>
  </si>
  <si>
    <t>2B08P</t>
  </si>
  <si>
    <t>117.7 W, 50.4333 N, Elev. 1800 m</t>
  </si>
  <si>
    <t>1992-11-14 to 2020-10-01</t>
  </si>
  <si>
    <t>1D06P</t>
  </si>
  <si>
    <t>Tenquille Lake</t>
  </si>
  <si>
    <t>122.933 W, 50.533 N, Elev. 1680 m</t>
  </si>
  <si>
    <t>2000-08-30 to 2024-05-28</t>
  </si>
  <si>
    <t>3A17P</t>
  </si>
  <si>
    <t>Tiedemann Glacier</t>
  </si>
  <si>
    <t>124.967 W, 51.35 N, Elev. 1400 m</t>
  </si>
  <si>
    <t>2F01AP</t>
  </si>
  <si>
    <t>Trout Creek West</t>
  </si>
  <si>
    <t>120.1891 W, 49.74017 N, Elev. 1420 m</t>
  </si>
  <si>
    <t>2019-12-16 to 2024-05-28</t>
  </si>
  <si>
    <t>4B17P</t>
  </si>
  <si>
    <t>Tsai Creek</t>
  </si>
  <si>
    <t>127.667 W, 54.65 N, Elev. 1360 m</t>
  </si>
  <si>
    <t>1997-07-12 to 2024-08-29</t>
  </si>
  <si>
    <t>4D10P</t>
  </si>
  <si>
    <t>Tumeka Creek</t>
  </si>
  <si>
    <t>129.717 W, 57.2333 N, Elev. 1220 m</t>
  </si>
  <si>
    <t>3A24P</t>
  </si>
  <si>
    <t>Upper Mosley Creek -&gt; Mosley Creek Upper</t>
  </si>
  <si>
    <t>124.617 W, 51.7833 N, Elev. 1650 m</t>
  </si>
  <si>
    <t>1988-10-25 to 2024-08-29</t>
  </si>
  <si>
    <t>Mosely Creek Upper</t>
  </si>
  <si>
    <t>4A29P</t>
  </si>
  <si>
    <t>Upper Parsnip River</t>
  </si>
  <si>
    <t>122.133 W, 54.6 N, Elev. 790 m</t>
  </si>
  <si>
    <t>1984-02-05 to 1990-07-16</t>
  </si>
  <si>
    <t>3A25P</t>
  </si>
  <si>
    <t>Upper Squamish River -&gt; Squamish River Upper</t>
  </si>
  <si>
    <t>123.433 W, 50.15 N, Elev. 1340 m</t>
  </si>
  <si>
    <t>1989-11-21 to 2024-05-28</t>
  </si>
  <si>
    <t>Squamish River Upper</t>
  </si>
  <si>
    <t>4D13P</t>
  </si>
  <si>
    <t>Upper Stikine</t>
  </si>
  <si>
    <t>128.317 W, 57.2333 N, Elev. 1450 m</t>
  </si>
  <si>
    <t>1989-10-03 to 2001-01-01</t>
  </si>
  <si>
    <t>4D14P</t>
  </si>
  <si>
    <t>Wade Lake</t>
  </si>
  <si>
    <t>128.9 W, 58.1833 N, Elev. 1370 m</t>
  </si>
  <si>
    <t>1989-10-11 to 2009-09-19</t>
  </si>
  <si>
    <t>1D09P</t>
  </si>
  <si>
    <t>Wahleach Lake</t>
  </si>
  <si>
    <t>121.583 W, 49.233 N, Elev. 1400 m</t>
  </si>
  <si>
    <t>1992-03-02 to 2020-10-01</t>
  </si>
  <si>
    <t>Snow Water Equivalent|Snowfall Amount|Temperature (Max.)|Temperature (Mean)|Temperature (Min.)</t>
  </si>
  <si>
    <t>3B17P</t>
  </si>
  <si>
    <t>Wolf River (Upper)</t>
  </si>
  <si>
    <t>125.667 W, 49.7 N, Elev. 1490 m</t>
  </si>
  <si>
    <t>1987-10-01 to 2020-10-01</t>
  </si>
  <si>
    <t>1C41P</t>
  </si>
  <si>
    <t>Yanks Peak East</t>
  </si>
  <si>
    <t>120.35 W, 52.833 N, Elev. 1670 m</t>
  </si>
  <si>
    <t>1996-08-23 to 2024-05-28</t>
  </si>
  <si>
    <t>Yanks Peak</t>
  </si>
  <si>
    <t>1A01P</t>
  </si>
  <si>
    <t>118.55 W, 52.9 N, Elev. 1860 m</t>
  </si>
  <si>
    <t>1996-09-12 to 2024-05-28</t>
  </si>
  <si>
    <t>Yellowhead Lake</t>
  </si>
  <si>
    <t>2F10P</t>
  </si>
  <si>
    <t>-&gt; Silverstar Mountain</t>
  </si>
  <si>
    <t xml:space="preserve">119.0621 W, 50.3714 N, Elev. null m -&gt; 119.062 W, 50.37136 N, Elev. 1839 m </t>
  </si>
  <si>
    <t>2021-03-19 to 2024-05-28</t>
  </si>
  <si>
    <t>Silverstar Mountain</t>
  </si>
  <si>
    <t>Name. Location</t>
  </si>
  <si>
    <t>1F04P2</t>
  </si>
  <si>
    <t>-&gt; Enderby 2</t>
  </si>
  <si>
    <t>118.9268 W, 50.6529 N, Elev. null m -&gt; 118.9268 W, 50.6529 N, Elev. 1950 m</t>
  </si>
  <si>
    <t>2021-12-08 to 2024-05-12</t>
  </si>
  <si>
    <t>Cumulative Precipitation|Precipitation 1hr|Precipitation 24hr|Snow Water Equivalent|Temperature (Mean)</t>
  </si>
  <si>
    <t>1C29P</t>
  </si>
  <si>
    <t>-&gt; Shovelnose</t>
  </si>
  <si>
    <t>120.8629 W, 49.856 N, Elev. null m -&gt; 120.862891 W, 49.855951 N, Elev. 1460  m</t>
  </si>
  <si>
    <t>2021-12-08 to 2024-05-28</t>
  </si>
  <si>
    <t>Shovelnose</t>
  </si>
  <si>
    <t>Additional - Responsibility Transfer - Move any data from 35092 collected post October 1, 2022 to this record.</t>
  </si>
  <si>
    <t>-&gt; MOY</t>
  </si>
  <si>
    <t>-&gt; Moyie Mountain</t>
  </si>
  <si>
    <t>-&gt; 115.76733 W, 49.2521667 N, Elev. 1930</t>
  </si>
  <si>
    <t>MOY</t>
  </si>
  <si>
    <t>-&gt; REC</t>
  </si>
  <si>
    <t>-&gt; Rees Creek</t>
  </si>
  <si>
    <t>-&gt; 125.288167 W, 49.6053611 N, Elev. 280</t>
  </si>
  <si>
    <t>REC</t>
  </si>
  <si>
    <t>Rees Creek</t>
  </si>
  <si>
    <t>-&gt; BC-Snow</t>
  </si>
  <si>
    <t>-&gt; 1C45P</t>
  </si>
  <si>
    <t>-&gt; July Mountain</t>
  </si>
  <si>
    <t>1C45P</t>
  </si>
  <si>
    <t>July Mountain</t>
  </si>
  <si>
    <t>-&gt; AC44P</t>
  </si>
  <si>
    <t>-&gt; Paradise Lake</t>
  </si>
  <si>
    <t>1C44P</t>
  </si>
  <si>
    <t>Paradise Lake</t>
  </si>
  <si>
    <t>-&gt; 1C32P</t>
  </si>
  <si>
    <t>-&gt; Deadman River</t>
  </si>
  <si>
    <t>1C32P</t>
  </si>
  <si>
    <t>Deadman River</t>
  </si>
  <si>
    <t>-&gt; 1C23P</t>
  </si>
  <si>
    <t>-&gt; Penfold Creek</t>
  </si>
  <si>
    <t>1C23P</t>
  </si>
  <si>
    <t>Penfold Creek</t>
  </si>
  <si>
    <t>-&gt; 1C22AP</t>
  </si>
  <si>
    <t>-&gt; Puntzi</t>
  </si>
  <si>
    <t>1C22AP</t>
  </si>
  <si>
    <t>Puntzi</t>
  </si>
  <si>
    <t>-&gt; 1C17P</t>
  </si>
  <si>
    <t>-&gt; Mount Timothy</t>
  </si>
  <si>
    <t>1C17P</t>
  </si>
  <si>
    <t>Mount Timothy</t>
  </si>
  <si>
    <t>-&gt; 1A05P</t>
  </si>
  <si>
    <t>-&gt; Longworth Upper</t>
  </si>
  <si>
    <t>1A05P</t>
  </si>
  <si>
    <t>Longworth Upper</t>
  </si>
  <si>
    <t>-&gt; 1E03AP</t>
  </si>
  <si>
    <t>-&gt; Trophy Mountain</t>
  </si>
  <si>
    <t>1E03AP</t>
  </si>
  <si>
    <t>Trophy Mountain</t>
  </si>
  <si>
    <t>-&gt; 2B02AP</t>
  </si>
  <si>
    <t>-&gt; Farron</t>
  </si>
  <si>
    <t>2B02AP</t>
  </si>
  <si>
    <t>Farron</t>
  </si>
  <si>
    <t>-&gt; 2D05P</t>
  </si>
  <si>
    <t>-&gt; Gray Creek Lower</t>
  </si>
  <si>
    <t>2D05P</t>
  </si>
  <si>
    <t>Gray Creek Lower</t>
  </si>
  <si>
    <t>-&gt; 2D10P</t>
  </si>
  <si>
    <t>-&gt; Gray Creek Upper</t>
  </si>
  <si>
    <t>2D10P</t>
  </si>
  <si>
    <t>Gray Creek Upper</t>
  </si>
  <si>
    <t>-&gt; 2F03AP</t>
  </si>
  <si>
    <t>-&gt; McCulloch</t>
  </si>
  <si>
    <t>2F03AP</t>
  </si>
  <si>
    <t>-&gt; 2F19P</t>
  </si>
  <si>
    <t>-&gt; Oyama Lake</t>
  </si>
  <si>
    <t>2F19P</t>
  </si>
  <si>
    <t>Oyama Lake</t>
  </si>
  <si>
    <t>-&gt; 2F09P</t>
  </si>
  <si>
    <t>-&gt; Whiterocks Mountain</t>
  </si>
  <si>
    <t>2F09P</t>
  </si>
  <si>
    <t>Whiterocks Mountain</t>
  </si>
  <si>
    <t>-&gt; 2G06P</t>
  </si>
  <si>
    <t>-&gt; Hamilton Hill</t>
  </si>
  <si>
    <t>2G06P</t>
  </si>
  <si>
    <t>Hamilton Hill</t>
  </si>
  <si>
    <t>-&gt; 3B26p</t>
  </si>
  <si>
    <t>-&gt; Mount Arrowsmith</t>
  </si>
  <si>
    <t>3B26P</t>
  </si>
  <si>
    <t>Mount Arrowsmith</t>
  </si>
  <si>
    <t>-&gt; 3A28P</t>
  </si>
  <si>
    <t>-&gt; Tetrahedron</t>
  </si>
  <si>
    <t>3A28P</t>
  </si>
  <si>
    <t>Tetrahedron</t>
  </si>
  <si>
    <t>-&gt; 4B12P</t>
  </si>
  <si>
    <t>-&gt; Granduc</t>
  </si>
  <si>
    <t>Granduc</t>
  </si>
  <si>
    <t>-&gt; 01FW02</t>
  </si>
  <si>
    <t>-&gt; Lower Capilano Fire Weather</t>
  </si>
  <si>
    <t>-&gt; 123.11944 W, 49.38667 N, Elev. 250 m</t>
  </si>
  <si>
    <t>01FW02</t>
  </si>
  <si>
    <t>Lower Capilano Fire Weather</t>
  </si>
  <si>
    <t>Off mid-lake branch, east side of Cap Lake</t>
  </si>
  <si>
    <t>-&gt; 01FW04</t>
  </si>
  <si>
    <t>-&gt; Hesketh MET station</t>
  </si>
  <si>
    <t>-&gt; 123.1311 W, 49.4616 N, Elev. 600 m</t>
  </si>
  <si>
    <t>01FW04</t>
  </si>
  <si>
    <t>Hesketh MET station</t>
  </si>
  <si>
    <t>At the end of the active Hesketh Branch road</t>
  </si>
  <si>
    <t>-&gt; 01HY03</t>
  </si>
  <si>
    <t>-&gt; Enchantment Creek</t>
  </si>
  <si>
    <t>-&gt; 123.12674 W, 49.48524 N, Elev. 305 m</t>
  </si>
  <si>
    <t>01HY03</t>
  </si>
  <si>
    <t>Enchantment Creek</t>
  </si>
  <si>
    <t>Capilano mainline at 19km. Under powerlines</t>
  </si>
  <si>
    <t>-&gt; 01WQ01</t>
  </si>
  <si>
    <t>-&gt; Capilano Lake Raft</t>
  </si>
  <si>
    <t>-&gt; 123.11361 W, 49.36617 N, Elev. 145 m</t>
  </si>
  <si>
    <t>01WQ01</t>
  </si>
  <si>
    <t>Capilano Lake Raft</t>
  </si>
  <si>
    <t>On Capilano Lake, southwest side</t>
  </si>
  <si>
    <t>RPAR</t>
  </si>
  <si>
    <t>TW</t>
  </si>
  <si>
    <t>-&gt; 02FW01</t>
  </si>
  <si>
    <t>-&gt; Lower Seymour Fire Weather</t>
  </si>
  <si>
    <t>-&gt; 122.99552 W, 49.37925 N, Elev. 185 m</t>
  </si>
  <si>
    <t>02FW01</t>
  </si>
  <si>
    <t>Lower Seymour Fire Weather</t>
  </si>
  <si>
    <t>In the spur 2 pit in LSCR</t>
  </si>
  <si>
    <t>-&gt; 03WQ01</t>
  </si>
  <si>
    <t>-&gt; Seymour Lake Raft</t>
  </si>
  <si>
    <t>-&gt; 122.96094 W, 49.44935 N, Elev. 214 m</t>
  </si>
  <si>
    <t>03WQ01</t>
  </si>
  <si>
    <t>Seymour Lake Raft</t>
  </si>
  <si>
    <t>On Seymour Lake, southeast side</t>
  </si>
  <si>
    <t>-&gt; 04WQ03</t>
  </si>
  <si>
    <t>-&gt; Coquitlam Lake Raft 3</t>
  </si>
  <si>
    <t>-&gt; 122.78667 W, 49.35888 N, Elev. 150 m</t>
  </si>
  <si>
    <t>04WQ03</t>
  </si>
  <si>
    <t>Coquitlam Lake Raft 3</t>
  </si>
  <si>
    <t>On Coquitlam Lake, southeast side</t>
  </si>
  <si>
    <t>-&gt; 08GA'-&gt; 010</t>
  </si>
  <si>
    <t>-&gt; Capilano River above Lakehead</t>
  </si>
  <si>
    <t>-&gt; 123.14583 W, 49.39637 N, Elev. 183 m</t>
  </si>
  <si>
    <t>08GA010</t>
  </si>
  <si>
    <t>Capilano River above Lakehead</t>
  </si>
  <si>
    <t xml:space="preserve">At the north end of Cap Lake </t>
  </si>
  <si>
    <t>HG;TW;WT</t>
  </si>
  <si>
    <t>-&gt; 08GA'-&gt; 026</t>
  </si>
  <si>
    <t>-&gt; Capilano River at Mid Valley</t>
  </si>
  <si>
    <t>-&gt; 123.10972 W, 49.45389 N, Elev. 305 m</t>
  </si>
  <si>
    <t>08GA026</t>
  </si>
  <si>
    <t>Capilano River at Mid Valley</t>
  </si>
  <si>
    <t>At the junction of Cap mainline and East cap branch</t>
  </si>
  <si>
    <t>PP(SP)</t>
  </si>
  <si>
    <t>-&gt; 08GA077</t>
  </si>
  <si>
    <t>-&gt; Seymour river below Orchid Creek</t>
  </si>
  <si>
    <t>-&gt; 123.0038889 W, 49.52 N, Elev. 320 m</t>
  </si>
  <si>
    <t>08GA077</t>
  </si>
  <si>
    <t>Seymour river below Orchid Creek</t>
  </si>
  <si>
    <t>Approx. 23 km on Seymour Mainline</t>
  </si>
  <si>
    <t>-&gt; 1D18P</t>
  </si>
  <si>
    <t>-&gt; Disappointment Lake</t>
  </si>
  <si>
    <t>-&gt; 122.7591667 W, 49.555 N, Elev. 1050 m</t>
  </si>
  <si>
    <t>At the outflow from Disappointment Lake</t>
  </si>
  <si>
    <t>-&gt; 3A09P</t>
  </si>
  <si>
    <t>-&gt; Pallisade Lake</t>
  </si>
  <si>
    <t>-&gt; 123.0316667 W, 49.45444444 N, Elev. 900 m</t>
  </si>
  <si>
    <t>3A09P</t>
  </si>
  <si>
    <t xml:space="preserve">Pallisade Lake </t>
  </si>
  <si>
    <t>At the south end of Palisade dam</t>
  </si>
  <si>
    <t>PP(SP); PP(D)</t>
  </si>
  <si>
    <t>SW(Sc)</t>
  </si>
  <si>
    <t>RN</t>
  </si>
  <si>
    <t>-&gt; 3A19P</t>
  </si>
  <si>
    <t>-&gt; Orchid Lake</t>
  </si>
  <si>
    <t>-&gt; 123.05 W, 49.53611111 N, Elev. 1180 m</t>
  </si>
  <si>
    <t>3A19P</t>
  </si>
  <si>
    <t xml:space="preserve">Orchid Lake </t>
  </si>
  <si>
    <t>On open and broad ridge east of Orchid Lake</t>
  </si>
  <si>
    <t>-&gt; 3A29P</t>
  </si>
  <si>
    <t>-&gt; Loch Lomond</t>
  </si>
  <si>
    <t>-&gt; 123.04145 W, 49.59233 N, Elev. 1065 m</t>
  </si>
  <si>
    <t>3A29P</t>
  </si>
  <si>
    <t>Loch Lomond</t>
  </si>
  <si>
    <t>On island outcrop on west side of lake. Wind exposed</t>
  </si>
  <si>
    <t>-&gt; 8MH166</t>
  </si>
  <si>
    <t>-&gt; Cedar Creek above the Mouth</t>
  </si>
  <si>
    <t>-&gt; 122.7766667 W, 49.38083333 N, Elev. 150 m</t>
  </si>
  <si>
    <t>8MH166</t>
  </si>
  <si>
    <t>Cedar Creek above the Mouth</t>
  </si>
  <si>
    <t>At bridge on Coquitlam mainline at Cedar Creek</t>
  </si>
  <si>
    <t>Additional/data in hand</t>
  </si>
  <si>
    <t>-&gt; BC-FERN</t>
  </si>
  <si>
    <t>AtlSch</t>
  </si>
  <si>
    <t>Atlin School</t>
  </si>
  <si>
    <t>2010/08/01</t>
  </si>
  <si>
    <t>Alexandre Bevington, Omineca Region</t>
  </si>
  <si>
    <t>CasWx</t>
  </si>
  <si>
    <t>Cassiar</t>
  </si>
  <si>
    <t>Drive to site, rough unmaintained mountain road</t>
  </si>
  <si>
    <t>2016/08/07</t>
  </si>
  <si>
    <t>Mon1</t>
  </si>
  <si>
    <t>Monarch-1</t>
  </si>
  <si>
    <t>Monarch mtn</t>
  </si>
  <si>
    <t>SpectrumWx</t>
  </si>
  <si>
    <t>Mt. Edziza</t>
  </si>
  <si>
    <t>Helicopter access</t>
  </si>
  <si>
    <t>2015/09/10</t>
  </si>
  <si>
    <t>NDWx</t>
  </si>
  <si>
    <t>Northern Dancer</t>
  </si>
  <si>
    <t>Hike in, Yukon</t>
  </si>
  <si>
    <t>2007/08/01</t>
  </si>
  <si>
    <t>Duck</t>
  </si>
  <si>
    <t>Duck Hill Ranch (IDFxh2)</t>
  </si>
  <si>
    <t>Access from private land</t>
  </si>
  <si>
    <t>2018/05/01</t>
  </si>
  <si>
    <t>Brian Wallace, Thompson-Okanagan Region</t>
  </si>
  <si>
    <t>Goose</t>
  </si>
  <si>
    <t>Goose Lake Rd</t>
  </si>
  <si>
    <t>Drive to site on good FSR road</t>
  </si>
  <si>
    <t>2016/06/01</t>
  </si>
  <si>
    <t>Isobel</t>
  </si>
  <si>
    <t>Isobel Lake (IDFxh2)</t>
  </si>
  <si>
    <t>LDBLG</t>
  </si>
  <si>
    <t>LDB - Lower grassland</t>
  </si>
  <si>
    <t>Drive to site with MOE permission (permit)</t>
  </si>
  <si>
    <t>2017/04/01</t>
  </si>
  <si>
    <t>LDBG1</t>
  </si>
  <si>
    <t>LDB - LowerUpper grassland</t>
  </si>
  <si>
    <t>LDBMG</t>
  </si>
  <si>
    <t>LDB - Middle grassland</t>
  </si>
  <si>
    <t>LDBUG</t>
  </si>
  <si>
    <t>LDB - Upper grassland</t>
  </si>
  <si>
    <t>LDBG2</t>
  </si>
  <si>
    <t>LDB - UpperMiddle grassland</t>
  </si>
  <si>
    <t>BC-FERN</t>
  </si>
  <si>
    <t>WADF1 Seedtree</t>
  </si>
  <si>
    <t>117.0436111 W, 49.62333333 N, Elev. 830 m -&gt; 117.0436111 W, 49.62333333 N, Elev. 815 m</t>
  </si>
  <si>
    <t>WR02CC</t>
  </si>
  <si>
    <t>On east face of Redfish Cr, in 1985 clearcut</t>
  </si>
  <si>
    <t>1992/10/01</t>
  </si>
  <si>
    <t>Sarah Crookshanks, Kootenay Boundary Region</t>
  </si>
  <si>
    <t>WADF2 Burn</t>
  </si>
  <si>
    <t>117.0625 W, 49.64444444 N, Elev. 1290 m -&gt; 117.0626 W, 49.6445 N, Elev. 1270 m</t>
  </si>
  <si>
    <t>1992-10-07 to 2018-12-31</t>
  </si>
  <si>
    <t>WR01CC</t>
  </si>
  <si>
    <t>Redfish Cr, in 1990 clearcut</t>
  </si>
  <si>
    <t>WADF4 Cabin</t>
  </si>
  <si>
    <t xml:space="preserve">117.0641667 W, 49.66916667 N, Elev. 1735 m -&gt; 117.0643 W, 49.6693 N, Elev. 1715 m </t>
  </si>
  <si>
    <t>WR05CC</t>
  </si>
  <si>
    <t>Redfish Cr, in 1973 clearcut</t>
  </si>
  <si>
    <t>WADF5 Alpine</t>
  </si>
  <si>
    <t>117.0863889 W, 49.69 N, Elev. 2045 m -&gt; 117.0865 W, 49.69 N, Elev. 2085 m</t>
  </si>
  <si>
    <t>WR04AL</t>
  </si>
  <si>
    <t>Alpine site also includes MoE Snow Pillow 2D14P</t>
  </si>
  <si>
    <t>WADF7 Kokanee</t>
  </si>
  <si>
    <t>117.194916 W, 49.771598 N, Elev. 1970 m</t>
  </si>
  <si>
    <t>WK01AL</t>
  </si>
  <si>
    <t>Kokanee Glacier Provincial Park, Replaces former ranger station site</t>
  </si>
  <si>
    <t>Arrow</t>
  </si>
  <si>
    <t>Arrowstone</t>
  </si>
  <si>
    <t>On ridge between Arrowstone and Scottie Creeks, access up Scottie Cr and 5100 Rd</t>
  </si>
  <si>
    <t>Sheena Spencer, Southern Interior Region</t>
  </si>
  <si>
    <t>Chase Creek</t>
  </si>
  <si>
    <t>Clearcut</t>
  </si>
  <si>
    <t>2002/01/01</t>
  </si>
  <si>
    <t>WV1</t>
  </si>
  <si>
    <t>Sicamouse Creek - WV1</t>
  </si>
  <si>
    <t>1993/07/16</t>
  </si>
  <si>
    <t>PK</t>
  </si>
  <si>
    <t>Upper Penticton - PK</t>
  </si>
  <si>
    <t xml:space="preserve">241 Cr Clearing </t>
  </si>
  <si>
    <t>2017/09/20</t>
  </si>
  <si>
    <t>P1</t>
  </si>
  <si>
    <t>Upper Penticton Creek - P1</t>
  </si>
  <si>
    <t>Clearcut by trailer</t>
  </si>
  <si>
    <t>1991/08/22</t>
  </si>
  <si>
    <t>P5</t>
  </si>
  <si>
    <t>Upper Penticton Creek - P5</t>
  </si>
  <si>
    <t>240 Cr mature pine</t>
  </si>
  <si>
    <t>1996/01/01</t>
  </si>
  <si>
    <t>PB</t>
  </si>
  <si>
    <t>Upper Penticton Creek - PB</t>
  </si>
  <si>
    <t>241 Cr upper clearcut</t>
  </si>
  <si>
    <t>1999/07/22</t>
  </si>
  <si>
    <t>PC</t>
  </si>
  <si>
    <t>Upper Penticton Creek - PC</t>
  </si>
  <si>
    <t>241 upper mature pine</t>
  </si>
  <si>
    <t>1999/09/01</t>
  </si>
  <si>
    <t>PJ</t>
  </si>
  <si>
    <t>Upper Penticton Creek - PJ</t>
  </si>
  <si>
    <t>241 Cr lower 2 clearcut now young forest</t>
  </si>
  <si>
    <t>2005/10/22</t>
  </si>
  <si>
    <t>PL</t>
  </si>
  <si>
    <t>Upper Penticton Creek - PL</t>
  </si>
  <si>
    <t>2019/01/01</t>
  </si>
  <si>
    <t>WADF3 Ross</t>
  </si>
  <si>
    <t>117.0766667 W, 49.66194444 N, Elev. 1615 m</t>
  </si>
  <si>
    <t>WADF6 Westfork</t>
  </si>
  <si>
    <t>117.1636111 W, 49.64722222 N, Elev. 1200 m</t>
  </si>
  <si>
    <t>WADF8 Ranger</t>
  </si>
  <si>
    <t>117.1808333 W, 49.77305556 N, Elev. 2020 m</t>
  </si>
  <si>
    <t>Barren</t>
  </si>
  <si>
    <t>BarrenWx</t>
  </si>
  <si>
    <t>126.6143 W, 54.51044 N, Elev. 1051 m</t>
  </si>
  <si>
    <t>2021-07-09 to 2023-09-18</t>
  </si>
  <si>
    <t>Air Pressure (Point)|Dew Point Temperature (Mean)|Incoming Shortwave|Precipitation Amount|Relative Humidity (Mean)|Soil Liquid Water Content - 15 cm|Soil Liquid Water Content - 30 cm|Soil Liquid Water Content - 5cm|Soil Temperature|Temperature (Point)|Wind Direction (Mean)|Wind Gust (Max.)|Wind Speed (Mean)</t>
  </si>
  <si>
    <t>2021/07/09</t>
  </si>
  <si>
    <t>Vanessa Foord, North Area</t>
  </si>
  <si>
    <t>Blackhawk</t>
  </si>
  <si>
    <t>Blackhawk -&gt; BlackhawkWx</t>
  </si>
  <si>
    <t>120.352 W, 55.0789 N, Elev. 962.492 m -&gt; 120.3522 W, 55.0789 N, Elev. 962 m</t>
  </si>
  <si>
    <t>2012-05-24 to 2024-01-05</t>
  </si>
  <si>
    <t>Air Pressure (Point)|Dew Point Temperature (Mean)|Incoming Shortwave|Precipitation Amount|Relative Humidity (Mean)|Snow Depth|Soil Liquid Water Content - 15 cm|Temperature (Point)|Wind Direction (Mean)|Wind Gust (Max.)|Wind Speed (Mean)</t>
  </si>
  <si>
    <t>BlackhawkWx</t>
  </si>
  <si>
    <t>10 km on Kiskatinaw FSR</t>
  </si>
  <si>
    <t>2012/05/24</t>
  </si>
  <si>
    <t>BoulderCr</t>
  </si>
  <si>
    <t>Boulder Creek-&gt;BoulderWx</t>
  </si>
  <si>
    <t>127.375 W, 55.1082 N, Elev. 385.101 m -&gt; 127.3747 W, 55.1082 N, Elev. 385 m</t>
  </si>
  <si>
    <t>2010-06-07 to 2023-09-21</t>
  </si>
  <si>
    <t>Air Pressure (Point)|Dew Point Temperature (Mean)|Incoming Shortwave|Precipitation Amount|Relative Humidity (Mean)|Soil Liquid Water Content - 15 cm|Soil Moisture|Temperature (Point)|Wind Direction (Mean)|Wind Gust (Max.)|Wind Speed (Mean)</t>
  </si>
  <si>
    <t>Boulder Creek</t>
  </si>
  <si>
    <t>BoulderWx</t>
  </si>
  <si>
    <t>42 km west of Smithers near East Boulder Creek</t>
  </si>
  <si>
    <t>2010/10/13</t>
  </si>
  <si>
    <t>BowronPit</t>
  </si>
  <si>
    <t>Bowron Pit -&gt; BowronPit</t>
  </si>
  <si>
    <t>122.015389 W, 53.902111 N, Elev. 722 m</t>
  </si>
  <si>
    <t>2018-08-29 to 2024-01-05</t>
  </si>
  <si>
    <t>Bowron River gravel pit/rest area</t>
  </si>
  <si>
    <t>2018/09/13</t>
  </si>
  <si>
    <t>BulkleyWx</t>
  </si>
  <si>
    <t>122.720939 W, 53.771956 N, Elev. 599 m -&gt; 122.7207 W, 53.7722 N, Elev. 594 m</t>
  </si>
  <si>
    <t>2007-07-31 to 2023-10-17</t>
  </si>
  <si>
    <t>Air Pressure (Point)|Dew Point Temperature (Mean)|Incoming Shortwave|Precipitation Amount|Relative Humidity (Mean)|Soil Moisture|Temperature (Point)|Wind Direction (Mean)|Wind Gust (Max.)|Wind Speed (Mean)</t>
  </si>
  <si>
    <t>PGTIS1</t>
  </si>
  <si>
    <t>At the Prince George Tree Improvement Stn, Bulkley Orchard</t>
  </si>
  <si>
    <t>2007/07/31</t>
  </si>
  <si>
    <t>Canoe</t>
  </si>
  <si>
    <t>Canoe Mountain Stn</t>
  </si>
  <si>
    <t>119.191 W, 52.7098 N, Elev. 2210 m</t>
  </si>
  <si>
    <t>2012-03-22 to 2024-01-05</t>
  </si>
  <si>
    <t>Air Pressure (Point)|Dew Point Temperature (Mean)|Incoming Shortwave|Precipitation Amount|Relative Humidity (Mean)|Temperature (Point)|Wind Direction (Mean)|Wind Gust (Max.)|Wind Speed (Mean)</t>
  </si>
  <si>
    <t>Canoe Mountain alpine</t>
  </si>
  <si>
    <t>2009/09/10</t>
  </si>
  <si>
    <t>Caribou Pass</t>
  </si>
  <si>
    <t>129.54637 W, 58.35718 N, Elev. 1744 m</t>
  </si>
  <si>
    <t>2023-08-04 to 2024-01-05</t>
  </si>
  <si>
    <t>CaribouPass</t>
  </si>
  <si>
    <t>Shared with Tahltan Nation, in Tahltan territory (alpine area east of Dease Lake)</t>
  </si>
  <si>
    <t>2023/08/05</t>
  </si>
  <si>
    <t>Chapman</t>
  </si>
  <si>
    <t>ChapmanWx</t>
  </si>
  <si>
    <t>126.6235 W, 54.8839 N, Elev. 848 m</t>
  </si>
  <si>
    <t>2021-07-08 to 2023-09-22</t>
  </si>
  <si>
    <t>2021/07/08</t>
  </si>
  <si>
    <t>Chief Lake</t>
  </si>
  <si>
    <t>Chief Lake -&gt; ChiefLakeWx</t>
  </si>
  <si>
    <t>122.8775 W, 54.23821 N, Elev. 726 m -&gt; 122.8773 W, 54.2380 N, Elev. 720 m</t>
  </si>
  <si>
    <t>2019-07-05 to 2023-09-29</t>
  </si>
  <si>
    <t>ChiefWx</t>
  </si>
  <si>
    <t>ChiefLakeWx</t>
  </si>
  <si>
    <t>126km on 100 Rd, off ChiefLk FSR (200 Rd)</t>
  </si>
  <si>
    <t>2019/07/05</t>
  </si>
  <si>
    <t>CoalmineWx</t>
  </si>
  <si>
    <t>Coalmine Wx -&gt; CoalmineWx</t>
  </si>
  <si>
    <t>121.784639 W, 53.741139 N, Elev. 840 m</t>
  </si>
  <si>
    <t>2018-08-29 to 2023-09-26</t>
  </si>
  <si>
    <t>Air Pressure (Point)|Dew Point Temperature (Mean)|Incoming Shortwave|Precipitation Amount|Relative Humidity (Mean)|Soil Liquid Water Content - 15 cm|Temperature (Point)|Wind Direction (Mean)|Wind Gust (Max.)|Wind Speed (Mean)</t>
  </si>
  <si>
    <t>WillowCoalimeFSR 386km</t>
  </si>
  <si>
    <t>2018/09/14</t>
  </si>
  <si>
    <t>CPFWx</t>
  </si>
  <si>
    <t>122.718803 W, 53.753756 N, Elev. 595 m</t>
  </si>
  <si>
    <t>2007-08-09 to 2023-10-17</t>
  </si>
  <si>
    <t>PGTIS3</t>
  </si>
  <si>
    <t>At the Prince George Tree Improvement Stn, Central Plateau Finlay Orchard</t>
  </si>
  <si>
    <t>2007/08/09</t>
  </si>
  <si>
    <t>CrookedLk</t>
  </si>
  <si>
    <t>Shared with Kaska Dene, Kaska Dene territory (old Smith River airport)</t>
  </si>
  <si>
    <t>2023/08/08</t>
  </si>
  <si>
    <t>CrystalLk</t>
  </si>
  <si>
    <t>Crystal Lake-&gt;CrystalWx</t>
  </si>
  <si>
    <t>122.628 W, 54.4235 N, Elev. 744.027 m -&gt; 122.6278 W, 54.4235 N, Elev. 744 m</t>
  </si>
  <si>
    <t>2010-04-29 to 2023-10-11</t>
  </si>
  <si>
    <t>Crystal Lake</t>
  </si>
  <si>
    <t>CrystalWx</t>
  </si>
  <si>
    <t>1 km on Crystal Lake Rd, north of Summit Lake on Hwy 97</t>
  </si>
  <si>
    <t>2010//04/29</t>
  </si>
  <si>
    <t>PGTISDavis</t>
  </si>
  <si>
    <t>DavisPGTIS</t>
  </si>
  <si>
    <t>Open field at MoF Prince George Tree Improvement Station</t>
  </si>
  <si>
    <t>2019/07/04</t>
  </si>
  <si>
    <t>Dennis</t>
  </si>
  <si>
    <t>0 W, null N, Elev. null m -&gt; 127.51343 W, 54.7822 N, Elev. 980 m</t>
  </si>
  <si>
    <t>2021-07-08 to 2023-09-19</t>
  </si>
  <si>
    <t>McDonn</t>
  </si>
  <si>
    <t>2021/07/07</t>
  </si>
  <si>
    <t>Dunster</t>
  </si>
  <si>
    <t>Dunster -&gt; DunsterWx</t>
  </si>
  <si>
    <t>119.835 W, 53.1149 N, Elev. 890.205 m -&gt; 119.8353 W, 53.1149 N, Elev. 890 m</t>
  </si>
  <si>
    <t>2013-09-05 to 2024-01-05</t>
  </si>
  <si>
    <t>DunsterWx</t>
  </si>
  <si>
    <t>Dunster Trailhead</t>
  </si>
  <si>
    <t>2013/09/05</t>
  </si>
  <si>
    <t>EndakoWx</t>
  </si>
  <si>
    <t>125.991497 W, 54.422278 N, Elev. 856 m -&gt; 125.9913 W, 54.4224 N, Elev. 851 m</t>
  </si>
  <si>
    <t>2007-09-13 to 2023-09-15</t>
  </si>
  <si>
    <t>Endako</t>
  </si>
  <si>
    <t>off Endako Forest Service Rd, Nadina District (NW of Burns Lake)</t>
  </si>
  <si>
    <t>2007/09/13</t>
  </si>
  <si>
    <t>GeorgeWx</t>
  </si>
  <si>
    <t>124.663289 W, 53.963903 N, Elev. 878 m -&gt; 124.7107 W, 53.8836 N, Elev. 859 m</t>
  </si>
  <si>
    <t>2007-09-14 to 2023-10-30</t>
  </si>
  <si>
    <t>Air Pressure (Point)|Dew Point Temperature (Mean)|Incoming Shortwave|Precipitation Amount|Relative Humidity (Mean)|Soil Liquid Water Content - 15 cm|Soil Moisture|Soil Temperature|Temperature (Point)|Wind Direction (Mean)|Wind Gust (Max.)|Wind Speed (Mean)</t>
  </si>
  <si>
    <t>George</t>
  </si>
  <si>
    <t>3.5 km off 1100 Rd, Vanderhood district</t>
  </si>
  <si>
    <t>2007/09/14</t>
  </si>
  <si>
    <t>Gnat Pass Stn</t>
  </si>
  <si>
    <t>Gnat Pass -&gt; Gnat Pass Stn</t>
  </si>
  <si>
    <t>129.89044 W, 58.18275 N, Elev. 1656 m</t>
  </si>
  <si>
    <t>2012-07-19 to 2016-09-24</t>
  </si>
  <si>
    <t>BAFA</t>
  </si>
  <si>
    <t>2009/09/02</t>
  </si>
  <si>
    <t>GunnelReal</t>
  </si>
  <si>
    <t>Gunnel3</t>
  </si>
  <si>
    <t>123.977778 W, 58.745694 N, Elev. 1486 m</t>
  </si>
  <si>
    <t>2018-08-15 to 2022-09-27</t>
  </si>
  <si>
    <t>Second station on Mt. Gunnel, alpine</t>
  </si>
  <si>
    <t>2018/08/15</t>
  </si>
  <si>
    <t>GunnelWx</t>
  </si>
  <si>
    <t>123.977683 W, 58.75475 N, Elev. 1768 m -&gt; 123.977683 W, 58.75475 N, Elev. 1460 m</t>
  </si>
  <si>
    <t>2008-09-04 to 2015-08-06</t>
  </si>
  <si>
    <t>Air Pressure (Point)|Dew Point Temperature (Mean)|Incoming Shortwave|Precipitation Amount|Relative Humidity (Mean)|Temperature (Max.)|Temperature (Min.)|Temperature (Point)|Wind Direction (Mean)|Wind Gust (Max.)|Wind Speed (Mean)</t>
  </si>
  <si>
    <t>Gunnel1</t>
  </si>
  <si>
    <t>Alpine Mt. Gunnel, near Steamboat, helicopter access</t>
  </si>
  <si>
    <t>2008/09/04</t>
  </si>
  <si>
    <t>Hourglass</t>
  </si>
  <si>
    <t>Hourglass -&gt; HourglassWx</t>
  </si>
  <si>
    <t>120.772 W, 55.2127 N, Elev. 1131.2 m -&gt; 120.7716 W, 51.2128 N, Elev. 1131 m</t>
  </si>
  <si>
    <t>2012-05-24 to 2024-01-06</t>
  </si>
  <si>
    <t xml:space="preserve">Hourglass </t>
  </si>
  <si>
    <t>HourglassWx</t>
  </si>
  <si>
    <t>4km on Hourglass FSR</t>
  </si>
  <si>
    <t>2012/05/23</t>
  </si>
  <si>
    <t>HBMtn2</t>
  </si>
  <si>
    <t>Hudson Bay Mtn2</t>
  </si>
  <si>
    <t>127.2424 W, 54.7734 N, Elev. 1675 m -&gt; 127.2722 W, 54.7738 N, Elev. 1670 m</t>
  </si>
  <si>
    <t>2017-08-25 to 2024-01-08</t>
  </si>
  <si>
    <t>Hudson Bay Mtn, alpine</t>
  </si>
  <si>
    <t>2017/08/25</t>
  </si>
  <si>
    <t>Hudson Bay Stn</t>
  </si>
  <si>
    <t>Hudson Bay Mtn, parkland</t>
  </si>
  <si>
    <t>2009/06/26</t>
  </si>
  <si>
    <t>IBB1</t>
  </si>
  <si>
    <t>IBB1Wx</t>
  </si>
  <si>
    <t>2 km on Mt. Sweeney/Telus access road (off Sweeney Rd)</t>
  </si>
  <si>
    <t>2024/09/25</t>
  </si>
  <si>
    <t>IBB2</t>
  </si>
  <si>
    <t>IBB2Wx</t>
  </si>
  <si>
    <t>off Ganokwa Canyon Trail, Old Babine Lake Rd</t>
  </si>
  <si>
    <t>2024/07/26</t>
  </si>
  <si>
    <t>IBB3</t>
  </si>
  <si>
    <t>IBB3Wx</t>
  </si>
  <si>
    <t>4 km on 703 Rd (Pine Creek Rd), off of spur road</t>
  </si>
  <si>
    <t>2023/09/20</t>
  </si>
  <si>
    <t>Inklin</t>
  </si>
  <si>
    <t>Shared with Taku River Tlingit, technically on Taku R</t>
  </si>
  <si>
    <t>2023/06/15</t>
  </si>
  <si>
    <t>KennedySidingCC</t>
  </si>
  <si>
    <t>Kennedy Siding clearcut</t>
  </si>
  <si>
    <t>2009/07/30</t>
  </si>
  <si>
    <t>KennedySidingFor</t>
  </si>
  <si>
    <t>Kennedy Siding forest</t>
  </si>
  <si>
    <t>2007/10/30</t>
  </si>
  <si>
    <t>Kluskus</t>
  </si>
  <si>
    <t>124.513 W, 53.3979 N, Elev. 1110.35 m -&gt; 124.5131 W, 53.3979 N, Elev. 1110 m</t>
  </si>
  <si>
    <t>2010-07-16 to 2023-10-12</t>
  </si>
  <si>
    <t>BednestiWx</t>
  </si>
  <si>
    <t>94.5 km on Kluskus FSR</t>
  </si>
  <si>
    <t>2010/07/15</t>
  </si>
  <si>
    <t>MacJxn</t>
  </si>
  <si>
    <t>Mackenzie Jxn-&gt;MacJxnWx</t>
  </si>
  <si>
    <t>122.977 W, 55.1379 N, Elev. 718.723 m -&gt; 122.9772 W, 55.1379 N, Elev. 719 m</t>
  </si>
  <si>
    <t>2010-04-28 to 2023-10-11</t>
  </si>
  <si>
    <t>Mackenzie Jxn</t>
  </si>
  <si>
    <t>MacJxnWx</t>
  </si>
  <si>
    <t>2 km on Hwy 39 from the junction with Hwy 97</t>
  </si>
  <si>
    <t>2010/04/28</t>
  </si>
  <si>
    <t>MiddleforkWx</t>
  </si>
  <si>
    <t>122.7963 W, 57.550917 N, Elev. 972 m</t>
  </si>
  <si>
    <t>2007-07-12 to 2023-11-01</t>
  </si>
  <si>
    <t>MF1</t>
  </si>
  <si>
    <t>At Middlefork Creek, NE of Buckinghorse River</t>
  </si>
  <si>
    <t>2007/07/11</t>
  </si>
  <si>
    <t>NondaWx</t>
  </si>
  <si>
    <t>125.509361 W, 59.002111 N, Elev. 1683 m</t>
  </si>
  <si>
    <t>2007-07-12 to 2024-01-08</t>
  </si>
  <si>
    <t>Nonda1</t>
  </si>
  <si>
    <t>NW of Toad River, alpine site at end of Nonda Creek rd</t>
  </si>
  <si>
    <t>2007/07/12</t>
  </si>
  <si>
    <t>Perkins Peak Stn</t>
  </si>
  <si>
    <t>125.03981 W, 51.81296 N, Elev. 2092 m</t>
  </si>
  <si>
    <t>2012-07-30 to 2018-09-29</t>
  </si>
  <si>
    <t>Alpine, Perkins Peak</t>
  </si>
  <si>
    <t>2009/09/12</t>
  </si>
  <si>
    <t>PinkWx</t>
  </si>
  <si>
    <t>122.8651 W, 57.062067 N, Elev. 1748 m -&gt; 122.8649 W, 57.0616 N, Elev. 1756 m</t>
  </si>
  <si>
    <t>2008-09-08 to 2024-01-08</t>
  </si>
  <si>
    <t>Pink1</t>
  </si>
  <si>
    <t>Alpine, Pink Mountain</t>
  </si>
  <si>
    <t>2008/09/08</t>
  </si>
  <si>
    <t>SaxtonWx</t>
  </si>
  <si>
    <t>122.977 W, 55.1379 N, Elev. 718.723 m -&gt; 122.3007 W, 55.1379 N, Elev. 718 m</t>
  </si>
  <si>
    <t>2007-07-04 to 2023-10-05</t>
  </si>
  <si>
    <t>Air Pressure (Point)|Dew Point Temperature (Mean)|Incoming Shortwave|Precipitation Amount|Relative Humidity (Mean)|Soil Liquid Water Content - 15 cm|Soil Liquid Water Content - 5cm|Temperature (Point)|Wind Direction (Mean)|Wind Gust (Max.)|Wind Speed (Mean)</t>
  </si>
  <si>
    <t>Saxton</t>
  </si>
  <si>
    <t>Saxton Lake, off NW of end of Chief Lk Rd, near Prince George</t>
  </si>
  <si>
    <t>2007/06/29</t>
  </si>
  <si>
    <t>Seebach</t>
  </si>
  <si>
    <t>SeebachWx</t>
  </si>
  <si>
    <t>0.2 km on Hayden FSR (north of jxn with Seebach FSR)</t>
  </si>
  <si>
    <t>2023/07/13</t>
  </si>
  <si>
    <t>SmithersCmpd</t>
  </si>
  <si>
    <t>127.139994 W, 54.773403 N, Elev. 484 m</t>
  </si>
  <si>
    <t>2008-12-19 to 2009-06-25</t>
  </si>
  <si>
    <t>SmitherCmpd</t>
  </si>
  <si>
    <t>Ministry of Forests Skeena district office compound, Smithers</t>
  </si>
  <si>
    <t>2006/06/26</t>
  </si>
  <si>
    <t>SummitLk</t>
  </si>
  <si>
    <t>SumWxCC</t>
  </si>
  <si>
    <t>Located in cleared logged stand near Tay Cr, south of Summit Lake, DPG</t>
  </si>
  <si>
    <t>Renamed from McBride Mountain (12063). Check for data gaps and fill from 12063.</t>
  </si>
  <si>
    <t>Sunbeam</t>
  </si>
  <si>
    <t>120.12108 W, 53.33869 N, Elev. 2000 m</t>
  </si>
  <si>
    <t>2009-09-09 to 2024-01-08</t>
  </si>
  <si>
    <t>Mcbride Mountain Stn</t>
  </si>
  <si>
    <t>Alpine, McBride Peak</t>
  </si>
  <si>
    <t>2009/09/09</t>
  </si>
  <si>
    <t>Bednesti</t>
  </si>
  <si>
    <t>2021/06/10</t>
  </si>
  <si>
    <t>Locaiton</t>
  </si>
  <si>
    <t>ThompsonWx</t>
  </si>
  <si>
    <t>126.101008 W, 54.336006 N, Elev. 866 m -&gt; 126.0994 W, 54.3331 N, Elev. 869 m</t>
  </si>
  <si>
    <t>2007-09-12 to 2023-09-13</t>
  </si>
  <si>
    <t>Thompson</t>
  </si>
  <si>
    <t>off Thompson FSR, Nadina District, SW of Burns Lk</t>
  </si>
  <si>
    <t>2007/09/12</t>
  </si>
  <si>
    <t>Willow-BowronWx</t>
  </si>
  <si>
    <t>122.724517 W, 53.772461 N, Elev. 602 m -&gt; 122.7246 W, 53.7226 N, Elev. 596 m</t>
  </si>
  <si>
    <t>PGTIS2</t>
  </si>
  <si>
    <t>At the Prince George Tree Improvement Stn, Willow Bowron Orchard</t>
  </si>
  <si>
    <t>3B28P</t>
  </si>
  <si>
    <t>Cain Ridge_Run</t>
  </si>
  <si>
    <t>Located on lower Ridge Runner at Mount Cain</t>
  </si>
  <si>
    <t>2009/01/01</t>
  </si>
  <si>
    <t>Datla</t>
  </si>
  <si>
    <t>Datlaman Pass</t>
  </si>
  <si>
    <t>Haida Gwaii</t>
  </si>
  <si>
    <t>2014/09/01</t>
  </si>
  <si>
    <t>3A30P</t>
  </si>
  <si>
    <t>Homathko</t>
  </si>
  <si>
    <t>CryoNode</t>
  </si>
  <si>
    <t>2018/09/27</t>
  </si>
  <si>
    <t>3C11P</t>
  </si>
  <si>
    <t>Klinakllini</t>
  </si>
  <si>
    <t>2018/09/28</t>
  </si>
  <si>
    <t>3B29P</t>
  </si>
  <si>
    <t>Lower Cain</t>
  </si>
  <si>
    <t>on skin up trail from west bowl</t>
  </si>
  <si>
    <t>2019/12/01</t>
  </si>
  <si>
    <t>3C12P</t>
  </si>
  <si>
    <t>Machmell Kliniklini</t>
  </si>
  <si>
    <t>Central Coast</t>
  </si>
  <si>
    <t>Mount Buxton</t>
  </si>
  <si>
    <t>East Ridge of Mount Buxton at tree line on Calvert Island</t>
  </si>
  <si>
    <t>3A31P</t>
  </si>
  <si>
    <t>Mount Cayley</t>
  </si>
  <si>
    <t>South Coast, fire weather site</t>
  </si>
  <si>
    <t>2015/08/01</t>
  </si>
  <si>
    <t>3C13P</t>
  </si>
  <si>
    <t>Mount Maya</t>
  </si>
  <si>
    <t>Mount Maya at treeline in Talkchako Watershed</t>
  </si>
  <si>
    <t>2013/10/12</t>
  </si>
  <si>
    <t>3a29P</t>
  </si>
  <si>
    <t>Perseverence Creek</t>
  </si>
  <si>
    <t>upper perseverance watershed</t>
  </si>
  <si>
    <t>1D20P</t>
  </si>
  <si>
    <t>Place Glacier</t>
  </si>
  <si>
    <t>3A32P</t>
  </si>
  <si>
    <t>Plummer Hut</t>
  </si>
  <si>
    <t>CryoNode, Near Claw Peak, located at Pluumer Hut</t>
  </si>
  <si>
    <t>2020/10/01</t>
  </si>
  <si>
    <t>RennellP</t>
  </si>
  <si>
    <t>Rennell Pass</t>
  </si>
  <si>
    <t>Queen Charlotte Islands -Located at pass on road (8.5km) to Rennell Sound as part of Rennell Sound Long Term Research</t>
  </si>
  <si>
    <t>2009/08/01</t>
  </si>
  <si>
    <t>Russell_Main</t>
  </si>
  <si>
    <t>Russell at mouth</t>
  </si>
  <si>
    <t>Located in Russell Creek Experimental Watershed on Tsitika FSR km 5.5</t>
  </si>
  <si>
    <t>1991/07/01</t>
  </si>
  <si>
    <t>STEPH_1</t>
  </si>
  <si>
    <t>Stephanie 1</t>
  </si>
  <si>
    <t>Located in Russell Creek Experimental Watershed. Above treeline, highest station in watershed, access from end of TS120 via foot</t>
  </si>
  <si>
    <t>2008/05/01</t>
  </si>
  <si>
    <t>STEPH_2</t>
  </si>
  <si>
    <t>Stephanie 2</t>
  </si>
  <si>
    <t>Located in Russell Creek Experimental Watershed. Located at end of TS120 at top of clearcut.</t>
  </si>
  <si>
    <t>2008/09/01</t>
  </si>
  <si>
    <t>STEPH_3</t>
  </si>
  <si>
    <t>Stephanie 3</t>
  </si>
  <si>
    <t>Located in Russell Creek Experimental Watershed. Located on road TS120 in clearcut on exposed ridge</t>
  </si>
  <si>
    <t>STEPH_4</t>
  </si>
  <si>
    <t>Stephanie 4</t>
  </si>
  <si>
    <t>Located in Russell Creek Experimental Watershed. Located on road TS120 in clearcut NW aspect.</t>
  </si>
  <si>
    <t>STEPH_6</t>
  </si>
  <si>
    <t>Stephanie 6</t>
  </si>
  <si>
    <t>Located in Russell Creek Experimental Watershed. Located on road TS120 on large landing.</t>
  </si>
  <si>
    <t>1995/07/01</t>
  </si>
  <si>
    <t>STEPH_7</t>
  </si>
  <si>
    <t>Stephanie 7</t>
  </si>
  <si>
    <t>Located in Russell Creek Experimental Watershed. Located on road TS120 in clearcut</t>
  </si>
  <si>
    <t>2005/09/01</t>
  </si>
  <si>
    <t>STEPH_8</t>
  </si>
  <si>
    <t>Stephanie 8</t>
  </si>
  <si>
    <t>2009/09/01</t>
  </si>
  <si>
    <t>3B27P</t>
  </si>
  <si>
    <t>Upper Cruickshank</t>
  </si>
  <si>
    <t>Upper Cruiskshank watershed, near strathcona park boundary</t>
  </si>
  <si>
    <t>2020/11/07</t>
  </si>
  <si>
    <t>Upper_Russell</t>
  </si>
  <si>
    <t>Upper Russell</t>
  </si>
  <si>
    <t>Located in Russell Creek Experimental watershed at junction of TS120 and Llatlos Rd.  Site is adjacent to Upper Russell stream gauge</t>
  </si>
  <si>
    <t>4B19P</t>
  </si>
  <si>
    <t>Upper Skeena</t>
  </si>
  <si>
    <t>Gitksan partner</t>
  </si>
  <si>
    <t>2021/09/02</t>
  </si>
  <si>
    <t>BednestiTamarac</t>
  </si>
  <si>
    <t>123.3704 W, 53.87133 N, Elev. 865 m</t>
  </si>
  <si>
    <t>2021-07-21 to 2023-10-04</t>
  </si>
  <si>
    <t>Dew Point Temperature (Mean)|Precipitation Amount|Relative Humidity (Mean)|Soil Liquid Water Content - 15 cm|Soil Liquid Water Content - 30 cm|Soil Liquid Water Content - 5cm|Soil Temperature|Temperature (Point)|Wind Gust (Max.)|Wind Speed (Mean)</t>
  </si>
  <si>
    <t>BEE_Clearcut</t>
  </si>
  <si>
    <t>EP1104.01 Beedy Creek (SBSdw10</t>
  </si>
  <si>
    <t>122.1054167 W, 55.63731667 N, Elev. 879 m</t>
  </si>
  <si>
    <t>1991-05-30 to 1995-10-11</t>
  </si>
  <si>
    <t>Precipitation Amount|Relative Humidity (Max.)|Relative Humidity (Mean)|Relative Humidity (Min.)|Temperature (Max.)|Temperature (Mean)|Temperature (Min.)|Wind Direction (Mean)|Wind Speed (Mean)</t>
  </si>
  <si>
    <t>Mt_Tom_2</t>
  </si>
  <si>
    <t>EP1104.02 Mt. Tom (ESSFwc3)</t>
  </si>
  <si>
    <t>121.7751667 W, 53.1695 N, Elev. 1585 m</t>
  </si>
  <si>
    <t>2002-07-20 to 2011-09-23</t>
  </si>
  <si>
    <t>Precipitation Amount|Temperature (Max.)|Temperature (Mean)|Temperature (Min.)</t>
  </si>
  <si>
    <t>Mt_Tom_1</t>
  </si>
  <si>
    <t>EP1104.02 Mt. Tom (ESSFwk1)</t>
  </si>
  <si>
    <t>121.7990167 W, 53.18316667 N, Elev. 1460 m</t>
  </si>
  <si>
    <t>2001-07-25 to 2011-09-23</t>
  </si>
  <si>
    <t>Precipitation Amount|Temperature (Max.)|Temperature (Mean)|Temperature (Min.)|Wind Speed (Mean)</t>
  </si>
  <si>
    <t>Blackbear</t>
  </si>
  <si>
    <t>EP1104.02 Quesnel Highland (ESSFwc3)</t>
  </si>
  <si>
    <t>121.4111 W, 52.60923333 N, Elev. 1558 m</t>
  </si>
  <si>
    <t>1993-10-08 to 2011-09-24|1997-09-24 to 1999-06-26</t>
  </si>
  <si>
    <t>Precipitation Amount|Relative Humidity (Max.)|Relative Humidity (Mean)|Relative Humidity (Min.)|Temperature (Max.)|Temperature (Mean)|Temperature (Min.)|Wind Speed (Mean)</t>
  </si>
  <si>
    <t>4195|8250</t>
  </si>
  <si>
    <t>Upper_Grain_Creek</t>
  </si>
  <si>
    <t>121.2015333 W, 52.68636667 N, Elev. 1518 m</t>
  </si>
  <si>
    <t>1994-09-18 to 1999-08-23</t>
  </si>
  <si>
    <t>Lower_Grain_Creek</t>
  </si>
  <si>
    <t>121.1867333 W, 52.67636667 N, Elev. 1621 m</t>
  </si>
  <si>
    <t>1994-09-18 to 1999-09-13</t>
  </si>
  <si>
    <t>Block5_Clearcut</t>
  </si>
  <si>
    <t>EP1208 Itcha-Ilgachuz</t>
  </si>
  <si>
    <t>124.76565 W, 52.50326667 N, Elev. 1602 m</t>
  </si>
  <si>
    <t>2000-06-02 to 2011-09-25</t>
  </si>
  <si>
    <t xml:space="preserve">Renamed to Sunbeam (13069) Check for duplicate data - delete this entry after identified gaps are filled. </t>
  </si>
  <si>
    <t>McBridePeak</t>
  </si>
  <si>
    <t>120.121 W, 53.3387 N, Elev. 2000 m</t>
  </si>
  <si>
    <t>2009-09-09 to 2018-10-31</t>
  </si>
  <si>
    <t>McDonnellWx</t>
  </si>
  <si>
    <t>127.5143 W, 54.78217 N, Elev. 980 m</t>
  </si>
  <si>
    <t>2021-07-08 to 2022-10-27</t>
  </si>
  <si>
    <t>NorthFraser</t>
  </si>
  <si>
    <t>122.4907 W, 54.24385 N, Elev. 698 m</t>
  </si>
  <si>
    <t>2021-06-15 to 2023-10-09</t>
  </si>
  <si>
    <t>Precipitation Amount|Relative Humidity (Mean)|Soil Liquid Water Content - 15 cm|Soil Liquid Water Content - 30 cm|Soil Liquid Water Content - 5cm|Soil Temperature|Temperature (Point)|Wind Direction (Mean)|Wind Speed (Mean)</t>
  </si>
  <si>
    <t>StoneCreek</t>
  </si>
  <si>
    <t>122.5379 W, 53.61622 N, Elev. 881 m</t>
  </si>
  <si>
    <t>2021-06-18 to 2023-10-06</t>
  </si>
  <si>
    <t>Air Pressure (Point)|Incoming Shortwave|Precipitation Amount|Relative Humidity (Mean)|Soil Liquid Water Content - 15 cm|Soil Liquid Water Content - 30 cm|Soil Liquid Water Content - 5cm|Soil Temperature|Temperature (Point)|Wind Direction (Mean)|Wind Speed (Mean)</t>
  </si>
  <si>
    <t>MoFR-Research</t>
  </si>
  <si>
    <t>M2</t>
  </si>
  <si>
    <t>Mayson Lake - M2</t>
  </si>
  <si>
    <t>Interm. thinned/pruned pine</t>
  </si>
  <si>
    <t>1995-1997, 2005-present</t>
  </si>
  <si>
    <t>Rita Winkler, Souther Interior Region</t>
  </si>
  <si>
    <t>250-828-4162</t>
  </si>
  <si>
    <t>T,H,S,WSD</t>
  </si>
  <si>
    <t>M3</t>
  </si>
  <si>
    <t>Mayson Lake - M3</t>
  </si>
  <si>
    <t>Intermediate pine</t>
  </si>
  <si>
    <t>M4</t>
  </si>
  <si>
    <t>Mayson Lake - M4</t>
  </si>
  <si>
    <t>Mature SeBlPl</t>
  </si>
  <si>
    <t xml:space="preserve"> </t>
  </si>
  <si>
    <t>M5</t>
  </si>
  <si>
    <t>Mayson Lake - M5</t>
  </si>
  <si>
    <t>Clearcut/Young pine</t>
  </si>
  <si>
    <t>2005-present</t>
  </si>
  <si>
    <t>M8</t>
  </si>
  <si>
    <t>Mayson Lake - M8</t>
  </si>
  <si>
    <t>Powder Rd clearcut</t>
  </si>
  <si>
    <t>2009-present</t>
  </si>
  <si>
    <t xml:space="preserve"> -&gt; PC-FWx</t>
  </si>
  <si>
    <t>-&gt; CBA4C38A</t>
  </si>
  <si>
    <t>-&gt; Bennett</t>
  </si>
  <si>
    <t>-&gt; 135.0002 W, 59.8441 N, Elev. 702 m</t>
  </si>
  <si>
    <t>CRD</t>
  </si>
  <si>
    <t>AGRI -&gt; MVRD</t>
  </si>
  <si>
    <t>AGRI</t>
  </si>
  <si>
    <t>MoTIe</t>
  </si>
  <si>
    <t>-&gt; MoTIe</t>
  </si>
  <si>
    <t>114.8905 W, 49.88374 N, Elev. 1246 m -&gt; 114.89041 W, 48.44395 N, 1246 m</t>
  </si>
  <si>
    <t>FLNRO-WMB -&gt; PARKS CANADA</t>
  </si>
  <si>
    <t>FLNRO-WMB -&gt; ECCC</t>
  </si>
  <si>
    <t>FLNRO-WMB</t>
  </si>
  <si>
    <t>FLNRO-WMB -&gt; NAVCAN</t>
  </si>
  <si>
    <t>FLNRO-WMB -&gt; ECCC (NAVCN?)</t>
  </si>
  <si>
    <t>FLNRO-WMB -&gt; ECCC (NAVCAN)?</t>
  </si>
  <si>
    <t>FLNRO-WMB -&gt; ECCC???</t>
  </si>
  <si>
    <t>FLNRO-WMB -&gt; ECCC/NAVCAN</t>
  </si>
  <si>
    <t>FLNRO-WMB -&gt; CRD</t>
  </si>
  <si>
    <t>FLNRO-WMB -&gt; MVRD</t>
  </si>
  <si>
    <t>FLNRO-WMB -&gt; BC-FERN</t>
  </si>
  <si>
    <t>FLNRO-WMB -&gt; BC Hydro Site C</t>
  </si>
  <si>
    <t>FLNRO-WMB -&gt; BC Hydro</t>
  </si>
  <si>
    <t>-&gt; FLNRO-WMB</t>
  </si>
  <si>
    <t>ENV-AQN</t>
  </si>
  <si>
    <t>ENV-AQN -&gt; PRPA</t>
  </si>
  <si>
    <t>117.60711 W, 49.046405 N, Elev. null m -&gt; 11760711W, 49.04605 N, Elev. 428 m</t>
  </si>
  <si>
    <t>ENV-AQN -&gt; MVRD</t>
  </si>
  <si>
    <t>ENV-AQN -&gt; BCH Site C</t>
  </si>
  <si>
    <t>ENV-AQN -&gt; BC Hydro Site C</t>
  </si>
  <si>
    <t>ENV-AQN -&gt; BC H Site C</t>
  </si>
  <si>
    <r>
      <rPr>
        <b/>
        <strike/>
        <sz val="11"/>
        <color rgb="FF9C0006"/>
        <rFont val="Aptos Narrow"/>
      </rPr>
      <t>ENV-AQN</t>
    </r>
    <r>
      <rPr>
        <b/>
        <sz val="11"/>
        <color rgb="FF9C0006"/>
        <rFont val="Aptos Narrow"/>
      </rPr>
      <t xml:space="preserve"> -&gt; MVRD</t>
    </r>
  </si>
  <si>
    <t>ENV-ASP -&gt; RT</t>
  </si>
  <si>
    <t>-&gt; BCH</t>
  </si>
  <si>
    <t>BCH</t>
  </si>
  <si>
    <t>BCH -&gt; ENV ASP</t>
  </si>
  <si>
    <t>ENV-ASP</t>
  </si>
  <si>
    <t>-&gt; 126.109406 W, 49.7049639 N, Elev. 10 m</t>
  </si>
  <si>
    <t>122.942242 W, 50.730979 N, Elev. 1012 m</t>
  </si>
  <si>
    <t>BCH -&gt; PARKS CANADA</t>
  </si>
  <si>
    <t>125.669767 W, 50.093619 N, Elev. 226 m</t>
  </si>
  <si>
    <t>124.096333 W, 55.41635 N, Elev. 1189 m</t>
  </si>
  <si>
    <t>ENV-ASP -&gt; BCH</t>
  </si>
  <si>
    <t>ENV-ASP -&gt; MVRD</t>
  </si>
  <si>
    <t xml:space="preserve">ENV-ASP </t>
  </si>
  <si>
    <t>-&gt; ENV ASP</t>
  </si>
  <si>
    <t>FLNRO-FERN -&gt; BC-FERN</t>
  </si>
  <si>
    <t>SBSmc3Wx</t>
  </si>
  <si>
    <t xml:space="preserve"> -&gt; PARKS CANADA</t>
  </si>
  <si>
    <t>Network names</t>
  </si>
  <si>
    <t>New Name</t>
  </si>
  <si>
    <t>Old Designation</t>
  </si>
  <si>
    <t>Transitionary Designation</t>
  </si>
  <si>
    <t>Agency</t>
  </si>
  <si>
    <t>PCIC PCDS Naming</t>
  </si>
  <si>
    <r>
      <rPr>
        <sz val="11"/>
        <color theme="1"/>
        <rFont val="Aptos Narrow"/>
      </rPr>
      <t xml:space="preserve">DataMart Partner Directory </t>
    </r>
    <r>
      <rPr>
        <i/>
        <sz val="11"/>
        <color theme="1"/>
        <rFont val="Aptos Narrow"/>
      </rPr>
      <t>(italics and Rjustified planned)</t>
    </r>
  </si>
  <si>
    <t>Network</t>
  </si>
  <si>
    <t>Current</t>
  </si>
  <si>
    <t>Suggested Network name (blanks infer no change)</t>
  </si>
  <si>
    <t>AF</t>
  </si>
  <si>
    <t>BC Gov</t>
  </si>
  <si>
    <t>bc-agriweather</t>
  </si>
  <si>
    <t> AGRI                   | BC Ministry of Agriculture and Foods                                                    | f</t>
  </si>
  <si>
    <t> MoAg_GS                | BC Ministry of Agriculture Growers Supply                                               | f</t>
  </si>
  <si>
    <t>ENV</t>
  </si>
  <si>
    <t>AIR</t>
  </si>
  <si>
    <t>ENV/AIR</t>
  </si>
  <si>
    <t>Air</t>
  </si>
  <si>
    <t>bc-env-aq</t>
  </si>
  <si>
    <t> ENV-AQN                | BC Ministry of Environment and Climate Change Strategy - Air Quality Network            | t</t>
  </si>
  <si>
    <t>ASWS</t>
  </si>
  <si>
    <t>Snow</t>
  </si>
  <si>
    <t>bc-enc-snow</t>
  </si>
  <si>
    <t> ENV-ASP                | BC Ministry of Environment and Climate Change Strategy - Automated Snow Weather Network | t</t>
  </si>
  <si>
    <t>Hydrometric Agreement</t>
  </si>
  <si>
    <t>ENV/WSC</t>
  </si>
  <si>
    <t>Hydrometric</t>
  </si>
  <si>
    <t>ENV/CLIM</t>
  </si>
  <si>
    <t>FOR</t>
  </si>
  <si>
    <t>BCTS</t>
  </si>
  <si>
    <t>Timber Sales</t>
  </si>
  <si>
    <t>BC-TS</t>
  </si>
  <si>
    <t>bc-forestry</t>
  </si>
  <si>
    <t> FLNRO-WMB              | BC Ministry of Forests - Wildfire Service Network                                       | t</t>
  </si>
  <si>
    <t>BCWS</t>
  </si>
  <si>
    <t>Fire Weather</t>
  </si>
  <si>
    <t>FERN</t>
  </si>
  <si>
    <t>Forest Ecosystem Research</t>
  </si>
  <si>
    <t>FLNRO-FERN</t>
  </si>
  <si>
    <t> FLNRO-FERN             | BC Ministry of Forests - Forest Ecosystems Research Network                             | t</t>
  </si>
  <si>
    <t>MOTI or TRAN</t>
  </si>
  <si>
    <t>Ministry of Transportation and Infrastructure</t>
  </si>
  <si>
    <t>MoTT</t>
  </si>
  <si>
    <t>Avalanche &amp; Road Weather</t>
  </si>
  <si>
    <t>MoTIm</t>
  </si>
  <si>
    <t>bc-tran</t>
  </si>
  <si>
    <t>Not Transferred</t>
  </si>
  <si>
    <t> MoTIm                  | Ministry of Transportation and Infrastructure - Manual stations                         | t</t>
  </si>
  <si>
    <t> MoTIe                  | Ministry of Transportation and Infrastructure - Automated stations                      | t</t>
  </si>
  <si>
    <t> MoTI                   |                                                                                         | f</t>
  </si>
  <si>
    <t>ARDA</t>
  </si>
  <si>
    <t>Agriculture Research Development Network</t>
  </si>
  <si>
    <t> ARDA                   | Agricultural and Rural Development Act Network                                          | t</t>
  </si>
  <si>
    <t> PCIC Climate Variables | Synthetic network for climate variables computed by PCIC                                | t</t>
  </si>
  <si>
    <t>FRBC</t>
  </si>
  <si>
    <t>Forest Renewal BC</t>
  </si>
  <si>
    <t> FRBC                   | Forest Renewal British Columbia                                                         | t</t>
  </si>
  <si>
    <t>BC Hydro</t>
  </si>
  <si>
    <t>Hydrometeorologic Monitoring and Data Management</t>
  </si>
  <si>
    <t>GSO-HMP</t>
  </si>
  <si>
    <t>bc-hydro</t>
  </si>
  <si>
    <t>BCH                    | BC Hydro                                                                                | t</t>
  </si>
  <si>
    <t>Site C</t>
  </si>
  <si>
    <t>BCH-SiteC</t>
  </si>
  <si>
    <t>BC Hydro/Parks Canada</t>
  </si>
  <si>
    <t>Canada</t>
  </si>
  <si>
    <t>Parks Avalanche</t>
  </si>
  <si>
    <t>PC-Aval</t>
  </si>
  <si>
    <t xml:space="preserve">Parks Fire Weather </t>
  </si>
  <si>
    <t>PC-FWx</t>
  </si>
  <si>
    <t>pc-firewx</t>
  </si>
  <si>
    <t>ECCC</t>
  </si>
  <si>
    <t>Daily Climate</t>
  </si>
  <si>
    <t>ECCC/DAILYCLIM</t>
  </si>
  <si>
    <t>MSC Daily Climate</t>
  </si>
  <si>
    <t>EC</t>
  </si>
  <si>
    <t>EC RAW</t>
  </si>
  <si>
    <t>EC-RAW</t>
  </si>
  <si>
    <t> EC                     | Environment and Climate Change Canada (Canadian Daily Climate Data 2007)                | t</t>
  </si>
  <si>
    <t>HYDAT/CLIM</t>
  </si>
  <si>
    <t>ECCC/HYDATCLIM</t>
  </si>
  <si>
    <t>No longer required</t>
  </si>
  <si>
    <t> EC_raw                 | Environment and Climate Change Canada (raw observations from "Climate Data Online")     | t</t>
  </si>
  <si>
    <t>MARINE/Moored Buoy</t>
  </si>
  <si>
    <t>ECCC/BUOY</t>
  </si>
  <si>
    <t>MSC Bouy</t>
  </si>
  <si>
    <t> EC_AHCCD               | Environment and Climate Change Canada (Adjusted and Homogenized Canadian Climate Data)  | f</t>
  </si>
  <si>
    <t>SURFACE/CLIMATE</t>
  </si>
  <si>
    <t>ECCC/SFCWx</t>
  </si>
  <si>
    <t>MSC Surface Wx</t>
  </si>
  <si>
    <t> EC_Buoy                | Environment and Climate Change Canada (Marine Buoys)                                    | f</t>
  </si>
  <si>
    <t>Water Supply</t>
  </si>
  <si>
    <t>bc-crd</t>
  </si>
  <si>
    <t> CRD                    | Capital Regional District Water Supply Area                                             | t</t>
  </si>
  <si>
    <t>FOR-UNBC</t>
  </si>
  <si>
    <t>University of Northern British Columbia/Cariboo Alpine Mesonet</t>
  </si>
  <si>
    <t>UNBC/CAM</t>
  </si>
  <si>
    <t>UNBC</t>
  </si>
  <si>
    <t>Cariboo Alpine Monitoring</t>
  </si>
  <si>
    <t>UNBC_CAM</t>
  </si>
  <si>
    <t> UNBC_CAM               | UNBC Cariboo Alpine Mesonet                                                             | t</t>
  </si>
  <si>
    <t>Air Quality</t>
  </si>
  <si>
    <t>MVRD/AIR</t>
  </si>
  <si>
    <t>Mvan</t>
  </si>
  <si>
    <t>bc-mvrd</t>
  </si>
  <si>
    <t>Watershed Management Network</t>
  </si>
  <si>
    <t>MVRD/WT</t>
  </si>
  <si>
    <t> MVan                   | Metro Vancouver and Climate Change Strategy - Air Quality Network                       | t</t>
  </si>
  <si>
    <t>NAVCAN</t>
  </si>
  <si>
    <t>NAVCanada</t>
  </si>
  <si>
    <t>Nav Canada</t>
  </si>
  <si>
    <t>Rio Tinto</t>
  </si>
  <si>
    <t>bc-RioTinto</t>
  </si>
  <si>
    <t> RT                     | Rio Tinto                                                                               | t</t>
  </si>
  <si>
    <t>HAKAI</t>
  </si>
  <si>
    <t>HAK</t>
  </si>
  <si>
    <t> HAK                    | Hakai Institute                                                                         | f</t>
  </si>
  <si>
    <t>Prince Rupert Port Authority</t>
  </si>
  <si>
    <t>PRPA</t>
  </si>
  <si>
    <t> ARD                    | Agricultural Resource Development office - Alberta                                      | f</t>
  </si>
  <si>
    <t> YT_WFM                 | Yukon Wildland Fire Management Branch                                                   | f</t>
  </si>
  <si>
    <t> YAA                    | Yukon Avalanche Association                                                             | f</t>
  </si>
  <si>
    <t> DFO_CCG_lighthouse     | Department of Fisheries and Oceans - Lighthouses                                        |</t>
  </si>
  <si>
    <t>-&gt; Black Wall2</t>
  </si>
  <si>
    <t>-&gt; 122.80202 W, 49.20528 N, Elev. 93 m</t>
  </si>
  <si>
    <t>-&gt; 120.60468 W, 49.6725 N, Elev. 877 m</t>
  </si>
  <si>
    <t>-&gt; 123.082 W, 49.0099 N, Elev. 52 m</t>
  </si>
  <si>
    <t>-&gt; 117.39829 W, 49.87759 N, Elev. 808 m</t>
  </si>
  <si>
    <t>-&gt; 3730</t>
  </si>
  <si>
    <t>-&gt; 3851</t>
  </si>
  <si>
    <t>-&gt; 3873</t>
  </si>
  <si>
    <t>-&gt; 3991</t>
  </si>
  <si>
    <t>-&gt; 4232</t>
  </si>
  <si>
    <t>-&gt; 4250</t>
  </si>
  <si>
    <t>-&gt; 4270</t>
  </si>
  <si>
    <t>-&gt; 4352</t>
  </si>
  <si>
    <t>-&gt; 4393</t>
  </si>
  <si>
    <t>-&gt; 4513</t>
  </si>
  <si>
    <t>-&gt; 4552</t>
  </si>
  <si>
    <t>-&gt; 4973</t>
  </si>
  <si>
    <t>-&gt; 08GA010</t>
  </si>
  <si>
    <t>-&gt; 08GA026</t>
  </si>
  <si>
    <t>124.94605 W, 53.5803 N, Elev. 860 m -&gt; 124.94605 W, 53.5803 N, Elev. 858 m</t>
  </si>
  <si>
    <t>116.972 W, 50.2388 N, Elev. 559 m -&gt; 116.971343 W, 50.2387 N, Elev. 559 m</t>
  </si>
  <si>
    <t>122.2811111 W, 49.8744444 N, Elev. 305 m -&gt; 122.2816 W, 49.8747 N, Elev. 308 m</t>
  </si>
  <si>
    <t>117.76453 W, 51.17986 N, Elev. 870 m -&gt; 117.75615 W, 51.18808 N, Elev. 999 m</t>
  </si>
  <si>
    <t>129.51206 W, 56.09956 N, Elev. 370 m -&gt; 129.51218 W,  56.09987 N, Elev. 370 m</t>
  </si>
  <si>
    <t>124.073 W, 50.568 N, Elev. 1 m -&gt; 124.0777 W, 50.5711 N, Elev. 49 m</t>
  </si>
  <si>
    <t>133.6667 W, 59.5833 N, Elev. 729 m -&gt; 133.6643 W, 59.5845 N, Elev. 719 m</t>
  </si>
  <si>
    <t>123.0773 W, 54.7259 N, Elev. 915 m -&gt; 123.0187 W, 54.7442 N, Elev. 867 m</t>
  </si>
  <si>
    <t>120.39 W, 51.725 N, Elev. 1158 m -&gt; 120.3899 W, 51.7238 N, Elev. 1122 m</t>
  </si>
  <si>
    <t>120.65 W, 51.67 N, Elev. 1580 m -&gt; 120.6579 W, 51.6639 N, Elev. 1377 m</t>
  </si>
  <si>
    <t>120.2433 W, 52.3417 N, Elev. 975 m -&gt; 120.2434 W, 52.3425 N, Elev. 958 m</t>
  </si>
  <si>
    <t>121.57 W, 50.4 N, Elev. 1554 m -&gt; 121.5698 W, 50.4 N, Elev. 1586 m</t>
  </si>
  <si>
    <t>128.9933 W, 55.2883 N, Elev. 191 m -&gt; 128.9984 W, 55.2886 N, Elev. 176 m</t>
  </si>
  <si>
    <t>128.0417 W, 55.6 N, Elev. 410 m -&gt; 128.0478 W, 55.6015 N, Elev. 410 m</t>
  </si>
  <si>
    <t>129.2933 W, 56.3483 N, Elev. 450 m -&gt; 129.2928 W, 56.3486 N, Elev. 391 m</t>
  </si>
  <si>
    <t>128.705 W, 55.5767 N, Elev. 500 m -&gt; 127.335 W, 55.5768 N, Elev. 496 m</t>
  </si>
  <si>
    <t>121.7805556 W, 49.27111111 N, Elev. 19 m -&gt; 121.7808 W, 49.2713 N, Elev. 19 m</t>
  </si>
  <si>
    <t>126.4517 W, 51.5933 N, Elev. 366 m -&gt; 126.4508 W, 51.5931 N, Elev. 344 m</t>
  </si>
  <si>
    <t>122.255 W, 51.03 N, Elev. 1341 m -&gt; 122.2489 W, 51.1775 N, Elev. 1320 m</t>
  </si>
  <si>
    <t>0 W, null N, Elev. null m -&gt; 118.9755 W, 49.072 N, Elev. 844 m</t>
  </si>
  <si>
    <t>0 W, null N, Elev. null m -&gt; 121.579883 W, 49.23275 N, Elev. 1480 m</t>
  </si>
  <si>
    <t>118.3492167 W, 50.06601667 N, Elev. 1620 m -&gt; 118.351122 W, 50.0685528 N, Elev. 1620 m</t>
  </si>
  <si>
    <t>121.3469444 W, 56.09305556 N, Elev. 600 m -&gt; 121.3471528 W, 56.09306667 N, Elev. 600 m</t>
  </si>
  <si>
    <t>118.22575 W, 52.22165 N, Elev. 1935 m -&gt; 118.2258333 W, 52.220555556 N, Elev. 1935 m</t>
  </si>
  <si>
    <t>122.7939167 W, 51.14752778 N, Elev. 1969 m -&gt; 122.7855833 W, 51.14752778 N, Elev. 1969 m</t>
  </si>
  <si>
    <t>125.7416667 W, 49.68055556 N, Elev. 1490 m -&gt; 125.67925 W, 49.7041389 N, Elev. 1490 m</t>
  </si>
  <si>
    <t>Attribution, Delete Reference to 12593</t>
  </si>
  <si>
    <t>Attribution, ID, Delete Reference to 12591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</si>
</sst>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000"/>
    <numFmt numFmtId="166" formatCode="0.00000"/>
    <numFmt numFmtId="167" formatCode="#,##0.0000"/>
    <numFmt numFmtId="168" formatCode="0.0000"/>
  </numFmts>
  <fonts count="37" x14ac:knownFonts="1">
    <font>
      <sz val="11"/>
      <color theme="1"/>
      <name val="Aptos Narrow"/>
      <scheme val="minor"/>
    </font>
    <font>
      <sz val="18"/>
      <color theme="1"/>
      <name val="Aptos Narrow"/>
    </font>
    <font>
      <sz val="11"/>
      <color theme="1"/>
      <name val="Aptos Narrow"/>
    </font>
    <font>
      <sz val="11"/>
      <color theme="1"/>
      <name val="Aptos Narrow"/>
      <scheme val="minor"/>
    </font>
    <font>
      <b/>
      <sz val="11"/>
      <color theme="1"/>
      <name val="Aptos Narrow"/>
    </font>
    <font>
      <sz val="11"/>
      <color theme="1"/>
      <name val="Arial"/>
      <family val="2"/>
    </font>
    <font>
      <b/>
      <sz val="11"/>
      <color rgb="FF9C0006"/>
      <name val="Aptos Narrow"/>
    </font>
    <font>
      <sz val="11"/>
      <color theme="1"/>
      <name val="Calibri"/>
      <family val="2"/>
    </font>
    <font>
      <sz val="11"/>
      <color rgb="FF006100"/>
      <name val="Aptos Narrow"/>
    </font>
    <font>
      <sz val="11"/>
      <color rgb="FF9C5700"/>
      <name val="Aptos Narrow"/>
    </font>
    <font>
      <i/>
      <sz val="11"/>
      <color theme="1"/>
      <name val="Aptos Narrow"/>
    </font>
    <font>
      <b/>
      <i/>
      <sz val="11"/>
      <color theme="1"/>
      <name val="Aptos Narrow"/>
    </font>
    <font>
      <sz val="11"/>
      <color rgb="FF9C0006"/>
      <name val="Aptos Narrow"/>
    </font>
    <font>
      <b/>
      <sz val="11"/>
      <color rgb="FF9C0006"/>
      <name val="Arial"/>
      <family val="2"/>
    </font>
    <font>
      <b/>
      <sz val="11"/>
      <color rgb="FFFA7D00"/>
      <name val="Aptos Narrow"/>
    </font>
    <font>
      <sz val="11"/>
      <color theme="0"/>
      <name val="Aptos Narrow"/>
    </font>
    <font>
      <b/>
      <sz val="11"/>
      <color rgb="FF006100"/>
      <name val="Aptos Narrow"/>
    </font>
    <font>
      <sz val="11"/>
      <color rgb="FF3F3F76"/>
      <name val="Aptos Narrow"/>
    </font>
    <font>
      <b/>
      <strike/>
      <sz val="11"/>
      <color rgb="FF9C0006"/>
      <name val="Aptos Narrow"/>
    </font>
    <font>
      <b/>
      <sz val="11"/>
      <color theme="0"/>
      <name val="Aptos Narrow"/>
    </font>
    <font>
      <b/>
      <strike/>
      <sz val="11"/>
      <color theme="1"/>
      <name val="Aptos Narrow"/>
    </font>
    <font>
      <strike/>
      <sz val="11"/>
      <color theme="1"/>
      <name val="Aptos Narrow"/>
    </font>
    <font>
      <b/>
      <sz val="11"/>
      <color rgb="FFFF0000"/>
      <name val="Aptos Narrow"/>
    </font>
    <font>
      <b/>
      <sz val="11"/>
      <color rgb="FF9C5700"/>
      <name val="Aptos Narrow"/>
    </font>
    <font>
      <b/>
      <sz val="11"/>
      <color rgb="FFCC0000"/>
      <name val="Arial"/>
      <family val="2"/>
    </font>
    <font>
      <b/>
      <sz val="11"/>
      <color rgb="FFCC4125"/>
      <name val="Arial"/>
      <family val="2"/>
    </font>
    <font>
      <b/>
      <sz val="11"/>
      <color rgb="FF990000"/>
      <name val="Arial"/>
      <family val="2"/>
    </font>
    <font>
      <sz val="11"/>
      <color rgb="FF0E2841"/>
      <name val="Aptos Narrow"/>
    </font>
    <font>
      <sz val="11"/>
      <color rgb="FFFF0000"/>
      <name val="Aptos Narrow"/>
    </font>
    <font>
      <strike/>
      <sz val="11"/>
      <color rgb="FF9C0006"/>
      <name val="Aptos Narrow"/>
    </font>
    <font>
      <sz val="11"/>
      <color theme="1"/>
      <name val="Arial"/>
      <family val="2"/>
    </font>
    <font>
      <sz val="11"/>
      <name val="Aptos Narrow"/>
    </font>
    <font>
      <sz val="7"/>
      <color rgb="FF242424"/>
      <name val="Quattrocento Sans"/>
    </font>
    <font>
      <sz val="8"/>
      <color theme="0"/>
      <name val="Aptos Narrow"/>
    </font>
    <font>
      <b/>
      <i/>
      <sz val="11"/>
      <color rgb="FF006100"/>
      <name val="Aptos Narrow"/>
    </font>
    <font>
      <sz val="11"/>
      <color rgb="FF0432FF"/>
      <name val="Aptos Narrow"/>
      <scheme val="minor"/>
    </font>
    <font>
      <b/>
      <sz val="11"/>
      <color rgb="FF0432FF"/>
      <name val="Aptos Narrow"/>
    </font>
  </fonts>
  <fills count="26">
    <fill>
      <patternFill patternType="none"/>
    </fill>
    <fill>
      <patternFill patternType="gray125"/>
    </fill>
    <fill>
      <patternFill patternType="solid">
        <fgColor rgb="FFFFC7CE"/>
        <bgColor rgb="FFFFC7CE"/>
      </patternFill>
    </fill>
    <fill>
      <patternFill patternType="solid">
        <fgColor rgb="FFC6EFCE"/>
        <bgColor rgb="FFC6EFCE"/>
      </patternFill>
    </fill>
    <fill>
      <patternFill patternType="solid">
        <fgColor rgb="FFF1A983"/>
        <bgColor rgb="FFF1A983"/>
      </patternFill>
    </fill>
    <fill>
      <patternFill patternType="solid">
        <fgColor rgb="FFFFEB9C"/>
        <bgColor rgb="FFFFEB9C"/>
      </patternFill>
    </fill>
    <fill>
      <patternFill patternType="solid">
        <fgColor rgb="FFF2F2F2"/>
        <bgColor rgb="FFF2F2F2"/>
      </patternFill>
    </fill>
    <fill>
      <patternFill patternType="solid">
        <fgColor rgb="FFFFFF00"/>
        <bgColor rgb="FFFFFF00"/>
      </patternFill>
    </fill>
    <fill>
      <patternFill patternType="solid">
        <fgColor rgb="FF92D050"/>
        <bgColor rgb="FF92D050"/>
      </patternFill>
    </fill>
    <fill>
      <patternFill patternType="solid">
        <fgColor theme="6"/>
        <bgColor theme="6"/>
      </patternFill>
    </fill>
    <fill>
      <patternFill patternType="solid">
        <fgColor rgb="FFFFFFCC"/>
        <bgColor rgb="FFFFFFCC"/>
      </patternFill>
    </fill>
    <fill>
      <patternFill patternType="solid">
        <fgColor rgb="FFA5A5A5"/>
        <bgColor rgb="FFA5A5A5"/>
      </patternFill>
    </fill>
    <fill>
      <patternFill patternType="solid">
        <fgColor rgb="FFFFCC99"/>
        <bgColor rgb="FFFFCC99"/>
      </patternFill>
    </fill>
    <fill>
      <patternFill patternType="solid">
        <fgColor theme="0"/>
        <bgColor theme="0"/>
      </patternFill>
    </fill>
    <fill>
      <patternFill patternType="solid">
        <fgColor rgb="FFF4CCCC"/>
        <bgColor rgb="FFF4CCCC"/>
      </patternFill>
    </fill>
    <fill>
      <patternFill patternType="solid">
        <fgColor rgb="FFF6C6AC"/>
        <bgColor rgb="FFF6C6AC"/>
      </patternFill>
    </fill>
    <fill>
      <patternFill patternType="solid">
        <fgColor theme="1"/>
        <bgColor theme="1"/>
      </patternFill>
    </fill>
    <fill>
      <patternFill patternType="solid">
        <fgColor theme="9" tint="0.79998168889431442"/>
        <bgColor indexed="64"/>
      </patternFill>
    </fill>
    <fill>
      <patternFill patternType="solid">
        <fgColor theme="9" tint="0.79998168889431442"/>
        <bgColor rgb="FFFFC7CE"/>
      </patternFill>
    </fill>
    <fill>
      <patternFill patternType="solid">
        <fgColor theme="9" tint="0.79998168889431442"/>
        <bgColor rgb="FFC6EFCE"/>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9" tint="0.79998168889431442"/>
        <bgColor rgb="FFF1A983"/>
      </patternFill>
    </fill>
    <fill>
      <patternFill patternType="solid">
        <fgColor theme="9" tint="0.79998168889431442"/>
        <bgColor rgb="FFFFFF00"/>
      </patternFill>
    </fill>
    <fill>
      <patternFill patternType="solid">
        <fgColor theme="9" tint="0.79998168889431442"/>
        <bgColor theme="0"/>
      </patternFill>
    </fill>
  </fills>
  <borders count="73">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style="thin">
        <color rgb="FFA9D08E"/>
      </top>
      <bottom style="thin">
        <color rgb="FFA9D08E"/>
      </bottom>
      <diagonal/>
    </border>
    <border>
      <left/>
      <right style="thin">
        <color rgb="FFA9D08E"/>
      </right>
      <top style="thin">
        <color rgb="FFA9D08E"/>
      </top>
      <bottom style="thin">
        <color rgb="FFA9D08E"/>
      </bottom>
      <diagonal/>
    </border>
    <border>
      <left/>
      <right/>
      <top style="thin">
        <color rgb="FFA9D08E"/>
      </top>
      <bottom style="thin">
        <color rgb="FFA9D08E"/>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top/>
      <bottom style="medium">
        <color rgb="FF000000"/>
      </bottom>
      <diagonal/>
    </border>
    <border>
      <left style="medium">
        <color rgb="FF000000"/>
      </left>
      <right/>
      <top style="thin">
        <color rgb="FFA9D08E"/>
      </top>
      <bottom style="thin">
        <color rgb="FFA9D08E"/>
      </bottom>
      <diagonal/>
    </border>
    <border>
      <left/>
      <right style="thin">
        <color rgb="FF7F7F7F"/>
      </right>
      <top style="thin">
        <color rgb="FF7F7F7F"/>
      </top>
      <bottom style="thin">
        <color rgb="FF7F7F7F"/>
      </bottom>
      <diagonal/>
    </border>
    <border>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rgb="FF000000"/>
      </left>
      <right/>
      <top/>
      <bottom/>
      <diagonal/>
    </border>
    <border>
      <left/>
      <right style="thin">
        <color rgb="FFA9D08E"/>
      </right>
      <top style="thin">
        <color rgb="FFA9D08E"/>
      </top>
      <bottom style="thin">
        <color rgb="FFA9D08E"/>
      </bottom>
      <diagonal/>
    </border>
    <border>
      <left style="medium">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right/>
      <top style="thin">
        <color rgb="FF000000"/>
      </top>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right style="thin">
        <color rgb="FF000000"/>
      </right>
      <top style="thin">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top/>
      <bottom style="thin">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style="medium">
        <color rgb="FF000000"/>
      </right>
      <top/>
      <bottom style="thin">
        <color rgb="FF000000"/>
      </bottom>
      <diagonal/>
    </border>
    <border>
      <left/>
      <right/>
      <top style="thin">
        <color rgb="FF000000"/>
      </top>
      <bottom style="thin">
        <color rgb="FF000000"/>
      </bottom>
      <diagonal/>
    </border>
    <border>
      <left style="medium">
        <color rgb="FF000000"/>
      </left>
      <right/>
      <top style="thin">
        <color rgb="FF000000"/>
      </top>
      <bottom/>
      <diagonal/>
    </border>
    <border>
      <left style="thin">
        <color rgb="FF000000"/>
      </left>
      <right/>
      <top style="thin">
        <color rgb="FF000000"/>
      </top>
      <bottom/>
      <diagonal/>
    </border>
    <border>
      <left/>
      <right style="medium">
        <color rgb="FF000000"/>
      </right>
      <top style="thin">
        <color rgb="FF000000"/>
      </top>
      <bottom/>
      <diagonal/>
    </border>
    <border>
      <left style="medium">
        <color rgb="FF000000"/>
      </left>
      <right style="thin">
        <color rgb="FF000000"/>
      </right>
      <top/>
      <bottom/>
      <diagonal/>
    </border>
    <border>
      <left style="medium">
        <color rgb="FF000000"/>
      </left>
      <right/>
      <top/>
      <bottom style="thin">
        <color rgb="FF000000"/>
      </bottom>
      <diagonal/>
    </border>
    <border>
      <left style="thin">
        <color rgb="FF000000"/>
      </left>
      <right/>
      <top/>
      <bottom style="thin">
        <color rgb="FF000000"/>
      </bottom>
      <diagonal/>
    </border>
    <border>
      <left/>
      <right style="medium">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medium">
        <color rgb="FF000000"/>
      </left>
      <right/>
      <top style="thin">
        <color rgb="FF000000"/>
      </top>
      <bottom style="thin">
        <color rgb="FF000000"/>
      </bottom>
      <diagonal/>
    </border>
    <border>
      <left style="medium">
        <color rgb="FF000000"/>
      </left>
      <right style="medium">
        <color rgb="FF000000"/>
      </right>
      <top style="thin">
        <color rgb="FF000000"/>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medium">
        <color rgb="FF000000"/>
      </right>
      <top/>
      <bottom/>
      <diagonal/>
    </border>
    <border>
      <left style="medium">
        <color rgb="FF000000"/>
      </left>
      <right style="medium">
        <color rgb="FF000000"/>
      </right>
      <top/>
      <bottom/>
      <diagonal/>
    </border>
    <border>
      <left style="thin">
        <color rgb="FF000000"/>
      </left>
      <right style="thin">
        <color rgb="FF000000"/>
      </right>
      <top/>
      <bottom/>
      <diagonal/>
    </border>
    <border>
      <left/>
      <right style="thin">
        <color rgb="FF000000"/>
      </right>
      <top/>
      <bottom/>
      <diagonal/>
    </border>
    <border>
      <left style="medium">
        <color rgb="FF000000"/>
      </left>
      <right style="medium">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medium">
        <color rgb="FF000000"/>
      </right>
      <top style="thin">
        <color rgb="FF000000"/>
      </top>
      <bottom/>
      <diagonal/>
    </border>
    <border>
      <left style="thin">
        <color rgb="FF000000"/>
      </left>
      <right style="medium">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style="thin">
        <color rgb="FF000000"/>
      </right>
      <top/>
      <bottom/>
      <diagonal/>
    </border>
    <border>
      <left style="thin">
        <color rgb="FF000000"/>
      </left>
      <right style="medium">
        <color rgb="FF000000"/>
      </right>
      <top/>
      <bottom/>
      <diagonal/>
    </border>
  </borders>
  <cellStyleXfs count="1">
    <xf numFmtId="0" fontId="0" fillId="0" borderId="0"/>
  </cellStyleXfs>
  <cellXfs count="408">
    <xf numFmtId="0" fontId="0" fillId="0" borderId="0" xfId="0"/>
    <xf numFmtId="0" fontId="2" fillId="0" borderId="1" xfId="0" applyFont="1" applyBorder="1"/>
    <xf numFmtId="0" fontId="2" fillId="0" borderId="2" xfId="0" applyFont="1" applyBorder="1"/>
    <xf numFmtId="0" fontId="2" fillId="0" borderId="3" xfId="0" applyFont="1" applyBorder="1"/>
    <xf numFmtId="0" fontId="3" fillId="0" borderId="0" xfId="0" applyFont="1"/>
    <xf numFmtId="0" fontId="4" fillId="0" borderId="0" xfId="0" applyFont="1"/>
    <xf numFmtId="0" fontId="2" fillId="0" borderId="4" xfId="0" applyFont="1" applyBorder="1"/>
    <xf numFmtId="0" fontId="2" fillId="0" borderId="5" xfId="0" applyFont="1" applyBorder="1"/>
    <xf numFmtId="0" fontId="6" fillId="2" borderId="6" xfId="0" applyFont="1" applyFill="1" applyBorder="1"/>
    <xf numFmtId="0" fontId="2" fillId="0" borderId="0" xfId="0" applyFont="1"/>
    <xf numFmtId="0" fontId="6" fillId="2" borderId="6" xfId="0" quotePrefix="1" applyFont="1" applyFill="1" applyBorder="1"/>
    <xf numFmtId="0" fontId="7" fillId="0" borderId="0" xfId="0" applyFont="1"/>
    <xf numFmtId="0" fontId="7" fillId="0" borderId="0" xfId="0" applyFont="1" applyAlignment="1">
      <alignment horizontal="center" vertical="center"/>
    </xf>
    <xf numFmtId="0" fontId="6" fillId="2" borderId="6" xfId="0" applyFont="1" applyFill="1" applyBorder="1" applyAlignment="1">
      <alignment horizontal="center" vertical="center"/>
    </xf>
    <xf numFmtId="0" fontId="8" fillId="3" borderId="6" xfId="0" applyFont="1" applyFill="1" applyBorder="1"/>
    <xf numFmtId="0" fontId="2" fillId="4" borderId="6" xfId="0" applyFont="1" applyFill="1" applyBorder="1"/>
    <xf numFmtId="0" fontId="9" fillId="5" borderId="6" xfId="0" applyFont="1" applyFill="1" applyBorder="1"/>
    <xf numFmtId="0" fontId="10" fillId="0" borderId="0" xfId="0" applyFont="1"/>
    <xf numFmtId="0" fontId="11" fillId="0" borderId="0" xfId="0" applyFont="1"/>
    <xf numFmtId="0" fontId="8" fillId="6" borderId="6" xfId="0" applyFont="1" applyFill="1" applyBorder="1"/>
    <xf numFmtId="0" fontId="2" fillId="0" borderId="0" xfId="0" applyFont="1" applyAlignment="1">
      <alignment horizontal="center" vertical="center"/>
    </xf>
    <xf numFmtId="14" fontId="2" fillId="0" borderId="0" xfId="0" applyNumberFormat="1" applyFont="1"/>
    <xf numFmtId="0" fontId="2" fillId="6" borderId="6" xfId="0" applyFont="1" applyFill="1" applyBorder="1"/>
    <xf numFmtId="0" fontId="9" fillId="6" borderId="6" xfId="0" applyFont="1" applyFill="1" applyBorder="1"/>
    <xf numFmtId="0" fontId="6" fillId="2" borderId="7" xfId="0" applyFont="1" applyFill="1" applyBorder="1"/>
    <xf numFmtId="0" fontId="2" fillId="0" borderId="7" xfId="0" applyFont="1" applyBorder="1"/>
    <xf numFmtId="0" fontId="12" fillId="2" borderId="6" xfId="0" applyFont="1" applyFill="1" applyBorder="1"/>
    <xf numFmtId="0" fontId="2" fillId="0" borderId="8" xfId="0" applyFont="1" applyBorder="1"/>
    <xf numFmtId="0" fontId="8" fillId="6" borderId="8" xfId="0" applyFont="1" applyFill="1" applyBorder="1"/>
    <xf numFmtId="0" fontId="2" fillId="0" borderId="8" xfId="0" applyFont="1" applyBorder="1" applyAlignment="1">
      <alignment horizontal="center" vertical="center"/>
    </xf>
    <xf numFmtId="0" fontId="7" fillId="0" borderId="8" xfId="0" applyFont="1" applyBorder="1"/>
    <xf numFmtId="14" fontId="2" fillId="0" borderId="8" xfId="0" applyNumberFormat="1" applyFont="1" applyBorder="1"/>
    <xf numFmtId="0" fontId="8" fillId="3" borderId="8" xfId="0" applyFont="1" applyFill="1" applyBorder="1"/>
    <xf numFmtId="0" fontId="6" fillId="2" borderId="8" xfId="0" quotePrefix="1" applyFont="1" applyFill="1" applyBorder="1"/>
    <xf numFmtId="0" fontId="2" fillId="0" borderId="9" xfId="0" applyFont="1" applyBorder="1"/>
    <xf numFmtId="0" fontId="2" fillId="0" borderId="10" xfId="0" applyFont="1" applyBorder="1"/>
    <xf numFmtId="0" fontId="6" fillId="2" borderId="8" xfId="0" applyFont="1" applyFill="1" applyBorder="1"/>
    <xf numFmtId="0" fontId="6" fillId="2" borderId="11" xfId="0" applyFont="1" applyFill="1" applyBorder="1"/>
    <xf numFmtId="0" fontId="13" fillId="2" borderId="6" xfId="0" applyFont="1" applyFill="1" applyBorder="1"/>
    <xf numFmtId="0" fontId="8" fillId="3" borderId="6" xfId="0" quotePrefix="1" applyFont="1" applyFill="1" applyBorder="1"/>
    <xf numFmtId="0" fontId="4" fillId="0" borderId="8" xfId="0" applyFont="1" applyBorder="1"/>
    <xf numFmtId="0" fontId="4" fillId="7" borderId="6" xfId="0" applyFont="1" applyFill="1" applyBorder="1"/>
    <xf numFmtId="0" fontId="2" fillId="7" borderId="6" xfId="0" applyFont="1" applyFill="1" applyBorder="1"/>
    <xf numFmtId="0" fontId="14" fillId="6" borderId="6" xfId="0" applyFont="1" applyFill="1" applyBorder="1"/>
    <xf numFmtId="164" fontId="14" fillId="6" borderId="6" xfId="0" applyNumberFormat="1" applyFont="1" applyFill="1" applyBorder="1"/>
    <xf numFmtId="0" fontId="2" fillId="0" borderId="0" xfId="0" applyFont="1" applyAlignment="1">
      <alignment horizontal="right"/>
    </xf>
    <xf numFmtId="0" fontId="2" fillId="8" borderId="6" xfId="0" applyFont="1" applyFill="1" applyBorder="1"/>
    <xf numFmtId="0" fontId="2" fillId="0" borderId="0" xfId="0" applyFont="1" applyAlignment="1">
      <alignment horizontal="left"/>
    </xf>
    <xf numFmtId="0" fontId="15" fillId="9" borderId="6" xfId="0" applyFont="1" applyFill="1" applyBorder="1"/>
    <xf numFmtId="0" fontId="2" fillId="0" borderId="0" xfId="0" quotePrefix="1" applyFont="1"/>
    <xf numFmtId="0" fontId="16" fillId="3" borderId="6" xfId="0" applyFont="1" applyFill="1" applyBorder="1"/>
    <xf numFmtId="14" fontId="7" fillId="0" borderId="0" xfId="0" applyNumberFormat="1" applyFont="1"/>
    <xf numFmtId="0" fontId="17" fillId="10" borderId="6" xfId="0" applyFont="1" applyFill="1" applyBorder="1"/>
    <xf numFmtId="0" fontId="2" fillId="10" borderId="6" xfId="0" applyFont="1" applyFill="1" applyBorder="1"/>
    <xf numFmtId="0" fontId="18" fillId="2" borderId="6" xfId="0" applyFont="1" applyFill="1" applyBorder="1"/>
    <xf numFmtId="0" fontId="18" fillId="2" borderId="6" xfId="0" applyFont="1" applyFill="1" applyBorder="1" applyAlignment="1">
      <alignment horizontal="center" vertical="center"/>
    </xf>
    <xf numFmtId="14" fontId="18" fillId="2" borderId="6" xfId="0" applyNumberFormat="1" applyFont="1" applyFill="1" applyBorder="1"/>
    <xf numFmtId="0" fontId="18" fillId="2" borderId="12" xfId="0" applyFont="1" applyFill="1" applyBorder="1"/>
    <xf numFmtId="49" fontId="2" fillId="0" borderId="0" xfId="0" applyNumberFormat="1" applyFont="1"/>
    <xf numFmtId="0" fontId="2" fillId="0" borderId="13" xfId="0" applyFont="1" applyBorder="1"/>
    <xf numFmtId="0" fontId="2" fillId="0" borderId="14" xfId="0" applyFont="1" applyBorder="1"/>
    <xf numFmtId="0" fontId="9" fillId="5" borderId="15" xfId="0" applyFont="1" applyFill="1" applyBorder="1"/>
    <xf numFmtId="0" fontId="2" fillId="0" borderId="16" xfId="0" applyFont="1" applyBorder="1"/>
    <xf numFmtId="0" fontId="8" fillId="3" borderId="11" xfId="0" applyFont="1" applyFill="1" applyBorder="1"/>
    <xf numFmtId="0" fontId="19" fillId="11" borderId="6" xfId="0" applyFont="1" applyFill="1" applyBorder="1"/>
    <xf numFmtId="0" fontId="17" fillId="12" borderId="6" xfId="0" applyFont="1" applyFill="1" applyBorder="1"/>
    <xf numFmtId="14" fontId="2" fillId="0" borderId="9" xfId="0" applyNumberFormat="1" applyFont="1" applyBorder="1"/>
    <xf numFmtId="0" fontId="2" fillId="0" borderId="17" xfId="0" applyFont="1" applyBorder="1"/>
    <xf numFmtId="0" fontId="6" fillId="2" borderId="18" xfId="0" applyFont="1" applyFill="1" applyBorder="1"/>
    <xf numFmtId="0" fontId="15" fillId="9" borderId="8" xfId="0" applyFont="1" applyFill="1" applyBorder="1"/>
    <xf numFmtId="0" fontId="2" fillId="0" borderId="0" xfId="0" applyFont="1" applyAlignment="1">
      <alignment horizontal="center"/>
    </xf>
    <xf numFmtId="0" fontId="20" fillId="0" borderId="4" xfId="0" applyFont="1" applyBorder="1"/>
    <xf numFmtId="0" fontId="20" fillId="0" borderId="0" xfId="0" applyFont="1"/>
    <xf numFmtId="0" fontId="20" fillId="0" borderId="0" xfId="0" applyFont="1" applyAlignment="1">
      <alignment horizontal="center" vertical="center"/>
    </xf>
    <xf numFmtId="14" fontId="20" fillId="0" borderId="0" xfId="0" applyNumberFormat="1" applyFont="1"/>
    <xf numFmtId="0" fontId="21" fillId="0" borderId="4" xfId="0" applyFont="1" applyBorder="1"/>
    <xf numFmtId="0" fontId="21" fillId="0" borderId="0" xfId="0" applyFont="1"/>
    <xf numFmtId="0" fontId="21" fillId="0" borderId="0" xfId="0" applyFont="1" applyAlignment="1">
      <alignment horizontal="center" vertical="center"/>
    </xf>
    <xf numFmtId="0" fontId="2" fillId="0" borderId="19" xfId="0" applyFont="1" applyBorder="1"/>
    <xf numFmtId="0" fontId="12" fillId="0" borderId="0" xfId="0" applyFont="1"/>
    <xf numFmtId="0" fontId="6" fillId="0" borderId="0" xfId="0" applyFont="1"/>
    <xf numFmtId="0" fontId="2" fillId="7" borderId="20" xfId="0" applyFont="1" applyFill="1" applyBorder="1"/>
    <xf numFmtId="0" fontId="2" fillId="7" borderId="12" xfId="0" applyFont="1" applyFill="1" applyBorder="1"/>
    <xf numFmtId="0" fontId="2" fillId="7" borderId="7" xfId="0" applyFont="1" applyFill="1" applyBorder="1"/>
    <xf numFmtId="0" fontId="22" fillId="7" borderId="6" xfId="0" applyFont="1" applyFill="1" applyBorder="1"/>
    <xf numFmtId="0" fontId="22" fillId="7" borderId="20" xfId="0" applyFont="1" applyFill="1" applyBorder="1"/>
    <xf numFmtId="0" fontId="4" fillId="7" borderId="6" xfId="0" applyFont="1" applyFill="1" applyBorder="1" applyAlignment="1">
      <alignment wrapText="1"/>
    </xf>
    <xf numFmtId="0" fontId="2" fillId="13" borderId="6" xfId="0" applyFont="1" applyFill="1" applyBorder="1"/>
    <xf numFmtId="0" fontId="2" fillId="13" borderId="6" xfId="0" applyFont="1" applyFill="1" applyBorder="1" applyAlignment="1">
      <alignment horizontal="center"/>
    </xf>
    <xf numFmtId="0" fontId="7" fillId="13" borderId="6" xfId="0" applyFont="1" applyFill="1" applyBorder="1"/>
    <xf numFmtId="0" fontId="23" fillId="5" borderId="6" xfId="0" applyFont="1" applyFill="1" applyBorder="1"/>
    <xf numFmtId="0" fontId="13" fillId="2" borderId="6" xfId="0" quotePrefix="1" applyFont="1" applyFill="1" applyBorder="1"/>
    <xf numFmtId="0" fontId="22" fillId="15" borderId="6" xfId="0" applyFont="1" applyFill="1" applyBorder="1"/>
    <xf numFmtId="0" fontId="4" fillId="15" borderId="6" xfId="0" applyFont="1" applyFill="1" applyBorder="1"/>
    <xf numFmtId="0" fontId="4" fillId="15" borderId="6" xfId="0" applyFont="1" applyFill="1" applyBorder="1" applyAlignment="1">
      <alignment horizontal="center"/>
    </xf>
    <xf numFmtId="0" fontId="2" fillId="10" borderId="8" xfId="0" applyFont="1" applyFill="1" applyBorder="1"/>
    <xf numFmtId="0" fontId="2" fillId="0" borderId="8" xfId="0" applyFont="1" applyBorder="1" applyAlignment="1">
      <alignment horizontal="center"/>
    </xf>
    <xf numFmtId="0" fontId="6" fillId="2" borderId="21" xfId="0" applyFont="1" applyFill="1" applyBorder="1"/>
    <xf numFmtId="0" fontId="2" fillId="10" borderId="11" xfId="0" applyFont="1" applyFill="1" applyBorder="1"/>
    <xf numFmtId="0" fontId="2" fillId="10" borderId="21" xfId="0" applyFont="1" applyFill="1" applyBorder="1"/>
    <xf numFmtId="0" fontId="27" fillId="13" borderId="6" xfId="0" applyFont="1" applyFill="1" applyBorder="1"/>
    <xf numFmtId="0" fontId="28" fillId="7" borderId="6" xfId="0" applyFont="1" applyFill="1" applyBorder="1"/>
    <xf numFmtId="0" fontId="29" fillId="2" borderId="6" xfId="0" applyFont="1" applyFill="1" applyBorder="1"/>
    <xf numFmtId="0" fontId="29" fillId="2" borderId="6" xfId="0" applyFont="1" applyFill="1" applyBorder="1" applyAlignment="1">
      <alignment horizontal="center" vertical="center"/>
    </xf>
    <xf numFmtId="49" fontId="29" fillId="2" borderId="6" xfId="0" applyNumberFormat="1" applyFont="1" applyFill="1" applyBorder="1"/>
    <xf numFmtId="49" fontId="18" fillId="2" borderId="6" xfId="0" applyNumberFormat="1" applyFont="1" applyFill="1" applyBorder="1"/>
    <xf numFmtId="165" fontId="30" fillId="0" borderId="0" xfId="0" applyNumberFormat="1" applyFont="1" applyAlignment="1">
      <alignment horizontal="right" vertical="center" wrapText="1"/>
    </xf>
    <xf numFmtId="166" fontId="30" fillId="0" borderId="0" xfId="0" applyNumberFormat="1" applyFont="1" applyAlignment="1">
      <alignment horizontal="right" vertical="center" wrapText="1"/>
    </xf>
    <xf numFmtId="166" fontId="2" fillId="0" borderId="0" xfId="0" applyNumberFormat="1" applyFont="1" applyAlignment="1">
      <alignment horizontal="right"/>
    </xf>
    <xf numFmtId="167" fontId="30" fillId="0" borderId="0" xfId="0" applyNumberFormat="1" applyFont="1" applyAlignment="1">
      <alignment horizontal="right" vertical="center" wrapText="1"/>
    </xf>
    <xf numFmtId="2" fontId="30" fillId="0" borderId="0" xfId="0" applyNumberFormat="1" applyFont="1" applyAlignment="1">
      <alignment horizontal="right" vertical="center" wrapText="1"/>
    </xf>
    <xf numFmtId="4" fontId="30" fillId="0" borderId="0" xfId="0" applyNumberFormat="1" applyFont="1" applyAlignment="1">
      <alignment horizontal="right" vertical="center" wrapText="1"/>
    </xf>
    <xf numFmtId="168" fontId="30" fillId="0" borderId="0" xfId="0" applyNumberFormat="1" applyFont="1" applyAlignment="1">
      <alignment horizontal="right" vertical="center" wrapText="1"/>
    </xf>
    <xf numFmtId="0" fontId="2" fillId="0" borderId="28" xfId="0" applyFont="1" applyBorder="1" applyAlignment="1">
      <alignment vertical="center" wrapText="1"/>
    </xf>
    <xf numFmtId="0" fontId="2" fillId="0" borderId="29" xfId="0" applyFont="1" applyBorder="1" applyAlignment="1">
      <alignment vertical="center" wrapText="1"/>
    </xf>
    <xf numFmtId="0" fontId="2" fillId="0" borderId="36" xfId="0" applyFont="1" applyBorder="1" applyAlignment="1">
      <alignment vertical="center" wrapText="1"/>
    </xf>
    <xf numFmtId="0" fontId="32" fillId="0" borderId="0" xfId="0" applyFont="1"/>
    <xf numFmtId="0" fontId="16" fillId="3" borderId="29" xfId="0" applyFont="1" applyFill="1" applyBorder="1" applyAlignment="1">
      <alignment vertical="center" wrapText="1"/>
    </xf>
    <xf numFmtId="0" fontId="16" fillId="3" borderId="60" xfId="0" applyFont="1" applyFill="1" applyBorder="1" applyAlignment="1">
      <alignment vertical="center" wrapText="1"/>
    </xf>
    <xf numFmtId="0" fontId="16" fillId="3" borderId="61" xfId="0" applyFont="1" applyFill="1" applyBorder="1" applyAlignment="1">
      <alignment vertical="center" wrapText="1"/>
    </xf>
    <xf numFmtId="0" fontId="16" fillId="3" borderId="61" xfId="0" applyFont="1" applyFill="1" applyBorder="1" applyAlignment="1">
      <alignment horizontal="left" vertical="center" wrapText="1"/>
    </xf>
    <xf numFmtId="0" fontId="2" fillId="0" borderId="44" xfId="0" applyFont="1" applyBorder="1" applyAlignment="1">
      <alignment vertical="center" wrapText="1"/>
    </xf>
    <xf numFmtId="0" fontId="33" fillId="16" borderId="62" xfId="0" applyFont="1" applyFill="1" applyBorder="1" applyAlignment="1">
      <alignment horizontal="center" vertical="center"/>
    </xf>
    <xf numFmtId="0" fontId="16" fillId="3" borderId="28" xfId="0" applyFont="1" applyFill="1" applyBorder="1" applyAlignment="1">
      <alignment vertical="center" wrapText="1"/>
    </xf>
    <xf numFmtId="0" fontId="2" fillId="0" borderId="44" xfId="0" applyFont="1" applyBorder="1" applyAlignment="1">
      <alignment horizontal="left" vertical="center" wrapText="1"/>
    </xf>
    <xf numFmtId="0" fontId="2" fillId="0" borderId="62" xfId="0" applyFont="1" applyBorder="1" applyAlignment="1">
      <alignment horizontal="left"/>
    </xf>
    <xf numFmtId="0" fontId="16" fillId="3" borderId="63" xfId="0" applyFont="1" applyFill="1" applyBorder="1" applyAlignment="1">
      <alignment horizontal="center" vertical="center" wrapText="1"/>
    </xf>
    <xf numFmtId="0" fontId="16" fillId="3" borderId="64" xfId="0" applyFont="1" applyFill="1" applyBorder="1" applyAlignment="1">
      <alignment horizontal="center" vertical="center" wrapText="1"/>
    </xf>
    <xf numFmtId="0" fontId="2" fillId="0" borderId="65" xfId="0" applyFont="1" applyBorder="1" applyAlignment="1">
      <alignment vertical="center" wrapText="1"/>
    </xf>
    <xf numFmtId="0" fontId="2" fillId="0" borderId="66" xfId="0" applyFont="1" applyBorder="1" applyAlignment="1">
      <alignment vertical="center" wrapText="1"/>
    </xf>
    <xf numFmtId="0" fontId="16" fillId="3" borderId="65" xfId="0" applyFont="1" applyFill="1" applyBorder="1" applyAlignment="1">
      <alignment vertical="center" wrapText="1"/>
    </xf>
    <xf numFmtId="0" fontId="16" fillId="3" borderId="66" xfId="0" applyFont="1" applyFill="1" applyBorder="1" applyAlignment="1">
      <alignment vertical="center" wrapText="1"/>
    </xf>
    <xf numFmtId="0" fontId="16" fillId="3" borderId="71" xfId="0" applyFont="1" applyFill="1" applyBorder="1" applyAlignment="1">
      <alignment vertical="center" wrapText="1"/>
    </xf>
    <xf numFmtId="0" fontId="16" fillId="3" borderId="72" xfId="0" applyFont="1" applyFill="1" applyBorder="1" applyAlignment="1">
      <alignment vertical="center" wrapText="1"/>
    </xf>
    <xf numFmtId="0" fontId="8" fillId="3" borderId="6" xfId="0" applyFont="1" applyFill="1" applyBorder="1" applyAlignment="1">
      <alignment vertical="center"/>
    </xf>
    <xf numFmtId="0" fontId="0" fillId="17" borderId="0" xfId="0" applyFill="1"/>
    <xf numFmtId="0" fontId="3" fillId="17" borderId="0" xfId="0" applyFont="1" applyFill="1"/>
    <xf numFmtId="0" fontId="5" fillId="17" borderId="0" xfId="0" applyFont="1" applyFill="1"/>
    <xf numFmtId="0" fontId="2" fillId="17" borderId="0" xfId="0" applyFont="1" applyFill="1"/>
    <xf numFmtId="0" fontId="2" fillId="17" borderId="0" xfId="0" applyFont="1" applyFill="1" applyAlignment="1">
      <alignment horizontal="center" vertical="center"/>
    </xf>
    <xf numFmtId="0" fontId="7" fillId="17" borderId="0" xfId="0" applyFont="1" applyFill="1"/>
    <xf numFmtId="49" fontId="2" fillId="17" borderId="0" xfId="0" applyNumberFormat="1" applyFont="1" applyFill="1"/>
    <xf numFmtId="0" fontId="6" fillId="18" borderId="6" xfId="0" applyFont="1" applyFill="1" applyBorder="1"/>
    <xf numFmtId="0" fontId="2" fillId="17" borderId="4" xfId="0" applyFont="1" applyFill="1" applyBorder="1"/>
    <xf numFmtId="0" fontId="2" fillId="17" borderId="5" xfId="0" applyFont="1" applyFill="1" applyBorder="1"/>
    <xf numFmtId="0" fontId="4" fillId="17" borderId="0" xfId="0" applyFont="1" applyFill="1"/>
    <xf numFmtId="0" fontId="2" fillId="17" borderId="1" xfId="0" applyFont="1" applyFill="1" applyBorder="1"/>
    <xf numFmtId="0" fontId="2" fillId="17" borderId="2" xfId="0" applyFont="1" applyFill="1" applyBorder="1"/>
    <xf numFmtId="0" fontId="2" fillId="17" borderId="3" xfId="0" applyFont="1" applyFill="1" applyBorder="1"/>
    <xf numFmtId="0" fontId="6" fillId="18" borderId="6" xfId="0" quotePrefix="1" applyFont="1" applyFill="1" applyBorder="1"/>
    <xf numFmtId="0" fontId="2" fillId="17" borderId="0" xfId="0" applyFont="1" applyFill="1" applyAlignment="1">
      <alignment horizontal="right"/>
    </xf>
    <xf numFmtId="0" fontId="2" fillId="17" borderId="0" xfId="0" applyFont="1" applyFill="1" applyAlignment="1">
      <alignment horizontal="center"/>
    </xf>
    <xf numFmtId="165" fontId="30" fillId="17" borderId="0" xfId="0" applyNumberFormat="1" applyFont="1" applyFill="1" applyAlignment="1">
      <alignment horizontal="right" vertical="center" wrapText="1"/>
    </xf>
    <xf numFmtId="166" fontId="2" fillId="17" borderId="0" xfId="0" applyNumberFormat="1" applyFont="1" applyFill="1" applyAlignment="1">
      <alignment horizontal="right"/>
    </xf>
    <xf numFmtId="167" fontId="30" fillId="17" borderId="0" xfId="0" applyNumberFormat="1" applyFont="1" applyFill="1" applyAlignment="1">
      <alignment horizontal="right" vertical="center" wrapText="1"/>
    </xf>
    <xf numFmtId="0" fontId="30" fillId="17" borderId="0" xfId="0" applyFont="1" applyFill="1"/>
    <xf numFmtId="4" fontId="30" fillId="17" borderId="0" xfId="0" applyNumberFormat="1" applyFont="1" applyFill="1" applyAlignment="1">
      <alignment horizontal="right" vertical="center" wrapText="1"/>
    </xf>
    <xf numFmtId="168" fontId="30" fillId="17" borderId="0" xfId="0" applyNumberFormat="1" applyFont="1" applyFill="1" applyAlignment="1">
      <alignment horizontal="right" vertical="center" wrapText="1"/>
    </xf>
    <xf numFmtId="0" fontId="0" fillId="20" borderId="0" xfId="0" applyFill="1"/>
    <xf numFmtId="0" fontId="3" fillId="20" borderId="0" xfId="0" applyFont="1" applyFill="1"/>
    <xf numFmtId="0" fontId="5" fillId="20" borderId="0" xfId="0" applyFont="1" applyFill="1"/>
    <xf numFmtId="0" fontId="2" fillId="20" borderId="0" xfId="0" applyFont="1" applyFill="1"/>
    <xf numFmtId="0" fontId="2" fillId="20" borderId="0" xfId="0" applyFont="1" applyFill="1" applyAlignment="1">
      <alignment horizontal="center" vertical="center"/>
    </xf>
    <xf numFmtId="0" fontId="7" fillId="20" borderId="0" xfId="0" applyFont="1" applyFill="1"/>
    <xf numFmtId="49" fontId="2" fillId="20" borderId="0" xfId="0" applyNumberFormat="1" applyFont="1" applyFill="1"/>
    <xf numFmtId="0" fontId="2" fillId="20" borderId="4" xfId="0" applyFont="1" applyFill="1" applyBorder="1"/>
    <xf numFmtId="0" fontId="0" fillId="21" borderId="0" xfId="0" applyFill="1"/>
    <xf numFmtId="0" fontId="3" fillId="21" borderId="0" xfId="0" applyFont="1" applyFill="1"/>
    <xf numFmtId="0" fontId="2" fillId="21" borderId="0" xfId="0" applyFont="1" applyFill="1"/>
    <xf numFmtId="0" fontId="2" fillId="21" borderId="0" xfId="0" applyFont="1" applyFill="1" applyAlignment="1">
      <alignment horizontal="center" vertical="center"/>
    </xf>
    <xf numFmtId="0" fontId="7" fillId="21" borderId="0" xfId="0" applyFont="1" applyFill="1"/>
    <xf numFmtId="49" fontId="2" fillId="21" borderId="0" xfId="0" applyNumberFormat="1" applyFont="1" applyFill="1"/>
    <xf numFmtId="0" fontId="35" fillId="22" borderId="0" xfId="0" applyFont="1" applyFill="1"/>
    <xf numFmtId="0" fontId="2" fillId="17" borderId="2" xfId="0" applyFont="1" applyFill="1" applyBorder="1" applyAlignment="1">
      <alignment horizontal="left"/>
    </xf>
    <xf numFmtId="0" fontId="3" fillId="17" borderId="0" xfId="0" applyFont="1" applyFill="1" applyAlignment="1">
      <alignment horizontal="left"/>
    </xf>
    <xf numFmtId="0" fontId="7" fillId="0" borderId="0" xfId="0" applyFont="1" applyAlignment="1">
      <alignment horizontal="left"/>
    </xf>
    <xf numFmtId="0" fontId="3" fillId="0" borderId="0" xfId="0" applyFont="1" applyAlignment="1">
      <alignment horizontal="left"/>
    </xf>
    <xf numFmtId="0" fontId="0" fillId="0" borderId="0" xfId="0" applyAlignment="1">
      <alignment horizontal="left"/>
    </xf>
    <xf numFmtId="0" fontId="36" fillId="2" borderId="6" xfId="0" quotePrefix="1" applyFont="1" applyFill="1" applyBorder="1"/>
    <xf numFmtId="0" fontId="2" fillId="23" borderId="0" xfId="0" applyFont="1" applyFill="1"/>
    <xf numFmtId="0" fontId="2" fillId="25" borderId="0" xfId="0" applyFont="1" applyFill="1"/>
    <xf numFmtId="0" fontId="3" fillId="17" borderId="6" xfId="0" applyFont="1" applyFill="1" applyBorder="1"/>
    <xf numFmtId="0" fontId="0" fillId="0" borderId="8" xfId="0" applyBorder="1"/>
    <xf numFmtId="0" fontId="4" fillId="15" borderId="0" xfId="0" applyFont="1" applyFill="1"/>
    <xf numFmtId="0" fontId="4" fillId="24" borderId="0" xfId="0" applyFont="1" applyFill="1"/>
    <xf numFmtId="0" fontId="27" fillId="13" borderId="0" xfId="0" applyFont="1" applyFill="1"/>
    <xf numFmtId="0" fontId="3" fillId="17" borderId="8" xfId="0" applyFont="1" applyFill="1" applyBorder="1"/>
    <xf numFmtId="0" fontId="4" fillId="7" borderId="0" xfId="0" applyFont="1" applyFill="1" applyAlignment="1">
      <alignment wrapText="1"/>
    </xf>
    <xf numFmtId="0" fontId="3" fillId="0" borderId="6" xfId="0" applyFont="1" applyBorder="1"/>
    <xf numFmtId="0" fontId="4" fillId="7" borderId="0" xfId="0" applyFont="1" applyFill="1"/>
    <xf numFmtId="0" fontId="22" fillId="15" borderId="0" xfId="0" applyFont="1" applyFill="1"/>
    <xf numFmtId="0" fontId="2" fillId="7" borderId="0" xfId="0" applyFont="1" applyFill="1"/>
    <xf numFmtId="0" fontId="0" fillId="0" borderId="6" xfId="0" applyBorder="1"/>
    <xf numFmtId="0" fontId="3" fillId="0" borderId="4" xfId="0" applyFont="1" applyBorder="1"/>
    <xf numFmtId="0" fontId="28" fillId="7" borderId="0" xfId="0" applyFont="1" applyFill="1"/>
    <xf numFmtId="0" fontId="2" fillId="13" borderId="0" xfId="0" applyFont="1" applyFill="1"/>
    <xf numFmtId="0" fontId="3" fillId="0" borderId="8" xfId="0" applyFont="1" applyBorder="1"/>
    <xf numFmtId="0" fontId="22" fillId="7" borderId="0" xfId="0" applyFont="1" applyFill="1"/>
    <xf numFmtId="0" fontId="3" fillId="0" borderId="13" xfId="0" applyFont="1" applyBorder="1"/>
    <xf numFmtId="0" fontId="6" fillId="18" borderId="0" xfId="0" quotePrefix="1" applyFont="1" applyFill="1"/>
    <xf numFmtId="0" fontId="6" fillId="2" borderId="0" xfId="0" quotePrefix="1" applyFont="1" applyFill="1"/>
    <xf numFmtId="0" fontId="6" fillId="2" borderId="0" xfId="0" applyFont="1" applyFill="1"/>
    <xf numFmtId="0" fontId="3" fillId="0" borderId="14" xfId="0" applyFont="1" applyBorder="1"/>
    <xf numFmtId="0" fontId="2" fillId="0" borderId="6" xfId="0" applyFont="1" applyBorder="1"/>
    <xf numFmtId="0" fontId="12" fillId="2" borderId="0" xfId="0" applyFont="1" applyFill="1"/>
    <xf numFmtId="0" fontId="6" fillId="18" borderId="0" xfId="0" applyFont="1" applyFill="1"/>
    <xf numFmtId="0" fontId="3" fillId="0" borderId="19" xfId="0" applyFont="1" applyBorder="1"/>
    <xf numFmtId="0" fontId="19" fillId="11" borderId="0" xfId="0" applyFont="1" applyFill="1"/>
    <xf numFmtId="0" fontId="3" fillId="0" borderId="7" xfId="0" applyFont="1" applyBorder="1"/>
    <xf numFmtId="0" fontId="35" fillId="0" borderId="6" xfId="0" quotePrefix="1" applyFont="1" applyBorder="1"/>
    <xf numFmtId="0" fontId="10" fillId="0" borderId="6" xfId="0" applyFont="1" applyBorder="1"/>
    <xf numFmtId="0" fontId="9" fillId="5" borderId="0" xfId="0" applyFont="1" applyFill="1"/>
    <xf numFmtId="0" fontId="9" fillId="5" borderId="8" xfId="0" applyFont="1" applyFill="1" applyBorder="1"/>
    <xf numFmtId="0" fontId="2" fillId="0" borderId="6" xfId="0" quotePrefix="1" applyFont="1" applyBorder="1"/>
    <xf numFmtId="0" fontId="36" fillId="2" borderId="0" xfId="0" quotePrefix="1" applyFont="1" applyFill="1"/>
    <xf numFmtId="0" fontId="8" fillId="6" borderId="0" xfId="0" applyFont="1" applyFill="1"/>
    <xf numFmtId="0" fontId="2" fillId="6" borderId="0" xfId="0" applyFont="1" applyFill="1"/>
    <xf numFmtId="0" fontId="3" fillId="0" borderId="18" xfId="0" applyFont="1" applyBorder="1"/>
    <xf numFmtId="0" fontId="3" fillId="0" borderId="17" xfId="0" applyFont="1" applyBorder="1"/>
    <xf numFmtId="0" fontId="6" fillId="2" borderId="17" xfId="0" applyFont="1" applyFill="1" applyBorder="1"/>
    <xf numFmtId="0" fontId="2" fillId="17" borderId="6" xfId="0" applyFont="1" applyFill="1" applyBorder="1"/>
    <xf numFmtId="0" fontId="7" fillId="0" borderId="4" xfId="0" applyFont="1" applyBorder="1"/>
    <xf numFmtId="0" fontId="6" fillId="2" borderId="4" xfId="0" applyFont="1" applyFill="1" applyBorder="1"/>
    <xf numFmtId="0" fontId="0" fillId="0" borderId="4" xfId="0" applyBorder="1"/>
    <xf numFmtId="0" fontId="8" fillId="3" borderId="0" xfId="0" applyFont="1" applyFill="1"/>
    <xf numFmtId="0" fontId="22" fillId="7" borderId="4" xfId="0" applyFont="1" applyFill="1" applyBorder="1"/>
    <xf numFmtId="0" fontId="2" fillId="0" borderId="20" xfId="0" applyFont="1" applyBorder="1"/>
    <xf numFmtId="0" fontId="18" fillId="2" borderId="0" xfId="0" applyFont="1" applyFill="1"/>
    <xf numFmtId="0" fontId="2" fillId="0" borderId="11" xfId="0" applyFont="1" applyBorder="1"/>
    <xf numFmtId="0" fontId="12" fillId="2" borderId="4" xfId="0" applyFont="1" applyFill="1" applyBorder="1"/>
    <xf numFmtId="0" fontId="2" fillId="10" borderId="4" xfId="0" applyFont="1" applyFill="1" applyBorder="1"/>
    <xf numFmtId="0" fontId="0" fillId="0" borderId="9" xfId="0" applyBorder="1"/>
    <xf numFmtId="0" fontId="7" fillId="0" borderId="6" xfId="0" applyFont="1" applyBorder="1"/>
    <xf numFmtId="0" fontId="29" fillId="2" borderId="0" xfId="0" applyFont="1" applyFill="1"/>
    <xf numFmtId="0" fontId="8" fillId="3" borderId="0" xfId="0" quotePrefix="1" applyFont="1" applyFill="1"/>
    <xf numFmtId="0" fontId="0" fillId="0" borderId="11" xfId="0" applyBorder="1"/>
    <xf numFmtId="0" fontId="3" fillId="0" borderId="9" xfId="0" applyFont="1" applyBorder="1"/>
    <xf numFmtId="0" fontId="2" fillId="10" borderId="0" xfId="0" applyFont="1" applyFill="1"/>
    <xf numFmtId="0" fontId="14" fillId="6" borderId="0" xfId="0" applyFont="1" applyFill="1"/>
    <xf numFmtId="0" fontId="0" fillId="0" borderId="21" xfId="0" applyBorder="1"/>
    <xf numFmtId="0" fontId="0" fillId="0" borderId="10" xfId="0" applyBorder="1"/>
    <xf numFmtId="0" fontId="23" fillId="5" borderId="0" xfId="0" applyFont="1" applyFill="1"/>
    <xf numFmtId="164" fontId="14" fillId="6" borderId="0" xfId="0" applyNumberFormat="1" applyFont="1" applyFill="1"/>
    <xf numFmtId="0" fontId="29" fillId="2" borderId="0" xfId="0" applyFont="1" applyFill="1" applyAlignment="1">
      <alignment horizontal="center" vertical="center"/>
    </xf>
    <xf numFmtId="0" fontId="2" fillId="17" borderId="6" xfId="0" applyFont="1" applyFill="1" applyBorder="1" applyAlignment="1">
      <alignment horizontal="center" vertical="center"/>
    </xf>
    <xf numFmtId="0" fontId="2" fillId="0" borderId="6" xfId="0" applyFont="1" applyBorder="1" applyAlignment="1">
      <alignment horizontal="center" vertical="center"/>
    </xf>
    <xf numFmtId="0" fontId="18" fillId="2" borderId="0" xfId="0" applyFont="1" applyFill="1" applyAlignment="1">
      <alignment horizontal="center" vertical="center"/>
    </xf>
    <xf numFmtId="0" fontId="6" fillId="2" borderId="0" xfId="0" applyFont="1" applyFill="1" applyAlignment="1">
      <alignment horizontal="center" vertical="center"/>
    </xf>
    <xf numFmtId="0" fontId="4" fillId="15" borderId="0" xfId="0" applyFont="1" applyFill="1" applyAlignment="1">
      <alignment horizontal="center"/>
    </xf>
    <xf numFmtId="0" fontId="2" fillId="8" borderId="0" xfId="0" applyFont="1" applyFill="1"/>
    <xf numFmtId="0" fontId="7" fillId="17" borderId="6" xfId="0" applyFont="1" applyFill="1" applyBorder="1"/>
    <xf numFmtId="0" fontId="3" fillId="0" borderId="10" xfId="0" applyFont="1" applyBorder="1"/>
    <xf numFmtId="0" fontId="2" fillId="0" borderId="6" xfId="0" applyFont="1" applyBorder="1" applyAlignment="1">
      <alignment horizontal="left"/>
    </xf>
    <xf numFmtId="0" fontId="6" fillId="2" borderId="0" xfId="0" applyFont="1" applyFill="1" applyAlignment="1">
      <alignment horizontal="left"/>
    </xf>
    <xf numFmtId="0" fontId="0" fillId="0" borderId="6" xfId="0" applyBorder="1" applyAlignment="1">
      <alignment horizontal="left"/>
    </xf>
    <xf numFmtId="0" fontId="12" fillId="2" borderId="0" xfId="0" applyFont="1" applyFill="1" applyAlignment="1">
      <alignment horizontal="left"/>
    </xf>
    <xf numFmtId="14" fontId="2" fillId="0" borderId="6" xfId="0" applyNumberFormat="1" applyFont="1" applyBorder="1"/>
    <xf numFmtId="14" fontId="18" fillId="2" borderId="0" xfId="0" applyNumberFormat="1" applyFont="1" applyFill="1"/>
    <xf numFmtId="49" fontId="29" fillId="2" borderId="0" xfId="0" applyNumberFormat="1" applyFont="1" applyFill="1"/>
    <xf numFmtId="49" fontId="2" fillId="17" borderId="6" xfId="0" applyNumberFormat="1" applyFont="1" applyFill="1" applyBorder="1"/>
    <xf numFmtId="0" fontId="0" fillId="0" borderId="5" xfId="0" applyBorder="1"/>
    <xf numFmtId="0" fontId="0" fillId="0" borderId="12" xfId="0" applyBorder="1"/>
    <xf numFmtId="0" fontId="2" fillId="13" borderId="0" xfId="0" applyFont="1" applyFill="1" applyAlignment="1">
      <alignment horizontal="center"/>
    </xf>
    <xf numFmtId="0" fontId="2" fillId="0" borderId="6" xfId="0" applyFont="1" applyBorder="1" applyAlignment="1">
      <alignment horizontal="center"/>
    </xf>
    <xf numFmtId="0" fontId="7" fillId="13" borderId="0" xfId="0" applyFont="1" applyFill="1"/>
    <xf numFmtId="0" fontId="2" fillId="10" borderId="5" xfId="0" applyFont="1" applyFill="1" applyBorder="1"/>
    <xf numFmtId="0" fontId="2" fillId="0" borderId="12" xfId="0" applyFont="1" applyBorder="1"/>
    <xf numFmtId="0" fontId="17" fillId="12" borderId="0" xfId="0" applyFont="1" applyFill="1"/>
    <xf numFmtId="0" fontId="15" fillId="9" borderId="0" xfId="0" applyFont="1" applyFill="1"/>
    <xf numFmtId="0" fontId="0" fillId="0" borderId="7" xfId="0" applyBorder="1"/>
    <xf numFmtId="0" fontId="17" fillId="10" borderId="0" xfId="0" applyFont="1" applyFill="1"/>
    <xf numFmtId="0" fontId="9" fillId="6" borderId="0" xfId="0" applyFont="1" applyFill="1"/>
    <xf numFmtId="0" fontId="0" fillId="0" borderId="14" xfId="0" applyBorder="1"/>
    <xf numFmtId="0" fontId="25" fillId="14" borderId="0" xfId="0" applyFont="1" applyFill="1"/>
    <xf numFmtId="0" fontId="24" fillId="14" borderId="0" xfId="0" applyFont="1" applyFill="1"/>
    <xf numFmtId="0" fontId="35" fillId="0" borderId="0" xfId="0" applyFont="1"/>
    <xf numFmtId="0" fontId="35" fillId="17" borderId="0" xfId="0" applyFont="1" applyFill="1"/>
    <xf numFmtId="0" fontId="27" fillId="25" borderId="0" xfId="0" applyFont="1" applyFill="1"/>
    <xf numFmtId="0" fontId="4" fillId="17" borderId="6" xfId="0" applyFont="1" applyFill="1" applyBorder="1"/>
    <xf numFmtId="0" fontId="4" fillId="17" borderId="8" xfId="0" applyFont="1" applyFill="1" applyBorder="1"/>
    <xf numFmtId="0" fontId="3" fillId="17" borderId="4" xfId="0" applyFont="1" applyFill="1" applyBorder="1"/>
    <xf numFmtId="0" fontId="3" fillId="20" borderId="4" xfId="0" applyFont="1" applyFill="1" applyBorder="1"/>
    <xf numFmtId="0" fontId="3" fillId="21" borderId="4" xfId="0" applyFont="1" applyFill="1" applyBorder="1"/>
    <xf numFmtId="0" fontId="5" fillId="17" borderId="6" xfId="0" applyFont="1" applyFill="1" applyBorder="1"/>
    <xf numFmtId="0" fontId="5" fillId="20" borderId="6" xfId="0" applyFont="1" applyFill="1" applyBorder="1"/>
    <xf numFmtId="0" fontId="5" fillId="21" borderId="6" xfId="0" applyFont="1" applyFill="1" applyBorder="1"/>
    <xf numFmtId="0" fontId="5" fillId="17" borderId="7" xfId="0" applyFont="1" applyFill="1" applyBorder="1"/>
    <xf numFmtId="0" fontId="3" fillId="20" borderId="6" xfId="0" applyFont="1" applyFill="1" applyBorder="1"/>
    <xf numFmtId="0" fontId="3" fillId="21" borderId="6" xfId="0" applyFont="1" applyFill="1" applyBorder="1"/>
    <xf numFmtId="0" fontId="0" fillId="17" borderId="6" xfId="0" applyFill="1" applyBorder="1"/>
    <xf numFmtId="0" fontId="12" fillId="2" borderId="8" xfId="0" applyFont="1" applyFill="1" applyBorder="1"/>
    <xf numFmtId="0" fontId="6" fillId="0" borderId="8" xfId="0" applyFont="1" applyBorder="1"/>
    <xf numFmtId="0" fontId="12" fillId="0" borderId="8" xfId="0" applyFont="1" applyBorder="1"/>
    <xf numFmtId="0" fontId="6" fillId="18" borderId="17" xfId="0" applyFont="1" applyFill="1" applyBorder="1"/>
    <xf numFmtId="0" fontId="13" fillId="2" borderId="0" xfId="0" applyFont="1" applyFill="1"/>
    <xf numFmtId="0" fontId="26" fillId="14" borderId="6" xfId="0" applyFont="1" applyFill="1" applyBorder="1"/>
    <xf numFmtId="0" fontId="13" fillId="18" borderId="0" xfId="0" applyFont="1" applyFill="1"/>
    <xf numFmtId="0" fontId="2" fillId="17" borderId="6" xfId="0" applyFont="1" applyFill="1" applyBorder="1" applyAlignment="1">
      <alignment horizontal="right"/>
    </xf>
    <xf numFmtId="0" fontId="8" fillId="3" borderId="4" xfId="0" applyFont="1" applyFill="1" applyBorder="1"/>
    <xf numFmtId="0" fontId="0" fillId="0" borderId="16" xfId="0" applyBorder="1"/>
    <xf numFmtId="0" fontId="2" fillId="17" borderId="8" xfId="0" applyFont="1" applyFill="1" applyBorder="1"/>
    <xf numFmtId="2" fontId="30" fillId="17" borderId="6" xfId="0" applyNumberFormat="1" applyFont="1" applyFill="1" applyBorder="1" applyAlignment="1">
      <alignment horizontal="right" vertical="center" wrapText="1"/>
    </xf>
    <xf numFmtId="0" fontId="18" fillId="2" borderId="4" xfId="0" applyFont="1" applyFill="1" applyBorder="1"/>
    <xf numFmtId="0" fontId="2" fillId="13" borderId="16" xfId="0" applyFont="1" applyFill="1" applyBorder="1"/>
    <xf numFmtId="0" fontId="4" fillId="15" borderId="4" xfId="0" applyFont="1" applyFill="1" applyBorder="1"/>
    <xf numFmtId="0" fontId="3" fillId="0" borderId="20" xfId="0" applyFont="1" applyBorder="1"/>
    <xf numFmtId="0" fontId="3" fillId="17" borderId="7" xfId="0" applyFont="1" applyFill="1" applyBorder="1"/>
    <xf numFmtId="0" fontId="2" fillId="13" borderId="4" xfId="0" applyFont="1" applyFill="1" applyBorder="1"/>
    <xf numFmtId="0" fontId="22" fillId="7" borderId="16" xfId="0" applyFont="1" applyFill="1" applyBorder="1"/>
    <xf numFmtId="0" fontId="18" fillId="18" borderId="0" xfId="0" applyFont="1" applyFill="1"/>
    <xf numFmtId="4" fontId="30" fillId="17" borderId="6" xfId="0" applyNumberFormat="1" applyFont="1" applyFill="1" applyBorder="1" applyAlignment="1">
      <alignment horizontal="right" vertical="center" wrapText="1"/>
    </xf>
    <xf numFmtId="0" fontId="2" fillId="13" borderId="9" xfId="0" applyFont="1" applyFill="1" applyBorder="1"/>
    <xf numFmtId="0" fontId="22" fillId="7" borderId="9" xfId="0" applyFont="1" applyFill="1" applyBorder="1"/>
    <xf numFmtId="0" fontId="8" fillId="19" borderId="0" xfId="0" applyFont="1" applyFill="1"/>
    <xf numFmtId="0" fontId="20" fillId="0" borderId="8" xfId="0" applyFont="1" applyBorder="1"/>
    <xf numFmtId="0" fontId="20" fillId="0" borderId="8" xfId="0" applyFont="1" applyBorder="1" applyAlignment="1">
      <alignment horizontal="center" vertical="center"/>
    </xf>
    <xf numFmtId="0" fontId="2" fillId="17" borderId="8" xfId="0" applyFont="1" applyFill="1" applyBorder="1" applyAlignment="1">
      <alignment horizontal="center" vertical="center"/>
    </xf>
    <xf numFmtId="0" fontId="18" fillId="18" borderId="0" xfId="0" applyFont="1" applyFill="1" applyAlignment="1">
      <alignment horizontal="center" vertical="center"/>
    </xf>
    <xf numFmtId="0" fontId="7" fillId="17" borderId="8" xfId="0" applyFont="1" applyFill="1" applyBorder="1"/>
    <xf numFmtId="0" fontId="2" fillId="13" borderId="10" xfId="0" applyFont="1" applyFill="1" applyBorder="1"/>
    <xf numFmtId="0" fontId="22" fillId="7" borderId="10" xfId="0" applyFont="1" applyFill="1" applyBorder="1"/>
    <xf numFmtId="0" fontId="7" fillId="0" borderId="6" xfId="0" applyFont="1" applyBorder="1" applyAlignment="1">
      <alignment horizontal="left"/>
    </xf>
    <xf numFmtId="0" fontId="2" fillId="17" borderId="6" xfId="0" applyFont="1" applyFill="1" applyBorder="1" applyAlignment="1">
      <alignment horizontal="left"/>
    </xf>
    <xf numFmtId="14" fontId="20" fillId="0" borderId="8" xfId="0" applyNumberFormat="1" applyFont="1" applyBorder="1"/>
    <xf numFmtId="49" fontId="2" fillId="17" borderId="8" xfId="0" applyNumberFormat="1" applyFont="1" applyFill="1" applyBorder="1"/>
    <xf numFmtId="49" fontId="18" fillId="18" borderId="0" xfId="0" applyNumberFormat="1" applyFont="1" applyFill="1"/>
    <xf numFmtId="0" fontId="2" fillId="20" borderId="5" xfId="0" applyFont="1" applyFill="1" applyBorder="1"/>
    <xf numFmtId="0" fontId="29" fillId="2" borderId="5" xfId="0" applyFont="1" applyFill="1" applyBorder="1"/>
    <xf numFmtId="0" fontId="2" fillId="21" borderId="5" xfId="0" applyFont="1" applyFill="1" applyBorder="1"/>
    <xf numFmtId="0" fontId="18" fillId="18" borderId="5" xfId="0" applyFont="1" applyFill="1" applyBorder="1"/>
    <xf numFmtId="0" fontId="0" fillId="17" borderId="8" xfId="0" applyFill="1" applyBorder="1"/>
    <xf numFmtId="0" fontId="3" fillId="0" borderId="5" xfId="0" applyFont="1" applyBorder="1"/>
    <xf numFmtId="0" fontId="4" fillId="15" borderId="5" xfId="0" applyFont="1" applyFill="1" applyBorder="1"/>
    <xf numFmtId="0" fontId="17" fillId="12" borderId="8" xfId="0" applyFont="1" applyFill="1" applyBorder="1"/>
    <xf numFmtId="0" fontId="16" fillId="3" borderId="0" xfId="0" applyFont="1" applyFill="1"/>
    <xf numFmtId="2" fontId="30" fillId="17" borderId="0" xfId="0" applyNumberFormat="1" applyFont="1" applyFill="1" applyAlignment="1">
      <alignment horizontal="right" vertical="center" wrapText="1"/>
    </xf>
    <xf numFmtId="166" fontId="30" fillId="17" borderId="0" xfId="0" applyNumberFormat="1" applyFont="1" applyFill="1" applyAlignment="1">
      <alignment horizontal="right" vertical="center" wrapText="1"/>
    </xf>
    <xf numFmtId="0" fontId="1" fillId="17" borderId="0" xfId="0" applyFont="1" applyFill="1" applyAlignment="1">
      <alignment horizontal="center"/>
    </xf>
    <xf numFmtId="0" fontId="0" fillId="17" borderId="0" xfId="0" applyFill="1"/>
    <xf numFmtId="0" fontId="1" fillId="0" borderId="0" xfId="0" applyFont="1" applyAlignment="1">
      <alignment horizontal="center"/>
    </xf>
    <xf numFmtId="0" fontId="0" fillId="0" borderId="0" xfId="0"/>
    <xf numFmtId="0" fontId="2" fillId="0" borderId="37" xfId="0" applyFont="1" applyBorder="1" applyAlignment="1">
      <alignment horizontal="center" vertical="center" wrapText="1"/>
    </xf>
    <xf numFmtId="0" fontId="31" fillId="0" borderId="4" xfId="0" applyFont="1" applyBorder="1"/>
    <xf numFmtId="0" fontId="31" fillId="0" borderId="41" xfId="0" applyFont="1" applyBorder="1"/>
    <xf numFmtId="0" fontId="33" fillId="16" borderId="52" xfId="0" applyFont="1" applyFill="1" applyBorder="1" applyAlignment="1">
      <alignment horizontal="center" vertical="center"/>
    </xf>
    <xf numFmtId="0" fontId="31" fillId="0" borderId="56" xfId="0" applyFont="1" applyBorder="1"/>
    <xf numFmtId="0" fontId="31" fillId="0" borderId="59" xfId="0" applyFont="1" applyBorder="1"/>
    <xf numFmtId="0" fontId="2" fillId="0" borderId="49" xfId="0" applyFont="1" applyBorder="1" applyAlignment="1">
      <alignment horizontal="center" vertical="center" wrapText="1"/>
    </xf>
    <xf numFmtId="0" fontId="31" fillId="0" borderId="44" xfId="0" applyFont="1" applyBorder="1"/>
    <xf numFmtId="0" fontId="2" fillId="0" borderId="50" xfId="0" applyFont="1" applyBorder="1" applyAlignment="1">
      <alignment horizontal="center" vertical="center" wrapText="1"/>
    </xf>
    <xf numFmtId="0" fontId="31" fillId="0" borderId="54" xfId="0" applyFont="1" applyBorder="1"/>
    <xf numFmtId="0" fontId="31" fillId="0" borderId="57" xfId="0" applyFont="1" applyBorder="1"/>
    <xf numFmtId="0" fontId="16" fillId="3" borderId="26" xfId="0" applyFont="1" applyFill="1" applyBorder="1" applyAlignment="1">
      <alignment horizontal="center" vertical="center" wrapText="1"/>
    </xf>
    <xf numFmtId="0" fontId="31" fillId="0" borderId="53" xfId="0" applyFont="1" applyBorder="1"/>
    <xf numFmtId="0" fontId="31" fillId="0" borderId="32" xfId="0" applyFont="1" applyBorder="1"/>
    <xf numFmtId="0" fontId="2" fillId="0" borderId="25" xfId="0" applyFont="1" applyBorder="1" applyAlignment="1">
      <alignment horizontal="center" vertical="center" wrapText="1"/>
    </xf>
    <xf numFmtId="0" fontId="31" fillId="0" borderId="40" xfId="0" applyFont="1" applyBorder="1"/>
    <xf numFmtId="0" fontId="31" fillId="0" borderId="31" xfId="0" applyFont="1" applyBorder="1"/>
    <xf numFmtId="0" fontId="2" fillId="0" borderId="51" xfId="0" applyFont="1" applyBorder="1" applyAlignment="1">
      <alignment horizontal="center" vertical="center" wrapText="1"/>
    </xf>
    <xf numFmtId="0" fontId="31" fillId="0" borderId="55" xfId="0" applyFont="1" applyBorder="1"/>
    <xf numFmtId="0" fontId="31" fillId="0" borderId="58" xfId="0" applyFont="1" applyBorder="1"/>
    <xf numFmtId="0" fontId="16" fillId="3" borderId="38" xfId="0" applyFont="1" applyFill="1" applyBorder="1" applyAlignment="1">
      <alignment horizontal="center" vertical="center" wrapText="1"/>
    </xf>
    <xf numFmtId="0" fontId="31" fillId="0" borderId="39" xfId="0" applyFont="1" applyBorder="1"/>
    <xf numFmtId="0" fontId="31" fillId="0" borderId="47" xfId="0" applyFont="1" applyBorder="1"/>
    <xf numFmtId="0" fontId="31" fillId="0" borderId="5" xfId="0" applyFont="1" applyBorder="1"/>
    <xf numFmtId="0" fontId="31" fillId="0" borderId="42" xfId="0" applyFont="1" applyBorder="1"/>
    <xf numFmtId="0" fontId="31" fillId="0" borderId="43" xfId="0" applyFont="1" applyBorder="1"/>
    <xf numFmtId="0" fontId="10" fillId="0" borderId="49" xfId="0" applyFont="1" applyBorder="1" applyAlignment="1">
      <alignment horizontal="right" vertical="center"/>
    </xf>
    <xf numFmtId="0" fontId="31" fillId="0" borderId="36" xfId="0" applyFont="1" applyBorder="1"/>
    <xf numFmtId="0" fontId="16" fillId="3" borderId="25" xfId="0" applyFont="1" applyFill="1" applyBorder="1" applyAlignment="1">
      <alignment horizontal="center" vertical="center" wrapText="1"/>
    </xf>
    <xf numFmtId="0" fontId="16" fillId="3" borderId="45" xfId="0" applyFont="1" applyFill="1" applyBorder="1" applyAlignment="1">
      <alignment horizontal="center" vertical="center" wrapText="1"/>
    </xf>
    <xf numFmtId="0" fontId="31" fillId="0" borderId="46" xfId="0" applyFont="1" applyBorder="1"/>
    <xf numFmtId="0" fontId="2" fillId="0" borderId="36" xfId="0" applyFont="1" applyBorder="1" applyAlignment="1">
      <alignment horizontal="left" vertical="center" wrapText="1"/>
    </xf>
    <xf numFmtId="0" fontId="2" fillId="0" borderId="24" xfId="0" applyFont="1" applyBorder="1" applyAlignment="1">
      <alignment vertical="center" wrapText="1"/>
    </xf>
    <xf numFmtId="0" fontId="31" fillId="0" borderId="27" xfId="0" applyFont="1" applyBorder="1"/>
    <xf numFmtId="0" fontId="31" fillId="0" borderId="48" xfId="0" applyFont="1" applyBorder="1"/>
    <xf numFmtId="0" fontId="31" fillId="0" borderId="30" xfId="0" applyFont="1" applyBorder="1"/>
    <xf numFmtId="0" fontId="31" fillId="0" borderId="33" xfId="0" applyFont="1" applyBorder="1"/>
    <xf numFmtId="0" fontId="32" fillId="0" borderId="47" xfId="0" applyFont="1" applyBorder="1" applyAlignment="1">
      <alignment horizontal="left" vertical="center"/>
    </xf>
    <xf numFmtId="0" fontId="2" fillId="0" borderId="24" xfId="0" applyFont="1" applyBorder="1" applyAlignment="1">
      <alignment horizontal="left" vertical="center" wrapText="1"/>
    </xf>
    <xf numFmtId="0" fontId="2" fillId="0" borderId="36" xfId="0" applyFont="1" applyBorder="1" applyAlignment="1">
      <alignment vertical="center" wrapText="1"/>
    </xf>
    <xf numFmtId="0" fontId="2" fillId="0" borderId="22" xfId="0" applyFont="1" applyBorder="1" applyAlignment="1">
      <alignment horizontal="center"/>
    </xf>
    <xf numFmtId="0" fontId="31" fillId="0" borderId="23" xfId="0" applyFont="1" applyBorder="1"/>
    <xf numFmtId="0" fontId="2" fillId="0" borderId="22" xfId="0" applyFont="1" applyBorder="1" applyAlignment="1">
      <alignment vertical="center" wrapText="1"/>
    </xf>
    <xf numFmtId="0" fontId="16" fillId="3" borderId="26" xfId="0" applyFont="1" applyFill="1" applyBorder="1" applyAlignment="1">
      <alignment vertical="center" wrapText="1"/>
    </xf>
    <xf numFmtId="0" fontId="2" fillId="0" borderId="2" xfId="0" applyFont="1" applyBorder="1" applyAlignment="1">
      <alignment horizontal="center" vertical="center" wrapText="1"/>
    </xf>
    <xf numFmtId="0" fontId="31" fillId="0" borderId="2" xfId="0" applyFont="1" applyBorder="1"/>
    <xf numFmtId="0" fontId="31" fillId="0" borderId="3" xfId="0" applyFont="1" applyBorder="1"/>
    <xf numFmtId="0" fontId="2" fillId="0" borderId="30" xfId="0" applyFont="1" applyBorder="1" applyAlignment="1">
      <alignment horizontal="center" vertical="center" wrapText="1"/>
    </xf>
    <xf numFmtId="0" fontId="16" fillId="3" borderId="34" xfId="0" applyFont="1" applyFill="1" applyBorder="1" applyAlignment="1">
      <alignment horizontal="center" vertical="center" wrapText="1"/>
    </xf>
    <xf numFmtId="0" fontId="31" fillId="0" borderId="35" xfId="0" applyFont="1" applyBorder="1"/>
    <xf numFmtId="0" fontId="10" fillId="0" borderId="37" xfId="0" applyFont="1" applyBorder="1" applyAlignment="1">
      <alignment horizontal="center" vertical="center" wrapText="1"/>
    </xf>
    <xf numFmtId="0" fontId="2" fillId="0" borderId="37" xfId="0" applyFont="1" applyBorder="1" applyAlignment="1">
      <alignment horizontal="left" vertical="center" wrapText="1"/>
    </xf>
    <xf numFmtId="0" fontId="2" fillId="0" borderId="49" xfId="0" applyFont="1" applyBorder="1" applyAlignment="1">
      <alignment horizontal="left" vertical="center" wrapText="1"/>
    </xf>
    <xf numFmtId="0" fontId="2" fillId="0" borderId="67" xfId="0" applyFont="1" applyBorder="1" applyAlignment="1">
      <alignment horizontal="center" vertical="center" wrapText="1"/>
    </xf>
    <xf numFmtId="0" fontId="31" fillId="0" borderId="68" xfId="0" applyFont="1" applyBorder="1"/>
    <xf numFmtId="0" fontId="34" fillId="3" borderId="45" xfId="0" applyFont="1" applyFill="1" applyBorder="1" applyAlignment="1">
      <alignment horizontal="center" vertical="center" wrapText="1"/>
    </xf>
    <xf numFmtId="0" fontId="2" fillId="0" borderId="36" xfId="0" applyFont="1" applyBorder="1" applyAlignment="1">
      <alignment horizontal="center" vertical="center" wrapText="1"/>
    </xf>
    <xf numFmtId="0" fontId="16" fillId="3" borderId="69" xfId="0" applyFont="1" applyFill="1" applyBorder="1" applyAlignment="1">
      <alignment horizontal="center" vertical="center" wrapText="1"/>
    </xf>
    <xf numFmtId="0" fontId="31" fillId="0" borderId="70" xfId="0" applyFont="1" applyBorder="1"/>
    <xf numFmtId="0" fontId="2" fillId="0" borderId="51" xfId="0" applyFont="1" applyBorder="1" applyAlignment="1">
      <alignment horizontal="center"/>
    </xf>
    <xf numFmtId="0" fontId="2" fillId="6" borderId="37" xfId="0" applyFont="1" applyFill="1" applyBorder="1" applyAlignment="1">
      <alignment horizontal="center" vertical="center" wrapText="1"/>
    </xf>
    <xf numFmtId="0" fontId="2" fillId="0" borderId="51" xfId="0" applyFont="1" applyBorder="1" applyAlignment="1">
      <alignment vertical="center" wrapText="1"/>
    </xf>
    <xf numFmtId="0" fontId="16" fillId="3" borderId="51" xfId="0" applyFont="1" applyFill="1" applyBorder="1" applyAlignment="1">
      <alignment vertical="center" wrapText="1"/>
    </xf>
    <xf numFmtId="0" fontId="2" fillId="0" borderId="27" xfId="0" applyFont="1" applyBorder="1" applyAlignment="1">
      <alignment vertical="center" wrapText="1"/>
    </xf>
    <xf numFmtId="0" fontId="16" fillId="3" borderId="25" xfId="0" applyFont="1" applyFill="1" applyBorder="1" applyAlignment="1">
      <alignment vertical="center" wrapText="1"/>
    </xf>
    <xf numFmtId="0" fontId="2" fillId="0" borderId="26" xfId="0" applyFont="1" applyBorder="1" applyAlignment="1">
      <alignment horizontal="center" vertical="center" wrapText="1"/>
    </xf>
    <xf numFmtId="0" fontId="2" fillId="0" borderId="25" xfId="0" applyFont="1" applyBorder="1" applyAlignment="1">
      <alignment vertical="center" wrapText="1"/>
    </xf>
  </cellXfs>
  <cellStyles count="1">
    <cellStyle name="Normal" xfId="0" builtinId="0"/>
  </cellStyles>
  <dxfs count="94">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s>
  <tableStyles count="0" defaultTableStyle="TableStyleMedium2" defaultPivotStyle="PivotStyleLight16"/>
  <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T2085"/>
  <sheetViews>
    <sheetView tabSelected="1" zoomScale="142" zoomScaleNormal="130" workbookViewId="0">
      <pane ySplit="2" topLeftCell="A2086" activePane="bottomLeft" state="frozen"/>
      <selection pane="bottomLeft" activeCell="D858" sqref="D858:G858"/>
    </sheetView>
  </sheetViews>
  <sheetFormatPr baseColWidth="10" defaultColWidth="12.6640625" defaultRowHeight="15" customHeight="1" x14ac:dyDescent="0.2"/>
  <cols>
    <col min="1" max="1" width="83.1640625" customWidth="1"/>
    <col min="2" max="2" width="16.1640625" customWidth="1"/>
    <col min="3" max="3" width="33.83203125" customWidth="1"/>
    <col min="4" max="4" width="26.5" customWidth="1"/>
    <col min="5" max="5" width="16.1640625" customWidth="1"/>
    <col min="6" max="6" width="47.33203125" customWidth="1"/>
    <col min="7" max="7" width="81.1640625" customWidth="1"/>
    <col min="8" max="8" width="26.1640625" customWidth="1"/>
    <col min="9" max="9" width="19.83203125" customWidth="1"/>
    <col min="10" max="10" width="31.5" customWidth="1"/>
    <col min="11" max="11" width="10" customWidth="1"/>
    <col min="12" max="12" width="11.6640625" customWidth="1"/>
    <col min="13" max="14" width="15.33203125" customWidth="1"/>
    <col min="15" max="15" width="34.1640625" customWidth="1"/>
    <col min="16" max="16" width="27.1640625" customWidth="1"/>
    <col min="17" max="17" width="8.83203125" customWidth="1"/>
    <col min="18" max="18" width="30.83203125" customWidth="1"/>
    <col min="19" max="19" width="16.5" customWidth="1"/>
    <col min="20" max="20" width="16.6640625" customWidth="1"/>
    <col min="21" max="21" width="10.6640625" style="177" customWidth="1"/>
    <col min="22" max="22" width="8.6640625" customWidth="1"/>
    <col min="23" max="23" width="28.6640625" customWidth="1"/>
    <col min="24" max="24" width="19.83203125" customWidth="1"/>
    <col min="25" max="25" width="21.6640625" customWidth="1"/>
    <col min="26" max="40" width="8.6640625" customWidth="1"/>
    <col min="41" max="41" width="18.6640625" customWidth="1"/>
    <col min="42" max="72" width="8.6640625" customWidth="1"/>
  </cols>
  <sheetData>
    <row r="1" spans="1:53" ht="14.25" customHeight="1" x14ac:dyDescent="0.3">
      <c r="A1" s="337" t="s">
        <v>0</v>
      </c>
      <c r="B1" s="338"/>
      <c r="C1" s="338"/>
      <c r="D1" s="338"/>
      <c r="E1" s="338"/>
      <c r="F1" s="338"/>
      <c r="G1" s="338"/>
      <c r="H1" s="338"/>
      <c r="I1" s="338"/>
      <c r="J1" s="338"/>
      <c r="K1" s="338"/>
      <c r="L1" s="338"/>
      <c r="M1" s="146" t="s">
        <v>1</v>
      </c>
      <c r="N1" s="147"/>
      <c r="O1" s="147"/>
      <c r="P1" s="147"/>
      <c r="Q1" s="147"/>
      <c r="R1" s="147"/>
      <c r="S1" s="147"/>
      <c r="T1" s="147"/>
      <c r="U1" s="173"/>
      <c r="V1" s="147"/>
      <c r="W1" s="147"/>
      <c r="X1" s="147"/>
      <c r="Y1" s="147"/>
      <c r="Z1" s="147"/>
      <c r="AA1" s="147"/>
      <c r="AB1" s="147"/>
      <c r="AC1" s="147"/>
      <c r="AD1" s="147"/>
      <c r="AE1" s="147"/>
      <c r="AF1" s="147"/>
      <c r="AG1" s="147"/>
      <c r="AH1" s="147"/>
      <c r="AI1" s="147"/>
      <c r="AJ1" s="147"/>
      <c r="AK1" s="148"/>
      <c r="AL1" s="136" t="s">
        <v>2</v>
      </c>
      <c r="AM1" s="136" t="s">
        <v>3</v>
      </c>
      <c r="AN1" s="136" t="s">
        <v>4</v>
      </c>
      <c r="AO1" s="135"/>
      <c r="AP1" s="135"/>
      <c r="AQ1" s="135"/>
      <c r="AR1" s="135"/>
      <c r="AS1" s="135"/>
      <c r="AT1" s="135"/>
      <c r="AU1" s="135"/>
      <c r="AV1" s="135"/>
      <c r="AW1" s="135"/>
      <c r="AX1" s="135"/>
      <c r="AY1" s="135"/>
      <c r="AZ1" s="135"/>
      <c r="BA1" s="135"/>
    </row>
    <row r="2" spans="1:53" ht="14.25" customHeight="1" x14ac:dyDescent="0.2">
      <c r="A2" s="145" t="s">
        <v>5</v>
      </c>
      <c r="B2" s="136" t="s">
        <v>6</v>
      </c>
      <c r="C2" s="136" t="s">
        <v>7</v>
      </c>
      <c r="D2" s="137" t="s">
        <v>8</v>
      </c>
      <c r="E2" s="136" t="s">
        <v>9</v>
      </c>
      <c r="F2" s="136" t="s">
        <v>10</v>
      </c>
      <c r="G2" s="136" t="s">
        <v>11</v>
      </c>
      <c r="H2" s="136" t="s">
        <v>12</v>
      </c>
      <c r="I2" s="136" t="s">
        <v>13</v>
      </c>
      <c r="J2" s="136" t="s">
        <v>14</v>
      </c>
      <c r="K2" s="136" t="s">
        <v>15</v>
      </c>
      <c r="L2" s="136" t="s">
        <v>16</v>
      </c>
      <c r="M2" s="143" t="s">
        <v>17</v>
      </c>
      <c r="N2" s="136" t="s">
        <v>18</v>
      </c>
      <c r="O2" s="136" t="s">
        <v>19</v>
      </c>
      <c r="P2" s="136" t="s">
        <v>20</v>
      </c>
      <c r="Q2" s="136" t="s">
        <v>21</v>
      </c>
      <c r="R2" s="136" t="s">
        <v>22</v>
      </c>
      <c r="S2" s="136" t="s">
        <v>23</v>
      </c>
      <c r="T2" s="135"/>
      <c r="U2" s="174" t="s">
        <v>24</v>
      </c>
      <c r="V2" s="136" t="s">
        <v>25</v>
      </c>
      <c r="W2" s="136" t="s">
        <v>26</v>
      </c>
      <c r="X2" s="136" t="s">
        <v>27</v>
      </c>
      <c r="Y2" s="136" t="s">
        <v>28</v>
      </c>
      <c r="Z2" s="135"/>
      <c r="AA2" s="135"/>
      <c r="AB2" s="135"/>
      <c r="AC2" s="135"/>
      <c r="AD2" s="135"/>
      <c r="AE2" s="136" t="s">
        <v>29</v>
      </c>
      <c r="AF2" s="136" t="s">
        <v>30</v>
      </c>
      <c r="AG2" s="136" t="s">
        <v>24</v>
      </c>
      <c r="AH2" s="135"/>
      <c r="AI2" s="135"/>
      <c r="AJ2" s="135"/>
      <c r="AK2" s="144"/>
      <c r="AL2" s="136" t="s">
        <v>31</v>
      </c>
      <c r="AM2" s="136" t="s">
        <v>32</v>
      </c>
      <c r="AN2" s="136" t="s">
        <v>33</v>
      </c>
      <c r="AO2" s="136" t="s">
        <v>34</v>
      </c>
      <c r="AP2" s="136" t="s">
        <v>35</v>
      </c>
      <c r="AQ2" s="136" t="s">
        <v>36</v>
      </c>
      <c r="AR2" s="136" t="s">
        <v>37</v>
      </c>
      <c r="AS2" s="136" t="s">
        <v>38</v>
      </c>
      <c r="AT2" s="136" t="s">
        <v>39</v>
      </c>
      <c r="AU2" s="136" t="s">
        <v>40</v>
      </c>
      <c r="AV2" s="136" t="s">
        <v>41</v>
      </c>
      <c r="AW2" s="136" t="s">
        <v>42</v>
      </c>
      <c r="AX2" s="136" t="s">
        <v>43</v>
      </c>
      <c r="AY2" s="135"/>
      <c r="AZ2" s="135"/>
      <c r="BA2" s="135"/>
    </row>
    <row r="3" spans="1:53" ht="14.25" customHeight="1" x14ac:dyDescent="0.2">
      <c r="A3" s="145" t="s">
        <v>138</v>
      </c>
      <c r="B3" s="4">
        <v>10</v>
      </c>
      <c r="C3" s="200" t="s">
        <v>139</v>
      </c>
      <c r="D3" s="200" t="s">
        <v>140</v>
      </c>
      <c r="E3" s="201"/>
      <c r="F3" s="201" t="s">
        <v>141</v>
      </c>
      <c r="G3" s="201" t="str">
        <f t="shared" ref="G3:G50" si="0">CONCATENATE("-&gt; ",-1*AF3," W, ",AE3," N, Elev. ",AG3," m")</f>
        <v>-&gt; 119.651 W, 49.5794 N, Elev. 426 m</v>
      </c>
      <c r="H3" s="9"/>
      <c r="I3" s="9"/>
      <c r="J3" s="9"/>
      <c r="M3" s="221">
        <v>49.5794</v>
      </c>
      <c r="N3" s="11">
        <v>-119.651</v>
      </c>
      <c r="O3" s="11" t="s">
        <v>142</v>
      </c>
      <c r="P3" s="11" t="s">
        <v>143</v>
      </c>
      <c r="Q3" s="12">
        <v>1</v>
      </c>
      <c r="R3" s="11" t="s">
        <v>144</v>
      </c>
      <c r="S3" s="11" t="s">
        <v>145</v>
      </c>
      <c r="U3" s="175">
        <v>426</v>
      </c>
      <c r="AE3" s="201">
        <v>49.5794</v>
      </c>
      <c r="AF3" s="201">
        <v>-119.651</v>
      </c>
      <c r="AG3" s="201">
        <v>426</v>
      </c>
      <c r="AK3" s="260"/>
    </row>
    <row r="4" spans="1:53" ht="14.25" customHeight="1" x14ac:dyDescent="0.2">
      <c r="A4" s="145" t="s">
        <v>138</v>
      </c>
      <c r="B4" s="4">
        <v>10</v>
      </c>
      <c r="C4" s="200" t="s">
        <v>139</v>
      </c>
      <c r="D4" s="201" t="s">
        <v>146</v>
      </c>
      <c r="E4" s="201"/>
      <c r="F4" s="200" t="s">
        <v>147</v>
      </c>
      <c r="G4" s="201" t="str">
        <f t="shared" si="0"/>
        <v>-&gt; 121.2511111 W, 51.79027778 N, Elev. 677 m</v>
      </c>
      <c r="M4" s="221">
        <v>51.790277779999997</v>
      </c>
      <c r="N4" s="11">
        <v>-121.2511111</v>
      </c>
      <c r="O4" s="11" t="s">
        <v>148</v>
      </c>
      <c r="P4" s="11" t="s">
        <v>149</v>
      </c>
      <c r="Q4" s="12">
        <v>1</v>
      </c>
      <c r="R4" s="11" t="s">
        <v>150</v>
      </c>
      <c r="S4" s="11" t="s">
        <v>145</v>
      </c>
      <c r="U4" s="175">
        <v>677</v>
      </c>
      <c r="AE4" s="201">
        <v>51.790277779999997</v>
      </c>
      <c r="AF4" s="201">
        <v>-121.2511111</v>
      </c>
      <c r="AG4" s="201">
        <v>677</v>
      </c>
      <c r="AK4" s="260"/>
    </row>
    <row r="5" spans="1:53" ht="14.25" customHeight="1" x14ac:dyDescent="0.2">
      <c r="A5" s="145" t="s">
        <v>138</v>
      </c>
      <c r="B5" s="4">
        <v>10</v>
      </c>
      <c r="C5" s="200" t="s">
        <v>139</v>
      </c>
      <c r="D5" s="201" t="s">
        <v>151</v>
      </c>
      <c r="E5" s="201"/>
      <c r="F5" s="200" t="s">
        <v>152</v>
      </c>
      <c r="G5" s="201" t="str">
        <f t="shared" si="0"/>
        <v>-&gt; 120.143 W, 55.7721 N, Elev. 673 m</v>
      </c>
      <c r="M5" s="221">
        <v>55.772100000000002</v>
      </c>
      <c r="N5" s="11">
        <v>-120.143</v>
      </c>
      <c r="O5" s="11" t="s">
        <v>153</v>
      </c>
      <c r="P5" s="11" t="s">
        <v>154</v>
      </c>
      <c r="Q5" s="12">
        <v>2</v>
      </c>
      <c r="R5" s="11" t="s">
        <v>155</v>
      </c>
      <c r="S5" s="11" t="s">
        <v>145</v>
      </c>
      <c r="U5" s="175">
        <v>673</v>
      </c>
      <c r="AE5" s="201">
        <v>55.772100000000002</v>
      </c>
      <c r="AF5" s="201">
        <v>-120.143</v>
      </c>
      <c r="AG5" s="201">
        <v>673</v>
      </c>
      <c r="AK5" s="260"/>
    </row>
    <row r="6" spans="1:53" ht="14.25" customHeight="1" x14ac:dyDescent="0.2">
      <c r="A6" s="145" t="s">
        <v>138</v>
      </c>
      <c r="B6" s="4">
        <v>10</v>
      </c>
      <c r="C6" s="200" t="s">
        <v>139</v>
      </c>
      <c r="D6" s="201" t="s">
        <v>156</v>
      </c>
      <c r="E6" s="201"/>
      <c r="F6" s="200" t="s">
        <v>157</v>
      </c>
      <c r="G6" s="201" t="str">
        <f t="shared" si="0"/>
        <v>-&gt; 121.308 W, 56.2461 N, Elev. 504 m</v>
      </c>
      <c r="M6" s="11">
        <v>56.246099999999998</v>
      </c>
      <c r="N6" s="11">
        <v>-121.30800000000001</v>
      </c>
      <c r="O6" s="11" t="s">
        <v>148</v>
      </c>
      <c r="P6" s="11" t="s">
        <v>158</v>
      </c>
      <c r="Q6" s="12">
        <v>1</v>
      </c>
      <c r="R6" s="11" t="s">
        <v>159</v>
      </c>
      <c r="S6" s="11" t="s">
        <v>145</v>
      </c>
      <c r="U6" s="175">
        <v>504</v>
      </c>
      <c r="AE6" s="201">
        <v>56.246099999999998</v>
      </c>
      <c r="AF6" s="201">
        <v>-121.30800000000001</v>
      </c>
      <c r="AG6" s="201">
        <v>504</v>
      </c>
    </row>
    <row r="7" spans="1:53" ht="14.25" customHeight="1" x14ac:dyDescent="0.2">
      <c r="A7" s="145" t="s">
        <v>138</v>
      </c>
      <c r="B7" s="4">
        <v>10</v>
      </c>
      <c r="C7" s="200" t="s">
        <v>139</v>
      </c>
      <c r="D7" s="201" t="s">
        <v>160</v>
      </c>
      <c r="E7" s="201"/>
      <c r="F7" s="200" t="s">
        <v>161</v>
      </c>
      <c r="G7" s="201" t="str">
        <f t="shared" si="0"/>
        <v>-&gt; 119.3413 W, 50.2551 N, Elev. 437 m</v>
      </c>
      <c r="M7" s="11">
        <v>50.255099999999999</v>
      </c>
      <c r="N7" s="11">
        <v>-119.3413</v>
      </c>
      <c r="O7" s="11" t="s">
        <v>142</v>
      </c>
      <c r="P7" s="11" t="s">
        <v>162</v>
      </c>
      <c r="Q7" s="12">
        <v>1</v>
      </c>
      <c r="R7" s="11" t="s">
        <v>163</v>
      </c>
      <c r="S7" s="11" t="s">
        <v>145</v>
      </c>
      <c r="U7" s="175">
        <v>437</v>
      </c>
      <c r="Z7" s="11"/>
      <c r="AA7" s="11"/>
      <c r="AB7" s="11"/>
      <c r="AC7" s="11"/>
      <c r="AE7" s="201">
        <v>50.255099999999999</v>
      </c>
      <c r="AF7" s="201">
        <v>-119.3413</v>
      </c>
      <c r="AG7" s="201">
        <v>437</v>
      </c>
    </row>
    <row r="8" spans="1:53" ht="14.25" customHeight="1" x14ac:dyDescent="0.2">
      <c r="A8" s="145" t="s">
        <v>138</v>
      </c>
      <c r="B8" s="4">
        <v>10</v>
      </c>
      <c r="C8" s="200" t="s">
        <v>139</v>
      </c>
      <c r="D8" s="201" t="s">
        <v>164</v>
      </c>
      <c r="E8" s="201"/>
      <c r="F8" s="200" t="s">
        <v>165</v>
      </c>
      <c r="G8" s="8" t="str">
        <f t="shared" si="0"/>
        <v>-&gt; 121.085 W, 56.7637 N, Elev. 757 m</v>
      </c>
      <c r="M8" s="11">
        <v>56.7637</v>
      </c>
      <c r="N8" s="11">
        <v>-121.08499999999999</v>
      </c>
      <c r="O8" s="11" t="s">
        <v>153</v>
      </c>
      <c r="P8" s="11" t="s">
        <v>166</v>
      </c>
      <c r="Q8" s="12">
        <v>4</v>
      </c>
      <c r="R8" s="11" t="s">
        <v>167</v>
      </c>
      <c r="S8" s="11" t="s">
        <v>145</v>
      </c>
      <c r="U8" s="175">
        <v>757</v>
      </c>
      <c r="AE8" s="201">
        <v>56.7637</v>
      </c>
      <c r="AF8" s="201">
        <v>-121.08499999999999</v>
      </c>
      <c r="AG8" s="201">
        <v>757</v>
      </c>
    </row>
    <row r="9" spans="1:53" ht="14.25" customHeight="1" x14ac:dyDescent="0.2">
      <c r="A9" s="145" t="s">
        <v>138</v>
      </c>
      <c r="B9" s="4">
        <v>10</v>
      </c>
      <c r="C9" s="200" t="s">
        <v>139</v>
      </c>
      <c r="D9" s="201" t="s">
        <v>168</v>
      </c>
      <c r="E9" s="201"/>
      <c r="F9" s="200" t="s">
        <v>169</v>
      </c>
      <c r="G9" s="201" t="str">
        <f t="shared" si="0"/>
        <v>-&gt; 116.4475 W, 49.0853 N, Elev. 659 m</v>
      </c>
      <c r="M9" s="11">
        <v>49.085299999999997</v>
      </c>
      <c r="N9" s="11">
        <v>-116.44750000000001</v>
      </c>
      <c r="O9" s="11" t="s">
        <v>170</v>
      </c>
      <c r="P9" s="11" t="s">
        <v>171</v>
      </c>
      <c r="Q9" s="12">
        <v>1</v>
      </c>
      <c r="R9" s="11" t="s">
        <v>172</v>
      </c>
      <c r="S9" s="11" t="s">
        <v>145</v>
      </c>
      <c r="U9" s="175">
        <v>659</v>
      </c>
      <c r="AE9" s="201">
        <v>49.085299999999997</v>
      </c>
      <c r="AF9" s="201">
        <v>-116.44750000000001</v>
      </c>
      <c r="AG9" s="201">
        <v>659</v>
      </c>
    </row>
    <row r="10" spans="1:53" ht="14.25" customHeight="1" x14ac:dyDescent="0.2">
      <c r="A10" s="145" t="s">
        <v>138</v>
      </c>
      <c r="B10" s="4">
        <v>10</v>
      </c>
      <c r="C10" s="200" t="s">
        <v>139</v>
      </c>
      <c r="D10" s="200" t="s">
        <v>173</v>
      </c>
      <c r="E10" s="201"/>
      <c r="F10" s="200" t="s">
        <v>174</v>
      </c>
      <c r="G10" s="201" t="str">
        <f t="shared" si="0"/>
        <v>-&gt; 120.531 W, 56.3062 N, Elev. 718 m</v>
      </c>
      <c r="M10" s="11">
        <v>56.306199999999997</v>
      </c>
      <c r="N10" s="11">
        <v>-120.53100000000001</v>
      </c>
      <c r="O10" s="11" t="s">
        <v>153</v>
      </c>
      <c r="P10" s="11" t="s">
        <v>175</v>
      </c>
      <c r="Q10" s="12">
        <v>3</v>
      </c>
      <c r="R10" s="11" t="s">
        <v>176</v>
      </c>
      <c r="S10" s="11" t="s">
        <v>145</v>
      </c>
      <c r="U10" s="175">
        <v>718</v>
      </c>
      <c r="AE10" s="201">
        <v>56.306199999999997</v>
      </c>
      <c r="AF10" s="201">
        <v>-120.53100000000001</v>
      </c>
      <c r="AG10" s="201">
        <v>718</v>
      </c>
    </row>
    <row r="11" spans="1:53" ht="14.25" customHeight="1" x14ac:dyDescent="0.2">
      <c r="A11" s="145" t="s">
        <v>138</v>
      </c>
      <c r="B11" s="4">
        <v>10</v>
      </c>
      <c r="C11" s="200" t="s">
        <v>139</v>
      </c>
      <c r="D11" s="200" t="s">
        <v>177</v>
      </c>
      <c r="E11" s="201"/>
      <c r="F11" s="200" t="s">
        <v>178</v>
      </c>
      <c r="G11" s="201" t="str">
        <f t="shared" si="0"/>
        <v>-&gt; 116.4851 W, 49.0884 N, Elev. 648 m</v>
      </c>
      <c r="M11" s="11">
        <v>49.0884</v>
      </c>
      <c r="N11" s="11">
        <v>-116.4851</v>
      </c>
      <c r="O11" s="11" t="s">
        <v>170</v>
      </c>
      <c r="P11" s="11" t="s">
        <v>179</v>
      </c>
      <c r="Q11" s="12">
        <v>1</v>
      </c>
      <c r="R11" s="11" t="s">
        <v>180</v>
      </c>
      <c r="S11" s="11" t="s">
        <v>145</v>
      </c>
      <c r="U11" s="175">
        <v>648</v>
      </c>
      <c r="AE11" s="201">
        <v>49.0884</v>
      </c>
      <c r="AF11" s="201">
        <v>-116.4851</v>
      </c>
      <c r="AG11" s="201">
        <v>648</v>
      </c>
    </row>
    <row r="12" spans="1:53" ht="14.25" customHeight="1" x14ac:dyDescent="0.2">
      <c r="A12" s="145" t="s">
        <v>138</v>
      </c>
      <c r="B12" s="4">
        <v>10</v>
      </c>
      <c r="C12" s="200" t="s">
        <v>139</v>
      </c>
      <c r="D12" s="201" t="s">
        <v>181</v>
      </c>
      <c r="E12" s="201"/>
      <c r="F12" s="200" t="s">
        <v>182</v>
      </c>
      <c r="G12" s="201" t="str">
        <f t="shared" si="0"/>
        <v>-&gt; 123.0348 W, 49.1255 N, Elev. 3 m</v>
      </c>
      <c r="M12" s="11">
        <v>49.125500000000002</v>
      </c>
      <c r="N12" s="11">
        <v>-123.0348</v>
      </c>
      <c r="O12" s="11" t="s">
        <v>183</v>
      </c>
      <c r="P12" s="11" t="s">
        <v>184</v>
      </c>
      <c r="Q12" s="12">
        <v>1</v>
      </c>
      <c r="R12" s="11" t="s">
        <v>185</v>
      </c>
      <c r="S12" s="11" t="s">
        <v>145</v>
      </c>
      <c r="U12" s="175">
        <v>3</v>
      </c>
      <c r="AE12" s="201">
        <v>49.125500000000002</v>
      </c>
      <c r="AF12" s="201">
        <v>-123.0348</v>
      </c>
      <c r="AG12" s="201">
        <v>3</v>
      </c>
    </row>
    <row r="13" spans="1:53" ht="14.25" customHeight="1" x14ac:dyDescent="0.2">
      <c r="A13" s="145" t="s">
        <v>138</v>
      </c>
      <c r="B13" s="4">
        <v>10</v>
      </c>
      <c r="C13" s="200" t="s">
        <v>139</v>
      </c>
      <c r="D13" s="201" t="s">
        <v>186</v>
      </c>
      <c r="E13" s="201"/>
      <c r="F13" s="200" t="s">
        <v>187</v>
      </c>
      <c r="G13" s="201" t="str">
        <f t="shared" si="0"/>
        <v>-&gt; 120.586 W, 55.9103 N, Elev. 717 m</v>
      </c>
      <c r="M13" s="11">
        <v>55.910299999999999</v>
      </c>
      <c r="N13" s="11">
        <v>-120.586</v>
      </c>
      <c r="O13" s="11" t="s">
        <v>153</v>
      </c>
      <c r="P13" s="11" t="s">
        <v>188</v>
      </c>
      <c r="Q13" s="12">
        <v>3</v>
      </c>
      <c r="R13" s="11" t="s">
        <v>189</v>
      </c>
      <c r="S13" s="11" t="s">
        <v>145</v>
      </c>
      <c r="U13" s="175">
        <v>717</v>
      </c>
      <c r="AE13" s="201">
        <v>55.910299999999999</v>
      </c>
      <c r="AF13" s="201">
        <v>-120.586</v>
      </c>
      <c r="AG13" s="201">
        <v>717</v>
      </c>
    </row>
    <row r="14" spans="1:53" ht="14.25" customHeight="1" x14ac:dyDescent="0.2">
      <c r="A14" s="145" t="s">
        <v>138</v>
      </c>
      <c r="B14" s="4">
        <v>10</v>
      </c>
      <c r="C14" s="200" t="s">
        <v>139</v>
      </c>
      <c r="D14" s="8" t="s">
        <v>190</v>
      </c>
      <c r="E14" s="201"/>
      <c r="F14" s="200" t="s">
        <v>191</v>
      </c>
      <c r="G14" s="201" t="str">
        <f t="shared" si="0"/>
        <v>-&gt; 120.421 W, 56.2691 N, Elev. 693 m</v>
      </c>
      <c r="M14" s="11">
        <v>56.269100000000002</v>
      </c>
      <c r="N14" s="11">
        <v>-120.42100000000001</v>
      </c>
      <c r="O14" s="11" t="s">
        <v>153</v>
      </c>
      <c r="P14" s="11" t="s">
        <v>192</v>
      </c>
      <c r="Q14" s="12">
        <v>2</v>
      </c>
      <c r="R14" s="11" t="s">
        <v>193</v>
      </c>
      <c r="S14" s="11" t="s">
        <v>145</v>
      </c>
      <c r="U14" s="175">
        <v>693</v>
      </c>
      <c r="AE14" s="201">
        <v>56.269100000000002</v>
      </c>
      <c r="AF14" s="201">
        <v>-120.42100000000001</v>
      </c>
      <c r="AG14" s="201">
        <v>693</v>
      </c>
    </row>
    <row r="15" spans="1:53" ht="14.25" customHeight="1" x14ac:dyDescent="0.2">
      <c r="A15" s="145" t="s">
        <v>138</v>
      </c>
      <c r="B15" s="4">
        <v>10</v>
      </c>
      <c r="C15" s="200" t="s">
        <v>139</v>
      </c>
      <c r="D15" s="8" t="s">
        <v>194</v>
      </c>
      <c r="E15" s="201"/>
      <c r="F15" s="200" t="s">
        <v>195</v>
      </c>
      <c r="G15" s="201" t="str">
        <f t="shared" si="0"/>
        <v>-&gt; 119.2963 W, 50.382 N, Elev. 461 m</v>
      </c>
      <c r="M15" s="11">
        <v>50.381999999999998</v>
      </c>
      <c r="N15" s="11">
        <v>-119.2963</v>
      </c>
      <c r="O15" s="11" t="s">
        <v>196</v>
      </c>
      <c r="P15" s="11" t="s">
        <v>197</v>
      </c>
      <c r="Q15" s="12">
        <v>1</v>
      </c>
      <c r="R15" s="11" t="s">
        <v>198</v>
      </c>
      <c r="S15" s="11" t="s">
        <v>145</v>
      </c>
      <c r="U15" s="175">
        <v>461</v>
      </c>
      <c r="AE15" s="201">
        <v>50.381999999999998</v>
      </c>
      <c r="AF15" s="201">
        <v>-119.2963</v>
      </c>
      <c r="AG15" s="201">
        <v>461</v>
      </c>
    </row>
    <row r="16" spans="1:53" ht="14.25" customHeight="1" x14ac:dyDescent="0.2">
      <c r="A16" s="145" t="s">
        <v>138</v>
      </c>
      <c r="B16" s="4">
        <v>10</v>
      </c>
      <c r="C16" s="200" t="s">
        <v>139</v>
      </c>
      <c r="D16" s="8" t="s">
        <v>199</v>
      </c>
      <c r="E16" s="201"/>
      <c r="F16" s="200" t="s">
        <v>200</v>
      </c>
      <c r="G16" s="201" t="str">
        <f t="shared" si="0"/>
        <v>-&gt; 120.874 W, 55.7703 N, Elev. 743 m</v>
      </c>
      <c r="M16" s="11">
        <v>55.770299999999999</v>
      </c>
      <c r="N16" s="11">
        <v>-120.874</v>
      </c>
      <c r="O16" s="11" t="s">
        <v>170</v>
      </c>
      <c r="P16" s="11" t="s">
        <v>201</v>
      </c>
      <c r="Q16" s="12">
        <v>1</v>
      </c>
      <c r="R16" s="11" t="s">
        <v>202</v>
      </c>
      <c r="S16" s="11" t="s">
        <v>145</v>
      </c>
      <c r="U16" s="175">
        <v>743</v>
      </c>
      <c r="AE16" s="201">
        <v>55.770299999999999</v>
      </c>
      <c r="AF16" s="201">
        <v>-120.874</v>
      </c>
      <c r="AG16" s="201">
        <v>743</v>
      </c>
    </row>
    <row r="17" spans="1:33" ht="14.25" customHeight="1" x14ac:dyDescent="0.2">
      <c r="A17" s="145" t="s">
        <v>138</v>
      </c>
      <c r="B17" s="4">
        <v>10</v>
      </c>
      <c r="C17" s="200" t="s">
        <v>139</v>
      </c>
      <c r="D17" s="8" t="s">
        <v>203</v>
      </c>
      <c r="E17" s="201"/>
      <c r="F17" s="200" t="s">
        <v>204</v>
      </c>
      <c r="G17" s="201" t="str">
        <f t="shared" si="0"/>
        <v>-&gt; 119.22888 W, 50.54694 N, Elev. 531 m</v>
      </c>
      <c r="M17" s="11">
        <v>50.546939999999999</v>
      </c>
      <c r="N17" s="11">
        <v>-119.22888</v>
      </c>
      <c r="O17" s="11" t="s">
        <v>142</v>
      </c>
      <c r="P17" s="11" t="s">
        <v>205</v>
      </c>
      <c r="Q17" s="12">
        <v>1</v>
      </c>
      <c r="R17" s="11" t="s">
        <v>206</v>
      </c>
      <c r="S17" s="11" t="s">
        <v>145</v>
      </c>
      <c r="U17" s="175">
        <v>531</v>
      </c>
      <c r="AE17" s="201">
        <v>50.546939999999999</v>
      </c>
      <c r="AF17" s="201">
        <v>-119.22888</v>
      </c>
      <c r="AG17" s="201">
        <v>531</v>
      </c>
    </row>
    <row r="18" spans="1:33" ht="14.25" customHeight="1" x14ac:dyDescent="0.2">
      <c r="A18" s="145" t="s">
        <v>138</v>
      </c>
      <c r="B18" s="4">
        <v>10</v>
      </c>
      <c r="C18" s="200" t="s">
        <v>139</v>
      </c>
      <c r="D18" s="8" t="s">
        <v>207</v>
      </c>
      <c r="E18" s="201"/>
      <c r="F18" s="200" t="s">
        <v>208</v>
      </c>
      <c r="G18" s="201" t="str">
        <f t="shared" si="0"/>
        <v>-&gt; 119.28027 W, 50.53416 N, Elev. 561 m</v>
      </c>
      <c r="M18" s="11">
        <v>50.53416</v>
      </c>
      <c r="N18" s="11">
        <v>-119.28027</v>
      </c>
      <c r="O18" s="11" t="s">
        <v>142</v>
      </c>
      <c r="P18" s="11" t="s">
        <v>209</v>
      </c>
      <c r="Q18" s="12">
        <v>1</v>
      </c>
      <c r="R18" s="11" t="s">
        <v>210</v>
      </c>
      <c r="S18" s="11" t="s">
        <v>145</v>
      </c>
      <c r="U18" s="175">
        <v>561</v>
      </c>
      <c r="AE18" s="201">
        <v>50.53416</v>
      </c>
      <c r="AF18" s="201">
        <v>-119.28027</v>
      </c>
      <c r="AG18" s="201">
        <v>561</v>
      </c>
    </row>
    <row r="19" spans="1:33" ht="14.25" customHeight="1" x14ac:dyDescent="0.2">
      <c r="A19" s="145" t="s">
        <v>138</v>
      </c>
      <c r="B19" s="4">
        <v>10</v>
      </c>
      <c r="C19" s="200" t="s">
        <v>139</v>
      </c>
      <c r="D19" s="8" t="s">
        <v>211</v>
      </c>
      <c r="E19" s="201"/>
      <c r="F19" s="200" t="s">
        <v>212</v>
      </c>
      <c r="G19" s="201" t="str">
        <f t="shared" si="0"/>
        <v>-&gt; 119.6045 W, 49.399 N, Elev. 440 m</v>
      </c>
      <c r="M19" s="11">
        <v>49.399000000000001</v>
      </c>
      <c r="N19" s="11">
        <v>-119.6045</v>
      </c>
      <c r="O19" s="11" t="s">
        <v>142</v>
      </c>
      <c r="P19" s="11" t="s">
        <v>213</v>
      </c>
      <c r="Q19" s="12">
        <v>1</v>
      </c>
      <c r="R19" s="11" t="s">
        <v>214</v>
      </c>
      <c r="S19" s="11" t="s">
        <v>145</v>
      </c>
      <c r="U19" s="175">
        <v>440</v>
      </c>
      <c r="AE19" s="201">
        <v>49.399000000000001</v>
      </c>
      <c r="AF19" s="201">
        <v>-119.6045</v>
      </c>
      <c r="AG19" s="201">
        <v>440</v>
      </c>
    </row>
    <row r="20" spans="1:33" ht="14.25" customHeight="1" x14ac:dyDescent="0.2">
      <c r="A20" s="145" t="s">
        <v>138</v>
      </c>
      <c r="B20" s="4">
        <v>10</v>
      </c>
      <c r="C20" s="200" t="s">
        <v>139</v>
      </c>
      <c r="D20" s="8" t="s">
        <v>215</v>
      </c>
      <c r="E20" s="201"/>
      <c r="F20" s="200" t="s">
        <v>216</v>
      </c>
      <c r="G20" s="201" t="str">
        <f t="shared" si="0"/>
        <v>-&gt; 120.079 W, 55.2531 N, Elev. 880 m</v>
      </c>
      <c r="M20" s="11">
        <v>55.253100000000003</v>
      </c>
      <c r="N20" s="11">
        <v>-120.07899999999999</v>
      </c>
      <c r="O20" s="11" t="s">
        <v>153</v>
      </c>
      <c r="P20" s="11" t="s">
        <v>217</v>
      </c>
      <c r="Q20" s="12">
        <v>7</v>
      </c>
      <c r="R20" s="11" t="s">
        <v>218</v>
      </c>
      <c r="S20" s="11" t="s">
        <v>145</v>
      </c>
      <c r="U20" s="175">
        <v>880</v>
      </c>
      <c r="AE20" s="201">
        <v>55.253100000000003</v>
      </c>
      <c r="AF20" s="201">
        <v>-120.07899999999999</v>
      </c>
      <c r="AG20" s="201">
        <v>880</v>
      </c>
    </row>
    <row r="21" spans="1:33" ht="14.25" customHeight="1" x14ac:dyDescent="0.2">
      <c r="A21" s="145" t="s">
        <v>138</v>
      </c>
      <c r="B21" s="4">
        <v>10</v>
      </c>
      <c r="C21" s="200" t="s">
        <v>139</v>
      </c>
      <c r="D21" s="8" t="s">
        <v>219</v>
      </c>
      <c r="E21" s="201"/>
      <c r="F21" s="200" t="s">
        <v>220</v>
      </c>
      <c r="G21" s="201" t="str">
        <f t="shared" si="0"/>
        <v>-&gt; 119.8242 W, 49.2218 N, Elev. 456 m</v>
      </c>
      <c r="M21" s="11">
        <v>49.221800000000002</v>
      </c>
      <c r="N21" s="11">
        <v>-119.8242</v>
      </c>
      <c r="O21" s="11" t="s">
        <v>221</v>
      </c>
      <c r="P21" s="11" t="s">
        <v>222</v>
      </c>
      <c r="Q21" s="12">
        <v>1</v>
      </c>
      <c r="R21" s="11" t="s">
        <v>223</v>
      </c>
      <c r="S21" s="11" t="s">
        <v>145</v>
      </c>
      <c r="U21" s="175">
        <v>456</v>
      </c>
      <c r="AE21" s="201">
        <v>49.221800000000002</v>
      </c>
      <c r="AF21" s="201">
        <v>-119.8242</v>
      </c>
      <c r="AG21" s="201">
        <v>456</v>
      </c>
    </row>
    <row r="22" spans="1:33" ht="14.25" customHeight="1" x14ac:dyDescent="0.2">
      <c r="A22" s="145" t="s">
        <v>138</v>
      </c>
      <c r="B22" s="4">
        <v>10</v>
      </c>
      <c r="C22" s="200" t="s">
        <v>139</v>
      </c>
      <c r="D22" s="8" t="s">
        <v>224</v>
      </c>
      <c r="E22" s="201"/>
      <c r="F22" s="200" t="s">
        <v>225</v>
      </c>
      <c r="G22" s="201" t="str">
        <f t="shared" si="0"/>
        <v>-&gt; 119.1002 W, 50.2254 N, Elev. 550 m</v>
      </c>
      <c r="M22" s="11">
        <v>50.2254</v>
      </c>
      <c r="N22" s="11">
        <v>-119.1002</v>
      </c>
      <c r="O22" s="11" t="s">
        <v>221</v>
      </c>
      <c r="P22" s="11" t="s">
        <v>226</v>
      </c>
      <c r="Q22" s="12">
        <v>1</v>
      </c>
      <c r="R22" s="11" t="s">
        <v>227</v>
      </c>
      <c r="S22" s="11" t="s">
        <v>145</v>
      </c>
      <c r="U22" s="175">
        <v>550</v>
      </c>
      <c r="AE22" s="201">
        <v>50.2254</v>
      </c>
      <c r="AF22" s="201">
        <v>-119.1002</v>
      </c>
      <c r="AG22" s="201">
        <v>550</v>
      </c>
    </row>
    <row r="23" spans="1:33" ht="14.25" customHeight="1" x14ac:dyDescent="0.2">
      <c r="A23" s="145" t="s">
        <v>138</v>
      </c>
      <c r="B23" s="4">
        <v>10</v>
      </c>
      <c r="C23" s="10" t="s">
        <v>139</v>
      </c>
      <c r="D23" s="8" t="s">
        <v>228</v>
      </c>
      <c r="E23" s="8"/>
      <c r="F23" s="10" t="s">
        <v>229</v>
      </c>
      <c r="G23" s="8" t="str">
        <f t="shared" si="0"/>
        <v>-&gt; 125.0485 W, 49.7788 N, Elev. 49 m</v>
      </c>
      <c r="M23" s="11">
        <v>49.778799999999997</v>
      </c>
      <c r="N23" s="11">
        <v>-125.0485</v>
      </c>
      <c r="O23" s="11" t="s">
        <v>183</v>
      </c>
      <c r="P23" s="11" t="s">
        <v>230</v>
      </c>
      <c r="Q23" s="12">
        <v>2</v>
      </c>
      <c r="R23" s="11" t="s">
        <v>231</v>
      </c>
      <c r="S23" s="11" t="s">
        <v>145</v>
      </c>
      <c r="U23" s="175">
        <v>49</v>
      </c>
      <c r="AE23" s="8">
        <v>49.778799999999997</v>
      </c>
      <c r="AF23" s="8">
        <v>-125.0485</v>
      </c>
      <c r="AG23" s="8">
        <v>49</v>
      </c>
    </row>
    <row r="24" spans="1:33" ht="14.25" customHeight="1" x14ac:dyDescent="0.2">
      <c r="A24" s="145" t="s">
        <v>138</v>
      </c>
      <c r="B24" s="4">
        <v>10</v>
      </c>
      <c r="C24" s="10" t="s">
        <v>139</v>
      </c>
      <c r="D24" s="8" t="s">
        <v>232</v>
      </c>
      <c r="E24" s="8"/>
      <c r="F24" s="10" t="s">
        <v>233</v>
      </c>
      <c r="G24" s="8" t="str">
        <f t="shared" si="0"/>
        <v>-&gt; 119.9330295 W, 50.6436078 N, Elev. 385 m</v>
      </c>
      <c r="M24" s="11">
        <v>50.643607799999998</v>
      </c>
      <c r="N24" s="11">
        <v>-119.9330295</v>
      </c>
      <c r="O24" s="11" t="s">
        <v>142</v>
      </c>
      <c r="P24" s="11" t="s">
        <v>234</v>
      </c>
      <c r="Q24" s="12">
        <v>1</v>
      </c>
      <c r="R24" s="11" t="s">
        <v>235</v>
      </c>
      <c r="S24" s="11" t="s">
        <v>145</v>
      </c>
      <c r="U24" s="175">
        <v>385</v>
      </c>
      <c r="AE24" s="8">
        <v>50.643607799999998</v>
      </c>
      <c r="AF24" s="8">
        <v>-119.9330295</v>
      </c>
      <c r="AG24" s="8">
        <v>385</v>
      </c>
    </row>
    <row r="25" spans="1:33" ht="14.25" customHeight="1" x14ac:dyDescent="0.2">
      <c r="A25" s="145" t="s">
        <v>138</v>
      </c>
      <c r="B25" s="4">
        <v>10</v>
      </c>
      <c r="C25" s="10" t="s">
        <v>139</v>
      </c>
      <c r="D25" s="8" t="s">
        <v>236</v>
      </c>
      <c r="E25" s="8"/>
      <c r="F25" s="10" t="s">
        <v>237</v>
      </c>
      <c r="G25" s="8" t="str">
        <f t="shared" si="0"/>
        <v>-&gt; 120.878 W, 56.3537 N, Elev. 693 m</v>
      </c>
      <c r="M25" s="11">
        <v>56.353700000000003</v>
      </c>
      <c r="N25" s="11">
        <v>-120.878</v>
      </c>
      <c r="O25" s="11" t="s">
        <v>153</v>
      </c>
      <c r="P25" s="11" t="s">
        <v>238</v>
      </c>
      <c r="Q25" s="12">
        <v>2</v>
      </c>
      <c r="R25" s="11" t="s">
        <v>239</v>
      </c>
      <c r="S25" s="11" t="s">
        <v>145</v>
      </c>
      <c r="U25" s="175">
        <v>693</v>
      </c>
      <c r="AE25" s="8">
        <v>56.353700000000003</v>
      </c>
      <c r="AF25" s="8">
        <v>-120.878</v>
      </c>
      <c r="AG25" s="8">
        <v>693</v>
      </c>
    </row>
    <row r="26" spans="1:33" ht="14.25" customHeight="1" x14ac:dyDescent="0.2">
      <c r="A26" s="145" t="s">
        <v>138</v>
      </c>
      <c r="B26" s="4">
        <v>10</v>
      </c>
      <c r="C26" s="10" t="s">
        <v>139</v>
      </c>
      <c r="D26" s="8" t="s">
        <v>240</v>
      </c>
      <c r="E26" s="8"/>
      <c r="F26" s="10" t="s">
        <v>241</v>
      </c>
      <c r="G26" s="8" t="str">
        <f t="shared" si="0"/>
        <v>-&gt; 119.5672 W, 49.5342 N, Elev. 413 m</v>
      </c>
      <c r="M26" s="11">
        <v>49.534199999999998</v>
      </c>
      <c r="N26" s="11">
        <v>-119.5672</v>
      </c>
      <c r="O26" s="11" t="s">
        <v>221</v>
      </c>
      <c r="P26" s="11" t="s">
        <v>242</v>
      </c>
      <c r="Q26" s="12">
        <v>1</v>
      </c>
      <c r="R26" s="11" t="s">
        <v>243</v>
      </c>
      <c r="S26" s="11" t="s">
        <v>145</v>
      </c>
      <c r="U26" s="175">
        <v>413</v>
      </c>
      <c r="AE26" s="8">
        <v>49.534199999999998</v>
      </c>
      <c r="AF26" s="8">
        <v>-119.5672</v>
      </c>
      <c r="AG26" s="8">
        <v>413</v>
      </c>
    </row>
    <row r="27" spans="1:33" ht="14.25" customHeight="1" x14ac:dyDescent="0.2">
      <c r="A27" s="145" t="s">
        <v>138</v>
      </c>
      <c r="B27" s="4">
        <v>10</v>
      </c>
      <c r="C27" s="10" t="s">
        <v>139</v>
      </c>
      <c r="D27" s="8" t="s">
        <v>244</v>
      </c>
      <c r="E27" s="8"/>
      <c r="F27" s="10" t="s">
        <v>245</v>
      </c>
      <c r="G27" s="8" t="str">
        <f t="shared" si="0"/>
        <v>-&gt; 119.2424 W, 50.4823 N, Elev. 535 m</v>
      </c>
      <c r="M27" s="11">
        <v>50.482300000000002</v>
      </c>
      <c r="N27" s="11">
        <v>-119.2424</v>
      </c>
      <c r="O27" s="11" t="s">
        <v>142</v>
      </c>
      <c r="P27" s="11" t="s">
        <v>246</v>
      </c>
      <c r="Q27" s="12">
        <v>1</v>
      </c>
      <c r="R27" s="11" t="s">
        <v>247</v>
      </c>
      <c r="S27" s="11" t="s">
        <v>145</v>
      </c>
      <c r="U27" s="175">
        <v>535</v>
      </c>
      <c r="AE27" s="8">
        <v>50.482300000000002</v>
      </c>
      <c r="AF27" s="8">
        <v>-119.2424</v>
      </c>
      <c r="AG27" s="8">
        <v>535</v>
      </c>
    </row>
    <row r="28" spans="1:33" ht="14.25" customHeight="1" x14ac:dyDescent="0.2">
      <c r="A28" s="145" t="s">
        <v>138</v>
      </c>
      <c r="B28" s="4">
        <v>10</v>
      </c>
      <c r="C28" s="10" t="s">
        <v>139</v>
      </c>
      <c r="D28" s="8" t="s">
        <v>248</v>
      </c>
      <c r="E28" s="8"/>
      <c r="F28" s="10" t="s">
        <v>249</v>
      </c>
      <c r="G28" s="8" t="str">
        <f t="shared" si="0"/>
        <v>-&gt; 116.4653 W, 49.104 N, Elev. 710 m</v>
      </c>
      <c r="M28" s="11">
        <v>49.103999999999999</v>
      </c>
      <c r="N28" s="11">
        <v>-116.4653</v>
      </c>
      <c r="O28" s="11" t="s">
        <v>170</v>
      </c>
      <c r="P28" s="11" t="s">
        <v>250</v>
      </c>
      <c r="Q28" s="12">
        <v>1</v>
      </c>
      <c r="R28" s="11" t="s">
        <v>251</v>
      </c>
      <c r="S28" s="11" t="s">
        <v>145</v>
      </c>
      <c r="U28" s="175">
        <v>710</v>
      </c>
      <c r="AE28" s="8">
        <v>49.103999999999999</v>
      </c>
      <c r="AF28" s="8">
        <v>-116.4653</v>
      </c>
      <c r="AG28" s="8">
        <v>710</v>
      </c>
    </row>
    <row r="29" spans="1:33" ht="14.25" customHeight="1" x14ac:dyDescent="0.2">
      <c r="A29" s="145" t="s">
        <v>138</v>
      </c>
      <c r="B29" s="4">
        <v>10</v>
      </c>
      <c r="C29" s="10" t="s">
        <v>139</v>
      </c>
      <c r="D29" s="8" t="s">
        <v>252</v>
      </c>
      <c r="E29" s="8"/>
      <c r="F29" s="10" t="s">
        <v>253</v>
      </c>
      <c r="G29" s="8" t="str">
        <f t="shared" si="0"/>
        <v>-&gt; 118.4845 W, 49.0465 N, Elev. 593 m</v>
      </c>
      <c r="M29" s="11">
        <v>49.046500000000002</v>
      </c>
      <c r="N29" s="11">
        <v>-118.4845</v>
      </c>
      <c r="O29" s="11" t="s">
        <v>142</v>
      </c>
      <c r="P29" s="11" t="s">
        <v>254</v>
      </c>
      <c r="Q29" s="12">
        <v>1</v>
      </c>
      <c r="R29" s="11" t="s">
        <v>255</v>
      </c>
      <c r="S29" s="11" t="s">
        <v>145</v>
      </c>
      <c r="U29" s="175">
        <v>593</v>
      </c>
      <c r="AE29" s="8">
        <v>49.046500000000002</v>
      </c>
      <c r="AF29" s="8">
        <v>-118.4845</v>
      </c>
      <c r="AG29" s="8">
        <v>593</v>
      </c>
    </row>
    <row r="30" spans="1:33" ht="14.25" customHeight="1" x14ac:dyDescent="0.2">
      <c r="A30" s="145" t="s">
        <v>138</v>
      </c>
      <c r="B30" s="4">
        <v>10</v>
      </c>
      <c r="C30" s="10" t="s">
        <v>139</v>
      </c>
      <c r="D30" s="8" t="s">
        <v>256</v>
      </c>
      <c r="E30" s="8"/>
      <c r="F30" s="10" t="s">
        <v>257</v>
      </c>
      <c r="G30" s="8" t="str">
        <f t="shared" si="0"/>
        <v>-&gt; 116.5081 W, 49.0618 N, Elev. 609 m</v>
      </c>
      <c r="M30" s="11">
        <v>49.061799999999998</v>
      </c>
      <c r="N30" s="11">
        <v>-116.5081</v>
      </c>
      <c r="O30" s="11" t="s">
        <v>170</v>
      </c>
      <c r="P30" s="11" t="s">
        <v>258</v>
      </c>
      <c r="Q30" s="12">
        <v>1</v>
      </c>
      <c r="R30" s="11" t="s">
        <v>259</v>
      </c>
      <c r="S30" s="11" t="s">
        <v>145</v>
      </c>
      <c r="U30" s="175">
        <v>609</v>
      </c>
      <c r="AE30" s="8">
        <v>49.061799999999998</v>
      </c>
      <c r="AF30" s="8">
        <v>-116.5081</v>
      </c>
      <c r="AG30" s="8">
        <v>609</v>
      </c>
    </row>
    <row r="31" spans="1:33" ht="14.25" customHeight="1" x14ac:dyDescent="0.2">
      <c r="A31" s="145" t="s">
        <v>138</v>
      </c>
      <c r="B31" s="4">
        <v>10</v>
      </c>
      <c r="C31" s="10" t="s">
        <v>139</v>
      </c>
      <c r="D31" s="8" t="s">
        <v>260</v>
      </c>
      <c r="E31" s="8"/>
      <c r="F31" s="10" t="s">
        <v>261</v>
      </c>
      <c r="G31" s="8" t="str">
        <f t="shared" si="0"/>
        <v>-&gt; 119.5088 W, 49.0582 N, Elev. 328 m</v>
      </c>
      <c r="M31" s="11">
        <v>49.058199999999999</v>
      </c>
      <c r="N31" s="11">
        <v>-119.50879999999999</v>
      </c>
      <c r="O31" s="11" t="s">
        <v>142</v>
      </c>
      <c r="P31" s="11" t="s">
        <v>262</v>
      </c>
      <c r="Q31" s="12">
        <v>1</v>
      </c>
      <c r="R31" s="11" t="s">
        <v>263</v>
      </c>
      <c r="S31" s="11" t="s">
        <v>145</v>
      </c>
      <c r="U31" s="175">
        <v>328</v>
      </c>
      <c r="AE31" s="8">
        <v>49.058199999999999</v>
      </c>
      <c r="AF31" s="8">
        <v>-119.50879999999999</v>
      </c>
      <c r="AG31" s="8">
        <v>328</v>
      </c>
    </row>
    <row r="32" spans="1:33" ht="14.25" customHeight="1" x14ac:dyDescent="0.2">
      <c r="A32" s="145" t="s">
        <v>138</v>
      </c>
      <c r="B32" s="4">
        <v>10</v>
      </c>
      <c r="C32" s="10" t="s">
        <v>139</v>
      </c>
      <c r="D32" s="8" t="s">
        <v>264</v>
      </c>
      <c r="E32" s="8"/>
      <c r="F32" s="10" t="s">
        <v>265</v>
      </c>
      <c r="G32" s="8" t="str">
        <f t="shared" si="0"/>
        <v>-&gt; 119.4227 W, 49.0224 N, Elev. 356 m</v>
      </c>
      <c r="M32" s="11">
        <v>49.022399999999998</v>
      </c>
      <c r="N32" s="11">
        <v>-119.42270000000001</v>
      </c>
      <c r="O32" s="11" t="s">
        <v>142</v>
      </c>
      <c r="P32" s="11" t="s">
        <v>266</v>
      </c>
      <c r="Q32" s="12">
        <v>1</v>
      </c>
      <c r="R32" s="11" t="s">
        <v>267</v>
      </c>
      <c r="S32" s="11" t="s">
        <v>145</v>
      </c>
      <c r="U32" s="175">
        <v>356</v>
      </c>
      <c r="AE32" s="8">
        <v>49.022399999999998</v>
      </c>
      <c r="AF32" s="8">
        <v>-119.42270000000001</v>
      </c>
      <c r="AG32" s="8">
        <v>356</v>
      </c>
    </row>
    <row r="33" spans="1:33" ht="14.25" customHeight="1" x14ac:dyDescent="0.2">
      <c r="A33" s="145" t="s">
        <v>138</v>
      </c>
      <c r="B33" s="4">
        <v>10</v>
      </c>
      <c r="C33" s="10" t="s">
        <v>139</v>
      </c>
      <c r="D33" s="8" t="s">
        <v>268</v>
      </c>
      <c r="E33" s="8"/>
      <c r="F33" s="10" t="s">
        <v>269</v>
      </c>
      <c r="G33" s="8" t="str">
        <f t="shared" si="0"/>
        <v>-&gt; 122.9662 W, 50.4912 N, Elev. 226 m</v>
      </c>
      <c r="M33" s="11">
        <v>50.491199999999999</v>
      </c>
      <c r="N33" s="11">
        <v>-122.9662</v>
      </c>
      <c r="O33" s="11" t="s">
        <v>51</v>
      </c>
      <c r="P33" s="11" t="s">
        <v>270</v>
      </c>
      <c r="Q33" s="12">
        <v>2</v>
      </c>
      <c r="R33" s="11" t="s">
        <v>271</v>
      </c>
      <c r="S33" s="11" t="s">
        <v>145</v>
      </c>
      <c r="U33" s="175">
        <v>226</v>
      </c>
      <c r="AE33" s="8">
        <v>50.491199999999999</v>
      </c>
      <c r="AF33" s="8">
        <v>-122.9662</v>
      </c>
      <c r="AG33" s="8">
        <v>226</v>
      </c>
    </row>
    <row r="34" spans="1:33" ht="14.25" customHeight="1" x14ac:dyDescent="0.2">
      <c r="A34" s="145" t="s">
        <v>138</v>
      </c>
      <c r="B34" s="4">
        <v>10</v>
      </c>
      <c r="C34" s="10" t="s">
        <v>139</v>
      </c>
      <c r="D34" s="8" t="s">
        <v>272</v>
      </c>
      <c r="E34" s="8"/>
      <c r="F34" s="10" t="s">
        <v>273</v>
      </c>
      <c r="G34" s="8" t="str">
        <f t="shared" si="0"/>
        <v>-&gt; 121.062 W, 56.9021 N, Elev. 734 m</v>
      </c>
      <c r="M34" s="11">
        <v>56.902099999999997</v>
      </c>
      <c r="N34" s="11">
        <v>-121.062</v>
      </c>
      <c r="O34" s="11" t="s">
        <v>153</v>
      </c>
      <c r="P34" s="11" t="s">
        <v>274</v>
      </c>
      <c r="Q34" s="12">
        <v>4</v>
      </c>
      <c r="R34" s="11" t="s">
        <v>275</v>
      </c>
      <c r="S34" s="11" t="s">
        <v>145</v>
      </c>
      <c r="U34" s="175">
        <v>734</v>
      </c>
      <c r="AE34" s="8">
        <v>56.902099999999997</v>
      </c>
      <c r="AF34" s="8">
        <v>-121.062</v>
      </c>
      <c r="AG34" s="8">
        <v>734</v>
      </c>
    </row>
    <row r="35" spans="1:33" ht="14.25" customHeight="1" x14ac:dyDescent="0.2">
      <c r="A35" s="145" t="s">
        <v>138</v>
      </c>
      <c r="B35" s="4">
        <v>10</v>
      </c>
      <c r="C35" s="10" t="s">
        <v>139</v>
      </c>
      <c r="D35" s="8" t="s">
        <v>276</v>
      </c>
      <c r="E35" s="8"/>
      <c r="F35" s="10" t="s">
        <v>277</v>
      </c>
      <c r="G35" s="8" t="str">
        <f t="shared" si="0"/>
        <v>-&gt; 120.196 W, 55.8597 N, Elev. 718 m</v>
      </c>
      <c r="M35" s="11">
        <v>55.859699999999997</v>
      </c>
      <c r="N35" s="11">
        <v>-120.196</v>
      </c>
      <c r="O35" s="11" t="s">
        <v>153</v>
      </c>
      <c r="P35" s="11" t="s">
        <v>278</v>
      </c>
      <c r="Q35" s="12">
        <v>3</v>
      </c>
      <c r="R35" s="11" t="s">
        <v>279</v>
      </c>
      <c r="S35" s="11" t="s">
        <v>145</v>
      </c>
      <c r="U35" s="175">
        <v>718</v>
      </c>
      <c r="AE35" s="8">
        <v>55.859699999999997</v>
      </c>
      <c r="AF35" s="8">
        <v>-120.196</v>
      </c>
      <c r="AG35" s="8">
        <v>718</v>
      </c>
    </row>
    <row r="36" spans="1:33" ht="14.25" customHeight="1" x14ac:dyDescent="0.2">
      <c r="A36" s="145" t="s">
        <v>138</v>
      </c>
      <c r="B36" s="4">
        <v>10</v>
      </c>
      <c r="C36" s="10" t="s">
        <v>139</v>
      </c>
      <c r="D36" s="8" t="s">
        <v>280</v>
      </c>
      <c r="E36" s="8"/>
      <c r="F36" s="8" t="s">
        <v>281</v>
      </c>
      <c r="G36" s="8" t="str">
        <f t="shared" si="0"/>
        <v>-&gt; 123.4153 W, 48.5564 N, Elev. 90 m</v>
      </c>
      <c r="M36" s="11">
        <v>48.556399999999996</v>
      </c>
      <c r="N36" s="11">
        <v>-123.4153</v>
      </c>
      <c r="O36" s="11" t="s">
        <v>183</v>
      </c>
      <c r="P36" s="11" t="s">
        <v>282</v>
      </c>
      <c r="Q36" s="12">
        <v>3</v>
      </c>
      <c r="R36" s="11" t="s">
        <v>283</v>
      </c>
      <c r="S36" s="11" t="s">
        <v>145</v>
      </c>
      <c r="U36" s="175">
        <v>90</v>
      </c>
      <c r="AE36" s="8">
        <v>48.556399999999996</v>
      </c>
      <c r="AF36" s="8">
        <v>-123.4153</v>
      </c>
      <c r="AG36" s="8">
        <v>90</v>
      </c>
    </row>
    <row r="37" spans="1:33" ht="14.25" customHeight="1" x14ac:dyDescent="0.2">
      <c r="A37" s="145" t="s">
        <v>138</v>
      </c>
      <c r="B37" s="4">
        <v>10</v>
      </c>
      <c r="C37" s="10" t="s">
        <v>139</v>
      </c>
      <c r="D37" s="8" t="s">
        <v>284</v>
      </c>
      <c r="E37" s="8"/>
      <c r="F37" s="10" t="s">
        <v>285</v>
      </c>
      <c r="G37" s="8" t="str">
        <f t="shared" si="0"/>
        <v>-&gt; 116.4931 W, 49.0803 N, Elev. 650 m</v>
      </c>
      <c r="M37" s="11">
        <v>49.080300000000001</v>
      </c>
      <c r="N37" s="11">
        <v>-116.4931</v>
      </c>
      <c r="O37" s="11" t="s">
        <v>170</v>
      </c>
      <c r="P37" s="11" t="s">
        <v>286</v>
      </c>
      <c r="Q37" s="12">
        <v>1</v>
      </c>
      <c r="R37" s="11" t="s">
        <v>287</v>
      </c>
      <c r="S37" s="11" t="s">
        <v>145</v>
      </c>
      <c r="U37" s="175">
        <v>650</v>
      </c>
      <c r="AE37" s="8">
        <v>49.080300000000001</v>
      </c>
      <c r="AF37" s="8">
        <v>-116.4931</v>
      </c>
      <c r="AG37" s="8">
        <v>650</v>
      </c>
    </row>
    <row r="38" spans="1:33" ht="14.25" customHeight="1" x14ac:dyDescent="0.2">
      <c r="A38" s="145" t="s">
        <v>138</v>
      </c>
      <c r="B38" s="4">
        <v>10</v>
      </c>
      <c r="C38" s="10" t="s">
        <v>139</v>
      </c>
      <c r="D38" s="8" t="s">
        <v>288</v>
      </c>
      <c r="E38" s="8"/>
      <c r="F38" s="8" t="s">
        <v>289</v>
      </c>
      <c r="G38" s="8" t="str">
        <f t="shared" si="0"/>
        <v>-&gt; 119.452 W, 49.8299 N, Elev. 473 m</v>
      </c>
      <c r="M38" s="11">
        <v>49.829900000000002</v>
      </c>
      <c r="N38" s="11">
        <v>-119.452</v>
      </c>
      <c r="O38" s="11" t="s">
        <v>142</v>
      </c>
      <c r="P38" s="11" t="s">
        <v>290</v>
      </c>
      <c r="Q38" s="12">
        <v>1</v>
      </c>
      <c r="R38" s="11" t="s">
        <v>291</v>
      </c>
      <c r="S38" s="11" t="s">
        <v>145</v>
      </c>
      <c r="U38" s="175">
        <v>473</v>
      </c>
      <c r="AE38" s="8">
        <v>49.829900000000002</v>
      </c>
      <c r="AF38" s="8">
        <v>-119.452</v>
      </c>
      <c r="AG38" s="8">
        <v>473</v>
      </c>
    </row>
    <row r="39" spans="1:33" ht="14.25" customHeight="1" x14ac:dyDescent="0.2">
      <c r="A39" s="145" t="s">
        <v>138</v>
      </c>
      <c r="B39" s="4">
        <v>10</v>
      </c>
      <c r="C39" s="10" t="s">
        <v>139</v>
      </c>
      <c r="D39" s="8" t="s">
        <v>292</v>
      </c>
      <c r="E39" s="8"/>
      <c r="F39" s="10" t="s">
        <v>293</v>
      </c>
      <c r="G39" s="8" t="str">
        <f t="shared" si="0"/>
        <v>-&gt; 120.128 W, 55.569 N, Elev. 744 m</v>
      </c>
      <c r="M39" s="11">
        <v>55.569000000000003</v>
      </c>
      <c r="N39" s="11">
        <v>-120.128</v>
      </c>
      <c r="O39" s="11" t="s">
        <v>153</v>
      </c>
      <c r="P39" s="11" t="s">
        <v>294</v>
      </c>
      <c r="Q39" s="12">
        <v>4</v>
      </c>
      <c r="R39" s="11" t="s">
        <v>295</v>
      </c>
      <c r="S39" s="11" t="s">
        <v>145</v>
      </c>
      <c r="U39" s="175">
        <v>744</v>
      </c>
      <c r="AE39" s="8">
        <v>55.569000000000003</v>
      </c>
      <c r="AF39" s="8">
        <v>-120.128</v>
      </c>
      <c r="AG39" s="8">
        <v>744</v>
      </c>
    </row>
    <row r="40" spans="1:33" ht="14.25" customHeight="1" x14ac:dyDescent="0.2">
      <c r="A40" s="145" t="s">
        <v>138</v>
      </c>
      <c r="B40" s="4">
        <v>10</v>
      </c>
      <c r="C40" s="10" t="s">
        <v>139</v>
      </c>
      <c r="D40" s="8" t="s">
        <v>296</v>
      </c>
      <c r="E40" s="8"/>
      <c r="F40" s="10" t="s">
        <v>297</v>
      </c>
      <c r="G40" s="8" t="str">
        <f t="shared" si="0"/>
        <v>-&gt; 120.601 W, 56.0151 N, Elev. 783 m</v>
      </c>
      <c r="M40" s="11">
        <v>56.015099999999997</v>
      </c>
      <c r="N40" s="11">
        <v>-120.601</v>
      </c>
      <c r="O40" s="11" t="s">
        <v>153</v>
      </c>
      <c r="P40" s="11" t="s">
        <v>298</v>
      </c>
      <c r="Q40" s="12">
        <v>7</v>
      </c>
      <c r="R40" s="11" t="s">
        <v>299</v>
      </c>
      <c r="S40" s="11" t="s">
        <v>145</v>
      </c>
      <c r="U40" s="175">
        <v>783</v>
      </c>
      <c r="AE40" s="8">
        <v>56.015099999999997</v>
      </c>
      <c r="AF40" s="8">
        <v>-120.601</v>
      </c>
      <c r="AG40" s="8">
        <v>783</v>
      </c>
    </row>
    <row r="41" spans="1:33" ht="14.25" customHeight="1" x14ac:dyDescent="0.2">
      <c r="A41" s="145" t="s">
        <v>138</v>
      </c>
      <c r="B41" s="4">
        <v>10</v>
      </c>
      <c r="C41" s="10" t="s">
        <v>139</v>
      </c>
      <c r="D41" s="8" t="s">
        <v>300</v>
      </c>
      <c r="E41" s="8"/>
      <c r="F41" s="10" t="s">
        <v>301</v>
      </c>
      <c r="G41" s="8" t="str">
        <f t="shared" si="0"/>
        <v>-&gt; 123.0639 W, 49.0393 N, Elev. 3 m</v>
      </c>
      <c r="M41" s="11">
        <v>49.039299999999997</v>
      </c>
      <c r="N41" s="11">
        <v>-123.0639</v>
      </c>
      <c r="O41" s="11" t="s">
        <v>183</v>
      </c>
      <c r="P41" s="11" t="s">
        <v>302</v>
      </c>
      <c r="Q41" s="12">
        <v>1</v>
      </c>
      <c r="R41" s="11" t="s">
        <v>303</v>
      </c>
      <c r="S41" s="11" t="s">
        <v>145</v>
      </c>
      <c r="U41" s="175">
        <v>3</v>
      </c>
      <c r="Z41" s="11"/>
      <c r="AA41" s="11"/>
      <c r="AB41" s="11"/>
      <c r="AC41" s="11"/>
      <c r="AE41" s="8">
        <v>49.039299999999997</v>
      </c>
      <c r="AF41" s="8">
        <v>-123.0639</v>
      </c>
      <c r="AG41" s="8">
        <v>3</v>
      </c>
    </row>
    <row r="42" spans="1:33" ht="14.25" customHeight="1" x14ac:dyDescent="0.2">
      <c r="A42" s="145" t="s">
        <v>138</v>
      </c>
      <c r="B42" s="4">
        <v>10</v>
      </c>
      <c r="C42" s="10" t="s">
        <v>139</v>
      </c>
      <c r="D42" s="8" t="s">
        <v>304</v>
      </c>
      <c r="E42" s="8"/>
      <c r="F42" s="10" t="s">
        <v>305</v>
      </c>
      <c r="G42" s="8" t="str">
        <f t="shared" si="0"/>
        <v>-&gt; 122.313 W, 56.5215 N, Elev. 674 m</v>
      </c>
      <c r="M42" s="11">
        <v>56.521500000000003</v>
      </c>
      <c r="N42" s="11">
        <v>-122.313</v>
      </c>
      <c r="O42" s="11" t="s">
        <v>153</v>
      </c>
      <c r="P42" s="11" t="s">
        <v>306</v>
      </c>
      <c r="Q42" s="12">
        <v>2</v>
      </c>
      <c r="R42" s="11" t="s">
        <v>307</v>
      </c>
      <c r="S42" s="11" t="s">
        <v>145</v>
      </c>
      <c r="U42" s="175">
        <v>674</v>
      </c>
      <c r="AE42" s="8">
        <v>56.521500000000003</v>
      </c>
      <c r="AF42" s="8">
        <v>-122.313</v>
      </c>
      <c r="AG42" s="8">
        <v>674</v>
      </c>
    </row>
    <row r="43" spans="1:33" ht="14.25" customHeight="1" x14ac:dyDescent="0.2">
      <c r="A43" s="145" t="s">
        <v>138</v>
      </c>
      <c r="B43" s="4">
        <v>10</v>
      </c>
      <c r="C43" s="10" t="s">
        <v>139</v>
      </c>
      <c r="D43" s="8" t="s">
        <v>308</v>
      </c>
      <c r="E43" s="8"/>
      <c r="F43" s="10" t="s">
        <v>309</v>
      </c>
      <c r="G43" s="8" t="str">
        <f t="shared" si="0"/>
        <v>-&gt; 119.5746 W, 49.868 N, Elev. 487 m</v>
      </c>
      <c r="M43" s="11">
        <v>49.868000000000002</v>
      </c>
      <c r="N43" s="11">
        <v>-119.5746</v>
      </c>
      <c r="O43" s="11" t="s">
        <v>142</v>
      </c>
      <c r="P43" s="11" t="s">
        <v>310</v>
      </c>
      <c r="Q43" s="12">
        <v>1</v>
      </c>
      <c r="R43" s="11" t="s">
        <v>311</v>
      </c>
      <c r="S43" s="11" t="s">
        <v>145</v>
      </c>
      <c r="U43" s="175">
        <v>487</v>
      </c>
      <c r="AE43" s="8">
        <v>49.868000000000002</v>
      </c>
      <c r="AF43" s="8">
        <v>-119.5746</v>
      </c>
      <c r="AG43" s="8">
        <v>487</v>
      </c>
    </row>
    <row r="44" spans="1:33" ht="14.25" customHeight="1" x14ac:dyDescent="0.2">
      <c r="A44" s="145" t="s">
        <v>138</v>
      </c>
      <c r="B44" s="4">
        <v>10</v>
      </c>
      <c r="C44" s="10" t="s">
        <v>139</v>
      </c>
      <c r="D44" s="8" t="s">
        <v>312</v>
      </c>
      <c r="E44" s="8"/>
      <c r="F44" s="10" t="s">
        <v>313</v>
      </c>
      <c r="G44" s="8" t="str">
        <f t="shared" si="0"/>
        <v>-&gt; 123.158 W, 49.0827 N, Elev. 7 m</v>
      </c>
      <c r="M44" s="11">
        <v>49.082700000000003</v>
      </c>
      <c r="N44" s="11">
        <v>-123.158</v>
      </c>
      <c r="O44" s="11" t="s">
        <v>183</v>
      </c>
      <c r="P44" s="11" t="s">
        <v>314</v>
      </c>
      <c r="Q44" s="12">
        <v>1</v>
      </c>
      <c r="R44" s="11" t="s">
        <v>315</v>
      </c>
      <c r="S44" s="11" t="s">
        <v>145</v>
      </c>
      <c r="U44" s="175">
        <v>7</v>
      </c>
      <c r="AE44" s="8">
        <v>49.082700000000003</v>
      </c>
      <c r="AF44" s="8">
        <v>-123.158</v>
      </c>
      <c r="AG44" s="8">
        <v>7</v>
      </c>
    </row>
    <row r="45" spans="1:33" ht="14.25" customHeight="1" x14ac:dyDescent="0.2">
      <c r="A45" s="145" t="s">
        <v>138</v>
      </c>
      <c r="B45" s="4">
        <v>10</v>
      </c>
      <c r="C45" s="10" t="s">
        <v>139</v>
      </c>
      <c r="D45" s="8" t="s">
        <v>316</v>
      </c>
      <c r="E45" s="8"/>
      <c r="F45" s="10" t="s">
        <v>317</v>
      </c>
      <c r="G45" s="8" t="str">
        <f t="shared" si="0"/>
        <v>-&gt; 119.4343 W, 50.0596 N, Elev. 455 m</v>
      </c>
      <c r="M45" s="11">
        <v>50.059600000000003</v>
      </c>
      <c r="N45" s="11">
        <v>-119.43429999999999</v>
      </c>
      <c r="O45" s="11" t="s">
        <v>142</v>
      </c>
      <c r="P45" s="11" t="s">
        <v>318</v>
      </c>
      <c r="Q45" s="12">
        <v>1</v>
      </c>
      <c r="R45" s="11" t="s">
        <v>319</v>
      </c>
      <c r="S45" s="11" t="s">
        <v>145</v>
      </c>
      <c r="U45" s="175">
        <v>455</v>
      </c>
      <c r="AE45" s="8">
        <v>50.059600000000003</v>
      </c>
      <c r="AF45" s="8">
        <v>-119.43429999999999</v>
      </c>
      <c r="AG45" s="8">
        <v>455</v>
      </c>
    </row>
    <row r="46" spans="1:33" ht="14.25" customHeight="1" x14ac:dyDescent="0.2">
      <c r="A46" s="145" t="s">
        <v>138</v>
      </c>
      <c r="B46" s="4">
        <v>10</v>
      </c>
      <c r="C46" s="10" t="s">
        <v>139</v>
      </c>
      <c r="D46" s="8" t="s">
        <v>320</v>
      </c>
      <c r="E46" s="8"/>
      <c r="F46" s="10" t="s">
        <v>321</v>
      </c>
      <c r="G46" s="8" t="str">
        <f t="shared" si="0"/>
        <v>-&gt; 119.4205 W, 50.0471 N, Elev. 506 m</v>
      </c>
      <c r="M46" s="11">
        <v>50.0471</v>
      </c>
      <c r="N46" s="11">
        <v>-119.4205</v>
      </c>
      <c r="O46" s="11" t="s">
        <v>183</v>
      </c>
      <c r="P46" s="11" t="s">
        <v>322</v>
      </c>
      <c r="Q46" s="12">
        <v>6</v>
      </c>
      <c r="R46" s="11" t="s">
        <v>323</v>
      </c>
      <c r="S46" s="11" t="s">
        <v>145</v>
      </c>
      <c r="U46" s="175">
        <v>506</v>
      </c>
      <c r="AE46" s="8">
        <v>50.0471</v>
      </c>
      <c r="AF46" s="8">
        <v>-119.4205</v>
      </c>
      <c r="AG46" s="8">
        <v>506</v>
      </c>
    </row>
    <row r="47" spans="1:33" ht="14.25" customHeight="1" x14ac:dyDescent="0.2">
      <c r="A47" s="145" t="s">
        <v>138</v>
      </c>
      <c r="B47" s="4">
        <v>10</v>
      </c>
      <c r="C47" s="10" t="s">
        <v>139</v>
      </c>
      <c r="D47" s="8" t="s">
        <v>324</v>
      </c>
      <c r="E47" s="8"/>
      <c r="F47" s="10" t="s">
        <v>325</v>
      </c>
      <c r="G47" s="8" t="str">
        <f t="shared" si="0"/>
        <v>-&gt; 116.5696 W, 49.1678 N, Elev. 533 m</v>
      </c>
      <c r="M47" s="11">
        <v>49.1678</v>
      </c>
      <c r="N47" s="11">
        <v>-116.56959999999999</v>
      </c>
      <c r="O47" s="11" t="s">
        <v>170</v>
      </c>
      <c r="P47" s="11" t="s">
        <v>326</v>
      </c>
      <c r="Q47" s="12">
        <v>1</v>
      </c>
      <c r="R47" s="11" t="s">
        <v>327</v>
      </c>
      <c r="S47" s="11" t="s">
        <v>145</v>
      </c>
      <c r="U47" s="175">
        <v>533</v>
      </c>
      <c r="AE47" s="8">
        <v>49.1678</v>
      </c>
      <c r="AF47" s="8">
        <v>-116.56959999999999</v>
      </c>
      <c r="AG47" s="8">
        <v>533</v>
      </c>
    </row>
    <row r="48" spans="1:33" ht="14.25" customHeight="1" x14ac:dyDescent="0.2">
      <c r="A48" s="145" t="s">
        <v>138</v>
      </c>
      <c r="B48" s="4">
        <v>10</v>
      </c>
      <c r="C48" s="10" t="s">
        <v>139</v>
      </c>
      <c r="D48" s="8" t="s">
        <v>366</v>
      </c>
      <c r="E48" s="8"/>
      <c r="F48" s="10" t="s">
        <v>367</v>
      </c>
      <c r="G48" s="8" t="str">
        <f t="shared" si="0"/>
        <v>-&gt; 120.513 W, 55.6058 N, Elev. 731 m</v>
      </c>
      <c r="M48" s="11">
        <v>55.605800000000002</v>
      </c>
      <c r="N48" s="11">
        <v>-120.51300000000001</v>
      </c>
      <c r="O48" s="11" t="s">
        <v>153</v>
      </c>
      <c r="P48" s="11" t="s">
        <v>368</v>
      </c>
      <c r="Q48" s="12">
        <v>3</v>
      </c>
      <c r="R48" s="11" t="s">
        <v>369</v>
      </c>
      <c r="S48" s="11" t="s">
        <v>145</v>
      </c>
      <c r="U48" s="175">
        <v>731</v>
      </c>
      <c r="AE48" s="8">
        <v>55.605800000000002</v>
      </c>
      <c r="AF48" s="8">
        <v>-120.51300000000001</v>
      </c>
      <c r="AG48" s="8">
        <v>731</v>
      </c>
    </row>
    <row r="49" spans="1:53" ht="14.25" customHeight="1" x14ac:dyDescent="0.2">
      <c r="A49" s="145" t="s">
        <v>138</v>
      </c>
      <c r="B49" s="4">
        <v>10</v>
      </c>
      <c r="C49" s="10" t="s">
        <v>139</v>
      </c>
      <c r="D49" s="8" t="s">
        <v>370</v>
      </c>
      <c r="E49" s="8"/>
      <c r="F49" s="10" t="s">
        <v>371</v>
      </c>
      <c r="G49" s="8" t="str">
        <f t="shared" si="0"/>
        <v>-&gt; 119.4223 W, 49.9154 N, Elev. 447 m</v>
      </c>
      <c r="M49" s="11">
        <v>49.915399999999998</v>
      </c>
      <c r="N49" s="11">
        <v>-119.42230000000001</v>
      </c>
      <c r="O49" s="11" t="s">
        <v>142</v>
      </c>
      <c r="P49" s="11" t="s">
        <v>372</v>
      </c>
      <c r="Q49" s="12">
        <v>1</v>
      </c>
      <c r="R49" s="11" t="s">
        <v>373</v>
      </c>
      <c r="S49" s="11" t="s">
        <v>145</v>
      </c>
      <c r="U49" s="175">
        <v>447</v>
      </c>
      <c r="AE49" s="8">
        <v>49.915399999999998</v>
      </c>
      <c r="AF49" s="8">
        <v>-119.42230000000001</v>
      </c>
      <c r="AG49" s="8">
        <v>447</v>
      </c>
    </row>
    <row r="50" spans="1:53" ht="14.25" customHeight="1" x14ac:dyDescent="0.2">
      <c r="A50" s="145" t="s">
        <v>138</v>
      </c>
      <c r="B50" s="4">
        <v>10</v>
      </c>
      <c r="C50" s="10" t="s">
        <v>139</v>
      </c>
      <c r="D50" s="8" t="s">
        <v>410</v>
      </c>
      <c r="E50" s="8"/>
      <c r="F50" s="10" t="s">
        <v>411</v>
      </c>
      <c r="G50" s="8" t="str">
        <f t="shared" si="0"/>
        <v>-&gt; 121.0258333 W, 50.14111111 N, Elev. 531 m</v>
      </c>
      <c r="M50" s="11">
        <v>50.141111109999997</v>
      </c>
      <c r="N50" s="11">
        <v>-121.0258333</v>
      </c>
      <c r="O50" s="11" t="s">
        <v>142</v>
      </c>
      <c r="P50" s="11" t="s">
        <v>412</v>
      </c>
      <c r="Q50" s="12">
        <v>1</v>
      </c>
      <c r="R50" s="11" t="s">
        <v>413</v>
      </c>
      <c r="S50" s="11" t="s">
        <v>145</v>
      </c>
      <c r="U50" s="175">
        <v>531</v>
      </c>
      <c r="AE50" s="8">
        <v>50.141111109999997</v>
      </c>
      <c r="AF50" s="8">
        <v>-121.0258333</v>
      </c>
      <c r="AG50" s="8">
        <v>531</v>
      </c>
    </row>
    <row r="51" spans="1:53" ht="14.25" customHeight="1" x14ac:dyDescent="0.2">
      <c r="A51" s="145" t="s">
        <v>138</v>
      </c>
      <c r="B51" s="4">
        <v>2</v>
      </c>
      <c r="C51" s="10" t="s">
        <v>688</v>
      </c>
      <c r="D51" s="10" t="s">
        <v>701</v>
      </c>
      <c r="E51" s="192"/>
      <c r="F51" s="10" t="s">
        <v>702</v>
      </c>
      <c r="G51" s="178" t="s">
        <v>7828</v>
      </c>
      <c r="I51" s="201" t="s">
        <v>641</v>
      </c>
      <c r="M51" s="9">
        <v>49.205280000000002</v>
      </c>
      <c r="N51" s="9">
        <v>-122.80202</v>
      </c>
      <c r="O51" s="9" t="s">
        <v>183</v>
      </c>
      <c r="P51" s="9">
        <v>14093</v>
      </c>
      <c r="Q51" s="20">
        <v>3</v>
      </c>
      <c r="R51" s="201" t="s">
        <v>704</v>
      </c>
      <c r="S51" s="11" t="s">
        <v>705</v>
      </c>
      <c r="T51" s="9" t="s">
        <v>644</v>
      </c>
      <c r="U51" s="47">
        <v>93</v>
      </c>
      <c r="Z51" s="9"/>
      <c r="AA51" s="9" t="s">
        <v>706</v>
      </c>
      <c r="AB51" s="9"/>
      <c r="AC51" s="9"/>
      <c r="AD51" s="9"/>
      <c r="AE51" s="203"/>
      <c r="AF51" s="203"/>
      <c r="AG51" s="203"/>
      <c r="AH51" s="9"/>
      <c r="AI51" s="9"/>
    </row>
    <row r="52" spans="1:53" ht="14.25" customHeight="1" x14ac:dyDescent="0.2">
      <c r="A52" s="136" t="s">
        <v>138</v>
      </c>
      <c r="B52" s="4">
        <v>12</v>
      </c>
      <c r="C52" s="10" t="s">
        <v>4901</v>
      </c>
      <c r="D52" s="209" t="s">
        <v>7832</v>
      </c>
      <c r="E52" s="8"/>
      <c r="F52" s="10" t="s">
        <v>4902</v>
      </c>
      <c r="G52" s="10" t="s">
        <v>4903</v>
      </c>
      <c r="M52" s="9">
        <v>49.025100000000002</v>
      </c>
      <c r="N52" s="9">
        <v>-119.6909</v>
      </c>
      <c r="O52" s="9" t="s">
        <v>142</v>
      </c>
      <c r="P52" s="9">
        <v>3810</v>
      </c>
      <c r="Q52" s="20">
        <v>1</v>
      </c>
      <c r="R52" s="9" t="s">
        <v>4904</v>
      </c>
      <c r="S52" s="9" t="s">
        <v>1737</v>
      </c>
      <c r="U52" s="47">
        <v>416</v>
      </c>
      <c r="V52" s="9"/>
      <c r="W52" s="21">
        <v>45469</v>
      </c>
      <c r="X52" s="9" t="s">
        <v>1738</v>
      </c>
      <c r="AE52" s="192"/>
      <c r="AF52" s="192"/>
      <c r="AG52" s="192"/>
      <c r="AK52" s="9"/>
      <c r="AO52" s="4" t="s">
        <v>4905</v>
      </c>
      <c r="AP52" s="4">
        <v>3810</v>
      </c>
      <c r="AQ52" s="4" t="s">
        <v>1700</v>
      </c>
      <c r="AR52" s="4" t="s">
        <v>1739</v>
      </c>
      <c r="AS52" s="4" t="s">
        <v>1740</v>
      </c>
      <c r="AT52" s="4" t="s">
        <v>1741</v>
      </c>
      <c r="AU52" s="4" t="s">
        <v>1742</v>
      </c>
      <c r="AV52" s="4" t="s">
        <v>1720</v>
      </c>
      <c r="AW52" s="4" t="s">
        <v>2368</v>
      </c>
      <c r="AX52" s="4" t="s">
        <v>2516</v>
      </c>
      <c r="AY52" s="4">
        <v>49.025100000000002</v>
      </c>
      <c r="AZ52" s="4">
        <v>-119.6909</v>
      </c>
      <c r="BA52" s="4">
        <v>461</v>
      </c>
    </row>
    <row r="53" spans="1:53" ht="14.25" customHeight="1" x14ac:dyDescent="0.2">
      <c r="A53" s="136" t="s">
        <v>138</v>
      </c>
      <c r="B53" s="4">
        <v>12</v>
      </c>
      <c r="C53" s="10" t="s">
        <v>4901</v>
      </c>
      <c r="D53" s="209" t="s">
        <v>7833</v>
      </c>
      <c r="E53" s="8"/>
      <c r="F53" s="10" t="s">
        <v>4906</v>
      </c>
      <c r="G53" s="10" t="s">
        <v>4907</v>
      </c>
      <c r="M53" s="9">
        <v>54.438000000000002</v>
      </c>
      <c r="N53" s="9">
        <v>-128.57140000000001</v>
      </c>
      <c r="O53" s="9" t="s">
        <v>51</v>
      </c>
      <c r="P53" s="9">
        <v>3851</v>
      </c>
      <c r="Q53" s="20">
        <v>2</v>
      </c>
      <c r="R53" s="9" t="s">
        <v>4908</v>
      </c>
      <c r="S53" s="9" t="s">
        <v>1737</v>
      </c>
      <c r="U53" s="47">
        <v>199</v>
      </c>
      <c r="V53" s="9"/>
      <c r="W53" s="21">
        <v>45484</v>
      </c>
      <c r="X53" s="9" t="s">
        <v>1738</v>
      </c>
      <c r="AE53" s="192"/>
      <c r="AF53" s="192"/>
      <c r="AG53" s="192"/>
      <c r="AK53" s="9"/>
      <c r="AO53" s="4" t="s">
        <v>4908</v>
      </c>
      <c r="AP53" s="4">
        <v>3851</v>
      </c>
      <c r="AQ53" s="4" t="s">
        <v>1716</v>
      </c>
      <c r="AR53" s="4" t="s">
        <v>1739</v>
      </c>
      <c r="AS53" s="4" t="s">
        <v>1740</v>
      </c>
      <c r="AT53" s="4" t="s">
        <v>1741</v>
      </c>
      <c r="AU53" s="4" t="s">
        <v>1742</v>
      </c>
      <c r="AV53" s="4" t="s">
        <v>1720</v>
      </c>
      <c r="AW53" s="4" t="s">
        <v>1947</v>
      </c>
      <c r="AX53" s="4" t="s">
        <v>1973</v>
      </c>
      <c r="AY53" s="4">
        <v>54.438000000000002</v>
      </c>
      <c r="AZ53" s="4">
        <v>-128.57140000000001</v>
      </c>
      <c r="BA53" s="4">
        <v>199</v>
      </c>
    </row>
    <row r="54" spans="1:53" ht="14.25" customHeight="1" x14ac:dyDescent="0.2">
      <c r="A54" s="136" t="s">
        <v>138</v>
      </c>
      <c r="B54" s="4">
        <v>12</v>
      </c>
      <c r="C54" s="10" t="s">
        <v>4901</v>
      </c>
      <c r="D54" s="209" t="s">
        <v>7834</v>
      </c>
      <c r="E54" s="8"/>
      <c r="F54" s="10" t="s">
        <v>4909</v>
      </c>
      <c r="G54" s="10" t="s">
        <v>4910</v>
      </c>
      <c r="M54" s="9"/>
      <c r="AE54" s="192"/>
      <c r="AF54" s="192"/>
      <c r="AG54" s="192"/>
      <c r="AK54" s="9"/>
      <c r="AO54" s="4" t="s">
        <v>4911</v>
      </c>
      <c r="AP54" s="4">
        <v>3873</v>
      </c>
      <c r="AQ54" s="4" t="s">
        <v>1716</v>
      </c>
      <c r="AR54" s="4" t="s">
        <v>1739</v>
      </c>
      <c r="AS54" s="4" t="s">
        <v>1740</v>
      </c>
      <c r="AT54" s="4" t="s">
        <v>1741</v>
      </c>
      <c r="AU54" s="4" t="s">
        <v>1704</v>
      </c>
      <c r="AV54" s="4" t="s">
        <v>1720</v>
      </c>
      <c r="AW54" s="4" t="s">
        <v>2368</v>
      </c>
      <c r="AX54" s="4" t="s">
        <v>2492</v>
      </c>
      <c r="AY54" s="4">
        <v>49.339399999999998</v>
      </c>
      <c r="AZ54" s="4">
        <v>-120.4071</v>
      </c>
      <c r="BA54" s="4">
        <v>1455</v>
      </c>
    </row>
    <row r="55" spans="1:53" ht="14.25" customHeight="1" x14ac:dyDescent="0.2">
      <c r="A55" s="136" t="s">
        <v>138</v>
      </c>
      <c r="B55" s="4">
        <v>12</v>
      </c>
      <c r="C55" s="10" t="s">
        <v>4901</v>
      </c>
      <c r="D55" s="209" t="s">
        <v>7835</v>
      </c>
      <c r="E55" s="8"/>
      <c r="F55" s="10" t="s">
        <v>4912</v>
      </c>
      <c r="G55" s="10" t="s">
        <v>4913</v>
      </c>
      <c r="M55" s="9"/>
      <c r="AE55" s="192"/>
      <c r="AF55" s="192"/>
      <c r="AG55" s="192"/>
      <c r="AK55" s="9"/>
      <c r="AO55" s="4" t="s">
        <v>4914</v>
      </c>
      <c r="AP55" s="4">
        <v>3991</v>
      </c>
      <c r="AQ55" s="4" t="s">
        <v>1716</v>
      </c>
      <c r="AR55" s="4" t="s">
        <v>2441</v>
      </c>
      <c r="AS55" s="4" t="s">
        <v>1740</v>
      </c>
      <c r="AT55" s="4" t="s">
        <v>1741</v>
      </c>
      <c r="AU55" s="4" t="s">
        <v>1772</v>
      </c>
      <c r="AV55" s="4" t="s">
        <v>1720</v>
      </c>
      <c r="AW55" s="4" t="s">
        <v>1947</v>
      </c>
      <c r="AX55" s="4" t="s">
        <v>2148</v>
      </c>
      <c r="AY55" s="4">
        <v>54.259099999999997</v>
      </c>
      <c r="AZ55" s="4">
        <v>-125.7599</v>
      </c>
      <c r="BA55" s="4">
        <v>830</v>
      </c>
    </row>
    <row r="56" spans="1:53" ht="14.25" customHeight="1" x14ac:dyDescent="0.2">
      <c r="A56" s="136" t="s">
        <v>138</v>
      </c>
      <c r="B56" s="4">
        <v>12</v>
      </c>
      <c r="C56" s="10" t="s">
        <v>4901</v>
      </c>
      <c r="D56" s="209" t="s">
        <v>7836</v>
      </c>
      <c r="E56" s="8"/>
      <c r="F56" s="10" t="s">
        <v>4915</v>
      </c>
      <c r="G56" s="10" t="s">
        <v>4916</v>
      </c>
      <c r="M56" s="9">
        <v>59.339399999999998</v>
      </c>
      <c r="N56" s="9">
        <v>-122.0718</v>
      </c>
      <c r="O56" s="9" t="s">
        <v>2008</v>
      </c>
      <c r="P56" s="9">
        <v>4232</v>
      </c>
      <c r="Q56" s="20">
        <v>7</v>
      </c>
      <c r="R56" s="9" t="s">
        <v>4917</v>
      </c>
      <c r="S56" s="9" t="s">
        <v>1737</v>
      </c>
      <c r="U56" s="47">
        <v>704</v>
      </c>
      <c r="V56" s="9"/>
      <c r="W56" s="21">
        <v>45545</v>
      </c>
      <c r="X56" s="9" t="s">
        <v>1738</v>
      </c>
      <c r="AE56" s="192"/>
      <c r="AF56" s="192"/>
      <c r="AG56" s="192"/>
      <c r="AK56" s="9"/>
      <c r="AO56" s="4" t="s">
        <v>4917</v>
      </c>
      <c r="AP56" s="4">
        <v>4232</v>
      </c>
      <c r="AQ56" s="4" t="s">
        <v>1716</v>
      </c>
      <c r="AR56" s="4" t="s">
        <v>1739</v>
      </c>
      <c r="AS56" s="4" t="s">
        <v>1740</v>
      </c>
      <c r="AT56" s="4" t="s">
        <v>1741</v>
      </c>
      <c r="AU56" s="4" t="s">
        <v>1742</v>
      </c>
      <c r="AV56" s="4" t="s">
        <v>1720</v>
      </c>
      <c r="AW56" s="4" t="s">
        <v>2003</v>
      </c>
      <c r="AX56" s="4" t="s">
        <v>2009</v>
      </c>
      <c r="AY56" s="4">
        <v>59.339399999999998</v>
      </c>
      <c r="AZ56" s="4">
        <v>-122.0718</v>
      </c>
      <c r="BA56" s="4">
        <v>704</v>
      </c>
    </row>
    <row r="57" spans="1:53" ht="14.25" customHeight="1" x14ac:dyDescent="0.2">
      <c r="A57" s="136" t="s">
        <v>138</v>
      </c>
      <c r="B57" s="4">
        <v>12</v>
      </c>
      <c r="C57" s="10" t="s">
        <v>4901</v>
      </c>
      <c r="D57" s="209" t="s">
        <v>7837</v>
      </c>
      <c r="E57" s="8"/>
      <c r="F57" s="10" t="s">
        <v>4918</v>
      </c>
      <c r="G57" s="10" t="s">
        <v>4919</v>
      </c>
      <c r="M57" s="9"/>
      <c r="AE57" s="192"/>
      <c r="AF57" s="192"/>
      <c r="AG57" s="192"/>
      <c r="AK57" s="9"/>
      <c r="AO57" s="9" t="s">
        <v>4920</v>
      </c>
      <c r="AP57" s="4">
        <v>4250</v>
      </c>
      <c r="AQ57" s="4" t="s">
        <v>1716</v>
      </c>
      <c r="AR57" s="4" t="s">
        <v>1717</v>
      </c>
      <c r="AS57" s="4" t="s">
        <v>1740</v>
      </c>
      <c r="AT57" s="4" t="s">
        <v>1741</v>
      </c>
      <c r="AU57" s="4" t="s">
        <v>1742</v>
      </c>
      <c r="AV57" s="4" t="s">
        <v>1720</v>
      </c>
      <c r="AW57" s="4" t="s">
        <v>2193</v>
      </c>
      <c r="AX57" s="4" t="s">
        <v>2287</v>
      </c>
      <c r="AY57" s="4">
        <v>51.2333</v>
      </c>
      <c r="AZ57" s="4">
        <v>-122.15</v>
      </c>
      <c r="BA57" s="4">
        <v>577</v>
      </c>
    </row>
    <row r="58" spans="1:53" ht="14.25" customHeight="1" x14ac:dyDescent="0.2">
      <c r="A58" s="136" t="s">
        <v>138</v>
      </c>
      <c r="B58" s="4">
        <v>12</v>
      </c>
      <c r="C58" s="10" t="s">
        <v>4901</v>
      </c>
      <c r="D58" s="209" t="s">
        <v>7838</v>
      </c>
      <c r="E58" s="8"/>
      <c r="F58" s="10" t="s">
        <v>4921</v>
      </c>
      <c r="G58" s="10" t="s">
        <v>4922</v>
      </c>
      <c r="M58" s="9">
        <v>55.6907</v>
      </c>
      <c r="N58" s="9">
        <v>-121.61369999999999</v>
      </c>
      <c r="O58" s="9" t="s">
        <v>153</v>
      </c>
      <c r="P58" s="9">
        <v>4270</v>
      </c>
      <c r="Q58" s="20">
        <v>1</v>
      </c>
      <c r="R58" s="9" t="s">
        <v>4923</v>
      </c>
      <c r="S58" s="9" t="s">
        <v>1737</v>
      </c>
      <c r="U58" s="47">
        <v>616</v>
      </c>
      <c r="V58" s="9"/>
      <c r="W58" s="21">
        <v>45555</v>
      </c>
      <c r="X58" s="9" t="s">
        <v>1738</v>
      </c>
      <c r="AE58" s="192"/>
      <c r="AF58" s="192"/>
      <c r="AG58" s="192"/>
      <c r="AK58" s="9"/>
      <c r="AO58" s="4" t="s">
        <v>4924</v>
      </c>
      <c r="AP58" s="4">
        <v>4270</v>
      </c>
      <c r="AQ58" s="4" t="s">
        <v>1700</v>
      </c>
      <c r="AR58" s="4" t="s">
        <v>1739</v>
      </c>
      <c r="AS58" s="4" t="s">
        <v>1740</v>
      </c>
      <c r="AT58" s="4" t="s">
        <v>1741</v>
      </c>
      <c r="AU58" s="4" t="s">
        <v>1772</v>
      </c>
      <c r="AV58" s="4" t="s">
        <v>1720</v>
      </c>
      <c r="AW58" s="4" t="s">
        <v>2003</v>
      </c>
      <c r="AX58" s="4" t="s">
        <v>2024</v>
      </c>
      <c r="AY58" s="4">
        <v>55.6907</v>
      </c>
      <c r="AZ58" s="4">
        <v>-121.61369999999999</v>
      </c>
      <c r="BA58" s="4">
        <v>616</v>
      </c>
    </row>
    <row r="59" spans="1:53" ht="14.25" customHeight="1" x14ac:dyDescent="0.2">
      <c r="A59" s="136" t="s">
        <v>138</v>
      </c>
      <c r="B59" s="4">
        <v>12</v>
      </c>
      <c r="C59" s="10" t="s">
        <v>4901</v>
      </c>
      <c r="D59" s="209" t="s">
        <v>7839</v>
      </c>
      <c r="E59" s="8"/>
      <c r="F59" s="10" t="s">
        <v>4925</v>
      </c>
      <c r="G59" s="10" t="s">
        <v>4926</v>
      </c>
      <c r="M59" s="9">
        <v>53.315899999999999</v>
      </c>
      <c r="N59" s="9">
        <v>-119.6007</v>
      </c>
      <c r="O59" s="9" t="s">
        <v>170</v>
      </c>
      <c r="P59" s="9">
        <v>4352</v>
      </c>
      <c r="Q59" s="20">
        <v>2</v>
      </c>
      <c r="R59" s="9" t="s">
        <v>1005</v>
      </c>
      <c r="S59" s="9" t="s">
        <v>1737</v>
      </c>
      <c r="U59" s="47">
        <v>1088</v>
      </c>
      <c r="V59" s="9"/>
      <c r="W59" s="21">
        <v>45575</v>
      </c>
      <c r="X59" s="9" t="s">
        <v>1738</v>
      </c>
      <c r="AE59" s="192"/>
      <c r="AF59" s="192"/>
      <c r="AG59" s="192"/>
      <c r="AK59" s="9"/>
      <c r="AO59" s="4" t="s">
        <v>1005</v>
      </c>
      <c r="AP59" s="4">
        <v>4352</v>
      </c>
      <c r="AQ59" s="4" t="s">
        <v>1716</v>
      </c>
      <c r="AR59" s="4" t="s">
        <v>1739</v>
      </c>
      <c r="AS59" s="4" t="s">
        <v>1740</v>
      </c>
      <c r="AT59" s="4" t="s">
        <v>1741</v>
      </c>
      <c r="AU59" s="4" t="s">
        <v>1742</v>
      </c>
      <c r="AV59" s="4" t="s">
        <v>1720</v>
      </c>
      <c r="AW59" s="4" t="s">
        <v>2003</v>
      </c>
      <c r="AX59" s="4" t="s">
        <v>2258</v>
      </c>
      <c r="AY59" s="4">
        <v>53.315899999999999</v>
      </c>
      <c r="AZ59" s="4">
        <v>-119.6007</v>
      </c>
      <c r="BA59" s="4">
        <v>1088</v>
      </c>
    </row>
    <row r="60" spans="1:53" ht="14.25" customHeight="1" x14ac:dyDescent="0.2">
      <c r="A60" s="136" t="s">
        <v>138</v>
      </c>
      <c r="B60" s="4">
        <v>12</v>
      </c>
      <c r="C60" s="10" t="s">
        <v>4901</v>
      </c>
      <c r="D60" s="209" t="s">
        <v>7840</v>
      </c>
      <c r="E60" s="8"/>
      <c r="F60" s="10" t="s">
        <v>4927</v>
      </c>
      <c r="G60" s="10" t="s">
        <v>4928</v>
      </c>
      <c r="M60" s="9">
        <v>50.3752</v>
      </c>
      <c r="N60" s="9">
        <v>-126.5401</v>
      </c>
      <c r="O60" s="9" t="s">
        <v>51</v>
      </c>
      <c r="P60" s="9">
        <v>4393</v>
      </c>
      <c r="Q60" s="20">
        <v>2</v>
      </c>
      <c r="R60" s="9" t="s">
        <v>4929</v>
      </c>
      <c r="S60" s="9" t="s">
        <v>4045</v>
      </c>
      <c r="U60" s="47">
        <v>211</v>
      </c>
      <c r="V60" s="9"/>
      <c r="W60" s="21">
        <v>45601</v>
      </c>
      <c r="X60" s="9" t="s">
        <v>1738</v>
      </c>
      <c r="AE60" s="192"/>
      <c r="AF60" s="192"/>
      <c r="AG60" s="192"/>
      <c r="AK60" s="9"/>
      <c r="AO60" s="4" t="s">
        <v>4929</v>
      </c>
      <c r="AP60" s="4">
        <v>4393</v>
      </c>
      <c r="AQ60" s="4" t="s">
        <v>1716</v>
      </c>
      <c r="AR60" s="4" t="s">
        <v>1739</v>
      </c>
      <c r="AS60" s="4" t="s">
        <v>1740</v>
      </c>
      <c r="AT60" s="4" t="s">
        <v>1741</v>
      </c>
      <c r="AU60" s="4" t="s">
        <v>1742</v>
      </c>
      <c r="AV60" s="4" t="s">
        <v>1720</v>
      </c>
      <c r="AW60" s="4" t="s">
        <v>1705</v>
      </c>
      <c r="AX60" s="4" t="s">
        <v>1723</v>
      </c>
      <c r="AY60" s="4">
        <v>50.3752</v>
      </c>
      <c r="AZ60" s="4">
        <v>-126.5401</v>
      </c>
      <c r="BA60" s="4">
        <v>211</v>
      </c>
    </row>
    <row r="61" spans="1:53" ht="14.25" customHeight="1" x14ac:dyDescent="0.2">
      <c r="A61" s="136" t="s">
        <v>138</v>
      </c>
      <c r="B61" s="4">
        <v>12</v>
      </c>
      <c r="C61" s="10" t="s">
        <v>4901</v>
      </c>
      <c r="D61" s="209" t="s">
        <v>7841</v>
      </c>
      <c r="E61" s="8"/>
      <c r="F61" s="10" t="s">
        <v>4930</v>
      </c>
      <c r="G61" s="10" t="s">
        <v>4931</v>
      </c>
      <c r="M61" s="9"/>
      <c r="AE61" s="192"/>
      <c r="AF61" s="192"/>
      <c r="AG61" s="192"/>
      <c r="AK61" s="9"/>
      <c r="AO61" s="4" t="s">
        <v>4932</v>
      </c>
      <c r="AP61" s="4">
        <v>4513</v>
      </c>
      <c r="AQ61" s="4" t="s">
        <v>1716</v>
      </c>
      <c r="AR61" s="4" t="s">
        <v>1739</v>
      </c>
      <c r="AS61" s="4" t="s">
        <v>1740</v>
      </c>
      <c r="AT61" s="4" t="s">
        <v>1741</v>
      </c>
      <c r="AU61" s="4" t="s">
        <v>1742</v>
      </c>
      <c r="AV61" s="4" t="s">
        <v>1720</v>
      </c>
      <c r="AW61" s="4" t="s">
        <v>1705</v>
      </c>
      <c r="AX61" s="4" t="s">
        <v>1747</v>
      </c>
      <c r="AY61" s="4">
        <v>48.819899999999997</v>
      </c>
      <c r="AZ61" s="4">
        <v>-124.131</v>
      </c>
      <c r="BA61" s="4">
        <v>197</v>
      </c>
    </row>
    <row r="62" spans="1:53" ht="14.25" customHeight="1" x14ac:dyDescent="0.2">
      <c r="A62" s="136" t="s">
        <v>138</v>
      </c>
      <c r="B62" s="4">
        <v>12</v>
      </c>
      <c r="C62" s="10" t="s">
        <v>4901</v>
      </c>
      <c r="D62" s="209" t="s">
        <v>7842</v>
      </c>
      <c r="E62" s="8"/>
      <c r="F62" s="10" t="s">
        <v>4933</v>
      </c>
      <c r="G62" s="10" t="s">
        <v>4934</v>
      </c>
      <c r="M62" s="9"/>
      <c r="AE62" s="192"/>
      <c r="AF62" s="192"/>
      <c r="AG62" s="192"/>
      <c r="AK62" s="9"/>
      <c r="AO62" s="4" t="s">
        <v>4935</v>
      </c>
      <c r="AP62" s="4">
        <v>4552</v>
      </c>
      <c r="AQ62" s="4" t="s">
        <v>1716</v>
      </c>
      <c r="AR62" s="4" t="s">
        <v>1739</v>
      </c>
      <c r="AS62" s="4" t="s">
        <v>1740</v>
      </c>
      <c r="AT62" s="4" t="s">
        <v>1741</v>
      </c>
      <c r="AU62" s="4" t="s">
        <v>1742</v>
      </c>
      <c r="AV62" s="4" t="s">
        <v>1720</v>
      </c>
      <c r="AW62" s="4" t="s">
        <v>1705</v>
      </c>
      <c r="AX62" s="4" t="s">
        <v>1879</v>
      </c>
      <c r="AY62" s="4">
        <v>49.752000000000002</v>
      </c>
      <c r="AZ62" s="4">
        <v>-123.09829999999999</v>
      </c>
      <c r="BA62" s="4">
        <v>262</v>
      </c>
    </row>
    <row r="63" spans="1:53" ht="14.25" customHeight="1" x14ac:dyDescent="0.2">
      <c r="A63" s="136" t="s">
        <v>138</v>
      </c>
      <c r="B63" s="4">
        <v>12</v>
      </c>
      <c r="C63" s="10" t="s">
        <v>4901</v>
      </c>
      <c r="D63" s="209" t="s">
        <v>7843</v>
      </c>
      <c r="E63" s="192"/>
      <c r="F63" s="10" t="s">
        <v>4936</v>
      </c>
      <c r="G63" s="10" t="s">
        <v>4937</v>
      </c>
      <c r="M63" s="9"/>
      <c r="AE63" s="192"/>
      <c r="AF63" s="192"/>
      <c r="AG63" s="192"/>
      <c r="AK63" s="9"/>
      <c r="AO63" s="4" t="s">
        <v>4938</v>
      </c>
      <c r="AP63" s="4">
        <v>4973</v>
      </c>
      <c r="AQ63" s="4" t="s">
        <v>1716</v>
      </c>
      <c r="AR63" s="4" t="s">
        <v>1739</v>
      </c>
      <c r="AS63" s="4" t="s">
        <v>1740</v>
      </c>
      <c r="AT63" s="4" t="s">
        <v>1741</v>
      </c>
      <c r="AU63" s="4" t="s">
        <v>1742</v>
      </c>
      <c r="AV63" s="4" t="s">
        <v>1720</v>
      </c>
      <c r="AW63" s="4" t="s">
        <v>2193</v>
      </c>
      <c r="AX63" s="4" t="s">
        <v>2194</v>
      </c>
      <c r="AY63" s="4">
        <v>52.963900000000002</v>
      </c>
      <c r="AZ63" s="4">
        <v>-122.83110000000001</v>
      </c>
      <c r="BA63" s="4">
        <v>826</v>
      </c>
    </row>
    <row r="64" spans="1:53" ht="14.25" customHeight="1" x14ac:dyDescent="0.2">
      <c r="A64" s="136" t="s">
        <v>138</v>
      </c>
      <c r="B64" s="4">
        <v>12</v>
      </c>
      <c r="C64" s="10" t="s">
        <v>4901</v>
      </c>
      <c r="D64" s="10" t="s">
        <v>4943</v>
      </c>
      <c r="E64" s="192"/>
      <c r="F64" s="10" t="s">
        <v>4944</v>
      </c>
      <c r="G64" s="10" t="s">
        <v>4945</v>
      </c>
      <c r="M64" s="9">
        <v>51.4733333</v>
      </c>
      <c r="N64" s="4">
        <v>-121.36</v>
      </c>
      <c r="O64" s="4" t="s">
        <v>148</v>
      </c>
      <c r="P64" s="4">
        <v>509</v>
      </c>
      <c r="Q64" s="4">
        <v>6</v>
      </c>
      <c r="R64" s="4" t="s">
        <v>4946</v>
      </c>
      <c r="S64" s="4" t="s">
        <v>1737</v>
      </c>
      <c r="U64" s="176">
        <v>1276</v>
      </c>
      <c r="W64" s="4">
        <v>43831</v>
      </c>
      <c r="X64" s="4" t="s">
        <v>1738</v>
      </c>
      <c r="AE64" s="192"/>
      <c r="AF64" s="192"/>
      <c r="AG64" s="192"/>
      <c r="AK64" s="9"/>
      <c r="AO64" s="4" t="s">
        <v>4947</v>
      </c>
      <c r="AP64" s="4">
        <v>509</v>
      </c>
      <c r="AQ64" s="4" t="s">
        <v>3003</v>
      </c>
      <c r="AR64" s="4" t="s">
        <v>1701</v>
      </c>
      <c r="AS64" s="4" t="s">
        <v>2257</v>
      </c>
      <c r="AT64" s="4" t="s">
        <v>2442</v>
      </c>
      <c r="AU64" s="4" t="s">
        <v>2443</v>
      </c>
      <c r="AV64" s="4" t="s">
        <v>1720</v>
      </c>
      <c r="AW64" s="4" t="s">
        <v>2193</v>
      </c>
      <c r="AX64" s="4" t="s">
        <v>2287</v>
      </c>
      <c r="AY64" s="4">
        <v>51.473300000000002</v>
      </c>
      <c r="AZ64" s="4">
        <v>-121.36</v>
      </c>
      <c r="BA64" s="4">
        <v>1276</v>
      </c>
    </row>
    <row r="65" spans="1:33" ht="14.25" customHeight="1" x14ac:dyDescent="0.2">
      <c r="A65" s="136" t="s">
        <v>138</v>
      </c>
      <c r="B65" s="172">
        <v>137</v>
      </c>
      <c r="C65" s="10" t="s">
        <v>5977</v>
      </c>
      <c r="D65" s="10" t="s">
        <v>5978</v>
      </c>
      <c r="E65" s="192"/>
      <c r="F65" s="10" t="s">
        <v>5979</v>
      </c>
      <c r="G65" s="10" t="s">
        <v>5980</v>
      </c>
      <c r="M65" s="201">
        <v>49.23836</v>
      </c>
      <c r="N65" s="201">
        <v>-121.77478000000001</v>
      </c>
      <c r="O65" s="201">
        <v>17</v>
      </c>
      <c r="P65" s="201" t="s">
        <v>5981</v>
      </c>
      <c r="Q65" s="201"/>
      <c r="R65" s="201" t="s">
        <v>5982</v>
      </c>
      <c r="S65" s="201"/>
      <c r="T65" s="201" t="s">
        <v>5983</v>
      </c>
      <c r="U65" s="253" t="s">
        <v>5984</v>
      </c>
      <c r="AE65" s="192"/>
      <c r="AF65" s="192"/>
      <c r="AG65" s="192"/>
    </row>
    <row r="66" spans="1:33" ht="14.25" customHeight="1" x14ac:dyDescent="0.2">
      <c r="A66" s="136" t="s">
        <v>6307</v>
      </c>
      <c r="B66" s="4">
        <v>5</v>
      </c>
      <c r="C66" s="10" t="s">
        <v>6003</v>
      </c>
      <c r="D66" s="10" t="s">
        <v>6308</v>
      </c>
      <c r="E66" s="8"/>
      <c r="F66" s="10" t="s">
        <v>6309</v>
      </c>
      <c r="G66" s="91" t="s">
        <v>6310</v>
      </c>
      <c r="AE66" s="192"/>
      <c r="AF66" s="192"/>
      <c r="AG66" s="192"/>
    </row>
    <row r="67" spans="1:33" ht="14.25" customHeight="1" x14ac:dyDescent="0.2">
      <c r="A67" s="136" t="s">
        <v>138</v>
      </c>
      <c r="B67" s="194">
        <v>5</v>
      </c>
      <c r="C67" s="10" t="s">
        <v>6003</v>
      </c>
      <c r="D67" s="10" t="s">
        <v>6964</v>
      </c>
      <c r="E67" s="192"/>
      <c r="F67" s="10" t="s">
        <v>6965</v>
      </c>
      <c r="G67" s="10" t="s">
        <v>6966</v>
      </c>
      <c r="M67" s="9">
        <v>-125.2881667</v>
      </c>
      <c r="N67" s="9">
        <v>49.605361109999997</v>
      </c>
      <c r="O67" s="9">
        <v>280</v>
      </c>
      <c r="P67" s="211" t="s">
        <v>6967</v>
      </c>
      <c r="Q67" s="70">
        <v>5</v>
      </c>
      <c r="R67" s="9" t="s">
        <v>6968</v>
      </c>
      <c r="S67" s="9" t="s">
        <v>6009</v>
      </c>
      <c r="AE67" s="192"/>
      <c r="AF67" s="192"/>
      <c r="AG67" s="192"/>
    </row>
    <row r="68" spans="1:33" ht="14.25" customHeight="1" x14ac:dyDescent="0.2">
      <c r="A68" s="136" t="s">
        <v>138</v>
      </c>
      <c r="B68" s="194">
        <v>14</v>
      </c>
      <c r="C68" s="91" t="s">
        <v>6969</v>
      </c>
      <c r="D68" s="10" t="s">
        <v>6970</v>
      </c>
      <c r="E68" s="192"/>
      <c r="F68" s="10" t="s">
        <v>6971</v>
      </c>
      <c r="G68" s="8" t="str">
        <f t="shared" ref="G68:G85" si="1">TEXT(CONCATENATE("-&gt; ",-1*M68," W, ", N68, "N, Elev. ",O68," m"),1)</f>
        <v>-&gt; 121.08547 W, 49.70764N, Elev. 1860 m</v>
      </c>
      <c r="M68" s="9">
        <v>-121.08547</v>
      </c>
      <c r="N68" s="9">
        <v>49.707639999999998</v>
      </c>
      <c r="O68" s="9">
        <v>1860</v>
      </c>
      <c r="P68" s="9" t="s">
        <v>6972</v>
      </c>
      <c r="Q68" s="70">
        <v>8</v>
      </c>
      <c r="R68" s="203" t="s">
        <v>6973</v>
      </c>
      <c r="S68" s="9" t="s">
        <v>6646</v>
      </c>
      <c r="AE68" s="192"/>
      <c r="AF68" s="192"/>
      <c r="AG68" s="192"/>
    </row>
    <row r="69" spans="1:33" ht="14.25" customHeight="1" x14ac:dyDescent="0.2">
      <c r="A69" s="136" t="s">
        <v>138</v>
      </c>
      <c r="B69" s="194">
        <v>14</v>
      </c>
      <c r="C69" s="91" t="s">
        <v>6969</v>
      </c>
      <c r="D69" s="10" t="s">
        <v>6974</v>
      </c>
      <c r="E69" s="192"/>
      <c r="F69" s="10" t="s">
        <v>6975</v>
      </c>
      <c r="G69" s="8" t="str">
        <f t="shared" si="1"/>
        <v>-&gt; 120.28227 W, 49.948639N, Elev. 1640 m</v>
      </c>
      <c r="M69" s="9">
        <v>-120.28227</v>
      </c>
      <c r="N69" s="9">
        <v>49.948639</v>
      </c>
      <c r="O69" s="9">
        <v>1640</v>
      </c>
      <c r="P69" s="9" t="s">
        <v>6976</v>
      </c>
      <c r="Q69" s="70">
        <v>7</v>
      </c>
      <c r="R69" s="9" t="s">
        <v>6977</v>
      </c>
      <c r="S69" s="9" t="s">
        <v>6646</v>
      </c>
      <c r="AE69" s="192"/>
      <c r="AF69" s="192"/>
      <c r="AG69" s="192"/>
    </row>
    <row r="70" spans="1:33" ht="14.25" customHeight="1" x14ac:dyDescent="0.2">
      <c r="A70" s="136" t="s">
        <v>138</v>
      </c>
      <c r="B70" s="194">
        <v>14</v>
      </c>
      <c r="C70" s="91" t="s">
        <v>6969</v>
      </c>
      <c r="D70" s="10" t="s">
        <v>6978</v>
      </c>
      <c r="E70" s="192"/>
      <c r="F70" s="10" t="s">
        <v>6979</v>
      </c>
      <c r="G70" s="8" t="str">
        <f t="shared" si="1"/>
        <v>-&gt; 120.60969 W, 51.09851N, Elev. 1430 m</v>
      </c>
      <c r="M70" s="203">
        <v>-120.60969</v>
      </c>
      <c r="N70" s="203">
        <v>51.098509999999997</v>
      </c>
      <c r="O70" s="203">
        <v>1430</v>
      </c>
      <c r="P70" s="203" t="s">
        <v>6980</v>
      </c>
      <c r="Q70" s="263">
        <v>6</v>
      </c>
      <c r="R70" s="203" t="s">
        <v>6981</v>
      </c>
      <c r="S70" s="203" t="s">
        <v>6646</v>
      </c>
      <c r="U70" s="254"/>
      <c r="AE70" s="192"/>
      <c r="AF70" s="192"/>
      <c r="AG70" s="192"/>
    </row>
    <row r="71" spans="1:33" ht="14.25" customHeight="1" x14ac:dyDescent="0.2">
      <c r="A71" s="136" t="s">
        <v>138</v>
      </c>
      <c r="B71" s="194">
        <v>14</v>
      </c>
      <c r="C71" s="91" t="s">
        <v>6969</v>
      </c>
      <c r="D71" s="10" t="s">
        <v>6982</v>
      </c>
      <c r="E71" s="192"/>
      <c r="F71" s="10" t="s">
        <v>6983</v>
      </c>
      <c r="G71" s="8" t="str">
        <f t="shared" si="1"/>
        <v>-&gt; 120.56057 W, 52.74882N, Elev. 1740 m</v>
      </c>
      <c r="M71" s="9">
        <v>-120.56057</v>
      </c>
      <c r="N71" s="9">
        <v>52.748820000000002</v>
      </c>
      <c r="O71" s="9">
        <v>1740</v>
      </c>
      <c r="P71" s="9" t="s">
        <v>6984</v>
      </c>
      <c r="Q71" s="70">
        <v>6</v>
      </c>
      <c r="R71" s="9" t="s">
        <v>6985</v>
      </c>
      <c r="S71" s="9" t="s">
        <v>6646</v>
      </c>
      <c r="AE71" s="192"/>
      <c r="AF71" s="192"/>
      <c r="AG71" s="192"/>
    </row>
    <row r="72" spans="1:33" ht="14.25" customHeight="1" x14ac:dyDescent="0.2">
      <c r="A72" s="136" t="s">
        <v>138</v>
      </c>
      <c r="B72" s="194">
        <v>14</v>
      </c>
      <c r="C72" s="91" t="s">
        <v>6969</v>
      </c>
      <c r="D72" s="10" t="s">
        <v>6986</v>
      </c>
      <c r="E72" s="192"/>
      <c r="F72" s="10" t="s">
        <v>6987</v>
      </c>
      <c r="G72" s="8" t="str">
        <f t="shared" si="1"/>
        <v>-&gt; 124.15273 W, 52.109N, Elev. 920 m</v>
      </c>
      <c r="M72" s="9">
        <v>-124.15273000000001</v>
      </c>
      <c r="N72" s="9">
        <v>52.109000000000002</v>
      </c>
      <c r="O72" s="9">
        <v>920</v>
      </c>
      <c r="P72" s="9" t="s">
        <v>6988</v>
      </c>
      <c r="Q72" s="70">
        <v>2</v>
      </c>
      <c r="R72" s="9" t="s">
        <v>6989</v>
      </c>
      <c r="S72" s="9" t="s">
        <v>6646</v>
      </c>
      <c r="AE72" s="192"/>
      <c r="AF72" s="192"/>
      <c r="AG72" s="192"/>
    </row>
    <row r="73" spans="1:33" ht="14.25" customHeight="1" x14ac:dyDescent="0.2">
      <c r="A73" s="136" t="s">
        <v>138</v>
      </c>
      <c r="B73" s="194">
        <v>14</v>
      </c>
      <c r="C73" s="91" t="s">
        <v>6969</v>
      </c>
      <c r="D73" s="10" t="s">
        <v>6990</v>
      </c>
      <c r="E73" s="192"/>
      <c r="F73" s="10" t="s">
        <v>6991</v>
      </c>
      <c r="G73" s="8" t="str">
        <f t="shared" si="1"/>
        <v>-&gt; 121.25604 W, 51.90453N, Elev. 1630 m</v>
      </c>
      <c r="M73" s="9">
        <v>-121.25604</v>
      </c>
      <c r="N73" s="9">
        <v>51.904530000000001</v>
      </c>
      <c r="O73" s="9">
        <v>1630</v>
      </c>
      <c r="P73" s="9" t="s">
        <v>6992</v>
      </c>
      <c r="Q73" s="70">
        <v>8</v>
      </c>
      <c r="R73" s="9" t="s">
        <v>6993</v>
      </c>
      <c r="S73" s="9" t="s">
        <v>6646</v>
      </c>
      <c r="AE73" s="192"/>
      <c r="AF73" s="192"/>
      <c r="AG73" s="192"/>
    </row>
    <row r="74" spans="1:33" ht="14.25" customHeight="1" x14ac:dyDescent="0.2">
      <c r="A74" s="136" t="s">
        <v>138</v>
      </c>
      <c r="B74" s="194">
        <v>14</v>
      </c>
      <c r="C74" s="91" t="s">
        <v>6969</v>
      </c>
      <c r="D74" s="10" t="s">
        <v>6994</v>
      </c>
      <c r="E74" s="192"/>
      <c r="F74" s="10" t="s">
        <v>6995</v>
      </c>
      <c r="G74" s="8" t="str">
        <f t="shared" si="1"/>
        <v>-&gt; 121.443056 W, 53.95083N, Elev. 1693 m</v>
      </c>
      <c r="M74" s="9">
        <v>-121.443056</v>
      </c>
      <c r="N74" s="9">
        <v>53.950830000000003</v>
      </c>
      <c r="O74" s="9">
        <v>1693</v>
      </c>
      <c r="P74" s="9" t="s">
        <v>6996</v>
      </c>
      <c r="Q74" s="70">
        <v>8</v>
      </c>
      <c r="R74" s="9" t="s">
        <v>6997</v>
      </c>
      <c r="S74" s="9" t="s">
        <v>6646</v>
      </c>
      <c r="AE74" s="192"/>
      <c r="AF74" s="192"/>
      <c r="AG74" s="192"/>
    </row>
    <row r="75" spans="1:33" ht="14.25" customHeight="1" x14ac:dyDescent="0.2">
      <c r="A75" s="136" t="s">
        <v>138</v>
      </c>
      <c r="B75" s="194">
        <v>14</v>
      </c>
      <c r="C75" s="91" t="s">
        <v>6969</v>
      </c>
      <c r="D75" s="10" t="s">
        <v>6998</v>
      </c>
      <c r="E75" s="192"/>
      <c r="F75" s="10" t="s">
        <v>6999</v>
      </c>
      <c r="G75" s="8" t="str">
        <f t="shared" si="1"/>
        <v>-&gt; 119.940639 W, 51.808369N, Elev. 1880 m</v>
      </c>
      <c r="M75" s="9">
        <v>-119.940639</v>
      </c>
      <c r="N75" s="9">
        <v>51.808368999999999</v>
      </c>
      <c r="O75" s="9">
        <v>1880</v>
      </c>
      <c r="P75" s="203" t="s">
        <v>7000</v>
      </c>
      <c r="Q75" s="70">
        <v>6</v>
      </c>
      <c r="R75" s="9" t="s">
        <v>7001</v>
      </c>
      <c r="S75" s="9" t="s">
        <v>6646</v>
      </c>
      <c r="AE75" s="192"/>
      <c r="AF75" s="192"/>
      <c r="AG75" s="192"/>
    </row>
    <row r="76" spans="1:33" ht="14.25" customHeight="1" x14ac:dyDescent="0.2">
      <c r="A76" s="136" t="s">
        <v>138</v>
      </c>
      <c r="B76" s="194">
        <v>14</v>
      </c>
      <c r="C76" s="91" t="s">
        <v>6969</v>
      </c>
      <c r="D76" s="10" t="s">
        <v>7002</v>
      </c>
      <c r="E76" s="192"/>
      <c r="F76" s="10" t="s">
        <v>7003</v>
      </c>
      <c r="G76" s="8" t="str">
        <f t="shared" si="1"/>
        <v>-&gt; 118.13016 W, 49.27017N, Elev. 1230 m</v>
      </c>
      <c r="M76" s="9">
        <v>-118.13016</v>
      </c>
      <c r="N76" s="9">
        <v>49.27017</v>
      </c>
      <c r="O76" s="9">
        <v>1230</v>
      </c>
      <c r="P76" s="9" t="s">
        <v>7004</v>
      </c>
      <c r="Q76" s="70">
        <v>3</v>
      </c>
      <c r="R76" s="9" t="s">
        <v>7005</v>
      </c>
      <c r="S76" s="9" t="s">
        <v>6646</v>
      </c>
      <c r="AE76" s="192"/>
      <c r="AF76" s="192"/>
      <c r="AG76" s="192"/>
    </row>
    <row r="77" spans="1:33" ht="14.25" customHeight="1" x14ac:dyDescent="0.2">
      <c r="A77" s="136" t="s">
        <v>138</v>
      </c>
      <c r="B77" s="194">
        <v>14</v>
      </c>
      <c r="C77" s="91" t="s">
        <v>6969</v>
      </c>
      <c r="D77" s="10" t="s">
        <v>7006</v>
      </c>
      <c r="E77" s="192"/>
      <c r="F77" s="10" t="s">
        <v>7007</v>
      </c>
      <c r="G77" s="8" t="str">
        <f t="shared" si="1"/>
        <v>-&gt; 116.6788 W, 49.61142N, Elev. 1650 m</v>
      </c>
      <c r="M77" s="9">
        <v>-116.6788</v>
      </c>
      <c r="N77" s="9">
        <v>49.611420000000003</v>
      </c>
      <c r="O77" s="9">
        <v>1650</v>
      </c>
      <c r="P77" s="9" t="s">
        <v>7008</v>
      </c>
      <c r="Q77" s="70">
        <v>5</v>
      </c>
      <c r="R77" s="9" t="s">
        <v>7009</v>
      </c>
      <c r="S77" s="9" t="s">
        <v>6646</v>
      </c>
      <c r="AE77" s="192"/>
      <c r="AF77" s="192"/>
      <c r="AG77" s="192"/>
    </row>
    <row r="78" spans="1:33" ht="14.25" customHeight="1" x14ac:dyDescent="0.2">
      <c r="A78" s="136" t="s">
        <v>138</v>
      </c>
      <c r="B78" s="194">
        <v>14</v>
      </c>
      <c r="C78" s="91" t="s">
        <v>6969</v>
      </c>
      <c r="D78" s="10" t="s">
        <v>7010</v>
      </c>
      <c r="E78" s="192"/>
      <c r="F78" s="10" t="s">
        <v>7011</v>
      </c>
      <c r="G78" s="8" t="str">
        <f t="shared" si="1"/>
        <v>-&gt; 116.6584 W, 49.61656N, Elev. 1930 m</v>
      </c>
      <c r="M78" s="9">
        <v>-116.6584</v>
      </c>
      <c r="N78" s="9">
        <v>49.61656</v>
      </c>
      <c r="O78" s="9">
        <v>1930</v>
      </c>
      <c r="P78" s="9" t="s">
        <v>7012</v>
      </c>
      <c r="Q78" s="70">
        <v>7</v>
      </c>
      <c r="R78" s="9" t="s">
        <v>7013</v>
      </c>
      <c r="S78" s="9" t="s">
        <v>6646</v>
      </c>
      <c r="AE78" s="192"/>
      <c r="AF78" s="192"/>
      <c r="AG78" s="192"/>
    </row>
    <row r="79" spans="1:33" ht="14.25" customHeight="1" x14ac:dyDescent="0.2">
      <c r="A79" s="136" t="s">
        <v>138</v>
      </c>
      <c r="B79" s="194">
        <v>14</v>
      </c>
      <c r="C79" s="91" t="s">
        <v>6969</v>
      </c>
      <c r="D79" s="10" t="s">
        <v>7014</v>
      </c>
      <c r="E79" s="192"/>
      <c r="F79" s="10" t="s">
        <v>7015</v>
      </c>
      <c r="G79" s="8" t="str">
        <f t="shared" si="1"/>
        <v>-&gt; 119.12403 W, 49.76731N, Elev. 1245 m</v>
      </c>
      <c r="M79" s="9">
        <v>-119.12403</v>
      </c>
      <c r="N79" s="9">
        <v>49.767310000000002</v>
      </c>
      <c r="O79" s="9">
        <v>1245</v>
      </c>
      <c r="P79" s="9" t="s">
        <v>7016</v>
      </c>
      <c r="Q79" s="70">
        <v>4</v>
      </c>
      <c r="R79" s="9" t="s">
        <v>997</v>
      </c>
      <c r="S79" s="9" t="s">
        <v>6646</v>
      </c>
      <c r="AE79" s="192"/>
      <c r="AF79" s="192"/>
      <c r="AG79" s="192"/>
    </row>
    <row r="80" spans="1:33" ht="14.25" customHeight="1" x14ac:dyDescent="0.2">
      <c r="A80" s="136" t="s">
        <v>138</v>
      </c>
      <c r="B80" s="194">
        <v>14</v>
      </c>
      <c r="C80" s="91" t="s">
        <v>6969</v>
      </c>
      <c r="D80" s="10" t="s">
        <v>7017</v>
      </c>
      <c r="E80" s="192"/>
      <c r="F80" s="10" t="s">
        <v>7018</v>
      </c>
      <c r="G80" s="8" t="str">
        <f t="shared" si="1"/>
        <v>-&gt; 119.279 W, 50.11633N, Elev. 1360 m</v>
      </c>
      <c r="M80" s="9">
        <v>-119.279</v>
      </c>
      <c r="N80" s="9">
        <v>50.116329999999998</v>
      </c>
      <c r="O80" s="9">
        <v>1360</v>
      </c>
      <c r="P80" s="9" t="s">
        <v>7019</v>
      </c>
      <c r="Q80" s="70">
        <v>5</v>
      </c>
      <c r="R80" s="9" t="s">
        <v>7020</v>
      </c>
      <c r="S80" s="9" t="s">
        <v>6646</v>
      </c>
      <c r="AE80" s="192"/>
      <c r="AF80" s="192"/>
      <c r="AG80" s="192"/>
    </row>
    <row r="81" spans="1:72" ht="14.25" customHeight="1" x14ac:dyDescent="0.2">
      <c r="A81" s="136" t="s">
        <v>138</v>
      </c>
      <c r="B81" s="194">
        <v>14</v>
      </c>
      <c r="C81" s="91" t="s">
        <v>6969</v>
      </c>
      <c r="D81" s="10" t="s">
        <v>7021</v>
      </c>
      <c r="E81" s="192"/>
      <c r="F81" s="10" t="s">
        <v>7022</v>
      </c>
      <c r="G81" s="8" t="str">
        <f t="shared" si="1"/>
        <v>-&gt; 119.7461 W, 50.01691N, Elev. 1795 m</v>
      </c>
      <c r="M81" s="9">
        <v>-119.7461</v>
      </c>
      <c r="N81" s="9">
        <v>50.016910000000003</v>
      </c>
      <c r="O81" s="9">
        <v>1795</v>
      </c>
      <c r="P81" s="201" t="s">
        <v>7023</v>
      </c>
      <c r="Q81" s="70">
        <v>8</v>
      </c>
      <c r="R81" s="9" t="s">
        <v>7024</v>
      </c>
      <c r="S81" s="9" t="s">
        <v>6646</v>
      </c>
      <c r="AE81" s="192"/>
      <c r="AF81" s="192"/>
      <c r="AG81" s="192"/>
    </row>
    <row r="82" spans="1:72" ht="14.25" customHeight="1" x14ac:dyDescent="0.2">
      <c r="A82" s="136" t="s">
        <v>138</v>
      </c>
      <c r="B82" s="194">
        <v>14</v>
      </c>
      <c r="C82" s="91" t="s">
        <v>6969</v>
      </c>
      <c r="D82" s="10" t="s">
        <v>7025</v>
      </c>
      <c r="E82" s="192"/>
      <c r="F82" s="10" t="s">
        <v>7026</v>
      </c>
      <c r="G82" s="8" t="str">
        <f t="shared" si="1"/>
        <v>-&gt; 120.79439 W, 49.49914N, Elev. 1480 m</v>
      </c>
      <c r="M82" s="9">
        <v>-120.79439000000001</v>
      </c>
      <c r="N82" s="9">
        <v>49.499139999999997</v>
      </c>
      <c r="O82" s="9">
        <v>1480</v>
      </c>
      <c r="P82" s="9" t="s">
        <v>7027</v>
      </c>
      <c r="Q82" s="70">
        <v>6</v>
      </c>
      <c r="R82" s="9" t="s">
        <v>7028</v>
      </c>
      <c r="S82" s="9" t="s">
        <v>6646</v>
      </c>
      <c r="AE82" s="192"/>
      <c r="AF82" s="192"/>
      <c r="AG82" s="192"/>
    </row>
    <row r="83" spans="1:72" ht="14.25" customHeight="1" x14ac:dyDescent="0.2">
      <c r="A83" s="136" t="s">
        <v>138</v>
      </c>
      <c r="B83" s="194">
        <v>14</v>
      </c>
      <c r="C83" s="91" t="s">
        <v>6969</v>
      </c>
      <c r="D83" s="10" t="s">
        <v>7029</v>
      </c>
      <c r="E83" s="192"/>
      <c r="F83" s="10" t="s">
        <v>7030</v>
      </c>
      <c r="G83" s="8" t="str">
        <f t="shared" si="1"/>
        <v>-&gt; 124.567776 W, 49.207376N, Elev. 1460 m</v>
      </c>
      <c r="M83" s="9">
        <v>-124.56777599999999</v>
      </c>
      <c r="N83" s="9">
        <v>49.207375999999996</v>
      </c>
      <c r="O83" s="9">
        <v>1460</v>
      </c>
      <c r="P83" s="9" t="s">
        <v>7031</v>
      </c>
      <c r="Q83" s="70">
        <v>8</v>
      </c>
      <c r="R83" s="9" t="s">
        <v>7032</v>
      </c>
      <c r="S83" s="9" t="s">
        <v>6646</v>
      </c>
      <c r="AE83" s="192"/>
      <c r="AF83" s="192"/>
      <c r="AG83" s="192"/>
    </row>
    <row r="84" spans="1:72" ht="14.25" customHeight="1" x14ac:dyDescent="0.2">
      <c r="A84" s="136" t="s">
        <v>138</v>
      </c>
      <c r="B84" s="194">
        <v>14</v>
      </c>
      <c r="C84" s="91" t="s">
        <v>6969</v>
      </c>
      <c r="D84" s="10" t="s">
        <v>7033</v>
      </c>
      <c r="E84" s="192"/>
      <c r="F84" s="10" t="s">
        <v>7034</v>
      </c>
      <c r="G84" s="8" t="str">
        <f t="shared" si="1"/>
        <v>-&gt; 123.604999 W, 49.597854N, Elev. 1423 m</v>
      </c>
      <c r="M84" s="9">
        <v>-123.60499900000001</v>
      </c>
      <c r="N84" s="9">
        <v>49.597853999999998</v>
      </c>
      <c r="O84" s="9">
        <v>1423</v>
      </c>
      <c r="P84" s="9" t="s">
        <v>7035</v>
      </c>
      <c r="Q84" s="70">
        <v>7</v>
      </c>
      <c r="R84" s="9" t="s">
        <v>7036</v>
      </c>
      <c r="S84" s="9" t="s">
        <v>6646</v>
      </c>
      <c r="AE84" s="192"/>
      <c r="AF84" s="192"/>
      <c r="AG84" s="192"/>
    </row>
    <row r="85" spans="1:72" ht="14.25" customHeight="1" x14ac:dyDescent="0.2">
      <c r="A85" s="136" t="s">
        <v>138</v>
      </c>
      <c r="B85" s="194">
        <v>14</v>
      </c>
      <c r="C85" s="91" t="s">
        <v>6969</v>
      </c>
      <c r="D85" s="10" t="s">
        <v>7037</v>
      </c>
      <c r="E85" s="192"/>
      <c r="F85" s="10" t="s">
        <v>7038</v>
      </c>
      <c r="G85" s="8" t="str">
        <f t="shared" si="1"/>
        <v>-&gt; 130.0661 W, 56.24674N, Elev. 790 m</v>
      </c>
      <c r="M85" s="9">
        <v>-130.06610000000001</v>
      </c>
      <c r="N85" s="9">
        <v>56.246740000000003</v>
      </c>
      <c r="O85" s="9">
        <v>790</v>
      </c>
      <c r="P85" s="9" t="s">
        <v>6749</v>
      </c>
      <c r="Q85" s="70">
        <v>4</v>
      </c>
      <c r="R85" s="9" t="s">
        <v>7039</v>
      </c>
      <c r="S85" s="9" t="s">
        <v>6646</v>
      </c>
      <c r="AE85" s="192"/>
      <c r="AF85" s="192"/>
      <c r="AG85" s="192"/>
    </row>
    <row r="86" spans="1:72" ht="14.25" customHeight="1" x14ac:dyDescent="0.2">
      <c r="A86" s="145" t="s">
        <v>138</v>
      </c>
      <c r="B86" s="172">
        <v>137</v>
      </c>
      <c r="C86" s="10" t="s">
        <v>5977</v>
      </c>
      <c r="D86" s="10" t="s">
        <v>7040</v>
      </c>
      <c r="E86" s="192"/>
      <c r="F86" s="10" t="s">
        <v>7041</v>
      </c>
      <c r="G86" s="10" t="s">
        <v>7042</v>
      </c>
      <c r="M86" s="9">
        <v>49.386666669999997</v>
      </c>
      <c r="N86" s="9">
        <v>-123.11944440000001</v>
      </c>
      <c r="O86" s="9" t="s">
        <v>51</v>
      </c>
      <c r="P86" s="9" t="s">
        <v>7043</v>
      </c>
      <c r="Q86" s="20">
        <v>2</v>
      </c>
      <c r="R86" s="9" t="s">
        <v>7044</v>
      </c>
      <c r="S86" s="9" t="s">
        <v>3115</v>
      </c>
      <c r="U86" s="47">
        <v>250</v>
      </c>
      <c r="V86" s="9" t="s">
        <v>7045</v>
      </c>
      <c r="W86" s="9">
        <v>2002</v>
      </c>
      <c r="X86" s="9" t="s">
        <v>3117</v>
      </c>
      <c r="Y86" s="9" t="s">
        <v>3118</v>
      </c>
      <c r="Z86" s="9"/>
      <c r="AA86" s="9"/>
      <c r="AB86" s="9"/>
      <c r="AC86" s="9" t="s">
        <v>55</v>
      </c>
      <c r="AD86" s="9" t="s">
        <v>56</v>
      </c>
      <c r="AE86" s="203" t="s">
        <v>66</v>
      </c>
      <c r="AF86" s="203"/>
      <c r="AG86" s="203"/>
      <c r="AH86" s="9" t="s">
        <v>3119</v>
      </c>
      <c r="AI86" s="9"/>
      <c r="AJ86" s="9" t="s">
        <v>59</v>
      </c>
      <c r="AK86" s="9"/>
      <c r="AL86" s="9"/>
      <c r="AM86" s="9"/>
    </row>
    <row r="87" spans="1:72" ht="14.25" customHeight="1" x14ac:dyDescent="0.2">
      <c r="A87" s="145" t="s">
        <v>138</v>
      </c>
      <c r="B87" s="172">
        <v>137</v>
      </c>
      <c r="C87" s="10" t="s">
        <v>5977</v>
      </c>
      <c r="D87" s="10" t="s">
        <v>7046</v>
      </c>
      <c r="E87" s="192"/>
      <c r="F87" s="10" t="s">
        <v>7047</v>
      </c>
      <c r="G87" s="10" t="s">
        <v>7048</v>
      </c>
      <c r="M87" s="203">
        <v>49.461599999999997</v>
      </c>
      <c r="N87" s="203">
        <v>-123.1311</v>
      </c>
      <c r="O87" s="203" t="s">
        <v>51</v>
      </c>
      <c r="P87" s="203" t="s">
        <v>7049</v>
      </c>
      <c r="Q87" s="245">
        <v>4</v>
      </c>
      <c r="R87" s="203" t="s">
        <v>7050</v>
      </c>
      <c r="S87" s="203" t="s">
        <v>3115</v>
      </c>
      <c r="U87" s="252">
        <v>600</v>
      </c>
      <c r="V87" s="9" t="s">
        <v>7051</v>
      </c>
      <c r="W87" s="9">
        <v>2023</v>
      </c>
      <c r="X87" s="9" t="s">
        <v>3117</v>
      </c>
      <c r="Y87" s="9" t="s">
        <v>3118</v>
      </c>
      <c r="Z87" s="9"/>
      <c r="AA87" s="9"/>
      <c r="AB87" s="9"/>
      <c r="AC87" s="9" t="s">
        <v>55</v>
      </c>
      <c r="AD87" s="9" t="s">
        <v>56</v>
      </c>
      <c r="AE87" s="203" t="s">
        <v>57</v>
      </c>
      <c r="AF87" s="203" t="s">
        <v>58</v>
      </c>
      <c r="AG87" s="203"/>
      <c r="AH87" s="9" t="s">
        <v>3119</v>
      </c>
      <c r="AI87" s="9"/>
      <c r="AJ87" s="9"/>
      <c r="AK87" s="9"/>
      <c r="AL87" s="9"/>
      <c r="AM87" s="9"/>
    </row>
    <row r="88" spans="1:72" ht="14.25" customHeight="1" x14ac:dyDescent="0.2">
      <c r="A88" s="145" t="s">
        <v>138</v>
      </c>
      <c r="B88" s="172">
        <v>137</v>
      </c>
      <c r="C88" s="10" t="s">
        <v>5977</v>
      </c>
      <c r="D88" s="10" t="s">
        <v>7052</v>
      </c>
      <c r="E88" s="192"/>
      <c r="F88" s="10" t="s">
        <v>7053</v>
      </c>
      <c r="G88" s="10" t="s">
        <v>7054</v>
      </c>
      <c r="M88" s="9">
        <v>49.485239999999997</v>
      </c>
      <c r="N88" s="9">
        <v>-123.12674</v>
      </c>
      <c r="O88" s="9" t="s">
        <v>51</v>
      </c>
      <c r="P88" s="9" t="s">
        <v>7055</v>
      </c>
      <c r="Q88" s="20">
        <v>2</v>
      </c>
      <c r="R88" s="9" t="s">
        <v>7056</v>
      </c>
      <c r="S88" s="9" t="s">
        <v>3115</v>
      </c>
      <c r="U88" s="47">
        <v>305</v>
      </c>
      <c r="V88" s="9" t="s">
        <v>7057</v>
      </c>
      <c r="W88" s="9">
        <v>2016</v>
      </c>
      <c r="X88" s="9" t="s">
        <v>3117</v>
      </c>
      <c r="Y88" s="9" t="s">
        <v>3118</v>
      </c>
      <c r="Z88" s="9"/>
      <c r="AA88" s="9"/>
      <c r="AB88" s="9"/>
      <c r="AC88" s="9" t="s">
        <v>55</v>
      </c>
      <c r="AD88" s="9" t="s">
        <v>56</v>
      </c>
      <c r="AE88" s="203" t="s">
        <v>66</v>
      </c>
      <c r="AF88" s="203"/>
      <c r="AG88" s="203"/>
      <c r="AH88" s="9"/>
      <c r="AI88" s="9"/>
      <c r="AJ88" s="9"/>
      <c r="AK88" s="9"/>
      <c r="AL88" s="9"/>
      <c r="AM88" s="9"/>
    </row>
    <row r="89" spans="1:72" ht="14.25" customHeight="1" x14ac:dyDescent="0.2">
      <c r="A89" s="145" t="s">
        <v>138</v>
      </c>
      <c r="B89" s="172">
        <v>137</v>
      </c>
      <c r="C89" s="10" t="s">
        <v>5977</v>
      </c>
      <c r="D89" s="10" t="s">
        <v>7058</v>
      </c>
      <c r="E89" s="192"/>
      <c r="F89" s="10" t="s">
        <v>7059</v>
      </c>
      <c r="G89" s="10" t="s">
        <v>7060</v>
      </c>
      <c r="M89" s="9">
        <v>49.366109999999999</v>
      </c>
      <c r="N89" s="9">
        <v>-123.11360999999999</v>
      </c>
      <c r="O89" s="9" t="s">
        <v>51</v>
      </c>
      <c r="P89" s="9" t="s">
        <v>7061</v>
      </c>
      <c r="Q89" s="20">
        <v>2</v>
      </c>
      <c r="R89" s="9" t="s">
        <v>7062</v>
      </c>
      <c r="S89" s="9" t="s">
        <v>3115</v>
      </c>
      <c r="U89" s="47">
        <v>145</v>
      </c>
      <c r="V89" s="9" t="s">
        <v>7063</v>
      </c>
      <c r="W89" s="9"/>
      <c r="X89" s="9" t="s">
        <v>3117</v>
      </c>
      <c r="Y89" s="9" t="s">
        <v>3118</v>
      </c>
      <c r="Z89" s="9"/>
      <c r="AA89" s="9"/>
      <c r="AB89" s="9"/>
      <c r="AC89" s="9" t="s">
        <v>55</v>
      </c>
      <c r="AD89" s="9" t="s">
        <v>56</v>
      </c>
      <c r="AE89" s="203"/>
      <c r="AF89" s="203"/>
      <c r="AG89" s="203"/>
      <c r="AH89" s="9" t="s">
        <v>3119</v>
      </c>
      <c r="AI89" s="9"/>
      <c r="AJ89" s="9" t="s">
        <v>7064</v>
      </c>
      <c r="AK89" s="9"/>
      <c r="AL89" s="9"/>
      <c r="AM89" s="9" t="s">
        <v>7065</v>
      </c>
    </row>
    <row r="90" spans="1:72" ht="14.25" customHeight="1" x14ac:dyDescent="0.2">
      <c r="A90" s="145" t="s">
        <v>138</v>
      </c>
      <c r="B90" s="172">
        <v>137</v>
      </c>
      <c r="C90" s="10" t="s">
        <v>5977</v>
      </c>
      <c r="D90" s="10" t="s">
        <v>7066</v>
      </c>
      <c r="E90" s="192"/>
      <c r="F90" s="10" t="s">
        <v>7067</v>
      </c>
      <c r="G90" s="10" t="s">
        <v>7068</v>
      </c>
      <c r="M90" s="9">
        <v>49.379249999999999</v>
      </c>
      <c r="N90" s="9">
        <v>-122.99552</v>
      </c>
      <c r="O90" s="9" t="s">
        <v>51</v>
      </c>
      <c r="P90" s="9" t="s">
        <v>7069</v>
      </c>
      <c r="Q90" s="20">
        <v>2</v>
      </c>
      <c r="R90" s="9" t="s">
        <v>7070</v>
      </c>
      <c r="S90" s="9" t="s">
        <v>3115</v>
      </c>
      <c r="U90" s="47">
        <v>185</v>
      </c>
      <c r="V90" s="9" t="s">
        <v>7071</v>
      </c>
      <c r="W90" s="9"/>
      <c r="X90" s="9" t="s">
        <v>3117</v>
      </c>
      <c r="Y90" s="9" t="s">
        <v>3118</v>
      </c>
      <c r="Z90" s="9"/>
      <c r="AA90" s="9"/>
      <c r="AB90" s="9"/>
      <c r="AC90" s="9" t="s">
        <v>55</v>
      </c>
      <c r="AD90" s="9" t="s">
        <v>56</v>
      </c>
      <c r="AE90" s="203" t="s">
        <v>66</v>
      </c>
      <c r="AF90" s="203"/>
      <c r="AG90" s="203"/>
      <c r="AH90" s="9" t="s">
        <v>3119</v>
      </c>
      <c r="AI90" s="9"/>
      <c r="AJ90" s="9" t="s">
        <v>59</v>
      </c>
      <c r="AK90" s="9"/>
      <c r="AL90" s="9"/>
      <c r="AM90" s="9"/>
    </row>
    <row r="91" spans="1:72" ht="14.25" customHeight="1" x14ac:dyDescent="0.2">
      <c r="A91" s="278" t="s">
        <v>138</v>
      </c>
      <c r="B91" s="172">
        <v>137</v>
      </c>
      <c r="C91" s="200" t="s">
        <v>5977</v>
      </c>
      <c r="D91" s="200" t="s">
        <v>7072</v>
      </c>
      <c r="F91" s="200" t="s">
        <v>7073</v>
      </c>
      <c r="G91" s="200" t="s">
        <v>7074</v>
      </c>
      <c r="M91" s="9">
        <v>49.449350000000003</v>
      </c>
      <c r="N91" s="9">
        <v>-122.96093999999999</v>
      </c>
      <c r="O91" s="9" t="s">
        <v>51</v>
      </c>
      <c r="P91" s="9" t="s">
        <v>7075</v>
      </c>
      <c r="Q91" s="20">
        <v>2</v>
      </c>
      <c r="R91" s="9" t="s">
        <v>7076</v>
      </c>
      <c r="S91" s="203" t="s">
        <v>3115</v>
      </c>
      <c r="T91" s="192"/>
      <c r="U91" s="252">
        <v>214</v>
      </c>
      <c r="V91" s="203" t="s">
        <v>7077</v>
      </c>
      <c r="W91" s="203"/>
      <c r="X91" s="203" t="s">
        <v>3117</v>
      </c>
      <c r="Y91" s="203" t="s">
        <v>3118</v>
      </c>
      <c r="Z91" s="203"/>
      <c r="AA91" s="203"/>
      <c r="AB91" s="203"/>
      <c r="AC91" s="203" t="s">
        <v>55</v>
      </c>
      <c r="AD91" s="203" t="s">
        <v>56</v>
      </c>
      <c r="AE91" s="203"/>
      <c r="AF91" s="203"/>
      <c r="AG91" s="203"/>
      <c r="AH91" s="203" t="s">
        <v>3119</v>
      </c>
      <c r="AI91" s="203"/>
      <c r="AJ91" s="203" t="s">
        <v>7064</v>
      </c>
      <c r="AK91" s="203"/>
      <c r="AL91" s="203"/>
      <c r="AM91" s="203" t="s">
        <v>7065</v>
      </c>
      <c r="AN91" s="192"/>
      <c r="AO91" s="192"/>
      <c r="AP91" s="192"/>
      <c r="AQ91" s="192"/>
      <c r="AR91" s="192"/>
      <c r="AS91" s="192"/>
      <c r="AT91" s="192"/>
      <c r="AU91" s="192"/>
      <c r="AV91" s="192"/>
      <c r="AW91" s="192"/>
      <c r="AX91" s="192"/>
      <c r="AY91" s="192"/>
      <c r="AZ91" s="192"/>
      <c r="BA91" s="192"/>
      <c r="BB91" s="192"/>
      <c r="BC91" s="192"/>
      <c r="BD91" s="192"/>
      <c r="BE91" s="192"/>
      <c r="BF91" s="192"/>
      <c r="BG91" s="192"/>
      <c r="BH91" s="192"/>
      <c r="BI91" s="192"/>
      <c r="BJ91" s="192"/>
      <c r="BK91" s="192"/>
      <c r="BL91" s="192"/>
      <c r="BM91" s="192"/>
      <c r="BN91" s="192"/>
      <c r="BO91" s="192"/>
      <c r="BP91" s="192"/>
      <c r="BQ91" s="192"/>
      <c r="BR91" s="192"/>
      <c r="BS91" s="192"/>
      <c r="BT91" s="192"/>
    </row>
    <row r="92" spans="1:72" ht="14.25" customHeight="1" x14ac:dyDescent="0.2">
      <c r="A92" s="278" t="s">
        <v>138</v>
      </c>
      <c r="B92" s="172">
        <v>137</v>
      </c>
      <c r="C92" s="200" t="s">
        <v>5977</v>
      </c>
      <c r="D92" s="200" t="s">
        <v>7078</v>
      </c>
      <c r="F92" s="200" t="s">
        <v>7079</v>
      </c>
      <c r="G92" s="200" t="s">
        <v>7080</v>
      </c>
      <c r="M92" s="9">
        <v>49.358879999999999</v>
      </c>
      <c r="N92" s="9">
        <v>-122.78667</v>
      </c>
      <c r="O92" s="9" t="s">
        <v>51</v>
      </c>
      <c r="P92" s="9" t="s">
        <v>7081</v>
      </c>
      <c r="Q92" s="20">
        <v>2</v>
      </c>
      <c r="R92" s="9" t="s">
        <v>7082</v>
      </c>
      <c r="S92" s="203" t="s">
        <v>3115</v>
      </c>
      <c r="T92" s="192"/>
      <c r="U92" s="252">
        <v>150</v>
      </c>
      <c r="V92" s="203" t="s">
        <v>7083</v>
      </c>
      <c r="W92" s="203"/>
      <c r="X92" s="203" t="s">
        <v>3117</v>
      </c>
      <c r="Y92" s="203" t="s">
        <v>3118</v>
      </c>
      <c r="Z92" s="203"/>
      <c r="AA92" s="203"/>
      <c r="AB92" s="203"/>
      <c r="AC92" s="203" t="s">
        <v>55</v>
      </c>
      <c r="AD92" s="203" t="s">
        <v>56</v>
      </c>
      <c r="AE92" s="203"/>
      <c r="AF92" s="203"/>
      <c r="AG92" s="203"/>
      <c r="AH92" s="203" t="s">
        <v>3119</v>
      </c>
      <c r="AI92" s="203"/>
      <c r="AJ92" s="203" t="s">
        <v>7064</v>
      </c>
      <c r="AK92" s="203"/>
      <c r="AL92" s="203"/>
      <c r="AM92" s="203" t="s">
        <v>7065</v>
      </c>
      <c r="AN92" s="192"/>
      <c r="AO92" s="192"/>
      <c r="AP92" s="192"/>
      <c r="AQ92" s="192"/>
      <c r="AR92" s="192"/>
      <c r="AS92" s="192"/>
      <c r="AT92" s="192"/>
      <c r="AU92" s="192"/>
      <c r="AV92" s="192"/>
      <c r="AW92" s="192"/>
      <c r="AX92" s="192"/>
      <c r="AY92" s="192"/>
      <c r="AZ92" s="192"/>
      <c r="BA92" s="192"/>
      <c r="BB92" s="192"/>
      <c r="BC92" s="192"/>
      <c r="BD92" s="192"/>
      <c r="BE92" s="192"/>
      <c r="BF92" s="192"/>
      <c r="BG92" s="192"/>
      <c r="BH92" s="192"/>
      <c r="BI92" s="192"/>
      <c r="BJ92" s="192"/>
      <c r="BK92" s="192"/>
      <c r="BL92" s="192"/>
      <c r="BM92" s="192"/>
      <c r="BN92" s="192"/>
      <c r="BO92" s="192"/>
      <c r="BP92" s="192"/>
      <c r="BQ92" s="192"/>
      <c r="BR92" s="192"/>
      <c r="BS92" s="192"/>
      <c r="BT92" s="192"/>
    </row>
    <row r="93" spans="1:72" ht="14.25" customHeight="1" x14ac:dyDescent="0.2">
      <c r="A93" s="278" t="s">
        <v>138</v>
      </c>
      <c r="B93" s="172">
        <v>137</v>
      </c>
      <c r="C93" s="200" t="s">
        <v>5977</v>
      </c>
      <c r="D93" s="214" t="s">
        <v>7844</v>
      </c>
      <c r="F93" s="200" t="s">
        <v>7085</v>
      </c>
      <c r="G93" s="200" t="s">
        <v>7086</v>
      </c>
      <c r="M93" s="9">
        <v>49.396388889999997</v>
      </c>
      <c r="N93" s="9">
        <v>-123.14583330000001</v>
      </c>
      <c r="O93" s="9" t="s">
        <v>51</v>
      </c>
      <c r="P93" s="9" t="s">
        <v>7087</v>
      </c>
      <c r="Q93" s="20">
        <v>2</v>
      </c>
      <c r="R93" s="9" t="s">
        <v>7088</v>
      </c>
      <c r="S93" s="203" t="s">
        <v>3115</v>
      </c>
      <c r="T93" s="192"/>
      <c r="U93" s="252">
        <v>183</v>
      </c>
      <c r="V93" s="203" t="s">
        <v>7089</v>
      </c>
      <c r="W93" s="203">
        <v>1993</v>
      </c>
      <c r="X93" s="203" t="s">
        <v>3117</v>
      </c>
      <c r="Y93" s="203" t="s">
        <v>3118</v>
      </c>
      <c r="Z93" s="203"/>
      <c r="AA93" s="203"/>
      <c r="AB93" s="203"/>
      <c r="AC93" s="203"/>
      <c r="AD93" s="203"/>
      <c r="AE93" s="203" t="s">
        <v>66</v>
      </c>
      <c r="AF93" s="203"/>
      <c r="AG93" s="203"/>
      <c r="AH93" s="203"/>
      <c r="AI93" s="203"/>
      <c r="AJ93" s="203"/>
      <c r="AK93" s="203"/>
      <c r="AL93" s="203"/>
      <c r="AM93" s="203" t="s">
        <v>7090</v>
      </c>
      <c r="AN93" s="192"/>
      <c r="AO93" s="192"/>
      <c r="AP93" s="192"/>
      <c r="AQ93" s="192"/>
      <c r="AR93" s="192"/>
      <c r="AS93" s="192"/>
      <c r="AT93" s="192"/>
      <c r="AU93" s="192"/>
      <c r="AV93" s="192"/>
      <c r="AW93" s="192"/>
      <c r="AX93" s="192"/>
      <c r="AY93" s="192"/>
      <c r="AZ93" s="192"/>
      <c r="BA93" s="192"/>
      <c r="BB93" s="192"/>
      <c r="BC93" s="192"/>
      <c r="BD93" s="192"/>
      <c r="BE93" s="192"/>
      <c r="BF93" s="192"/>
      <c r="BG93" s="192"/>
      <c r="BH93" s="192"/>
      <c r="BI93" s="192"/>
      <c r="BJ93" s="192"/>
      <c r="BK93" s="192"/>
      <c r="BL93" s="192"/>
      <c r="BM93" s="192"/>
      <c r="BN93" s="192"/>
      <c r="BO93" s="192"/>
      <c r="BP93" s="192"/>
      <c r="BQ93" s="192"/>
      <c r="BR93" s="192"/>
      <c r="BS93" s="192"/>
      <c r="BT93" s="192"/>
    </row>
    <row r="94" spans="1:72" ht="14.25" customHeight="1" x14ac:dyDescent="0.2">
      <c r="A94" s="278" t="s">
        <v>138</v>
      </c>
      <c r="B94" s="172">
        <v>137</v>
      </c>
      <c r="C94" s="200" t="s">
        <v>5977</v>
      </c>
      <c r="D94" s="214" t="s">
        <v>7845</v>
      </c>
      <c r="F94" s="200" t="s">
        <v>7092</v>
      </c>
      <c r="G94" s="200" t="s">
        <v>7093</v>
      </c>
      <c r="M94" s="9">
        <v>49.453888890000002</v>
      </c>
      <c r="N94" s="9">
        <v>-123.10972219999999</v>
      </c>
      <c r="O94" s="9" t="s">
        <v>51</v>
      </c>
      <c r="P94" s="9" t="s">
        <v>7094</v>
      </c>
      <c r="Q94" s="20">
        <v>2</v>
      </c>
      <c r="R94" s="9" t="s">
        <v>7095</v>
      </c>
      <c r="S94" s="203" t="s">
        <v>3115</v>
      </c>
      <c r="T94" s="192"/>
      <c r="U94" s="252">
        <v>305</v>
      </c>
      <c r="V94" s="203" t="s">
        <v>7096</v>
      </c>
      <c r="W94" s="203">
        <v>1993</v>
      </c>
      <c r="X94" s="203" t="s">
        <v>3117</v>
      </c>
      <c r="Y94" s="203" t="s">
        <v>3118</v>
      </c>
      <c r="Z94" s="203"/>
      <c r="AA94" s="203"/>
      <c r="AB94" s="203"/>
      <c r="AC94" s="203" t="s">
        <v>55</v>
      </c>
      <c r="AD94" s="203" t="s">
        <v>56</v>
      </c>
      <c r="AE94" s="203" t="s">
        <v>7097</v>
      </c>
      <c r="AF94" s="203"/>
      <c r="AG94" s="203"/>
      <c r="AH94" s="203"/>
      <c r="AI94" s="203"/>
      <c r="AJ94" s="203"/>
      <c r="AK94" s="203" t="s">
        <v>73</v>
      </c>
      <c r="AL94" s="203"/>
      <c r="AM94" s="203" t="s">
        <v>7090</v>
      </c>
      <c r="AN94" s="192"/>
      <c r="AO94" s="192"/>
      <c r="AP94" s="192"/>
      <c r="AQ94" s="192"/>
      <c r="AR94" s="192"/>
      <c r="AS94" s="192"/>
      <c r="AT94" s="192"/>
      <c r="AU94" s="192"/>
      <c r="AV94" s="192"/>
      <c r="AW94" s="192"/>
      <c r="AX94" s="192"/>
      <c r="AY94" s="192"/>
      <c r="AZ94" s="192"/>
      <c r="BA94" s="192"/>
      <c r="BB94" s="192"/>
      <c r="BC94" s="192"/>
      <c r="BD94" s="192"/>
      <c r="BE94" s="192"/>
      <c r="BF94" s="192"/>
      <c r="BG94" s="192"/>
      <c r="BH94" s="192"/>
      <c r="BI94" s="192"/>
      <c r="BJ94" s="192"/>
      <c r="BK94" s="192"/>
      <c r="BL94" s="192"/>
      <c r="BM94" s="192"/>
      <c r="BN94" s="192"/>
      <c r="BO94" s="192"/>
      <c r="BP94" s="192"/>
      <c r="BQ94" s="192"/>
      <c r="BR94" s="192"/>
      <c r="BS94" s="192"/>
      <c r="BT94" s="192"/>
    </row>
    <row r="95" spans="1:72" ht="14.25" customHeight="1" x14ac:dyDescent="0.2">
      <c r="A95" s="278" t="s">
        <v>138</v>
      </c>
      <c r="B95" s="172">
        <v>137</v>
      </c>
      <c r="C95" s="200" t="s">
        <v>5977</v>
      </c>
      <c r="D95" s="200" t="s">
        <v>7098</v>
      </c>
      <c r="F95" s="200" t="s">
        <v>7099</v>
      </c>
      <c r="G95" s="200" t="s">
        <v>7100</v>
      </c>
      <c r="M95" s="9">
        <v>49.52</v>
      </c>
      <c r="N95" s="9">
        <v>-123.00388890000001</v>
      </c>
      <c r="O95" s="9" t="s">
        <v>51</v>
      </c>
      <c r="P95" s="9" t="s">
        <v>7101</v>
      </c>
      <c r="Q95" s="20">
        <v>3</v>
      </c>
      <c r="R95" s="9" t="s">
        <v>7102</v>
      </c>
      <c r="S95" s="203" t="s">
        <v>3115</v>
      </c>
      <c r="T95" s="192"/>
      <c r="U95" s="252">
        <v>320</v>
      </c>
      <c r="V95" s="203" t="s">
        <v>7103</v>
      </c>
      <c r="W95" s="203"/>
      <c r="X95" s="203" t="s">
        <v>3117</v>
      </c>
      <c r="Y95" s="203" t="s">
        <v>3118</v>
      </c>
      <c r="Z95" s="203"/>
      <c r="AA95" s="203"/>
      <c r="AB95" s="203"/>
      <c r="AC95" s="203"/>
      <c r="AD95" s="203"/>
      <c r="AE95" s="203" t="s">
        <v>7097</v>
      </c>
      <c r="AF95" s="203"/>
      <c r="AG95" s="203"/>
      <c r="AH95" s="203"/>
      <c r="AI95" s="203"/>
      <c r="AJ95" s="203"/>
      <c r="AK95" s="203"/>
      <c r="AL95" s="203"/>
      <c r="AM95" s="203" t="s">
        <v>7090</v>
      </c>
      <c r="AN95" s="192"/>
      <c r="AO95" s="192"/>
      <c r="AP95" s="192"/>
      <c r="AQ95" s="192"/>
      <c r="AR95" s="192"/>
      <c r="AS95" s="192"/>
      <c r="AT95" s="192"/>
      <c r="AU95" s="192"/>
      <c r="AV95" s="192"/>
      <c r="AW95" s="192"/>
      <c r="AX95" s="192"/>
      <c r="AY95" s="192"/>
      <c r="AZ95" s="192"/>
      <c r="BA95" s="192"/>
      <c r="BB95" s="192"/>
      <c r="BC95" s="192"/>
      <c r="BD95" s="192"/>
      <c r="BE95" s="192"/>
      <c r="BF95" s="192"/>
      <c r="BG95" s="192"/>
      <c r="BH95" s="192"/>
      <c r="BI95" s="192"/>
      <c r="BJ95" s="192"/>
      <c r="BK95" s="192"/>
      <c r="BL95" s="192"/>
      <c r="BM95" s="192"/>
      <c r="BN95" s="192"/>
      <c r="BO95" s="192"/>
      <c r="BP95" s="192"/>
      <c r="BQ95" s="192"/>
      <c r="BR95" s="192"/>
      <c r="BS95" s="192"/>
      <c r="BT95" s="192"/>
    </row>
    <row r="96" spans="1:72" ht="14.25" customHeight="1" x14ac:dyDescent="0.2">
      <c r="A96" s="278" t="s">
        <v>138</v>
      </c>
      <c r="B96" s="172">
        <v>137</v>
      </c>
      <c r="C96" s="200" t="s">
        <v>5977</v>
      </c>
      <c r="D96" s="200" t="s">
        <v>7104</v>
      </c>
      <c r="F96" s="200" t="s">
        <v>7105</v>
      </c>
      <c r="G96" s="200" t="s">
        <v>7106</v>
      </c>
      <c r="M96" s="9">
        <v>49.555</v>
      </c>
      <c r="N96" s="9">
        <v>-122.75916669999999</v>
      </c>
      <c r="O96" s="9" t="s">
        <v>51</v>
      </c>
      <c r="P96" s="9" t="s">
        <v>6707</v>
      </c>
      <c r="Q96" s="20">
        <v>6</v>
      </c>
      <c r="R96" s="9" t="s">
        <v>6708</v>
      </c>
      <c r="S96" s="203" t="s">
        <v>3115</v>
      </c>
      <c r="T96" s="192"/>
      <c r="U96" s="252">
        <v>1050</v>
      </c>
      <c r="V96" s="203" t="s">
        <v>7107</v>
      </c>
      <c r="W96" s="203">
        <v>1993</v>
      </c>
      <c r="X96" s="203" t="s">
        <v>3117</v>
      </c>
      <c r="Y96" s="203" t="s">
        <v>3118</v>
      </c>
      <c r="Z96" s="203"/>
      <c r="AA96" s="203"/>
      <c r="AB96" s="203"/>
      <c r="AC96" s="203" t="s">
        <v>55</v>
      </c>
      <c r="AD96" s="203" t="s">
        <v>56</v>
      </c>
      <c r="AE96" s="203" t="s">
        <v>7097</v>
      </c>
      <c r="AF96" s="203" t="s">
        <v>58</v>
      </c>
      <c r="AG96" s="203"/>
      <c r="AH96" s="203" t="s">
        <v>3119</v>
      </c>
      <c r="AI96" s="203"/>
      <c r="AJ96" s="203"/>
      <c r="AK96" s="203" t="s">
        <v>73</v>
      </c>
      <c r="AL96" s="203"/>
      <c r="AM96" s="203"/>
      <c r="AN96" s="192"/>
      <c r="AO96" s="192"/>
      <c r="AP96" s="192"/>
      <c r="AQ96" s="192"/>
      <c r="AR96" s="192"/>
      <c r="AS96" s="192"/>
      <c r="AT96" s="192"/>
      <c r="AU96" s="192"/>
      <c r="AV96" s="192"/>
      <c r="AW96" s="192"/>
      <c r="AX96" s="192"/>
      <c r="AY96" s="192"/>
      <c r="AZ96" s="192"/>
      <c r="BA96" s="192"/>
      <c r="BB96" s="192"/>
      <c r="BC96" s="192"/>
      <c r="BD96" s="192"/>
      <c r="BE96" s="192"/>
      <c r="BF96" s="192"/>
      <c r="BG96" s="192"/>
      <c r="BH96" s="192"/>
      <c r="BI96" s="192"/>
      <c r="BJ96" s="192"/>
      <c r="BK96" s="192"/>
      <c r="BL96" s="192"/>
      <c r="BM96" s="192"/>
      <c r="BN96" s="192"/>
      <c r="BO96" s="192"/>
      <c r="BP96" s="192"/>
      <c r="BQ96" s="192"/>
      <c r="BR96" s="192"/>
      <c r="BS96" s="192"/>
      <c r="BT96" s="192"/>
    </row>
    <row r="97" spans="1:72" ht="14.25" customHeight="1" x14ac:dyDescent="0.2">
      <c r="A97" s="278" t="s">
        <v>138</v>
      </c>
      <c r="B97" s="172">
        <v>137</v>
      </c>
      <c r="C97" s="200" t="s">
        <v>5977</v>
      </c>
      <c r="D97" s="200" t="s">
        <v>7108</v>
      </c>
      <c r="F97" s="200" t="s">
        <v>7109</v>
      </c>
      <c r="G97" s="200" t="s">
        <v>7110</v>
      </c>
      <c r="M97" s="9">
        <v>49.454444440000003</v>
      </c>
      <c r="N97" s="9">
        <v>-123.0316667</v>
      </c>
      <c r="O97" s="9" t="s">
        <v>51</v>
      </c>
      <c r="P97" s="9" t="s">
        <v>7111</v>
      </c>
      <c r="Q97" s="20">
        <v>5</v>
      </c>
      <c r="R97" s="9" t="s">
        <v>7112</v>
      </c>
      <c r="S97" s="203" t="s">
        <v>3115</v>
      </c>
      <c r="T97" s="192"/>
      <c r="U97" s="252">
        <v>900</v>
      </c>
      <c r="V97" s="203" t="s">
        <v>7113</v>
      </c>
      <c r="W97" s="203">
        <v>1993</v>
      </c>
      <c r="X97" s="203" t="s">
        <v>3117</v>
      </c>
      <c r="Y97" s="203" t="s">
        <v>3118</v>
      </c>
      <c r="Z97" s="9"/>
      <c r="AA97" s="9"/>
      <c r="AB97" s="9"/>
      <c r="AC97" s="9" t="s">
        <v>55</v>
      </c>
      <c r="AD97" s="203" t="s">
        <v>56</v>
      </c>
      <c r="AE97" s="203" t="s">
        <v>7114</v>
      </c>
      <c r="AF97" s="203" t="s">
        <v>58</v>
      </c>
      <c r="AG97" s="203" t="s">
        <v>7115</v>
      </c>
      <c r="AH97" s="203" t="s">
        <v>3119</v>
      </c>
      <c r="AI97" s="203"/>
      <c r="AJ97" s="203" t="s">
        <v>7116</v>
      </c>
      <c r="AK97" s="203"/>
      <c r="AL97" s="203"/>
      <c r="AM97" s="203"/>
      <c r="AN97" s="192"/>
      <c r="AO97" s="192"/>
      <c r="AP97" s="192"/>
      <c r="AQ97" s="192"/>
      <c r="AR97" s="192"/>
      <c r="AS97" s="192"/>
      <c r="AT97" s="192"/>
      <c r="AU97" s="192"/>
      <c r="AV97" s="192"/>
      <c r="AW97" s="192"/>
      <c r="AX97" s="192"/>
      <c r="AY97" s="192"/>
      <c r="AZ97" s="192"/>
      <c r="BA97" s="192"/>
      <c r="BB97" s="192"/>
      <c r="BC97" s="192"/>
      <c r="BD97" s="192"/>
      <c r="BE97" s="192"/>
      <c r="BF97" s="192"/>
      <c r="BG97" s="192"/>
      <c r="BH97" s="192"/>
      <c r="BI97" s="192"/>
      <c r="BJ97" s="192"/>
      <c r="BK97" s="192"/>
      <c r="BL97" s="192"/>
      <c r="BM97" s="192"/>
      <c r="BN97" s="192"/>
      <c r="BO97" s="192"/>
      <c r="BP97" s="192"/>
      <c r="BQ97" s="192"/>
      <c r="BR97" s="192"/>
      <c r="BS97" s="192"/>
      <c r="BT97" s="192"/>
    </row>
    <row r="98" spans="1:72" ht="14.25" customHeight="1" x14ac:dyDescent="0.2">
      <c r="A98" s="278" t="s">
        <v>138</v>
      </c>
      <c r="B98" s="172">
        <v>137</v>
      </c>
      <c r="C98" s="200" t="s">
        <v>5977</v>
      </c>
      <c r="D98" s="200" t="s">
        <v>7117</v>
      </c>
      <c r="F98" s="200" t="s">
        <v>7118</v>
      </c>
      <c r="G98" s="200" t="s">
        <v>7119</v>
      </c>
      <c r="M98" s="9">
        <v>49.53611111</v>
      </c>
      <c r="N98" s="9">
        <v>-123.05</v>
      </c>
      <c r="O98" s="9" t="s">
        <v>51</v>
      </c>
      <c r="P98" s="9" t="s">
        <v>7120</v>
      </c>
      <c r="Q98" s="20">
        <v>6</v>
      </c>
      <c r="R98" s="9" t="s">
        <v>7121</v>
      </c>
      <c r="S98" s="203" t="s">
        <v>3115</v>
      </c>
      <c r="T98" s="192"/>
      <c r="U98" s="252">
        <v>1180</v>
      </c>
      <c r="V98" s="203" t="s">
        <v>7122</v>
      </c>
      <c r="W98" s="203">
        <v>1972</v>
      </c>
      <c r="X98" s="203" t="s">
        <v>3117</v>
      </c>
      <c r="Y98" s="203" t="s">
        <v>3118</v>
      </c>
      <c r="Z98" s="203"/>
      <c r="AA98" s="203"/>
      <c r="AB98" s="203"/>
      <c r="AC98" s="203" t="s">
        <v>55</v>
      </c>
      <c r="AD98" s="203" t="s">
        <v>56</v>
      </c>
      <c r="AE98" s="203" t="s">
        <v>7097</v>
      </c>
      <c r="AF98" s="203" t="s">
        <v>58</v>
      </c>
      <c r="AG98" s="203" t="s">
        <v>7115</v>
      </c>
      <c r="AH98" s="203" t="s">
        <v>3119</v>
      </c>
      <c r="AI98" s="203"/>
      <c r="AJ98" s="203" t="s">
        <v>59</v>
      </c>
      <c r="AK98" s="203" t="s">
        <v>73</v>
      </c>
      <c r="AL98" s="203"/>
      <c r="AM98" s="203"/>
      <c r="AN98" s="192"/>
      <c r="AO98" s="192"/>
      <c r="AP98" s="192"/>
      <c r="AQ98" s="192"/>
      <c r="AR98" s="192"/>
      <c r="AS98" s="192"/>
      <c r="AT98" s="192"/>
      <c r="AU98" s="192"/>
      <c r="AV98" s="192"/>
      <c r="AW98" s="192"/>
      <c r="AX98" s="192"/>
      <c r="AY98" s="192"/>
      <c r="AZ98" s="192"/>
      <c r="BA98" s="192"/>
      <c r="BB98" s="192"/>
      <c r="BC98" s="192"/>
      <c r="BD98" s="192"/>
      <c r="BE98" s="192"/>
      <c r="BF98" s="192"/>
      <c r="BG98" s="192"/>
      <c r="BH98" s="192"/>
      <c r="BI98" s="192"/>
      <c r="BJ98" s="192"/>
      <c r="BK98" s="192"/>
      <c r="BL98" s="192"/>
      <c r="BM98" s="192"/>
      <c r="BN98" s="192"/>
      <c r="BO98" s="192"/>
      <c r="BP98" s="192"/>
      <c r="BQ98" s="192"/>
      <c r="BR98" s="192"/>
      <c r="BS98" s="192"/>
      <c r="BT98" s="192"/>
    </row>
    <row r="99" spans="1:72" ht="14.25" customHeight="1" x14ac:dyDescent="0.2">
      <c r="A99" s="278" t="s">
        <v>138</v>
      </c>
      <c r="B99" s="172">
        <v>137</v>
      </c>
      <c r="C99" s="200" t="s">
        <v>5977</v>
      </c>
      <c r="D99" s="200" t="s">
        <v>7123</v>
      </c>
      <c r="F99" s="200" t="s">
        <v>7124</v>
      </c>
      <c r="G99" s="200" t="s">
        <v>7125</v>
      </c>
      <c r="M99" s="9">
        <v>49.592329999999997</v>
      </c>
      <c r="N99" s="9">
        <v>-123.04145</v>
      </c>
      <c r="O99" s="9" t="s">
        <v>51</v>
      </c>
      <c r="P99" s="9" t="s">
        <v>7126</v>
      </c>
      <c r="Q99" s="20">
        <v>6</v>
      </c>
      <c r="R99" s="9" t="s">
        <v>7127</v>
      </c>
      <c r="S99" s="203" t="s">
        <v>3115</v>
      </c>
      <c r="T99" s="192"/>
      <c r="U99" s="252">
        <v>1065</v>
      </c>
      <c r="V99" s="203" t="s">
        <v>7128</v>
      </c>
      <c r="W99" s="203">
        <v>2019</v>
      </c>
      <c r="X99" s="203" t="s">
        <v>3117</v>
      </c>
      <c r="Y99" s="203" t="s">
        <v>3118</v>
      </c>
      <c r="Z99" s="9"/>
      <c r="AA99" s="9"/>
      <c r="AB99" s="9"/>
      <c r="AC99" s="9" t="s">
        <v>55</v>
      </c>
      <c r="AD99" s="203" t="s">
        <v>56</v>
      </c>
      <c r="AE99" s="203"/>
      <c r="AF99" s="203" t="s">
        <v>58</v>
      </c>
      <c r="AG99" s="203"/>
      <c r="AH99" s="203" t="s">
        <v>3119</v>
      </c>
      <c r="AI99" s="203"/>
      <c r="AJ99" s="203" t="s">
        <v>7116</v>
      </c>
      <c r="AK99" s="203"/>
      <c r="AL99" s="203"/>
      <c r="AM99" s="203"/>
      <c r="AN99" s="192"/>
      <c r="AO99" s="192"/>
      <c r="AP99" s="192"/>
      <c r="AQ99" s="192"/>
      <c r="AR99" s="192"/>
      <c r="AS99" s="192"/>
      <c r="AT99" s="192"/>
      <c r="AU99" s="192"/>
      <c r="AV99" s="192"/>
      <c r="AW99" s="192"/>
      <c r="AX99" s="192"/>
      <c r="AY99" s="192"/>
      <c r="AZ99" s="192"/>
      <c r="BA99" s="192"/>
      <c r="BB99" s="192"/>
      <c r="BC99" s="192"/>
      <c r="BD99" s="192"/>
      <c r="BE99" s="192"/>
      <c r="BF99" s="192"/>
      <c r="BG99" s="192"/>
      <c r="BH99" s="192"/>
      <c r="BI99" s="192"/>
      <c r="BJ99" s="192"/>
      <c r="BK99" s="192"/>
      <c r="BL99" s="192"/>
      <c r="BM99" s="192"/>
      <c r="BN99" s="192"/>
      <c r="BO99" s="192"/>
      <c r="BP99" s="192"/>
      <c r="BQ99" s="192"/>
      <c r="BR99" s="192"/>
      <c r="BS99" s="192"/>
      <c r="BT99" s="192"/>
    </row>
    <row r="100" spans="1:72" ht="14.25" customHeight="1" x14ac:dyDescent="0.2">
      <c r="A100" s="278" t="s">
        <v>138</v>
      </c>
      <c r="B100" s="172">
        <v>137</v>
      </c>
      <c r="C100" s="200" t="s">
        <v>5977</v>
      </c>
      <c r="D100" s="200" t="s">
        <v>7129</v>
      </c>
      <c r="F100" s="200" t="s">
        <v>7130</v>
      </c>
      <c r="G100" s="200" t="s">
        <v>7131</v>
      </c>
      <c r="M100" s="9">
        <v>49.380833330000002</v>
      </c>
      <c r="N100" s="9">
        <v>-122.77666670000001</v>
      </c>
      <c r="O100" s="9" t="s">
        <v>51</v>
      </c>
      <c r="P100" s="9" t="s">
        <v>7132</v>
      </c>
      <c r="Q100" s="20">
        <v>2</v>
      </c>
      <c r="R100" s="9" t="s">
        <v>7133</v>
      </c>
      <c r="S100" s="203" t="s">
        <v>3115</v>
      </c>
      <c r="T100" s="192"/>
      <c r="U100" s="252">
        <v>150</v>
      </c>
      <c r="V100" s="203" t="s">
        <v>7134</v>
      </c>
      <c r="W100" s="203">
        <v>2000</v>
      </c>
      <c r="X100" s="203" t="s">
        <v>3117</v>
      </c>
      <c r="Y100" s="203" t="s">
        <v>3118</v>
      </c>
      <c r="Z100" s="203"/>
      <c r="AA100" s="203"/>
      <c r="AB100" s="203"/>
      <c r="AC100" s="203"/>
      <c r="AD100" s="203"/>
      <c r="AE100" s="203" t="s">
        <v>7097</v>
      </c>
      <c r="AF100" s="203"/>
      <c r="AG100" s="203"/>
      <c r="AH100" s="203"/>
      <c r="AI100" s="203"/>
      <c r="AJ100" s="203"/>
      <c r="AK100" s="203"/>
      <c r="AL100" s="203"/>
      <c r="AM100" s="203" t="s">
        <v>7090</v>
      </c>
      <c r="AN100" s="192"/>
      <c r="AO100" s="192"/>
      <c r="AP100" s="192"/>
      <c r="AQ100" s="192"/>
      <c r="AR100" s="192"/>
      <c r="AS100" s="192"/>
      <c r="AT100" s="192"/>
      <c r="AU100" s="192"/>
      <c r="AV100" s="192"/>
      <c r="AW100" s="192"/>
      <c r="AX100" s="192"/>
      <c r="AY100" s="192"/>
      <c r="AZ100" s="192"/>
      <c r="BA100" s="192"/>
      <c r="BB100" s="192"/>
      <c r="BC100" s="192"/>
      <c r="BD100" s="192"/>
      <c r="BE100" s="192"/>
      <c r="BF100" s="192"/>
      <c r="BG100" s="192"/>
      <c r="BH100" s="192"/>
      <c r="BI100" s="192"/>
      <c r="BJ100" s="192"/>
      <c r="BK100" s="192"/>
      <c r="BL100" s="192"/>
      <c r="BM100" s="192"/>
      <c r="BN100" s="192"/>
      <c r="BO100" s="192"/>
      <c r="BP100" s="192"/>
      <c r="BQ100" s="192"/>
      <c r="BR100" s="192"/>
      <c r="BS100" s="192"/>
      <c r="BT100" s="192"/>
    </row>
    <row r="101" spans="1:72" ht="14.25" customHeight="1" x14ac:dyDescent="0.2">
      <c r="A101" s="181" t="s">
        <v>138</v>
      </c>
      <c r="B101" s="138"/>
      <c r="C101" s="199" t="s">
        <v>7136</v>
      </c>
      <c r="D101" s="205" t="str">
        <f>CONCATENATE("'-&gt; ",P101)</f>
        <v>'-&gt; Seebach</v>
      </c>
      <c r="E101" s="135"/>
      <c r="F101" s="205" t="str">
        <f>CONCATENATE("'-&gt; ",R101)</f>
        <v>'-&gt; SeebachWx</v>
      </c>
      <c r="G101" s="205" t="str">
        <f>CONCATENATE("'-&gt; ",-1*N101," W, ",M101," N, Elev. ",U101," m")</f>
        <v>'-&gt; -122.058 W, 54.355 N, Elev. 780 m</v>
      </c>
      <c r="H101" s="135"/>
      <c r="I101" s="135"/>
      <c r="J101" s="135"/>
      <c r="K101" s="135"/>
      <c r="L101" s="135"/>
      <c r="M101" s="138">
        <v>54.354999999999997</v>
      </c>
      <c r="N101" s="138">
        <v>122.05800000000001</v>
      </c>
      <c r="O101" s="138" t="s">
        <v>1290</v>
      </c>
      <c r="P101" s="138" t="s">
        <v>7463</v>
      </c>
      <c r="Q101" s="139">
        <v>2</v>
      </c>
      <c r="R101" s="138" t="s">
        <v>7464</v>
      </c>
      <c r="S101" s="250" t="str">
        <f>UPPER(R101)</f>
        <v>SEEBACHWX</v>
      </c>
      <c r="T101" s="220" t="s">
        <v>4344</v>
      </c>
      <c r="U101" s="322">
        <v>780</v>
      </c>
      <c r="V101" s="220"/>
      <c r="W101" s="220" t="s">
        <v>7465</v>
      </c>
      <c r="X101" s="259" t="s">
        <v>7466</v>
      </c>
      <c r="Y101" s="220" t="s">
        <v>7252</v>
      </c>
      <c r="Z101" s="289"/>
      <c r="AA101" s="289"/>
      <c r="AB101" s="289"/>
      <c r="AC101" s="289"/>
      <c r="AD101" s="289"/>
      <c r="AE101" s="289"/>
      <c r="AF101" s="289"/>
      <c r="AG101" s="289"/>
      <c r="AH101" s="289"/>
      <c r="AI101" s="289"/>
      <c r="AJ101" s="289"/>
      <c r="AK101" s="289"/>
      <c r="AL101" s="289"/>
      <c r="AM101" s="289"/>
      <c r="AN101" s="289"/>
      <c r="AO101" s="289"/>
      <c r="AP101" s="289"/>
      <c r="AQ101" s="289"/>
      <c r="AR101" s="289"/>
      <c r="AS101" s="289"/>
      <c r="AT101" s="289"/>
      <c r="AU101" s="289"/>
      <c r="AV101" s="289"/>
      <c r="AW101" s="289"/>
      <c r="AX101" s="289"/>
      <c r="AY101" s="289"/>
      <c r="AZ101" s="289"/>
      <c r="BA101" s="289"/>
      <c r="BB101" s="192"/>
      <c r="BC101" s="192"/>
      <c r="BD101" s="192"/>
      <c r="BE101" s="192"/>
      <c r="BF101" s="192"/>
      <c r="BG101" s="192"/>
      <c r="BH101" s="192"/>
      <c r="BI101" s="192"/>
      <c r="BJ101" s="192"/>
      <c r="BK101" s="192"/>
      <c r="BL101" s="192"/>
      <c r="BM101" s="192"/>
      <c r="BN101" s="192"/>
      <c r="BO101" s="192"/>
      <c r="BP101" s="192"/>
      <c r="BQ101" s="192"/>
      <c r="BR101" s="192"/>
      <c r="BS101" s="192"/>
      <c r="BT101" s="192"/>
    </row>
    <row r="102" spans="1:72" ht="14.25" customHeight="1" x14ac:dyDescent="0.2">
      <c r="A102" s="278" t="s">
        <v>328</v>
      </c>
      <c r="B102" s="4">
        <v>10</v>
      </c>
      <c r="C102" s="200" t="s">
        <v>139</v>
      </c>
      <c r="D102" s="8" t="s">
        <v>329</v>
      </c>
      <c r="E102" s="8"/>
      <c r="F102" s="10" t="s">
        <v>330</v>
      </c>
      <c r="G102" s="8" t="str">
        <f t="shared" ref="G102:G121" si="2">CONCATENATE("-&gt; ",-1*AF102," W, ",AE102," N, Elev. ",AG102," m")</f>
        <v>-&gt; 119.384 W, 49.8767 N, Elev. 468 m</v>
      </c>
      <c r="H102" s="192"/>
      <c r="I102" s="192"/>
      <c r="J102" s="192"/>
      <c r="K102" s="192"/>
      <c r="L102" s="192"/>
      <c r="M102" s="11">
        <v>49.8767</v>
      </c>
      <c r="N102" s="11">
        <v>-119.384</v>
      </c>
      <c r="O102" s="11" t="s">
        <v>142</v>
      </c>
      <c r="P102" s="11" t="s">
        <v>331</v>
      </c>
      <c r="Q102" s="12">
        <v>1</v>
      </c>
      <c r="R102" s="201" t="s">
        <v>332</v>
      </c>
      <c r="S102" s="232" t="s">
        <v>145</v>
      </c>
      <c r="T102" s="192"/>
      <c r="U102" s="321">
        <v>468</v>
      </c>
      <c r="V102" s="192"/>
      <c r="W102" s="192"/>
      <c r="X102" s="192"/>
      <c r="Y102" s="192"/>
      <c r="Z102" s="192"/>
      <c r="AA102" s="192"/>
      <c r="AB102" s="192"/>
      <c r="AC102" s="192"/>
      <c r="AD102" s="192"/>
      <c r="AE102" s="8">
        <v>49.8767</v>
      </c>
      <c r="AF102" s="8">
        <v>-119.384</v>
      </c>
      <c r="AG102" s="8">
        <v>468</v>
      </c>
      <c r="AH102" s="192"/>
      <c r="AI102" s="192"/>
      <c r="AJ102" s="192"/>
      <c r="AK102" s="192"/>
      <c r="AL102" s="192"/>
      <c r="AM102" s="192"/>
      <c r="AN102" s="192"/>
      <c r="AO102" s="192"/>
      <c r="AP102" s="192"/>
      <c r="AQ102" s="192"/>
      <c r="AR102" s="192"/>
      <c r="AS102" s="192"/>
      <c r="AT102" s="192"/>
      <c r="AU102" s="192"/>
      <c r="AV102" s="192"/>
      <c r="AW102" s="192"/>
      <c r="AX102" s="192"/>
      <c r="AY102" s="192"/>
      <c r="AZ102" s="192"/>
      <c r="BA102" s="192"/>
      <c r="BB102" s="192"/>
      <c r="BC102" s="192"/>
      <c r="BD102" s="192"/>
      <c r="BE102" s="192"/>
      <c r="BF102" s="192"/>
      <c r="BG102" s="192"/>
      <c r="BH102" s="192"/>
      <c r="BI102" s="192"/>
      <c r="BJ102" s="192"/>
      <c r="BK102" s="192"/>
      <c r="BL102" s="192"/>
      <c r="BM102" s="192"/>
      <c r="BN102" s="192"/>
      <c r="BO102" s="192"/>
      <c r="BP102" s="192"/>
      <c r="BQ102" s="192"/>
      <c r="BR102" s="192"/>
      <c r="BS102" s="192"/>
      <c r="BT102" s="192"/>
    </row>
    <row r="103" spans="1:72" ht="14.25" customHeight="1" x14ac:dyDescent="0.2">
      <c r="A103" s="145" t="s">
        <v>328</v>
      </c>
      <c r="B103" s="4">
        <v>10</v>
      </c>
      <c r="C103" s="200" t="s">
        <v>139</v>
      </c>
      <c r="D103" s="201" t="s">
        <v>333</v>
      </c>
      <c r="E103" s="201"/>
      <c r="F103" s="200" t="s">
        <v>334</v>
      </c>
      <c r="G103" s="201" t="str">
        <f t="shared" si="2"/>
        <v>-&gt; 119.4491 W, 49.872 N, Elev. 357 m</v>
      </c>
      <c r="M103" s="11">
        <v>49.872</v>
      </c>
      <c r="N103" s="11">
        <v>-119.4491</v>
      </c>
      <c r="O103" s="11" t="s">
        <v>142</v>
      </c>
      <c r="P103" s="11" t="s">
        <v>335</v>
      </c>
      <c r="Q103" s="12">
        <v>1</v>
      </c>
      <c r="R103" s="11" t="s">
        <v>336</v>
      </c>
      <c r="S103" s="11" t="s">
        <v>145</v>
      </c>
      <c r="U103" s="175">
        <v>357</v>
      </c>
      <c r="AE103" s="201">
        <v>49.872</v>
      </c>
      <c r="AF103" s="201">
        <v>-119.4491</v>
      </c>
      <c r="AG103" s="201">
        <v>357</v>
      </c>
    </row>
    <row r="104" spans="1:72" ht="14.25" customHeight="1" x14ac:dyDescent="0.2">
      <c r="A104" s="145" t="s">
        <v>328</v>
      </c>
      <c r="B104" s="4">
        <v>10</v>
      </c>
      <c r="C104" s="200" t="s">
        <v>139</v>
      </c>
      <c r="D104" s="200" t="s">
        <v>337</v>
      </c>
      <c r="E104" s="201"/>
      <c r="F104" s="200" t="s">
        <v>338</v>
      </c>
      <c r="G104" s="201" t="str">
        <f t="shared" si="2"/>
        <v>-&gt; 118.869 W, 50.248 N, Elev. 580 m</v>
      </c>
      <c r="M104" s="201">
        <v>50.247999999999998</v>
      </c>
      <c r="N104" s="201">
        <v>-118.87</v>
      </c>
      <c r="O104" s="201"/>
      <c r="P104" s="201" t="s">
        <v>339</v>
      </c>
      <c r="Q104" s="247"/>
      <c r="R104" s="201" t="s">
        <v>340</v>
      </c>
      <c r="S104" s="201" t="s">
        <v>145</v>
      </c>
      <c r="U104" s="253">
        <v>580</v>
      </c>
      <c r="AE104" s="201">
        <v>50.247999999999998</v>
      </c>
      <c r="AF104" s="201">
        <v>-118.869</v>
      </c>
      <c r="AG104" s="201">
        <v>580</v>
      </c>
    </row>
    <row r="105" spans="1:72" ht="14.25" customHeight="1" x14ac:dyDescent="0.2">
      <c r="A105" s="145" t="s">
        <v>328</v>
      </c>
      <c r="B105" s="4">
        <v>10</v>
      </c>
      <c r="C105" s="200" t="s">
        <v>139</v>
      </c>
      <c r="D105" s="201" t="s">
        <v>341</v>
      </c>
      <c r="E105" s="201"/>
      <c r="F105" s="200" t="s">
        <v>342</v>
      </c>
      <c r="G105" s="201" t="str">
        <f t="shared" si="2"/>
        <v>-&gt; 122.986 W, 49.0791 N, Elev. 8 m</v>
      </c>
      <c r="M105" s="11">
        <v>49.079099999999997</v>
      </c>
      <c r="N105" s="11">
        <v>-122.986</v>
      </c>
      <c r="O105" s="11" t="s">
        <v>183</v>
      </c>
      <c r="P105" s="11" t="s">
        <v>343</v>
      </c>
      <c r="Q105" s="12">
        <v>1</v>
      </c>
      <c r="R105" s="11" t="s">
        <v>344</v>
      </c>
      <c r="S105" s="11" t="s">
        <v>145</v>
      </c>
      <c r="U105" s="175">
        <v>8</v>
      </c>
      <c r="AE105" s="201">
        <v>49.079099999999997</v>
      </c>
      <c r="AF105" s="201">
        <v>-122.986</v>
      </c>
      <c r="AG105" s="201">
        <v>8</v>
      </c>
    </row>
    <row r="106" spans="1:72" ht="14.25" customHeight="1" x14ac:dyDescent="0.2">
      <c r="A106" s="145" t="s">
        <v>328</v>
      </c>
      <c r="B106" s="4">
        <v>10</v>
      </c>
      <c r="C106" s="200" t="s">
        <v>139</v>
      </c>
      <c r="D106" s="201" t="s">
        <v>345</v>
      </c>
      <c r="E106" s="201"/>
      <c r="F106" s="200" t="s">
        <v>346</v>
      </c>
      <c r="G106" s="201" t="str">
        <f t="shared" si="2"/>
        <v>-&gt; 119.7442 W, 49.1851 N, Elev. 421 m</v>
      </c>
      <c r="M106" s="11">
        <v>49.185099999999998</v>
      </c>
      <c r="N106" s="11">
        <v>-119.74420000000001</v>
      </c>
      <c r="O106" s="11" t="s">
        <v>142</v>
      </c>
      <c r="P106" s="11" t="s">
        <v>347</v>
      </c>
      <c r="Q106" s="12">
        <v>1</v>
      </c>
      <c r="R106" s="11" t="s">
        <v>348</v>
      </c>
      <c r="S106" s="11" t="s">
        <v>145</v>
      </c>
      <c r="U106" s="175">
        <v>421</v>
      </c>
      <c r="AE106" s="201">
        <v>49.185099999999998</v>
      </c>
      <c r="AF106" s="201">
        <v>-119.74420000000001</v>
      </c>
      <c r="AG106" s="201">
        <v>421</v>
      </c>
    </row>
    <row r="107" spans="1:72" ht="14.25" customHeight="1" x14ac:dyDescent="0.2">
      <c r="A107" s="145" t="s">
        <v>349</v>
      </c>
      <c r="B107" s="4">
        <v>10</v>
      </c>
      <c r="C107" s="200" t="s">
        <v>139</v>
      </c>
      <c r="D107" s="201" t="s">
        <v>350</v>
      </c>
      <c r="E107" s="201"/>
      <c r="F107" s="200" t="s">
        <v>351</v>
      </c>
      <c r="G107" s="201" t="str">
        <f t="shared" si="2"/>
        <v>-&gt; 116.5674 W, 49.0418 N, Elev. 536 m</v>
      </c>
      <c r="M107" s="11">
        <v>49.041800000000002</v>
      </c>
      <c r="N107" s="11">
        <v>-116.56740000000001</v>
      </c>
      <c r="O107" s="11" t="s">
        <v>170</v>
      </c>
      <c r="P107" s="11" t="s">
        <v>352</v>
      </c>
      <c r="Q107" s="12">
        <v>1</v>
      </c>
      <c r="R107" s="11" t="s">
        <v>353</v>
      </c>
      <c r="S107" s="11" t="s">
        <v>145</v>
      </c>
      <c r="U107" s="175">
        <v>536</v>
      </c>
      <c r="AE107" s="201">
        <v>49.041800000000002</v>
      </c>
      <c r="AF107" s="201">
        <v>-116.56740000000001</v>
      </c>
      <c r="AG107" s="201">
        <v>536</v>
      </c>
    </row>
    <row r="108" spans="1:72" ht="14.25" customHeight="1" x14ac:dyDescent="0.2">
      <c r="A108" s="145" t="s">
        <v>328</v>
      </c>
      <c r="B108" s="4">
        <v>10</v>
      </c>
      <c r="C108" s="200" t="s">
        <v>139</v>
      </c>
      <c r="D108" s="201" t="s">
        <v>354</v>
      </c>
      <c r="E108" s="201"/>
      <c r="F108" s="200" t="s">
        <v>355</v>
      </c>
      <c r="G108" s="201" t="str">
        <f t="shared" si="2"/>
        <v>-&gt; 120.038 W, 56.0888 N, Elev. 606 m</v>
      </c>
      <c r="M108" s="11">
        <v>56.088799999999999</v>
      </c>
      <c r="N108" s="11">
        <v>-120.038</v>
      </c>
      <c r="O108" s="11" t="s">
        <v>153</v>
      </c>
      <c r="P108" s="11" t="s">
        <v>356</v>
      </c>
      <c r="Q108" s="12">
        <v>1</v>
      </c>
      <c r="R108" s="11" t="s">
        <v>357</v>
      </c>
      <c r="S108" s="11" t="s">
        <v>145</v>
      </c>
      <c r="U108" s="175">
        <v>606</v>
      </c>
      <c r="AE108" s="201">
        <v>56.088799999999999</v>
      </c>
      <c r="AF108" s="201">
        <v>-120.038</v>
      </c>
      <c r="AG108" s="201">
        <v>606</v>
      </c>
    </row>
    <row r="109" spans="1:72" ht="14.25" customHeight="1" x14ac:dyDescent="0.2">
      <c r="A109" s="145" t="s">
        <v>328</v>
      </c>
      <c r="B109" s="4">
        <v>10</v>
      </c>
      <c r="C109" s="200" t="s">
        <v>139</v>
      </c>
      <c r="D109" s="201" t="s">
        <v>358</v>
      </c>
      <c r="E109" s="201"/>
      <c r="F109" s="200" t="s">
        <v>359</v>
      </c>
      <c r="G109" s="201" t="str">
        <f t="shared" si="2"/>
        <v>-&gt; 119.4201 W, 49.8654 N, Elev. 434 m</v>
      </c>
      <c r="M109" s="11">
        <v>49.865400000000001</v>
      </c>
      <c r="N109" s="11">
        <v>-119.42010000000001</v>
      </c>
      <c r="O109" s="11" t="s">
        <v>142</v>
      </c>
      <c r="P109" s="224" t="s">
        <v>360</v>
      </c>
      <c r="Q109" s="12">
        <v>1</v>
      </c>
      <c r="R109" s="11" t="s">
        <v>361</v>
      </c>
      <c r="S109" s="11" t="s">
        <v>145</v>
      </c>
      <c r="U109" s="175">
        <v>434</v>
      </c>
      <c r="AE109" s="201">
        <v>49.865400000000001</v>
      </c>
      <c r="AF109" s="201">
        <v>-119.42010000000001</v>
      </c>
      <c r="AG109" s="201">
        <v>434</v>
      </c>
    </row>
    <row r="110" spans="1:72" ht="14.25" customHeight="1" x14ac:dyDescent="0.2">
      <c r="A110" s="145" t="s">
        <v>328</v>
      </c>
      <c r="B110" s="4">
        <v>10</v>
      </c>
      <c r="C110" s="200" t="s">
        <v>139</v>
      </c>
      <c r="D110" s="201" t="s">
        <v>362</v>
      </c>
      <c r="E110" s="201"/>
      <c r="F110" s="200" t="s">
        <v>363</v>
      </c>
      <c r="G110" s="201" t="str">
        <f t="shared" si="2"/>
        <v>-&gt; 119.3652 W, 49.9508 N, Elev. 436 m</v>
      </c>
      <c r="M110" s="11">
        <v>49.950800000000001</v>
      </c>
      <c r="N110" s="11">
        <v>-119.3652</v>
      </c>
      <c r="O110" s="11" t="s">
        <v>142</v>
      </c>
      <c r="P110" s="11" t="s">
        <v>364</v>
      </c>
      <c r="Q110" s="12">
        <v>1</v>
      </c>
      <c r="R110" s="11" t="s">
        <v>365</v>
      </c>
      <c r="S110" s="11" t="s">
        <v>145</v>
      </c>
      <c r="U110" s="175">
        <v>436</v>
      </c>
      <c r="AE110" s="201">
        <v>49.950800000000001</v>
      </c>
      <c r="AF110" s="201">
        <v>-119.3652</v>
      </c>
      <c r="AG110" s="201">
        <v>436</v>
      </c>
    </row>
    <row r="111" spans="1:72" ht="14.25" customHeight="1" x14ac:dyDescent="0.2">
      <c r="A111" s="145" t="s">
        <v>328</v>
      </c>
      <c r="B111" s="4">
        <v>10</v>
      </c>
      <c r="C111" s="200" t="s">
        <v>139</v>
      </c>
      <c r="D111" s="201" t="s">
        <v>374</v>
      </c>
      <c r="E111" s="201"/>
      <c r="F111" s="200" t="s">
        <v>375</v>
      </c>
      <c r="G111" s="201" t="str">
        <f t="shared" si="2"/>
        <v>-&gt; 120.183 W, 56.3335 N, Elev. 676 m</v>
      </c>
      <c r="M111" s="11">
        <v>56.333500000000001</v>
      </c>
      <c r="N111" s="11">
        <v>-120.18300000000001</v>
      </c>
      <c r="O111" s="11" t="s">
        <v>153</v>
      </c>
      <c r="P111" s="11" t="s">
        <v>376</v>
      </c>
      <c r="Q111" s="12">
        <v>2</v>
      </c>
      <c r="R111" s="11" t="s">
        <v>377</v>
      </c>
      <c r="S111" s="11" t="s">
        <v>145</v>
      </c>
      <c r="U111" s="175">
        <v>676</v>
      </c>
      <c r="AE111" s="201">
        <v>56.333500000000001</v>
      </c>
      <c r="AF111" s="201">
        <v>-120.18300000000001</v>
      </c>
      <c r="AG111" s="201">
        <v>676</v>
      </c>
    </row>
    <row r="112" spans="1:72" ht="14.25" customHeight="1" x14ac:dyDescent="0.2">
      <c r="A112" s="145" t="s">
        <v>328</v>
      </c>
      <c r="B112" s="4">
        <v>10</v>
      </c>
      <c r="C112" s="200" t="s">
        <v>139</v>
      </c>
      <c r="D112" s="201" t="s">
        <v>378</v>
      </c>
      <c r="E112" s="201"/>
      <c r="F112" s="200" t="s">
        <v>379</v>
      </c>
      <c r="G112" s="201" t="str">
        <f t="shared" si="2"/>
        <v>-&gt; 118.485 W, 49.006 N, Elev. 536 m</v>
      </c>
      <c r="M112" s="11">
        <v>49.006</v>
      </c>
      <c r="N112" s="11">
        <v>-118.485</v>
      </c>
      <c r="O112" s="11" t="s">
        <v>142</v>
      </c>
      <c r="P112" s="11" t="s">
        <v>380</v>
      </c>
      <c r="Q112" s="12">
        <v>1</v>
      </c>
      <c r="R112" s="11" t="s">
        <v>381</v>
      </c>
      <c r="S112" s="11" t="s">
        <v>145</v>
      </c>
      <c r="U112" s="175">
        <v>536</v>
      </c>
      <c r="AE112" s="201">
        <v>49.006</v>
      </c>
      <c r="AF112" s="201">
        <v>-118.485</v>
      </c>
      <c r="AG112" s="201">
        <v>536</v>
      </c>
    </row>
    <row r="113" spans="1:72" ht="14.25" customHeight="1" x14ac:dyDescent="0.2">
      <c r="A113" s="145" t="s">
        <v>328</v>
      </c>
      <c r="B113" s="4">
        <v>10</v>
      </c>
      <c r="C113" s="200" t="s">
        <v>139</v>
      </c>
      <c r="D113" s="201" t="s">
        <v>382</v>
      </c>
      <c r="E113" s="201"/>
      <c r="F113" s="200" t="s">
        <v>383</v>
      </c>
      <c r="G113" s="201" t="str">
        <f t="shared" si="2"/>
        <v>-&gt; 123.6917 W, 48.7319 N, Elev. 40 m</v>
      </c>
      <c r="M113" s="11">
        <v>48.731900000000003</v>
      </c>
      <c r="N113" s="11">
        <v>-123.6917</v>
      </c>
      <c r="O113" s="11" t="s">
        <v>183</v>
      </c>
      <c r="P113" s="11" t="s">
        <v>384</v>
      </c>
      <c r="Q113" s="12">
        <v>2</v>
      </c>
      <c r="R113" s="11" t="s">
        <v>385</v>
      </c>
      <c r="S113" s="11" t="s">
        <v>145</v>
      </c>
      <c r="U113" s="175">
        <v>40</v>
      </c>
      <c r="AE113" s="201">
        <v>48.731900000000003</v>
      </c>
      <c r="AF113" s="201">
        <v>-123.6917</v>
      </c>
      <c r="AG113" s="201">
        <v>40</v>
      </c>
    </row>
    <row r="114" spans="1:72" ht="14.25" customHeight="1" x14ac:dyDescent="0.2">
      <c r="A114" s="145" t="s">
        <v>328</v>
      </c>
      <c r="B114" s="4">
        <v>10</v>
      </c>
      <c r="C114" s="200" t="s">
        <v>139</v>
      </c>
      <c r="D114" s="201" t="s">
        <v>386</v>
      </c>
      <c r="E114" s="201"/>
      <c r="F114" s="200" t="s">
        <v>387</v>
      </c>
      <c r="G114" s="201" t="str">
        <f t="shared" si="2"/>
        <v>-&gt; 123.0793 W, 49.0637 N, Elev. 0 m</v>
      </c>
      <c r="M114" s="11">
        <v>49.063699999999997</v>
      </c>
      <c r="N114" s="11">
        <v>-123.0793</v>
      </c>
      <c r="O114" s="11" t="s">
        <v>183</v>
      </c>
      <c r="P114" s="11" t="s">
        <v>388</v>
      </c>
      <c r="Q114" s="12">
        <v>1</v>
      </c>
      <c r="R114" s="11" t="s">
        <v>389</v>
      </c>
      <c r="S114" s="11" t="s">
        <v>145</v>
      </c>
      <c r="U114" s="175">
        <v>0</v>
      </c>
      <c r="AE114" s="201">
        <v>49.063699999999997</v>
      </c>
      <c r="AF114" s="201">
        <v>-123.0793</v>
      </c>
      <c r="AG114" s="201">
        <v>0</v>
      </c>
    </row>
    <row r="115" spans="1:72" ht="14.25" customHeight="1" x14ac:dyDescent="0.2">
      <c r="A115" s="145" t="s">
        <v>328</v>
      </c>
      <c r="B115" s="4">
        <v>10</v>
      </c>
      <c r="C115" s="200" t="s">
        <v>139</v>
      </c>
      <c r="D115" s="201" t="s">
        <v>390</v>
      </c>
      <c r="E115" s="201"/>
      <c r="F115" s="200" t="s">
        <v>391</v>
      </c>
      <c r="G115" s="201" t="str">
        <f t="shared" si="2"/>
        <v>-&gt; 121.26 W, 55.5903 N, Elev. 729 m</v>
      </c>
      <c r="M115" s="11">
        <v>55.590299999999999</v>
      </c>
      <c r="N115" s="11">
        <v>-121.26</v>
      </c>
      <c r="O115" s="11" t="s">
        <v>153</v>
      </c>
      <c r="P115" s="11" t="s">
        <v>392</v>
      </c>
      <c r="Q115" s="12">
        <v>3</v>
      </c>
      <c r="R115" s="11" t="s">
        <v>393</v>
      </c>
      <c r="S115" s="11" t="s">
        <v>145</v>
      </c>
      <c r="U115" s="175">
        <v>729</v>
      </c>
      <c r="AE115" s="201">
        <v>55.590299999999999</v>
      </c>
      <c r="AF115" s="201">
        <v>-121.26</v>
      </c>
      <c r="AG115" s="201">
        <v>729</v>
      </c>
    </row>
    <row r="116" spans="1:72" ht="14.25" customHeight="1" x14ac:dyDescent="0.2">
      <c r="A116" s="145" t="s">
        <v>328</v>
      </c>
      <c r="B116" s="4">
        <v>10</v>
      </c>
      <c r="C116" s="200" t="s">
        <v>139</v>
      </c>
      <c r="D116" s="201" t="s">
        <v>394</v>
      </c>
      <c r="E116" s="201"/>
      <c r="F116" s="200" t="s">
        <v>395</v>
      </c>
      <c r="G116" s="201" t="str">
        <f t="shared" si="2"/>
        <v>-&gt; 119.575 W, 49.4617 N, Elev. 400 m</v>
      </c>
      <c r="M116" s="11">
        <v>49.4617</v>
      </c>
      <c r="N116" s="11">
        <v>-119.575</v>
      </c>
      <c r="O116" s="11" t="s">
        <v>142</v>
      </c>
      <c r="P116" s="11" t="s">
        <v>396</v>
      </c>
      <c r="Q116" s="12">
        <v>1</v>
      </c>
      <c r="R116" s="11" t="s">
        <v>397</v>
      </c>
      <c r="S116" s="11" t="s">
        <v>145</v>
      </c>
      <c r="U116" s="175">
        <v>400</v>
      </c>
      <c r="AE116" s="201">
        <v>49.4617</v>
      </c>
      <c r="AF116" s="201">
        <v>-119.575</v>
      </c>
      <c r="AG116" s="201">
        <v>400</v>
      </c>
    </row>
    <row r="117" spans="1:72" ht="14.25" customHeight="1" x14ac:dyDescent="0.2">
      <c r="A117" s="145" t="s">
        <v>328</v>
      </c>
      <c r="B117" s="4">
        <v>10</v>
      </c>
      <c r="C117" s="200" t="s">
        <v>139</v>
      </c>
      <c r="D117" s="201" t="s">
        <v>398</v>
      </c>
      <c r="E117" s="201"/>
      <c r="F117" s="200" t="s">
        <v>399</v>
      </c>
      <c r="G117" s="201" t="str">
        <f t="shared" si="2"/>
        <v>-&gt; 120.087 W, 55.7056 N, Elev. 665 m</v>
      </c>
      <c r="M117" s="11">
        <v>55.705599999999997</v>
      </c>
      <c r="N117" s="11">
        <v>-120.087</v>
      </c>
      <c r="O117" s="11" t="s">
        <v>153</v>
      </c>
      <c r="P117" s="11" t="s">
        <v>400</v>
      </c>
      <c r="Q117" s="12">
        <v>2</v>
      </c>
      <c r="R117" s="11" t="s">
        <v>401</v>
      </c>
      <c r="S117" s="11" t="s">
        <v>145</v>
      </c>
      <c r="U117" s="175">
        <v>665</v>
      </c>
      <c r="AE117" s="201">
        <v>55.705599999999997</v>
      </c>
      <c r="AF117" s="201">
        <v>-120.087</v>
      </c>
      <c r="AG117" s="201">
        <v>665</v>
      </c>
    </row>
    <row r="118" spans="1:72" ht="14.25" customHeight="1" x14ac:dyDescent="0.2">
      <c r="A118" s="145" t="s">
        <v>328</v>
      </c>
      <c r="B118" s="4">
        <v>10</v>
      </c>
      <c r="C118" s="200" t="s">
        <v>139</v>
      </c>
      <c r="D118" s="201" t="s">
        <v>402</v>
      </c>
      <c r="E118" s="201"/>
      <c r="F118" s="200" t="s">
        <v>403</v>
      </c>
      <c r="G118" s="201" t="str">
        <f t="shared" si="2"/>
        <v>-&gt; 120.767 W, 56.5376 N, Elev. 713 m</v>
      </c>
      <c r="M118" s="11">
        <v>56.537599999999998</v>
      </c>
      <c r="N118" s="11">
        <v>-120.767</v>
      </c>
      <c r="O118" s="11" t="s">
        <v>153</v>
      </c>
      <c r="P118" s="11" t="s">
        <v>404</v>
      </c>
      <c r="Q118" s="12">
        <v>3</v>
      </c>
      <c r="R118" s="11" t="s">
        <v>405</v>
      </c>
      <c r="S118" s="11" t="s">
        <v>145</v>
      </c>
      <c r="U118" s="175">
        <v>713</v>
      </c>
      <c r="AE118" s="201">
        <v>56.537599999999998</v>
      </c>
      <c r="AF118" s="201">
        <v>-120.767</v>
      </c>
      <c r="AG118" s="201">
        <v>713</v>
      </c>
    </row>
    <row r="119" spans="1:72" ht="14.25" customHeight="1" x14ac:dyDescent="0.2">
      <c r="A119" s="145" t="s">
        <v>328</v>
      </c>
      <c r="B119" s="4">
        <v>10</v>
      </c>
      <c r="C119" s="200" t="s">
        <v>139</v>
      </c>
      <c r="D119" s="200" t="s">
        <v>406</v>
      </c>
      <c r="E119" s="201"/>
      <c r="F119" s="200" t="s">
        <v>407</v>
      </c>
      <c r="G119" s="201" t="str">
        <f t="shared" si="2"/>
        <v>-&gt; 119.765 W, 50.4788 N, Elev. 654 m</v>
      </c>
      <c r="M119" s="201">
        <v>50.4788</v>
      </c>
      <c r="N119" s="201">
        <v>-119.77</v>
      </c>
      <c r="O119" s="201"/>
      <c r="P119" s="201" t="s">
        <v>408</v>
      </c>
      <c r="Q119" s="247"/>
      <c r="R119" s="201" t="s">
        <v>409</v>
      </c>
      <c r="S119" s="201" t="s">
        <v>145</v>
      </c>
      <c r="U119" s="253">
        <v>654</v>
      </c>
      <c r="AE119" s="201">
        <v>50.4788</v>
      </c>
      <c r="AF119" s="201">
        <v>-119.765</v>
      </c>
      <c r="AG119" s="201">
        <v>654</v>
      </c>
    </row>
    <row r="120" spans="1:72" ht="14.25" customHeight="1" x14ac:dyDescent="0.2">
      <c r="A120" s="145" t="s">
        <v>328</v>
      </c>
      <c r="B120" s="4">
        <v>10</v>
      </c>
      <c r="C120" s="200" t="s">
        <v>139</v>
      </c>
      <c r="D120" s="201" t="s">
        <v>414</v>
      </c>
      <c r="E120" s="201"/>
      <c r="F120" s="200" t="s">
        <v>415</v>
      </c>
      <c r="G120" s="201" t="str">
        <f t="shared" si="2"/>
        <v>-&gt; 119.6944 W, 49.6141 N, Elev. 514 m</v>
      </c>
      <c r="M120" s="11">
        <v>49.614100000000001</v>
      </c>
      <c r="N120" s="11">
        <v>-119.6944</v>
      </c>
      <c r="O120" s="11" t="s">
        <v>142</v>
      </c>
      <c r="P120" s="11" t="s">
        <v>416</v>
      </c>
      <c r="Q120" s="12">
        <v>1</v>
      </c>
      <c r="R120" s="11" t="s">
        <v>417</v>
      </c>
      <c r="S120" s="11" t="s">
        <v>145</v>
      </c>
      <c r="U120" s="175">
        <v>514</v>
      </c>
      <c r="AE120" s="201">
        <v>49.614100000000001</v>
      </c>
      <c r="AF120" s="201">
        <v>-119.6944</v>
      </c>
      <c r="AG120" s="201">
        <v>514</v>
      </c>
    </row>
    <row r="121" spans="1:72" ht="14.25" customHeight="1" x14ac:dyDescent="0.2">
      <c r="A121" s="145" t="s">
        <v>328</v>
      </c>
      <c r="B121" s="4">
        <v>10</v>
      </c>
      <c r="C121" s="200" t="s">
        <v>139</v>
      </c>
      <c r="D121" s="200" t="s">
        <v>418</v>
      </c>
      <c r="E121" s="201"/>
      <c r="F121" s="201" t="s">
        <v>419</v>
      </c>
      <c r="G121" s="201" t="str">
        <f t="shared" si="2"/>
        <v>-&gt; 119.3839 W, 50.6304 N, Elev. 361 m</v>
      </c>
      <c r="M121" s="11">
        <v>50.630400000000002</v>
      </c>
      <c r="N121" s="11">
        <v>-119.38</v>
      </c>
      <c r="O121" s="11"/>
      <c r="P121" s="11" t="s">
        <v>420</v>
      </c>
      <c r="Q121" s="12"/>
      <c r="R121" s="11" t="s">
        <v>421</v>
      </c>
      <c r="U121" s="175">
        <v>361</v>
      </c>
      <c r="AE121" s="201">
        <v>50.630400000000002</v>
      </c>
      <c r="AF121" s="201">
        <v>-119.3839</v>
      </c>
      <c r="AG121" s="201">
        <v>361</v>
      </c>
    </row>
    <row r="122" spans="1:72" ht="14.25" customHeight="1" x14ac:dyDescent="0.2">
      <c r="A122" s="145" t="s">
        <v>328</v>
      </c>
      <c r="B122" s="4">
        <v>2</v>
      </c>
      <c r="C122" s="10" t="s">
        <v>688</v>
      </c>
      <c r="D122" s="10" t="s">
        <v>689</v>
      </c>
      <c r="F122" s="10" t="s">
        <v>690</v>
      </c>
      <c r="G122" s="10" t="s">
        <v>691</v>
      </c>
      <c r="I122" s="201" t="s">
        <v>641</v>
      </c>
      <c r="M122" s="9">
        <v>49.507249999999999</v>
      </c>
      <c r="N122" s="9">
        <v>-123.87978</v>
      </c>
      <c r="O122" s="9" t="s">
        <v>183</v>
      </c>
      <c r="P122" s="9">
        <v>12092</v>
      </c>
      <c r="Q122" s="20">
        <v>3</v>
      </c>
      <c r="R122" s="9" t="s">
        <v>692</v>
      </c>
      <c r="S122" s="11" t="s">
        <v>693</v>
      </c>
      <c r="T122" s="9" t="s">
        <v>644</v>
      </c>
      <c r="U122" s="47">
        <v>164</v>
      </c>
      <c r="Z122" s="9"/>
      <c r="AA122" s="9" t="s">
        <v>694</v>
      </c>
      <c r="AB122" s="9"/>
      <c r="AC122" s="9"/>
      <c r="AD122" s="9"/>
      <c r="AE122" s="203"/>
      <c r="AF122" s="203"/>
      <c r="AG122" s="203"/>
      <c r="AH122" s="9"/>
      <c r="AI122" s="9"/>
    </row>
    <row r="123" spans="1:72" ht="14.25" customHeight="1" x14ac:dyDescent="0.2">
      <c r="A123" s="145" t="s">
        <v>328</v>
      </c>
      <c r="B123" s="4">
        <v>2</v>
      </c>
      <c r="C123" s="200" t="s">
        <v>688</v>
      </c>
      <c r="D123" s="200" t="s">
        <v>695</v>
      </c>
      <c r="F123" s="200" t="s">
        <v>696</v>
      </c>
      <c r="G123" s="200" t="s">
        <v>697</v>
      </c>
      <c r="I123" s="201" t="s">
        <v>641</v>
      </c>
      <c r="M123" s="9">
        <v>49.217779999999998</v>
      </c>
      <c r="N123" s="9">
        <v>-122.81194000000001</v>
      </c>
      <c r="O123" s="9" t="s">
        <v>183</v>
      </c>
      <c r="P123" s="9">
        <v>14092</v>
      </c>
      <c r="Q123" s="20">
        <v>2</v>
      </c>
      <c r="R123" s="9" t="s">
        <v>698</v>
      </c>
      <c r="S123" s="11" t="s">
        <v>699</v>
      </c>
      <c r="T123" s="9" t="s">
        <v>644</v>
      </c>
      <c r="U123" s="47">
        <v>40</v>
      </c>
      <c r="Z123" s="9"/>
      <c r="AA123" s="9" t="s">
        <v>700</v>
      </c>
      <c r="AB123" s="9"/>
      <c r="AC123" s="9"/>
      <c r="AD123" s="9"/>
      <c r="AE123" s="9"/>
      <c r="AF123" s="9"/>
      <c r="AG123" s="9"/>
      <c r="AH123" s="9"/>
      <c r="AI123" s="9"/>
    </row>
    <row r="124" spans="1:72" ht="14.25" customHeight="1" x14ac:dyDescent="0.2">
      <c r="A124" s="145" t="s">
        <v>328</v>
      </c>
      <c r="B124" s="4">
        <v>2</v>
      </c>
      <c r="C124" s="10" t="s">
        <v>688</v>
      </c>
      <c r="D124" s="10" t="s">
        <v>924</v>
      </c>
      <c r="E124" s="192"/>
      <c r="F124" s="10" t="s">
        <v>925</v>
      </c>
      <c r="G124" s="10" t="s">
        <v>926</v>
      </c>
      <c r="I124" s="201" t="s">
        <v>927</v>
      </c>
      <c r="M124" s="201">
        <v>50.623309999999996</v>
      </c>
      <c r="N124" s="9">
        <v>-122.4432</v>
      </c>
      <c r="O124" s="9" t="s">
        <v>142</v>
      </c>
      <c r="P124" s="9">
        <v>26521</v>
      </c>
      <c r="Q124" s="20">
        <v>2</v>
      </c>
      <c r="R124" s="9" t="s">
        <v>928</v>
      </c>
      <c r="S124" s="11" t="s">
        <v>929</v>
      </c>
      <c r="T124" s="9" t="s">
        <v>644</v>
      </c>
      <c r="U124" s="255">
        <v>742</v>
      </c>
      <c r="Z124" s="9"/>
      <c r="AA124" s="9" t="s">
        <v>930</v>
      </c>
      <c r="AB124" s="9"/>
      <c r="AC124" s="9"/>
      <c r="AD124" s="9"/>
      <c r="AE124" s="203"/>
      <c r="AF124" s="203"/>
      <c r="AG124" s="203"/>
      <c r="AH124" s="9"/>
      <c r="AI124" s="9"/>
    </row>
    <row r="125" spans="1:72" ht="14.25" customHeight="1" x14ac:dyDescent="0.2">
      <c r="A125" s="145" t="s">
        <v>328</v>
      </c>
      <c r="B125" s="4">
        <v>2</v>
      </c>
      <c r="C125" s="200" t="s">
        <v>688</v>
      </c>
      <c r="D125" s="200" t="s">
        <v>1093</v>
      </c>
      <c r="E125" s="9"/>
      <c r="F125" s="200" t="s">
        <v>1094</v>
      </c>
      <c r="G125" s="200" t="s">
        <v>1095</v>
      </c>
      <c r="I125" s="201" t="s">
        <v>927</v>
      </c>
      <c r="M125" s="9">
        <v>49.474400000000003</v>
      </c>
      <c r="N125" s="9">
        <v>-115.52455999999999</v>
      </c>
      <c r="O125" s="9" t="s">
        <v>170</v>
      </c>
      <c r="P125" s="9">
        <v>36195</v>
      </c>
      <c r="Q125" s="20">
        <v>1</v>
      </c>
      <c r="R125" s="9" t="s">
        <v>1096</v>
      </c>
      <c r="S125" s="11" t="s">
        <v>1097</v>
      </c>
      <c r="T125" s="9" t="s">
        <v>644</v>
      </c>
      <c r="U125" s="47">
        <v>822</v>
      </c>
      <c r="Z125" s="9"/>
      <c r="AA125" s="9" t="s">
        <v>1098</v>
      </c>
      <c r="AB125" s="9"/>
      <c r="AC125" s="9"/>
      <c r="AD125" s="9"/>
      <c r="AE125" s="9"/>
      <c r="AF125" s="9"/>
      <c r="AG125" s="9"/>
      <c r="AH125" s="9"/>
      <c r="AI125" s="9"/>
    </row>
    <row r="126" spans="1:72" ht="14.25" customHeight="1" x14ac:dyDescent="0.2">
      <c r="A126" s="145" t="s">
        <v>328</v>
      </c>
      <c r="B126" s="4">
        <v>2</v>
      </c>
      <c r="C126" s="10" t="s">
        <v>688</v>
      </c>
      <c r="D126" s="10" t="s">
        <v>1129</v>
      </c>
      <c r="E126" s="192"/>
      <c r="F126" s="178" t="s">
        <v>7827</v>
      </c>
      <c r="G126" s="10" t="s">
        <v>1131</v>
      </c>
      <c r="I126" s="4" t="s">
        <v>641</v>
      </c>
      <c r="M126" s="9">
        <v>51.30397</v>
      </c>
      <c r="N126" s="9">
        <v>-116.89487</v>
      </c>
      <c r="O126" s="9" t="s">
        <v>170</v>
      </c>
      <c r="P126" s="9">
        <v>37127</v>
      </c>
      <c r="Q126" s="20">
        <v>2</v>
      </c>
      <c r="R126" s="9" t="s">
        <v>1130</v>
      </c>
      <c r="S126" s="11" t="s">
        <v>1132</v>
      </c>
      <c r="T126" s="9" t="s">
        <v>644</v>
      </c>
      <c r="U126" s="47">
        <v>1023</v>
      </c>
      <c r="Z126" s="9"/>
      <c r="AA126" s="9" t="s">
        <v>1133</v>
      </c>
      <c r="AB126" s="9"/>
      <c r="AC126" s="9"/>
      <c r="AD126" s="9"/>
      <c r="AE126" s="203"/>
      <c r="AF126" s="203"/>
      <c r="AG126" s="203"/>
      <c r="AH126" s="9"/>
      <c r="AI126" s="9"/>
    </row>
    <row r="127" spans="1:72" ht="14.25" customHeight="1" x14ac:dyDescent="0.2">
      <c r="A127" s="145" t="s">
        <v>328</v>
      </c>
      <c r="B127" s="4">
        <v>2</v>
      </c>
      <c r="C127" s="200" t="s">
        <v>688</v>
      </c>
      <c r="D127" s="200" t="s">
        <v>1242</v>
      </c>
      <c r="F127" s="200" t="s">
        <v>1243</v>
      </c>
      <c r="G127" s="214" t="s">
        <v>7829</v>
      </c>
      <c r="M127" s="9">
        <v>49.672499999999999</v>
      </c>
      <c r="N127" s="9">
        <v>-120.60468</v>
      </c>
      <c r="O127" s="9" t="s">
        <v>142</v>
      </c>
      <c r="P127" s="9">
        <v>24094</v>
      </c>
      <c r="Q127" s="20">
        <v>2</v>
      </c>
      <c r="R127" s="9" t="s">
        <v>1245</v>
      </c>
      <c r="S127" s="11" t="s">
        <v>1246</v>
      </c>
      <c r="T127" s="9" t="s">
        <v>644</v>
      </c>
      <c r="U127" s="47">
        <v>877</v>
      </c>
      <c r="V127" s="9"/>
      <c r="W127" s="9"/>
      <c r="X127" s="9"/>
      <c r="Y127" s="9"/>
      <c r="Z127" s="9"/>
      <c r="AA127" s="9" t="s">
        <v>1247</v>
      </c>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c r="BA127" s="9"/>
      <c r="BB127" s="9"/>
      <c r="BC127" s="9"/>
      <c r="BD127" s="9"/>
      <c r="BE127" s="9"/>
      <c r="BF127" s="9"/>
      <c r="BG127" s="9"/>
      <c r="BH127" s="9"/>
      <c r="BI127" s="9"/>
      <c r="BJ127" s="9"/>
      <c r="BK127" s="9"/>
      <c r="BL127" s="9"/>
      <c r="BM127" s="9"/>
      <c r="BN127" s="9"/>
      <c r="BO127" s="9"/>
      <c r="BP127" s="9"/>
      <c r="BQ127" s="9"/>
      <c r="BR127" s="9"/>
      <c r="BS127" s="9"/>
      <c r="BT127" s="9"/>
    </row>
    <row r="128" spans="1:72" ht="14.25" customHeight="1" x14ac:dyDescent="0.2">
      <c r="A128" s="145" t="s">
        <v>328</v>
      </c>
      <c r="B128" s="4">
        <v>2</v>
      </c>
      <c r="C128" s="10" t="s">
        <v>688</v>
      </c>
      <c r="D128" s="10" t="s">
        <v>1252</v>
      </c>
      <c r="E128" s="192"/>
      <c r="F128" s="10" t="s">
        <v>1253</v>
      </c>
      <c r="G128" s="10" t="s">
        <v>1254</v>
      </c>
      <c r="M128" s="9">
        <v>50.701949999999997</v>
      </c>
      <c r="N128" s="9">
        <v>-117.74272999999999</v>
      </c>
      <c r="O128" s="9" t="s">
        <v>170</v>
      </c>
      <c r="P128" s="9">
        <v>38495</v>
      </c>
      <c r="Q128" s="20">
        <v>1</v>
      </c>
      <c r="R128" s="9" t="s">
        <v>1255</v>
      </c>
      <c r="S128" s="11" t="s">
        <v>1256</v>
      </c>
      <c r="T128" s="9" t="s">
        <v>644</v>
      </c>
      <c r="U128" s="47">
        <v>884</v>
      </c>
      <c r="Z128" s="9"/>
      <c r="AA128" s="9" t="s">
        <v>1257</v>
      </c>
      <c r="AB128" s="9"/>
      <c r="AC128" s="9"/>
      <c r="AD128" s="9"/>
      <c r="AE128" s="203"/>
      <c r="AF128" s="203"/>
      <c r="AG128" s="203"/>
      <c r="AH128" s="9"/>
      <c r="AI128" s="9"/>
    </row>
    <row r="129" spans="1:72" ht="14.25" customHeight="1" x14ac:dyDescent="0.2">
      <c r="A129" s="145" t="s">
        <v>328</v>
      </c>
      <c r="B129" s="4">
        <v>2</v>
      </c>
      <c r="C129" s="200" t="s">
        <v>688</v>
      </c>
      <c r="D129" s="200" t="s">
        <v>1652</v>
      </c>
      <c r="F129" s="200" t="s">
        <v>1653</v>
      </c>
      <c r="G129" s="214" t="s">
        <v>7831</v>
      </c>
      <c r="M129" s="45">
        <v>49.877589999999998</v>
      </c>
      <c r="N129" s="45">
        <v>-117.39829</v>
      </c>
      <c r="O129" s="4" t="s">
        <v>170</v>
      </c>
      <c r="P129" s="4">
        <v>34891</v>
      </c>
      <c r="Q129" s="20">
        <v>1</v>
      </c>
      <c r="R129" s="249" t="s">
        <v>1655</v>
      </c>
      <c r="S129" s="11" t="s">
        <v>1656</v>
      </c>
      <c r="T129" s="4" t="s">
        <v>644</v>
      </c>
      <c r="U129" s="176">
        <v>808</v>
      </c>
      <c r="V129" s="21">
        <v>45890</v>
      </c>
      <c r="W129" s="191"/>
      <c r="X129" s="191"/>
      <c r="AA129" s="47" t="s">
        <v>1657</v>
      </c>
      <c r="AD129" s="9"/>
      <c r="AE129" s="9"/>
      <c r="AI129" s="9"/>
      <c r="AK129" s="191"/>
      <c r="AL129" s="191"/>
      <c r="AM129" s="191"/>
      <c r="AN129" s="191"/>
      <c r="AO129" s="191"/>
      <c r="AP129" s="191"/>
      <c r="AQ129" s="191"/>
      <c r="AR129" s="191"/>
      <c r="AS129" s="191"/>
      <c r="AT129" s="191"/>
      <c r="AU129" s="191"/>
      <c r="AV129" s="191"/>
      <c r="AW129" s="191"/>
      <c r="AX129" s="191"/>
      <c r="AY129" s="191"/>
      <c r="AZ129" s="191"/>
      <c r="BA129" s="191"/>
      <c r="BB129" s="191"/>
      <c r="BC129" s="191"/>
      <c r="BD129" s="191"/>
      <c r="BE129" s="191"/>
      <c r="BF129" s="191"/>
      <c r="BG129" s="191"/>
      <c r="BH129" s="191"/>
      <c r="BI129" s="191"/>
      <c r="BJ129" s="191"/>
      <c r="BK129" s="191"/>
      <c r="BL129" s="191"/>
      <c r="BM129" s="191"/>
      <c r="BN129" s="191"/>
      <c r="BO129" s="191"/>
      <c r="BP129" s="191"/>
      <c r="BQ129" s="191"/>
      <c r="BR129" s="191"/>
      <c r="BS129" s="191"/>
      <c r="BT129" s="191"/>
    </row>
    <row r="130" spans="1:72" ht="14.25" customHeight="1" x14ac:dyDescent="0.2">
      <c r="A130" s="136" t="s">
        <v>328</v>
      </c>
      <c r="B130" s="4">
        <v>12</v>
      </c>
      <c r="C130" s="10" t="s">
        <v>4901</v>
      </c>
      <c r="D130" s="10" t="s">
        <v>4939</v>
      </c>
      <c r="E130" s="192"/>
      <c r="F130" s="10" t="s">
        <v>4940</v>
      </c>
      <c r="G130" s="10" t="s">
        <v>4941</v>
      </c>
      <c r="M130" s="9">
        <v>54.323300000000003</v>
      </c>
      <c r="N130" s="4">
        <v>-129.3252</v>
      </c>
      <c r="O130" s="4" t="s">
        <v>1577</v>
      </c>
      <c r="P130" s="4">
        <v>4332</v>
      </c>
      <c r="Q130" s="4">
        <v>1</v>
      </c>
      <c r="R130" s="4" t="s">
        <v>4942</v>
      </c>
      <c r="S130" s="4" t="s">
        <v>1737</v>
      </c>
      <c r="U130" s="176">
        <v>10</v>
      </c>
      <c r="W130" s="4">
        <v>45544</v>
      </c>
      <c r="X130" s="4" t="s">
        <v>1738</v>
      </c>
      <c r="AE130" s="192"/>
      <c r="AF130" s="192"/>
      <c r="AG130" s="192"/>
      <c r="AK130" s="9"/>
      <c r="AO130" s="4" t="s">
        <v>4942</v>
      </c>
      <c r="AP130" s="4">
        <v>4332</v>
      </c>
      <c r="AQ130" s="4" t="s">
        <v>1716</v>
      </c>
      <c r="AR130" s="4" t="s">
        <v>1701</v>
      </c>
      <c r="AS130" s="4" t="s">
        <v>1740</v>
      </c>
      <c r="AT130" s="4" t="s">
        <v>1741</v>
      </c>
      <c r="AU130" s="4" t="s">
        <v>1704</v>
      </c>
      <c r="AV130" s="4" t="s">
        <v>1720</v>
      </c>
      <c r="AW130" s="4" t="s">
        <v>1947</v>
      </c>
      <c r="AX130" s="4" t="s">
        <v>1973</v>
      </c>
      <c r="AY130" s="4">
        <v>54.323300000000003</v>
      </c>
      <c r="AZ130" s="4">
        <v>-129.3252</v>
      </c>
      <c r="BA130" s="4">
        <v>10</v>
      </c>
    </row>
    <row r="131" spans="1:72" ht="14.25" customHeight="1" x14ac:dyDescent="0.2">
      <c r="A131" s="136" t="s">
        <v>328</v>
      </c>
      <c r="B131" s="4">
        <v>5</v>
      </c>
      <c r="C131" s="200" t="s">
        <v>6003</v>
      </c>
      <c r="D131" s="200" t="s">
        <v>6004</v>
      </c>
      <c r="F131" s="200" t="s">
        <v>6005</v>
      </c>
      <c r="G131" s="200" t="s">
        <v>6006</v>
      </c>
      <c r="M131" s="9">
        <v>-122.485421</v>
      </c>
      <c r="N131" s="9">
        <v>49.285665000000002</v>
      </c>
      <c r="O131" s="9">
        <v>129</v>
      </c>
      <c r="P131" s="241" t="s">
        <v>6007</v>
      </c>
      <c r="Q131" s="70">
        <v>3</v>
      </c>
      <c r="R131" s="9" t="s">
        <v>6008</v>
      </c>
      <c r="S131" s="9" t="s">
        <v>6009</v>
      </c>
    </row>
    <row r="132" spans="1:72" ht="14.25" customHeight="1" x14ac:dyDescent="0.2">
      <c r="A132" s="136" t="s">
        <v>328</v>
      </c>
      <c r="B132" s="172">
        <v>137</v>
      </c>
      <c r="C132" s="10" t="s">
        <v>5977</v>
      </c>
      <c r="D132" s="10" t="s">
        <v>5985</v>
      </c>
      <c r="E132" s="192"/>
      <c r="F132" s="10" t="s">
        <v>301</v>
      </c>
      <c r="G132" s="178" t="s">
        <v>7830</v>
      </c>
      <c r="AE132" s="192"/>
      <c r="AF132" s="192"/>
      <c r="AG132" s="192"/>
    </row>
    <row r="133" spans="1:72" ht="14.25" customHeight="1" x14ac:dyDescent="0.2">
      <c r="A133" s="4" t="s">
        <v>6098</v>
      </c>
      <c r="C133" s="201" t="s">
        <v>6099</v>
      </c>
      <c r="D133" s="200" t="s">
        <v>6100</v>
      </c>
      <c r="F133" s="201" t="s">
        <v>6095</v>
      </c>
      <c r="G133" s="200" t="s">
        <v>6101</v>
      </c>
      <c r="M133" s="201"/>
      <c r="N133" s="201"/>
      <c r="O133" s="201"/>
      <c r="P133" s="201"/>
      <c r="Q133" s="237"/>
      <c r="R133" s="201"/>
      <c r="S133" s="237"/>
      <c r="T133" s="237"/>
      <c r="U133" s="237"/>
      <c r="V133" s="237"/>
      <c r="W133" s="237"/>
      <c r="X133" s="237"/>
      <c r="Y133" s="237"/>
      <c r="Z133" s="237"/>
      <c r="AA133" s="237"/>
      <c r="AB133" s="237"/>
      <c r="AC133" s="237"/>
      <c r="AD133" s="237"/>
      <c r="AE133" s="237"/>
      <c r="AF133" s="237"/>
      <c r="AG133" s="237"/>
      <c r="AH133" s="237"/>
      <c r="AI133" s="237"/>
      <c r="AJ133" s="237"/>
      <c r="AK133" s="237"/>
      <c r="AL133" s="237"/>
      <c r="AM133" s="237"/>
      <c r="AN133" s="237"/>
      <c r="AO133" s="237"/>
      <c r="AP133" s="237"/>
      <c r="AQ133" s="237"/>
      <c r="AR133" s="237"/>
      <c r="AS133" s="237"/>
      <c r="AT133" s="237"/>
      <c r="AU133" s="237"/>
      <c r="AV133" s="237"/>
      <c r="AW133" s="237"/>
      <c r="AX133" s="237"/>
      <c r="AY133" s="237"/>
      <c r="AZ133" s="237"/>
      <c r="BA133" s="237"/>
      <c r="BB133" s="237"/>
      <c r="BC133" s="237"/>
      <c r="BD133" s="237"/>
      <c r="BE133" s="237"/>
      <c r="BF133" s="237"/>
      <c r="BG133" s="237"/>
      <c r="BH133" s="237"/>
      <c r="BI133" s="237"/>
      <c r="BJ133" s="237"/>
      <c r="BK133" s="237"/>
      <c r="BL133" s="237"/>
      <c r="BM133" s="237"/>
      <c r="BN133" s="237"/>
      <c r="BO133" s="237"/>
      <c r="BP133" s="237"/>
      <c r="BQ133" s="237"/>
      <c r="BR133" s="237"/>
      <c r="BS133" s="237"/>
      <c r="BT133" s="237"/>
    </row>
    <row r="134" spans="1:72" ht="14.25" customHeight="1" x14ac:dyDescent="0.2">
      <c r="A134" s="4" t="s">
        <v>6959</v>
      </c>
      <c r="B134" s="194">
        <v>5</v>
      </c>
      <c r="C134" s="10" t="s">
        <v>6003</v>
      </c>
      <c r="D134" s="10" t="s">
        <v>6960</v>
      </c>
      <c r="E134" s="192"/>
      <c r="F134" s="10" t="s">
        <v>6961</v>
      </c>
      <c r="G134" s="10" t="s">
        <v>6962</v>
      </c>
      <c r="M134" s="9">
        <v>-115.7673333</v>
      </c>
      <c r="N134" s="9">
        <v>49.252166670000001</v>
      </c>
      <c r="O134" s="9">
        <v>1930</v>
      </c>
      <c r="P134" s="241" t="s">
        <v>6963</v>
      </c>
      <c r="Q134" s="70">
        <v>7</v>
      </c>
      <c r="R134" s="9" t="s">
        <v>6836</v>
      </c>
      <c r="S134" s="9" t="s">
        <v>6009</v>
      </c>
      <c r="U134"/>
      <c r="AE134" s="192"/>
      <c r="AF134" s="192"/>
      <c r="AG134" s="192"/>
    </row>
    <row r="135" spans="1:72" ht="14.25" customHeight="1" x14ac:dyDescent="0.2">
      <c r="A135" s="4" t="s">
        <v>5987</v>
      </c>
      <c r="C135" s="200" t="s">
        <v>5988</v>
      </c>
      <c r="D135" s="200" t="s">
        <v>5989</v>
      </c>
      <c r="E135" s="204"/>
      <c r="F135" s="200" t="s">
        <v>5990</v>
      </c>
      <c r="G135" s="200" t="s">
        <v>5991</v>
      </c>
      <c r="H135" s="204"/>
      <c r="I135" s="204"/>
      <c r="J135" s="204"/>
      <c r="K135" s="204"/>
      <c r="L135" s="204"/>
      <c r="U135"/>
    </row>
    <row r="136" spans="1:72" ht="14.25" customHeight="1" x14ac:dyDescent="0.2">
      <c r="A136" s="5" t="s">
        <v>610</v>
      </c>
      <c r="B136" s="4">
        <v>10</v>
      </c>
      <c r="C136" s="10" t="s">
        <v>139</v>
      </c>
      <c r="D136" s="10" t="s">
        <v>611</v>
      </c>
      <c r="E136" s="8"/>
      <c r="F136" s="10" t="s">
        <v>612</v>
      </c>
      <c r="G136" s="8" t="str">
        <f t="shared" ref="G136:G157" si="3">CONCATENATE("-&gt; ",-1*AF136," W, ",AE136," N, Elev. ",AG136," m")</f>
        <v>-&gt; 119.231 W, 50.2901 N, Elev. 515 m</v>
      </c>
      <c r="I136" s="9"/>
      <c r="J136" s="9"/>
      <c r="K136" s="9"/>
      <c r="L136" s="9"/>
      <c r="M136" s="11">
        <v>50.290100000000002</v>
      </c>
      <c r="N136" s="11">
        <v>-119.23099999999999</v>
      </c>
      <c r="O136" s="11" t="s">
        <v>183</v>
      </c>
      <c r="P136" s="11" t="s">
        <v>613</v>
      </c>
      <c r="Q136" s="12">
        <v>6</v>
      </c>
      <c r="R136" s="11" t="s">
        <v>614</v>
      </c>
      <c r="S136" s="11" t="s">
        <v>145</v>
      </c>
      <c r="T136" s="11">
        <v>515</v>
      </c>
      <c r="U136" s="9"/>
      <c r="V136" s="9"/>
      <c r="W136" s="9"/>
      <c r="X136" s="9"/>
      <c r="Y136" s="9"/>
      <c r="Z136" s="9"/>
      <c r="AA136" s="9"/>
      <c r="AB136" s="9"/>
      <c r="AC136" s="9"/>
      <c r="AD136" s="9"/>
      <c r="AE136" s="8">
        <v>50.290100000000002</v>
      </c>
      <c r="AF136" s="8">
        <v>-119.23099999999999</v>
      </c>
      <c r="AG136" s="8">
        <v>515</v>
      </c>
      <c r="AH136" s="9"/>
      <c r="AI136" s="9"/>
      <c r="AJ136" s="9"/>
      <c r="AK136" s="9"/>
      <c r="AL136" s="9"/>
      <c r="AM136" s="9"/>
      <c r="AN136" s="9"/>
      <c r="AO136" s="9"/>
      <c r="AP136" s="9"/>
      <c r="AQ136" s="9"/>
      <c r="AR136" s="9"/>
      <c r="AS136" s="9"/>
      <c r="AT136" s="9"/>
      <c r="AU136" s="9"/>
      <c r="AV136" s="9"/>
      <c r="AW136" s="9"/>
      <c r="AX136" s="9"/>
      <c r="AY136" s="9"/>
      <c r="AZ136" s="9"/>
      <c r="BA136" s="9"/>
      <c r="BB136" s="9"/>
      <c r="BC136" s="9"/>
      <c r="BD136" s="9"/>
      <c r="BE136" s="9"/>
      <c r="BF136" s="9"/>
      <c r="BG136" s="9"/>
      <c r="BH136" s="9"/>
      <c r="BI136" s="9"/>
      <c r="BJ136" s="9"/>
      <c r="BK136" s="9"/>
      <c r="BL136" s="9"/>
      <c r="BM136" s="9"/>
      <c r="BN136" s="9"/>
      <c r="BO136" s="9"/>
      <c r="BP136" s="9"/>
      <c r="BQ136" s="9"/>
      <c r="BR136" s="9"/>
      <c r="BS136" s="9"/>
      <c r="BT136" s="9"/>
    </row>
    <row r="137" spans="1:72" ht="14.25" customHeight="1" x14ac:dyDescent="0.2">
      <c r="A137" s="5" t="s">
        <v>582</v>
      </c>
      <c r="B137" s="4">
        <v>10</v>
      </c>
      <c r="C137" s="200" t="s">
        <v>139</v>
      </c>
      <c r="D137" s="200" t="s">
        <v>583</v>
      </c>
      <c r="E137" s="201"/>
      <c r="F137" s="200" t="s">
        <v>584</v>
      </c>
      <c r="G137" s="201" t="str">
        <f t="shared" si="3"/>
        <v>-&gt; 119.5619 W, 49.1764 N, Elev. 328 m</v>
      </c>
      <c r="I137" s="9"/>
      <c r="J137" s="9"/>
      <c r="K137" s="9"/>
      <c r="L137" s="9"/>
      <c r="M137" s="11">
        <v>49.176400000000001</v>
      </c>
      <c r="N137" s="11">
        <v>-119.56189999999999</v>
      </c>
      <c r="O137" s="11" t="s">
        <v>142</v>
      </c>
      <c r="P137" s="11" t="s">
        <v>585</v>
      </c>
      <c r="Q137" s="12">
        <v>1</v>
      </c>
      <c r="R137" s="11" t="s">
        <v>586</v>
      </c>
      <c r="S137" s="11" t="s">
        <v>145</v>
      </c>
      <c r="T137" s="11">
        <v>328</v>
      </c>
      <c r="U137" s="9"/>
      <c r="V137" s="9"/>
      <c r="W137" s="9"/>
      <c r="X137" s="9"/>
      <c r="Y137" s="9"/>
      <c r="Z137" s="9"/>
      <c r="AA137" s="9"/>
      <c r="AB137" s="9"/>
      <c r="AC137" s="9"/>
      <c r="AD137" s="9"/>
      <c r="AE137" s="201">
        <v>49.176400000000001</v>
      </c>
      <c r="AF137" s="201">
        <v>-119.56189999999999</v>
      </c>
      <c r="AG137" s="201">
        <v>328</v>
      </c>
      <c r="AH137" s="9"/>
      <c r="AI137" s="9"/>
      <c r="AJ137" s="9"/>
      <c r="AK137" s="9"/>
      <c r="AL137" s="9"/>
      <c r="AM137" s="9"/>
      <c r="AN137" s="9"/>
      <c r="AO137" s="9"/>
      <c r="AP137" s="9"/>
      <c r="AQ137" s="9"/>
      <c r="AR137" s="9"/>
      <c r="AS137" s="9"/>
      <c r="AT137" s="9"/>
      <c r="AU137" s="9"/>
      <c r="AV137" s="9"/>
      <c r="AW137" s="9"/>
      <c r="AX137" s="9"/>
      <c r="AY137" s="9"/>
      <c r="AZ137" s="9"/>
      <c r="BA137" s="9"/>
      <c r="BB137" s="9"/>
      <c r="BC137" s="9"/>
      <c r="BD137" s="9"/>
      <c r="BE137" s="9"/>
      <c r="BF137" s="9"/>
      <c r="BG137" s="9"/>
      <c r="BH137" s="9"/>
      <c r="BI137" s="9"/>
      <c r="BJ137" s="9"/>
      <c r="BK137" s="9"/>
      <c r="BL137" s="9"/>
      <c r="BM137" s="9"/>
      <c r="BN137" s="9"/>
      <c r="BO137" s="9"/>
      <c r="BP137" s="9"/>
      <c r="BQ137" s="9"/>
      <c r="BR137" s="9"/>
      <c r="BS137" s="9"/>
      <c r="BT137" s="9"/>
    </row>
    <row r="138" spans="1:72" ht="14.25" customHeight="1" x14ac:dyDescent="0.2">
      <c r="A138" s="5" t="s">
        <v>589</v>
      </c>
      <c r="B138" s="4">
        <v>10</v>
      </c>
      <c r="C138" s="10" t="s">
        <v>139</v>
      </c>
      <c r="D138" s="10" t="s">
        <v>590</v>
      </c>
      <c r="E138" s="8"/>
      <c r="F138" s="10" t="s">
        <v>591</v>
      </c>
      <c r="G138" s="8" t="str">
        <f t="shared" si="3"/>
        <v>-&gt; 119.5715 W, 49.1086 N, Elev. 289 m</v>
      </c>
      <c r="I138" s="9"/>
      <c r="J138" s="9"/>
      <c r="K138" s="9"/>
      <c r="L138" s="9"/>
      <c r="M138" s="11">
        <v>49.108600000000003</v>
      </c>
      <c r="N138" s="11">
        <v>-119.5715</v>
      </c>
      <c r="O138" s="11" t="s">
        <v>142</v>
      </c>
      <c r="P138" s="11" t="s">
        <v>592</v>
      </c>
      <c r="Q138" s="12">
        <v>1</v>
      </c>
      <c r="R138" s="11" t="s">
        <v>588</v>
      </c>
      <c r="S138" s="11" t="s">
        <v>145</v>
      </c>
      <c r="T138" s="11">
        <v>289</v>
      </c>
      <c r="U138" s="9"/>
      <c r="V138" s="9"/>
      <c r="W138" s="9"/>
      <c r="X138" s="9"/>
      <c r="Y138" s="9"/>
      <c r="Z138" s="9"/>
      <c r="AA138" s="9"/>
      <c r="AB138" s="9"/>
      <c r="AC138" s="9"/>
      <c r="AD138" s="9"/>
      <c r="AE138" s="8">
        <v>49.108600000000003</v>
      </c>
      <c r="AF138" s="8">
        <v>-119.5715</v>
      </c>
      <c r="AG138" s="8">
        <v>289</v>
      </c>
      <c r="AH138" s="9"/>
      <c r="AI138" s="9"/>
      <c r="AJ138" s="9"/>
      <c r="AK138" s="9"/>
      <c r="AL138" s="9"/>
      <c r="AM138" s="9"/>
      <c r="AN138" s="9"/>
      <c r="AO138" s="9"/>
      <c r="AP138" s="9"/>
      <c r="AQ138" s="9"/>
      <c r="AR138" s="9"/>
      <c r="AS138" s="9"/>
      <c r="AT138" s="9"/>
      <c r="AU138" s="9"/>
      <c r="AV138" s="9"/>
      <c r="AW138" s="9"/>
      <c r="AX138" s="9"/>
      <c r="AY138" s="9"/>
      <c r="AZ138" s="9"/>
      <c r="BA138" s="9"/>
      <c r="BB138" s="9"/>
      <c r="BC138" s="9"/>
      <c r="BD138" s="9"/>
      <c r="BE138" s="9"/>
      <c r="BF138" s="9"/>
      <c r="BG138" s="9"/>
      <c r="BH138" s="9"/>
      <c r="BI138" s="9"/>
      <c r="BJ138" s="9"/>
      <c r="BK138" s="9"/>
      <c r="BL138" s="9"/>
      <c r="BM138" s="9"/>
      <c r="BN138" s="9"/>
      <c r="BO138" s="9"/>
      <c r="BP138" s="9"/>
      <c r="BQ138" s="9"/>
      <c r="BR138" s="9"/>
      <c r="BS138" s="9"/>
      <c r="BT138" s="9"/>
    </row>
    <row r="139" spans="1:72" ht="14.25" customHeight="1" x14ac:dyDescent="0.2">
      <c r="A139" s="5" t="s">
        <v>596</v>
      </c>
      <c r="B139" s="4">
        <v>10</v>
      </c>
      <c r="C139" s="200" t="s">
        <v>139</v>
      </c>
      <c r="D139" s="200" t="s">
        <v>597</v>
      </c>
      <c r="E139" s="201"/>
      <c r="F139" s="200" t="s">
        <v>598</v>
      </c>
      <c r="G139" s="201" t="str">
        <f t="shared" si="3"/>
        <v>-&gt; 122.1406 W, 49.0518 N, Elev. 9 m</v>
      </c>
      <c r="I139" s="9"/>
      <c r="J139" s="9"/>
      <c r="K139" s="9"/>
      <c r="L139" s="9"/>
      <c r="M139" s="11">
        <v>49.0518</v>
      </c>
      <c r="N139" s="11">
        <v>-122.14060000000001</v>
      </c>
      <c r="O139" s="11" t="s">
        <v>183</v>
      </c>
      <c r="P139" s="11" t="s">
        <v>599</v>
      </c>
      <c r="Q139" s="12">
        <v>1</v>
      </c>
      <c r="R139" s="11" t="s">
        <v>595</v>
      </c>
      <c r="S139" s="11" t="s">
        <v>145</v>
      </c>
      <c r="T139" s="11">
        <v>9</v>
      </c>
      <c r="U139" s="9"/>
      <c r="V139" s="9"/>
      <c r="W139" s="9"/>
      <c r="X139" s="9"/>
      <c r="Y139" s="9"/>
      <c r="Z139" s="9"/>
      <c r="AA139" s="9"/>
      <c r="AB139" s="9"/>
      <c r="AC139" s="9"/>
      <c r="AD139" s="9"/>
      <c r="AE139" s="201">
        <v>49.0518</v>
      </c>
      <c r="AF139" s="201">
        <v>-122.14060000000001</v>
      </c>
      <c r="AG139" s="201">
        <v>9</v>
      </c>
      <c r="AH139" s="9"/>
      <c r="AI139" s="9"/>
      <c r="AJ139" s="9"/>
      <c r="AK139" s="9"/>
      <c r="AL139" s="9"/>
      <c r="AM139" s="9"/>
      <c r="AN139" s="9"/>
      <c r="AO139" s="9"/>
      <c r="AP139" s="9"/>
      <c r="AQ139" s="9"/>
      <c r="AR139" s="9"/>
      <c r="AS139" s="9"/>
      <c r="AT139" s="9"/>
      <c r="AU139" s="9"/>
      <c r="AV139" s="9"/>
      <c r="AW139" s="9"/>
      <c r="AX139" s="9"/>
      <c r="AY139" s="9"/>
      <c r="AZ139" s="9"/>
      <c r="BA139" s="9"/>
      <c r="BB139" s="9"/>
      <c r="BC139" s="9"/>
      <c r="BD139" s="9"/>
      <c r="BE139" s="9"/>
      <c r="BF139" s="9"/>
      <c r="BG139" s="9"/>
      <c r="BH139" s="9"/>
      <c r="BI139" s="9"/>
      <c r="BJ139" s="9"/>
      <c r="BK139" s="9"/>
      <c r="BL139" s="9"/>
      <c r="BM139" s="9"/>
      <c r="BN139" s="9"/>
      <c r="BO139" s="9"/>
      <c r="BP139" s="9"/>
      <c r="BQ139" s="9"/>
      <c r="BR139" s="9"/>
      <c r="BS139" s="9"/>
      <c r="BT139" s="9"/>
    </row>
    <row r="140" spans="1:72" ht="14.25" customHeight="1" x14ac:dyDescent="0.2">
      <c r="A140" s="5" t="s">
        <v>503</v>
      </c>
      <c r="B140" s="4">
        <v>10</v>
      </c>
      <c r="C140" s="10" t="s">
        <v>139</v>
      </c>
      <c r="D140" s="10" t="s">
        <v>504</v>
      </c>
      <c r="E140" s="8"/>
      <c r="F140" s="10" t="s">
        <v>505</v>
      </c>
      <c r="G140" s="8" t="str">
        <f t="shared" si="3"/>
        <v>-&gt; 121.2794444 W, 50.74472222 N, Elev. 446 m</v>
      </c>
      <c r="I140" s="9"/>
      <c r="J140" s="9"/>
      <c r="K140" s="9"/>
      <c r="L140" s="9"/>
      <c r="M140" s="11">
        <v>50.74472222</v>
      </c>
      <c r="N140" s="11">
        <v>-121.2794444</v>
      </c>
      <c r="O140" s="11" t="s">
        <v>142</v>
      </c>
      <c r="P140" s="11" t="s">
        <v>506</v>
      </c>
      <c r="Q140" s="12">
        <v>1</v>
      </c>
      <c r="R140" s="11" t="s">
        <v>502</v>
      </c>
      <c r="S140" s="11" t="s">
        <v>145</v>
      </c>
      <c r="T140" s="11">
        <v>446</v>
      </c>
      <c r="U140" s="9"/>
      <c r="V140" s="9"/>
      <c r="W140" s="9"/>
      <c r="X140" s="9"/>
      <c r="Y140" s="9"/>
      <c r="Z140" s="9"/>
      <c r="AA140" s="9"/>
      <c r="AB140" s="9"/>
      <c r="AC140" s="9"/>
      <c r="AD140" s="9"/>
      <c r="AE140" s="8">
        <v>50.74472222</v>
      </c>
      <c r="AF140" s="8">
        <v>-121.2794444</v>
      </c>
      <c r="AG140" s="8">
        <v>446</v>
      </c>
      <c r="AH140" s="9"/>
      <c r="AI140" s="9"/>
      <c r="AJ140" s="9"/>
      <c r="AK140" s="9"/>
      <c r="AL140" s="9"/>
      <c r="AM140" s="9"/>
      <c r="AN140" s="9"/>
      <c r="AO140" s="9"/>
      <c r="AP140" s="9"/>
      <c r="AQ140" s="9"/>
      <c r="AR140" s="9"/>
      <c r="AS140" s="9"/>
      <c r="AT140" s="9"/>
      <c r="AU140" s="9"/>
      <c r="AV140" s="9"/>
      <c r="AW140" s="9"/>
      <c r="AX140" s="9"/>
      <c r="AY140" s="9"/>
      <c r="AZ140" s="9"/>
      <c r="BA140" s="9"/>
      <c r="BB140" s="9"/>
      <c r="BC140" s="9"/>
      <c r="BD140" s="9"/>
      <c r="BE140" s="9"/>
      <c r="BF140" s="9"/>
      <c r="BG140" s="9"/>
      <c r="BH140" s="9"/>
      <c r="BI140" s="9"/>
      <c r="BJ140" s="9"/>
      <c r="BK140" s="9"/>
      <c r="BL140" s="9"/>
      <c r="BM140" s="9"/>
      <c r="BN140" s="9"/>
      <c r="BO140" s="9"/>
      <c r="BP140" s="9"/>
      <c r="BQ140" s="9"/>
      <c r="BR140" s="9"/>
      <c r="BS140" s="9"/>
      <c r="BT140" s="9"/>
    </row>
    <row r="141" spans="1:72" ht="14.25" customHeight="1" x14ac:dyDescent="0.2">
      <c r="A141" s="5" t="s">
        <v>510</v>
      </c>
      <c r="B141" s="4">
        <v>10</v>
      </c>
      <c r="C141" s="200" t="s">
        <v>139</v>
      </c>
      <c r="D141" s="200" t="s">
        <v>511</v>
      </c>
      <c r="E141" s="201"/>
      <c r="F141" s="200" t="s">
        <v>512</v>
      </c>
      <c r="G141" s="201" t="str">
        <f t="shared" si="3"/>
        <v>-&gt; 119.7083333 W, 50.80388889 N, Elev. 355 m</v>
      </c>
      <c r="I141" s="9"/>
      <c r="J141" s="9"/>
      <c r="K141" s="9"/>
      <c r="L141" s="9"/>
      <c r="M141" s="11">
        <v>50.803888890000003</v>
      </c>
      <c r="N141" s="11">
        <v>-119.70833330000001</v>
      </c>
      <c r="O141" s="11" t="s">
        <v>142</v>
      </c>
      <c r="P141" s="11" t="s">
        <v>513</v>
      </c>
      <c r="Q141" s="12">
        <v>1</v>
      </c>
      <c r="R141" s="11" t="s">
        <v>509</v>
      </c>
      <c r="S141" s="11" t="s">
        <v>145</v>
      </c>
      <c r="T141" s="11">
        <v>355</v>
      </c>
      <c r="U141" s="9"/>
      <c r="V141" s="9"/>
      <c r="W141" s="9"/>
      <c r="X141" s="9"/>
      <c r="Y141" s="9"/>
      <c r="Z141" s="9"/>
      <c r="AA141" s="9"/>
      <c r="AB141" s="9"/>
      <c r="AC141" s="9"/>
      <c r="AD141" s="9"/>
      <c r="AE141" s="201">
        <v>50.803888890000003</v>
      </c>
      <c r="AF141" s="201">
        <v>-119.70833330000001</v>
      </c>
      <c r="AG141" s="201">
        <v>355</v>
      </c>
      <c r="AH141" s="9"/>
      <c r="AI141" s="9"/>
      <c r="AJ141" s="9"/>
      <c r="AK141" s="9"/>
      <c r="AL141" s="9"/>
      <c r="AM141" s="9"/>
      <c r="AN141" s="9"/>
      <c r="AO141" s="9"/>
      <c r="AP141" s="9"/>
      <c r="AQ141" s="9"/>
      <c r="AR141" s="9"/>
      <c r="AS141" s="9"/>
      <c r="AT141" s="9"/>
      <c r="AU141" s="9"/>
      <c r="AV141" s="9"/>
      <c r="AW141" s="9"/>
      <c r="AX141" s="9"/>
      <c r="AY141" s="9"/>
      <c r="AZ141" s="9"/>
      <c r="BA141" s="9"/>
      <c r="BB141" s="9"/>
      <c r="BC141" s="9"/>
      <c r="BD141" s="9"/>
      <c r="BE141" s="9"/>
      <c r="BF141" s="9"/>
      <c r="BG141" s="9"/>
      <c r="BH141" s="9"/>
      <c r="BI141" s="9"/>
      <c r="BJ141" s="9"/>
      <c r="BK141" s="9"/>
      <c r="BL141" s="9"/>
      <c r="BM141" s="9"/>
      <c r="BN141" s="9"/>
      <c r="BO141" s="9"/>
      <c r="BP141" s="9"/>
      <c r="BQ141" s="9"/>
      <c r="BR141" s="9"/>
      <c r="BS141" s="9"/>
      <c r="BT141" s="9"/>
    </row>
    <row r="142" spans="1:72" ht="14.25" customHeight="1" x14ac:dyDescent="0.2">
      <c r="A142" s="5" t="s">
        <v>517</v>
      </c>
      <c r="B142" s="4">
        <v>10</v>
      </c>
      <c r="C142" s="10" t="s">
        <v>139</v>
      </c>
      <c r="D142" s="10" t="s">
        <v>518</v>
      </c>
      <c r="E142" s="8"/>
      <c r="F142" s="10" t="s">
        <v>519</v>
      </c>
      <c r="G142" s="8" t="str">
        <f t="shared" si="3"/>
        <v>-&gt; 120.8911111 W, 50.01166667 N, Elev. 718 m</v>
      </c>
      <c r="I142" s="9"/>
      <c r="J142" s="9"/>
      <c r="K142" s="17"/>
      <c r="L142" s="17"/>
      <c r="M142" s="11">
        <v>50.011666669999997</v>
      </c>
      <c r="N142" s="11">
        <v>-120.8911111</v>
      </c>
      <c r="O142" s="11" t="s">
        <v>142</v>
      </c>
      <c r="P142" s="11" t="s">
        <v>520</v>
      </c>
      <c r="Q142" s="12">
        <v>2</v>
      </c>
      <c r="R142" s="11" t="s">
        <v>516</v>
      </c>
      <c r="S142" s="11" t="s">
        <v>145</v>
      </c>
      <c r="T142" s="11">
        <v>718</v>
      </c>
      <c r="U142" s="17"/>
      <c r="V142" s="17"/>
      <c r="W142" s="17"/>
      <c r="X142" s="17"/>
      <c r="Y142" s="17"/>
      <c r="Z142" s="17"/>
      <c r="AA142" s="17"/>
      <c r="AB142" s="17"/>
      <c r="AC142" s="17"/>
      <c r="AD142" s="17"/>
      <c r="AE142" s="8">
        <v>50.011666669999997</v>
      </c>
      <c r="AF142" s="8">
        <v>-120.8911111</v>
      </c>
      <c r="AG142" s="8">
        <v>718</v>
      </c>
      <c r="AH142" s="17"/>
      <c r="AI142" s="17"/>
      <c r="AJ142" s="17"/>
      <c r="AK142" s="17"/>
      <c r="AL142" s="17"/>
      <c r="AM142" s="17"/>
      <c r="AN142" s="17"/>
      <c r="AO142" s="17"/>
      <c r="AP142" s="17"/>
      <c r="AQ142" s="17"/>
      <c r="AR142" s="17"/>
      <c r="AS142" s="17"/>
      <c r="AT142" s="17"/>
      <c r="AU142" s="17"/>
      <c r="AV142" s="17"/>
      <c r="AW142" s="17"/>
      <c r="AX142" s="17"/>
      <c r="AY142" s="17"/>
      <c r="AZ142" s="17"/>
      <c r="BA142" s="17"/>
      <c r="BB142" s="17"/>
      <c r="BC142" s="17"/>
      <c r="BD142" s="17"/>
      <c r="BE142" s="17"/>
      <c r="BF142" s="17"/>
      <c r="BG142" s="17"/>
      <c r="BH142" s="17"/>
      <c r="BI142" s="17"/>
      <c r="BJ142" s="17"/>
      <c r="BK142" s="17"/>
      <c r="BL142" s="17"/>
      <c r="BM142" s="17"/>
      <c r="BN142" s="17"/>
      <c r="BO142" s="17"/>
      <c r="BP142" s="17"/>
      <c r="BQ142" s="17"/>
      <c r="BR142" s="17"/>
      <c r="BS142" s="17"/>
      <c r="BT142" s="17"/>
    </row>
    <row r="143" spans="1:72" ht="14.25" customHeight="1" x14ac:dyDescent="0.2">
      <c r="A143" s="5" t="s">
        <v>524</v>
      </c>
      <c r="B143" s="4">
        <v>10</v>
      </c>
      <c r="C143" s="200" t="s">
        <v>139</v>
      </c>
      <c r="D143" s="200" t="s">
        <v>525</v>
      </c>
      <c r="E143" s="201"/>
      <c r="F143" s="200" t="s">
        <v>526</v>
      </c>
      <c r="G143" s="201" t="str">
        <f t="shared" si="3"/>
        <v>-&gt; 119.1941667 W, 50.6275 N, Elev. 517 m</v>
      </c>
      <c r="I143" s="9"/>
      <c r="J143" s="9"/>
      <c r="K143" s="9"/>
      <c r="L143" s="9"/>
      <c r="M143" s="11">
        <v>50.627499999999998</v>
      </c>
      <c r="N143" s="11">
        <v>-119.1941667</v>
      </c>
      <c r="O143" s="11" t="s">
        <v>142</v>
      </c>
      <c r="P143" s="11" t="s">
        <v>527</v>
      </c>
      <c r="Q143" s="12">
        <v>1</v>
      </c>
      <c r="R143" s="11" t="s">
        <v>523</v>
      </c>
      <c r="S143" s="11" t="s">
        <v>145</v>
      </c>
      <c r="T143" s="11">
        <v>517</v>
      </c>
      <c r="U143" s="9"/>
      <c r="V143" s="9"/>
      <c r="W143" s="9"/>
      <c r="X143" s="9"/>
      <c r="Y143" s="9"/>
      <c r="Z143" s="9"/>
      <c r="AA143" s="9"/>
      <c r="AB143" s="9"/>
      <c r="AC143" s="9"/>
      <c r="AD143" s="9"/>
      <c r="AE143" s="201">
        <v>50.627499999999998</v>
      </c>
      <c r="AF143" s="201">
        <v>-119.1941667</v>
      </c>
      <c r="AG143" s="201">
        <v>517</v>
      </c>
      <c r="AH143" s="9"/>
      <c r="AI143" s="9"/>
      <c r="AJ143" s="9"/>
      <c r="AK143" s="9"/>
      <c r="AL143" s="9"/>
      <c r="AM143" s="9"/>
      <c r="AN143" s="9"/>
      <c r="AO143" s="9"/>
      <c r="AP143" s="9"/>
      <c r="AQ143" s="9"/>
      <c r="AR143" s="9"/>
      <c r="AS143" s="9"/>
      <c r="AT143" s="9"/>
      <c r="AU143" s="9"/>
      <c r="AV143" s="9"/>
      <c r="AW143" s="9"/>
      <c r="AX143" s="9"/>
      <c r="AY143" s="9"/>
      <c r="AZ143" s="9"/>
      <c r="BA143" s="9"/>
      <c r="BB143" s="9"/>
      <c r="BC143" s="9"/>
      <c r="BD143" s="9"/>
      <c r="BE143" s="9"/>
      <c r="BF143" s="9"/>
      <c r="BG143" s="9"/>
      <c r="BH143" s="9"/>
      <c r="BI143" s="9"/>
      <c r="BJ143" s="9"/>
      <c r="BK143" s="9"/>
      <c r="BL143" s="9"/>
      <c r="BM143" s="9"/>
      <c r="BN143" s="9"/>
      <c r="BO143" s="9"/>
      <c r="BP143" s="9"/>
      <c r="BQ143" s="9"/>
      <c r="BR143" s="9"/>
      <c r="BS143" s="9"/>
      <c r="BT143" s="9"/>
    </row>
    <row r="144" spans="1:72" ht="14.25" customHeight="1" x14ac:dyDescent="0.2">
      <c r="A144" s="5" t="s">
        <v>531</v>
      </c>
      <c r="B144" s="4">
        <v>10</v>
      </c>
      <c r="C144" s="10" t="s">
        <v>139</v>
      </c>
      <c r="D144" s="10" t="s">
        <v>532</v>
      </c>
      <c r="E144" s="8"/>
      <c r="F144" s="10" t="s">
        <v>533</v>
      </c>
      <c r="G144" s="8" t="str">
        <f t="shared" si="3"/>
        <v>-&gt; 121.8672222 W, 50.85166667 N, Elev. 450 m</v>
      </c>
      <c r="I144" s="9"/>
      <c r="J144" s="9"/>
      <c r="K144" s="9"/>
      <c r="L144" s="9"/>
      <c r="M144" s="11">
        <v>50.85166667</v>
      </c>
      <c r="N144" s="11">
        <v>-121.8672222</v>
      </c>
      <c r="O144" s="11" t="s">
        <v>142</v>
      </c>
      <c r="P144" s="11" t="s">
        <v>534</v>
      </c>
      <c r="Q144" s="12">
        <v>1</v>
      </c>
      <c r="R144" s="11" t="s">
        <v>535</v>
      </c>
      <c r="S144" s="11" t="s">
        <v>145</v>
      </c>
      <c r="T144" s="11">
        <v>450</v>
      </c>
      <c r="U144" s="9"/>
      <c r="V144" s="9"/>
      <c r="W144" s="9"/>
      <c r="X144" s="9"/>
      <c r="Y144" s="9"/>
      <c r="Z144" s="9"/>
      <c r="AA144" s="9"/>
      <c r="AB144" s="9"/>
      <c r="AC144" s="9"/>
      <c r="AD144" s="9"/>
      <c r="AE144" s="8">
        <v>50.85166667</v>
      </c>
      <c r="AF144" s="8">
        <v>-121.8672222</v>
      </c>
      <c r="AG144" s="8">
        <v>450</v>
      </c>
      <c r="AH144" s="9"/>
      <c r="AI144" s="9"/>
      <c r="AJ144" s="9"/>
      <c r="AK144" s="9"/>
      <c r="AL144" s="9"/>
      <c r="AM144" s="9"/>
      <c r="AN144" s="9"/>
      <c r="AO144" s="9"/>
      <c r="AP144" s="9"/>
      <c r="AQ144" s="9"/>
      <c r="AR144" s="9"/>
      <c r="AS144" s="9"/>
      <c r="AT144" s="9"/>
      <c r="AU144" s="9"/>
      <c r="AV144" s="9"/>
      <c r="AW144" s="9"/>
      <c r="AX144" s="9"/>
      <c r="AY144" s="9"/>
      <c r="AZ144" s="9"/>
      <c r="BA144" s="9"/>
      <c r="BB144" s="9"/>
      <c r="BC144" s="9"/>
      <c r="BD144" s="9"/>
      <c r="BE144" s="9"/>
      <c r="BF144" s="9"/>
      <c r="BG144" s="9"/>
      <c r="BH144" s="9"/>
      <c r="BI144" s="9"/>
      <c r="BJ144" s="9"/>
      <c r="BK144" s="9"/>
      <c r="BL144" s="9"/>
      <c r="BM144" s="9"/>
      <c r="BN144" s="9"/>
      <c r="BO144" s="9"/>
      <c r="BP144" s="9"/>
      <c r="BQ144" s="9"/>
      <c r="BR144" s="9"/>
      <c r="BS144" s="9"/>
      <c r="BT144" s="9"/>
    </row>
    <row r="145" spans="1:72" ht="14.25" customHeight="1" x14ac:dyDescent="0.2">
      <c r="A145" s="5" t="s">
        <v>539</v>
      </c>
      <c r="B145" s="4">
        <v>10</v>
      </c>
      <c r="C145" s="200" t="s">
        <v>139</v>
      </c>
      <c r="D145" s="200" t="s">
        <v>540</v>
      </c>
      <c r="E145" s="201"/>
      <c r="F145" s="200" t="s">
        <v>541</v>
      </c>
      <c r="G145" s="201" t="str">
        <f t="shared" si="3"/>
        <v>-&gt; 120.0247222 W, 50.20472222 N, Elev. 952 m</v>
      </c>
      <c r="I145" s="9"/>
      <c r="J145" s="9"/>
      <c r="K145" s="9"/>
      <c r="L145" s="9"/>
      <c r="M145" s="11">
        <v>50.204722220000001</v>
      </c>
      <c r="N145" s="11">
        <v>-120.0247222</v>
      </c>
      <c r="O145" s="11" t="s">
        <v>142</v>
      </c>
      <c r="P145" s="11" t="s">
        <v>542</v>
      </c>
      <c r="Q145" s="12">
        <v>2</v>
      </c>
      <c r="R145" s="11" t="s">
        <v>538</v>
      </c>
      <c r="S145" s="11" t="s">
        <v>145</v>
      </c>
      <c r="T145" s="11">
        <v>952</v>
      </c>
      <c r="U145" s="9"/>
      <c r="V145" s="9"/>
      <c r="W145" s="9"/>
      <c r="X145" s="9"/>
      <c r="Y145" s="9"/>
      <c r="Z145" s="9"/>
      <c r="AA145" s="9"/>
      <c r="AB145" s="9"/>
      <c r="AC145" s="9"/>
      <c r="AD145" s="9"/>
      <c r="AE145" s="201">
        <v>50.204722220000001</v>
      </c>
      <c r="AF145" s="201">
        <v>-120.0247222</v>
      </c>
      <c r="AG145" s="201">
        <v>952</v>
      </c>
      <c r="AH145" s="9"/>
      <c r="AI145" s="9"/>
      <c r="AJ145" s="9"/>
      <c r="AK145" s="9"/>
      <c r="AL145" s="9"/>
      <c r="AM145" s="9"/>
      <c r="AN145" s="9"/>
      <c r="AO145" s="9"/>
      <c r="AP145" s="9"/>
      <c r="AQ145" s="9"/>
      <c r="AR145" s="9"/>
      <c r="AS145" s="9"/>
      <c r="AT145" s="9"/>
      <c r="AU145" s="9"/>
      <c r="AV145" s="9"/>
      <c r="AW145" s="9"/>
      <c r="AX145" s="9"/>
      <c r="AY145" s="9"/>
      <c r="AZ145" s="9"/>
      <c r="BA145" s="9"/>
      <c r="BB145" s="9"/>
      <c r="BC145" s="9"/>
      <c r="BD145" s="9"/>
      <c r="BE145" s="9"/>
      <c r="BF145" s="9"/>
      <c r="BG145" s="9"/>
      <c r="BH145" s="9"/>
      <c r="BI145" s="9"/>
      <c r="BJ145" s="9"/>
      <c r="BK145" s="9"/>
      <c r="BL145" s="9"/>
      <c r="BM145" s="9"/>
      <c r="BN145" s="9"/>
      <c r="BO145" s="9"/>
      <c r="BP145" s="9"/>
      <c r="BQ145" s="9"/>
      <c r="BR145" s="9"/>
      <c r="BS145" s="9"/>
      <c r="BT145" s="9"/>
    </row>
    <row r="146" spans="1:72" ht="14.25" customHeight="1" x14ac:dyDescent="0.2">
      <c r="A146" s="5" t="s">
        <v>625</v>
      </c>
      <c r="B146" s="4">
        <v>10</v>
      </c>
      <c r="C146" s="10" t="s">
        <v>139</v>
      </c>
      <c r="D146" s="10" t="s">
        <v>626</v>
      </c>
      <c r="E146" s="8"/>
      <c r="F146" s="10" t="s">
        <v>627</v>
      </c>
      <c r="G146" s="8" t="str">
        <f t="shared" si="3"/>
        <v>-&gt; 119.137926 W, 50.600903 N, Elev. 385 m</v>
      </c>
      <c r="I146" s="9"/>
      <c r="J146" s="9"/>
      <c r="K146" s="17"/>
      <c r="L146" s="17"/>
      <c r="M146" s="11">
        <v>50.600903000000002</v>
      </c>
      <c r="N146" s="11">
        <v>-119.13792599999999</v>
      </c>
      <c r="O146" s="11" t="s">
        <v>142</v>
      </c>
      <c r="P146" s="11" t="s">
        <v>628</v>
      </c>
      <c r="Q146" s="12">
        <v>1</v>
      </c>
      <c r="R146" s="11" t="s">
        <v>624</v>
      </c>
      <c r="S146" s="11" t="s">
        <v>145</v>
      </c>
      <c r="T146" s="11">
        <v>385</v>
      </c>
      <c r="U146" s="17"/>
      <c r="V146" s="17"/>
      <c r="W146" s="17"/>
      <c r="X146" s="17"/>
      <c r="Y146" s="17"/>
      <c r="Z146" s="17"/>
      <c r="AA146" s="17"/>
      <c r="AB146" s="17"/>
      <c r="AC146" s="17"/>
      <c r="AD146" s="17"/>
      <c r="AE146" s="8">
        <v>50.600903000000002</v>
      </c>
      <c r="AF146" s="8">
        <v>-119.13792599999999</v>
      </c>
      <c r="AG146" s="8">
        <v>385</v>
      </c>
      <c r="AH146" s="17"/>
      <c r="AI146" s="17"/>
      <c r="AJ146" s="17"/>
      <c r="AK146" s="17"/>
      <c r="AL146" s="17"/>
      <c r="AM146" s="17"/>
      <c r="AN146" s="17"/>
      <c r="AO146" s="17"/>
      <c r="AP146" s="17"/>
      <c r="AQ146" s="17"/>
      <c r="AR146" s="17"/>
      <c r="AS146" s="17"/>
      <c r="AT146" s="17"/>
      <c r="AU146" s="17"/>
      <c r="AV146" s="17"/>
      <c r="AW146" s="17"/>
      <c r="AX146" s="17"/>
      <c r="AY146" s="17"/>
      <c r="AZ146" s="17"/>
      <c r="BA146" s="17"/>
      <c r="BB146" s="17"/>
      <c r="BC146" s="17"/>
      <c r="BD146" s="17"/>
      <c r="BE146" s="17"/>
      <c r="BF146" s="17"/>
      <c r="BG146" s="17"/>
      <c r="BH146" s="17"/>
      <c r="BI146" s="17"/>
      <c r="BJ146" s="17"/>
      <c r="BK146" s="17"/>
      <c r="BL146" s="17"/>
      <c r="BM146" s="17"/>
      <c r="BN146" s="17"/>
      <c r="BO146" s="17"/>
      <c r="BP146" s="17"/>
      <c r="BQ146" s="17"/>
      <c r="BR146" s="17"/>
      <c r="BS146" s="17"/>
      <c r="BT146" s="17"/>
    </row>
    <row r="147" spans="1:72" ht="14.25" customHeight="1" x14ac:dyDescent="0.2">
      <c r="A147" s="5" t="s">
        <v>546</v>
      </c>
      <c r="B147" s="4">
        <v>10</v>
      </c>
      <c r="C147" s="200" t="s">
        <v>139</v>
      </c>
      <c r="D147" s="200" t="s">
        <v>547</v>
      </c>
      <c r="E147" s="201"/>
      <c r="F147" s="200" t="s">
        <v>548</v>
      </c>
      <c r="G147" s="201" t="str">
        <f t="shared" si="3"/>
        <v>-&gt; 121.7172222 W, 50.48666667 N, Elev. 300 m</v>
      </c>
      <c r="I147" s="9"/>
      <c r="J147" s="9"/>
      <c r="K147" s="9"/>
      <c r="L147" s="9"/>
      <c r="M147" s="11">
        <v>50.486666669999998</v>
      </c>
      <c r="N147" s="11">
        <v>-121.71722219999999</v>
      </c>
      <c r="O147" s="11" t="s">
        <v>142</v>
      </c>
      <c r="P147" s="11" t="s">
        <v>549</v>
      </c>
      <c r="Q147" s="12">
        <v>1</v>
      </c>
      <c r="R147" s="11" t="s">
        <v>550</v>
      </c>
      <c r="S147" s="11" t="s">
        <v>145</v>
      </c>
      <c r="T147" s="11">
        <v>300</v>
      </c>
      <c r="U147" s="9"/>
      <c r="V147" s="9"/>
      <c r="W147" s="9"/>
      <c r="X147" s="9"/>
      <c r="Y147" s="9"/>
      <c r="Z147" s="9"/>
      <c r="AA147" s="9"/>
      <c r="AB147" s="9"/>
      <c r="AC147" s="9"/>
      <c r="AD147" s="9"/>
      <c r="AE147" s="201">
        <v>50.486666669999998</v>
      </c>
      <c r="AF147" s="201">
        <v>-121.71722219999999</v>
      </c>
      <c r="AG147" s="201">
        <v>300</v>
      </c>
      <c r="AH147" s="9"/>
      <c r="AI147" s="9"/>
      <c r="AJ147" s="9"/>
      <c r="AK147" s="9"/>
      <c r="AL147" s="9"/>
      <c r="AM147" s="9"/>
      <c r="AN147" s="9"/>
      <c r="AO147" s="9"/>
      <c r="AP147" s="9"/>
      <c r="AQ147" s="9"/>
      <c r="AR147" s="9"/>
      <c r="AS147" s="9"/>
      <c r="AT147" s="9"/>
      <c r="AU147" s="9"/>
      <c r="AV147" s="9"/>
      <c r="AW147" s="9"/>
      <c r="AX147" s="9"/>
      <c r="AY147" s="9"/>
      <c r="AZ147" s="9"/>
      <c r="BA147" s="9"/>
      <c r="BB147" s="9"/>
      <c r="BC147" s="9"/>
      <c r="BD147" s="9"/>
      <c r="BE147" s="9"/>
      <c r="BF147" s="9"/>
      <c r="BG147" s="9"/>
      <c r="BH147" s="9"/>
      <c r="BI147" s="9"/>
      <c r="BJ147" s="9"/>
      <c r="BK147" s="9"/>
      <c r="BL147" s="9"/>
      <c r="BM147" s="9"/>
      <c r="BN147" s="9"/>
      <c r="BO147" s="9"/>
      <c r="BP147" s="9"/>
      <c r="BQ147" s="9"/>
      <c r="BR147" s="9"/>
      <c r="BS147" s="9"/>
      <c r="BT147" s="9"/>
    </row>
    <row r="148" spans="1:72" ht="14.25" customHeight="1" x14ac:dyDescent="0.2">
      <c r="A148" s="5" t="s">
        <v>554</v>
      </c>
      <c r="B148" s="4">
        <v>10</v>
      </c>
      <c r="C148" s="10" t="s">
        <v>139</v>
      </c>
      <c r="D148" s="10" t="s">
        <v>555</v>
      </c>
      <c r="E148" s="8"/>
      <c r="F148" s="10" t="s">
        <v>556</v>
      </c>
      <c r="G148" s="8" t="str">
        <f t="shared" si="3"/>
        <v>-&gt; 120.8913889 W, 50.89444444 N, Elev. 728 m</v>
      </c>
      <c r="I148" s="9"/>
      <c r="J148" s="9"/>
      <c r="K148" s="9"/>
      <c r="L148" s="9"/>
      <c r="M148" s="11">
        <v>50.894444440000001</v>
      </c>
      <c r="N148" s="11">
        <v>-120.8913889</v>
      </c>
      <c r="O148" s="11" t="s">
        <v>142</v>
      </c>
      <c r="P148" s="11" t="s">
        <v>557</v>
      </c>
      <c r="Q148" s="12">
        <v>2</v>
      </c>
      <c r="R148" s="11" t="s">
        <v>558</v>
      </c>
      <c r="S148" s="11" t="s">
        <v>145</v>
      </c>
      <c r="T148" s="11">
        <v>728</v>
      </c>
      <c r="U148" s="9"/>
      <c r="V148" s="9"/>
      <c r="W148" s="9"/>
      <c r="X148" s="9"/>
      <c r="Y148" s="9"/>
      <c r="Z148" s="9"/>
      <c r="AA148" s="9"/>
      <c r="AB148" s="9"/>
      <c r="AC148" s="9"/>
      <c r="AD148" s="9"/>
      <c r="AE148" s="8">
        <v>50.894444440000001</v>
      </c>
      <c r="AF148" s="8">
        <v>-120.8913889</v>
      </c>
      <c r="AG148" s="8">
        <v>728</v>
      </c>
      <c r="AH148" s="9"/>
      <c r="AI148" s="9"/>
      <c r="AJ148" s="9"/>
      <c r="AK148" s="9"/>
      <c r="AL148" s="9"/>
      <c r="AM148" s="9"/>
      <c r="AN148" s="9"/>
      <c r="AO148" s="9"/>
      <c r="AP148" s="9"/>
      <c r="AQ148" s="9"/>
      <c r="AR148" s="9"/>
      <c r="AS148" s="9"/>
      <c r="AT148" s="9"/>
      <c r="AU148" s="9"/>
      <c r="AV148" s="9"/>
      <c r="AW148" s="9"/>
      <c r="AX148" s="9"/>
      <c r="AY148" s="9"/>
      <c r="AZ148" s="9"/>
      <c r="BA148" s="9"/>
      <c r="BB148" s="9"/>
      <c r="BC148" s="9"/>
      <c r="BD148" s="9"/>
      <c r="BE148" s="9"/>
      <c r="BF148" s="9"/>
      <c r="BG148" s="9"/>
      <c r="BH148" s="9"/>
      <c r="BI148" s="9"/>
      <c r="BJ148" s="9"/>
      <c r="BK148" s="9"/>
      <c r="BL148" s="9"/>
      <c r="BM148" s="9"/>
      <c r="BN148" s="9"/>
      <c r="BO148" s="9"/>
      <c r="BP148" s="9"/>
      <c r="BQ148" s="9"/>
      <c r="BR148" s="9"/>
      <c r="BS148" s="9"/>
      <c r="BT148" s="9"/>
    </row>
    <row r="149" spans="1:72" ht="14.25" customHeight="1" x14ac:dyDescent="0.2">
      <c r="A149" s="5" t="s">
        <v>481</v>
      </c>
      <c r="B149" s="4">
        <v>10</v>
      </c>
      <c r="C149" s="200" t="s">
        <v>139</v>
      </c>
      <c r="D149" s="200" t="s">
        <v>482</v>
      </c>
      <c r="E149" s="9"/>
      <c r="F149" s="200" t="s">
        <v>483</v>
      </c>
      <c r="G149" s="201" t="str">
        <f t="shared" si="3"/>
        <v>-&gt; 120.8044444 W, 50.36222222 N, Elev. 979 m</v>
      </c>
      <c r="H149" s="9"/>
      <c r="I149" s="9"/>
      <c r="J149" s="9"/>
      <c r="K149" s="9"/>
      <c r="L149" s="9"/>
      <c r="M149" s="11">
        <v>50.36222222</v>
      </c>
      <c r="N149" s="11">
        <v>-120.80444439999999</v>
      </c>
      <c r="O149" s="11" t="s">
        <v>142</v>
      </c>
      <c r="P149" s="11" t="s">
        <v>484</v>
      </c>
      <c r="Q149" s="12">
        <v>2</v>
      </c>
      <c r="R149" s="11" t="s">
        <v>480</v>
      </c>
      <c r="S149" s="11" t="s">
        <v>145</v>
      </c>
      <c r="T149" s="11">
        <v>979</v>
      </c>
      <c r="U149" s="9"/>
      <c r="V149" s="9"/>
      <c r="W149" s="9"/>
      <c r="X149" s="9"/>
      <c r="Y149" s="9"/>
      <c r="Z149" s="9"/>
      <c r="AA149" s="9"/>
      <c r="AB149" s="9"/>
      <c r="AC149" s="9"/>
      <c r="AD149" s="9"/>
      <c r="AE149" s="201">
        <v>50.36222222</v>
      </c>
      <c r="AF149" s="201">
        <v>-120.80444439999999</v>
      </c>
      <c r="AG149" s="201">
        <v>979</v>
      </c>
      <c r="AH149" s="9"/>
      <c r="AI149" s="9"/>
      <c r="AJ149" s="9"/>
      <c r="AK149" s="9"/>
      <c r="AL149" s="9"/>
      <c r="AM149" s="9"/>
      <c r="AN149" s="9"/>
      <c r="AO149" s="9"/>
      <c r="AP149" s="9"/>
      <c r="AQ149" s="9"/>
      <c r="AR149" s="9"/>
      <c r="AS149" s="9"/>
      <c r="AT149" s="9"/>
      <c r="AU149" s="9"/>
      <c r="AV149" s="9"/>
      <c r="AW149" s="9"/>
      <c r="AX149" s="9"/>
      <c r="AY149" s="9"/>
      <c r="AZ149" s="9"/>
      <c r="BA149" s="9"/>
      <c r="BB149" s="9"/>
      <c r="BC149" s="9"/>
      <c r="BD149" s="9"/>
      <c r="BE149" s="9"/>
      <c r="BF149" s="9"/>
      <c r="BG149" s="9"/>
      <c r="BH149" s="9"/>
      <c r="BI149" s="9"/>
      <c r="BJ149" s="9"/>
      <c r="BK149" s="9"/>
      <c r="BL149" s="9"/>
      <c r="BM149" s="9"/>
      <c r="BN149" s="9"/>
      <c r="BO149" s="9"/>
      <c r="BP149" s="9"/>
      <c r="BQ149" s="9"/>
      <c r="BR149" s="9"/>
      <c r="BS149" s="9"/>
      <c r="BT149" s="9"/>
    </row>
    <row r="150" spans="1:72" ht="14.25" customHeight="1" x14ac:dyDescent="0.2">
      <c r="A150" s="5" t="s">
        <v>488</v>
      </c>
      <c r="B150" s="4">
        <v>10</v>
      </c>
      <c r="C150" s="10" t="s">
        <v>139</v>
      </c>
      <c r="D150" s="10" t="s">
        <v>489</v>
      </c>
      <c r="E150" s="8"/>
      <c r="F150" s="10" t="s">
        <v>490</v>
      </c>
      <c r="G150" s="8" t="str">
        <f t="shared" si="3"/>
        <v>-&gt; 118.7758333 W, 50.39361111 N, Elev. 729 m</v>
      </c>
      <c r="I150" s="9"/>
      <c r="J150" s="9"/>
      <c r="K150" s="9"/>
      <c r="L150" s="9"/>
      <c r="M150" s="11">
        <v>50.393611110000002</v>
      </c>
      <c r="N150" s="11">
        <v>-118.7758333</v>
      </c>
      <c r="O150" s="11" t="s">
        <v>142</v>
      </c>
      <c r="P150" s="11" t="s">
        <v>491</v>
      </c>
      <c r="Q150" s="12">
        <v>2</v>
      </c>
      <c r="R150" s="11" t="s">
        <v>487</v>
      </c>
      <c r="S150" s="11" t="s">
        <v>145</v>
      </c>
      <c r="T150" s="11">
        <v>729</v>
      </c>
      <c r="U150" s="9"/>
      <c r="V150" s="9"/>
      <c r="W150" s="9"/>
      <c r="X150" s="9"/>
      <c r="Y150" s="9"/>
      <c r="Z150" s="9"/>
      <c r="AA150" s="9"/>
      <c r="AB150" s="9"/>
      <c r="AC150" s="9"/>
      <c r="AD150" s="9"/>
      <c r="AE150" s="8">
        <v>50.393611110000002</v>
      </c>
      <c r="AF150" s="8">
        <v>-118.7758333</v>
      </c>
      <c r="AG150" s="8">
        <v>729</v>
      </c>
      <c r="AH150" s="9"/>
      <c r="AI150" s="9"/>
      <c r="AJ150" s="9"/>
      <c r="AK150" s="9"/>
      <c r="AL150" s="9"/>
      <c r="AM150" s="9"/>
      <c r="AN150" s="9"/>
      <c r="AO150" s="9"/>
      <c r="AP150" s="9"/>
      <c r="AQ150" s="9"/>
      <c r="AR150" s="9"/>
      <c r="AS150" s="9"/>
      <c r="AT150" s="9"/>
      <c r="AU150" s="9"/>
      <c r="AV150" s="9"/>
      <c r="AW150" s="9"/>
      <c r="AX150" s="9"/>
      <c r="AY150" s="9"/>
      <c r="AZ150" s="9"/>
      <c r="BA150" s="9"/>
      <c r="BB150" s="9"/>
      <c r="BC150" s="9"/>
      <c r="BD150" s="9"/>
      <c r="BE150" s="9"/>
      <c r="BF150" s="9"/>
      <c r="BG150" s="9"/>
      <c r="BH150" s="9"/>
      <c r="BI150" s="9"/>
      <c r="BJ150" s="9"/>
      <c r="BK150" s="9"/>
      <c r="BL150" s="9"/>
      <c r="BM150" s="9"/>
      <c r="BN150" s="9"/>
      <c r="BO150" s="9"/>
      <c r="BP150" s="9"/>
      <c r="BQ150" s="9"/>
      <c r="BR150" s="9"/>
      <c r="BS150" s="9"/>
      <c r="BT150" s="9"/>
    </row>
    <row r="151" spans="1:72" ht="14.25" customHeight="1" x14ac:dyDescent="0.2">
      <c r="A151" s="5" t="s">
        <v>562</v>
      </c>
      <c r="B151" s="4">
        <v>10</v>
      </c>
      <c r="C151" s="200" t="s">
        <v>139</v>
      </c>
      <c r="D151" s="200" t="s">
        <v>563</v>
      </c>
      <c r="E151" s="201"/>
      <c r="F151" s="200" t="s">
        <v>564</v>
      </c>
      <c r="G151" s="201" t="str">
        <f t="shared" si="3"/>
        <v>-&gt; 120.496103 W, 50.168431 N, Elev. 316 m</v>
      </c>
      <c r="I151" s="9"/>
      <c r="J151" s="9"/>
      <c r="K151" s="9"/>
      <c r="L151" s="9"/>
      <c r="M151" s="11">
        <v>50.168430999999998</v>
      </c>
      <c r="N151" s="11">
        <v>-120.49610300000001</v>
      </c>
      <c r="O151" s="11" t="s">
        <v>142</v>
      </c>
      <c r="P151" s="11" t="s">
        <v>565</v>
      </c>
      <c r="Q151" s="12">
        <v>1</v>
      </c>
      <c r="R151" s="11" t="s">
        <v>561</v>
      </c>
      <c r="S151" s="11" t="s">
        <v>145</v>
      </c>
      <c r="T151" s="11">
        <v>316</v>
      </c>
      <c r="U151" s="9"/>
      <c r="V151" s="9"/>
      <c r="W151" s="9"/>
      <c r="X151" s="9"/>
      <c r="Y151" s="9"/>
      <c r="Z151" s="9"/>
      <c r="AA151" s="9"/>
      <c r="AB151" s="9"/>
      <c r="AC151" s="9"/>
      <c r="AD151" s="9"/>
      <c r="AE151" s="201">
        <v>50.168430999999998</v>
      </c>
      <c r="AF151" s="201">
        <v>-120.49610300000001</v>
      </c>
      <c r="AG151" s="201">
        <v>316</v>
      </c>
      <c r="AH151" s="9"/>
      <c r="AI151" s="9"/>
      <c r="AJ151" s="9"/>
      <c r="AK151" s="9"/>
      <c r="AL151" s="9"/>
      <c r="AM151" s="9"/>
      <c r="AN151" s="9"/>
      <c r="AO151" s="9"/>
      <c r="AP151" s="9"/>
      <c r="AQ151" s="9"/>
      <c r="AR151" s="9"/>
      <c r="AS151" s="9"/>
      <c r="AT151" s="9"/>
      <c r="AU151" s="9"/>
      <c r="AV151" s="9"/>
      <c r="AW151" s="9"/>
      <c r="AX151" s="9"/>
      <c r="AY151" s="9"/>
      <c r="AZ151" s="9"/>
      <c r="BA151" s="9"/>
      <c r="BB151" s="9"/>
      <c r="BC151" s="9"/>
      <c r="BD151" s="9"/>
      <c r="BE151" s="9"/>
      <c r="BF151" s="9"/>
      <c r="BG151" s="9"/>
      <c r="BH151" s="9"/>
      <c r="BI151" s="9"/>
      <c r="BJ151" s="9"/>
      <c r="BK151" s="9"/>
      <c r="BL151" s="9"/>
      <c r="BM151" s="9"/>
      <c r="BN151" s="9"/>
      <c r="BO151" s="9"/>
      <c r="BP151" s="9"/>
      <c r="BQ151" s="9"/>
      <c r="BR151" s="9"/>
      <c r="BS151" s="9"/>
      <c r="BT151" s="9"/>
    </row>
    <row r="152" spans="1:72" ht="14.25" customHeight="1" x14ac:dyDescent="0.2">
      <c r="A152" s="5" t="s">
        <v>603</v>
      </c>
      <c r="B152" s="4">
        <v>10</v>
      </c>
      <c r="C152" s="10" t="s">
        <v>139</v>
      </c>
      <c r="D152" s="10" t="s">
        <v>604</v>
      </c>
      <c r="E152" s="8"/>
      <c r="F152" s="10" t="s">
        <v>605</v>
      </c>
      <c r="G152" s="8" t="str">
        <f t="shared" si="3"/>
        <v>-&gt; 119.3585 W, 50.093 N, Elev. 538 m</v>
      </c>
      <c r="I152" s="9"/>
      <c r="J152" s="9"/>
      <c r="K152" s="9"/>
      <c r="L152" s="9"/>
      <c r="M152" s="11">
        <v>50.093000000000004</v>
      </c>
      <c r="N152" s="11">
        <v>-119.35850000000001</v>
      </c>
      <c r="O152" s="11" t="s">
        <v>142</v>
      </c>
      <c r="P152" s="11" t="s">
        <v>606</v>
      </c>
      <c r="Q152" s="12">
        <v>1</v>
      </c>
      <c r="R152" s="11" t="s">
        <v>602</v>
      </c>
      <c r="S152" s="11" t="s">
        <v>145</v>
      </c>
      <c r="T152" s="11">
        <v>538</v>
      </c>
      <c r="U152" s="9"/>
      <c r="V152" s="9"/>
      <c r="W152" s="9"/>
      <c r="X152" s="9"/>
      <c r="Y152" s="9"/>
      <c r="Z152" s="9"/>
      <c r="AA152" s="9"/>
      <c r="AB152" s="9"/>
      <c r="AC152" s="9"/>
      <c r="AD152" s="9"/>
      <c r="AE152" s="8">
        <v>50.093000000000004</v>
      </c>
      <c r="AF152" s="8">
        <v>-119.35850000000001</v>
      </c>
      <c r="AG152" s="8">
        <v>538</v>
      </c>
      <c r="AH152" s="9"/>
      <c r="AI152" s="9"/>
      <c r="AJ152" s="9"/>
      <c r="AK152" s="9"/>
      <c r="AL152" s="9"/>
      <c r="AM152" s="9"/>
      <c r="AN152" s="9"/>
      <c r="AO152" s="9"/>
      <c r="AP152" s="9"/>
      <c r="AQ152" s="9"/>
      <c r="AR152" s="9"/>
      <c r="AS152" s="9"/>
      <c r="AT152" s="9"/>
      <c r="AU152" s="9"/>
      <c r="AV152" s="9"/>
      <c r="AW152" s="9"/>
      <c r="AX152" s="9"/>
      <c r="AY152" s="9"/>
      <c r="AZ152" s="9"/>
      <c r="BA152" s="9"/>
      <c r="BB152" s="9"/>
      <c r="BC152" s="9"/>
      <c r="BD152" s="9"/>
      <c r="BE152" s="9"/>
      <c r="BF152" s="9"/>
      <c r="BG152" s="9"/>
      <c r="BH152" s="9"/>
      <c r="BI152" s="9"/>
      <c r="BJ152" s="9"/>
      <c r="BK152" s="9"/>
      <c r="BL152" s="9"/>
      <c r="BM152" s="9"/>
      <c r="BN152" s="9"/>
      <c r="BO152" s="9"/>
      <c r="BP152" s="9"/>
      <c r="BQ152" s="9"/>
      <c r="BR152" s="9"/>
      <c r="BS152" s="9"/>
      <c r="BT152" s="9"/>
    </row>
    <row r="153" spans="1:72" ht="14.25" customHeight="1" x14ac:dyDescent="0.2">
      <c r="A153" s="5" t="s">
        <v>618</v>
      </c>
      <c r="B153" s="4">
        <v>10</v>
      </c>
      <c r="C153" s="200" t="s">
        <v>139</v>
      </c>
      <c r="D153" s="200" t="s">
        <v>619</v>
      </c>
      <c r="E153" s="201"/>
      <c r="F153" s="200" t="s">
        <v>620</v>
      </c>
      <c r="G153" s="201" t="str">
        <f t="shared" si="3"/>
        <v>-&gt; 119.8523 W, 49.2029 N, Elev. 418 m</v>
      </c>
      <c r="I153" s="9"/>
      <c r="J153" s="9"/>
      <c r="K153" s="9"/>
      <c r="L153" s="9"/>
      <c r="M153" s="11">
        <v>49.2029</v>
      </c>
      <c r="N153" s="11">
        <v>-119.8523</v>
      </c>
      <c r="O153" s="11" t="s">
        <v>221</v>
      </c>
      <c r="P153" s="11" t="s">
        <v>621</v>
      </c>
      <c r="Q153" s="12">
        <v>1</v>
      </c>
      <c r="R153" s="11" t="s">
        <v>617</v>
      </c>
      <c r="S153" s="11" t="s">
        <v>145</v>
      </c>
      <c r="T153" s="11">
        <v>418</v>
      </c>
      <c r="U153" s="9"/>
      <c r="V153" s="9"/>
      <c r="W153" s="9"/>
      <c r="X153" s="9"/>
      <c r="Y153" s="9"/>
      <c r="Z153" s="9"/>
      <c r="AA153" s="9"/>
      <c r="AB153" s="9"/>
      <c r="AC153" s="9"/>
      <c r="AD153" s="9"/>
      <c r="AE153" s="201">
        <v>49.2029</v>
      </c>
      <c r="AF153" s="201">
        <v>-119.8523</v>
      </c>
      <c r="AG153" s="201">
        <v>418</v>
      </c>
      <c r="AH153" s="9"/>
      <c r="AI153" s="9"/>
      <c r="AJ153" s="9"/>
      <c r="AK153" s="9"/>
      <c r="AL153" s="9"/>
      <c r="AM153" s="9"/>
      <c r="AN153" s="9"/>
      <c r="AO153" s="9"/>
      <c r="AP153" s="9"/>
      <c r="AQ153" s="9"/>
      <c r="AR153" s="9"/>
      <c r="AS153" s="9"/>
      <c r="AT153" s="9"/>
      <c r="AU153" s="9"/>
      <c r="AV153" s="9"/>
      <c r="AW153" s="9"/>
      <c r="AX153" s="9"/>
      <c r="AY153" s="9"/>
      <c r="AZ153" s="9"/>
      <c r="BA153" s="9"/>
      <c r="BB153" s="9"/>
      <c r="BC153" s="9"/>
      <c r="BD153" s="9"/>
      <c r="BE153" s="9"/>
      <c r="BF153" s="9"/>
      <c r="BG153" s="9"/>
      <c r="BH153" s="9"/>
      <c r="BI153" s="9"/>
      <c r="BJ153" s="9"/>
      <c r="BK153" s="9"/>
      <c r="BL153" s="9"/>
      <c r="BM153" s="9"/>
      <c r="BN153" s="9"/>
      <c r="BO153" s="9"/>
      <c r="BP153" s="9"/>
      <c r="BQ153" s="9"/>
      <c r="BR153" s="9"/>
      <c r="BS153" s="9"/>
      <c r="BT153" s="9"/>
    </row>
    <row r="154" spans="1:72" ht="14.25" customHeight="1" x14ac:dyDescent="0.2">
      <c r="A154" s="5" t="s">
        <v>632</v>
      </c>
      <c r="B154" s="4">
        <v>10</v>
      </c>
      <c r="C154" s="10" t="s">
        <v>139</v>
      </c>
      <c r="D154" s="10" t="s">
        <v>633</v>
      </c>
      <c r="E154" s="8"/>
      <c r="F154" s="10" t="s">
        <v>634</v>
      </c>
      <c r="G154" s="8" t="str">
        <f t="shared" si="3"/>
        <v>-&gt; 119.6796 W, 49.5675 N, Elev. 566 m</v>
      </c>
      <c r="I154" s="9"/>
      <c r="J154" s="9"/>
      <c r="K154" s="9"/>
      <c r="L154" s="9"/>
      <c r="M154" s="11">
        <v>49.567500000000003</v>
      </c>
      <c r="N154" s="11">
        <v>-119.67959999999999</v>
      </c>
      <c r="O154" s="11" t="s">
        <v>142</v>
      </c>
      <c r="P154" s="11" t="s">
        <v>635</v>
      </c>
      <c r="Q154" s="12">
        <v>1</v>
      </c>
      <c r="R154" s="11" t="s">
        <v>636</v>
      </c>
      <c r="S154" s="11" t="s">
        <v>145</v>
      </c>
      <c r="T154" s="11">
        <v>566</v>
      </c>
      <c r="U154" s="9"/>
      <c r="V154" s="9"/>
      <c r="W154" s="9"/>
      <c r="X154" s="9"/>
      <c r="Y154" s="9"/>
      <c r="Z154" s="9"/>
      <c r="AA154" s="9"/>
      <c r="AB154" s="9"/>
      <c r="AC154" s="9"/>
      <c r="AD154" s="9"/>
      <c r="AE154" s="8">
        <v>49.567500000000003</v>
      </c>
      <c r="AF154" s="8">
        <v>-119.67959999999999</v>
      </c>
      <c r="AG154" s="8">
        <v>566</v>
      </c>
      <c r="AH154" s="9"/>
      <c r="AI154" s="9"/>
      <c r="AJ154" s="9"/>
      <c r="AK154" s="9"/>
      <c r="AL154" s="9"/>
      <c r="AM154" s="9"/>
      <c r="AN154" s="9"/>
      <c r="AO154" s="9"/>
      <c r="AP154" s="9"/>
      <c r="AQ154" s="9"/>
      <c r="AR154" s="9"/>
      <c r="AS154" s="9"/>
      <c r="AT154" s="9"/>
      <c r="AU154" s="9"/>
      <c r="AV154" s="9"/>
      <c r="AW154" s="9"/>
      <c r="AX154" s="9"/>
      <c r="AY154" s="9"/>
      <c r="AZ154" s="9"/>
      <c r="BA154" s="9"/>
      <c r="BB154" s="9"/>
      <c r="BC154" s="9"/>
      <c r="BD154" s="9"/>
      <c r="BE154" s="9"/>
      <c r="BF154" s="9"/>
      <c r="BG154" s="9"/>
      <c r="BH154" s="9"/>
      <c r="BI154" s="9"/>
      <c r="BJ154" s="9"/>
      <c r="BK154" s="9"/>
      <c r="BL154" s="9"/>
      <c r="BM154" s="9"/>
      <c r="BN154" s="9"/>
      <c r="BO154" s="9"/>
      <c r="BP154" s="9"/>
      <c r="BQ154" s="9"/>
      <c r="BR154" s="9"/>
      <c r="BS154" s="9"/>
      <c r="BT154" s="9"/>
    </row>
    <row r="155" spans="1:72" ht="14.25" customHeight="1" x14ac:dyDescent="0.2">
      <c r="A155" s="5" t="s">
        <v>495</v>
      </c>
      <c r="B155" s="4">
        <v>10</v>
      </c>
      <c r="C155" s="200" t="s">
        <v>139</v>
      </c>
      <c r="D155" s="200" t="s">
        <v>496</v>
      </c>
      <c r="E155" s="201"/>
      <c r="F155" s="200" t="s">
        <v>497</v>
      </c>
      <c r="G155" s="201" t="str">
        <f t="shared" si="3"/>
        <v>-&gt; 118.6905556 W, 50.25333333 N, Elev. 495 m</v>
      </c>
      <c r="I155" s="9"/>
      <c r="J155" s="9"/>
      <c r="K155" s="9"/>
      <c r="L155" s="9"/>
      <c r="M155" s="11">
        <v>50.253333329999997</v>
      </c>
      <c r="N155" s="11">
        <v>-118.6905556</v>
      </c>
      <c r="O155" s="11" t="s">
        <v>142</v>
      </c>
      <c r="P155" s="11" t="s">
        <v>498</v>
      </c>
      <c r="Q155" s="12">
        <v>1</v>
      </c>
      <c r="R155" s="11" t="s">
        <v>499</v>
      </c>
      <c r="S155" s="11" t="s">
        <v>145</v>
      </c>
      <c r="T155" s="11">
        <v>495</v>
      </c>
      <c r="U155" s="9"/>
      <c r="V155" s="9"/>
      <c r="W155" s="9"/>
      <c r="X155" s="9"/>
      <c r="Y155" s="9"/>
      <c r="Z155" s="9"/>
      <c r="AA155" s="9"/>
      <c r="AB155" s="9"/>
      <c r="AC155" s="9"/>
      <c r="AD155" s="9"/>
      <c r="AE155" s="201">
        <v>50.253333329999997</v>
      </c>
      <c r="AF155" s="201">
        <v>-118.6905556</v>
      </c>
      <c r="AG155" s="201">
        <v>495</v>
      </c>
      <c r="AH155" s="9"/>
      <c r="AI155" s="9"/>
      <c r="AJ155" s="9"/>
      <c r="AK155" s="9"/>
      <c r="AL155" s="9"/>
      <c r="AM155" s="9"/>
      <c r="AN155" s="9"/>
      <c r="AO155" s="9"/>
      <c r="AP155" s="9"/>
      <c r="AQ155" s="9"/>
      <c r="AR155" s="9"/>
      <c r="AS155" s="9"/>
      <c r="AT155" s="9"/>
      <c r="AU155" s="9"/>
      <c r="AV155" s="9"/>
      <c r="AW155" s="9"/>
      <c r="AX155" s="9"/>
      <c r="AY155" s="9"/>
      <c r="AZ155" s="9"/>
      <c r="BA155" s="9"/>
      <c r="BB155" s="9"/>
      <c r="BC155" s="9"/>
      <c r="BD155" s="9"/>
      <c r="BE155" s="9"/>
      <c r="BF155" s="9"/>
      <c r="BG155" s="9"/>
      <c r="BH155" s="9"/>
      <c r="BI155" s="9"/>
      <c r="BJ155" s="9"/>
      <c r="BK155" s="9"/>
      <c r="BL155" s="9"/>
      <c r="BM155" s="9"/>
      <c r="BN155" s="9"/>
      <c r="BO155" s="9"/>
      <c r="BP155" s="9"/>
      <c r="BQ155" s="9"/>
      <c r="BR155" s="9"/>
      <c r="BS155" s="9"/>
      <c r="BT155" s="9"/>
    </row>
    <row r="156" spans="1:72" ht="14.25" customHeight="1" x14ac:dyDescent="0.2">
      <c r="A156" s="5" t="s">
        <v>569</v>
      </c>
      <c r="B156" s="4">
        <v>10</v>
      </c>
      <c r="C156" s="10" t="s">
        <v>139</v>
      </c>
      <c r="D156" s="10" t="s">
        <v>570</v>
      </c>
      <c r="E156" s="8"/>
      <c r="F156" s="10" t="s">
        <v>571</v>
      </c>
      <c r="G156" s="8" t="str">
        <f t="shared" si="3"/>
        <v>-&gt; 119.7744444 W, 50.73805556 N, Elev. 413 m</v>
      </c>
      <c r="I156" s="9"/>
      <c r="J156" s="9"/>
      <c r="K156" s="9"/>
      <c r="L156" s="9"/>
      <c r="M156" s="11">
        <v>50.738055559999999</v>
      </c>
      <c r="N156" s="11">
        <v>-119.77444439999999</v>
      </c>
      <c r="O156" s="11" t="s">
        <v>142</v>
      </c>
      <c r="P156" s="11" t="s">
        <v>572</v>
      </c>
      <c r="Q156" s="12">
        <v>1</v>
      </c>
      <c r="R156" s="11" t="s">
        <v>568</v>
      </c>
      <c r="S156" s="11" t="s">
        <v>145</v>
      </c>
      <c r="T156" s="11">
        <v>413</v>
      </c>
      <c r="U156" s="9"/>
      <c r="V156" s="9"/>
      <c r="W156" s="9"/>
      <c r="X156" s="9"/>
      <c r="Y156" s="9"/>
      <c r="Z156" s="9"/>
      <c r="AA156" s="9"/>
      <c r="AB156" s="9"/>
      <c r="AC156" s="9"/>
      <c r="AD156" s="9"/>
      <c r="AE156" s="8">
        <v>50.738055559999999</v>
      </c>
      <c r="AF156" s="8">
        <v>-119.77444439999999</v>
      </c>
      <c r="AG156" s="8">
        <v>413</v>
      </c>
      <c r="AH156" s="9"/>
      <c r="AI156" s="9"/>
      <c r="AJ156" s="9"/>
      <c r="AK156" s="9"/>
      <c r="AL156" s="9"/>
      <c r="AM156" s="9"/>
      <c r="AN156" s="9"/>
      <c r="AO156" s="9"/>
      <c r="AP156" s="9"/>
      <c r="AQ156" s="9"/>
      <c r="AR156" s="9"/>
      <c r="AS156" s="9"/>
      <c r="AT156" s="9"/>
      <c r="AU156" s="9"/>
      <c r="AV156" s="9"/>
      <c r="AW156" s="9"/>
      <c r="AX156" s="9"/>
      <c r="AY156" s="9"/>
      <c r="AZ156" s="9"/>
      <c r="BA156" s="9"/>
      <c r="BB156" s="9"/>
      <c r="BC156" s="9"/>
      <c r="BD156" s="9"/>
      <c r="BE156" s="9"/>
      <c r="BF156" s="9"/>
      <c r="BG156" s="9"/>
      <c r="BH156" s="9"/>
      <c r="BI156" s="9"/>
      <c r="BJ156" s="9"/>
      <c r="BK156" s="9"/>
      <c r="BL156" s="9"/>
      <c r="BM156" s="9"/>
      <c r="BN156" s="9"/>
      <c r="BO156" s="9"/>
      <c r="BP156" s="9"/>
      <c r="BQ156" s="9"/>
      <c r="BR156" s="9"/>
      <c r="BS156" s="9"/>
      <c r="BT156" s="9"/>
    </row>
    <row r="157" spans="1:72" ht="14.25" customHeight="1" x14ac:dyDescent="0.2">
      <c r="A157" s="18" t="s">
        <v>576</v>
      </c>
      <c r="B157" s="4">
        <v>10</v>
      </c>
      <c r="C157" s="200" t="s">
        <v>139</v>
      </c>
      <c r="D157" s="200" t="s">
        <v>577</v>
      </c>
      <c r="E157" s="201"/>
      <c r="F157" s="200" t="s">
        <v>578</v>
      </c>
      <c r="G157" s="201" t="str">
        <f t="shared" si="3"/>
        <v>-&gt; 120.9333333 W, 50.14583333 N, Elev. 561 m</v>
      </c>
      <c r="I157" s="17"/>
      <c r="J157" s="17"/>
      <c r="K157" s="9"/>
      <c r="L157" s="9"/>
      <c r="M157" s="11">
        <v>50.145833330000002</v>
      </c>
      <c r="N157" s="11">
        <v>-120.9333333</v>
      </c>
      <c r="O157" s="11" t="s">
        <v>142</v>
      </c>
      <c r="P157" s="11" t="s">
        <v>579</v>
      </c>
      <c r="Q157" s="12">
        <v>1</v>
      </c>
      <c r="R157" s="11" t="s">
        <v>575</v>
      </c>
      <c r="S157" s="11" t="s">
        <v>145</v>
      </c>
      <c r="T157" s="11">
        <v>561</v>
      </c>
      <c r="U157" s="9"/>
      <c r="V157" s="9"/>
      <c r="W157" s="9"/>
      <c r="X157" s="9"/>
      <c r="Y157" s="9"/>
      <c r="Z157" s="9"/>
      <c r="AA157" s="9"/>
      <c r="AB157" s="9"/>
      <c r="AC157" s="9"/>
      <c r="AD157" s="9"/>
      <c r="AE157" s="201">
        <v>50.145833330000002</v>
      </c>
      <c r="AF157" s="201">
        <v>-120.9333333</v>
      </c>
      <c r="AG157" s="201">
        <v>561</v>
      </c>
      <c r="AH157" s="9"/>
      <c r="AI157" s="9"/>
      <c r="AJ157" s="9"/>
      <c r="AK157" s="9"/>
      <c r="AL157" s="9"/>
      <c r="AM157" s="9"/>
      <c r="AN157" s="9"/>
      <c r="AO157" s="9"/>
      <c r="AP157" s="9"/>
      <c r="AQ157" s="9"/>
      <c r="AR157" s="9"/>
      <c r="AS157" s="9"/>
      <c r="AT157" s="9"/>
      <c r="AU157" s="9"/>
      <c r="AV157" s="9"/>
      <c r="AW157" s="9"/>
      <c r="AX157" s="9"/>
      <c r="AY157" s="9"/>
      <c r="AZ157" s="9"/>
      <c r="BA157" s="9"/>
      <c r="BB157" s="9"/>
      <c r="BC157" s="9"/>
      <c r="BD157" s="9"/>
      <c r="BE157" s="9"/>
      <c r="BF157" s="9"/>
      <c r="BG157" s="9"/>
      <c r="BH157" s="9"/>
      <c r="BI157" s="9"/>
      <c r="BJ157" s="9"/>
      <c r="BK157" s="9"/>
      <c r="BL157" s="9"/>
      <c r="BM157" s="9"/>
      <c r="BN157" s="9"/>
      <c r="BO157" s="9"/>
      <c r="BP157" s="9"/>
      <c r="BQ157" s="9"/>
      <c r="BR157" s="9"/>
      <c r="BS157" s="9"/>
      <c r="BT157" s="9"/>
    </row>
    <row r="158" spans="1:72" ht="14.25" customHeight="1" x14ac:dyDescent="0.2">
      <c r="A158" s="136" t="s">
        <v>7135</v>
      </c>
      <c r="B158" s="135"/>
      <c r="C158" s="149" t="s">
        <v>7136</v>
      </c>
      <c r="D158" s="142" t="str">
        <f t="shared" ref="D158:D189" si="4">CONCATENATE("'-&gt; ",P158)</f>
        <v>'-&gt; AtlSch</v>
      </c>
      <c r="E158" s="289"/>
      <c r="F158" s="142" t="str">
        <f t="shared" ref="F158:F189" si="5">CONCATENATE("'-&gt; ",R158)</f>
        <v>'-&gt; Atlin School</v>
      </c>
      <c r="G158" s="142" t="str">
        <f t="shared" ref="G158:G189" si="6">CONCATENATE("'-&gt; ",-1*N158," W, ",M158," N, Elev. ",U158," m")</f>
        <v>'-&gt; 133.687 W, 59.574 N, Elev. 705 m</v>
      </c>
      <c r="H158" s="135"/>
      <c r="I158" s="135"/>
      <c r="J158" s="135"/>
      <c r="K158" s="135"/>
      <c r="L158" s="135"/>
      <c r="M158" s="138">
        <v>59.573999999999998</v>
      </c>
      <c r="N158" s="138">
        <v>-133.68700000000001</v>
      </c>
      <c r="O158" s="138" t="s">
        <v>1577</v>
      </c>
      <c r="P158" s="313" t="s">
        <v>7137</v>
      </c>
      <c r="Q158" s="139">
        <v>1</v>
      </c>
      <c r="R158" s="138" t="s">
        <v>7138</v>
      </c>
      <c r="S158" s="140" t="str">
        <f t="shared" ref="S158:S189" si="7">UPPER(R158)</f>
        <v>ATLIN SCHOOL</v>
      </c>
      <c r="T158" s="138" t="s">
        <v>4344</v>
      </c>
      <c r="U158" s="138">
        <v>705</v>
      </c>
      <c r="V158" s="138"/>
      <c r="W158" s="138"/>
      <c r="X158" s="141" t="s">
        <v>7139</v>
      </c>
      <c r="Y158" s="138" t="s">
        <v>7140</v>
      </c>
      <c r="Z158" s="135"/>
      <c r="AA158" s="135"/>
      <c r="AB158" s="135"/>
      <c r="AC158" s="135"/>
      <c r="AD158" s="135"/>
      <c r="AE158" s="289"/>
      <c r="AF158" s="289"/>
      <c r="AG158" s="289"/>
      <c r="AH158" s="135"/>
      <c r="AI158" s="135"/>
      <c r="AJ158" s="135"/>
      <c r="AK158" s="135"/>
      <c r="AL158" s="135"/>
      <c r="AM158" s="135"/>
      <c r="AN158" s="135"/>
      <c r="AO158" s="135"/>
      <c r="AP158" s="135"/>
      <c r="AQ158" s="135"/>
      <c r="AR158" s="135"/>
      <c r="AS158" s="135"/>
      <c r="AT158" s="135"/>
      <c r="AU158" s="135"/>
      <c r="AV158" s="135"/>
      <c r="AW158" s="135"/>
      <c r="AX158" s="135"/>
      <c r="AY158" s="135"/>
      <c r="AZ158" s="135"/>
      <c r="BA158" s="135"/>
    </row>
    <row r="159" spans="1:72" ht="14.25" customHeight="1" x14ac:dyDescent="0.2">
      <c r="A159" s="136" t="s">
        <v>7135</v>
      </c>
      <c r="B159" s="135"/>
      <c r="C159" s="199" t="s">
        <v>7136</v>
      </c>
      <c r="D159" s="205" t="str">
        <f t="shared" si="4"/>
        <v>'-&gt; CasWx</v>
      </c>
      <c r="E159" s="135"/>
      <c r="F159" s="205" t="str">
        <f t="shared" si="5"/>
        <v>'-&gt; Cassiar</v>
      </c>
      <c r="G159" s="205" t="str">
        <f t="shared" si="6"/>
        <v>'-&gt; 129.86 W, 59.251 N, Elev. 1577 m</v>
      </c>
      <c r="H159" s="135"/>
      <c r="I159" s="135"/>
      <c r="J159" s="135"/>
      <c r="K159" s="135"/>
      <c r="L159" s="135"/>
      <c r="M159" s="138">
        <v>59.250999999999998</v>
      </c>
      <c r="N159" s="138">
        <v>-129.86000000000001</v>
      </c>
      <c r="O159" s="138" t="s">
        <v>1577</v>
      </c>
      <c r="P159" s="138" t="s">
        <v>7141</v>
      </c>
      <c r="Q159" s="139">
        <v>7</v>
      </c>
      <c r="R159" s="138" t="s">
        <v>7142</v>
      </c>
      <c r="S159" s="140" t="str">
        <f t="shared" si="7"/>
        <v>CASSIAR</v>
      </c>
      <c r="T159" s="138" t="s">
        <v>4344</v>
      </c>
      <c r="U159" s="138">
        <v>1577</v>
      </c>
      <c r="V159" s="138"/>
      <c r="W159" s="138" t="s">
        <v>7143</v>
      </c>
      <c r="X159" s="141" t="s">
        <v>7144</v>
      </c>
      <c r="Y159" s="138" t="s">
        <v>7140</v>
      </c>
      <c r="Z159" s="135"/>
      <c r="AA159" s="135"/>
      <c r="AB159" s="135"/>
      <c r="AC159" s="135"/>
      <c r="AD159" s="135"/>
      <c r="AE159" s="135"/>
      <c r="AF159" s="135"/>
      <c r="AG159" s="135"/>
      <c r="AH159" s="135"/>
      <c r="AI159" s="135"/>
      <c r="AJ159" s="135"/>
      <c r="AK159" s="135"/>
      <c r="AL159" s="135"/>
      <c r="AM159" s="135"/>
      <c r="AN159" s="135"/>
      <c r="AO159" s="135"/>
      <c r="AP159" s="135"/>
      <c r="AQ159" s="135"/>
      <c r="AR159" s="135"/>
      <c r="AS159" s="135"/>
      <c r="AT159" s="135"/>
      <c r="AU159" s="135"/>
      <c r="AV159" s="135"/>
      <c r="AW159" s="135"/>
      <c r="AX159" s="135"/>
      <c r="AY159" s="135"/>
      <c r="AZ159" s="135"/>
      <c r="BA159" s="135"/>
    </row>
    <row r="160" spans="1:72" ht="14.25" customHeight="1" x14ac:dyDescent="0.2">
      <c r="A160" s="136" t="s">
        <v>7135</v>
      </c>
      <c r="B160" s="135"/>
      <c r="C160" s="149" t="s">
        <v>7136</v>
      </c>
      <c r="D160" s="142" t="str">
        <f t="shared" si="4"/>
        <v>'-&gt; Mon1</v>
      </c>
      <c r="E160" s="289"/>
      <c r="F160" s="142" t="str">
        <f t="shared" si="5"/>
        <v>'-&gt; Monarch-1</v>
      </c>
      <c r="G160" s="142" t="str">
        <f t="shared" si="6"/>
        <v>'-&gt; 133.617 W, 59.544 N, Elev. 1410 m</v>
      </c>
      <c r="H160" s="135"/>
      <c r="I160" s="135"/>
      <c r="J160" s="135"/>
      <c r="K160" s="135"/>
      <c r="L160" s="135"/>
      <c r="M160" s="138">
        <v>59.543999999999997</v>
      </c>
      <c r="N160" s="138">
        <v>-133.61699999999999</v>
      </c>
      <c r="O160" s="138" t="s">
        <v>1577</v>
      </c>
      <c r="P160" s="138" t="s">
        <v>7145</v>
      </c>
      <c r="Q160" s="139">
        <v>5</v>
      </c>
      <c r="R160" s="138" t="s">
        <v>7146</v>
      </c>
      <c r="S160" s="140" t="str">
        <f t="shared" si="7"/>
        <v>MONARCH-1</v>
      </c>
      <c r="T160" s="138" t="s">
        <v>4344</v>
      </c>
      <c r="U160" s="138">
        <v>1410</v>
      </c>
      <c r="V160" s="138"/>
      <c r="W160" s="138" t="s">
        <v>7147</v>
      </c>
      <c r="X160" s="141" t="s">
        <v>7139</v>
      </c>
      <c r="Y160" s="138" t="s">
        <v>7140</v>
      </c>
      <c r="Z160" s="135"/>
      <c r="AA160" s="135"/>
      <c r="AB160" s="135"/>
      <c r="AC160" s="135"/>
      <c r="AD160" s="135"/>
      <c r="AE160" s="289"/>
      <c r="AF160" s="289"/>
      <c r="AG160" s="289"/>
      <c r="AH160" s="135"/>
      <c r="AI160" s="135"/>
      <c r="AJ160" s="135"/>
      <c r="AK160" s="135"/>
      <c r="AL160" s="135"/>
      <c r="AM160" s="135"/>
      <c r="AN160" s="135"/>
      <c r="AO160" s="135"/>
      <c r="AP160" s="135"/>
      <c r="AQ160" s="135"/>
      <c r="AR160" s="135"/>
      <c r="AS160" s="135"/>
      <c r="AT160" s="135"/>
      <c r="AU160" s="135"/>
      <c r="AV160" s="135"/>
      <c r="AW160" s="135"/>
      <c r="AX160" s="135"/>
      <c r="AY160" s="135"/>
      <c r="AZ160" s="135"/>
      <c r="BA160" s="135"/>
    </row>
    <row r="161" spans="1:53" ht="14.25" customHeight="1" x14ac:dyDescent="0.2">
      <c r="A161" s="136" t="s">
        <v>7135</v>
      </c>
      <c r="B161" s="135"/>
      <c r="C161" s="199" t="s">
        <v>7136</v>
      </c>
      <c r="D161" s="205" t="str">
        <f t="shared" si="4"/>
        <v>'-&gt; NDWx</v>
      </c>
      <c r="E161" s="135"/>
      <c r="F161" s="205" t="str">
        <f t="shared" si="5"/>
        <v>'-&gt; Northern Dancer</v>
      </c>
      <c r="G161" s="205" t="str">
        <f t="shared" si="6"/>
        <v>'-&gt; 131.6 W, 60.008 N, Elev. 1628 m</v>
      </c>
      <c r="H161" s="135"/>
      <c r="I161" s="135"/>
      <c r="J161" s="135"/>
      <c r="K161" s="135"/>
      <c r="L161" s="135"/>
      <c r="M161" s="138">
        <v>60.008000000000003</v>
      </c>
      <c r="N161" s="138">
        <v>-131.6</v>
      </c>
      <c r="O161" s="138" t="s">
        <v>1577</v>
      </c>
      <c r="P161" s="138" t="s">
        <v>7152</v>
      </c>
      <c r="Q161" s="139">
        <v>7</v>
      </c>
      <c r="R161" s="138" t="s">
        <v>7153</v>
      </c>
      <c r="S161" s="140" t="str">
        <f t="shared" si="7"/>
        <v>NORTHERN DANCER</v>
      </c>
      <c r="T161" s="138" t="s">
        <v>4344</v>
      </c>
      <c r="U161" s="138">
        <v>1628</v>
      </c>
      <c r="V161" s="138"/>
      <c r="W161" s="138" t="s">
        <v>7154</v>
      </c>
      <c r="X161" s="141" t="s">
        <v>7155</v>
      </c>
      <c r="Y161" s="138" t="s">
        <v>7140</v>
      </c>
      <c r="Z161" s="135"/>
      <c r="AA161" s="135"/>
      <c r="AB161" s="135"/>
      <c r="AC161" s="135"/>
      <c r="AD161" s="135"/>
      <c r="AE161" s="135"/>
      <c r="AF161" s="135"/>
      <c r="AG161" s="135"/>
      <c r="AH161" s="135"/>
      <c r="AI161" s="135"/>
      <c r="AJ161" s="135"/>
      <c r="AK161" s="135"/>
      <c r="AL161" s="135"/>
      <c r="AM161" s="135"/>
      <c r="AN161" s="135"/>
      <c r="AO161" s="135"/>
      <c r="AP161" s="135"/>
      <c r="AQ161" s="135"/>
      <c r="AR161" s="135"/>
      <c r="AS161" s="135"/>
      <c r="AT161" s="135"/>
      <c r="AU161" s="135"/>
      <c r="AV161" s="135"/>
      <c r="AW161" s="135"/>
      <c r="AX161" s="135"/>
      <c r="AY161" s="135"/>
      <c r="AZ161" s="135"/>
      <c r="BA161" s="135"/>
    </row>
    <row r="162" spans="1:53" ht="14.25" customHeight="1" x14ac:dyDescent="0.2">
      <c r="A162" s="136" t="s">
        <v>7135</v>
      </c>
      <c r="B162" s="135"/>
      <c r="C162" s="149" t="s">
        <v>7136</v>
      </c>
      <c r="D162" s="142" t="str">
        <f t="shared" si="4"/>
        <v>'-&gt; Goose</v>
      </c>
      <c r="E162" s="289"/>
      <c r="F162" s="142" t="str">
        <f t="shared" si="5"/>
        <v>'-&gt; Goose Lake Rd</v>
      </c>
      <c r="G162" s="142" t="str">
        <f t="shared" si="6"/>
        <v>'-&gt; 120.43 W, 50.5626 N, Elev. 1147 m</v>
      </c>
      <c r="H162" s="135"/>
      <c r="I162" s="135"/>
      <c r="J162" s="135"/>
      <c r="K162" s="135"/>
      <c r="L162" s="135"/>
      <c r="M162" s="138">
        <v>50.562600000000003</v>
      </c>
      <c r="N162" s="138">
        <v>-120.43</v>
      </c>
      <c r="O162" s="138" t="s">
        <v>142</v>
      </c>
      <c r="P162" s="138" t="s">
        <v>7161</v>
      </c>
      <c r="Q162" s="139">
        <v>3</v>
      </c>
      <c r="R162" s="138" t="s">
        <v>7162</v>
      </c>
      <c r="S162" s="140" t="str">
        <f t="shared" si="7"/>
        <v>GOOSE LAKE RD</v>
      </c>
      <c r="T162" s="138" t="s">
        <v>4344</v>
      </c>
      <c r="U162" s="138">
        <v>1147</v>
      </c>
      <c r="V162" s="138"/>
      <c r="W162" s="138" t="s">
        <v>7163</v>
      </c>
      <c r="X162" s="141" t="s">
        <v>7164</v>
      </c>
      <c r="Y162" s="138" t="s">
        <v>7160</v>
      </c>
      <c r="Z162" s="135"/>
      <c r="AA162" s="135"/>
      <c r="AB162" s="135"/>
      <c r="AC162" s="135"/>
      <c r="AD162" s="135"/>
      <c r="AE162" s="289"/>
      <c r="AF162" s="289"/>
      <c r="AG162" s="289"/>
      <c r="AH162" s="135"/>
      <c r="AI162" s="135"/>
      <c r="AJ162" s="135"/>
      <c r="AK162" s="135"/>
      <c r="AL162" s="135"/>
      <c r="AM162" s="135"/>
      <c r="AN162" s="135"/>
      <c r="AO162" s="135"/>
      <c r="AP162" s="135"/>
      <c r="AQ162" s="135"/>
      <c r="AR162" s="135"/>
      <c r="AS162" s="135"/>
      <c r="AT162" s="135"/>
      <c r="AU162" s="135"/>
      <c r="AV162" s="135"/>
      <c r="AW162" s="135"/>
      <c r="AX162" s="135"/>
      <c r="AY162" s="135"/>
      <c r="AZ162" s="135"/>
      <c r="BA162" s="135"/>
    </row>
    <row r="163" spans="1:53" ht="14.25" customHeight="1" x14ac:dyDescent="0.2">
      <c r="A163" s="136" t="s">
        <v>7135</v>
      </c>
      <c r="B163" s="135"/>
      <c r="C163" s="199" t="s">
        <v>7136</v>
      </c>
      <c r="D163" s="205" t="str">
        <f t="shared" si="4"/>
        <v>'-&gt; Isobel</v>
      </c>
      <c r="E163" s="135"/>
      <c r="F163" s="205" t="str">
        <f t="shared" si="5"/>
        <v>'-&gt; Isobel Lake (IDFxh2)</v>
      </c>
      <c r="G163" s="205" t="str">
        <f t="shared" si="6"/>
        <v>'-&gt; 120.4231 W, 50.8406 N, Elev. 1030 m</v>
      </c>
      <c r="H163" s="135"/>
      <c r="I163" s="135"/>
      <c r="J163" s="135"/>
      <c r="K163" s="135"/>
      <c r="L163" s="135"/>
      <c r="M163" s="138">
        <v>50.840600000000002</v>
      </c>
      <c r="N163" s="138">
        <v>-120.42310000000001</v>
      </c>
      <c r="O163" s="138" t="s">
        <v>142</v>
      </c>
      <c r="P163" s="138" t="s">
        <v>7165</v>
      </c>
      <c r="Q163" s="139">
        <v>3</v>
      </c>
      <c r="R163" s="138" t="s">
        <v>7166</v>
      </c>
      <c r="S163" s="140" t="str">
        <f t="shared" si="7"/>
        <v>ISOBEL LAKE (IDFXH2)</v>
      </c>
      <c r="T163" s="138" t="s">
        <v>4344</v>
      </c>
      <c r="U163" s="138">
        <v>1030</v>
      </c>
      <c r="V163" s="138"/>
      <c r="W163" s="138" t="s">
        <v>7163</v>
      </c>
      <c r="X163" s="141"/>
      <c r="Y163" s="138" t="s">
        <v>7160</v>
      </c>
      <c r="Z163" s="135"/>
      <c r="AA163" s="135"/>
      <c r="AB163" s="135"/>
      <c r="AC163" s="135"/>
      <c r="AD163" s="135"/>
      <c r="AE163" s="135"/>
      <c r="AF163" s="135"/>
      <c r="AG163" s="135"/>
      <c r="AH163" s="135"/>
      <c r="AI163" s="135"/>
      <c r="AJ163" s="135"/>
      <c r="AK163" s="135"/>
      <c r="AL163" s="135"/>
      <c r="AM163" s="135"/>
      <c r="AN163" s="135"/>
      <c r="AO163" s="135"/>
      <c r="AP163" s="135"/>
      <c r="AQ163" s="135"/>
      <c r="AR163" s="135"/>
      <c r="AS163" s="135"/>
      <c r="AT163" s="135"/>
      <c r="AU163" s="135"/>
      <c r="AV163" s="135"/>
      <c r="AW163" s="135"/>
      <c r="AX163" s="135"/>
      <c r="AY163" s="135"/>
      <c r="AZ163" s="135"/>
      <c r="BA163" s="135"/>
    </row>
    <row r="164" spans="1:53" ht="14.25" customHeight="1" x14ac:dyDescent="0.2">
      <c r="A164" s="136" t="s">
        <v>7135</v>
      </c>
      <c r="B164" s="135"/>
      <c r="C164" s="149" t="s">
        <v>7136</v>
      </c>
      <c r="D164" s="142" t="str">
        <f t="shared" si="4"/>
        <v>'-&gt; LDBLG</v>
      </c>
      <c r="E164" s="289"/>
      <c r="F164" s="142" t="str">
        <f t="shared" si="5"/>
        <v>'-&gt; LDB - Lower grassland</v>
      </c>
      <c r="G164" s="142" t="str">
        <f t="shared" si="6"/>
        <v>'-&gt; 120.4383 W, 50.7285 N, Elev. 572 m</v>
      </c>
      <c r="H164" s="135"/>
      <c r="I164" s="135"/>
      <c r="J164" s="135"/>
      <c r="K164" s="135"/>
      <c r="L164" s="135"/>
      <c r="M164" s="138">
        <v>50.728499999999997</v>
      </c>
      <c r="N164" s="138">
        <v>-120.4383</v>
      </c>
      <c r="O164" s="138" t="s">
        <v>142</v>
      </c>
      <c r="P164" s="138" t="s">
        <v>7167</v>
      </c>
      <c r="Q164" s="139">
        <v>1</v>
      </c>
      <c r="R164" s="138" t="s">
        <v>7168</v>
      </c>
      <c r="S164" s="140" t="str">
        <f t="shared" si="7"/>
        <v>LDB - LOWER GRASSLAND</v>
      </c>
      <c r="T164" s="138" t="s">
        <v>4344</v>
      </c>
      <c r="U164" s="138">
        <v>572</v>
      </c>
      <c r="V164" s="138"/>
      <c r="W164" s="138" t="s">
        <v>7169</v>
      </c>
      <c r="X164" s="141" t="s">
        <v>7170</v>
      </c>
      <c r="Y164" s="138" t="s">
        <v>7160</v>
      </c>
      <c r="Z164" s="135"/>
      <c r="AA164" s="135"/>
      <c r="AB164" s="135"/>
      <c r="AC164" s="135"/>
      <c r="AD164" s="135"/>
      <c r="AE164" s="289"/>
      <c r="AF164" s="289"/>
      <c r="AG164" s="289"/>
      <c r="AH164" s="135"/>
      <c r="AI164" s="135"/>
      <c r="AJ164" s="135"/>
      <c r="AK164" s="135"/>
      <c r="AL164" s="135"/>
      <c r="AM164" s="135"/>
      <c r="AN164" s="135"/>
      <c r="AO164" s="135"/>
      <c r="AP164" s="135"/>
      <c r="AQ164" s="135"/>
      <c r="AR164" s="135"/>
      <c r="AS164" s="135"/>
      <c r="AT164" s="135"/>
      <c r="AU164" s="135"/>
      <c r="AV164" s="135"/>
      <c r="AW164" s="135"/>
      <c r="AX164" s="135"/>
      <c r="AY164" s="135"/>
      <c r="AZ164" s="135"/>
      <c r="BA164" s="135"/>
    </row>
    <row r="165" spans="1:53" ht="14.25" customHeight="1" x14ac:dyDescent="0.2">
      <c r="A165" s="136" t="s">
        <v>7135</v>
      </c>
      <c r="B165" s="135"/>
      <c r="C165" s="199" t="s">
        <v>7136</v>
      </c>
      <c r="D165" s="205" t="str">
        <f t="shared" si="4"/>
        <v>'-&gt; LDBG1</v>
      </c>
      <c r="E165" s="135"/>
      <c r="F165" s="205" t="str">
        <f t="shared" si="5"/>
        <v>'-&gt; LDB - LowerUpper grassland</v>
      </c>
      <c r="G165" s="142" t="str">
        <f t="shared" si="6"/>
        <v>'-&gt; 120.4483 W, 50.7868 N, Elev. 919 m</v>
      </c>
      <c r="H165" s="135"/>
      <c r="I165" s="135"/>
      <c r="J165" s="135"/>
      <c r="K165" s="135"/>
      <c r="L165" s="135"/>
      <c r="M165" s="138">
        <v>50.786799999999999</v>
      </c>
      <c r="N165" s="138">
        <v>-120.4483</v>
      </c>
      <c r="O165" s="138" t="s">
        <v>142</v>
      </c>
      <c r="P165" s="138" t="s">
        <v>7171</v>
      </c>
      <c r="Q165" s="139">
        <v>2</v>
      </c>
      <c r="R165" s="138" t="s">
        <v>7172</v>
      </c>
      <c r="S165" s="140" t="str">
        <f t="shared" si="7"/>
        <v>LDB - LOWERUPPER GRASSLAND</v>
      </c>
      <c r="T165" s="138" t="s">
        <v>4344</v>
      </c>
      <c r="U165" s="138">
        <v>919</v>
      </c>
      <c r="V165" s="138"/>
      <c r="W165" s="138" t="s">
        <v>7169</v>
      </c>
      <c r="X165" s="141" t="s">
        <v>7170</v>
      </c>
      <c r="Y165" s="138" t="s">
        <v>7160</v>
      </c>
      <c r="Z165" s="135"/>
      <c r="AA165" s="135"/>
      <c r="AB165" s="135"/>
      <c r="AC165" s="135"/>
      <c r="AD165" s="135"/>
      <c r="AE165" s="135"/>
      <c r="AF165" s="135"/>
      <c r="AG165" s="135"/>
      <c r="AH165" s="135"/>
      <c r="AI165" s="135"/>
      <c r="AJ165" s="135"/>
      <c r="AK165" s="135"/>
      <c r="AL165" s="135"/>
      <c r="AM165" s="135"/>
      <c r="AN165" s="135"/>
      <c r="AO165" s="135"/>
      <c r="AP165" s="135"/>
      <c r="AQ165" s="135"/>
      <c r="AR165" s="135"/>
      <c r="AS165" s="135"/>
      <c r="AT165" s="135"/>
      <c r="AU165" s="135"/>
      <c r="AV165" s="135"/>
      <c r="AW165" s="135"/>
      <c r="AX165" s="135"/>
      <c r="AY165" s="135"/>
      <c r="AZ165" s="135"/>
      <c r="BA165" s="135"/>
    </row>
    <row r="166" spans="1:53" ht="14.25" customHeight="1" x14ac:dyDescent="0.2">
      <c r="A166" s="136" t="s">
        <v>7135</v>
      </c>
      <c r="B166" s="135"/>
      <c r="C166" s="199" t="s">
        <v>7136</v>
      </c>
      <c r="D166" s="205" t="str">
        <f t="shared" si="4"/>
        <v>'-&gt; LDBMG</v>
      </c>
      <c r="E166" s="135"/>
      <c r="F166" s="205" t="str">
        <f t="shared" si="5"/>
        <v>'-&gt; LDB - Middle grassland</v>
      </c>
      <c r="G166" s="142" t="str">
        <f t="shared" si="6"/>
        <v>'-&gt; 120.4158 W, 50.7533 N, Elev. 693 m</v>
      </c>
      <c r="H166" s="135"/>
      <c r="I166" s="135"/>
      <c r="J166" s="135"/>
      <c r="K166" s="135"/>
      <c r="L166" s="135"/>
      <c r="M166" s="138">
        <v>50.753300000000003</v>
      </c>
      <c r="N166" s="138">
        <v>-120.4158</v>
      </c>
      <c r="O166" s="138" t="s">
        <v>142</v>
      </c>
      <c r="P166" s="138" t="s">
        <v>7173</v>
      </c>
      <c r="Q166" s="139">
        <v>2</v>
      </c>
      <c r="R166" s="138" t="s">
        <v>7174</v>
      </c>
      <c r="S166" s="140" t="str">
        <f t="shared" si="7"/>
        <v>LDB - MIDDLE GRASSLAND</v>
      </c>
      <c r="T166" s="138" t="s">
        <v>4344</v>
      </c>
      <c r="U166" s="138">
        <v>693</v>
      </c>
      <c r="V166" s="138"/>
      <c r="W166" s="138" t="s">
        <v>7169</v>
      </c>
      <c r="X166" s="141" t="s">
        <v>7170</v>
      </c>
      <c r="Y166" s="138" t="s">
        <v>7160</v>
      </c>
      <c r="Z166" s="135"/>
      <c r="AA166" s="135"/>
      <c r="AB166" s="135"/>
      <c r="AC166" s="135"/>
      <c r="AD166" s="135"/>
      <c r="AE166" s="135"/>
      <c r="AF166" s="135"/>
      <c r="AG166" s="135"/>
      <c r="AH166" s="135"/>
      <c r="AI166" s="135"/>
      <c r="AJ166" s="135"/>
      <c r="AK166" s="135"/>
      <c r="AL166" s="135"/>
      <c r="AM166" s="135"/>
      <c r="AN166" s="135"/>
      <c r="AO166" s="135"/>
      <c r="AP166" s="135"/>
      <c r="AQ166" s="135"/>
      <c r="AR166" s="135"/>
      <c r="AS166" s="135"/>
      <c r="AT166" s="135"/>
      <c r="AU166" s="135"/>
      <c r="AV166" s="135"/>
      <c r="AW166" s="135"/>
      <c r="AX166" s="135"/>
      <c r="AY166" s="135"/>
      <c r="AZ166" s="135"/>
      <c r="BA166" s="135"/>
    </row>
    <row r="167" spans="1:53" ht="14.25" customHeight="1" x14ac:dyDescent="0.2">
      <c r="A167" s="136" t="s">
        <v>7135</v>
      </c>
      <c r="B167" s="135"/>
      <c r="C167" s="199" t="s">
        <v>7136</v>
      </c>
      <c r="D167" s="205" t="str">
        <f t="shared" si="4"/>
        <v>'-&gt; LDBUG</v>
      </c>
      <c r="E167" s="135"/>
      <c r="F167" s="205" t="str">
        <f t="shared" si="5"/>
        <v>'-&gt; LDB - Upper grassland</v>
      </c>
      <c r="G167" s="142" t="str">
        <f t="shared" si="6"/>
        <v>'-&gt; 120.4383 W, 50.7285 N, Elev. 978 m</v>
      </c>
      <c r="H167" s="135"/>
      <c r="I167" s="135"/>
      <c r="J167" s="135"/>
      <c r="K167" s="135"/>
      <c r="L167" s="135"/>
      <c r="M167" s="138">
        <v>50.728499999999997</v>
      </c>
      <c r="N167" s="138">
        <v>-120.4383</v>
      </c>
      <c r="O167" s="138" t="s">
        <v>142</v>
      </c>
      <c r="P167" s="138" t="s">
        <v>7175</v>
      </c>
      <c r="Q167" s="139">
        <v>2</v>
      </c>
      <c r="R167" s="138" t="s">
        <v>7176</v>
      </c>
      <c r="S167" s="140" t="str">
        <f t="shared" si="7"/>
        <v>LDB - UPPER GRASSLAND</v>
      </c>
      <c r="T167" s="138" t="s">
        <v>4344</v>
      </c>
      <c r="U167" s="138">
        <v>978</v>
      </c>
      <c r="V167" s="138"/>
      <c r="W167" s="138" t="s">
        <v>7169</v>
      </c>
      <c r="X167" s="141" t="s">
        <v>7170</v>
      </c>
      <c r="Y167" s="138" t="s">
        <v>7160</v>
      </c>
      <c r="Z167" s="135"/>
      <c r="AA167" s="135"/>
      <c r="AB167" s="135"/>
      <c r="AC167" s="135"/>
      <c r="AD167" s="135"/>
      <c r="AE167" s="135"/>
      <c r="AF167" s="135"/>
      <c r="AG167" s="135"/>
      <c r="AH167" s="135"/>
      <c r="AI167" s="135"/>
      <c r="AJ167" s="135"/>
      <c r="AK167" s="135"/>
      <c r="AL167" s="135"/>
      <c r="AM167" s="135"/>
      <c r="AN167" s="135"/>
      <c r="AO167" s="135"/>
      <c r="AP167" s="135"/>
      <c r="AQ167" s="135"/>
      <c r="AR167" s="135"/>
      <c r="AS167" s="135"/>
      <c r="AT167" s="135"/>
      <c r="AU167" s="135"/>
      <c r="AV167" s="135"/>
      <c r="AW167" s="135"/>
      <c r="AX167" s="135"/>
      <c r="AY167" s="135"/>
      <c r="AZ167" s="135"/>
      <c r="BA167" s="135"/>
    </row>
    <row r="168" spans="1:53" ht="14.25" customHeight="1" x14ac:dyDescent="0.2">
      <c r="A168" s="136" t="s">
        <v>7135</v>
      </c>
      <c r="B168" s="135"/>
      <c r="C168" s="199" t="s">
        <v>7136</v>
      </c>
      <c r="D168" s="205" t="str">
        <f t="shared" si="4"/>
        <v>'-&gt; LDBG2</v>
      </c>
      <c r="E168" s="135"/>
      <c r="F168" s="205" t="str">
        <f t="shared" si="5"/>
        <v>'-&gt; LDB - UpperMiddle grassland</v>
      </c>
      <c r="G168" s="142" t="str">
        <f t="shared" si="6"/>
        <v>'-&gt; 120.435 W, 50.7613 N, Elev. 767 m</v>
      </c>
      <c r="H168" s="135"/>
      <c r="I168" s="135"/>
      <c r="J168" s="135"/>
      <c r="K168" s="135"/>
      <c r="L168" s="135"/>
      <c r="M168" s="138">
        <v>50.761299999999999</v>
      </c>
      <c r="N168" s="138">
        <v>-120.435</v>
      </c>
      <c r="O168" s="138" t="s">
        <v>142</v>
      </c>
      <c r="P168" s="138" t="s">
        <v>7177</v>
      </c>
      <c r="Q168" s="139">
        <v>2</v>
      </c>
      <c r="R168" s="138" t="s">
        <v>7178</v>
      </c>
      <c r="S168" s="140" t="str">
        <f t="shared" si="7"/>
        <v>LDB - UPPERMIDDLE GRASSLAND</v>
      </c>
      <c r="T168" s="138" t="s">
        <v>4344</v>
      </c>
      <c r="U168" s="138">
        <v>767</v>
      </c>
      <c r="V168" s="138"/>
      <c r="W168" s="138" t="s">
        <v>7169</v>
      </c>
      <c r="X168" s="141" t="s">
        <v>7170</v>
      </c>
      <c r="Y168" s="138" t="s">
        <v>7160</v>
      </c>
      <c r="Z168" s="135"/>
      <c r="AA168" s="135"/>
      <c r="AB168" s="135"/>
      <c r="AC168" s="135"/>
      <c r="AD168" s="135"/>
      <c r="AE168" s="135"/>
      <c r="AF168" s="135"/>
      <c r="AG168" s="135"/>
      <c r="AH168" s="135"/>
      <c r="AI168" s="135"/>
      <c r="AJ168" s="135"/>
      <c r="AK168" s="135"/>
      <c r="AL168" s="135"/>
      <c r="AM168" s="135"/>
      <c r="AN168" s="135"/>
      <c r="AO168" s="135"/>
      <c r="AP168" s="135"/>
      <c r="AQ168" s="135"/>
      <c r="AR168" s="135"/>
      <c r="AS168" s="135"/>
      <c r="AT168" s="135"/>
      <c r="AU168" s="135"/>
      <c r="AV168" s="135"/>
      <c r="AW168" s="135"/>
      <c r="AX168" s="135"/>
      <c r="AY168" s="135"/>
      <c r="AZ168" s="135"/>
      <c r="BA168" s="135"/>
    </row>
    <row r="169" spans="1:53" ht="14.25" customHeight="1" x14ac:dyDescent="0.2">
      <c r="A169" s="136" t="s">
        <v>7135</v>
      </c>
      <c r="B169" s="135"/>
      <c r="C169" s="199" t="s">
        <v>7136</v>
      </c>
      <c r="D169" s="205" t="str">
        <f t="shared" si="4"/>
        <v>'-&gt; Arrow</v>
      </c>
      <c r="E169" s="135"/>
      <c r="F169" s="205" t="str">
        <f t="shared" si="5"/>
        <v>'-&gt; Arrowstone</v>
      </c>
      <c r="G169" s="142" t="str">
        <f t="shared" si="6"/>
        <v>'-&gt; 120.301383 W, 50.906011 N, Elev. 1575 m</v>
      </c>
      <c r="H169" s="135"/>
      <c r="I169" s="135"/>
      <c r="J169" s="135"/>
      <c r="K169" s="135"/>
      <c r="L169" s="135"/>
      <c r="M169" s="138">
        <v>50.906010999999999</v>
      </c>
      <c r="N169" s="138">
        <v>-120.301383</v>
      </c>
      <c r="O169" s="138" t="s">
        <v>142</v>
      </c>
      <c r="P169" s="313" t="s">
        <v>7203</v>
      </c>
      <c r="Q169" s="139">
        <v>7</v>
      </c>
      <c r="R169" s="138" t="s">
        <v>7204</v>
      </c>
      <c r="S169" s="140" t="str">
        <f t="shared" si="7"/>
        <v>ARROWSTONE</v>
      </c>
      <c r="T169" s="138" t="s">
        <v>4344</v>
      </c>
      <c r="U169" s="138">
        <v>1575</v>
      </c>
      <c r="V169" s="138"/>
      <c r="W169" s="138" t="s">
        <v>7205</v>
      </c>
      <c r="X169" s="141" t="s">
        <v>7159</v>
      </c>
      <c r="Y169" s="138" t="s">
        <v>7206</v>
      </c>
      <c r="Z169" s="135"/>
      <c r="AA169" s="135"/>
      <c r="AB169" s="135"/>
      <c r="AC169" s="135"/>
      <c r="AD169" s="135"/>
      <c r="AE169" s="135"/>
      <c r="AF169" s="135"/>
      <c r="AG169" s="135"/>
      <c r="AH169" s="135"/>
      <c r="AI169" s="135"/>
      <c r="AJ169" s="135"/>
      <c r="AK169" s="135"/>
      <c r="AL169" s="135"/>
      <c r="AM169" s="135"/>
      <c r="AN169" s="135"/>
      <c r="AO169" s="135"/>
      <c r="AP169" s="135"/>
      <c r="AQ169" s="135"/>
      <c r="AR169" s="135"/>
      <c r="AS169" s="135"/>
      <c r="AT169" s="135"/>
      <c r="AU169" s="135"/>
      <c r="AV169" s="135"/>
      <c r="AW169" s="135"/>
      <c r="AX169" s="135"/>
      <c r="AY169" s="135"/>
      <c r="AZ169" s="135"/>
      <c r="BA169" s="135"/>
    </row>
    <row r="170" spans="1:53" ht="14.25" customHeight="1" x14ac:dyDescent="0.2">
      <c r="A170" s="136" t="s">
        <v>7135</v>
      </c>
      <c r="B170" s="135"/>
      <c r="C170" s="199" t="s">
        <v>7136</v>
      </c>
      <c r="D170" s="205" t="str">
        <f t="shared" si="4"/>
        <v>'-&gt; Chase Creek</v>
      </c>
      <c r="E170" s="135"/>
      <c r="F170" s="205" t="str">
        <f t="shared" si="5"/>
        <v>'-&gt; Chase Creek</v>
      </c>
      <c r="G170" s="142" t="str">
        <f t="shared" si="6"/>
        <v>'-&gt; 119.533333 W, 50.758333 N, Elev. 700 m</v>
      </c>
      <c r="H170" s="135"/>
      <c r="I170" s="135"/>
      <c r="J170" s="135"/>
      <c r="K170" s="135"/>
      <c r="L170" s="135"/>
      <c r="M170" s="138">
        <v>50.758333</v>
      </c>
      <c r="N170" s="138">
        <v>-119.533333</v>
      </c>
      <c r="O170" s="138" t="s">
        <v>142</v>
      </c>
      <c r="P170" s="138" t="s">
        <v>7207</v>
      </c>
      <c r="Q170" s="139">
        <v>2</v>
      </c>
      <c r="R170" s="138" t="s">
        <v>7207</v>
      </c>
      <c r="S170" s="140" t="str">
        <f t="shared" si="7"/>
        <v>CHASE CREEK</v>
      </c>
      <c r="T170" s="138" t="s">
        <v>4344</v>
      </c>
      <c r="U170" s="138">
        <v>700</v>
      </c>
      <c r="V170" s="138"/>
      <c r="W170" s="138" t="s">
        <v>7208</v>
      </c>
      <c r="X170" s="141" t="s">
        <v>7209</v>
      </c>
      <c r="Y170" s="138" t="s">
        <v>7206</v>
      </c>
      <c r="Z170" s="135"/>
      <c r="AA170" s="135"/>
      <c r="AB170" s="135"/>
      <c r="AC170" s="135"/>
      <c r="AD170" s="135"/>
      <c r="AE170" s="135"/>
      <c r="AF170" s="135"/>
      <c r="AG170" s="135"/>
      <c r="AH170" s="135"/>
      <c r="AI170" s="135"/>
      <c r="AJ170" s="135"/>
      <c r="AK170" s="135"/>
      <c r="AL170" s="135"/>
      <c r="AM170" s="135"/>
      <c r="AN170" s="135"/>
      <c r="AO170" s="135"/>
      <c r="AP170" s="135"/>
      <c r="AQ170" s="135"/>
      <c r="AR170" s="135"/>
      <c r="AS170" s="135"/>
      <c r="AT170" s="135"/>
      <c r="AU170" s="135"/>
      <c r="AV170" s="135"/>
      <c r="AW170" s="135"/>
      <c r="AX170" s="135"/>
      <c r="AY170" s="135"/>
      <c r="AZ170" s="135"/>
      <c r="BA170" s="135"/>
    </row>
    <row r="171" spans="1:53" ht="14.25" customHeight="1" x14ac:dyDescent="0.2">
      <c r="A171" s="136" t="s">
        <v>7135</v>
      </c>
      <c r="B171" s="135"/>
      <c r="C171" s="199" t="s">
        <v>7136</v>
      </c>
      <c r="D171" s="205" t="str">
        <f t="shared" si="4"/>
        <v>'-&gt; WV1</v>
      </c>
      <c r="E171" s="135"/>
      <c r="F171" s="205" t="str">
        <f t="shared" si="5"/>
        <v>'-&gt; Sicamouse Creek - WV1</v>
      </c>
      <c r="G171" s="142" t="str">
        <f t="shared" si="6"/>
        <v>'-&gt; 122.718656 W, 53.772719 N, Elev. 1530 m</v>
      </c>
      <c r="H171" s="135"/>
      <c r="I171" s="135"/>
      <c r="J171" s="135"/>
      <c r="K171" s="135"/>
      <c r="L171" s="135"/>
      <c r="M171" s="138">
        <v>53.772719000000002</v>
      </c>
      <c r="N171" s="138">
        <v>-122.718656</v>
      </c>
      <c r="O171" s="138" t="s">
        <v>1290</v>
      </c>
      <c r="P171" s="138" t="s">
        <v>7210</v>
      </c>
      <c r="Q171" s="139">
        <v>7</v>
      </c>
      <c r="R171" s="138" t="s">
        <v>7211</v>
      </c>
      <c r="S171" s="140" t="str">
        <f t="shared" si="7"/>
        <v>SICAMOUSE CREEK - WV1</v>
      </c>
      <c r="T171" s="138" t="s">
        <v>4344</v>
      </c>
      <c r="U171" s="138">
        <v>1530</v>
      </c>
      <c r="V171" s="138"/>
      <c r="W171" s="138" t="s">
        <v>7208</v>
      </c>
      <c r="X171" s="141" t="s">
        <v>7212</v>
      </c>
      <c r="Y171" s="138" t="s">
        <v>7206</v>
      </c>
      <c r="Z171" s="135"/>
      <c r="AA171" s="135"/>
      <c r="AB171" s="135"/>
      <c r="AC171" s="135"/>
      <c r="AD171" s="135"/>
      <c r="AE171" s="135"/>
      <c r="AF171" s="135"/>
      <c r="AG171" s="135"/>
      <c r="AH171" s="135"/>
      <c r="AI171" s="135"/>
      <c r="AJ171" s="135"/>
      <c r="AK171" s="135"/>
      <c r="AL171" s="135"/>
      <c r="AM171" s="135"/>
      <c r="AN171" s="135"/>
      <c r="AO171" s="135"/>
      <c r="AP171" s="135"/>
      <c r="AQ171" s="135"/>
      <c r="AR171" s="135"/>
      <c r="AS171" s="135"/>
      <c r="AT171" s="135"/>
      <c r="AU171" s="135"/>
      <c r="AV171" s="135"/>
      <c r="AW171" s="135"/>
      <c r="AX171" s="135"/>
      <c r="AY171" s="135"/>
      <c r="AZ171" s="135"/>
      <c r="BA171" s="135"/>
    </row>
    <row r="172" spans="1:53" ht="14.25" customHeight="1" x14ac:dyDescent="0.2">
      <c r="A172" s="136" t="s">
        <v>7135</v>
      </c>
      <c r="B172" s="135"/>
      <c r="C172" s="199" t="s">
        <v>7136</v>
      </c>
      <c r="D172" s="205" t="str">
        <f t="shared" si="4"/>
        <v>'-&gt; PK</v>
      </c>
      <c r="E172" s="135"/>
      <c r="F172" s="205" t="str">
        <f t="shared" si="5"/>
        <v>'-&gt; Upper Penticton - PK</v>
      </c>
      <c r="G172" s="142" t="str">
        <f t="shared" si="6"/>
        <v>'-&gt; 119.23359 W, 49.3917 N, Elev. 1628 m</v>
      </c>
      <c r="H172" s="135"/>
      <c r="I172" s="135"/>
      <c r="J172" s="135"/>
      <c r="K172" s="135"/>
      <c r="L172" s="135"/>
      <c r="M172" s="138">
        <v>49.3917</v>
      </c>
      <c r="N172" s="138">
        <v>-119.23359000000001</v>
      </c>
      <c r="O172" s="138" t="s">
        <v>142</v>
      </c>
      <c r="P172" s="138" t="s">
        <v>7213</v>
      </c>
      <c r="Q172" s="139">
        <v>7</v>
      </c>
      <c r="R172" s="138" t="s">
        <v>7214</v>
      </c>
      <c r="S172" s="140" t="str">
        <f t="shared" si="7"/>
        <v>UPPER PENTICTON - PK</v>
      </c>
      <c r="T172" s="138" t="s">
        <v>4344</v>
      </c>
      <c r="U172" s="138">
        <v>1628</v>
      </c>
      <c r="V172" s="138"/>
      <c r="W172" s="138" t="s">
        <v>7215</v>
      </c>
      <c r="X172" s="141" t="s">
        <v>7216</v>
      </c>
      <c r="Y172" s="138" t="s">
        <v>7206</v>
      </c>
      <c r="Z172" s="135"/>
      <c r="AA172" s="135"/>
      <c r="AB172" s="135"/>
      <c r="AC172" s="135"/>
      <c r="AD172" s="135"/>
      <c r="AE172" s="135"/>
      <c r="AF172" s="135"/>
      <c r="AG172" s="135"/>
      <c r="AH172" s="135"/>
      <c r="AI172" s="135"/>
      <c r="AJ172" s="135"/>
      <c r="AK172" s="135"/>
      <c r="AL172" s="135"/>
      <c r="AM172" s="135"/>
      <c r="AN172" s="135"/>
      <c r="AO172" s="135"/>
      <c r="AP172" s="135"/>
      <c r="AQ172" s="135"/>
      <c r="AR172" s="135"/>
      <c r="AS172" s="135"/>
      <c r="AT172" s="135"/>
      <c r="AU172" s="135"/>
      <c r="AV172" s="135"/>
      <c r="AW172" s="135"/>
      <c r="AX172" s="135"/>
      <c r="AY172" s="135"/>
      <c r="AZ172" s="135"/>
      <c r="BA172" s="135"/>
    </row>
    <row r="173" spans="1:53" ht="14.25" customHeight="1" x14ac:dyDescent="0.2">
      <c r="A173" s="136" t="s">
        <v>7135</v>
      </c>
      <c r="B173" s="135"/>
      <c r="C173" s="199" t="s">
        <v>7136</v>
      </c>
      <c r="D173" s="205" t="str">
        <f t="shared" si="4"/>
        <v>'-&gt; P1</v>
      </c>
      <c r="E173" s="135"/>
      <c r="F173" s="205" t="str">
        <f t="shared" si="5"/>
        <v>'-&gt; Upper Penticton Creek - P1</v>
      </c>
      <c r="G173" s="142" t="str">
        <f t="shared" si="6"/>
        <v>'-&gt; 119.398655 W, 49.651744 N, Elev. 1619 m</v>
      </c>
      <c r="H173" s="135"/>
      <c r="I173" s="135"/>
      <c r="J173" s="135"/>
      <c r="K173" s="135"/>
      <c r="L173" s="135"/>
      <c r="M173" s="220">
        <v>49.651744000000001</v>
      </c>
      <c r="N173" s="220">
        <v>-119.39865500000001</v>
      </c>
      <c r="O173" s="138" t="s">
        <v>142</v>
      </c>
      <c r="P173" s="138" t="s">
        <v>7217</v>
      </c>
      <c r="Q173" s="139">
        <v>7</v>
      </c>
      <c r="R173" s="138" t="s">
        <v>7218</v>
      </c>
      <c r="S173" s="140" t="str">
        <f t="shared" si="7"/>
        <v>UPPER PENTICTON CREEK - P1</v>
      </c>
      <c r="T173" s="138" t="s">
        <v>4344</v>
      </c>
      <c r="U173" s="138">
        <v>1619</v>
      </c>
      <c r="V173" s="138" t="s">
        <v>645</v>
      </c>
      <c r="W173" s="138" t="s">
        <v>7219</v>
      </c>
      <c r="X173" s="141" t="s">
        <v>7220</v>
      </c>
      <c r="Y173" s="138" t="s">
        <v>7206</v>
      </c>
      <c r="Z173" s="135"/>
      <c r="AA173" s="135"/>
      <c r="AB173" s="135"/>
      <c r="AC173" s="135"/>
      <c r="AD173" s="135"/>
      <c r="AE173" s="135"/>
      <c r="AF173" s="135"/>
      <c r="AG173" s="135"/>
      <c r="AH173" s="135"/>
      <c r="AI173" s="135"/>
      <c r="AJ173" s="135"/>
      <c r="AK173" s="135"/>
      <c r="AL173" s="135"/>
      <c r="AM173" s="135"/>
      <c r="AN173" s="135"/>
      <c r="AO173" s="135"/>
      <c r="AP173" s="135"/>
      <c r="AQ173" s="135"/>
      <c r="AR173" s="135"/>
      <c r="AS173" s="135"/>
      <c r="AT173" s="135"/>
      <c r="AU173" s="135"/>
      <c r="AV173" s="135"/>
      <c r="AW173" s="135"/>
      <c r="AX173" s="135"/>
      <c r="AY173" s="135"/>
      <c r="AZ173" s="135"/>
      <c r="BA173" s="135"/>
    </row>
    <row r="174" spans="1:53" ht="14.25" customHeight="1" x14ac:dyDescent="0.2">
      <c r="A174" s="136" t="s">
        <v>7135</v>
      </c>
      <c r="B174" s="135"/>
      <c r="C174" s="149" t="s">
        <v>7136</v>
      </c>
      <c r="D174" s="142" t="str">
        <f t="shared" si="4"/>
        <v>'-&gt; P5</v>
      </c>
      <c r="E174" s="135"/>
      <c r="F174" s="142" t="str">
        <f t="shared" si="5"/>
        <v>'-&gt; Upper Penticton Creek - P5</v>
      </c>
      <c r="G174" s="142" t="str">
        <f t="shared" si="6"/>
        <v>'-&gt; 119.403066 W, 49.658049 N, Elev. 1673 m</v>
      </c>
      <c r="H174" s="135"/>
      <c r="I174" s="289"/>
      <c r="J174" s="135"/>
      <c r="K174" s="135"/>
      <c r="L174" s="135"/>
      <c r="M174" s="138">
        <v>49.658048999999998</v>
      </c>
      <c r="N174" s="138">
        <v>-119.403066</v>
      </c>
      <c r="O174" s="138" t="s">
        <v>142</v>
      </c>
      <c r="P174" s="138" t="s">
        <v>7221</v>
      </c>
      <c r="Q174" s="139">
        <v>7</v>
      </c>
      <c r="R174" s="138" t="s">
        <v>7222</v>
      </c>
      <c r="S174" s="140" t="str">
        <f t="shared" si="7"/>
        <v>UPPER PENTICTON CREEK - P5</v>
      </c>
      <c r="T174" s="138" t="s">
        <v>4344</v>
      </c>
      <c r="U174" s="138">
        <v>1673</v>
      </c>
      <c r="V174" s="138"/>
      <c r="W174" s="138" t="s">
        <v>7223</v>
      </c>
      <c r="X174" s="141" t="s">
        <v>7224</v>
      </c>
      <c r="Y174" s="138" t="s">
        <v>7206</v>
      </c>
      <c r="Z174" s="135"/>
      <c r="AA174" s="135"/>
      <c r="AB174" s="135"/>
      <c r="AC174" s="135"/>
      <c r="AD174" s="135"/>
      <c r="AE174" s="135"/>
      <c r="AF174" s="135"/>
      <c r="AG174" s="135"/>
      <c r="AH174" s="135"/>
      <c r="AI174" s="135"/>
      <c r="AJ174" s="135"/>
      <c r="AK174" s="135"/>
      <c r="AL174" s="135"/>
      <c r="AM174" s="135"/>
      <c r="AN174" s="135"/>
      <c r="AO174" s="135"/>
      <c r="AP174" s="135"/>
      <c r="AQ174" s="135"/>
      <c r="AR174" s="135"/>
      <c r="AS174" s="135"/>
      <c r="AT174" s="135"/>
      <c r="AU174" s="135"/>
      <c r="AV174" s="135"/>
      <c r="AW174" s="135"/>
      <c r="AX174" s="135"/>
      <c r="AY174" s="135"/>
      <c r="AZ174" s="135"/>
      <c r="BA174" s="135"/>
    </row>
    <row r="175" spans="1:53" ht="14.25" customHeight="1" x14ac:dyDescent="0.2">
      <c r="A175" s="136" t="s">
        <v>7135</v>
      </c>
      <c r="B175" s="135"/>
      <c r="C175" s="149" t="s">
        <v>7136</v>
      </c>
      <c r="D175" s="142" t="str">
        <f t="shared" si="4"/>
        <v>'-&gt; PB</v>
      </c>
      <c r="E175" s="135"/>
      <c r="F175" s="142" t="str">
        <f t="shared" si="5"/>
        <v>'-&gt; Upper Penticton Creek - PB</v>
      </c>
      <c r="G175" s="142" t="str">
        <f t="shared" si="6"/>
        <v>'-&gt; 119.378929 W, 49.673323 N, Elev. 1885 m</v>
      </c>
      <c r="H175" s="135"/>
      <c r="I175" s="289"/>
      <c r="J175" s="135"/>
      <c r="K175" s="135"/>
      <c r="L175" s="135"/>
      <c r="M175" s="138">
        <v>49.673323000000003</v>
      </c>
      <c r="N175" s="138">
        <v>-119.378929</v>
      </c>
      <c r="O175" s="138" t="s">
        <v>142</v>
      </c>
      <c r="P175" s="138" t="s">
        <v>7225</v>
      </c>
      <c r="Q175" s="139">
        <v>8</v>
      </c>
      <c r="R175" s="138" t="s">
        <v>7226</v>
      </c>
      <c r="S175" s="140" t="str">
        <f t="shared" si="7"/>
        <v>UPPER PENTICTON CREEK - PB</v>
      </c>
      <c r="T175" s="138" t="s">
        <v>4344</v>
      </c>
      <c r="U175" s="138">
        <v>1885</v>
      </c>
      <c r="V175" s="138" t="s">
        <v>645</v>
      </c>
      <c r="W175" s="138" t="s">
        <v>7227</v>
      </c>
      <c r="X175" s="141" t="s">
        <v>7228</v>
      </c>
      <c r="Y175" s="138" t="s">
        <v>7206</v>
      </c>
      <c r="Z175" s="135"/>
      <c r="AA175" s="135"/>
      <c r="AB175" s="135"/>
      <c r="AC175" s="135"/>
      <c r="AD175" s="135"/>
      <c r="AE175" s="135"/>
      <c r="AF175" s="135"/>
      <c r="AG175" s="135"/>
      <c r="AH175" s="135"/>
      <c r="AI175" s="135"/>
      <c r="AJ175" s="135"/>
      <c r="AK175" s="135"/>
      <c r="AL175" s="135"/>
      <c r="AM175" s="135"/>
      <c r="AN175" s="135"/>
      <c r="AO175" s="135"/>
      <c r="AP175" s="135"/>
      <c r="AQ175" s="135"/>
      <c r="AR175" s="135"/>
      <c r="AS175" s="135"/>
      <c r="AT175" s="135"/>
      <c r="AU175" s="135"/>
      <c r="AV175" s="135"/>
      <c r="AW175" s="135"/>
      <c r="AX175" s="135"/>
      <c r="AY175" s="135"/>
      <c r="AZ175" s="135"/>
      <c r="BA175" s="135"/>
    </row>
    <row r="176" spans="1:53" ht="14.25" customHeight="1" x14ac:dyDescent="0.2">
      <c r="A176" s="136" t="s">
        <v>7135</v>
      </c>
      <c r="B176" s="135"/>
      <c r="C176" s="149" t="s">
        <v>7136</v>
      </c>
      <c r="D176" s="142" t="str">
        <f t="shared" si="4"/>
        <v>'-&gt; PC</v>
      </c>
      <c r="E176" s="135"/>
      <c r="F176" s="142" t="str">
        <f t="shared" si="5"/>
        <v>'-&gt; Upper Penticton Creek - PC</v>
      </c>
      <c r="G176" s="142" t="str">
        <f t="shared" si="6"/>
        <v>'-&gt; 119.377021 W, 49.674375 N, Elev. 1917 m</v>
      </c>
      <c r="H176" s="135"/>
      <c r="I176" s="289"/>
      <c r="J176" s="135"/>
      <c r="K176" s="135"/>
      <c r="L176" s="135"/>
      <c r="M176" s="138">
        <v>49.674374999999998</v>
      </c>
      <c r="N176" s="138">
        <v>-119.377021</v>
      </c>
      <c r="O176" s="138" t="s">
        <v>142</v>
      </c>
      <c r="P176" s="138" t="s">
        <v>7229</v>
      </c>
      <c r="Q176" s="139">
        <v>8</v>
      </c>
      <c r="R176" s="220" t="s">
        <v>7230</v>
      </c>
      <c r="S176" s="140" t="str">
        <f t="shared" si="7"/>
        <v>UPPER PENTICTON CREEK - PC</v>
      </c>
      <c r="T176" s="138" t="s">
        <v>4344</v>
      </c>
      <c r="U176" s="138">
        <v>1917</v>
      </c>
      <c r="V176" s="138"/>
      <c r="W176" s="138" t="s">
        <v>7231</v>
      </c>
      <c r="X176" s="141" t="s">
        <v>7232</v>
      </c>
      <c r="Y176" s="138" t="s">
        <v>7206</v>
      </c>
      <c r="Z176" s="135"/>
      <c r="AA176" s="135"/>
      <c r="AB176" s="135"/>
      <c r="AC176" s="135"/>
      <c r="AD176" s="135"/>
      <c r="AE176" s="135"/>
      <c r="AF176" s="135"/>
      <c r="AG176" s="135"/>
      <c r="AH176" s="135"/>
      <c r="AI176" s="135"/>
      <c r="AJ176" s="135"/>
      <c r="AK176" s="135"/>
      <c r="AL176" s="135"/>
      <c r="AM176" s="135"/>
      <c r="AN176" s="135"/>
      <c r="AO176" s="135"/>
      <c r="AP176" s="135"/>
      <c r="AQ176" s="135"/>
      <c r="AR176" s="135"/>
      <c r="AS176" s="135"/>
      <c r="AT176" s="135"/>
      <c r="AU176" s="135"/>
      <c r="AV176" s="135"/>
      <c r="AW176" s="135"/>
      <c r="AX176" s="135"/>
      <c r="AY176" s="135"/>
      <c r="AZ176" s="135"/>
      <c r="BA176" s="135"/>
    </row>
    <row r="177" spans="1:53" ht="14.25" customHeight="1" x14ac:dyDescent="0.2">
      <c r="A177" s="136" t="s">
        <v>7135</v>
      </c>
      <c r="B177" s="135"/>
      <c r="C177" s="199" t="s">
        <v>7136</v>
      </c>
      <c r="D177" s="205" t="str">
        <f t="shared" si="4"/>
        <v>'-&gt; PJ</v>
      </c>
      <c r="E177" s="135"/>
      <c r="F177" s="205" t="str">
        <f t="shared" si="5"/>
        <v>'-&gt; Upper Penticton Creek - PJ</v>
      </c>
      <c r="G177" s="142" t="str">
        <f t="shared" si="6"/>
        <v>'-&gt; 119.392864 W, 49.659806 N, Elev. 1677 m</v>
      </c>
      <c r="H177" s="135"/>
      <c r="I177" s="135"/>
      <c r="J177" s="135"/>
      <c r="K177" s="135"/>
      <c r="L177" s="135"/>
      <c r="M177" s="138">
        <v>49.659806000000003</v>
      </c>
      <c r="N177" s="138">
        <v>-119.392864</v>
      </c>
      <c r="O177" s="138" t="s">
        <v>142</v>
      </c>
      <c r="P177" s="138" t="s">
        <v>7233</v>
      </c>
      <c r="Q177" s="139">
        <v>7</v>
      </c>
      <c r="R177" s="138" t="s">
        <v>7234</v>
      </c>
      <c r="S177" s="140" t="str">
        <f t="shared" si="7"/>
        <v>UPPER PENTICTON CREEK - PJ</v>
      </c>
      <c r="T177" s="138" t="s">
        <v>4344</v>
      </c>
      <c r="U177" s="138">
        <v>1677</v>
      </c>
      <c r="V177" s="138"/>
      <c r="W177" s="138" t="s">
        <v>7235</v>
      </c>
      <c r="X177" s="141" t="s">
        <v>7236</v>
      </c>
      <c r="Y177" s="138" t="s">
        <v>7206</v>
      </c>
      <c r="Z177" s="135"/>
      <c r="AA177" s="135"/>
      <c r="AB177" s="135"/>
      <c r="AC177" s="135"/>
      <c r="AD177" s="135"/>
      <c r="AE177" s="135"/>
      <c r="AF177" s="135"/>
      <c r="AG177" s="135"/>
      <c r="AH177" s="135"/>
      <c r="AI177" s="135"/>
      <c r="AJ177" s="135"/>
      <c r="AK177" s="135"/>
      <c r="AL177" s="135"/>
      <c r="AM177" s="135"/>
      <c r="AN177" s="135"/>
      <c r="AO177" s="135"/>
      <c r="AP177" s="135"/>
      <c r="AQ177" s="135"/>
      <c r="AR177" s="135"/>
      <c r="AS177" s="135"/>
      <c r="AT177" s="135"/>
      <c r="AU177" s="135"/>
      <c r="AV177" s="135"/>
      <c r="AW177" s="135"/>
      <c r="AX177" s="135"/>
      <c r="AY177" s="135"/>
      <c r="AZ177" s="135"/>
      <c r="BA177" s="135"/>
    </row>
    <row r="178" spans="1:53" ht="14.25" customHeight="1" x14ac:dyDescent="0.2">
      <c r="A178" s="136" t="s">
        <v>7135</v>
      </c>
      <c r="B178" s="135"/>
      <c r="C178" s="199" t="s">
        <v>7136</v>
      </c>
      <c r="D178" s="205" t="str">
        <f t="shared" si="4"/>
        <v>'-&gt; PL</v>
      </c>
      <c r="E178" s="135"/>
      <c r="F178" s="205" t="str">
        <f t="shared" si="5"/>
        <v>'-&gt; Upper Penticton Creek - PL</v>
      </c>
      <c r="G178" s="142" t="str">
        <f t="shared" si="6"/>
        <v>'-&gt; 119.376919 W, 49.670023 N, Elev. 1853 m</v>
      </c>
      <c r="H178" s="135"/>
      <c r="I178" s="135"/>
      <c r="J178" s="135"/>
      <c r="K178" s="135"/>
      <c r="L178" s="135"/>
      <c r="M178" s="138">
        <v>49.670023</v>
      </c>
      <c r="N178" s="138">
        <v>-119.376919</v>
      </c>
      <c r="O178" s="138" t="s">
        <v>142</v>
      </c>
      <c r="P178" s="138" t="s">
        <v>7237</v>
      </c>
      <c r="Q178" s="139">
        <v>8</v>
      </c>
      <c r="R178" s="138" t="s">
        <v>7238</v>
      </c>
      <c r="S178" s="140" t="str">
        <f t="shared" si="7"/>
        <v>UPPER PENTICTON CREEK - PL</v>
      </c>
      <c r="T178" s="138" t="s">
        <v>4344</v>
      </c>
      <c r="U178" s="138">
        <v>1853</v>
      </c>
      <c r="V178" s="138"/>
      <c r="W178" s="138" t="s">
        <v>7227</v>
      </c>
      <c r="X178" s="141" t="s">
        <v>7239</v>
      </c>
      <c r="Y178" s="138" t="s">
        <v>7206</v>
      </c>
      <c r="Z178" s="135"/>
      <c r="AA178" s="135"/>
      <c r="AB178" s="135"/>
      <c r="AC178" s="135"/>
      <c r="AD178" s="135"/>
      <c r="AE178" s="135"/>
      <c r="AF178" s="135"/>
      <c r="AG178" s="135"/>
      <c r="AH178" s="135"/>
      <c r="AI178" s="135"/>
      <c r="AJ178" s="135"/>
      <c r="AK178" s="135"/>
      <c r="AL178" s="135"/>
      <c r="AM178" s="135"/>
      <c r="AN178" s="135"/>
      <c r="AO178" s="135"/>
      <c r="AP178" s="135"/>
      <c r="AQ178" s="135"/>
      <c r="AR178" s="135"/>
      <c r="AS178" s="135"/>
      <c r="AT178" s="135"/>
      <c r="AU178" s="135"/>
      <c r="AV178" s="135"/>
      <c r="AW178" s="135"/>
      <c r="AX178" s="135"/>
      <c r="AY178" s="135"/>
      <c r="AZ178" s="135"/>
      <c r="BA178" s="135"/>
    </row>
    <row r="179" spans="1:53" ht="14.25" customHeight="1" x14ac:dyDescent="0.2">
      <c r="A179" s="136" t="s">
        <v>7135</v>
      </c>
      <c r="B179" s="138"/>
      <c r="C179" s="199" t="s">
        <v>7136</v>
      </c>
      <c r="D179" s="205" t="str">
        <f t="shared" si="4"/>
        <v>'-&gt; CrookedLk</v>
      </c>
      <c r="E179" s="135"/>
      <c r="F179" s="205" t="str">
        <f t="shared" si="5"/>
        <v>'-&gt; CrookedLk</v>
      </c>
      <c r="G179" s="142" t="str">
        <f t="shared" si="6"/>
        <v>'-&gt; 126.42886 W, 59.88626 N, Elev. 669 m</v>
      </c>
      <c r="H179" s="135"/>
      <c r="I179" s="135"/>
      <c r="J179" s="135"/>
      <c r="K179" s="135"/>
      <c r="L179" s="135"/>
      <c r="M179" s="220">
        <v>59.88626</v>
      </c>
      <c r="N179" s="220">
        <v>-126.42886</v>
      </c>
      <c r="O179" s="220" t="s">
        <v>1577</v>
      </c>
      <c r="P179" s="220" t="s">
        <v>7322</v>
      </c>
      <c r="Q179" s="244">
        <v>1</v>
      </c>
      <c r="R179" s="220" t="s">
        <v>7322</v>
      </c>
      <c r="S179" s="250" t="str">
        <f t="shared" si="7"/>
        <v>CROOKEDLK</v>
      </c>
      <c r="T179" s="220" t="s">
        <v>4344</v>
      </c>
      <c r="U179" s="220">
        <v>669</v>
      </c>
      <c r="V179" s="138"/>
      <c r="W179" s="138" t="s">
        <v>7323</v>
      </c>
      <c r="X179" s="141" t="s">
        <v>7324</v>
      </c>
      <c r="Y179" s="138" t="s">
        <v>7252</v>
      </c>
      <c r="Z179" s="289"/>
      <c r="AA179" s="289"/>
      <c r="AB179" s="135"/>
      <c r="AC179" s="135"/>
      <c r="AD179" s="135"/>
      <c r="AE179" s="135"/>
      <c r="AF179" s="135"/>
      <c r="AG179" s="135"/>
      <c r="AH179" s="135"/>
      <c r="AI179" s="135"/>
      <c r="AJ179" s="135"/>
      <c r="AK179" s="135"/>
      <c r="AL179" s="135"/>
      <c r="AM179" s="135"/>
      <c r="AN179" s="135"/>
      <c r="AO179" s="135"/>
      <c r="AP179" s="135"/>
      <c r="AQ179" s="135"/>
      <c r="AR179" s="135"/>
      <c r="AS179" s="135"/>
      <c r="AT179" s="135"/>
      <c r="AU179" s="135"/>
      <c r="AV179" s="135"/>
      <c r="AW179" s="135"/>
      <c r="AX179" s="135"/>
      <c r="AY179" s="135"/>
      <c r="AZ179" s="135"/>
      <c r="BA179" s="135"/>
    </row>
    <row r="180" spans="1:53" ht="14.25" customHeight="1" x14ac:dyDescent="0.2">
      <c r="A180" s="136" t="s">
        <v>7135</v>
      </c>
      <c r="B180" s="138"/>
      <c r="C180" s="199" t="s">
        <v>7136</v>
      </c>
      <c r="D180" s="205" t="str">
        <f t="shared" si="4"/>
        <v>'-&gt; PGTISDavis</v>
      </c>
      <c r="E180" s="135"/>
      <c r="F180" s="205" t="str">
        <f t="shared" si="5"/>
        <v>'-&gt; DavisPGTIS</v>
      </c>
      <c r="G180" s="142" t="str">
        <f t="shared" si="6"/>
        <v>'-&gt; 122.7229 W, 53.77202 N, Elev. 613 m</v>
      </c>
      <c r="H180" s="135"/>
      <c r="I180" s="135"/>
      <c r="J180" s="135"/>
      <c r="K180" s="135"/>
      <c r="L180" s="135"/>
      <c r="M180" s="297">
        <v>53.772019999999998</v>
      </c>
      <c r="N180" s="297">
        <v>-122.7229</v>
      </c>
      <c r="O180" s="220" t="s">
        <v>1290</v>
      </c>
      <c r="P180" s="220" t="s">
        <v>7333</v>
      </c>
      <c r="Q180" s="244">
        <v>1</v>
      </c>
      <c r="R180" s="220" t="s">
        <v>7334</v>
      </c>
      <c r="S180" s="250" t="str">
        <f t="shared" si="7"/>
        <v>DAVISPGTIS</v>
      </c>
      <c r="T180" s="220" t="s">
        <v>4344</v>
      </c>
      <c r="U180" s="220">
        <v>613</v>
      </c>
      <c r="V180" s="138"/>
      <c r="W180" s="138" t="s">
        <v>7335</v>
      </c>
      <c r="X180" s="141" t="s">
        <v>7336</v>
      </c>
      <c r="Y180" s="138" t="s">
        <v>7252</v>
      </c>
      <c r="Z180" s="289"/>
      <c r="AA180" s="289"/>
      <c r="AB180" s="135"/>
      <c r="AC180" s="135"/>
      <c r="AD180" s="135"/>
      <c r="AE180" s="135"/>
      <c r="AF180" s="135"/>
      <c r="AG180" s="135"/>
      <c r="AH180" s="135"/>
      <c r="AI180" s="135"/>
      <c r="AJ180" s="135"/>
      <c r="AK180" s="135"/>
      <c r="AL180" s="135"/>
      <c r="AM180" s="135"/>
      <c r="AN180" s="135"/>
      <c r="AO180" s="135"/>
      <c r="AP180" s="135"/>
      <c r="AQ180" s="135"/>
      <c r="AR180" s="135"/>
      <c r="AS180" s="135"/>
      <c r="AT180" s="135"/>
      <c r="AU180" s="135"/>
      <c r="AV180" s="135"/>
      <c r="AW180" s="135"/>
      <c r="AX180" s="135"/>
      <c r="AY180" s="135"/>
      <c r="AZ180" s="135"/>
      <c r="BA180" s="135"/>
    </row>
    <row r="181" spans="1:53" ht="14.25" customHeight="1" x14ac:dyDescent="0.2">
      <c r="A181" s="136" t="s">
        <v>7135</v>
      </c>
      <c r="B181" s="138"/>
      <c r="C181" s="199" t="s">
        <v>7136</v>
      </c>
      <c r="D181" s="205" t="str">
        <f t="shared" si="4"/>
        <v>'-&gt; Hudson Bay Stn</v>
      </c>
      <c r="E181" s="135"/>
      <c r="F181" s="205" t="str">
        <f t="shared" si="5"/>
        <v>'-&gt; Hudson Bay Stn</v>
      </c>
      <c r="G181" s="142" t="str">
        <f t="shared" si="6"/>
        <v>'-&gt; 127.29603 W, 54.77684 N, Elev. 1669 m</v>
      </c>
      <c r="H181" s="135"/>
      <c r="I181" s="135"/>
      <c r="J181" s="135"/>
      <c r="K181" s="135"/>
      <c r="L181" s="135"/>
      <c r="M181" s="220">
        <v>54.77684</v>
      </c>
      <c r="N181" s="220">
        <v>-127.29603</v>
      </c>
      <c r="O181" s="220" t="s">
        <v>148</v>
      </c>
      <c r="P181" s="220" t="s">
        <v>7395</v>
      </c>
      <c r="Q181" s="244">
        <v>8</v>
      </c>
      <c r="R181" s="220" t="s">
        <v>7395</v>
      </c>
      <c r="S181" s="250" t="str">
        <f t="shared" si="7"/>
        <v>HUDSON BAY STN</v>
      </c>
      <c r="T181" s="220" t="s">
        <v>4344</v>
      </c>
      <c r="U181" s="220">
        <v>1669</v>
      </c>
      <c r="V181" s="138"/>
      <c r="W181" s="138" t="s">
        <v>7396</v>
      </c>
      <c r="X181" s="141" t="s">
        <v>7397</v>
      </c>
      <c r="Y181" s="138" t="s">
        <v>7252</v>
      </c>
      <c r="Z181" s="289"/>
      <c r="AA181" s="289"/>
      <c r="AB181" s="289"/>
      <c r="AC181" s="289"/>
      <c r="AD181" s="289"/>
      <c r="AE181" s="135"/>
      <c r="AF181" s="135"/>
      <c r="AG181" s="135"/>
      <c r="AH181" s="135"/>
      <c r="AI181" s="135"/>
      <c r="AJ181" s="135"/>
      <c r="AK181" s="135"/>
      <c r="AL181" s="135"/>
      <c r="AM181" s="135"/>
      <c r="AN181" s="135"/>
      <c r="AO181" s="135"/>
      <c r="AP181" s="135"/>
      <c r="AQ181" s="135"/>
      <c r="AR181" s="135"/>
      <c r="AS181" s="135"/>
      <c r="AT181" s="135"/>
      <c r="AU181" s="135"/>
      <c r="AV181" s="135"/>
      <c r="AW181" s="135"/>
      <c r="AX181" s="135"/>
      <c r="AY181" s="135"/>
      <c r="AZ181" s="135"/>
      <c r="BA181" s="135"/>
    </row>
    <row r="182" spans="1:53" ht="14.25" customHeight="1" x14ac:dyDescent="0.2">
      <c r="A182" s="136" t="s">
        <v>7135</v>
      </c>
      <c r="B182" s="138"/>
      <c r="C182" s="199" t="s">
        <v>7136</v>
      </c>
      <c r="D182" s="205" t="str">
        <f t="shared" si="4"/>
        <v>'-&gt; IBB1</v>
      </c>
      <c r="E182" s="135"/>
      <c r="F182" s="205" t="str">
        <f t="shared" si="5"/>
        <v>'-&gt; IBB1Wx</v>
      </c>
      <c r="G182" s="142" t="str">
        <f t="shared" si="6"/>
        <v>'-&gt; 127.25169 W, 53.72029 N, Elev. 1146 m</v>
      </c>
      <c r="H182" s="135"/>
      <c r="I182" s="135"/>
      <c r="J182" s="135"/>
      <c r="K182" s="135"/>
      <c r="L182" s="135"/>
      <c r="M182" s="138">
        <v>53.720289999999999</v>
      </c>
      <c r="N182" s="138">
        <v>-127.25169</v>
      </c>
      <c r="O182" s="138" t="s">
        <v>148</v>
      </c>
      <c r="P182" s="138" t="s">
        <v>7398</v>
      </c>
      <c r="Q182" s="139">
        <v>5</v>
      </c>
      <c r="R182" s="138" t="s">
        <v>7399</v>
      </c>
      <c r="S182" s="140" t="str">
        <f t="shared" si="7"/>
        <v>IBB1WX</v>
      </c>
      <c r="T182" s="138" t="s">
        <v>4344</v>
      </c>
      <c r="U182" s="138">
        <v>1146</v>
      </c>
      <c r="V182" s="138"/>
      <c r="W182" s="138" t="s">
        <v>7400</v>
      </c>
      <c r="X182" s="141" t="s">
        <v>7401</v>
      </c>
      <c r="Y182" s="138" t="s">
        <v>7252</v>
      </c>
      <c r="Z182" s="135"/>
      <c r="AA182" s="135"/>
      <c r="AB182" s="135"/>
      <c r="AC182" s="135"/>
      <c r="AD182" s="135"/>
      <c r="AE182" s="135"/>
      <c r="AF182" s="135"/>
      <c r="AG182" s="135"/>
      <c r="AH182" s="135"/>
      <c r="AI182" s="135"/>
      <c r="AJ182" s="135"/>
      <c r="AK182" s="135"/>
      <c r="AL182" s="135"/>
      <c r="AM182" s="135"/>
      <c r="AN182" s="135"/>
      <c r="AO182" s="135"/>
      <c r="AP182" s="135"/>
      <c r="AQ182" s="135"/>
      <c r="AR182" s="135"/>
      <c r="AS182" s="135"/>
      <c r="AT182" s="135"/>
      <c r="AU182" s="135"/>
      <c r="AV182" s="135"/>
      <c r="AW182" s="135"/>
      <c r="AX182" s="135"/>
      <c r="AY182" s="135"/>
      <c r="AZ182" s="135"/>
      <c r="BA182" s="135"/>
    </row>
    <row r="183" spans="1:53" ht="14.25" customHeight="1" x14ac:dyDescent="0.2">
      <c r="A183" s="136" t="s">
        <v>7135</v>
      </c>
      <c r="B183" s="138"/>
      <c r="C183" s="199" t="s">
        <v>7136</v>
      </c>
      <c r="D183" s="205" t="str">
        <f t="shared" si="4"/>
        <v>'-&gt; IBB2</v>
      </c>
      <c r="E183" s="135"/>
      <c r="F183" s="205" t="str">
        <f t="shared" si="5"/>
        <v>'-&gt; IBB2Wx</v>
      </c>
      <c r="G183" s="142" t="str">
        <f t="shared" si="6"/>
        <v>'-&gt; 126.92067 W, 54.81127 N, Elev. 967 m</v>
      </c>
      <c r="H183" s="135"/>
      <c r="I183" s="135"/>
      <c r="J183" s="135"/>
      <c r="K183" s="135"/>
      <c r="L183" s="135"/>
      <c r="M183" s="150">
        <v>54.81127</v>
      </c>
      <c r="N183" s="150">
        <v>-126.92067</v>
      </c>
      <c r="O183" s="138" t="s">
        <v>148</v>
      </c>
      <c r="P183" s="138" t="s">
        <v>7402</v>
      </c>
      <c r="Q183" s="139">
        <v>3</v>
      </c>
      <c r="R183" s="138" t="s">
        <v>7403</v>
      </c>
      <c r="S183" s="140" t="str">
        <f t="shared" si="7"/>
        <v>IBB2WX</v>
      </c>
      <c r="T183" s="138" t="s">
        <v>4344</v>
      </c>
      <c r="U183" s="138">
        <v>967</v>
      </c>
      <c r="V183" s="138"/>
      <c r="W183" s="138" t="s">
        <v>7404</v>
      </c>
      <c r="X183" s="141" t="s">
        <v>7405</v>
      </c>
      <c r="Y183" s="138" t="s">
        <v>7252</v>
      </c>
      <c r="Z183" s="135"/>
      <c r="AA183" s="135"/>
      <c r="AB183" s="135"/>
      <c r="AC183" s="135"/>
      <c r="AD183" s="135"/>
      <c r="AE183" s="135"/>
      <c r="AF183" s="135"/>
      <c r="AG183" s="135"/>
      <c r="AH183" s="135"/>
      <c r="AI183" s="135"/>
      <c r="AJ183" s="135"/>
      <c r="AK183" s="135"/>
      <c r="AL183" s="135"/>
      <c r="AM183" s="135"/>
      <c r="AN183" s="135"/>
      <c r="AO183" s="135"/>
      <c r="AP183" s="135"/>
      <c r="AQ183" s="135"/>
      <c r="AR183" s="135"/>
      <c r="AS183" s="135"/>
      <c r="AT183" s="135"/>
      <c r="AU183" s="135"/>
      <c r="AV183" s="135"/>
      <c r="AW183" s="135"/>
      <c r="AX183" s="135"/>
      <c r="AY183" s="135"/>
      <c r="AZ183" s="135"/>
      <c r="BA183" s="135"/>
    </row>
    <row r="184" spans="1:53" ht="14.25" customHeight="1" x14ac:dyDescent="0.2">
      <c r="A184" s="136" t="s">
        <v>7135</v>
      </c>
      <c r="B184" s="138"/>
      <c r="C184" s="199" t="s">
        <v>7136</v>
      </c>
      <c r="D184" s="205" t="str">
        <f t="shared" si="4"/>
        <v>'-&gt; IBB3</v>
      </c>
      <c r="E184" s="135"/>
      <c r="F184" s="205" t="str">
        <f t="shared" si="5"/>
        <v>'-&gt; IBB3Wx</v>
      </c>
      <c r="G184" s="142" t="str">
        <f t="shared" si="6"/>
        <v>'-&gt; 127.30577 W, 54.71172 N, Elev. 960 m</v>
      </c>
      <c r="H184" s="135"/>
      <c r="I184" s="135"/>
      <c r="J184" s="135"/>
      <c r="K184" s="135"/>
      <c r="L184" s="135"/>
      <c r="M184" s="150">
        <v>54.71172</v>
      </c>
      <c r="N184" s="150">
        <v>-127.30577</v>
      </c>
      <c r="O184" s="138" t="s">
        <v>148</v>
      </c>
      <c r="P184" s="138" t="s">
        <v>7406</v>
      </c>
      <c r="Q184" s="139">
        <v>3</v>
      </c>
      <c r="R184" s="138" t="s">
        <v>7407</v>
      </c>
      <c r="S184" s="140" t="str">
        <f t="shared" si="7"/>
        <v>IBB3WX</v>
      </c>
      <c r="T184" s="138" t="s">
        <v>4344</v>
      </c>
      <c r="U184" s="138">
        <v>960</v>
      </c>
      <c r="V184" s="138"/>
      <c r="W184" s="138" t="s">
        <v>7408</v>
      </c>
      <c r="X184" s="141" t="s">
        <v>7409</v>
      </c>
      <c r="Y184" s="138" t="s">
        <v>7252</v>
      </c>
      <c r="Z184" s="135"/>
      <c r="AA184" s="135"/>
      <c r="AB184" s="135"/>
      <c r="AC184" s="135"/>
      <c r="AD184" s="135"/>
      <c r="AE184" s="135"/>
      <c r="AF184" s="135"/>
      <c r="AG184" s="135"/>
      <c r="AH184" s="135"/>
      <c r="AI184" s="135"/>
      <c r="AJ184" s="135"/>
      <c r="AK184" s="135"/>
      <c r="AL184" s="135"/>
      <c r="AM184" s="135"/>
      <c r="AN184" s="135"/>
      <c r="AO184" s="135"/>
      <c r="AP184" s="135"/>
      <c r="AQ184" s="135"/>
      <c r="AR184" s="135"/>
      <c r="AS184" s="135"/>
      <c r="AT184" s="135"/>
      <c r="AU184" s="135"/>
      <c r="AV184" s="135"/>
      <c r="AW184" s="135"/>
      <c r="AX184" s="135"/>
      <c r="AY184" s="135"/>
      <c r="AZ184" s="135"/>
      <c r="BA184" s="135"/>
    </row>
    <row r="185" spans="1:53" ht="14.25" customHeight="1" x14ac:dyDescent="0.2">
      <c r="A185" s="136" t="s">
        <v>7135</v>
      </c>
      <c r="B185" s="138"/>
      <c r="C185" s="199" t="s">
        <v>7136</v>
      </c>
      <c r="D185" s="205" t="str">
        <f t="shared" si="4"/>
        <v>'-&gt; Inklin</v>
      </c>
      <c r="E185" s="135"/>
      <c r="F185" s="205" t="str">
        <f t="shared" si="5"/>
        <v>'-&gt; Inklin</v>
      </c>
      <c r="G185" s="142" t="str">
        <f t="shared" si="6"/>
        <v>'-&gt; 133.140416 W, 58.900859 N, Elev. 101 m</v>
      </c>
      <c r="H185" s="135"/>
      <c r="I185" s="135"/>
      <c r="J185" s="135"/>
      <c r="K185" s="135"/>
      <c r="L185" s="135"/>
      <c r="M185" s="138">
        <v>58.900858999999997</v>
      </c>
      <c r="N185" s="138">
        <v>-133.14041599999999</v>
      </c>
      <c r="O185" s="138" t="s">
        <v>1577</v>
      </c>
      <c r="P185" s="138" t="s">
        <v>7410</v>
      </c>
      <c r="Q185" s="139">
        <v>1</v>
      </c>
      <c r="R185" s="138" t="s">
        <v>7410</v>
      </c>
      <c r="S185" s="140" t="str">
        <f t="shared" si="7"/>
        <v>INKLIN</v>
      </c>
      <c r="T185" s="138" t="s">
        <v>4344</v>
      </c>
      <c r="U185" s="138">
        <v>101</v>
      </c>
      <c r="V185" s="138"/>
      <c r="W185" s="138" t="s">
        <v>7411</v>
      </c>
      <c r="X185" s="141" t="s">
        <v>7412</v>
      </c>
      <c r="Y185" s="138" t="s">
        <v>7252</v>
      </c>
      <c r="Z185" s="135"/>
      <c r="AA185" s="135"/>
      <c r="AB185" s="135"/>
      <c r="AC185" s="135"/>
      <c r="AD185" s="135"/>
      <c r="AE185" s="135"/>
      <c r="AF185" s="135"/>
      <c r="AG185" s="135"/>
      <c r="AH185" s="135"/>
      <c r="AI185" s="135"/>
      <c r="AJ185" s="135"/>
      <c r="AK185" s="135"/>
      <c r="AL185" s="135"/>
      <c r="AM185" s="135"/>
      <c r="AN185" s="135"/>
      <c r="AO185" s="135"/>
      <c r="AP185" s="135"/>
      <c r="AQ185" s="135"/>
      <c r="AR185" s="135"/>
      <c r="AS185" s="135"/>
      <c r="AT185" s="135"/>
      <c r="AU185" s="135"/>
      <c r="AV185" s="135"/>
      <c r="AW185" s="135"/>
      <c r="AX185" s="135"/>
      <c r="AY185" s="135"/>
      <c r="AZ185" s="135"/>
      <c r="BA185" s="135"/>
    </row>
    <row r="186" spans="1:53" ht="14.25" customHeight="1" x14ac:dyDescent="0.2">
      <c r="A186" s="136" t="s">
        <v>7135</v>
      </c>
      <c r="B186" s="138"/>
      <c r="C186" s="199" t="s">
        <v>7136</v>
      </c>
      <c r="D186" s="205" t="str">
        <f t="shared" si="4"/>
        <v>'-&gt; KennedySidingCC</v>
      </c>
      <c r="E186" s="135"/>
      <c r="F186" s="205" t="str">
        <f t="shared" si="5"/>
        <v>'-&gt; KennedySidingCC</v>
      </c>
      <c r="G186" s="142" t="str">
        <f t="shared" si="6"/>
        <v>'-&gt; 122.818003 W, 55.112303 N, Elev. 737 m</v>
      </c>
      <c r="H186" s="135"/>
      <c r="I186" s="135"/>
      <c r="J186" s="135"/>
      <c r="K186" s="135"/>
      <c r="L186" s="135"/>
      <c r="M186" s="138">
        <v>55.112302999999997</v>
      </c>
      <c r="N186" s="138">
        <v>-122.818003</v>
      </c>
      <c r="O186" s="138" t="s">
        <v>1290</v>
      </c>
      <c r="P186" s="138" t="s">
        <v>7413</v>
      </c>
      <c r="Q186" s="139">
        <v>1</v>
      </c>
      <c r="R186" s="138" t="s">
        <v>7413</v>
      </c>
      <c r="S186" s="140" t="str">
        <f t="shared" si="7"/>
        <v>KENNEDYSIDINGCC</v>
      </c>
      <c r="T186" s="138" t="s">
        <v>4344</v>
      </c>
      <c r="U186" s="138">
        <v>737</v>
      </c>
      <c r="V186" s="138"/>
      <c r="W186" s="138" t="s">
        <v>7414</v>
      </c>
      <c r="X186" s="141" t="s">
        <v>7415</v>
      </c>
      <c r="Y186" s="138" t="s">
        <v>7252</v>
      </c>
      <c r="Z186" s="135"/>
      <c r="AA186" s="135"/>
      <c r="AB186" s="135"/>
      <c r="AC186" s="135"/>
      <c r="AD186" s="135"/>
      <c r="AE186" s="135"/>
      <c r="AF186" s="135"/>
      <c r="AG186" s="135"/>
      <c r="AH186" s="135"/>
      <c r="AI186" s="135"/>
      <c r="AJ186" s="135"/>
      <c r="AK186" s="135"/>
      <c r="AL186" s="135"/>
      <c r="AM186" s="135"/>
      <c r="AN186" s="135"/>
      <c r="AO186" s="135"/>
      <c r="AP186" s="135"/>
      <c r="AQ186" s="135"/>
      <c r="AR186" s="135"/>
      <c r="AS186" s="135"/>
      <c r="AT186" s="135"/>
      <c r="AU186" s="135"/>
      <c r="AV186" s="135"/>
      <c r="AW186" s="135"/>
      <c r="AX186" s="135"/>
      <c r="AY186" s="135"/>
      <c r="AZ186" s="135"/>
      <c r="BA186" s="135"/>
    </row>
    <row r="187" spans="1:53" ht="14.25" customHeight="1" x14ac:dyDescent="0.2">
      <c r="A187" s="136" t="s">
        <v>7135</v>
      </c>
      <c r="B187" s="138"/>
      <c r="C187" s="199" t="s">
        <v>7136</v>
      </c>
      <c r="D187" s="205" t="str">
        <f t="shared" si="4"/>
        <v>'-&gt; KennedySidingFor</v>
      </c>
      <c r="E187" s="135"/>
      <c r="F187" s="205" t="str">
        <f t="shared" si="5"/>
        <v>'-&gt; KennedySidingFor</v>
      </c>
      <c r="G187" s="142" t="str">
        <f t="shared" si="6"/>
        <v>'-&gt; 122.841542 W, 55.111059 N, Elev. 745 m</v>
      </c>
      <c r="H187" s="135"/>
      <c r="I187" s="135"/>
      <c r="J187" s="135"/>
      <c r="K187" s="135"/>
      <c r="L187" s="135"/>
      <c r="M187" s="138">
        <v>55.111058999999997</v>
      </c>
      <c r="N187" s="220">
        <v>-122.841542</v>
      </c>
      <c r="O187" s="138" t="s">
        <v>1290</v>
      </c>
      <c r="P187" s="138" t="s">
        <v>7416</v>
      </c>
      <c r="Q187" s="139">
        <v>1</v>
      </c>
      <c r="R187" s="138" t="s">
        <v>7416</v>
      </c>
      <c r="S187" s="140" t="str">
        <f t="shared" si="7"/>
        <v>KENNEDYSIDINGFOR</v>
      </c>
      <c r="T187" s="138" t="s">
        <v>4344</v>
      </c>
      <c r="U187" s="138">
        <v>745</v>
      </c>
      <c r="V187" s="138"/>
      <c r="W187" s="138" t="s">
        <v>7417</v>
      </c>
      <c r="X187" s="141" t="s">
        <v>7418</v>
      </c>
      <c r="Y187" s="138" t="s">
        <v>7252</v>
      </c>
      <c r="Z187" s="135"/>
      <c r="AA187" s="135"/>
      <c r="AB187" s="135"/>
      <c r="AC187" s="135"/>
      <c r="AD187" s="135"/>
      <c r="AE187" s="135"/>
      <c r="AF187" s="135"/>
      <c r="AG187" s="135"/>
      <c r="AH187" s="135"/>
      <c r="AI187" s="135"/>
      <c r="AJ187" s="135"/>
      <c r="AK187" s="135"/>
      <c r="AL187" s="135"/>
      <c r="AM187" s="135"/>
      <c r="AN187" s="135"/>
      <c r="AO187" s="135"/>
      <c r="AP187" s="135"/>
      <c r="AQ187" s="135"/>
      <c r="AR187" s="135"/>
      <c r="AS187" s="135"/>
      <c r="AT187" s="135"/>
      <c r="AU187" s="135"/>
      <c r="AV187" s="135"/>
      <c r="AW187" s="135"/>
      <c r="AX187" s="135"/>
      <c r="AY187" s="135"/>
      <c r="AZ187" s="135"/>
      <c r="BA187" s="135"/>
    </row>
    <row r="188" spans="1:53" ht="14.25" customHeight="1" x14ac:dyDescent="0.2">
      <c r="A188" s="136" t="s">
        <v>7135</v>
      </c>
      <c r="B188" s="138"/>
      <c r="C188" s="199" t="s">
        <v>7136</v>
      </c>
      <c r="D188" s="205" t="str">
        <f t="shared" si="4"/>
        <v>'-&gt; SummitLk</v>
      </c>
      <c r="E188" s="135"/>
      <c r="F188" s="205" t="str">
        <f t="shared" si="5"/>
        <v>'-&gt; SumWxCC</v>
      </c>
      <c r="G188" s="142" t="str">
        <f t="shared" si="6"/>
        <v>'-&gt; 122.615111 W, 54.22704 N, Elev. 690 m</v>
      </c>
      <c r="H188" s="135"/>
      <c r="I188" s="135"/>
      <c r="J188" s="135"/>
      <c r="K188" s="135"/>
      <c r="L188" s="135"/>
      <c r="M188" s="138">
        <v>54.227040000000002</v>
      </c>
      <c r="N188" s="138">
        <v>-122.615111</v>
      </c>
      <c r="O188" s="138" t="s">
        <v>1290</v>
      </c>
      <c r="P188" s="138" t="s">
        <v>7473</v>
      </c>
      <c r="Q188" s="139">
        <v>1</v>
      </c>
      <c r="R188" s="138" t="s">
        <v>7474</v>
      </c>
      <c r="S188" s="140" t="str">
        <f t="shared" si="7"/>
        <v>SUMWXCC</v>
      </c>
      <c r="T188" s="138" t="s">
        <v>4344</v>
      </c>
      <c r="U188" s="138">
        <v>690</v>
      </c>
      <c r="V188" s="138"/>
      <c r="W188" s="138" t="s">
        <v>7475</v>
      </c>
      <c r="X188" s="141" t="s">
        <v>7415</v>
      </c>
      <c r="Y188" s="138" t="s">
        <v>7252</v>
      </c>
      <c r="Z188" s="135"/>
      <c r="AA188" s="135"/>
      <c r="AB188" s="135"/>
      <c r="AC188" s="135"/>
      <c r="AD188" s="135"/>
      <c r="AE188" s="135"/>
      <c r="AF188" s="135"/>
      <c r="AG188" s="135"/>
      <c r="AH188" s="135"/>
      <c r="AI188" s="135"/>
      <c r="AJ188" s="135"/>
      <c r="AK188" s="135"/>
      <c r="AL188" s="135"/>
      <c r="AM188" s="135"/>
      <c r="AN188" s="135"/>
      <c r="AO188" s="135"/>
      <c r="AP188" s="135"/>
      <c r="AQ188" s="135"/>
      <c r="AR188" s="135"/>
      <c r="AS188" s="135"/>
      <c r="AT188" s="135"/>
      <c r="AU188" s="135"/>
      <c r="AV188" s="135"/>
      <c r="AW188" s="135"/>
      <c r="AX188" s="135"/>
      <c r="AY188" s="135"/>
      <c r="AZ188" s="135"/>
      <c r="BA188" s="135"/>
    </row>
    <row r="189" spans="1:53" ht="14.25" customHeight="1" x14ac:dyDescent="0.2">
      <c r="A189" s="136" t="s">
        <v>7135</v>
      </c>
      <c r="B189" s="138"/>
      <c r="C189" s="199" t="s">
        <v>7136</v>
      </c>
      <c r="D189" s="205" t="str">
        <f t="shared" si="4"/>
        <v>'-&gt; Bednesti</v>
      </c>
      <c r="E189" s="135"/>
      <c r="F189" s="205" t="str">
        <f t="shared" si="5"/>
        <v>'-&gt; Tamarac</v>
      </c>
      <c r="G189" s="142" t="str">
        <f t="shared" si="6"/>
        <v>'-&gt; 123.370441 W, 53.871334 N, Elev. 865 m</v>
      </c>
      <c r="H189" s="135"/>
      <c r="I189" s="135"/>
      <c r="J189" s="135"/>
      <c r="K189" s="135"/>
      <c r="L189" s="135"/>
      <c r="M189" s="138">
        <v>53.871333999999997</v>
      </c>
      <c r="N189" s="138">
        <v>-123.370441</v>
      </c>
      <c r="O189" s="138" t="s">
        <v>148</v>
      </c>
      <c r="P189" s="138" t="s">
        <v>7483</v>
      </c>
      <c r="Q189" s="139">
        <v>2</v>
      </c>
      <c r="R189" s="138" t="s">
        <v>1301</v>
      </c>
      <c r="S189" s="140" t="str">
        <f t="shared" si="7"/>
        <v>TAMARAC</v>
      </c>
      <c r="T189" s="138" t="s">
        <v>4344</v>
      </c>
      <c r="U189" s="138">
        <v>865</v>
      </c>
      <c r="V189" s="138"/>
      <c r="W189" s="138"/>
      <c r="X189" s="141" t="s">
        <v>7484</v>
      </c>
      <c r="Y189" s="138" t="s">
        <v>7252</v>
      </c>
      <c r="Z189" s="135"/>
      <c r="AA189" s="135"/>
      <c r="AB189" s="135"/>
      <c r="AC189" s="135"/>
      <c r="AD189" s="135"/>
      <c r="AE189" s="135"/>
      <c r="AF189" s="135"/>
      <c r="AG189" s="135"/>
      <c r="AH189" s="135"/>
      <c r="AI189" s="135"/>
      <c r="AJ189" s="135"/>
      <c r="AK189" s="135"/>
      <c r="AL189" s="135"/>
      <c r="AM189" s="135"/>
      <c r="AN189" s="135"/>
      <c r="AO189" s="135"/>
      <c r="AP189" s="135"/>
      <c r="AQ189" s="135"/>
      <c r="AR189" s="135"/>
      <c r="AS189" s="135"/>
      <c r="AT189" s="135"/>
      <c r="AU189" s="135"/>
      <c r="AV189" s="135"/>
      <c r="AW189" s="135"/>
      <c r="AX189" s="135"/>
      <c r="AY189" s="135"/>
      <c r="AZ189" s="135"/>
      <c r="BA189" s="135"/>
    </row>
    <row r="190" spans="1:53" ht="14.25" customHeight="1" x14ac:dyDescent="0.2">
      <c r="A190" s="136" t="s">
        <v>7135</v>
      </c>
      <c r="B190" s="138"/>
      <c r="C190" s="199" t="s">
        <v>7136</v>
      </c>
      <c r="D190" s="205" t="str">
        <f t="shared" ref="D190:D220" si="8">CONCATENATE("'-&gt; ",P190)</f>
        <v>'-&gt; 3C09P</v>
      </c>
      <c r="E190" s="135"/>
      <c r="F190" s="142" t="str">
        <f t="shared" ref="F190:F220" si="9">CONCATENATE("'-&gt; ",R190)</f>
        <v>'-&gt; Ape Lake</v>
      </c>
      <c r="G190" s="142" t="str">
        <f t="shared" ref="G190:G220" si="10">CONCATENATE("'-&gt; ",-1*N190," W, ",M190," N, Elev. ",U190," m")</f>
        <v>'-&gt; 126.2626806 W, 52.1345694 N, Elev. 1423 m</v>
      </c>
      <c r="H190" s="135"/>
      <c r="I190" s="135"/>
      <c r="J190" s="135"/>
      <c r="K190" s="135"/>
      <c r="L190" s="135"/>
      <c r="M190" s="138">
        <v>52.134569399999997</v>
      </c>
      <c r="N190" s="138">
        <v>-126.2626806</v>
      </c>
      <c r="O190" s="138" t="s">
        <v>51</v>
      </c>
      <c r="P190" s="313" t="s">
        <v>4519</v>
      </c>
      <c r="Q190" s="151">
        <v>7</v>
      </c>
      <c r="R190" s="138" t="s">
        <v>4520</v>
      </c>
      <c r="S190" s="140" t="str">
        <f t="shared" ref="S190:S215" si="11">UPPER(R190)</f>
        <v>APE LAKE</v>
      </c>
      <c r="T190" s="138" t="s">
        <v>4344</v>
      </c>
      <c r="U190" s="138">
        <v>1423</v>
      </c>
      <c r="V190" s="138"/>
      <c r="W190" s="138" t="s">
        <v>4345</v>
      </c>
      <c r="X190" s="141" t="s">
        <v>4521</v>
      </c>
      <c r="Y190" s="138" t="s">
        <v>4347</v>
      </c>
      <c r="Z190" s="135"/>
      <c r="AA190" s="135"/>
      <c r="AB190" s="135"/>
      <c r="AC190" s="135"/>
      <c r="AD190" s="135"/>
      <c r="AE190" s="135"/>
      <c r="AF190" s="135"/>
      <c r="AG190" s="135"/>
      <c r="AH190" s="135"/>
      <c r="AI190" s="135"/>
      <c r="AJ190" s="135"/>
      <c r="AK190" s="135"/>
      <c r="AL190" s="135"/>
      <c r="AM190" s="135"/>
      <c r="AN190" s="135"/>
      <c r="AO190" s="135"/>
      <c r="AP190" s="135"/>
      <c r="AQ190" s="135"/>
      <c r="AR190" s="135"/>
      <c r="AS190" s="135"/>
      <c r="AT190" s="135"/>
      <c r="AU190" s="135"/>
      <c r="AV190" s="135"/>
      <c r="AW190" s="135"/>
      <c r="AX190" s="135"/>
      <c r="AY190" s="135"/>
      <c r="AZ190" s="135"/>
      <c r="BA190" s="135"/>
    </row>
    <row r="191" spans="1:53" ht="14.25" customHeight="1" x14ac:dyDescent="0.2">
      <c r="A191" s="136" t="s">
        <v>7135</v>
      </c>
      <c r="B191" s="138"/>
      <c r="C191" s="199" t="s">
        <v>7136</v>
      </c>
      <c r="D191" s="205" t="str">
        <f t="shared" si="8"/>
        <v>'-&gt; 3B28P</v>
      </c>
      <c r="E191" s="135"/>
      <c r="F191" s="205" t="str">
        <f t="shared" si="9"/>
        <v>'-&gt; Cain Ridge_Run</v>
      </c>
      <c r="G191" s="142" t="str">
        <f t="shared" si="10"/>
        <v>'-&gt; 126.3515 W, 50.2265 N, Elev. 1330 m</v>
      </c>
      <c r="H191" s="135"/>
      <c r="I191" s="135"/>
      <c r="J191" s="135"/>
      <c r="K191" s="135"/>
      <c r="L191" s="135"/>
      <c r="M191" s="138">
        <v>50.226500000000001</v>
      </c>
      <c r="N191" s="138">
        <v>-126.3515</v>
      </c>
      <c r="O191" s="138" t="s">
        <v>51</v>
      </c>
      <c r="P191" s="138" t="s">
        <v>7496</v>
      </c>
      <c r="Q191" s="151">
        <v>7</v>
      </c>
      <c r="R191" s="138" t="s">
        <v>7497</v>
      </c>
      <c r="S191" s="140" t="str">
        <f t="shared" si="11"/>
        <v>CAIN RIDGE_RUN</v>
      </c>
      <c r="T191" s="138" t="s">
        <v>4344</v>
      </c>
      <c r="U191" s="138">
        <v>1330</v>
      </c>
      <c r="V191" s="138" t="s">
        <v>645</v>
      </c>
      <c r="W191" s="138" t="s">
        <v>7498</v>
      </c>
      <c r="X191" s="141" t="s">
        <v>7499</v>
      </c>
      <c r="Y191" s="138" t="s">
        <v>4347</v>
      </c>
      <c r="Z191" s="135"/>
      <c r="AA191" s="135"/>
      <c r="AB191" s="135"/>
      <c r="AC191" s="135"/>
      <c r="AD191" s="135"/>
      <c r="AE191" s="135"/>
      <c r="AF191" s="135"/>
      <c r="AG191" s="135"/>
      <c r="AH191" s="135"/>
      <c r="AI191" s="135"/>
      <c r="AJ191" s="135"/>
      <c r="AK191" s="135"/>
      <c r="AL191" s="135"/>
      <c r="AM191" s="135"/>
      <c r="AN191" s="135"/>
      <c r="AO191" s="135"/>
      <c r="AP191" s="135"/>
      <c r="AQ191" s="135"/>
      <c r="AR191" s="135"/>
      <c r="AS191" s="135"/>
      <c r="AT191" s="135"/>
      <c r="AU191" s="135"/>
      <c r="AV191" s="135"/>
      <c r="AW191" s="135"/>
      <c r="AX191" s="135"/>
      <c r="AY191" s="135"/>
      <c r="AZ191" s="135"/>
      <c r="BA191" s="135"/>
    </row>
    <row r="192" spans="1:53" ht="14.25" customHeight="1" x14ac:dyDescent="0.2">
      <c r="A192" s="136" t="s">
        <v>7135</v>
      </c>
      <c r="B192" s="138"/>
      <c r="C192" s="199" t="s">
        <v>7136</v>
      </c>
      <c r="D192" s="205" t="str">
        <f t="shared" si="8"/>
        <v>'-&gt; 3C10P</v>
      </c>
      <c r="E192" s="135"/>
      <c r="F192" s="205" t="str">
        <f t="shared" si="9"/>
        <v>'-&gt; CLAYTON FALLS</v>
      </c>
      <c r="G192" s="142" t="str">
        <f t="shared" si="10"/>
        <v>'-&gt; 126.890543 W, 52.279579 N, Elev. 1260 m</v>
      </c>
      <c r="H192" s="135"/>
      <c r="I192" s="135"/>
      <c r="J192" s="135"/>
      <c r="K192" s="135"/>
      <c r="L192" s="135"/>
      <c r="M192" s="138">
        <v>52.279578999999998</v>
      </c>
      <c r="N192" s="138">
        <v>-126.89054299999999</v>
      </c>
      <c r="O192" s="138" t="s">
        <v>51</v>
      </c>
      <c r="P192" s="138" t="s">
        <v>4343</v>
      </c>
      <c r="Q192" s="151">
        <v>6</v>
      </c>
      <c r="R192" s="138" t="s">
        <v>4340</v>
      </c>
      <c r="S192" s="140" t="str">
        <f t="shared" si="11"/>
        <v>CLAYTON FALLS</v>
      </c>
      <c r="T192" s="138" t="s">
        <v>4344</v>
      </c>
      <c r="U192" s="138">
        <v>1260</v>
      </c>
      <c r="V192" s="138"/>
      <c r="W192" s="138" t="s">
        <v>4345</v>
      </c>
      <c r="X192" s="141" t="s">
        <v>4346</v>
      </c>
      <c r="Y192" s="138" t="s">
        <v>4347</v>
      </c>
      <c r="Z192" s="135"/>
      <c r="AA192" s="135"/>
      <c r="AB192" s="135"/>
      <c r="AC192" s="135"/>
      <c r="AD192" s="135"/>
      <c r="AE192" s="135"/>
      <c r="AF192" s="135"/>
      <c r="AG192" s="135"/>
      <c r="AH192" s="135"/>
      <c r="AI192" s="135"/>
      <c r="AJ192" s="135"/>
      <c r="AK192" s="135"/>
      <c r="AL192" s="135"/>
      <c r="AM192" s="135"/>
      <c r="AN192" s="135"/>
      <c r="AO192" s="135"/>
      <c r="AP192" s="135"/>
      <c r="AQ192" s="135"/>
      <c r="AR192" s="135"/>
      <c r="AS192" s="135"/>
      <c r="AT192" s="135"/>
      <c r="AU192" s="135"/>
      <c r="AV192" s="135"/>
      <c r="AW192" s="135"/>
      <c r="AX192" s="135"/>
      <c r="AY192" s="135"/>
      <c r="AZ192" s="135"/>
      <c r="BA192" s="135"/>
    </row>
    <row r="193" spans="1:53" ht="14.25" customHeight="1" x14ac:dyDescent="0.2">
      <c r="A193" s="136" t="s">
        <v>7135</v>
      </c>
      <c r="B193" s="138"/>
      <c r="C193" s="199" t="s">
        <v>7136</v>
      </c>
      <c r="D193" s="205" t="str">
        <f t="shared" si="8"/>
        <v>'-&gt; Datla</v>
      </c>
      <c r="E193" s="135"/>
      <c r="F193" s="142" t="str">
        <f t="shared" si="9"/>
        <v>'-&gt; Datlaman Pass</v>
      </c>
      <c r="G193" s="142" t="str">
        <f t="shared" si="10"/>
        <v>'-&gt; 132.584234 W, 53.545561 N, Elev. 287 m</v>
      </c>
      <c r="H193" s="135"/>
      <c r="I193" s="135"/>
      <c r="J193" s="135"/>
      <c r="K193" s="135"/>
      <c r="L193" s="135"/>
      <c r="M193" s="138">
        <v>53.545560999999999</v>
      </c>
      <c r="N193" s="138">
        <v>-132.58423400000001</v>
      </c>
      <c r="O193" s="138" t="s">
        <v>51</v>
      </c>
      <c r="P193" s="138" t="s">
        <v>7500</v>
      </c>
      <c r="Q193" s="151">
        <v>2</v>
      </c>
      <c r="R193" s="138" t="s">
        <v>7501</v>
      </c>
      <c r="S193" s="140" t="str">
        <f t="shared" si="11"/>
        <v>DATLAMAN PASS</v>
      </c>
      <c r="T193" s="138" t="s">
        <v>4344</v>
      </c>
      <c r="U193" s="138">
        <v>287</v>
      </c>
      <c r="V193" s="138"/>
      <c r="W193" s="138" t="s">
        <v>7502</v>
      </c>
      <c r="X193" s="141" t="s">
        <v>7503</v>
      </c>
      <c r="Y193" s="138" t="s">
        <v>4347</v>
      </c>
      <c r="Z193" s="135"/>
      <c r="AA193" s="135"/>
      <c r="AB193" s="135"/>
      <c r="AC193" s="135"/>
      <c r="AD193" s="135"/>
      <c r="AE193" s="135"/>
      <c r="AF193" s="135"/>
      <c r="AG193" s="135"/>
      <c r="AH193" s="135"/>
      <c r="AI193" s="135"/>
      <c r="AJ193" s="135"/>
      <c r="AK193" s="135"/>
      <c r="AL193" s="135"/>
      <c r="AM193" s="135"/>
      <c r="AN193" s="135"/>
      <c r="AO193" s="135"/>
      <c r="AP193" s="135"/>
      <c r="AQ193" s="135"/>
      <c r="AR193" s="135"/>
      <c r="AS193" s="135"/>
      <c r="AT193" s="135"/>
      <c r="AU193" s="135"/>
      <c r="AV193" s="135"/>
      <c r="AW193" s="135"/>
      <c r="AX193" s="135"/>
      <c r="AY193" s="135"/>
      <c r="AZ193" s="135"/>
      <c r="BA193" s="135"/>
    </row>
    <row r="194" spans="1:53" ht="14.25" customHeight="1" x14ac:dyDescent="0.2">
      <c r="A194" s="136" t="s">
        <v>7135</v>
      </c>
      <c r="B194" s="138"/>
      <c r="C194" s="199" t="s">
        <v>7136</v>
      </c>
      <c r="D194" s="205" t="str">
        <f t="shared" si="8"/>
        <v>'-&gt; 3A30P</v>
      </c>
      <c r="E194" s="135"/>
      <c r="F194" s="205" t="str">
        <f t="shared" si="9"/>
        <v>'-&gt; Homathko</v>
      </c>
      <c r="G194" s="142" t="str">
        <f t="shared" si="10"/>
        <v>'-&gt; 124.950181 W, 51.10187 N, Elev. 1481 m</v>
      </c>
      <c r="H194" s="135"/>
      <c r="I194" s="135"/>
      <c r="J194" s="135"/>
      <c r="K194" s="135"/>
      <c r="L194" s="135"/>
      <c r="M194" s="152">
        <v>51.101869999999998</v>
      </c>
      <c r="N194" s="152">
        <v>-124.950181</v>
      </c>
      <c r="O194" s="138" t="s">
        <v>51</v>
      </c>
      <c r="P194" s="220" t="s">
        <v>7504</v>
      </c>
      <c r="Q194" s="151">
        <v>7</v>
      </c>
      <c r="R194" s="138" t="s">
        <v>7505</v>
      </c>
      <c r="S194" s="140" t="str">
        <f t="shared" si="11"/>
        <v>HOMATHKO</v>
      </c>
      <c r="T194" s="138" t="s">
        <v>4344</v>
      </c>
      <c r="U194" s="138">
        <v>1481</v>
      </c>
      <c r="V194" s="138"/>
      <c r="W194" s="138" t="s">
        <v>7506</v>
      </c>
      <c r="X194" s="141" t="s">
        <v>7507</v>
      </c>
      <c r="Y194" s="138" t="s">
        <v>4347</v>
      </c>
      <c r="Z194" s="135"/>
      <c r="AA194" s="135"/>
      <c r="AB194" s="135"/>
      <c r="AC194" s="135"/>
      <c r="AD194" s="135"/>
      <c r="AE194" s="135"/>
      <c r="AF194" s="135"/>
      <c r="AG194" s="135"/>
      <c r="AH194" s="135"/>
      <c r="AI194" s="135"/>
      <c r="AJ194" s="135"/>
      <c r="AK194" s="135"/>
      <c r="AL194" s="135"/>
      <c r="AM194" s="135"/>
      <c r="AN194" s="135"/>
      <c r="AO194" s="135"/>
      <c r="AP194" s="135"/>
      <c r="AQ194" s="135"/>
      <c r="AR194" s="135"/>
      <c r="AS194" s="135"/>
      <c r="AT194" s="135"/>
      <c r="AU194" s="135"/>
      <c r="AV194" s="135"/>
      <c r="AW194" s="135"/>
      <c r="AX194" s="135"/>
      <c r="AY194" s="135"/>
      <c r="AZ194" s="135"/>
      <c r="BA194" s="135"/>
    </row>
    <row r="195" spans="1:53" ht="14.25" customHeight="1" x14ac:dyDescent="0.2">
      <c r="A195" s="136" t="s">
        <v>7135</v>
      </c>
      <c r="B195" s="138"/>
      <c r="C195" s="199" t="s">
        <v>7136</v>
      </c>
      <c r="D195" s="205" t="str">
        <f t="shared" si="8"/>
        <v>'-&gt; 3C11P</v>
      </c>
      <c r="E195" s="135"/>
      <c r="F195" s="205" t="str">
        <f t="shared" si="9"/>
        <v>'-&gt; Klinakllini</v>
      </c>
      <c r="G195" s="142" t="str">
        <f t="shared" si="10"/>
        <v>'-&gt; 125.76953 W, 51.38002 N, Elev. 1532 m</v>
      </c>
      <c r="H195" s="135"/>
      <c r="I195" s="135"/>
      <c r="J195" s="135"/>
      <c r="K195" s="135"/>
      <c r="L195" s="135"/>
      <c r="M195" s="336">
        <v>51.380020000000002</v>
      </c>
      <c r="N195" s="153">
        <v>-125.76953</v>
      </c>
      <c r="O195" s="138" t="s">
        <v>51</v>
      </c>
      <c r="P195" s="138" t="s">
        <v>7508</v>
      </c>
      <c r="Q195" s="151">
        <v>7</v>
      </c>
      <c r="R195" s="138" t="s">
        <v>7509</v>
      </c>
      <c r="S195" s="140" t="str">
        <f t="shared" si="11"/>
        <v>KLINAKLLINI</v>
      </c>
      <c r="T195" s="138" t="s">
        <v>4344</v>
      </c>
      <c r="U195" s="138">
        <v>1532</v>
      </c>
      <c r="V195" s="138"/>
      <c r="W195" s="138" t="s">
        <v>7506</v>
      </c>
      <c r="X195" s="141" t="s">
        <v>7510</v>
      </c>
      <c r="Y195" s="138" t="s">
        <v>4347</v>
      </c>
      <c r="Z195" s="135"/>
      <c r="AA195" s="135"/>
      <c r="AB195" s="135"/>
      <c r="AC195" s="135"/>
      <c r="AD195" s="135"/>
      <c r="AE195" s="135"/>
      <c r="AF195" s="135"/>
      <c r="AG195" s="135"/>
      <c r="AH195" s="135"/>
      <c r="AI195" s="135"/>
      <c r="AJ195" s="135"/>
      <c r="AK195" s="135"/>
      <c r="AL195" s="135"/>
      <c r="AM195" s="135"/>
      <c r="AN195" s="135"/>
      <c r="AO195" s="135"/>
      <c r="AP195" s="135"/>
      <c r="AQ195" s="135"/>
      <c r="AR195" s="135"/>
      <c r="AS195" s="135"/>
      <c r="AT195" s="135"/>
      <c r="AU195" s="135"/>
      <c r="AV195" s="135"/>
      <c r="AW195" s="135"/>
      <c r="AX195" s="135"/>
      <c r="AY195" s="135"/>
      <c r="AZ195" s="135"/>
      <c r="BA195" s="135"/>
    </row>
    <row r="196" spans="1:53" ht="14.25" customHeight="1" x14ac:dyDescent="0.2">
      <c r="A196" s="136" t="s">
        <v>7135</v>
      </c>
      <c r="B196" s="138"/>
      <c r="C196" s="199" t="s">
        <v>7136</v>
      </c>
      <c r="D196" s="205" t="str">
        <f t="shared" si="8"/>
        <v>'-&gt; 3B29P</v>
      </c>
      <c r="E196" s="135"/>
      <c r="F196" s="205" t="str">
        <f t="shared" si="9"/>
        <v>'-&gt; Lower Cain</v>
      </c>
      <c r="G196" s="142" t="str">
        <f t="shared" si="10"/>
        <v>'-&gt; 126.3563 W, 50.22575 N, Elev. 1260 m</v>
      </c>
      <c r="H196" s="135"/>
      <c r="I196" s="135"/>
      <c r="J196" s="135"/>
      <c r="K196" s="135"/>
      <c r="L196" s="135"/>
      <c r="M196" s="336">
        <v>50.225749999999998</v>
      </c>
      <c r="N196" s="154">
        <v>-126.3563</v>
      </c>
      <c r="O196" s="138" t="s">
        <v>51</v>
      </c>
      <c r="P196" s="138" t="s">
        <v>7511</v>
      </c>
      <c r="Q196" s="151">
        <v>6</v>
      </c>
      <c r="R196" s="138" t="s">
        <v>7512</v>
      </c>
      <c r="S196" s="140" t="str">
        <f t="shared" si="11"/>
        <v>LOWER CAIN</v>
      </c>
      <c r="T196" s="138" t="s">
        <v>4344</v>
      </c>
      <c r="U196" s="138">
        <v>1260</v>
      </c>
      <c r="V196" s="138"/>
      <c r="W196" s="138" t="s">
        <v>7513</v>
      </c>
      <c r="X196" s="141" t="s">
        <v>7514</v>
      </c>
      <c r="Y196" s="138" t="s">
        <v>4347</v>
      </c>
      <c r="Z196" s="135"/>
      <c r="AA196" s="135"/>
      <c r="AB196" s="135"/>
      <c r="AC196" s="135"/>
      <c r="AD196" s="135"/>
      <c r="AE196" s="135"/>
      <c r="AF196" s="135"/>
      <c r="AG196" s="135"/>
      <c r="AH196" s="135"/>
      <c r="AI196" s="135"/>
      <c r="AJ196" s="135"/>
      <c r="AK196" s="135"/>
      <c r="AL196" s="135"/>
      <c r="AM196" s="135"/>
      <c r="AN196" s="135"/>
      <c r="AO196" s="135"/>
      <c r="AP196" s="135"/>
      <c r="AQ196" s="135"/>
      <c r="AR196" s="135"/>
      <c r="AS196" s="135"/>
      <c r="AT196" s="135"/>
      <c r="AU196" s="135"/>
      <c r="AV196" s="135"/>
      <c r="AW196" s="135"/>
      <c r="AX196" s="135"/>
      <c r="AY196" s="135"/>
      <c r="AZ196" s="135"/>
      <c r="BA196" s="135"/>
    </row>
    <row r="197" spans="1:53" ht="14.25" customHeight="1" x14ac:dyDescent="0.2">
      <c r="A197" s="136" t="s">
        <v>7135</v>
      </c>
      <c r="B197" s="138"/>
      <c r="C197" s="199" t="s">
        <v>7136</v>
      </c>
      <c r="D197" s="205" t="str">
        <f t="shared" si="8"/>
        <v>'-&gt; 3C12P</v>
      </c>
      <c r="E197" s="135"/>
      <c r="F197" s="205" t="str">
        <f t="shared" si="9"/>
        <v>'-&gt; Machmell Kliniklini</v>
      </c>
      <c r="G197" s="142" t="str">
        <f t="shared" si="10"/>
        <v>'-&gt; 126.140744 W, 51.6555806 N, Elev. 1601 m</v>
      </c>
      <c r="H197" s="135"/>
      <c r="I197" s="135"/>
      <c r="J197" s="135"/>
      <c r="K197" s="135"/>
      <c r="L197" s="135"/>
      <c r="M197" s="220">
        <v>51.6555806</v>
      </c>
      <c r="N197" s="220">
        <v>-126.140744</v>
      </c>
      <c r="O197" s="138" t="s">
        <v>51</v>
      </c>
      <c r="P197" s="138" t="s">
        <v>7515</v>
      </c>
      <c r="Q197" s="151">
        <v>7</v>
      </c>
      <c r="R197" s="138" t="s">
        <v>7516</v>
      </c>
      <c r="S197" s="140" t="str">
        <f t="shared" si="11"/>
        <v>MACHMELL KLINIKLINI</v>
      </c>
      <c r="T197" s="138" t="s">
        <v>4344</v>
      </c>
      <c r="U197" s="138">
        <v>1601</v>
      </c>
      <c r="V197" s="138"/>
      <c r="W197" s="138" t="s">
        <v>7517</v>
      </c>
      <c r="X197" s="141" t="s">
        <v>4521</v>
      </c>
      <c r="Y197" s="138" t="s">
        <v>4347</v>
      </c>
      <c r="Z197" s="135"/>
      <c r="AA197" s="135"/>
      <c r="AB197" s="135"/>
      <c r="AC197" s="135"/>
      <c r="AD197" s="135"/>
      <c r="AE197" s="135"/>
      <c r="AF197" s="135"/>
      <c r="AG197" s="135"/>
      <c r="AH197" s="135"/>
      <c r="AI197" s="135"/>
      <c r="AJ197" s="135"/>
      <c r="AK197" s="135"/>
      <c r="AL197" s="135"/>
      <c r="AM197" s="135"/>
      <c r="AN197" s="135"/>
      <c r="AO197" s="135"/>
      <c r="AP197" s="135"/>
      <c r="AQ197" s="135"/>
      <c r="AR197" s="135"/>
      <c r="AS197" s="135"/>
      <c r="AT197" s="135"/>
      <c r="AU197" s="135"/>
      <c r="AV197" s="135"/>
      <c r="AW197" s="135"/>
      <c r="AX197" s="135"/>
      <c r="AY197" s="135"/>
      <c r="AZ197" s="135"/>
      <c r="BA197" s="135"/>
    </row>
    <row r="198" spans="1:53" ht="14.25" customHeight="1" x14ac:dyDescent="0.2">
      <c r="A198" s="136" t="s">
        <v>7135</v>
      </c>
      <c r="B198" s="138"/>
      <c r="C198" s="199" t="s">
        <v>7136</v>
      </c>
      <c r="D198" s="205" t="str">
        <f t="shared" si="8"/>
        <v>'-&gt; Mount Buxton</v>
      </c>
      <c r="E198" s="135"/>
      <c r="F198" s="205" t="str">
        <f t="shared" si="9"/>
        <v>'-&gt; Mount Buxton</v>
      </c>
      <c r="G198" s="142" t="str">
        <f t="shared" si="10"/>
        <v>'-&gt; 127.975 W, 51.5899 N, Elev. 738 m</v>
      </c>
      <c r="H198" s="135"/>
      <c r="I198" s="135"/>
      <c r="J198" s="135"/>
      <c r="K198" s="135"/>
      <c r="L198" s="135"/>
      <c r="M198" s="138">
        <v>51.5899</v>
      </c>
      <c r="N198" s="138">
        <v>-127.97499999999999</v>
      </c>
      <c r="O198" s="138" t="s">
        <v>51</v>
      </c>
      <c r="P198" s="138" t="s">
        <v>7518</v>
      </c>
      <c r="Q198" s="151">
        <v>4</v>
      </c>
      <c r="R198" s="138" t="s">
        <v>7518</v>
      </c>
      <c r="S198" s="140" t="str">
        <f t="shared" si="11"/>
        <v>MOUNT BUXTON</v>
      </c>
      <c r="T198" s="138" t="s">
        <v>4344</v>
      </c>
      <c r="U198" s="138">
        <v>738</v>
      </c>
      <c r="V198" s="138" t="s">
        <v>645</v>
      </c>
      <c r="W198" s="138" t="s">
        <v>7519</v>
      </c>
      <c r="X198" s="141" t="s">
        <v>7348</v>
      </c>
      <c r="Y198" s="138" t="s">
        <v>4347</v>
      </c>
      <c r="Z198" s="135"/>
      <c r="AA198" s="135"/>
      <c r="AB198" s="135"/>
      <c r="AC198" s="135"/>
      <c r="AD198" s="135"/>
      <c r="AE198" s="135"/>
      <c r="AF198" s="135"/>
      <c r="AG198" s="135"/>
      <c r="AH198" s="135"/>
      <c r="AI198" s="135"/>
      <c r="AJ198" s="135"/>
      <c r="AK198" s="135"/>
      <c r="AL198" s="135"/>
      <c r="AM198" s="135"/>
      <c r="AN198" s="135"/>
      <c r="AO198" s="135"/>
      <c r="AP198" s="135"/>
      <c r="AQ198" s="135"/>
      <c r="AR198" s="135"/>
      <c r="AS198" s="135"/>
      <c r="AT198" s="135"/>
      <c r="AU198" s="135"/>
      <c r="AV198" s="135"/>
      <c r="AW198" s="135"/>
      <c r="AX198" s="135"/>
      <c r="AY198" s="135"/>
      <c r="AZ198" s="135"/>
      <c r="BA198" s="135"/>
    </row>
    <row r="199" spans="1:53" ht="14.25" customHeight="1" x14ac:dyDescent="0.2">
      <c r="A199" s="136" t="s">
        <v>7135</v>
      </c>
      <c r="B199" s="138"/>
      <c r="C199" s="199" t="s">
        <v>7136</v>
      </c>
      <c r="D199" s="205" t="str">
        <f t="shared" si="8"/>
        <v>'-&gt; 3A31P</v>
      </c>
      <c r="E199" s="135"/>
      <c r="F199" s="205" t="str">
        <f t="shared" si="9"/>
        <v>'-&gt; Mount Cayley</v>
      </c>
      <c r="G199" s="142" t="str">
        <f t="shared" si="10"/>
        <v>'-&gt; 123.27747 W, 50.070953 N, Elev. 1588 m</v>
      </c>
      <c r="H199" s="135"/>
      <c r="I199" s="135"/>
      <c r="J199" s="135"/>
      <c r="K199" s="135"/>
      <c r="L199" s="135"/>
      <c r="M199" s="138">
        <v>50.070953000000003</v>
      </c>
      <c r="N199" s="220">
        <v>-123.27746999999999</v>
      </c>
      <c r="O199" s="138" t="s">
        <v>51</v>
      </c>
      <c r="P199" s="155" t="s">
        <v>7520</v>
      </c>
      <c r="Q199" s="151">
        <v>7</v>
      </c>
      <c r="R199" s="138" t="s">
        <v>7521</v>
      </c>
      <c r="S199" s="140" t="str">
        <f t="shared" si="11"/>
        <v>MOUNT CAYLEY</v>
      </c>
      <c r="T199" s="138" t="s">
        <v>4344</v>
      </c>
      <c r="U199" s="220">
        <v>1588</v>
      </c>
      <c r="V199" s="138"/>
      <c r="W199" s="138" t="s">
        <v>7522</v>
      </c>
      <c r="X199" s="141" t="s">
        <v>7523</v>
      </c>
      <c r="Y199" s="138" t="s">
        <v>4347</v>
      </c>
      <c r="Z199" s="135"/>
      <c r="AA199" s="135"/>
      <c r="AB199" s="135"/>
      <c r="AC199" s="135"/>
      <c r="AD199" s="135"/>
      <c r="AE199" s="135"/>
      <c r="AF199" s="135"/>
      <c r="AG199" s="135"/>
      <c r="AH199" s="135"/>
      <c r="AI199" s="135"/>
      <c r="AJ199" s="135"/>
      <c r="AK199" s="135"/>
      <c r="AL199" s="135"/>
      <c r="AM199" s="135"/>
      <c r="AN199" s="135"/>
      <c r="AO199" s="135"/>
      <c r="AP199" s="135"/>
      <c r="AQ199" s="135"/>
      <c r="AR199" s="135"/>
      <c r="AS199" s="135"/>
      <c r="AT199" s="135"/>
      <c r="AU199" s="135"/>
      <c r="AV199" s="135"/>
      <c r="AW199" s="135"/>
      <c r="AX199" s="135"/>
      <c r="AY199" s="135"/>
      <c r="AZ199" s="135"/>
      <c r="BA199" s="135"/>
    </row>
    <row r="200" spans="1:53" ht="14.25" customHeight="1" x14ac:dyDescent="0.2">
      <c r="A200" s="136" t="s">
        <v>7135</v>
      </c>
      <c r="B200" s="138"/>
      <c r="C200" s="199" t="s">
        <v>7136</v>
      </c>
      <c r="D200" s="205" t="str">
        <f t="shared" si="8"/>
        <v>'-&gt; 3C13P</v>
      </c>
      <c r="E200" s="135"/>
      <c r="F200" s="205" t="str">
        <f t="shared" si="9"/>
        <v>'-&gt; Mount Maya</v>
      </c>
      <c r="G200" s="142" t="str">
        <f t="shared" si="10"/>
        <v>'-&gt; 126.073 W, 52.287 N, Elev. 1692 m</v>
      </c>
      <c r="H200" s="135"/>
      <c r="I200" s="135"/>
      <c r="J200" s="135"/>
      <c r="K200" s="135"/>
      <c r="L200" s="135"/>
      <c r="M200" s="220">
        <v>52.286999999999999</v>
      </c>
      <c r="N200" s="220">
        <v>-126.07299999999999</v>
      </c>
      <c r="O200" s="138" t="s">
        <v>51</v>
      </c>
      <c r="P200" s="220" t="s">
        <v>7524</v>
      </c>
      <c r="Q200" s="151">
        <v>8</v>
      </c>
      <c r="R200" s="220" t="s">
        <v>7525</v>
      </c>
      <c r="S200" s="140" t="str">
        <f t="shared" si="11"/>
        <v>MOUNT MAYA</v>
      </c>
      <c r="T200" s="138" t="s">
        <v>4344</v>
      </c>
      <c r="U200" s="220">
        <v>1692</v>
      </c>
      <c r="V200" s="138" t="s">
        <v>645</v>
      </c>
      <c r="W200" s="138" t="s">
        <v>7526</v>
      </c>
      <c r="X200" s="141" t="s">
        <v>7527</v>
      </c>
      <c r="Y200" s="138" t="s">
        <v>4347</v>
      </c>
      <c r="Z200" s="135"/>
      <c r="AA200" s="289"/>
      <c r="AB200" s="135"/>
      <c r="AC200" s="135"/>
      <c r="AD200" s="135"/>
      <c r="AE200" s="135"/>
      <c r="AF200" s="135"/>
      <c r="AG200" s="135"/>
      <c r="AH200" s="135"/>
      <c r="AI200" s="135"/>
      <c r="AJ200" s="135"/>
      <c r="AK200" s="135"/>
      <c r="AL200" s="135"/>
      <c r="AM200" s="135"/>
      <c r="AN200" s="135"/>
      <c r="AO200" s="135"/>
      <c r="AP200" s="135"/>
      <c r="AQ200" s="135"/>
      <c r="AR200" s="135"/>
      <c r="AS200" s="135"/>
      <c r="AT200" s="135"/>
      <c r="AU200" s="135"/>
      <c r="AV200" s="135"/>
      <c r="AW200" s="135"/>
      <c r="AX200" s="135"/>
      <c r="AY200" s="135"/>
      <c r="AZ200" s="135"/>
      <c r="BA200" s="135"/>
    </row>
    <row r="201" spans="1:53" ht="14.25" customHeight="1" x14ac:dyDescent="0.2">
      <c r="A201" s="136" t="s">
        <v>7135</v>
      </c>
      <c r="B201" s="138"/>
      <c r="C201" s="199" t="s">
        <v>7136</v>
      </c>
      <c r="D201" s="205" t="str">
        <f t="shared" si="8"/>
        <v>'-&gt; 3a29P</v>
      </c>
      <c r="E201" s="135"/>
      <c r="F201" s="205" t="str">
        <f t="shared" si="9"/>
        <v>'-&gt; Perseverence Creek</v>
      </c>
      <c r="G201" s="142" t="str">
        <f t="shared" si="10"/>
        <v>'-&gt; 125.131 W, 49.594 N, Elev. 970 m</v>
      </c>
      <c r="H201" s="135"/>
      <c r="I201" s="135"/>
      <c r="J201" s="135"/>
      <c r="K201" s="135"/>
      <c r="L201" s="135"/>
      <c r="M201" s="301">
        <v>49.594000000000001</v>
      </c>
      <c r="N201" s="310">
        <v>-125.131</v>
      </c>
      <c r="O201" s="138" t="s">
        <v>51</v>
      </c>
      <c r="P201" s="138" t="s">
        <v>7528</v>
      </c>
      <c r="Q201" s="151">
        <v>5</v>
      </c>
      <c r="R201" s="138" t="s">
        <v>7529</v>
      </c>
      <c r="S201" s="140" t="str">
        <f t="shared" si="11"/>
        <v>PERSEVERENCE CREEK</v>
      </c>
      <c r="T201" s="138" t="s">
        <v>4344</v>
      </c>
      <c r="U201" s="138">
        <v>970</v>
      </c>
      <c r="V201" s="138"/>
      <c r="W201" s="138" t="s">
        <v>7530</v>
      </c>
      <c r="X201" s="141" t="s">
        <v>7510</v>
      </c>
      <c r="Y201" s="138" t="s">
        <v>4347</v>
      </c>
      <c r="Z201" s="135"/>
      <c r="AA201" s="135"/>
      <c r="AB201" s="135"/>
      <c r="AC201" s="135"/>
      <c r="AD201" s="135"/>
      <c r="AE201" s="135"/>
      <c r="AF201" s="135"/>
      <c r="AG201" s="135"/>
      <c r="AH201" s="135"/>
      <c r="AI201" s="135"/>
      <c r="AJ201" s="135"/>
      <c r="AK201" s="135"/>
      <c r="AL201" s="135"/>
      <c r="AM201" s="135"/>
      <c r="AN201" s="135"/>
      <c r="AO201" s="135"/>
      <c r="AP201" s="135"/>
      <c r="AQ201" s="135"/>
      <c r="AR201" s="135"/>
      <c r="AS201" s="135"/>
      <c r="AT201" s="135"/>
      <c r="AU201" s="135"/>
      <c r="AV201" s="135"/>
      <c r="AW201" s="135"/>
      <c r="AX201" s="135"/>
      <c r="AY201" s="135"/>
      <c r="AZ201" s="135"/>
      <c r="BA201" s="135"/>
    </row>
    <row r="202" spans="1:53" ht="14.25" customHeight="1" x14ac:dyDescent="0.2">
      <c r="A202" s="136" t="s">
        <v>7135</v>
      </c>
      <c r="B202" s="138"/>
      <c r="C202" s="199" t="s">
        <v>7136</v>
      </c>
      <c r="D202" s="205" t="str">
        <f t="shared" si="8"/>
        <v>'-&gt; 1D20P</v>
      </c>
      <c r="E202" s="135"/>
      <c r="F202" s="205" t="str">
        <f t="shared" si="9"/>
        <v>'-&gt; Place Glacier</v>
      </c>
      <c r="G202" s="142" t="str">
        <f t="shared" si="10"/>
        <v>'-&gt; 122.61442 W, 50.420312 N, Elev. 2300 m</v>
      </c>
      <c r="H202" s="135"/>
      <c r="I202" s="135"/>
      <c r="J202" s="135"/>
      <c r="K202" s="135"/>
      <c r="L202" s="135"/>
      <c r="M202" s="220">
        <v>50.420312000000003</v>
      </c>
      <c r="N202" s="220">
        <v>-122.61442</v>
      </c>
      <c r="O202" s="138" t="s">
        <v>142</v>
      </c>
      <c r="P202" s="138" t="s">
        <v>7531</v>
      </c>
      <c r="Q202" s="139">
        <v>8</v>
      </c>
      <c r="R202" s="138" t="s">
        <v>7532</v>
      </c>
      <c r="S202" s="140" t="str">
        <f t="shared" si="11"/>
        <v>PLACE GLACIER</v>
      </c>
      <c r="T202" s="138" t="s">
        <v>4344</v>
      </c>
      <c r="U202" s="138">
        <v>2300</v>
      </c>
      <c r="V202" s="138"/>
      <c r="W202" s="138"/>
      <c r="X202" s="141"/>
      <c r="Y202" s="138" t="s">
        <v>4347</v>
      </c>
      <c r="Z202" s="135"/>
      <c r="AA202" s="135"/>
      <c r="AB202" s="135"/>
      <c r="AC202" s="135"/>
      <c r="AD202" s="135"/>
      <c r="AE202" s="135"/>
      <c r="AF202" s="135"/>
      <c r="AG202" s="135"/>
      <c r="AH202" s="135"/>
      <c r="AI202" s="135"/>
      <c r="AJ202" s="135"/>
      <c r="AK202" s="135"/>
      <c r="AL202" s="135"/>
      <c r="AM202" s="135"/>
      <c r="AN202" s="135"/>
      <c r="AO202" s="135"/>
      <c r="AP202" s="135"/>
      <c r="AQ202" s="135"/>
      <c r="AR202" s="135"/>
      <c r="AS202" s="135"/>
      <c r="AT202" s="135"/>
      <c r="AU202" s="135"/>
      <c r="AV202" s="135"/>
      <c r="AW202" s="135"/>
      <c r="AX202" s="135"/>
      <c r="AY202" s="135"/>
      <c r="AZ202" s="135"/>
      <c r="BA202" s="135"/>
    </row>
    <row r="203" spans="1:53" ht="14.25" customHeight="1" x14ac:dyDescent="0.2">
      <c r="A203" s="136" t="s">
        <v>7135</v>
      </c>
      <c r="B203" s="138"/>
      <c r="C203" s="199" t="s">
        <v>7136</v>
      </c>
      <c r="D203" s="205" t="str">
        <f t="shared" si="8"/>
        <v>'-&gt; 3A32P</v>
      </c>
      <c r="E203" s="135"/>
      <c r="F203" s="205" t="str">
        <f t="shared" si="9"/>
        <v>'-&gt; Plummer Hut</v>
      </c>
      <c r="G203" s="142" t="str">
        <f t="shared" si="10"/>
        <v>'-&gt; 125.1645 W, 51.3735 N, Elev. 2680 m</v>
      </c>
      <c r="H203" s="135"/>
      <c r="I203" s="135"/>
      <c r="J203" s="135"/>
      <c r="K203" s="135"/>
      <c r="L203" s="135"/>
      <c r="M203" s="157">
        <v>51.3735</v>
      </c>
      <c r="N203" s="157">
        <v>-125.1645</v>
      </c>
      <c r="O203" s="138" t="s">
        <v>51</v>
      </c>
      <c r="P203" s="138" t="s">
        <v>7533</v>
      </c>
      <c r="Q203" s="151">
        <v>8</v>
      </c>
      <c r="R203" s="138" t="s">
        <v>7534</v>
      </c>
      <c r="S203" s="140" t="str">
        <f t="shared" si="11"/>
        <v>PLUMMER HUT</v>
      </c>
      <c r="T203" s="138" t="s">
        <v>4344</v>
      </c>
      <c r="U203" s="138">
        <v>2680</v>
      </c>
      <c r="V203" s="138"/>
      <c r="W203" s="138" t="s">
        <v>7535</v>
      </c>
      <c r="X203" s="141" t="s">
        <v>7536</v>
      </c>
      <c r="Y203" s="138" t="s">
        <v>4347</v>
      </c>
      <c r="Z203" s="135"/>
      <c r="AA203" s="135"/>
      <c r="AB203" s="135"/>
      <c r="AC203" s="135"/>
      <c r="AD203" s="135"/>
      <c r="AE203" s="135"/>
      <c r="AF203" s="135"/>
      <c r="AG203" s="135"/>
      <c r="AH203" s="135"/>
      <c r="AI203" s="135"/>
      <c r="AJ203" s="135"/>
      <c r="AK203" s="135"/>
      <c r="AL203" s="135"/>
      <c r="AM203" s="135"/>
      <c r="AN203" s="135"/>
      <c r="AO203" s="135"/>
      <c r="AP203" s="135"/>
      <c r="AQ203" s="135"/>
      <c r="AR203" s="135"/>
      <c r="AS203" s="135"/>
      <c r="AT203" s="135"/>
      <c r="AU203" s="135"/>
      <c r="AV203" s="135"/>
      <c r="AW203" s="135"/>
      <c r="AX203" s="135"/>
      <c r="AY203" s="135"/>
      <c r="AZ203" s="135"/>
      <c r="BA203" s="135"/>
    </row>
    <row r="204" spans="1:53" ht="14.25" customHeight="1" x14ac:dyDescent="0.2">
      <c r="A204" s="136" t="s">
        <v>7135</v>
      </c>
      <c r="B204" s="138"/>
      <c r="C204" s="199" t="s">
        <v>7136</v>
      </c>
      <c r="D204" s="205" t="str">
        <f t="shared" si="8"/>
        <v>'-&gt; RennellP</v>
      </c>
      <c r="E204" s="135"/>
      <c r="F204" s="205" t="str">
        <f t="shared" si="9"/>
        <v>'-&gt; Rennell Pass</v>
      </c>
      <c r="G204" s="142" t="str">
        <f t="shared" si="10"/>
        <v>'-&gt; 132.3655 W, 53.3434 N, Elev. 316 m</v>
      </c>
      <c r="H204" s="135"/>
      <c r="I204" s="135"/>
      <c r="J204" s="135"/>
      <c r="K204" s="135"/>
      <c r="L204" s="135"/>
      <c r="M204" s="138">
        <v>53.343400000000003</v>
      </c>
      <c r="N204" s="138">
        <v>-132.3655</v>
      </c>
      <c r="O204" s="138" t="s">
        <v>51</v>
      </c>
      <c r="P204" s="138" t="s">
        <v>7537</v>
      </c>
      <c r="Q204" s="151">
        <v>3</v>
      </c>
      <c r="R204" s="138" t="s">
        <v>7538</v>
      </c>
      <c r="S204" s="140" t="str">
        <f t="shared" si="11"/>
        <v>RENNELL PASS</v>
      </c>
      <c r="T204" s="138" t="s">
        <v>4344</v>
      </c>
      <c r="U204" s="138">
        <v>316</v>
      </c>
      <c r="V204" s="138" t="s">
        <v>645</v>
      </c>
      <c r="W204" s="138" t="s">
        <v>7539</v>
      </c>
      <c r="X204" s="141" t="s">
        <v>7540</v>
      </c>
      <c r="Y204" s="138" t="s">
        <v>4347</v>
      </c>
      <c r="Z204" s="135"/>
      <c r="AA204" s="135"/>
      <c r="AB204" s="135"/>
      <c r="AC204" s="135"/>
      <c r="AD204" s="135"/>
      <c r="AE204" s="135"/>
      <c r="AF204" s="135"/>
      <c r="AG204" s="135"/>
      <c r="AH204" s="135"/>
      <c r="AI204" s="135"/>
      <c r="AJ204" s="135"/>
      <c r="AK204" s="135"/>
      <c r="AL204" s="135"/>
      <c r="AM204" s="135"/>
      <c r="AN204" s="135"/>
      <c r="AO204" s="135"/>
      <c r="AP204" s="135"/>
      <c r="AQ204" s="135"/>
      <c r="AR204" s="135"/>
      <c r="AS204" s="135"/>
      <c r="AT204" s="135"/>
      <c r="AU204" s="135"/>
      <c r="AV204" s="135"/>
      <c r="AW204" s="135"/>
      <c r="AX204" s="135"/>
      <c r="AY204" s="135"/>
      <c r="AZ204" s="135"/>
      <c r="BA204" s="135"/>
    </row>
    <row r="205" spans="1:53" ht="14.25" customHeight="1" x14ac:dyDescent="0.2">
      <c r="A205" s="136" t="s">
        <v>7135</v>
      </c>
      <c r="B205" s="138"/>
      <c r="C205" s="199" t="s">
        <v>7136</v>
      </c>
      <c r="D205" s="205" t="str">
        <f t="shared" si="8"/>
        <v>'-&gt; Russell_Main</v>
      </c>
      <c r="E205" s="135"/>
      <c r="F205" s="205" t="str">
        <f t="shared" si="9"/>
        <v>'-&gt; Russell at mouth</v>
      </c>
      <c r="G205" s="142" t="str">
        <f t="shared" si="10"/>
        <v>'-&gt; 126.41 W, 50.3251 N, Elev. 280 m</v>
      </c>
      <c r="H205" s="135"/>
      <c r="I205" s="135"/>
      <c r="J205" s="135"/>
      <c r="K205" s="135"/>
      <c r="L205" s="135"/>
      <c r="M205" s="138">
        <v>50.325099999999999</v>
      </c>
      <c r="N205" s="138">
        <v>-126.41</v>
      </c>
      <c r="O205" s="138" t="s">
        <v>51</v>
      </c>
      <c r="P205" s="138" t="s">
        <v>7541</v>
      </c>
      <c r="Q205" s="151">
        <v>2</v>
      </c>
      <c r="R205" s="138" t="s">
        <v>7542</v>
      </c>
      <c r="S205" s="140" t="str">
        <f t="shared" si="11"/>
        <v>RUSSELL AT MOUTH</v>
      </c>
      <c r="T205" s="138" t="s">
        <v>4344</v>
      </c>
      <c r="U205" s="138">
        <v>280</v>
      </c>
      <c r="V205" s="138"/>
      <c r="W205" s="138" t="s">
        <v>7543</v>
      </c>
      <c r="X205" s="141" t="s">
        <v>7544</v>
      </c>
      <c r="Y205" s="138" t="s">
        <v>4347</v>
      </c>
      <c r="Z205" s="135"/>
      <c r="AA205" s="135"/>
      <c r="AB205" s="135"/>
      <c r="AC205" s="135"/>
      <c r="AD205" s="135"/>
      <c r="AE205" s="135"/>
      <c r="AF205" s="135"/>
      <c r="AG205" s="135"/>
      <c r="AH205" s="135"/>
      <c r="AI205" s="135"/>
      <c r="AJ205" s="135"/>
      <c r="AK205" s="135"/>
      <c r="AL205" s="135"/>
      <c r="AM205" s="135"/>
      <c r="AN205" s="135"/>
      <c r="AO205" s="135"/>
      <c r="AP205" s="135"/>
      <c r="AQ205" s="135"/>
      <c r="AR205" s="135"/>
      <c r="AS205" s="135"/>
      <c r="AT205" s="135"/>
      <c r="AU205" s="135"/>
      <c r="AV205" s="135"/>
      <c r="AW205" s="135"/>
      <c r="AX205" s="135"/>
      <c r="AY205" s="135"/>
      <c r="AZ205" s="135"/>
      <c r="BA205" s="135"/>
    </row>
    <row r="206" spans="1:53" ht="14.25" customHeight="1" x14ac:dyDescent="0.2">
      <c r="A206" s="136" t="s">
        <v>7135</v>
      </c>
      <c r="B206" s="138"/>
      <c r="C206" s="199" t="s">
        <v>7136</v>
      </c>
      <c r="D206" s="205" t="str">
        <f t="shared" si="8"/>
        <v>'-&gt; STEPH_1</v>
      </c>
      <c r="E206" s="135"/>
      <c r="F206" s="205" t="str">
        <f t="shared" si="9"/>
        <v>'-&gt; Stephanie 1</v>
      </c>
      <c r="G206" s="142" t="str">
        <f t="shared" si="10"/>
        <v>'-&gt; 126.35681 W, 50.306645 N, Elev. 1516 m</v>
      </c>
      <c r="H206" s="135"/>
      <c r="I206" s="135"/>
      <c r="J206" s="135"/>
      <c r="K206" s="135"/>
      <c r="L206" s="135"/>
      <c r="M206" s="138">
        <v>50.306645000000003</v>
      </c>
      <c r="N206" s="220">
        <v>-126.35681</v>
      </c>
      <c r="O206" s="138" t="s">
        <v>51</v>
      </c>
      <c r="P206" s="138" t="s">
        <v>7545</v>
      </c>
      <c r="Q206" s="151">
        <v>7</v>
      </c>
      <c r="R206" s="138" t="s">
        <v>7546</v>
      </c>
      <c r="S206" s="140" t="str">
        <f t="shared" si="11"/>
        <v>STEPHANIE 1</v>
      </c>
      <c r="T206" s="138" t="s">
        <v>4344</v>
      </c>
      <c r="U206" s="138">
        <v>1516</v>
      </c>
      <c r="V206" s="138" t="s">
        <v>645</v>
      </c>
      <c r="W206" s="138" t="s">
        <v>7547</v>
      </c>
      <c r="X206" s="141" t="s">
        <v>7548</v>
      </c>
      <c r="Y206" s="138" t="s">
        <v>4347</v>
      </c>
      <c r="Z206" s="135"/>
      <c r="AA206" s="135"/>
      <c r="AB206" s="135"/>
      <c r="AC206" s="135"/>
      <c r="AD206" s="135"/>
      <c r="AE206" s="135"/>
      <c r="AF206" s="135"/>
      <c r="AG206" s="135"/>
      <c r="AH206" s="135"/>
      <c r="AI206" s="135"/>
      <c r="AJ206" s="135"/>
      <c r="AK206" s="135"/>
      <c r="AL206" s="135"/>
      <c r="AM206" s="135"/>
      <c r="AN206" s="135"/>
      <c r="AO206" s="135"/>
      <c r="AP206" s="135"/>
      <c r="AQ206" s="135"/>
      <c r="AR206" s="135"/>
      <c r="AS206" s="135"/>
      <c r="AT206" s="135"/>
      <c r="AU206" s="135"/>
      <c r="AV206" s="135"/>
      <c r="AW206" s="135"/>
      <c r="AX206" s="135"/>
      <c r="AY206" s="135"/>
      <c r="AZ206" s="135"/>
      <c r="BA206" s="135"/>
    </row>
    <row r="207" spans="1:53" ht="14.25" customHeight="1" x14ac:dyDescent="0.2">
      <c r="A207" s="136" t="s">
        <v>7135</v>
      </c>
      <c r="B207" s="138"/>
      <c r="C207" s="199" t="s">
        <v>7136</v>
      </c>
      <c r="D207" s="205" t="str">
        <f t="shared" si="8"/>
        <v>'-&gt; STEPH_2</v>
      </c>
      <c r="E207" s="135"/>
      <c r="F207" s="205" t="str">
        <f t="shared" si="9"/>
        <v>'-&gt; Stephanie 2</v>
      </c>
      <c r="G207" s="142" t="str">
        <f t="shared" si="10"/>
        <v>'-&gt; 126.3627 W, 50.3124 N, Elev. 1164 m</v>
      </c>
      <c r="H207" s="135"/>
      <c r="I207" s="135"/>
      <c r="J207" s="135"/>
      <c r="K207" s="135"/>
      <c r="L207" s="135"/>
      <c r="M207" s="138">
        <v>50.312399999999997</v>
      </c>
      <c r="N207" s="138">
        <v>-126.3627</v>
      </c>
      <c r="O207" s="138" t="s">
        <v>51</v>
      </c>
      <c r="P207" s="138" t="s">
        <v>7549</v>
      </c>
      <c r="Q207" s="151">
        <v>6</v>
      </c>
      <c r="R207" s="138" t="s">
        <v>7550</v>
      </c>
      <c r="S207" s="140" t="str">
        <f t="shared" si="11"/>
        <v>STEPHANIE 2</v>
      </c>
      <c r="T207" s="138" t="s">
        <v>4344</v>
      </c>
      <c r="U207" s="138">
        <v>1164</v>
      </c>
      <c r="V207" s="138"/>
      <c r="W207" s="138" t="s">
        <v>7551</v>
      </c>
      <c r="X207" s="141" t="s">
        <v>7552</v>
      </c>
      <c r="Y207" s="138" t="s">
        <v>4347</v>
      </c>
      <c r="Z207" s="135"/>
      <c r="AA207" s="135"/>
      <c r="AB207" s="135"/>
      <c r="AC207" s="135"/>
      <c r="AD207" s="135"/>
      <c r="AE207" s="135"/>
      <c r="AF207" s="135"/>
      <c r="AG207" s="135"/>
      <c r="AH207" s="135"/>
      <c r="AI207" s="135"/>
      <c r="AJ207" s="135"/>
      <c r="AK207" s="135"/>
      <c r="AL207" s="135"/>
      <c r="AM207" s="135"/>
      <c r="AN207" s="135"/>
      <c r="AO207" s="135"/>
      <c r="AP207" s="135"/>
      <c r="AQ207" s="135"/>
      <c r="AR207" s="135"/>
      <c r="AS207" s="135"/>
      <c r="AT207" s="135"/>
      <c r="AU207" s="135"/>
      <c r="AV207" s="135"/>
      <c r="AW207" s="135"/>
      <c r="AX207" s="135"/>
      <c r="AY207" s="135"/>
      <c r="AZ207" s="135"/>
      <c r="BA207" s="135"/>
    </row>
    <row r="208" spans="1:53" ht="14.25" customHeight="1" x14ac:dyDescent="0.2">
      <c r="A208" s="136" t="s">
        <v>7135</v>
      </c>
      <c r="B208" s="138"/>
      <c r="C208" s="199" t="s">
        <v>7136</v>
      </c>
      <c r="D208" s="205" t="str">
        <f t="shared" si="8"/>
        <v>'-&gt; STEPH_3</v>
      </c>
      <c r="E208" s="135"/>
      <c r="F208" s="205" t="str">
        <f t="shared" si="9"/>
        <v>'-&gt; Stephanie 3</v>
      </c>
      <c r="G208" s="142" t="str">
        <f t="shared" si="10"/>
        <v>'-&gt; 126.3631 W, 50.3181 N, Elev. 1030 m</v>
      </c>
      <c r="H208" s="135"/>
      <c r="I208" s="135"/>
      <c r="J208" s="135"/>
      <c r="K208" s="135"/>
      <c r="L208" s="135"/>
      <c r="M208" s="220">
        <v>50.318100000000001</v>
      </c>
      <c r="N208" s="220">
        <v>-126.3631</v>
      </c>
      <c r="O208" s="138" t="s">
        <v>51</v>
      </c>
      <c r="P208" s="138" t="s">
        <v>7553</v>
      </c>
      <c r="Q208" s="151">
        <v>5</v>
      </c>
      <c r="R208" s="138" t="s">
        <v>7554</v>
      </c>
      <c r="S208" s="140" t="str">
        <f t="shared" si="11"/>
        <v>STEPHANIE 3</v>
      </c>
      <c r="T208" s="138" t="s">
        <v>4344</v>
      </c>
      <c r="U208" s="138">
        <v>1030</v>
      </c>
      <c r="V208" s="138"/>
      <c r="W208" s="138" t="s">
        <v>7555</v>
      </c>
      <c r="X208" s="141" t="s">
        <v>7552</v>
      </c>
      <c r="Y208" s="138" t="s">
        <v>4347</v>
      </c>
      <c r="Z208" s="135"/>
      <c r="AA208" s="135"/>
      <c r="AB208" s="135"/>
      <c r="AC208" s="135"/>
      <c r="AD208" s="135"/>
      <c r="AE208" s="135"/>
      <c r="AF208" s="135"/>
      <c r="AG208" s="135"/>
      <c r="AH208" s="135"/>
      <c r="AI208" s="135"/>
      <c r="AJ208" s="135"/>
      <c r="AK208" s="135"/>
      <c r="AL208" s="135"/>
      <c r="AM208" s="135"/>
      <c r="AN208" s="135"/>
      <c r="AO208" s="135"/>
      <c r="AP208" s="135"/>
      <c r="AQ208" s="135"/>
      <c r="AR208" s="135"/>
      <c r="AS208" s="135"/>
      <c r="AT208" s="135"/>
      <c r="AU208" s="135"/>
      <c r="AV208" s="135"/>
      <c r="AW208" s="135"/>
      <c r="AX208" s="135"/>
      <c r="AY208" s="135"/>
      <c r="AZ208" s="135"/>
      <c r="BA208" s="135"/>
    </row>
    <row r="209" spans="1:72" ht="14.25" customHeight="1" x14ac:dyDescent="0.2">
      <c r="A209" s="136" t="s">
        <v>7135</v>
      </c>
      <c r="B209" s="138"/>
      <c r="C209" s="199" t="s">
        <v>7136</v>
      </c>
      <c r="D209" s="205" t="str">
        <f t="shared" si="8"/>
        <v>'-&gt; STEPH_4</v>
      </c>
      <c r="E209" s="135"/>
      <c r="F209" s="205" t="str">
        <f t="shared" si="9"/>
        <v>'-&gt; Stephanie 4</v>
      </c>
      <c r="G209" s="142" t="str">
        <f t="shared" si="10"/>
        <v>'-&gt; 126.355 W, 50.3171 N, Elev. 950 m</v>
      </c>
      <c r="H209" s="135"/>
      <c r="I209" s="135"/>
      <c r="J209" s="135"/>
      <c r="K209" s="135"/>
      <c r="L209" s="135"/>
      <c r="M209" s="138">
        <v>50.317100000000003</v>
      </c>
      <c r="N209" s="138">
        <v>-126.355</v>
      </c>
      <c r="O209" s="138" t="s">
        <v>51</v>
      </c>
      <c r="P209" s="138" t="s">
        <v>7556</v>
      </c>
      <c r="Q209" s="151">
        <v>5</v>
      </c>
      <c r="R209" s="138" t="s">
        <v>7557</v>
      </c>
      <c r="S209" s="140" t="str">
        <f t="shared" si="11"/>
        <v>STEPHANIE 4</v>
      </c>
      <c r="T209" s="138" t="s">
        <v>4344</v>
      </c>
      <c r="U209" s="138">
        <v>950</v>
      </c>
      <c r="V209" s="138"/>
      <c r="W209" s="138" t="s">
        <v>7558</v>
      </c>
      <c r="X209" s="141" t="s">
        <v>7552</v>
      </c>
      <c r="Y209" s="138" t="s">
        <v>4347</v>
      </c>
      <c r="Z209" s="135"/>
      <c r="AA209" s="135"/>
      <c r="AB209" s="135"/>
      <c r="AC209" s="135"/>
      <c r="AD209" s="135"/>
      <c r="AE209" s="135"/>
      <c r="AF209" s="135"/>
      <c r="AG209" s="135"/>
      <c r="AH209" s="135"/>
      <c r="AI209" s="135"/>
      <c r="AJ209" s="135"/>
      <c r="AK209" s="135"/>
      <c r="AL209" s="135"/>
      <c r="AM209" s="135"/>
      <c r="AN209" s="135"/>
      <c r="AO209" s="135"/>
      <c r="AP209" s="135"/>
      <c r="AQ209" s="135"/>
      <c r="AR209" s="135"/>
      <c r="AS209" s="135"/>
      <c r="AT209" s="135"/>
      <c r="AU209" s="135"/>
      <c r="AV209" s="135"/>
      <c r="AW209" s="135"/>
      <c r="AX209" s="135"/>
      <c r="AY209" s="135"/>
      <c r="AZ209" s="135"/>
      <c r="BA209" s="135"/>
    </row>
    <row r="210" spans="1:72" ht="14.25" customHeight="1" x14ac:dyDescent="0.2">
      <c r="A210" s="136" t="s">
        <v>7135</v>
      </c>
      <c r="B210" s="138"/>
      <c r="C210" s="199" t="s">
        <v>7136</v>
      </c>
      <c r="D210" s="205" t="str">
        <f t="shared" si="8"/>
        <v>'-&gt; STEPH_6</v>
      </c>
      <c r="E210" s="135"/>
      <c r="F210" s="205" t="str">
        <f t="shared" si="9"/>
        <v>'-&gt; Stephanie 6</v>
      </c>
      <c r="G210" s="142" t="str">
        <f t="shared" si="10"/>
        <v>'-&gt; 126.35 W, 50.3186 N, Elev. 820 m</v>
      </c>
      <c r="H210" s="135"/>
      <c r="I210" s="135"/>
      <c r="J210" s="135"/>
      <c r="K210" s="135"/>
      <c r="L210" s="135"/>
      <c r="M210" s="138">
        <v>50.318600000000004</v>
      </c>
      <c r="N210" s="138">
        <v>-126.35</v>
      </c>
      <c r="O210" s="138" t="s">
        <v>51</v>
      </c>
      <c r="P210" s="138" t="s">
        <v>7559</v>
      </c>
      <c r="Q210" s="151">
        <v>5</v>
      </c>
      <c r="R210" s="138" t="s">
        <v>7560</v>
      </c>
      <c r="S210" s="140" t="str">
        <f t="shared" si="11"/>
        <v>STEPHANIE 6</v>
      </c>
      <c r="T210" s="138" t="s">
        <v>4344</v>
      </c>
      <c r="U210" s="138">
        <v>820</v>
      </c>
      <c r="V210" s="138" t="s">
        <v>645</v>
      </c>
      <c r="W210" s="138" t="s">
        <v>7561</v>
      </c>
      <c r="X210" s="141" t="s">
        <v>7562</v>
      </c>
      <c r="Y210" s="138" t="s">
        <v>4347</v>
      </c>
      <c r="Z210" s="135"/>
      <c r="AA210" s="135"/>
      <c r="AB210" s="135"/>
      <c r="AC210" s="135"/>
      <c r="AD210" s="135"/>
      <c r="AE210" s="135"/>
      <c r="AF210" s="135"/>
      <c r="AG210" s="135"/>
      <c r="AH210" s="135"/>
      <c r="AI210" s="135"/>
      <c r="AJ210" s="135"/>
      <c r="AK210" s="135"/>
      <c r="AL210" s="135"/>
      <c r="AM210" s="135"/>
      <c r="AN210" s="135"/>
      <c r="AO210" s="135"/>
      <c r="AP210" s="135"/>
      <c r="AQ210" s="135"/>
      <c r="AR210" s="135"/>
      <c r="AS210" s="135"/>
      <c r="AT210" s="135"/>
      <c r="AU210" s="135"/>
      <c r="AV210" s="135"/>
      <c r="AW210" s="135"/>
      <c r="AX210" s="135"/>
      <c r="AY210" s="135"/>
      <c r="AZ210" s="135"/>
      <c r="BA210" s="135"/>
    </row>
    <row r="211" spans="1:72" ht="14.25" customHeight="1" x14ac:dyDescent="0.2">
      <c r="A211" s="136" t="s">
        <v>7135</v>
      </c>
      <c r="B211" s="138"/>
      <c r="C211" s="199" t="s">
        <v>7136</v>
      </c>
      <c r="D211" s="205" t="str">
        <f t="shared" si="8"/>
        <v>'-&gt; STEPH_7</v>
      </c>
      <c r="E211" s="135"/>
      <c r="F211" s="205" t="str">
        <f t="shared" si="9"/>
        <v>'-&gt; Stephanie 7</v>
      </c>
      <c r="G211" s="142" t="str">
        <f t="shared" si="10"/>
        <v>'-&gt; 126.3574 W, 50.3257 N, Elev. 718 m</v>
      </c>
      <c r="H211" s="135"/>
      <c r="I211" s="135"/>
      <c r="J211" s="135"/>
      <c r="K211" s="135"/>
      <c r="L211" s="135"/>
      <c r="M211" s="220">
        <v>50.325699999999998</v>
      </c>
      <c r="N211" s="220">
        <v>-126.3574</v>
      </c>
      <c r="O211" s="138" t="s">
        <v>51</v>
      </c>
      <c r="P211" s="138" t="s">
        <v>7563</v>
      </c>
      <c r="Q211" s="151">
        <v>4</v>
      </c>
      <c r="R211" s="138" t="s">
        <v>7564</v>
      </c>
      <c r="S211" s="140" t="str">
        <f t="shared" si="11"/>
        <v>STEPHANIE 7</v>
      </c>
      <c r="T211" s="138" t="s">
        <v>4344</v>
      </c>
      <c r="U211" s="138">
        <v>718</v>
      </c>
      <c r="V211" s="138"/>
      <c r="W211" s="138" t="s">
        <v>7565</v>
      </c>
      <c r="X211" s="141" t="s">
        <v>7566</v>
      </c>
      <c r="Y211" s="138" t="s">
        <v>4347</v>
      </c>
      <c r="Z211" s="135"/>
      <c r="AA211" s="135"/>
      <c r="AB211" s="135"/>
      <c r="AC211" s="135"/>
      <c r="AD211" s="135"/>
      <c r="AE211" s="135"/>
      <c r="AF211" s="135"/>
      <c r="AG211" s="135"/>
      <c r="AH211" s="135"/>
      <c r="AI211" s="135"/>
      <c r="AJ211" s="135"/>
      <c r="AK211" s="135"/>
      <c r="AL211" s="135"/>
      <c r="AM211" s="135"/>
      <c r="AN211" s="135"/>
      <c r="AO211" s="135"/>
      <c r="AP211" s="135"/>
      <c r="AQ211" s="135"/>
      <c r="AR211" s="135"/>
      <c r="AS211" s="135"/>
      <c r="AT211" s="135"/>
      <c r="AU211" s="135"/>
      <c r="AV211" s="135"/>
      <c r="AW211" s="135"/>
      <c r="AX211" s="135"/>
      <c r="AY211" s="135"/>
      <c r="AZ211" s="135"/>
      <c r="BA211" s="135"/>
    </row>
    <row r="212" spans="1:72" ht="14.25" customHeight="1" x14ac:dyDescent="0.2">
      <c r="A212" s="136" t="s">
        <v>7135</v>
      </c>
      <c r="B212" s="138"/>
      <c r="C212" s="199" t="s">
        <v>7136</v>
      </c>
      <c r="D212" s="205" t="str">
        <f t="shared" si="8"/>
        <v>'-&gt; STEPH_8</v>
      </c>
      <c r="E212" s="135"/>
      <c r="F212" s="205" t="str">
        <f t="shared" si="9"/>
        <v>'-&gt; Stephanie 8</v>
      </c>
      <c r="G212" s="142" t="str">
        <f t="shared" si="10"/>
        <v>'-&gt; 126.3652 W, 50.3329 N, Elev. 593 m</v>
      </c>
      <c r="H212" s="135"/>
      <c r="I212" s="135"/>
      <c r="J212" s="135"/>
      <c r="K212" s="135"/>
      <c r="L212" s="135"/>
      <c r="M212" s="138">
        <v>50.332900000000002</v>
      </c>
      <c r="N212" s="138">
        <v>-126.3652</v>
      </c>
      <c r="O212" s="138" t="s">
        <v>51</v>
      </c>
      <c r="P212" s="138" t="s">
        <v>7567</v>
      </c>
      <c r="Q212" s="151">
        <v>4</v>
      </c>
      <c r="R212" s="138" t="s">
        <v>7568</v>
      </c>
      <c r="S212" s="140" t="str">
        <f t="shared" si="11"/>
        <v>STEPHANIE 8</v>
      </c>
      <c r="T212" s="138" t="s">
        <v>4344</v>
      </c>
      <c r="U212" s="138">
        <v>593</v>
      </c>
      <c r="V212" s="138"/>
      <c r="W212" s="138" t="s">
        <v>7565</v>
      </c>
      <c r="X212" s="141" t="s">
        <v>7569</v>
      </c>
      <c r="Y212" s="138" t="s">
        <v>4347</v>
      </c>
      <c r="Z212" s="135"/>
      <c r="AA212" s="135"/>
      <c r="AB212" s="135"/>
      <c r="AC212" s="135"/>
      <c r="AD212" s="135"/>
      <c r="AE212" s="135"/>
      <c r="AF212" s="135"/>
      <c r="AG212" s="135"/>
      <c r="AH212" s="135"/>
      <c r="AI212" s="135"/>
      <c r="AJ212" s="135"/>
      <c r="AK212" s="135"/>
      <c r="AL212" s="135"/>
      <c r="AM212" s="135"/>
      <c r="AN212" s="135"/>
      <c r="AO212" s="135"/>
      <c r="AP212" s="135"/>
      <c r="AQ212" s="135"/>
      <c r="AR212" s="135"/>
      <c r="AS212" s="135"/>
      <c r="AT212" s="135"/>
      <c r="AU212" s="135"/>
      <c r="AV212" s="135"/>
      <c r="AW212" s="135"/>
      <c r="AX212" s="135"/>
      <c r="AY212" s="135"/>
      <c r="AZ212" s="135"/>
      <c r="BA212" s="135"/>
    </row>
    <row r="213" spans="1:72" ht="14.25" customHeight="1" x14ac:dyDescent="0.2">
      <c r="A213" s="136" t="s">
        <v>7135</v>
      </c>
      <c r="B213" s="138"/>
      <c r="C213" s="199" t="s">
        <v>7136</v>
      </c>
      <c r="D213" s="205" t="str">
        <f t="shared" si="8"/>
        <v>'-&gt; 3B27P</v>
      </c>
      <c r="E213" s="135"/>
      <c r="F213" s="205" t="str">
        <f t="shared" si="9"/>
        <v>'-&gt; Upper Cruickshank</v>
      </c>
      <c r="G213" s="142" t="str">
        <f t="shared" si="10"/>
        <v>'-&gt; 125.361 W, 49.669 N, Elev. 1348 m</v>
      </c>
      <c r="H213" s="135"/>
      <c r="I213" s="135"/>
      <c r="J213" s="135"/>
      <c r="K213" s="135"/>
      <c r="L213" s="135"/>
      <c r="M213" s="335">
        <v>49.668999999999997</v>
      </c>
      <c r="N213" s="156">
        <v>-125.361</v>
      </c>
      <c r="O213" s="138" t="s">
        <v>51</v>
      </c>
      <c r="P213" s="138" t="s">
        <v>7570</v>
      </c>
      <c r="Q213" s="151">
        <v>7</v>
      </c>
      <c r="R213" s="138" t="s">
        <v>7571</v>
      </c>
      <c r="S213" s="140" t="str">
        <f t="shared" si="11"/>
        <v>UPPER CRUICKSHANK</v>
      </c>
      <c r="T213" s="138" t="s">
        <v>4344</v>
      </c>
      <c r="U213" s="138">
        <v>1348</v>
      </c>
      <c r="V213" s="138"/>
      <c r="W213" s="138" t="s">
        <v>7572</v>
      </c>
      <c r="X213" s="141" t="s">
        <v>7573</v>
      </c>
      <c r="Y213" s="138" t="s">
        <v>4347</v>
      </c>
      <c r="Z213" s="135"/>
      <c r="AA213" s="135"/>
      <c r="AB213" s="135"/>
      <c r="AC213" s="135"/>
      <c r="AD213" s="135"/>
      <c r="AE213" s="135"/>
      <c r="AF213" s="135"/>
      <c r="AG213" s="135"/>
      <c r="AH213" s="135"/>
      <c r="AI213" s="135"/>
      <c r="AJ213" s="135"/>
      <c r="AK213" s="135"/>
      <c r="AL213" s="135"/>
      <c r="AM213" s="135"/>
      <c r="AN213" s="135"/>
      <c r="AO213" s="135"/>
      <c r="AP213" s="135"/>
      <c r="AQ213" s="135"/>
      <c r="AR213" s="135"/>
      <c r="AS213" s="135"/>
      <c r="AT213" s="135"/>
      <c r="AU213" s="135"/>
      <c r="AV213" s="135"/>
      <c r="AW213" s="135"/>
      <c r="AX213" s="135"/>
      <c r="AY213" s="135"/>
      <c r="AZ213" s="135"/>
      <c r="BA213" s="135"/>
    </row>
    <row r="214" spans="1:72" ht="14.25" customHeight="1" x14ac:dyDescent="0.2">
      <c r="A214" s="136" t="s">
        <v>7135</v>
      </c>
      <c r="B214" s="138"/>
      <c r="C214" s="199" t="s">
        <v>7136</v>
      </c>
      <c r="D214" s="205" t="str">
        <f t="shared" si="8"/>
        <v>'-&gt; Upper_Russell</v>
      </c>
      <c r="E214" s="135"/>
      <c r="F214" s="205" t="str">
        <f t="shared" si="9"/>
        <v>'-&gt; Upper Russell</v>
      </c>
      <c r="G214" s="142" t="str">
        <f t="shared" si="10"/>
        <v>'-&gt; 126.3616 W, 50.3447 N, Elev. 493 m</v>
      </c>
      <c r="H214" s="135"/>
      <c r="I214" s="135"/>
      <c r="J214" s="135"/>
      <c r="K214" s="135"/>
      <c r="L214" s="135"/>
      <c r="M214" s="138">
        <v>50.344700000000003</v>
      </c>
      <c r="N214" s="138">
        <v>-126.3616</v>
      </c>
      <c r="O214" s="138" t="s">
        <v>51</v>
      </c>
      <c r="P214" s="138" t="s">
        <v>7574</v>
      </c>
      <c r="Q214" s="151">
        <v>3</v>
      </c>
      <c r="R214" s="138" t="s">
        <v>7575</v>
      </c>
      <c r="S214" s="140" t="str">
        <f t="shared" si="11"/>
        <v>UPPER RUSSELL</v>
      </c>
      <c r="T214" s="138" t="s">
        <v>4344</v>
      </c>
      <c r="U214" s="138">
        <v>493</v>
      </c>
      <c r="V214" s="138"/>
      <c r="W214" s="138" t="s">
        <v>7576</v>
      </c>
      <c r="X214" s="141" t="s">
        <v>7562</v>
      </c>
      <c r="Y214" s="138" t="s">
        <v>4347</v>
      </c>
      <c r="Z214" s="135"/>
      <c r="AA214" s="135"/>
      <c r="AB214" s="135"/>
      <c r="AC214" s="135"/>
      <c r="AD214" s="135"/>
      <c r="AE214" s="135"/>
      <c r="AF214" s="135"/>
      <c r="AG214" s="135"/>
      <c r="AH214" s="135"/>
      <c r="AI214" s="135"/>
      <c r="AJ214" s="135"/>
      <c r="AK214" s="135"/>
      <c r="AL214" s="135"/>
      <c r="AM214" s="135"/>
      <c r="AN214" s="135"/>
      <c r="AO214" s="135"/>
      <c r="AP214" s="135"/>
      <c r="AQ214" s="135"/>
      <c r="AR214" s="135"/>
      <c r="AS214" s="135"/>
      <c r="AT214" s="135"/>
      <c r="AU214" s="135"/>
      <c r="AV214" s="135"/>
      <c r="AW214" s="135"/>
      <c r="AX214" s="135"/>
      <c r="AY214" s="135"/>
      <c r="AZ214" s="135"/>
      <c r="BA214" s="135"/>
    </row>
    <row r="215" spans="1:72" ht="14.25" customHeight="1" x14ac:dyDescent="0.2">
      <c r="A215" s="136" t="s">
        <v>7135</v>
      </c>
      <c r="B215" s="138"/>
      <c r="C215" s="199" t="s">
        <v>7136</v>
      </c>
      <c r="D215" s="205" t="str">
        <f t="shared" si="8"/>
        <v>'-&gt; 4B19P</v>
      </c>
      <c r="E215" s="135"/>
      <c r="F215" s="205" t="str">
        <f t="shared" si="9"/>
        <v>'-&gt; Upper Skeena</v>
      </c>
      <c r="G215" s="181" t="str">
        <f t="shared" si="10"/>
        <v>'-&gt; 127.655889 W, 56.539786 N, Elev. 1571 m</v>
      </c>
      <c r="H215" s="135"/>
      <c r="I215" s="135"/>
      <c r="J215" s="135"/>
      <c r="K215" s="135"/>
      <c r="L215" s="135"/>
      <c r="M215" s="138">
        <v>56.539785999999999</v>
      </c>
      <c r="N215" s="138">
        <v>-127.655889</v>
      </c>
      <c r="O215" s="138" t="s">
        <v>1290</v>
      </c>
      <c r="P215" s="138" t="s">
        <v>7577</v>
      </c>
      <c r="Q215" s="151">
        <v>7</v>
      </c>
      <c r="R215" s="138" t="s">
        <v>7578</v>
      </c>
      <c r="S215" s="140" t="str">
        <f t="shared" si="11"/>
        <v>UPPER SKEENA</v>
      </c>
      <c r="T215" s="138" t="s">
        <v>4344</v>
      </c>
      <c r="U215" s="138">
        <v>1571</v>
      </c>
      <c r="V215" s="138"/>
      <c r="W215" s="138" t="s">
        <v>7579</v>
      </c>
      <c r="X215" s="141" t="s">
        <v>7580</v>
      </c>
      <c r="Y215" s="138" t="s">
        <v>4347</v>
      </c>
      <c r="Z215" s="135"/>
      <c r="AA215" s="135"/>
      <c r="AB215" s="135"/>
      <c r="AC215" s="135"/>
      <c r="AD215" s="135"/>
      <c r="AE215" s="135"/>
      <c r="AF215" s="135"/>
      <c r="AG215" s="135"/>
      <c r="AH215" s="135"/>
      <c r="AI215" s="135"/>
      <c r="AJ215" s="135"/>
      <c r="AK215" s="135"/>
      <c r="AL215" s="135"/>
      <c r="AM215" s="135"/>
      <c r="AN215" s="135"/>
      <c r="AO215" s="135"/>
      <c r="AP215" s="135"/>
      <c r="AQ215" s="135"/>
      <c r="AR215" s="135"/>
      <c r="AS215" s="135"/>
      <c r="AT215" s="135"/>
      <c r="AU215" s="135"/>
      <c r="AV215" s="135"/>
      <c r="AW215" s="135"/>
      <c r="AX215" s="135"/>
      <c r="AY215" s="135"/>
      <c r="AZ215" s="135"/>
      <c r="BA215" s="135"/>
    </row>
    <row r="216" spans="1:72" ht="14.25" customHeight="1" x14ac:dyDescent="0.2">
      <c r="A216" s="136" t="s">
        <v>7135</v>
      </c>
      <c r="B216" s="138"/>
      <c r="C216" s="199" t="s">
        <v>7136</v>
      </c>
      <c r="D216" s="205" t="str">
        <f t="shared" si="8"/>
        <v>'-&gt; M2</v>
      </c>
      <c r="E216" s="135"/>
      <c r="F216" s="205" t="str">
        <f t="shared" si="9"/>
        <v>'-&gt; Mayson Lake - M2</v>
      </c>
      <c r="G216" s="142" t="str">
        <f t="shared" si="10"/>
        <v>'-&gt; 120.388667 W, 51.216528 N, Elev. 1277 m</v>
      </c>
      <c r="H216" s="135"/>
      <c r="I216" s="135"/>
      <c r="J216" s="135"/>
      <c r="K216" s="135"/>
      <c r="L216" s="135"/>
      <c r="M216" s="136">
        <v>51.216527999999997</v>
      </c>
      <c r="N216" s="136">
        <v>-120.388667</v>
      </c>
      <c r="O216" s="136" t="s">
        <v>7631</v>
      </c>
      <c r="P216" s="136" t="s">
        <v>7632</v>
      </c>
      <c r="Q216" s="135"/>
      <c r="R216" s="136" t="s">
        <v>7633</v>
      </c>
      <c r="S216" s="136" t="s">
        <v>7634</v>
      </c>
      <c r="T216" s="135"/>
      <c r="U216" s="136">
        <v>1277</v>
      </c>
      <c r="V216" s="136" t="s">
        <v>7635</v>
      </c>
      <c r="W216" s="136" t="s">
        <v>7636</v>
      </c>
      <c r="X216" s="136" t="s">
        <v>7637</v>
      </c>
      <c r="Y216" s="135"/>
      <c r="Z216" s="138" t="s">
        <v>7638</v>
      </c>
      <c r="AA216" s="135"/>
      <c r="AB216" s="135"/>
      <c r="AC216" s="135"/>
      <c r="AD216" s="135"/>
      <c r="AE216" s="135"/>
      <c r="AF216" s="135"/>
      <c r="AG216" s="135"/>
      <c r="AH216" s="135"/>
      <c r="AI216" s="135"/>
      <c r="AJ216" s="135"/>
      <c r="AK216" s="135"/>
      <c r="AL216" s="135"/>
      <c r="AM216" s="135"/>
      <c r="AN216" s="135"/>
      <c r="AO216" s="135"/>
      <c r="AP216" s="135"/>
      <c r="AQ216" s="135"/>
      <c r="AR216" s="135"/>
      <c r="AS216" s="135"/>
      <c r="AT216" s="135"/>
      <c r="AU216" s="135"/>
      <c r="AV216" s="135"/>
      <c r="AW216" s="135"/>
      <c r="AX216" s="135"/>
      <c r="AY216" s="135"/>
      <c r="AZ216" s="135"/>
      <c r="BA216" s="135"/>
    </row>
    <row r="217" spans="1:72" ht="14.25" customHeight="1" x14ac:dyDescent="0.2">
      <c r="A217" s="136" t="s">
        <v>7135</v>
      </c>
      <c r="B217" s="138"/>
      <c r="C217" s="199" t="s">
        <v>7136</v>
      </c>
      <c r="D217" s="205" t="str">
        <f t="shared" si="8"/>
        <v>'-&gt; M3</v>
      </c>
      <c r="E217" s="135"/>
      <c r="F217" s="205" t="str">
        <f t="shared" si="9"/>
        <v>'-&gt; Mayson Lake - M3</v>
      </c>
      <c r="G217" s="142" t="str">
        <f t="shared" si="10"/>
        <v>'-&gt; 120.401694 W, 51.217611 N, Elev. 1290 m</v>
      </c>
      <c r="H217" s="135"/>
      <c r="I217" s="135"/>
      <c r="J217" s="135"/>
      <c r="K217" s="135"/>
      <c r="L217" s="135"/>
      <c r="M217" s="306">
        <v>51.217610999999998</v>
      </c>
      <c r="N217" s="181">
        <v>-120.40169400000001</v>
      </c>
      <c r="O217" s="136" t="s">
        <v>7631</v>
      </c>
      <c r="P217" s="136" t="s">
        <v>7639</v>
      </c>
      <c r="Q217" s="135"/>
      <c r="R217" s="136" t="s">
        <v>7640</v>
      </c>
      <c r="S217" s="136" t="s">
        <v>7641</v>
      </c>
      <c r="T217" s="135"/>
      <c r="U217" s="181">
        <v>1290</v>
      </c>
      <c r="V217" s="136" t="s">
        <v>7635</v>
      </c>
      <c r="W217" s="136" t="s">
        <v>7636</v>
      </c>
      <c r="X217" s="136" t="s">
        <v>7637</v>
      </c>
      <c r="Y217" s="135"/>
      <c r="Z217" s="138" t="s">
        <v>7638</v>
      </c>
      <c r="AA217" s="135"/>
      <c r="AB217" s="135"/>
      <c r="AC217" s="135"/>
      <c r="AD217" s="135"/>
      <c r="AE217" s="135"/>
      <c r="AF217" s="135"/>
      <c r="AG217" s="135"/>
      <c r="AH217" s="135"/>
      <c r="AI217" s="135"/>
      <c r="AJ217" s="135"/>
      <c r="AK217" s="135"/>
      <c r="AL217" s="135"/>
      <c r="AM217" s="135"/>
      <c r="AN217" s="135"/>
      <c r="AO217" s="135"/>
      <c r="AP217" s="135"/>
      <c r="AQ217" s="135"/>
      <c r="AR217" s="135"/>
      <c r="AS217" s="135"/>
      <c r="AT217" s="135"/>
      <c r="AU217" s="135"/>
      <c r="AV217" s="135"/>
      <c r="AW217" s="135"/>
      <c r="AX217" s="135"/>
      <c r="AY217" s="135"/>
      <c r="AZ217" s="135"/>
      <c r="BA217" s="135"/>
    </row>
    <row r="218" spans="1:72" ht="14.25" customHeight="1" x14ac:dyDescent="0.2">
      <c r="A218" s="136" t="s">
        <v>7135</v>
      </c>
      <c r="B218" s="138"/>
      <c r="C218" s="199" t="s">
        <v>7136</v>
      </c>
      <c r="D218" s="205" t="str">
        <f t="shared" si="8"/>
        <v>'-&gt; M4</v>
      </c>
      <c r="E218" s="135"/>
      <c r="F218" s="205" t="str">
        <f t="shared" si="9"/>
        <v>'-&gt; Mayson Lake - M4</v>
      </c>
      <c r="G218" s="142" t="str">
        <f t="shared" si="10"/>
        <v>'-&gt; 120.403278 W, 51.219111 N, Elev.   m</v>
      </c>
      <c r="H218" s="135"/>
      <c r="I218" s="135"/>
      <c r="J218" s="135"/>
      <c r="K218" s="135"/>
      <c r="L218" s="135"/>
      <c r="M218" s="306">
        <v>51.219110999999998</v>
      </c>
      <c r="N218" s="136">
        <v>-120.403278</v>
      </c>
      <c r="O218" s="136" t="s">
        <v>7631</v>
      </c>
      <c r="P218" s="136" t="s">
        <v>7642</v>
      </c>
      <c r="Q218" s="135"/>
      <c r="R218" s="136" t="s">
        <v>7643</v>
      </c>
      <c r="S218" s="136" t="s">
        <v>7644</v>
      </c>
      <c r="T218" s="135"/>
      <c r="U218" s="136" t="s">
        <v>7645</v>
      </c>
      <c r="V218" s="136" t="s">
        <v>7635</v>
      </c>
      <c r="W218" s="136" t="s">
        <v>7636</v>
      </c>
      <c r="X218" s="136" t="s">
        <v>7637</v>
      </c>
      <c r="Y218" s="135"/>
      <c r="Z218" s="138" t="s">
        <v>7638</v>
      </c>
      <c r="AA218" s="135"/>
      <c r="AB218" s="135"/>
      <c r="AC218" s="135"/>
      <c r="AD218" s="135"/>
      <c r="AE218" s="135"/>
      <c r="AF218" s="135"/>
      <c r="AG218" s="135"/>
      <c r="AH218" s="135"/>
      <c r="AI218" s="135"/>
      <c r="AJ218" s="135"/>
      <c r="AK218" s="135"/>
      <c r="AL218" s="135"/>
      <c r="AM218" s="135"/>
      <c r="AN218" s="135"/>
      <c r="AO218" s="135"/>
      <c r="AP218" s="135"/>
      <c r="AQ218" s="135"/>
      <c r="AR218" s="135"/>
      <c r="AS218" s="135"/>
      <c r="AT218" s="135"/>
      <c r="AU218" s="135"/>
      <c r="AV218" s="135"/>
      <c r="AW218" s="135"/>
      <c r="AX218" s="135"/>
      <c r="AY218" s="135"/>
      <c r="AZ218" s="135"/>
      <c r="BA218" s="135"/>
    </row>
    <row r="219" spans="1:72" ht="14.25" customHeight="1" x14ac:dyDescent="0.2">
      <c r="A219" s="136" t="s">
        <v>7135</v>
      </c>
      <c r="B219" s="138"/>
      <c r="C219" s="149" t="s">
        <v>7136</v>
      </c>
      <c r="D219" s="142" t="str">
        <f t="shared" si="8"/>
        <v>'-&gt; M5</v>
      </c>
      <c r="E219" s="135"/>
      <c r="F219" s="142" t="str">
        <f t="shared" si="9"/>
        <v>'-&gt; Mayson Lake - M5</v>
      </c>
      <c r="G219" s="142" t="str">
        <f t="shared" si="10"/>
        <v>'-&gt; 120.412222 W, 51.212361 N, Elev. 1314 m</v>
      </c>
      <c r="H219" s="135"/>
      <c r="I219" s="289"/>
      <c r="J219" s="135"/>
      <c r="K219" s="135"/>
      <c r="L219" s="135"/>
      <c r="M219" s="181">
        <v>51.212361000000001</v>
      </c>
      <c r="N219" s="136">
        <v>-120.412222</v>
      </c>
      <c r="O219" s="136" t="s">
        <v>7631</v>
      </c>
      <c r="P219" s="136" t="s">
        <v>7646</v>
      </c>
      <c r="Q219" s="135"/>
      <c r="R219" s="136" t="s">
        <v>7647</v>
      </c>
      <c r="S219" s="136" t="s">
        <v>7648</v>
      </c>
      <c r="T219" s="135"/>
      <c r="U219" s="181">
        <v>1314</v>
      </c>
      <c r="V219" s="136" t="s">
        <v>7649</v>
      </c>
      <c r="W219" s="136" t="s">
        <v>7636</v>
      </c>
      <c r="X219" s="136" t="s">
        <v>7637</v>
      </c>
      <c r="Y219" s="135"/>
      <c r="Z219" s="138" t="s">
        <v>7638</v>
      </c>
      <c r="AA219" s="135"/>
      <c r="AB219" s="135"/>
      <c r="AC219" s="135"/>
      <c r="AD219" s="135"/>
      <c r="AE219" s="135"/>
      <c r="AF219" s="135"/>
      <c r="AG219" s="135"/>
      <c r="AH219" s="135"/>
      <c r="AI219" s="135"/>
      <c r="AJ219" s="135"/>
      <c r="AK219" s="135"/>
      <c r="AL219" s="135"/>
      <c r="AM219" s="135"/>
      <c r="AN219" s="135"/>
      <c r="AO219" s="135"/>
      <c r="AP219" s="135"/>
      <c r="AQ219" s="135"/>
      <c r="AR219" s="135"/>
      <c r="AS219" s="135"/>
      <c r="AT219" s="135"/>
      <c r="AU219" s="135"/>
      <c r="AV219" s="135"/>
      <c r="AW219" s="135"/>
      <c r="AX219" s="135"/>
      <c r="AY219" s="135"/>
      <c r="AZ219" s="135"/>
      <c r="BA219" s="135"/>
    </row>
    <row r="220" spans="1:72" ht="14.25" customHeight="1" x14ac:dyDescent="0.2">
      <c r="A220" s="136" t="s">
        <v>7135</v>
      </c>
      <c r="B220" s="138"/>
      <c r="C220" s="199" t="s">
        <v>7136</v>
      </c>
      <c r="D220" s="205" t="str">
        <f t="shared" si="8"/>
        <v>'-&gt; M8</v>
      </c>
      <c r="E220" s="135"/>
      <c r="F220" s="205" t="str">
        <f t="shared" si="9"/>
        <v>'-&gt; Mayson Lake - M8</v>
      </c>
      <c r="G220" s="142" t="str">
        <f t="shared" si="10"/>
        <v>'-&gt; 120.384583 W, 51.022475 N, Elev. 1270 m</v>
      </c>
      <c r="H220" s="135"/>
      <c r="I220" s="135"/>
      <c r="J220" s="135"/>
      <c r="K220" s="135"/>
      <c r="L220" s="135"/>
      <c r="M220" s="136">
        <v>51.022475</v>
      </c>
      <c r="N220" s="136">
        <v>-120.38458300000001</v>
      </c>
      <c r="O220" s="136" t="s">
        <v>7631</v>
      </c>
      <c r="P220" s="136" t="s">
        <v>7650</v>
      </c>
      <c r="Q220" s="135"/>
      <c r="R220" s="136" t="s">
        <v>7651</v>
      </c>
      <c r="S220" s="136" t="s">
        <v>7652</v>
      </c>
      <c r="T220" s="135"/>
      <c r="U220" s="136">
        <v>1270</v>
      </c>
      <c r="V220" s="136" t="s">
        <v>7653</v>
      </c>
      <c r="W220" s="136" t="s">
        <v>7636</v>
      </c>
      <c r="X220" s="136" t="s">
        <v>7637</v>
      </c>
      <c r="Y220" s="135"/>
      <c r="Z220" s="138" t="s">
        <v>7638</v>
      </c>
      <c r="AA220" s="135"/>
      <c r="AB220" s="135"/>
      <c r="AC220" s="135"/>
      <c r="AD220" s="135"/>
      <c r="AE220" s="135"/>
      <c r="AF220" s="135"/>
      <c r="AG220" s="135"/>
      <c r="AH220" s="135"/>
      <c r="AI220" s="135"/>
      <c r="AJ220" s="135"/>
      <c r="AK220" s="135"/>
      <c r="AL220" s="135"/>
      <c r="AM220" s="135"/>
      <c r="AN220" s="135"/>
      <c r="AO220" s="135"/>
      <c r="AP220" s="135"/>
      <c r="AQ220" s="135"/>
      <c r="AR220" s="135"/>
      <c r="AS220" s="135"/>
      <c r="AT220" s="135"/>
      <c r="AU220" s="135"/>
      <c r="AV220" s="135"/>
      <c r="AW220" s="135"/>
      <c r="AX220" s="135"/>
      <c r="AY220" s="135"/>
      <c r="AZ220" s="135"/>
      <c r="BA220" s="135"/>
    </row>
    <row r="221" spans="1:72" ht="14.25" customHeight="1" x14ac:dyDescent="0.2">
      <c r="A221" s="136" t="s">
        <v>7135</v>
      </c>
      <c r="B221" s="9"/>
      <c r="C221" s="200" t="s">
        <v>7654</v>
      </c>
      <c r="D221" s="200" t="s">
        <v>7655</v>
      </c>
      <c r="F221" s="200" t="s">
        <v>7656</v>
      </c>
      <c r="G221" s="10" t="s">
        <v>7657</v>
      </c>
      <c r="M221" s="192"/>
      <c r="N221" s="192"/>
      <c r="O221" s="192"/>
      <c r="P221" s="192"/>
      <c r="Q221" s="192"/>
      <c r="R221" s="192"/>
      <c r="S221" s="192"/>
      <c r="T221" s="192"/>
      <c r="U221" s="192"/>
      <c r="Y221" s="9"/>
      <c r="Z221" s="192"/>
      <c r="AA221" s="192"/>
    </row>
    <row r="222" spans="1:72" ht="14.25" customHeight="1" x14ac:dyDescent="0.2">
      <c r="A222" s="136" t="s">
        <v>5043</v>
      </c>
      <c r="B222" s="4">
        <v>9</v>
      </c>
      <c r="C222" s="201" t="s">
        <v>5039</v>
      </c>
      <c r="D222" s="201" t="s">
        <v>5044</v>
      </c>
      <c r="E222" s="4">
        <v>2633</v>
      </c>
      <c r="F222" s="4" t="s">
        <v>5045</v>
      </c>
      <c r="G222" s="188" t="s">
        <v>5046</v>
      </c>
      <c r="H222" s="4" t="s">
        <v>5047</v>
      </c>
      <c r="I222" s="4" t="s">
        <v>641</v>
      </c>
      <c r="J222" s="4" t="s">
        <v>5048</v>
      </c>
      <c r="K222" s="4">
        <v>1</v>
      </c>
      <c r="L222" s="4">
        <v>3036</v>
      </c>
      <c r="M222" s="203"/>
      <c r="N222" s="192"/>
      <c r="U222"/>
      <c r="V222" s="9"/>
      <c r="W222" s="9"/>
      <c r="X222" s="9"/>
      <c r="Y222" s="9"/>
      <c r="Z222" s="70"/>
      <c r="AA222" s="9"/>
      <c r="AB222" s="11"/>
      <c r="AC222" s="9"/>
      <c r="AK222" s="9"/>
    </row>
    <row r="223" spans="1:72" ht="14.25" customHeight="1" x14ac:dyDescent="0.2">
      <c r="A223" s="136" t="s">
        <v>5043</v>
      </c>
      <c r="B223" s="4">
        <v>9</v>
      </c>
      <c r="C223" s="201" t="s">
        <v>5039</v>
      </c>
      <c r="D223" s="201" t="s">
        <v>5398</v>
      </c>
      <c r="E223" s="4">
        <v>12610</v>
      </c>
      <c r="F223" s="290" t="s">
        <v>5399</v>
      </c>
      <c r="G223" s="290" t="s">
        <v>5400</v>
      </c>
      <c r="H223" s="4" t="s">
        <v>5401</v>
      </c>
      <c r="I223" s="4" t="s">
        <v>49</v>
      </c>
      <c r="J223" s="4" t="s">
        <v>5402</v>
      </c>
      <c r="K223" s="4">
        <v>1</v>
      </c>
      <c r="L223" s="4">
        <v>14632</v>
      </c>
      <c r="M223" s="27"/>
      <c r="N223" s="182"/>
      <c r="O223" s="182"/>
      <c r="P223" s="182"/>
      <c r="Q223" s="182"/>
      <c r="R223" s="182"/>
      <c r="S223" s="182"/>
      <c r="T223" s="182"/>
      <c r="U223" s="182"/>
      <c r="V223" s="182"/>
      <c r="W223" s="182"/>
      <c r="X223" s="182"/>
      <c r="Y223" s="182"/>
      <c r="Z223" s="182"/>
      <c r="AA223" s="182"/>
      <c r="AB223" s="182"/>
      <c r="AC223" s="182"/>
      <c r="AD223" s="182"/>
      <c r="AE223" s="182"/>
      <c r="AF223" s="182"/>
      <c r="AG223" s="182"/>
      <c r="AH223" s="182"/>
      <c r="AI223" s="182"/>
      <c r="AJ223" s="182"/>
      <c r="AK223" s="27"/>
      <c r="AL223" s="182"/>
      <c r="AM223" s="182"/>
      <c r="AN223" s="182"/>
      <c r="AO223" s="27"/>
      <c r="AP223" s="182"/>
      <c r="AQ223" s="182"/>
      <c r="AR223" s="182"/>
      <c r="AS223" s="182"/>
      <c r="AT223" s="182"/>
      <c r="AU223" s="182"/>
      <c r="AV223" s="182"/>
      <c r="AW223" s="182"/>
      <c r="AX223" s="182"/>
      <c r="AY223" s="182"/>
      <c r="AZ223" s="182"/>
      <c r="BA223" s="182"/>
      <c r="BB223" s="182"/>
      <c r="BC223" s="182"/>
      <c r="BD223" s="182"/>
      <c r="BE223" s="182"/>
      <c r="BF223" s="182"/>
      <c r="BG223" s="182"/>
      <c r="BH223" s="182"/>
      <c r="BI223" s="182"/>
      <c r="BJ223" s="182"/>
      <c r="BK223" s="182"/>
      <c r="BL223" s="182"/>
      <c r="BM223" s="182"/>
      <c r="BN223" s="182"/>
      <c r="BO223" s="182"/>
      <c r="BP223" s="182"/>
      <c r="BQ223" s="182"/>
      <c r="BR223" s="182"/>
      <c r="BS223" s="182"/>
      <c r="BT223" s="182"/>
    </row>
    <row r="224" spans="1:72" ht="14.25" customHeight="1" x14ac:dyDescent="0.2">
      <c r="A224" s="136" t="s">
        <v>5043</v>
      </c>
      <c r="B224" s="4">
        <v>9</v>
      </c>
      <c r="C224" s="201" t="s">
        <v>5039</v>
      </c>
      <c r="D224" s="201" t="s">
        <v>5403</v>
      </c>
      <c r="E224" s="4">
        <v>12608</v>
      </c>
      <c r="F224" s="36" t="s">
        <v>5404</v>
      </c>
      <c r="G224" s="36" t="s">
        <v>5405</v>
      </c>
      <c r="H224" s="4" t="s">
        <v>5397</v>
      </c>
      <c r="I224" s="4" t="s">
        <v>49</v>
      </c>
      <c r="J224" s="4" t="s">
        <v>5402</v>
      </c>
      <c r="K224" s="4">
        <v>1</v>
      </c>
      <c r="L224" s="4">
        <v>14630</v>
      </c>
      <c r="M224" s="27"/>
      <c r="N224" s="182"/>
      <c r="O224" s="182"/>
      <c r="P224" s="182"/>
      <c r="Q224" s="182"/>
      <c r="R224" s="182"/>
      <c r="S224" s="182"/>
      <c r="T224" s="182"/>
      <c r="U224" s="182"/>
      <c r="V224" s="182"/>
      <c r="W224" s="182"/>
      <c r="X224" s="182"/>
      <c r="Y224" s="182"/>
      <c r="Z224" s="182"/>
      <c r="AA224" s="182"/>
      <c r="AB224" s="182"/>
      <c r="AC224" s="182"/>
      <c r="AD224" s="182"/>
      <c r="AE224" s="182"/>
      <c r="AF224" s="182"/>
      <c r="AG224" s="182"/>
      <c r="AH224" s="182"/>
      <c r="AI224" s="182"/>
      <c r="AJ224" s="182"/>
      <c r="AK224" s="27"/>
      <c r="AL224" s="182"/>
      <c r="AM224" s="182"/>
      <c r="AN224" s="182"/>
      <c r="AO224" s="182"/>
      <c r="AP224" s="182"/>
      <c r="AQ224" s="182"/>
      <c r="AR224" s="182"/>
      <c r="AS224" s="182"/>
      <c r="AT224" s="182"/>
      <c r="AU224" s="182"/>
      <c r="AV224" s="182"/>
      <c r="AW224" s="182"/>
      <c r="AX224" s="182"/>
      <c r="AY224" s="182"/>
      <c r="AZ224" s="182"/>
      <c r="BA224" s="182"/>
      <c r="BB224" s="182"/>
      <c r="BC224" s="182"/>
      <c r="BD224" s="182"/>
      <c r="BE224" s="182"/>
      <c r="BF224" s="182"/>
      <c r="BG224" s="182"/>
      <c r="BH224" s="182"/>
      <c r="BI224" s="182"/>
      <c r="BJ224" s="182"/>
      <c r="BK224" s="182"/>
      <c r="BL224" s="182"/>
      <c r="BM224" s="182"/>
      <c r="BN224" s="182"/>
      <c r="BO224" s="182"/>
      <c r="BP224" s="182"/>
      <c r="BQ224" s="182"/>
      <c r="BR224" s="182"/>
      <c r="BS224" s="182"/>
      <c r="BT224" s="182"/>
    </row>
    <row r="225" spans="1:72" ht="14.25" customHeight="1" x14ac:dyDescent="0.2">
      <c r="A225" s="136" t="s">
        <v>5043</v>
      </c>
      <c r="B225" s="4">
        <v>9</v>
      </c>
      <c r="C225" s="201" t="s">
        <v>5039</v>
      </c>
      <c r="D225" s="201" t="s">
        <v>5469</v>
      </c>
      <c r="E225" s="4">
        <v>12529</v>
      </c>
      <c r="F225" s="36" t="s">
        <v>5470</v>
      </c>
      <c r="G225" s="36" t="s">
        <v>5471</v>
      </c>
      <c r="H225" s="4" t="s">
        <v>5472</v>
      </c>
      <c r="I225" s="4" t="s">
        <v>49</v>
      </c>
      <c r="J225" s="4" t="s">
        <v>4983</v>
      </c>
      <c r="K225" s="4">
        <v>1</v>
      </c>
      <c r="L225" s="4">
        <v>14551</v>
      </c>
      <c r="M225" s="9"/>
      <c r="U225" s="182"/>
      <c r="V225" s="182"/>
      <c r="W225" s="182"/>
      <c r="X225" s="182"/>
      <c r="Y225" s="182"/>
      <c r="Z225" s="182"/>
      <c r="AA225" s="182"/>
      <c r="AB225" s="182"/>
      <c r="AC225" s="182"/>
      <c r="AD225" s="182"/>
      <c r="AE225" s="182"/>
      <c r="AF225" s="182"/>
      <c r="AG225" s="182"/>
      <c r="AH225" s="182"/>
      <c r="AI225" s="182"/>
      <c r="AJ225" s="182"/>
      <c r="AK225" s="27"/>
      <c r="AL225" s="182"/>
      <c r="AM225" s="182"/>
      <c r="AN225" s="182"/>
      <c r="AO225" s="182"/>
      <c r="AP225" s="182"/>
      <c r="AQ225" s="182"/>
      <c r="AR225" s="182"/>
      <c r="AS225" s="182"/>
      <c r="AT225" s="182"/>
      <c r="AU225" s="182"/>
      <c r="AV225" s="182"/>
      <c r="AW225" s="182"/>
      <c r="AX225" s="182"/>
      <c r="AY225" s="182"/>
      <c r="AZ225" s="182"/>
      <c r="BA225" s="182"/>
      <c r="BB225" s="182"/>
      <c r="BC225" s="182"/>
      <c r="BD225" s="182"/>
      <c r="BE225" s="182"/>
      <c r="BF225" s="182"/>
      <c r="BG225" s="182"/>
      <c r="BH225" s="182"/>
      <c r="BI225" s="182"/>
      <c r="BJ225" s="182"/>
      <c r="BK225" s="182"/>
      <c r="BL225" s="182"/>
      <c r="BM225" s="182"/>
      <c r="BN225" s="182"/>
      <c r="BO225" s="182"/>
      <c r="BP225" s="182"/>
      <c r="BQ225" s="182"/>
      <c r="BR225" s="182"/>
      <c r="BS225" s="182"/>
      <c r="BT225" s="182"/>
    </row>
    <row r="226" spans="1:72" ht="14.25" customHeight="1" x14ac:dyDescent="0.2">
      <c r="A226" s="136" t="s">
        <v>5043</v>
      </c>
      <c r="B226" s="4">
        <v>9</v>
      </c>
      <c r="C226" s="201" t="s">
        <v>5039</v>
      </c>
      <c r="D226" s="201" t="s">
        <v>5498</v>
      </c>
      <c r="E226" s="4">
        <v>12538</v>
      </c>
      <c r="F226" s="201" t="s">
        <v>5499</v>
      </c>
      <c r="G226" s="8" t="s">
        <v>5500</v>
      </c>
      <c r="H226" s="4" t="s">
        <v>5397</v>
      </c>
      <c r="I226" s="4" t="s">
        <v>49</v>
      </c>
      <c r="J226" s="4" t="s">
        <v>4983</v>
      </c>
      <c r="K226" s="4">
        <v>1</v>
      </c>
      <c r="L226" s="4">
        <v>14560</v>
      </c>
      <c r="M226" s="9"/>
      <c r="U226"/>
      <c r="AK226" s="9"/>
    </row>
    <row r="227" spans="1:72" ht="14.25" customHeight="1" x14ac:dyDescent="0.2">
      <c r="A227" s="136" t="s">
        <v>5043</v>
      </c>
      <c r="B227" s="4">
        <v>9</v>
      </c>
      <c r="C227" s="201" t="s">
        <v>5039</v>
      </c>
      <c r="D227" s="201" t="s">
        <v>5534</v>
      </c>
      <c r="E227" s="4">
        <v>12602</v>
      </c>
      <c r="F227" s="201" t="s">
        <v>5535</v>
      </c>
      <c r="G227" s="8" t="s">
        <v>5536</v>
      </c>
      <c r="H227" s="4" t="s">
        <v>5397</v>
      </c>
      <c r="I227" s="4" t="s">
        <v>49</v>
      </c>
      <c r="J227" s="4" t="s">
        <v>5402</v>
      </c>
      <c r="K227" s="4">
        <v>1</v>
      </c>
      <c r="L227" s="4">
        <v>14624</v>
      </c>
      <c r="M227" s="9"/>
      <c r="U227"/>
      <c r="AK227" s="9"/>
      <c r="AO227" s="9"/>
    </row>
    <row r="228" spans="1:72" ht="14.25" customHeight="1" x14ac:dyDescent="0.2">
      <c r="A228" s="136" t="s">
        <v>5043</v>
      </c>
      <c r="B228" s="4">
        <v>9</v>
      </c>
      <c r="C228" s="201" t="s">
        <v>5039</v>
      </c>
      <c r="D228" s="201" t="s">
        <v>5580</v>
      </c>
      <c r="E228" s="4">
        <v>12607</v>
      </c>
      <c r="F228" s="201" t="s">
        <v>5581</v>
      </c>
      <c r="G228" s="8" t="s">
        <v>5582</v>
      </c>
      <c r="H228" s="4" t="s">
        <v>5397</v>
      </c>
      <c r="I228" s="4" t="s">
        <v>49</v>
      </c>
      <c r="J228" s="4" t="s">
        <v>5402</v>
      </c>
      <c r="K228" s="4">
        <v>1</v>
      </c>
      <c r="L228" s="4">
        <v>14629</v>
      </c>
      <c r="M228" s="9"/>
      <c r="U228"/>
      <c r="AK228" s="9"/>
    </row>
    <row r="229" spans="1:72" ht="14.25" customHeight="1" x14ac:dyDescent="0.2">
      <c r="A229" s="136" t="s">
        <v>5043</v>
      </c>
      <c r="B229" s="4">
        <v>9</v>
      </c>
      <c r="C229" s="201" t="s">
        <v>5039</v>
      </c>
      <c r="D229" s="201" t="s">
        <v>5627</v>
      </c>
      <c r="E229" s="4">
        <v>12583</v>
      </c>
      <c r="F229" s="201" t="s">
        <v>5628</v>
      </c>
      <c r="G229" s="188" t="s">
        <v>5629</v>
      </c>
      <c r="H229" s="4" t="s">
        <v>5397</v>
      </c>
      <c r="I229" s="4" t="s">
        <v>49</v>
      </c>
      <c r="J229" s="4" t="s">
        <v>4983</v>
      </c>
      <c r="K229" s="4">
        <v>1</v>
      </c>
      <c r="L229" s="4">
        <v>14605</v>
      </c>
      <c r="M229" s="9"/>
      <c r="U229"/>
      <c r="AK229" s="9"/>
    </row>
    <row r="230" spans="1:72" ht="14.25" customHeight="1" x14ac:dyDescent="0.2">
      <c r="A230" s="136" t="s">
        <v>5043</v>
      </c>
      <c r="B230" s="4">
        <v>9</v>
      </c>
      <c r="C230" s="201" t="s">
        <v>5279</v>
      </c>
      <c r="D230" s="201" t="s">
        <v>5664</v>
      </c>
      <c r="E230" s="4">
        <v>12213</v>
      </c>
      <c r="F230" s="196" t="s">
        <v>5665</v>
      </c>
      <c r="G230" s="188" t="s">
        <v>5666</v>
      </c>
      <c r="H230" s="4" t="s">
        <v>5220</v>
      </c>
      <c r="I230" s="4" t="s">
        <v>641</v>
      </c>
      <c r="J230" s="4" t="s">
        <v>5667</v>
      </c>
      <c r="K230" s="4">
        <v>1</v>
      </c>
      <c r="L230" s="4">
        <v>14268</v>
      </c>
      <c r="M230" s="27"/>
      <c r="N230" s="182"/>
      <c r="O230" s="182"/>
      <c r="P230" s="182"/>
      <c r="Q230" s="182"/>
      <c r="R230" s="182"/>
      <c r="S230" s="182"/>
      <c r="T230" s="182"/>
      <c r="U230" s="182"/>
      <c r="V230" s="182"/>
      <c r="W230" s="182"/>
      <c r="X230" s="182"/>
      <c r="Y230" s="182"/>
      <c r="Z230" s="182"/>
      <c r="AA230" s="182"/>
      <c r="AB230" s="182"/>
      <c r="AC230" s="182"/>
      <c r="AD230" s="182"/>
      <c r="AE230" s="182"/>
      <c r="AF230" s="182"/>
      <c r="AG230" s="182"/>
      <c r="AH230" s="182"/>
      <c r="AI230" s="182"/>
      <c r="AJ230" s="182"/>
      <c r="AK230" s="27"/>
      <c r="AL230" s="182"/>
      <c r="AM230" s="182"/>
      <c r="AN230" s="182"/>
      <c r="AO230" s="182"/>
      <c r="AP230" s="182"/>
      <c r="AQ230" s="182"/>
      <c r="AR230" s="182"/>
      <c r="AS230" s="182"/>
      <c r="AT230" s="182"/>
      <c r="AU230" s="182"/>
      <c r="AV230" s="182"/>
      <c r="AW230" s="182"/>
      <c r="AX230" s="182"/>
      <c r="AY230" s="182"/>
      <c r="AZ230" s="182"/>
      <c r="BA230" s="182"/>
      <c r="BB230" s="182"/>
      <c r="BC230" s="182"/>
      <c r="BD230" s="182"/>
      <c r="BE230" s="182"/>
      <c r="BF230" s="182"/>
      <c r="BG230" s="182"/>
      <c r="BH230" s="182"/>
      <c r="BI230" s="182"/>
      <c r="BJ230" s="182"/>
      <c r="BK230" s="182"/>
      <c r="BL230" s="182"/>
      <c r="BM230" s="182"/>
      <c r="BN230" s="182"/>
      <c r="BO230" s="182"/>
      <c r="BP230" s="182"/>
      <c r="BQ230" s="182"/>
      <c r="BR230" s="182"/>
      <c r="BS230" s="182"/>
      <c r="BT230" s="182"/>
    </row>
    <row r="231" spans="1:72" ht="14.25" customHeight="1" x14ac:dyDescent="0.2">
      <c r="A231" s="136" t="s">
        <v>5043</v>
      </c>
      <c r="B231" s="4">
        <v>9</v>
      </c>
      <c r="C231" s="201" t="s">
        <v>5039</v>
      </c>
      <c r="D231" s="4" t="s">
        <v>5859</v>
      </c>
      <c r="E231" s="4">
        <v>2632</v>
      </c>
      <c r="F231" s="196" t="s">
        <v>5860</v>
      </c>
      <c r="G231" s="188" t="s">
        <v>5861</v>
      </c>
      <c r="H231" s="4" t="s">
        <v>5862</v>
      </c>
      <c r="I231" s="4" t="s">
        <v>641</v>
      </c>
      <c r="J231" s="4" t="s">
        <v>5048</v>
      </c>
      <c r="K231" s="4">
        <v>1</v>
      </c>
      <c r="L231" s="4">
        <v>3035</v>
      </c>
      <c r="M231" s="27"/>
      <c r="N231" s="182"/>
      <c r="O231" s="182"/>
      <c r="P231" s="182"/>
      <c r="Q231" s="182"/>
      <c r="R231" s="182"/>
      <c r="S231" s="182"/>
      <c r="T231" s="182"/>
      <c r="U231" s="182"/>
      <c r="V231" s="182"/>
      <c r="W231" s="182"/>
      <c r="X231" s="182"/>
      <c r="Y231" s="182"/>
      <c r="Z231" s="182"/>
      <c r="AA231" s="182"/>
      <c r="AB231" s="182"/>
      <c r="AC231" s="182"/>
      <c r="AD231" s="182"/>
      <c r="AE231" s="182"/>
      <c r="AF231" s="182"/>
      <c r="AG231" s="182"/>
      <c r="AH231" s="182"/>
      <c r="AI231" s="182"/>
      <c r="AJ231" s="182"/>
      <c r="AK231" s="27"/>
      <c r="AL231" s="182"/>
      <c r="AM231" s="182"/>
      <c r="AN231" s="182"/>
      <c r="AO231" s="182"/>
      <c r="AP231" s="182"/>
      <c r="AQ231" s="182"/>
      <c r="AR231" s="182"/>
      <c r="AS231" s="182"/>
      <c r="AT231" s="182"/>
      <c r="AU231" s="182"/>
      <c r="AV231" s="182"/>
      <c r="AW231" s="182"/>
      <c r="AX231" s="182"/>
      <c r="AY231" s="182"/>
      <c r="AZ231" s="182"/>
      <c r="BA231" s="182"/>
      <c r="BB231" s="182"/>
      <c r="BC231" s="182"/>
      <c r="BD231" s="182"/>
      <c r="BE231" s="182"/>
      <c r="BF231" s="182"/>
      <c r="BG231" s="182"/>
      <c r="BH231" s="182"/>
      <c r="BI231" s="182"/>
      <c r="BJ231" s="182"/>
      <c r="BK231" s="182"/>
      <c r="BL231" s="182"/>
      <c r="BM231" s="182"/>
      <c r="BN231" s="182"/>
      <c r="BO231" s="182"/>
      <c r="BP231" s="182"/>
      <c r="BQ231" s="182"/>
      <c r="BR231" s="182"/>
      <c r="BS231" s="182"/>
      <c r="BT231" s="182"/>
    </row>
    <row r="232" spans="1:72" ht="14.25" customHeight="1" x14ac:dyDescent="0.2">
      <c r="A232" s="136" t="s">
        <v>5043</v>
      </c>
      <c r="B232" s="4">
        <v>9</v>
      </c>
      <c r="C232" s="201" t="s">
        <v>5039</v>
      </c>
      <c r="D232" s="4" t="s">
        <v>5875</v>
      </c>
      <c r="E232" s="4">
        <v>1591</v>
      </c>
      <c r="F232" s="196" t="s">
        <v>5876</v>
      </c>
      <c r="G232" s="188" t="s">
        <v>5877</v>
      </c>
      <c r="H232" s="4" t="s">
        <v>5878</v>
      </c>
      <c r="I232" s="4" t="s">
        <v>641</v>
      </c>
      <c r="J232" s="4" t="s">
        <v>5048</v>
      </c>
      <c r="K232" s="4">
        <v>1</v>
      </c>
      <c r="L232" s="4">
        <v>1994</v>
      </c>
      <c r="M232" s="27"/>
      <c r="N232" s="182"/>
      <c r="O232" s="182"/>
      <c r="P232" s="182"/>
      <c r="Q232" s="182"/>
      <c r="R232" s="182"/>
      <c r="S232" s="182"/>
      <c r="T232" s="182"/>
      <c r="U232" s="182"/>
      <c r="V232" s="182"/>
      <c r="W232" s="182"/>
      <c r="X232" s="182"/>
      <c r="Y232" s="182"/>
      <c r="Z232" s="182"/>
      <c r="AA232" s="182"/>
      <c r="AB232" s="182"/>
      <c r="AC232" s="182"/>
      <c r="AD232" s="182"/>
      <c r="AE232" s="182"/>
      <c r="AF232" s="182"/>
      <c r="AG232" s="182"/>
      <c r="AH232" s="182"/>
      <c r="AI232" s="182"/>
      <c r="AJ232" s="182"/>
      <c r="AK232" s="27"/>
      <c r="AL232" s="182"/>
      <c r="AM232" s="182"/>
      <c r="AN232" s="182"/>
      <c r="AO232" s="182"/>
      <c r="AP232" s="182"/>
      <c r="AQ232" s="182"/>
      <c r="AR232" s="182"/>
      <c r="AS232" s="182"/>
      <c r="AT232" s="182"/>
      <c r="AU232" s="182"/>
      <c r="AV232" s="182"/>
      <c r="AW232" s="182"/>
      <c r="AX232" s="182"/>
      <c r="AY232" s="182"/>
      <c r="AZ232" s="182"/>
      <c r="BA232" s="182"/>
      <c r="BB232" s="182"/>
      <c r="BC232" s="182"/>
      <c r="BD232" s="182"/>
      <c r="BE232" s="182"/>
      <c r="BF232" s="182"/>
      <c r="BG232" s="182"/>
      <c r="BH232" s="182"/>
      <c r="BI232" s="182"/>
      <c r="BJ232" s="182"/>
      <c r="BK232" s="182"/>
      <c r="BL232" s="182"/>
      <c r="BM232" s="182"/>
      <c r="BN232" s="182"/>
      <c r="BO232" s="182"/>
      <c r="BP232" s="182"/>
      <c r="BQ232" s="182"/>
      <c r="BR232" s="182"/>
      <c r="BS232" s="182"/>
      <c r="BT232" s="182"/>
    </row>
    <row r="233" spans="1:72" ht="14.25" customHeight="1" x14ac:dyDescent="0.2">
      <c r="A233" s="136" t="s">
        <v>5043</v>
      </c>
      <c r="B233" s="4">
        <v>9</v>
      </c>
      <c r="C233" s="201" t="s">
        <v>5039</v>
      </c>
      <c r="D233" s="4" t="s">
        <v>5882</v>
      </c>
      <c r="E233" s="4">
        <v>1584</v>
      </c>
      <c r="F233" s="4" t="s">
        <v>5883</v>
      </c>
      <c r="G233" s="188" t="s">
        <v>5884</v>
      </c>
      <c r="H233" s="4" t="s">
        <v>5885</v>
      </c>
      <c r="I233" s="4" t="s">
        <v>641</v>
      </c>
      <c r="J233" s="4" t="s">
        <v>5048</v>
      </c>
      <c r="K233" s="4">
        <v>1</v>
      </c>
      <c r="L233" s="4">
        <v>1987</v>
      </c>
      <c r="M233" s="9"/>
      <c r="U233"/>
      <c r="AK233" s="9"/>
    </row>
    <row r="234" spans="1:72" ht="14.25" customHeight="1" x14ac:dyDescent="0.2">
      <c r="A234" s="136" t="s">
        <v>5043</v>
      </c>
      <c r="B234" s="4">
        <v>14</v>
      </c>
      <c r="C234" s="201" t="s">
        <v>6636</v>
      </c>
      <c r="D234" s="4" t="s">
        <v>6637</v>
      </c>
      <c r="E234" s="4">
        <v>2569</v>
      </c>
      <c r="F234" s="4" t="s">
        <v>6038</v>
      </c>
      <c r="G234" s="188" t="s">
        <v>6638</v>
      </c>
      <c r="H234" s="4" t="s">
        <v>6639</v>
      </c>
      <c r="I234" s="4" t="s">
        <v>1664</v>
      </c>
      <c r="J234" s="4" t="s">
        <v>6640</v>
      </c>
      <c r="K234" s="4">
        <v>1</v>
      </c>
      <c r="L234" s="4">
        <v>2972</v>
      </c>
      <c r="M234" s="231"/>
      <c r="N234" s="231"/>
      <c r="O234" s="240"/>
      <c r="R234" s="231"/>
      <c r="U234"/>
    </row>
    <row r="235" spans="1:72" ht="14.25" customHeight="1" x14ac:dyDescent="0.2">
      <c r="A235" s="136" t="s">
        <v>5043</v>
      </c>
      <c r="B235" s="4">
        <v>14</v>
      </c>
      <c r="C235" s="201" t="s">
        <v>6636</v>
      </c>
      <c r="D235" s="4" t="s">
        <v>6652</v>
      </c>
      <c r="E235" s="4">
        <v>2545</v>
      </c>
      <c r="F235" s="196" t="s">
        <v>6070</v>
      </c>
      <c r="G235" s="188" t="s">
        <v>6653</v>
      </c>
      <c r="H235" s="4" t="s">
        <v>6654</v>
      </c>
      <c r="I235" s="4" t="s">
        <v>1664</v>
      </c>
      <c r="J235" s="4" t="s">
        <v>5996</v>
      </c>
      <c r="K235" s="4">
        <v>1</v>
      </c>
      <c r="L235" s="4">
        <v>2948</v>
      </c>
      <c r="M235" s="27"/>
      <c r="N235" s="27"/>
      <c r="O235" s="27"/>
      <c r="P235" s="27"/>
      <c r="Q235" s="27"/>
      <c r="R235" s="27"/>
      <c r="S235" s="27"/>
      <c r="T235" s="27"/>
      <c r="U235" s="27"/>
      <c r="V235" s="27"/>
      <c r="W235" s="27"/>
      <c r="X235" s="27"/>
      <c r="Y235" s="27"/>
      <c r="Z235" s="27"/>
      <c r="AA235" s="27"/>
      <c r="AB235" s="27"/>
      <c r="AC235" s="27"/>
      <c r="AD235" s="27"/>
      <c r="AE235" s="27"/>
      <c r="AF235" s="27"/>
      <c r="AG235" s="27"/>
      <c r="AH235" s="27"/>
      <c r="AI235" s="27"/>
      <c r="AJ235" s="27"/>
      <c r="AK235" s="27"/>
      <c r="AL235" s="27"/>
      <c r="AM235" s="27"/>
      <c r="AN235" s="27"/>
      <c r="AO235" s="27"/>
      <c r="AP235" s="27"/>
      <c r="AQ235" s="27"/>
      <c r="AR235" s="27"/>
      <c r="AS235" s="27"/>
      <c r="AT235" s="27"/>
      <c r="AU235" s="27"/>
      <c r="AV235" s="27"/>
      <c r="AW235" s="27"/>
      <c r="AX235" s="27"/>
      <c r="AY235" s="27"/>
      <c r="AZ235" s="27"/>
      <c r="BA235" s="27"/>
      <c r="BB235" s="27"/>
      <c r="BC235" s="27"/>
      <c r="BD235" s="27"/>
      <c r="BE235" s="27"/>
      <c r="BF235" s="27"/>
      <c r="BG235" s="27"/>
      <c r="BH235" s="27"/>
      <c r="BI235" s="27"/>
      <c r="BJ235" s="27"/>
      <c r="BK235" s="27"/>
      <c r="BL235" s="27"/>
      <c r="BM235" s="27"/>
      <c r="BN235" s="27"/>
      <c r="BO235" s="27"/>
      <c r="BP235" s="27"/>
      <c r="BQ235" s="27"/>
      <c r="BR235" s="27"/>
      <c r="BS235" s="27"/>
      <c r="BT235" s="27"/>
    </row>
    <row r="236" spans="1:72" ht="14.25" customHeight="1" x14ac:dyDescent="0.2">
      <c r="A236" s="136" t="s">
        <v>5043</v>
      </c>
      <c r="B236" s="4">
        <v>14</v>
      </c>
      <c r="C236" s="201" t="s">
        <v>6636</v>
      </c>
      <c r="D236" s="4" t="s">
        <v>6707</v>
      </c>
      <c r="E236" s="4">
        <v>2532</v>
      </c>
      <c r="F236" s="196" t="s">
        <v>6708</v>
      </c>
      <c r="G236" s="188" t="s">
        <v>6709</v>
      </c>
      <c r="H236" s="4" t="s">
        <v>6710</v>
      </c>
      <c r="I236" s="4" t="s">
        <v>1664</v>
      </c>
      <c r="J236" s="4" t="s">
        <v>6711</v>
      </c>
      <c r="K236" s="4">
        <v>1</v>
      </c>
      <c r="L236" s="4">
        <v>2935</v>
      </c>
      <c r="U236" s="182"/>
      <c r="V236" s="182"/>
      <c r="W236" s="182"/>
      <c r="X236" s="182"/>
      <c r="Y236" s="182"/>
      <c r="Z236" s="182"/>
      <c r="AA236" s="182"/>
      <c r="AB236" s="182"/>
      <c r="AC236" s="182"/>
      <c r="AD236" s="182"/>
      <c r="AE236" s="182"/>
      <c r="AF236" s="182"/>
      <c r="AG236" s="182"/>
      <c r="AH236" s="182"/>
      <c r="AI236" s="182"/>
      <c r="AJ236" s="182"/>
      <c r="AK236" s="182"/>
      <c r="AL236" s="182"/>
      <c r="AM236" s="182"/>
      <c r="AN236" s="182"/>
      <c r="AO236" s="182"/>
      <c r="AP236" s="182"/>
      <c r="AQ236" s="182"/>
      <c r="AR236" s="182"/>
      <c r="AS236" s="182"/>
      <c r="AT236" s="182"/>
      <c r="AU236" s="182"/>
      <c r="AV236" s="182"/>
      <c r="AW236" s="182"/>
      <c r="AX236" s="182"/>
      <c r="AY236" s="182"/>
      <c r="AZ236" s="182"/>
      <c r="BA236" s="182"/>
      <c r="BB236" s="182"/>
      <c r="BC236" s="182"/>
      <c r="BD236" s="182"/>
      <c r="BE236" s="182"/>
      <c r="BF236" s="182"/>
      <c r="BG236" s="182"/>
      <c r="BH236" s="182"/>
      <c r="BI236" s="182"/>
      <c r="BJ236" s="182"/>
      <c r="BK236" s="182"/>
      <c r="BL236" s="182"/>
      <c r="BM236" s="182"/>
      <c r="BN236" s="182"/>
      <c r="BO236" s="182"/>
      <c r="BP236" s="182"/>
      <c r="BQ236" s="182"/>
      <c r="BR236" s="182"/>
      <c r="BS236" s="182"/>
      <c r="BT236" s="182"/>
    </row>
    <row r="237" spans="1:72" ht="14.25" customHeight="1" x14ac:dyDescent="0.2">
      <c r="A237" s="136" t="s">
        <v>5043</v>
      </c>
      <c r="B237" s="4">
        <v>14</v>
      </c>
      <c r="C237" s="201" t="s">
        <v>6636</v>
      </c>
      <c r="D237" s="4" t="s">
        <v>6721</v>
      </c>
      <c r="E237" s="4">
        <v>2551</v>
      </c>
      <c r="F237" s="4" t="s">
        <v>6234</v>
      </c>
      <c r="G237" s="188" t="s">
        <v>6722</v>
      </c>
      <c r="H237" s="4" t="s">
        <v>6723</v>
      </c>
      <c r="I237" s="4" t="s">
        <v>1664</v>
      </c>
      <c r="J237" s="4" t="s">
        <v>5996</v>
      </c>
      <c r="K237" s="4">
        <v>1</v>
      </c>
      <c r="L237" s="4">
        <v>2954</v>
      </c>
      <c r="M237" s="231"/>
      <c r="N237" s="231"/>
      <c r="O237" s="240"/>
      <c r="R237" s="231"/>
      <c r="U237" s="192"/>
    </row>
    <row r="238" spans="1:72" ht="14.25" customHeight="1" x14ac:dyDescent="0.2">
      <c r="A238" s="136" t="s">
        <v>5043</v>
      </c>
      <c r="B238" s="4">
        <v>14</v>
      </c>
      <c r="C238" s="201" t="s">
        <v>6636</v>
      </c>
      <c r="D238" s="4" t="s">
        <v>6762</v>
      </c>
      <c r="E238" s="4">
        <v>2521</v>
      </c>
      <c r="F238" s="196" t="s">
        <v>6322</v>
      </c>
      <c r="G238" s="188" t="s">
        <v>6763</v>
      </c>
      <c r="H238" s="4" t="s">
        <v>6764</v>
      </c>
      <c r="I238" s="4" t="s">
        <v>1664</v>
      </c>
      <c r="J238" s="4" t="s">
        <v>5996</v>
      </c>
      <c r="K238" s="4">
        <v>1</v>
      </c>
      <c r="L238" s="4">
        <v>2924</v>
      </c>
      <c r="M238" s="182"/>
      <c r="N238" s="182"/>
      <c r="O238" s="182"/>
      <c r="P238" s="182"/>
      <c r="Q238" s="182"/>
      <c r="R238" s="182"/>
      <c r="S238" s="182"/>
      <c r="T238" s="182"/>
      <c r="U238" s="182"/>
      <c r="V238" s="182"/>
      <c r="W238" s="182"/>
      <c r="X238" s="182"/>
      <c r="Y238" s="182"/>
      <c r="Z238" s="182"/>
      <c r="AA238" s="182"/>
      <c r="AB238" s="182"/>
      <c r="AC238" s="182"/>
      <c r="AD238" s="182"/>
      <c r="AE238" s="182"/>
      <c r="AF238" s="182"/>
      <c r="AG238" s="182"/>
      <c r="AH238" s="182"/>
      <c r="AI238" s="182"/>
      <c r="AJ238" s="182"/>
      <c r="AK238" s="182"/>
      <c r="AL238" s="182"/>
      <c r="AM238" s="182"/>
      <c r="AN238" s="182"/>
      <c r="AO238" s="182"/>
      <c r="AP238" s="182"/>
      <c r="AQ238" s="182"/>
      <c r="AR238" s="182"/>
      <c r="AS238" s="182"/>
      <c r="AT238" s="182"/>
      <c r="AU238" s="182"/>
      <c r="AV238" s="182"/>
      <c r="AW238" s="182"/>
      <c r="AX238" s="182"/>
      <c r="AY238" s="182"/>
      <c r="AZ238" s="182"/>
      <c r="BA238" s="182"/>
      <c r="BB238" s="182"/>
      <c r="BC238" s="182"/>
      <c r="BD238" s="182"/>
      <c r="BE238" s="182"/>
      <c r="BF238" s="182"/>
      <c r="BG238" s="182"/>
      <c r="BH238" s="182"/>
      <c r="BI238" s="182"/>
      <c r="BJ238" s="182"/>
      <c r="BK238" s="182"/>
      <c r="BL238" s="182"/>
      <c r="BM238" s="182"/>
      <c r="BN238" s="182"/>
      <c r="BO238" s="182"/>
      <c r="BP238" s="182"/>
      <c r="BQ238" s="182"/>
      <c r="BR238" s="182"/>
      <c r="BS238" s="182"/>
      <c r="BT238" s="182"/>
    </row>
    <row r="239" spans="1:72" ht="14.25" customHeight="1" x14ac:dyDescent="0.2">
      <c r="A239" s="136" t="s">
        <v>5043</v>
      </c>
      <c r="B239" s="4">
        <v>14</v>
      </c>
      <c r="C239" s="201" t="s">
        <v>6636</v>
      </c>
      <c r="D239" s="4" t="s">
        <v>6794</v>
      </c>
      <c r="E239" s="4">
        <v>2567</v>
      </c>
      <c r="F239" s="4" t="s">
        <v>6795</v>
      </c>
      <c r="G239" s="188" t="s">
        <v>6796</v>
      </c>
      <c r="H239" s="4" t="s">
        <v>6797</v>
      </c>
      <c r="I239" s="4" t="s">
        <v>1664</v>
      </c>
      <c r="J239" s="4" t="s">
        <v>6640</v>
      </c>
      <c r="K239" s="4">
        <v>1</v>
      </c>
      <c r="L239" s="4">
        <v>2970</v>
      </c>
      <c r="M239" s="27">
        <v>-120.0321667</v>
      </c>
      <c r="N239" s="27">
        <v>52.203666669999997</v>
      </c>
      <c r="O239" s="27">
        <v>1770</v>
      </c>
      <c r="P239" s="27" t="s">
        <v>6790</v>
      </c>
      <c r="Q239" s="96">
        <v>6</v>
      </c>
      <c r="R239" s="27" t="s">
        <v>6791</v>
      </c>
      <c r="S239" s="27" t="s">
        <v>6646</v>
      </c>
      <c r="T239" s="182"/>
      <c r="U239" s="182"/>
      <c r="V239" s="182"/>
      <c r="W239" s="182"/>
      <c r="X239" s="182"/>
      <c r="Y239" s="182"/>
      <c r="Z239" s="182"/>
      <c r="AA239" s="182"/>
      <c r="AB239" s="182"/>
      <c r="AC239" s="182"/>
      <c r="AD239" s="182"/>
      <c r="AE239" s="182"/>
      <c r="AF239" s="182"/>
      <c r="AG239" s="182"/>
      <c r="AH239" s="182"/>
      <c r="AI239" s="182"/>
      <c r="AJ239" s="182"/>
      <c r="AK239" s="182"/>
      <c r="AL239" s="182"/>
      <c r="AM239" s="182"/>
      <c r="AN239" s="182"/>
      <c r="AO239" s="182"/>
      <c r="AP239" s="182"/>
      <c r="AQ239" s="182"/>
      <c r="AR239" s="182"/>
      <c r="AS239" s="182"/>
      <c r="AT239" s="182"/>
      <c r="AU239" s="182"/>
      <c r="AV239" s="182"/>
      <c r="AW239" s="182"/>
      <c r="AX239" s="182"/>
      <c r="AY239" s="182"/>
      <c r="AZ239" s="182"/>
      <c r="BA239" s="182"/>
      <c r="BB239" s="182"/>
      <c r="BC239" s="182"/>
      <c r="BD239" s="182"/>
      <c r="BE239" s="182"/>
      <c r="BF239" s="182"/>
      <c r="BG239" s="182"/>
      <c r="BH239" s="182"/>
      <c r="BI239" s="182"/>
      <c r="BJ239" s="182"/>
      <c r="BK239" s="182"/>
      <c r="BL239" s="182"/>
      <c r="BM239" s="182"/>
      <c r="BN239" s="182"/>
      <c r="BO239" s="182"/>
      <c r="BP239" s="182"/>
      <c r="BQ239" s="182"/>
      <c r="BR239" s="182"/>
      <c r="BS239" s="182"/>
      <c r="BT239" s="182"/>
    </row>
    <row r="240" spans="1:72" ht="14.25" customHeight="1" x14ac:dyDescent="0.2">
      <c r="A240" s="136" t="s">
        <v>5043</v>
      </c>
      <c r="B240" s="4">
        <v>14</v>
      </c>
      <c r="C240" s="201" t="s">
        <v>6636</v>
      </c>
      <c r="D240" s="4" t="s">
        <v>6811</v>
      </c>
      <c r="E240" s="4">
        <v>2522</v>
      </c>
      <c r="F240" s="9" t="s">
        <v>6416</v>
      </c>
      <c r="G240" s="188" t="s">
        <v>6812</v>
      </c>
      <c r="H240" s="4" t="s">
        <v>6813</v>
      </c>
      <c r="I240" s="4" t="s">
        <v>1664</v>
      </c>
      <c r="J240" s="4" t="s">
        <v>5996</v>
      </c>
      <c r="K240" s="4">
        <v>1</v>
      </c>
      <c r="L240" s="4">
        <v>2925</v>
      </c>
      <c r="Q240" s="182"/>
      <c r="S240" s="182"/>
      <c r="T240" s="182"/>
      <c r="U240" s="182"/>
      <c r="V240" s="182"/>
      <c r="W240" s="27"/>
      <c r="X240" s="27"/>
      <c r="Y240" s="27"/>
      <c r="Z240" s="27"/>
      <c r="AA240" s="27"/>
      <c r="AB240" s="27"/>
      <c r="AC240" s="27"/>
      <c r="AD240" s="27"/>
      <c r="AE240" s="27"/>
      <c r="AF240" s="27"/>
      <c r="AG240" s="27"/>
      <c r="AH240" s="27"/>
      <c r="AI240" s="27"/>
      <c r="AJ240" s="27"/>
      <c r="AK240" s="27"/>
      <c r="AL240" s="27"/>
      <c r="AM240" s="27"/>
      <c r="AN240" s="27"/>
      <c r="AO240" s="27"/>
      <c r="AP240" s="27"/>
      <c r="AQ240" s="27"/>
      <c r="AR240" s="27"/>
      <c r="AS240" s="27"/>
      <c r="AT240" s="27"/>
      <c r="AU240" s="27"/>
      <c r="AV240" s="27"/>
      <c r="AW240" s="27"/>
      <c r="AX240" s="27"/>
      <c r="AY240" s="27"/>
      <c r="AZ240" s="27"/>
      <c r="BA240" s="27"/>
      <c r="BB240" s="27"/>
      <c r="BC240" s="27"/>
      <c r="BD240" s="27"/>
      <c r="BE240" s="27"/>
      <c r="BF240" s="27"/>
      <c r="BG240" s="27"/>
      <c r="BH240" s="27"/>
      <c r="BI240" s="27"/>
      <c r="BJ240" s="27"/>
      <c r="BK240" s="27"/>
      <c r="BL240" s="27"/>
      <c r="BM240" s="27"/>
      <c r="BN240" s="27"/>
      <c r="BO240" s="27"/>
      <c r="BP240" s="27"/>
      <c r="BQ240" s="27"/>
      <c r="BR240" s="27"/>
      <c r="BS240" s="27"/>
      <c r="BT240" s="27"/>
    </row>
    <row r="241" spans="1:72" ht="14.25" customHeight="1" x14ac:dyDescent="0.2">
      <c r="A241" s="136" t="s">
        <v>5043</v>
      </c>
      <c r="B241" s="4">
        <v>14</v>
      </c>
      <c r="C241" s="201" t="s">
        <v>6636</v>
      </c>
      <c r="D241" s="4" t="s">
        <v>6817</v>
      </c>
      <c r="E241" s="4">
        <v>2548</v>
      </c>
      <c r="F241" s="9" t="s">
        <v>6435</v>
      </c>
      <c r="G241" s="188" t="s">
        <v>6818</v>
      </c>
      <c r="H241" s="4" t="s">
        <v>6819</v>
      </c>
      <c r="I241" s="4" t="s">
        <v>1664</v>
      </c>
      <c r="J241" s="4" t="s">
        <v>5996</v>
      </c>
      <c r="K241" s="4">
        <v>1</v>
      </c>
      <c r="L241" s="4">
        <v>2951</v>
      </c>
      <c r="M241" s="34"/>
      <c r="N241" s="34"/>
      <c r="O241" s="35"/>
      <c r="P241" s="9"/>
      <c r="Q241" s="9"/>
      <c r="R241" s="34"/>
      <c r="S241" s="9"/>
      <c r="T241" s="9"/>
      <c r="U241" s="9"/>
      <c r="V241" s="9"/>
      <c r="W241" s="9"/>
      <c r="X241" s="9"/>
      <c r="Y241" s="9"/>
      <c r="Z241" s="9"/>
      <c r="AA241" s="9"/>
      <c r="AB241" s="9"/>
      <c r="AC241" s="9"/>
      <c r="AD241" s="9"/>
      <c r="AE241" s="9"/>
      <c r="AF241" s="9"/>
      <c r="AG241" s="9"/>
      <c r="AH241" s="9"/>
      <c r="AI241" s="9"/>
      <c r="AJ241" s="9"/>
      <c r="AK241" s="9"/>
      <c r="AL241" s="9"/>
      <c r="AM241" s="9"/>
      <c r="AN241" s="9"/>
      <c r="AO241" s="9"/>
      <c r="AP241" s="9"/>
      <c r="AQ241" s="9"/>
      <c r="AR241" s="9"/>
      <c r="AS241" s="9"/>
      <c r="AT241" s="9"/>
      <c r="AU241" s="9"/>
      <c r="AV241" s="9"/>
      <c r="AW241" s="9"/>
      <c r="AX241" s="9"/>
      <c r="AY241" s="9"/>
      <c r="AZ241" s="9"/>
      <c r="BA241" s="9"/>
      <c r="BB241" s="9"/>
      <c r="BC241" s="9"/>
      <c r="BD241" s="9"/>
      <c r="BE241" s="9"/>
      <c r="BF241" s="9"/>
      <c r="BG241" s="9"/>
      <c r="BH241" s="9"/>
      <c r="BI241" s="9"/>
      <c r="BJ241" s="9"/>
      <c r="BK241" s="9"/>
      <c r="BL241" s="9"/>
      <c r="BM241" s="9"/>
      <c r="BN241" s="9"/>
      <c r="BO241" s="9"/>
      <c r="BP241" s="9"/>
      <c r="BQ241" s="9"/>
      <c r="BR241" s="9"/>
      <c r="BS241" s="9"/>
      <c r="BT241" s="9"/>
    </row>
    <row r="242" spans="1:72" ht="14.25" customHeight="1" x14ac:dyDescent="0.2">
      <c r="A242" s="136" t="s">
        <v>5043</v>
      </c>
      <c r="B242" s="4">
        <v>14</v>
      </c>
      <c r="C242" s="201" t="s">
        <v>6636</v>
      </c>
      <c r="D242" s="4" t="s">
        <v>6820</v>
      </c>
      <c r="E242" s="4">
        <v>2547</v>
      </c>
      <c r="F242" s="196" t="s">
        <v>6435</v>
      </c>
      <c r="G242" s="188" t="s">
        <v>6821</v>
      </c>
      <c r="H242" s="4" t="s">
        <v>6822</v>
      </c>
      <c r="I242" s="4" t="s">
        <v>1664</v>
      </c>
      <c r="J242" s="4" t="s">
        <v>6672</v>
      </c>
      <c r="K242" s="4">
        <v>1</v>
      </c>
      <c r="L242" s="4">
        <v>2950</v>
      </c>
      <c r="M242" s="182"/>
      <c r="N242" s="182"/>
      <c r="O242" s="182"/>
      <c r="P242" s="182"/>
      <c r="Q242" s="182"/>
      <c r="R242" s="182"/>
      <c r="S242" s="182"/>
      <c r="T242" s="182"/>
      <c r="U242" s="182"/>
      <c r="V242" s="182"/>
      <c r="W242" s="182"/>
      <c r="X242" s="182"/>
      <c r="Y242" s="182"/>
      <c r="Z242" s="182"/>
      <c r="AA242" s="182"/>
      <c r="AB242" s="182"/>
      <c r="AC242" s="182"/>
      <c r="AD242" s="182"/>
      <c r="AE242" s="182"/>
      <c r="AF242" s="182"/>
      <c r="AG242" s="182"/>
      <c r="AH242" s="182"/>
      <c r="AI242" s="182"/>
      <c r="AJ242" s="182"/>
      <c r="AK242" s="182"/>
      <c r="AL242" s="182"/>
      <c r="AM242" s="182"/>
      <c r="AN242" s="182"/>
      <c r="AO242" s="182"/>
      <c r="AP242" s="182"/>
      <c r="AQ242" s="182"/>
      <c r="AR242" s="182"/>
      <c r="AS242" s="182"/>
      <c r="AT242" s="182"/>
      <c r="AU242" s="182"/>
      <c r="AV242" s="182"/>
      <c r="AW242" s="182"/>
      <c r="AX242" s="182"/>
      <c r="AY242" s="182"/>
      <c r="AZ242" s="182"/>
      <c r="BA242" s="182"/>
      <c r="BB242" s="182"/>
      <c r="BC242" s="182"/>
      <c r="BD242" s="182"/>
      <c r="BE242" s="182"/>
      <c r="BF242" s="182"/>
      <c r="BG242" s="182"/>
      <c r="BH242" s="182"/>
      <c r="BI242" s="182"/>
      <c r="BJ242" s="182"/>
      <c r="BK242" s="182"/>
      <c r="BL242" s="182"/>
      <c r="BM242" s="182"/>
      <c r="BN242" s="182"/>
      <c r="BO242" s="182"/>
      <c r="BP242" s="182"/>
      <c r="BQ242" s="182"/>
      <c r="BR242" s="182"/>
      <c r="BS242" s="182"/>
      <c r="BT242" s="182"/>
    </row>
    <row r="243" spans="1:72" ht="14.25" customHeight="1" x14ac:dyDescent="0.2">
      <c r="A243" s="136" t="s">
        <v>5043</v>
      </c>
      <c r="B243" s="4">
        <v>14</v>
      </c>
      <c r="C243" s="201" t="s">
        <v>6636</v>
      </c>
      <c r="D243" s="4" t="s">
        <v>6827</v>
      </c>
      <c r="E243" s="4">
        <v>2541</v>
      </c>
      <c r="F243" s="196" t="s">
        <v>6444</v>
      </c>
      <c r="G243" s="188" t="s">
        <v>6828</v>
      </c>
      <c r="H243" s="4" t="s">
        <v>6829</v>
      </c>
      <c r="I243" s="4" t="s">
        <v>1664</v>
      </c>
      <c r="J243" s="4" t="s">
        <v>5996</v>
      </c>
      <c r="K243" s="4">
        <v>1</v>
      </c>
      <c r="L243" s="4">
        <v>2944</v>
      </c>
      <c r="M243" s="182"/>
      <c r="N243" s="182"/>
      <c r="O243" s="182"/>
      <c r="P243" s="182"/>
      <c r="Q243" s="182"/>
      <c r="R243" s="182"/>
      <c r="S243" s="182"/>
      <c r="T243" s="182"/>
      <c r="U243" s="182"/>
      <c r="V243" s="182"/>
      <c r="W243" s="182"/>
      <c r="X243" s="182"/>
      <c r="Y243" s="182"/>
      <c r="Z243" s="182"/>
      <c r="AA243" s="182"/>
      <c r="AB243" s="182"/>
      <c r="AC243" s="182"/>
      <c r="AD243" s="182"/>
      <c r="AE243" s="182"/>
      <c r="AF243" s="182"/>
      <c r="AG243" s="182"/>
      <c r="AH243" s="182"/>
      <c r="AI243" s="182"/>
      <c r="AJ243" s="182"/>
      <c r="AK243" s="182"/>
      <c r="AL243" s="182"/>
      <c r="AM243" s="182"/>
      <c r="AN243" s="182"/>
      <c r="AO243" s="182"/>
      <c r="AP243" s="182"/>
      <c r="AQ243" s="182"/>
      <c r="AR243" s="182"/>
      <c r="AS243" s="182"/>
      <c r="AT243" s="182"/>
      <c r="AU243" s="182"/>
      <c r="AV243" s="182"/>
      <c r="AW243" s="182"/>
      <c r="AX243" s="182"/>
      <c r="AY243" s="182"/>
      <c r="AZ243" s="182"/>
      <c r="BA243" s="182"/>
      <c r="BB243" s="182"/>
      <c r="BC243" s="182"/>
      <c r="BD243" s="182"/>
      <c r="BE243" s="182"/>
      <c r="BF243" s="182"/>
      <c r="BG243" s="182"/>
      <c r="BH243" s="182"/>
      <c r="BI243" s="182"/>
      <c r="BJ243" s="182"/>
      <c r="BK243" s="182"/>
      <c r="BL243" s="182"/>
      <c r="BM243" s="182"/>
      <c r="BN243" s="182"/>
      <c r="BO243" s="182"/>
      <c r="BP243" s="182"/>
      <c r="BQ243" s="182"/>
      <c r="BR243" s="182"/>
      <c r="BS243" s="182"/>
      <c r="BT243" s="182"/>
    </row>
    <row r="244" spans="1:72" ht="14.25" customHeight="1" x14ac:dyDescent="0.2">
      <c r="A244" s="136" t="s">
        <v>5043</v>
      </c>
      <c r="B244" s="4">
        <v>14</v>
      </c>
      <c r="C244" s="201" t="s">
        <v>6636</v>
      </c>
      <c r="D244" s="4" t="s">
        <v>6859</v>
      </c>
      <c r="E244" s="4">
        <v>2565</v>
      </c>
      <c r="F244" s="4" t="s">
        <v>6495</v>
      </c>
      <c r="G244" s="188" t="s">
        <v>6860</v>
      </c>
      <c r="H244" s="4" t="s">
        <v>6861</v>
      </c>
      <c r="I244" s="4" t="s">
        <v>1664</v>
      </c>
      <c r="J244" s="4" t="s">
        <v>6640</v>
      </c>
      <c r="K244" s="4">
        <v>1</v>
      </c>
      <c r="L244" s="4">
        <v>2968</v>
      </c>
      <c r="M244" s="231"/>
      <c r="N244" s="231"/>
      <c r="O244" s="240"/>
      <c r="R244" s="231"/>
      <c r="U244"/>
    </row>
    <row r="245" spans="1:72" ht="14.25" customHeight="1" x14ac:dyDescent="0.2">
      <c r="A245" s="136" t="s">
        <v>5043</v>
      </c>
      <c r="B245" s="4">
        <v>14</v>
      </c>
      <c r="C245" s="201" t="s">
        <v>6636</v>
      </c>
      <c r="D245" s="4" t="s">
        <v>6925</v>
      </c>
      <c r="E245" s="4">
        <v>2526</v>
      </c>
      <c r="F245" s="4" t="s">
        <v>6926</v>
      </c>
      <c r="G245" s="188" t="s">
        <v>6927</v>
      </c>
      <c r="H245" s="4" t="s">
        <v>6928</v>
      </c>
      <c r="I245" s="4" t="s">
        <v>1664</v>
      </c>
      <c r="J245" s="4" t="s">
        <v>6929</v>
      </c>
      <c r="K245" s="4">
        <v>1</v>
      </c>
      <c r="L245" s="4">
        <v>2929</v>
      </c>
      <c r="M245" s="235"/>
      <c r="N245" s="235"/>
      <c r="O245" s="240"/>
      <c r="P245" s="231"/>
      <c r="R245" s="231"/>
      <c r="U245"/>
    </row>
    <row r="246" spans="1:72" ht="14.25" customHeight="1" x14ac:dyDescent="0.2">
      <c r="A246" s="4" t="s">
        <v>5537</v>
      </c>
      <c r="B246" s="4">
        <v>9</v>
      </c>
      <c r="C246" s="201" t="s">
        <v>5279</v>
      </c>
      <c r="D246" s="201" t="s">
        <v>5538</v>
      </c>
      <c r="E246" s="4">
        <v>12559</v>
      </c>
      <c r="F246" s="201" t="s">
        <v>5539</v>
      </c>
      <c r="G246" s="188" t="s">
        <v>5540</v>
      </c>
      <c r="H246" s="4" t="s">
        <v>5397</v>
      </c>
      <c r="I246" s="4" t="s">
        <v>49</v>
      </c>
      <c r="J246" s="4" t="s">
        <v>5512</v>
      </c>
      <c r="K246" s="4">
        <v>1</v>
      </c>
      <c r="L246" s="4">
        <v>14581</v>
      </c>
      <c r="M246" s="34"/>
      <c r="N246" s="231"/>
      <c r="O246" s="240"/>
      <c r="P246" s="231"/>
      <c r="R246" s="231"/>
      <c r="U246"/>
      <c r="AK246" s="9"/>
    </row>
    <row r="247" spans="1:72" ht="14.25" customHeight="1" x14ac:dyDescent="0.2">
      <c r="A247" s="4" t="s">
        <v>5443</v>
      </c>
      <c r="B247" s="4">
        <v>9</v>
      </c>
      <c r="C247" s="4" t="s">
        <v>5039</v>
      </c>
      <c r="D247" s="4" t="s">
        <v>5444</v>
      </c>
      <c r="E247" s="4">
        <v>12592</v>
      </c>
      <c r="F247" s="196" t="s">
        <v>1648</v>
      </c>
      <c r="G247" s="188" t="s">
        <v>5445</v>
      </c>
      <c r="H247" s="4" t="s">
        <v>5397</v>
      </c>
      <c r="I247" s="4" t="s">
        <v>49</v>
      </c>
      <c r="J247" s="4" t="s">
        <v>5402</v>
      </c>
      <c r="K247" s="4">
        <v>1</v>
      </c>
      <c r="L247" s="4">
        <v>14614</v>
      </c>
      <c r="M247" s="27"/>
      <c r="N247" s="182"/>
      <c r="O247" s="182"/>
      <c r="P247" s="182"/>
      <c r="Q247" s="182"/>
      <c r="R247" s="182"/>
      <c r="S247" s="182"/>
      <c r="T247" s="182"/>
      <c r="U247" s="182"/>
      <c r="V247" s="182"/>
      <c r="W247" s="182"/>
      <c r="X247" s="182"/>
      <c r="Y247" s="182"/>
      <c r="Z247" s="182"/>
      <c r="AA247" s="182"/>
      <c r="AB247" s="182"/>
      <c r="AC247" s="182"/>
      <c r="AD247" s="182"/>
      <c r="AE247" s="182"/>
      <c r="AF247" s="182"/>
      <c r="AG247" s="182"/>
      <c r="AH247" s="182"/>
      <c r="AI247" s="182"/>
      <c r="AJ247" s="182"/>
      <c r="AK247" s="27"/>
      <c r="AL247" s="182"/>
      <c r="AM247" s="182"/>
      <c r="AN247" s="182"/>
      <c r="AO247" s="182"/>
      <c r="AP247" s="182"/>
      <c r="AQ247" s="182"/>
      <c r="AR247" s="182"/>
      <c r="AS247" s="182"/>
      <c r="AT247" s="182"/>
      <c r="AU247" s="182"/>
      <c r="AV247" s="182"/>
      <c r="AW247" s="182"/>
      <c r="AX247" s="182"/>
      <c r="AY247" s="182"/>
      <c r="AZ247" s="182"/>
      <c r="BA247" s="182"/>
      <c r="BB247" s="182"/>
      <c r="BC247" s="182"/>
      <c r="BD247" s="182"/>
      <c r="BE247" s="182"/>
      <c r="BF247" s="182"/>
      <c r="BG247" s="182"/>
      <c r="BH247" s="182"/>
      <c r="BI247" s="182"/>
      <c r="BJ247" s="182"/>
      <c r="BK247" s="182"/>
      <c r="BL247" s="182"/>
      <c r="BM247" s="182"/>
      <c r="BN247" s="182"/>
      <c r="BO247" s="182"/>
      <c r="BP247" s="182"/>
      <c r="BQ247" s="182"/>
      <c r="BR247" s="182"/>
      <c r="BS247" s="182"/>
      <c r="BT247" s="182"/>
    </row>
    <row r="248" spans="1:72" ht="14.25" customHeight="1" x14ac:dyDescent="0.2">
      <c r="A248" s="4" t="s">
        <v>5443</v>
      </c>
      <c r="B248" s="4">
        <v>9</v>
      </c>
      <c r="C248" s="4" t="s">
        <v>5039</v>
      </c>
      <c r="D248" s="4" t="s">
        <v>5458</v>
      </c>
      <c r="E248" s="4">
        <v>12611</v>
      </c>
      <c r="F248" s="4" t="s">
        <v>1648</v>
      </c>
      <c r="G248" s="188" t="s">
        <v>5459</v>
      </c>
      <c r="H248" s="4" t="s">
        <v>5397</v>
      </c>
      <c r="I248" s="4" t="s">
        <v>49</v>
      </c>
      <c r="J248" s="4" t="s">
        <v>5402</v>
      </c>
      <c r="K248" s="4">
        <v>1</v>
      </c>
      <c r="L248" s="4">
        <v>14633</v>
      </c>
      <c r="M248" s="9"/>
      <c r="U248"/>
      <c r="AK248" s="9"/>
    </row>
    <row r="249" spans="1:72" ht="14.25" customHeight="1" x14ac:dyDescent="0.2">
      <c r="A249" s="4" t="s">
        <v>5443</v>
      </c>
      <c r="B249" s="4">
        <v>9</v>
      </c>
      <c r="C249" s="4" t="s">
        <v>5039</v>
      </c>
      <c r="D249" s="4" t="s">
        <v>5583</v>
      </c>
      <c r="E249" s="4">
        <v>12563</v>
      </c>
      <c r="F249" s="4" t="s">
        <v>5584</v>
      </c>
      <c r="G249" s="188" t="s">
        <v>5585</v>
      </c>
      <c r="H249" s="4" t="s">
        <v>5397</v>
      </c>
      <c r="I249" s="4" t="s">
        <v>49</v>
      </c>
      <c r="J249" s="4" t="s">
        <v>4983</v>
      </c>
      <c r="K249" s="4">
        <v>1</v>
      </c>
      <c r="L249" s="4">
        <v>14585</v>
      </c>
      <c r="M249" s="9"/>
      <c r="U249"/>
      <c r="AK249" s="9"/>
    </row>
    <row r="250" spans="1:72" ht="14.25" customHeight="1" x14ac:dyDescent="0.2">
      <c r="A250" s="5" t="s">
        <v>5096</v>
      </c>
      <c r="B250" s="4">
        <v>9</v>
      </c>
      <c r="C250" s="4" t="s">
        <v>5039</v>
      </c>
      <c r="D250" s="4" t="s">
        <v>5097</v>
      </c>
      <c r="E250" s="4">
        <v>12090</v>
      </c>
      <c r="F250" s="196" t="s">
        <v>5098</v>
      </c>
      <c r="G250" s="188" t="s">
        <v>5099</v>
      </c>
      <c r="H250" s="4" t="s">
        <v>84</v>
      </c>
      <c r="I250" s="4" t="s">
        <v>641</v>
      </c>
      <c r="K250" s="4">
        <v>1</v>
      </c>
      <c r="L250" s="4">
        <v>14146</v>
      </c>
      <c r="M250" s="27"/>
      <c r="N250" s="182"/>
      <c r="O250" s="182"/>
      <c r="P250" s="182"/>
      <c r="Q250" s="182"/>
      <c r="R250" s="182"/>
      <c r="S250" s="182"/>
      <c r="T250" s="182"/>
      <c r="U250" s="182"/>
      <c r="V250" s="182"/>
      <c r="W250" s="182"/>
      <c r="X250" s="182"/>
      <c r="Y250" s="182"/>
      <c r="Z250" s="182"/>
      <c r="AA250" s="182"/>
      <c r="AB250" s="182"/>
      <c r="AC250" s="182"/>
      <c r="AD250" s="182"/>
      <c r="AE250" s="182"/>
      <c r="AF250" s="182"/>
      <c r="AG250" s="182"/>
      <c r="AH250" s="182"/>
      <c r="AI250" s="182"/>
      <c r="AJ250" s="182"/>
      <c r="AK250" s="27"/>
      <c r="AL250" s="182"/>
      <c r="AM250" s="182"/>
      <c r="AN250" s="182"/>
      <c r="AO250" s="182"/>
      <c r="AP250" s="182"/>
      <c r="AQ250" s="182"/>
      <c r="AR250" s="182"/>
      <c r="AS250" s="182"/>
      <c r="AT250" s="182"/>
      <c r="AU250" s="182"/>
      <c r="AV250" s="182"/>
      <c r="AW250" s="182"/>
      <c r="AX250" s="182"/>
      <c r="AY250" s="182"/>
      <c r="AZ250" s="182"/>
      <c r="BA250" s="182"/>
      <c r="BB250" s="182"/>
      <c r="BC250" s="182"/>
      <c r="BD250" s="182"/>
      <c r="BE250" s="182"/>
      <c r="BF250" s="182"/>
      <c r="BG250" s="182"/>
      <c r="BH250" s="182"/>
      <c r="BI250" s="182"/>
      <c r="BJ250" s="182"/>
      <c r="BK250" s="182"/>
      <c r="BL250" s="182"/>
      <c r="BM250" s="182"/>
      <c r="BN250" s="182"/>
      <c r="BO250" s="182"/>
      <c r="BP250" s="182"/>
      <c r="BQ250" s="182"/>
      <c r="BR250" s="182"/>
      <c r="BS250" s="182"/>
      <c r="BT250" s="182"/>
    </row>
    <row r="251" spans="1:72" ht="14.25" customHeight="1" x14ac:dyDescent="0.2">
      <c r="A251" s="5" t="s">
        <v>5128</v>
      </c>
      <c r="B251" s="4">
        <v>9</v>
      </c>
      <c r="C251" s="4" t="s">
        <v>5039</v>
      </c>
      <c r="D251" s="4" t="s">
        <v>5129</v>
      </c>
      <c r="E251" s="4">
        <v>2644</v>
      </c>
      <c r="F251" s="4" t="s">
        <v>5130</v>
      </c>
      <c r="G251" s="188" t="s">
        <v>5131</v>
      </c>
      <c r="H251" s="4" t="s">
        <v>84</v>
      </c>
      <c r="I251" s="4" t="s">
        <v>641</v>
      </c>
      <c r="K251" s="4">
        <v>1</v>
      </c>
      <c r="L251" s="4">
        <v>3047</v>
      </c>
      <c r="M251" s="203"/>
      <c r="N251" s="192"/>
      <c r="U251"/>
      <c r="AK251" s="9"/>
    </row>
    <row r="252" spans="1:72" ht="14.25" customHeight="1" x14ac:dyDescent="0.2">
      <c r="A252" s="5" t="s">
        <v>5259</v>
      </c>
      <c r="B252" s="4">
        <v>9</v>
      </c>
      <c r="C252" s="4" t="s">
        <v>5039</v>
      </c>
      <c r="D252" s="4" t="s">
        <v>5260</v>
      </c>
      <c r="E252" s="4">
        <v>1588</v>
      </c>
      <c r="F252" s="196" t="s">
        <v>449</v>
      </c>
      <c r="G252" s="188" t="s">
        <v>5261</v>
      </c>
      <c r="H252" s="4" t="s">
        <v>84</v>
      </c>
      <c r="I252" s="4" t="s">
        <v>641</v>
      </c>
      <c r="K252" s="4">
        <v>1</v>
      </c>
      <c r="L252" s="4">
        <v>1991</v>
      </c>
      <c r="M252" s="27"/>
      <c r="N252" s="182"/>
      <c r="O252" s="182"/>
      <c r="P252" s="182"/>
      <c r="Q252" s="182"/>
      <c r="R252" s="182"/>
      <c r="S252" s="182"/>
      <c r="T252" s="182"/>
      <c r="U252" s="182"/>
      <c r="V252" s="182"/>
      <c r="W252" s="182"/>
      <c r="X252" s="182"/>
      <c r="Y252" s="182"/>
      <c r="Z252" s="182"/>
      <c r="AA252" s="182"/>
      <c r="AB252" s="182"/>
      <c r="AC252" s="182"/>
      <c r="AD252" s="182"/>
      <c r="AE252" s="182"/>
      <c r="AF252" s="182"/>
      <c r="AG252" s="182"/>
      <c r="AH252" s="182"/>
      <c r="AI252" s="182"/>
      <c r="AJ252" s="182"/>
      <c r="AK252" s="27"/>
      <c r="AL252" s="182"/>
      <c r="AM252" s="182"/>
      <c r="AN252" s="182"/>
      <c r="AO252" s="182"/>
      <c r="AP252" s="182"/>
      <c r="AQ252" s="182"/>
      <c r="AR252" s="182"/>
      <c r="AS252" s="182"/>
      <c r="AT252" s="182"/>
      <c r="AU252" s="182"/>
      <c r="AV252" s="182"/>
      <c r="AW252" s="182"/>
      <c r="AX252" s="182"/>
      <c r="AY252" s="182"/>
      <c r="AZ252" s="182"/>
      <c r="BA252" s="182"/>
      <c r="BB252" s="182"/>
      <c r="BC252" s="182"/>
      <c r="BD252" s="182"/>
      <c r="BE252" s="182"/>
      <c r="BF252" s="182"/>
      <c r="BG252" s="182"/>
      <c r="BH252" s="182"/>
      <c r="BI252" s="182"/>
      <c r="BJ252" s="182"/>
      <c r="BK252" s="182"/>
      <c r="BL252" s="182"/>
      <c r="BM252" s="182"/>
      <c r="BN252" s="182"/>
      <c r="BO252" s="182"/>
      <c r="BP252" s="182"/>
      <c r="BQ252" s="182"/>
      <c r="BR252" s="182"/>
      <c r="BS252" s="182"/>
      <c r="BT252" s="182"/>
    </row>
    <row r="253" spans="1:72" ht="14.25" customHeight="1" x14ac:dyDescent="0.2">
      <c r="A253" s="5" t="s">
        <v>5364</v>
      </c>
      <c r="B253" s="4">
        <v>9</v>
      </c>
      <c r="C253" s="188" t="s">
        <v>5039</v>
      </c>
      <c r="D253" s="188" t="s">
        <v>5365</v>
      </c>
      <c r="E253" s="4">
        <v>12191</v>
      </c>
      <c r="F253" s="188" t="s">
        <v>439</v>
      </c>
      <c r="G253" s="188" t="s">
        <v>5366</v>
      </c>
      <c r="H253" s="4" t="s">
        <v>84</v>
      </c>
      <c r="I253" s="188" t="s">
        <v>641</v>
      </c>
      <c r="K253" s="4">
        <v>1</v>
      </c>
      <c r="L253" s="4">
        <v>14247</v>
      </c>
      <c r="M253" s="9"/>
      <c r="U253"/>
      <c r="AK253" s="9"/>
    </row>
    <row r="254" spans="1:72" ht="14.25" customHeight="1" x14ac:dyDescent="0.2">
      <c r="A254" s="5" t="s">
        <v>5389</v>
      </c>
      <c r="B254" s="4">
        <v>9</v>
      </c>
      <c r="C254" s="4" t="s">
        <v>5039</v>
      </c>
      <c r="D254" s="4" t="s">
        <v>5390</v>
      </c>
      <c r="E254" s="4">
        <v>12200</v>
      </c>
      <c r="F254" s="4" t="s">
        <v>5391</v>
      </c>
      <c r="G254" s="188" t="s">
        <v>5392</v>
      </c>
      <c r="H254" s="4" t="s">
        <v>84</v>
      </c>
      <c r="I254" s="4" t="s">
        <v>641</v>
      </c>
      <c r="K254" s="4">
        <v>1</v>
      </c>
      <c r="L254" s="4">
        <v>14255</v>
      </c>
      <c r="M254" s="9"/>
      <c r="U254"/>
      <c r="AK254" s="9"/>
    </row>
    <row r="255" spans="1:72" ht="14.25" customHeight="1" x14ac:dyDescent="0.2">
      <c r="A255" s="5" t="s">
        <v>7872</v>
      </c>
      <c r="B255" s="4">
        <v>9</v>
      </c>
      <c r="C255" s="4" t="s">
        <v>5039</v>
      </c>
      <c r="D255" s="4" t="s">
        <v>5101</v>
      </c>
      <c r="E255" s="4">
        <v>12091</v>
      </c>
      <c r="F255" s="196" t="s">
        <v>5102</v>
      </c>
      <c r="G255" s="188" t="s">
        <v>5103</v>
      </c>
      <c r="H255" s="4" t="s">
        <v>84</v>
      </c>
      <c r="I255" s="4" t="s">
        <v>641</v>
      </c>
      <c r="K255" s="4">
        <v>1</v>
      </c>
      <c r="L255" s="4">
        <v>14147</v>
      </c>
      <c r="M255" s="9"/>
      <c r="U255" s="182"/>
      <c r="V255" s="27"/>
      <c r="W255" s="27"/>
      <c r="X255" s="27"/>
      <c r="Y255" s="27"/>
      <c r="Z255" s="29"/>
      <c r="AA255" s="27"/>
      <c r="AB255" s="30"/>
      <c r="AC255" s="27"/>
      <c r="AD255" s="182"/>
      <c r="AE255" s="182"/>
      <c r="AF255" s="182"/>
      <c r="AG255" s="182"/>
      <c r="AH255" s="182"/>
      <c r="AI255" s="182"/>
      <c r="AJ255" s="182"/>
      <c r="AK255" s="27"/>
      <c r="AL255" s="182"/>
      <c r="AM255" s="182"/>
      <c r="AN255" s="182"/>
      <c r="AO255" s="182"/>
      <c r="AP255" s="182"/>
      <c r="AQ255" s="182"/>
      <c r="AR255" s="182"/>
      <c r="AS255" s="182"/>
      <c r="AT255" s="182"/>
      <c r="AU255" s="182"/>
      <c r="AV255" s="182"/>
      <c r="AW255" s="182"/>
      <c r="AX255" s="182"/>
      <c r="AY255" s="182"/>
      <c r="AZ255" s="182"/>
      <c r="BA255" s="182"/>
      <c r="BB255" s="182"/>
      <c r="BC255" s="182"/>
      <c r="BD255" s="182"/>
      <c r="BE255" s="182"/>
      <c r="BF255" s="182"/>
      <c r="BG255" s="182"/>
      <c r="BH255" s="182"/>
      <c r="BI255" s="182"/>
      <c r="BJ255" s="182"/>
      <c r="BK255" s="182"/>
      <c r="BL255" s="182"/>
      <c r="BM255" s="182"/>
      <c r="BN255" s="182"/>
      <c r="BO255" s="182"/>
      <c r="BP255" s="182"/>
      <c r="BQ255" s="182"/>
      <c r="BR255" s="182"/>
      <c r="BS255" s="182"/>
      <c r="BT255" s="182"/>
    </row>
    <row r="256" spans="1:72" ht="14.25" customHeight="1" x14ac:dyDescent="0.2">
      <c r="A256" s="5" t="s">
        <v>5376</v>
      </c>
      <c r="B256" s="4">
        <v>9</v>
      </c>
      <c r="C256" s="4" t="s">
        <v>5039</v>
      </c>
      <c r="D256" s="4" t="s">
        <v>5377</v>
      </c>
      <c r="E256" s="4">
        <v>12196</v>
      </c>
      <c r="F256" s="4" t="s">
        <v>5378</v>
      </c>
      <c r="G256" s="188" t="s">
        <v>5379</v>
      </c>
      <c r="H256" s="4" t="s">
        <v>84</v>
      </c>
      <c r="I256" s="4" t="s">
        <v>641</v>
      </c>
      <c r="K256" s="4">
        <v>1</v>
      </c>
      <c r="L256" s="4">
        <v>14251</v>
      </c>
      <c r="M256" s="203"/>
      <c r="N256" s="192"/>
      <c r="U256" s="192"/>
      <c r="AA256" s="192"/>
      <c r="AK256" s="9"/>
    </row>
    <row r="257" spans="1:72" ht="14.25" customHeight="1" x14ac:dyDescent="0.2">
      <c r="A257" s="5" t="s">
        <v>5642</v>
      </c>
      <c r="B257" s="4">
        <v>9</v>
      </c>
      <c r="C257" s="4" t="s">
        <v>5039</v>
      </c>
      <c r="D257" s="4" t="s">
        <v>5643</v>
      </c>
      <c r="E257" s="4">
        <v>12204</v>
      </c>
      <c r="F257" s="4" t="s">
        <v>5644</v>
      </c>
      <c r="G257" s="188" t="s">
        <v>5645</v>
      </c>
      <c r="H257" s="4" t="s">
        <v>84</v>
      </c>
      <c r="I257" s="4" t="s">
        <v>641</v>
      </c>
      <c r="K257" s="4">
        <v>1</v>
      </c>
      <c r="L257" s="4">
        <v>14259</v>
      </c>
      <c r="M257" s="9"/>
      <c r="U257"/>
      <c r="AK257" s="9"/>
    </row>
    <row r="258" spans="1:72" ht="14.25" customHeight="1" x14ac:dyDescent="0.2">
      <c r="A258" s="5" t="s">
        <v>5648</v>
      </c>
      <c r="B258" s="4">
        <v>9</v>
      </c>
      <c r="C258" s="4" t="s">
        <v>5039</v>
      </c>
      <c r="D258" s="4" t="s">
        <v>5649</v>
      </c>
      <c r="E258" s="4">
        <v>12207</v>
      </c>
      <c r="F258" s="196" t="s">
        <v>5650</v>
      </c>
      <c r="G258" s="188" t="s">
        <v>5651</v>
      </c>
      <c r="H258" s="4" t="s">
        <v>84</v>
      </c>
      <c r="I258" s="4" t="s">
        <v>641</v>
      </c>
      <c r="K258" s="4">
        <v>1</v>
      </c>
      <c r="L258" s="4">
        <v>14262</v>
      </c>
      <c r="M258" s="27"/>
      <c r="N258" s="182"/>
      <c r="O258" s="182"/>
      <c r="P258" s="182"/>
      <c r="Q258" s="182"/>
      <c r="R258" s="182"/>
      <c r="S258" s="182"/>
      <c r="T258" s="182"/>
      <c r="U258" s="182"/>
      <c r="V258" s="182"/>
      <c r="W258" s="182"/>
      <c r="X258" s="182"/>
      <c r="Y258" s="182"/>
      <c r="Z258" s="182"/>
      <c r="AA258" s="182"/>
      <c r="AB258" s="182"/>
      <c r="AC258" s="182"/>
      <c r="AD258" s="182"/>
      <c r="AE258" s="182"/>
      <c r="AF258" s="182"/>
      <c r="AG258" s="182"/>
      <c r="AH258" s="182"/>
      <c r="AI258" s="182"/>
      <c r="AJ258" s="182"/>
      <c r="AK258" s="27"/>
      <c r="AL258" s="182"/>
      <c r="AM258" s="182"/>
      <c r="AN258" s="182"/>
      <c r="AO258" s="27"/>
      <c r="AP258" s="182"/>
      <c r="AQ258" s="182"/>
      <c r="AR258" s="182"/>
      <c r="AS258" s="182"/>
      <c r="AT258" s="182"/>
      <c r="AU258" s="182"/>
      <c r="AV258" s="182"/>
      <c r="AW258" s="182"/>
      <c r="AX258" s="182"/>
      <c r="AY258" s="182"/>
      <c r="AZ258" s="182"/>
      <c r="BA258" s="182"/>
      <c r="BB258" s="182"/>
      <c r="BC258" s="182"/>
      <c r="BD258" s="182"/>
      <c r="BE258" s="182"/>
      <c r="BF258" s="182"/>
      <c r="BG258" s="182"/>
      <c r="BH258" s="182"/>
      <c r="BI258" s="182"/>
      <c r="BJ258" s="182"/>
      <c r="BK258" s="182"/>
      <c r="BL258" s="182"/>
      <c r="BM258" s="182"/>
      <c r="BN258" s="182"/>
      <c r="BO258" s="182"/>
      <c r="BP258" s="182"/>
      <c r="BQ258" s="182"/>
      <c r="BR258" s="182"/>
      <c r="BS258" s="182"/>
      <c r="BT258" s="182"/>
    </row>
    <row r="259" spans="1:72" ht="14.25" customHeight="1" x14ac:dyDescent="0.2">
      <c r="A259" s="5" t="s">
        <v>5266</v>
      </c>
      <c r="B259" s="4">
        <v>9</v>
      </c>
      <c r="C259" s="4" t="s">
        <v>5039</v>
      </c>
      <c r="D259" s="4" t="s">
        <v>5267</v>
      </c>
      <c r="E259" s="4">
        <v>12160</v>
      </c>
      <c r="F259" s="196" t="s">
        <v>5268</v>
      </c>
      <c r="G259" s="188" t="s">
        <v>5269</v>
      </c>
      <c r="H259" s="4" t="s">
        <v>84</v>
      </c>
      <c r="I259" s="4" t="s">
        <v>641</v>
      </c>
      <c r="K259" s="4">
        <v>1</v>
      </c>
      <c r="L259" s="4">
        <v>14216</v>
      </c>
      <c r="M259" s="27"/>
      <c r="N259" s="182"/>
      <c r="O259" s="182"/>
      <c r="P259" s="182"/>
      <c r="Q259" s="182"/>
      <c r="R259" s="182"/>
      <c r="S259" s="182"/>
      <c r="T259" s="182"/>
      <c r="U259" s="182"/>
      <c r="V259" s="182"/>
      <c r="W259" s="182"/>
      <c r="X259" s="182"/>
      <c r="Y259" s="182"/>
      <c r="Z259" s="182"/>
      <c r="AA259" s="182"/>
      <c r="AB259" s="182"/>
      <c r="AC259" s="182"/>
      <c r="AD259" s="182"/>
      <c r="AE259" s="182"/>
      <c r="AF259" s="182"/>
      <c r="AG259" s="182"/>
      <c r="AH259" s="182"/>
      <c r="AI259" s="182"/>
      <c r="AJ259" s="182"/>
      <c r="AK259" s="27"/>
      <c r="AL259" s="182"/>
      <c r="AM259" s="182"/>
      <c r="AN259" s="182"/>
      <c r="AO259" s="182"/>
      <c r="AP259" s="182"/>
      <c r="AQ259" s="182"/>
      <c r="AR259" s="182"/>
      <c r="AS259" s="182"/>
      <c r="AT259" s="182"/>
      <c r="AU259" s="182"/>
      <c r="AV259" s="182"/>
      <c r="AW259" s="182"/>
      <c r="AX259" s="182"/>
      <c r="AY259" s="182"/>
      <c r="AZ259" s="182"/>
      <c r="BA259" s="182"/>
      <c r="BB259" s="182"/>
      <c r="BC259" s="182"/>
      <c r="BD259" s="182"/>
      <c r="BE259" s="182"/>
      <c r="BF259" s="182"/>
      <c r="BG259" s="182"/>
      <c r="BH259" s="182"/>
      <c r="BI259" s="182"/>
      <c r="BJ259" s="182"/>
      <c r="BK259" s="182"/>
      <c r="BL259" s="182"/>
      <c r="BM259" s="182"/>
      <c r="BN259" s="182"/>
      <c r="BO259" s="182"/>
      <c r="BP259" s="182"/>
      <c r="BQ259" s="182"/>
      <c r="BR259" s="182"/>
      <c r="BS259" s="182"/>
      <c r="BT259" s="182"/>
    </row>
    <row r="260" spans="1:72" ht="14.25" customHeight="1" x14ac:dyDescent="0.2">
      <c r="A260" s="136" t="s">
        <v>5215</v>
      </c>
      <c r="B260" s="4">
        <v>9</v>
      </c>
      <c r="C260" s="8" t="s">
        <v>5279</v>
      </c>
      <c r="D260" s="8" t="s">
        <v>5280</v>
      </c>
      <c r="E260" s="4">
        <v>12956</v>
      </c>
      <c r="F260" s="188" t="s">
        <v>5281</v>
      </c>
      <c r="G260" s="188" t="s">
        <v>5282</v>
      </c>
      <c r="H260" s="4" t="s">
        <v>5283</v>
      </c>
      <c r="I260" s="201" t="s">
        <v>5284</v>
      </c>
      <c r="J260" s="4" t="s">
        <v>5285</v>
      </c>
      <c r="K260" s="4">
        <v>1</v>
      </c>
      <c r="L260" s="4">
        <v>14888</v>
      </c>
      <c r="M260" s="9"/>
      <c r="U260"/>
      <c r="AK260" s="9"/>
    </row>
    <row r="261" spans="1:72" ht="14.25" customHeight="1" x14ac:dyDescent="0.2">
      <c r="A261" s="136" t="s">
        <v>5215</v>
      </c>
      <c r="B261" s="4">
        <v>9</v>
      </c>
      <c r="C261" s="204" t="s">
        <v>5216</v>
      </c>
      <c r="D261" s="204" t="s">
        <v>5217</v>
      </c>
      <c r="E261" s="4">
        <v>12951</v>
      </c>
      <c r="F261" s="196" t="s">
        <v>5218</v>
      </c>
      <c r="G261" s="188" t="s">
        <v>5219</v>
      </c>
      <c r="H261" s="4" t="s">
        <v>5220</v>
      </c>
      <c r="I261" s="4" t="s">
        <v>49</v>
      </c>
      <c r="J261" s="4" t="s">
        <v>5221</v>
      </c>
      <c r="K261" s="4">
        <v>1</v>
      </c>
      <c r="L261" s="4">
        <v>14883</v>
      </c>
      <c r="M261" s="9"/>
      <c r="T261" s="182"/>
      <c r="U261" s="182"/>
      <c r="V261" s="182"/>
      <c r="W261" s="182"/>
      <c r="X261" s="182"/>
      <c r="Y261" s="182"/>
      <c r="Z261" s="182"/>
      <c r="AA261" s="182"/>
      <c r="AB261" s="182"/>
      <c r="AC261" s="182"/>
      <c r="AD261" s="182"/>
      <c r="AE261" s="182"/>
      <c r="AF261" s="182"/>
      <c r="AG261" s="182"/>
      <c r="AH261" s="182"/>
      <c r="AI261" s="182"/>
      <c r="AJ261" s="182"/>
      <c r="AK261" s="27"/>
      <c r="AL261" s="182"/>
      <c r="AM261" s="182"/>
      <c r="AN261" s="182"/>
      <c r="AO261" s="182"/>
      <c r="AP261" s="182"/>
      <c r="AQ261" s="182"/>
      <c r="AR261" s="182"/>
      <c r="AS261" s="182"/>
      <c r="AT261" s="182"/>
      <c r="AU261" s="182"/>
      <c r="AV261" s="182"/>
      <c r="AW261" s="182"/>
      <c r="AX261" s="182"/>
      <c r="AY261" s="182"/>
      <c r="AZ261" s="182"/>
      <c r="BA261" s="182"/>
      <c r="BB261" s="182"/>
      <c r="BC261" s="182"/>
      <c r="BD261" s="182"/>
      <c r="BE261" s="182"/>
      <c r="BF261" s="182"/>
      <c r="BG261" s="182"/>
      <c r="BH261" s="182"/>
      <c r="BI261" s="182"/>
      <c r="BJ261" s="182"/>
      <c r="BK261" s="182"/>
      <c r="BL261" s="182"/>
      <c r="BM261" s="182"/>
      <c r="BN261" s="182"/>
      <c r="BO261" s="182"/>
      <c r="BP261" s="182"/>
      <c r="BQ261" s="182"/>
      <c r="BR261" s="182"/>
      <c r="BS261" s="182"/>
      <c r="BT261" s="182"/>
    </row>
    <row r="262" spans="1:72" ht="14.25" customHeight="1" x14ac:dyDescent="0.2">
      <c r="A262" s="136" t="s">
        <v>5215</v>
      </c>
      <c r="B262" s="4">
        <v>9</v>
      </c>
      <c r="C262" s="201" t="s">
        <v>5039</v>
      </c>
      <c r="D262" s="201" t="s">
        <v>5368</v>
      </c>
      <c r="E262" s="4">
        <v>1581</v>
      </c>
      <c r="F262" s="196" t="s">
        <v>5369</v>
      </c>
      <c r="G262" s="188" t="s">
        <v>5370</v>
      </c>
      <c r="H262" s="4" t="s">
        <v>5371</v>
      </c>
      <c r="I262" s="4" t="s">
        <v>641</v>
      </c>
      <c r="J262" s="4" t="s">
        <v>5048</v>
      </c>
      <c r="K262" s="4">
        <v>1</v>
      </c>
      <c r="L262" s="4">
        <v>1984</v>
      </c>
      <c r="M262" s="27"/>
      <c r="N262" s="182"/>
      <c r="O262" s="182"/>
      <c r="P262" s="182"/>
      <c r="Q262" s="182"/>
      <c r="R262" s="182"/>
      <c r="S262" s="182"/>
      <c r="T262" s="182"/>
      <c r="U262" s="182"/>
      <c r="V262" s="182"/>
      <c r="W262" s="182"/>
      <c r="X262" s="182"/>
      <c r="Y262" s="182"/>
      <c r="Z262" s="182"/>
      <c r="AA262" s="182"/>
      <c r="AB262" s="182"/>
      <c r="AC262" s="182"/>
      <c r="AD262" s="182"/>
      <c r="AE262" s="182"/>
      <c r="AF262" s="182"/>
      <c r="AG262" s="182"/>
      <c r="AH262" s="182"/>
      <c r="AI262" s="182"/>
      <c r="AJ262" s="182"/>
      <c r="AK262" s="27"/>
      <c r="AL262" s="182"/>
      <c r="AM262" s="182"/>
      <c r="AN262" s="182"/>
      <c r="AO262" s="182"/>
      <c r="AP262" s="182"/>
      <c r="AQ262" s="182"/>
      <c r="AR262" s="182"/>
      <c r="AS262" s="182"/>
      <c r="AT262" s="182"/>
      <c r="AU262" s="182"/>
      <c r="AV262" s="182"/>
      <c r="AW262" s="182"/>
      <c r="AX262" s="182"/>
      <c r="AY262" s="182"/>
      <c r="AZ262" s="182"/>
      <c r="BA262" s="182"/>
      <c r="BB262" s="182"/>
      <c r="BC262" s="182"/>
      <c r="BD262" s="182"/>
      <c r="BE262" s="182"/>
      <c r="BF262" s="182"/>
      <c r="BG262" s="182"/>
      <c r="BH262" s="182"/>
      <c r="BI262" s="182"/>
      <c r="BJ262" s="182"/>
      <c r="BK262" s="182"/>
      <c r="BL262" s="182"/>
      <c r="BM262" s="182"/>
      <c r="BN262" s="182"/>
      <c r="BO262" s="182"/>
      <c r="BP262" s="182"/>
      <c r="BQ262" s="182"/>
      <c r="BR262" s="182"/>
      <c r="BS262" s="182"/>
      <c r="BT262" s="182"/>
    </row>
    <row r="263" spans="1:72" ht="14.25" customHeight="1" x14ac:dyDescent="0.2">
      <c r="A263" s="5" t="s">
        <v>7873</v>
      </c>
      <c r="B263" s="4">
        <v>9</v>
      </c>
      <c r="C263" s="4" t="s">
        <v>5039</v>
      </c>
      <c r="D263" s="4" t="s">
        <v>5089</v>
      </c>
      <c r="E263" s="4">
        <v>12086</v>
      </c>
      <c r="F263" s="4" t="s">
        <v>5090</v>
      </c>
      <c r="G263" s="188" t="s">
        <v>5091</v>
      </c>
      <c r="H263" s="4" t="s">
        <v>84</v>
      </c>
      <c r="I263" s="4" t="s">
        <v>641</v>
      </c>
      <c r="K263" s="4">
        <v>1</v>
      </c>
      <c r="L263" s="4">
        <v>14142</v>
      </c>
      <c r="M263" s="9"/>
      <c r="U263"/>
      <c r="V263" s="9"/>
      <c r="W263" s="9"/>
      <c r="X263" s="9"/>
      <c r="Y263" s="9"/>
      <c r="Z263" s="20"/>
      <c r="AA263" s="9"/>
      <c r="AB263" s="11"/>
      <c r="AC263" s="9"/>
      <c r="AK263" s="9"/>
    </row>
    <row r="264" spans="1:72" ht="14.25" customHeight="1" x14ac:dyDescent="0.2">
      <c r="A264" s="136" t="s">
        <v>1692</v>
      </c>
      <c r="B264" s="4">
        <v>12</v>
      </c>
      <c r="C264" s="201" t="s">
        <v>1693</v>
      </c>
      <c r="D264" s="201" t="s">
        <v>1694</v>
      </c>
      <c r="E264" s="4">
        <v>12960</v>
      </c>
      <c r="F264" s="200" t="s">
        <v>1695</v>
      </c>
      <c r="G264" s="10" t="s">
        <v>1696</v>
      </c>
      <c r="H264" s="4" t="s">
        <v>1697</v>
      </c>
      <c r="I264" s="4" t="s">
        <v>49</v>
      </c>
      <c r="J264" s="4" t="s">
        <v>1698</v>
      </c>
      <c r="K264" s="4">
        <v>1</v>
      </c>
      <c r="L264" s="4">
        <v>14892</v>
      </c>
      <c r="U264"/>
      <c r="AO264" s="268" t="s">
        <v>1699</v>
      </c>
      <c r="AP264" s="268">
        <v>1</v>
      </c>
      <c r="AQ264" s="268" t="s">
        <v>1700</v>
      </c>
      <c r="AR264" s="268" t="s">
        <v>1701</v>
      </c>
      <c r="AS264" s="268" t="s">
        <v>1702</v>
      </c>
      <c r="AT264" s="268" t="s">
        <v>1703</v>
      </c>
      <c r="AU264" s="268" t="s">
        <v>1704</v>
      </c>
      <c r="AV264" s="268" t="s">
        <v>1702</v>
      </c>
      <c r="AW264" s="268" t="s">
        <v>1705</v>
      </c>
      <c r="AX264" s="268" t="s">
        <v>1706</v>
      </c>
      <c r="AY264" s="268">
        <v>49.078099999999999</v>
      </c>
      <c r="AZ264" s="268">
        <v>-125.7696</v>
      </c>
      <c r="BA264" s="268">
        <v>24</v>
      </c>
    </row>
    <row r="265" spans="1:72" ht="14.25" customHeight="1" x14ac:dyDescent="0.2">
      <c r="A265" s="136" t="s">
        <v>1692</v>
      </c>
      <c r="B265" s="4">
        <v>12</v>
      </c>
      <c r="C265" s="201" t="s">
        <v>1693</v>
      </c>
      <c r="D265" s="201" t="s">
        <v>4411</v>
      </c>
      <c r="E265" s="4">
        <v>11433</v>
      </c>
      <c r="F265" s="4" t="s">
        <v>4412</v>
      </c>
      <c r="G265" s="8" t="s">
        <v>4413</v>
      </c>
      <c r="H265" s="4" t="s">
        <v>4414</v>
      </c>
      <c r="I265" s="4" t="s">
        <v>49</v>
      </c>
      <c r="J265" s="4" t="s">
        <v>1746</v>
      </c>
      <c r="K265" s="4">
        <v>1</v>
      </c>
      <c r="L265" s="4">
        <v>13492</v>
      </c>
      <c r="M265" s="9"/>
      <c r="U265"/>
      <c r="AK265" s="9"/>
      <c r="AO265" s="268" t="s">
        <v>4412</v>
      </c>
      <c r="AP265" s="268">
        <v>1239</v>
      </c>
      <c r="AQ265" s="268" t="s">
        <v>1716</v>
      </c>
      <c r="AR265" s="268" t="s">
        <v>1701</v>
      </c>
      <c r="AS265" s="268" t="s">
        <v>1740</v>
      </c>
      <c r="AT265" s="268" t="s">
        <v>1741</v>
      </c>
      <c r="AU265" s="268" t="s">
        <v>1742</v>
      </c>
      <c r="AV265" s="268" t="s">
        <v>4415</v>
      </c>
      <c r="AW265" s="268" t="s">
        <v>2698</v>
      </c>
      <c r="AX265" s="268"/>
      <c r="AY265" s="268">
        <v>51.968000000000004</v>
      </c>
      <c r="AZ265" s="268">
        <v>-116.7148</v>
      </c>
      <c r="BA265" s="268">
        <v>1442</v>
      </c>
    </row>
    <row r="266" spans="1:72" ht="14.25" customHeight="1" x14ac:dyDescent="0.2">
      <c r="A266" s="136" t="s">
        <v>1692</v>
      </c>
      <c r="B266" s="4">
        <v>12</v>
      </c>
      <c r="C266" s="201" t="s">
        <v>1693</v>
      </c>
      <c r="D266" s="201" t="s">
        <v>4416</v>
      </c>
      <c r="E266" s="4">
        <v>11431</v>
      </c>
      <c r="F266" s="196" t="s">
        <v>4417</v>
      </c>
      <c r="G266" s="8" t="s">
        <v>4418</v>
      </c>
      <c r="H266" s="4" t="s">
        <v>4419</v>
      </c>
      <c r="I266" s="4" t="s">
        <v>49</v>
      </c>
      <c r="J266" s="4" t="s">
        <v>1746</v>
      </c>
      <c r="K266" s="4">
        <v>1</v>
      </c>
      <c r="L266" s="4">
        <v>13493</v>
      </c>
      <c r="M266" s="9"/>
      <c r="U266" s="182"/>
      <c r="V266" s="182"/>
      <c r="W266" s="182"/>
      <c r="X266" s="182"/>
      <c r="Y266" s="182"/>
      <c r="Z266" s="182"/>
      <c r="AA266" s="182"/>
      <c r="AB266" s="182"/>
      <c r="AC266" s="182"/>
      <c r="AD266" s="182"/>
      <c r="AE266" s="182"/>
      <c r="AF266" s="182"/>
      <c r="AG266" s="182"/>
      <c r="AH266" s="182"/>
      <c r="AI266" s="182"/>
      <c r="AJ266" s="182"/>
      <c r="AK266" s="27"/>
      <c r="AL266" s="182"/>
      <c r="AM266" s="182"/>
      <c r="AN266" s="182"/>
      <c r="AO266" s="69" t="s">
        <v>4417</v>
      </c>
      <c r="AP266" s="69">
        <v>1240</v>
      </c>
      <c r="AQ266" s="69" t="s">
        <v>1716</v>
      </c>
      <c r="AR266" s="69" t="s">
        <v>1701</v>
      </c>
      <c r="AS266" s="69" t="s">
        <v>1740</v>
      </c>
      <c r="AT266" s="69" t="s">
        <v>1741</v>
      </c>
      <c r="AU266" s="69" t="s">
        <v>1742</v>
      </c>
      <c r="AV266" s="69" t="s">
        <v>4415</v>
      </c>
      <c r="AW266" s="69" t="s">
        <v>2698</v>
      </c>
      <c r="AX266" s="69" t="s">
        <v>2699</v>
      </c>
      <c r="AY266" s="69">
        <v>51.366399999999999</v>
      </c>
      <c r="AZ266" s="69">
        <v>-116.5264</v>
      </c>
      <c r="BA266" s="69">
        <v>1275</v>
      </c>
      <c r="BB266" s="182"/>
      <c r="BC266" s="182"/>
      <c r="BD266" s="182"/>
      <c r="BE266" s="182"/>
      <c r="BF266" s="182"/>
      <c r="BG266" s="182"/>
      <c r="BH266" s="182"/>
      <c r="BI266" s="182"/>
      <c r="BJ266" s="182"/>
      <c r="BK266" s="182"/>
      <c r="BL266" s="182"/>
      <c r="BM266" s="182"/>
      <c r="BN266" s="182"/>
      <c r="BO266" s="182"/>
      <c r="BP266" s="182"/>
      <c r="BQ266" s="182"/>
      <c r="BR266" s="182"/>
      <c r="BS266" s="182"/>
      <c r="BT266" s="182"/>
    </row>
    <row r="267" spans="1:72" ht="14.25" customHeight="1" x14ac:dyDescent="0.2">
      <c r="A267" s="136" t="s">
        <v>1692</v>
      </c>
      <c r="B267" s="4">
        <v>12</v>
      </c>
      <c r="C267" s="201" t="s">
        <v>1693</v>
      </c>
      <c r="D267" s="201" t="s">
        <v>4420</v>
      </c>
      <c r="E267" s="4">
        <v>11430</v>
      </c>
      <c r="F267" s="4" t="s">
        <v>4421</v>
      </c>
      <c r="G267" s="8" t="s">
        <v>4422</v>
      </c>
      <c r="H267" s="4" t="s">
        <v>4414</v>
      </c>
      <c r="I267" s="4" t="s">
        <v>49</v>
      </c>
      <c r="J267" s="4" t="s">
        <v>1746</v>
      </c>
      <c r="K267" s="4">
        <v>1</v>
      </c>
      <c r="L267" s="4">
        <v>13494</v>
      </c>
      <c r="M267" s="9"/>
      <c r="U267"/>
      <c r="AK267" s="9"/>
      <c r="AO267" s="268" t="s">
        <v>4421</v>
      </c>
      <c r="AP267" s="268">
        <v>1241</v>
      </c>
      <c r="AQ267" s="268" t="s">
        <v>1716</v>
      </c>
      <c r="AR267" s="268" t="s">
        <v>1701</v>
      </c>
      <c r="AS267" s="268" t="s">
        <v>1740</v>
      </c>
      <c r="AT267" s="268" t="s">
        <v>1741</v>
      </c>
      <c r="AU267" s="268" t="s">
        <v>1742</v>
      </c>
      <c r="AV267" s="268" t="s">
        <v>4415</v>
      </c>
      <c r="AW267" s="268" t="s">
        <v>2698</v>
      </c>
      <c r="AX267" s="268" t="s">
        <v>2699</v>
      </c>
      <c r="AY267" s="268">
        <v>51.023400000000002</v>
      </c>
      <c r="AZ267" s="268">
        <v>-115.9789</v>
      </c>
      <c r="BA267" s="268">
        <v>1277</v>
      </c>
    </row>
    <row r="268" spans="1:72" ht="14.25" customHeight="1" x14ac:dyDescent="0.2">
      <c r="A268" s="136" t="s">
        <v>1692</v>
      </c>
      <c r="B268" s="4">
        <v>12</v>
      </c>
      <c r="C268" s="201" t="s">
        <v>1693</v>
      </c>
      <c r="D268" s="201" t="s">
        <v>4423</v>
      </c>
      <c r="E268" s="4">
        <v>11432</v>
      </c>
      <c r="F268" s="4" t="s">
        <v>4424</v>
      </c>
      <c r="G268" s="8" t="s">
        <v>4425</v>
      </c>
      <c r="H268" s="4" t="s">
        <v>4419</v>
      </c>
      <c r="I268" s="4" t="s">
        <v>49</v>
      </c>
      <c r="J268" s="4" t="s">
        <v>1746</v>
      </c>
      <c r="K268" s="4">
        <v>1</v>
      </c>
      <c r="L268" s="4">
        <v>13495</v>
      </c>
      <c r="M268" s="9"/>
      <c r="U268"/>
      <c r="AK268" s="9"/>
      <c r="AO268" s="268" t="s">
        <v>4424</v>
      </c>
      <c r="AP268" s="268">
        <v>1242</v>
      </c>
      <c r="AQ268" s="268" t="s">
        <v>1716</v>
      </c>
      <c r="AR268" s="268" t="s">
        <v>1701</v>
      </c>
      <c r="AS268" s="268" t="s">
        <v>1740</v>
      </c>
      <c r="AT268" s="268" t="s">
        <v>1741</v>
      </c>
      <c r="AU268" s="268" t="s">
        <v>1742</v>
      </c>
      <c r="AV268" s="268" t="s">
        <v>4415</v>
      </c>
      <c r="AW268" s="268" t="s">
        <v>2698</v>
      </c>
      <c r="AX268" s="268" t="s">
        <v>2768</v>
      </c>
      <c r="AY268" s="268">
        <v>50.769100000000002</v>
      </c>
      <c r="AZ268" s="268">
        <v>-115.9508</v>
      </c>
      <c r="BA268" s="268">
        <v>1132</v>
      </c>
    </row>
    <row r="269" spans="1:72" ht="14.25" customHeight="1" x14ac:dyDescent="0.2">
      <c r="A269" s="136" t="s">
        <v>1692</v>
      </c>
      <c r="B269" s="4">
        <v>12</v>
      </c>
      <c r="C269" s="201" t="s">
        <v>1693</v>
      </c>
      <c r="D269" s="201" t="s">
        <v>4471</v>
      </c>
      <c r="E269" s="4">
        <v>12037</v>
      </c>
      <c r="F269" s="4" t="s">
        <v>4472</v>
      </c>
      <c r="G269" s="188" t="s">
        <v>4473</v>
      </c>
      <c r="H269" s="4" t="s">
        <v>4474</v>
      </c>
      <c r="I269" s="4" t="s">
        <v>49</v>
      </c>
      <c r="J269" s="4" t="s">
        <v>1746</v>
      </c>
      <c r="K269" s="4">
        <v>1</v>
      </c>
      <c r="L269" s="4">
        <v>14093</v>
      </c>
      <c r="M269" s="9"/>
      <c r="N269" s="9"/>
      <c r="O269" s="9"/>
      <c r="P269" s="9"/>
      <c r="Q269" s="20"/>
      <c r="R269" s="9"/>
      <c r="S269" s="9"/>
      <c r="T269" s="9"/>
      <c r="U269" s="9"/>
      <c r="V269" s="9"/>
      <c r="W269" s="21"/>
      <c r="X269" s="9"/>
      <c r="AK269" s="9"/>
      <c r="AO269" s="268" t="s">
        <v>4472</v>
      </c>
      <c r="AP269" s="268">
        <v>1260</v>
      </c>
      <c r="AQ269" s="268" t="s">
        <v>1716</v>
      </c>
      <c r="AR269" s="268" t="s">
        <v>1701</v>
      </c>
      <c r="AS269" s="268" t="s">
        <v>1740</v>
      </c>
      <c r="AT269" s="268" t="s">
        <v>1741</v>
      </c>
      <c r="AU269" s="268" t="s">
        <v>1742</v>
      </c>
      <c r="AV269" s="268" t="s">
        <v>4415</v>
      </c>
      <c r="AW269" s="268" t="s">
        <v>2698</v>
      </c>
      <c r="AX269" s="268" t="s">
        <v>2768</v>
      </c>
      <c r="AY269" s="268">
        <v>50.622900000000001</v>
      </c>
      <c r="AZ269" s="268">
        <v>-116.0628</v>
      </c>
      <c r="BA269" s="268">
        <v>1009</v>
      </c>
    </row>
    <row r="270" spans="1:72" ht="14.25" customHeight="1" x14ac:dyDescent="0.2">
      <c r="A270" s="136" t="s">
        <v>1692</v>
      </c>
      <c r="B270" s="4">
        <v>12</v>
      </c>
      <c r="C270" s="201" t="s">
        <v>1693</v>
      </c>
      <c r="D270" s="201" t="s">
        <v>4475</v>
      </c>
      <c r="E270" s="4">
        <v>12036</v>
      </c>
      <c r="F270" s="4" t="s">
        <v>4476</v>
      </c>
      <c r="G270" s="8" t="s">
        <v>4477</v>
      </c>
      <c r="H270" s="4" t="s">
        <v>4474</v>
      </c>
      <c r="I270" s="4" t="s">
        <v>49</v>
      </c>
      <c r="J270" s="4" t="s">
        <v>1746</v>
      </c>
      <c r="K270" s="4">
        <v>1</v>
      </c>
      <c r="L270" s="4">
        <v>14094</v>
      </c>
      <c r="M270" s="9"/>
      <c r="N270" s="9"/>
      <c r="O270" s="9"/>
      <c r="P270" s="9"/>
      <c r="Q270" s="20"/>
      <c r="R270" s="9"/>
      <c r="S270" s="9"/>
      <c r="T270" s="9"/>
      <c r="U270" s="9"/>
      <c r="V270" s="9"/>
      <c r="W270" s="21"/>
      <c r="X270" s="9"/>
      <c r="AK270" s="9"/>
      <c r="AO270" s="268" t="s">
        <v>4476</v>
      </c>
      <c r="AP270" s="268">
        <v>1261</v>
      </c>
      <c r="AQ270" s="268" t="s">
        <v>1716</v>
      </c>
      <c r="AR270" s="268" t="s">
        <v>1701</v>
      </c>
      <c r="AS270" s="268" t="s">
        <v>1740</v>
      </c>
      <c r="AT270" s="268" t="s">
        <v>1741</v>
      </c>
      <c r="AU270" s="268" t="s">
        <v>1742</v>
      </c>
      <c r="AV270" s="268" t="s">
        <v>4415</v>
      </c>
      <c r="AW270" s="268" t="s">
        <v>2698</v>
      </c>
      <c r="AX270" s="268" t="s">
        <v>2699</v>
      </c>
      <c r="AY270" s="268">
        <v>51.021999999999998</v>
      </c>
      <c r="AZ270" s="268">
        <v>-118.2072</v>
      </c>
      <c r="BA270" s="268">
        <v>527</v>
      </c>
    </row>
    <row r="271" spans="1:72" ht="14.25" customHeight="1" x14ac:dyDescent="0.2">
      <c r="A271" s="136" t="s">
        <v>1692</v>
      </c>
      <c r="B271" s="4">
        <v>12</v>
      </c>
      <c r="C271" s="201" t="s">
        <v>1693</v>
      </c>
      <c r="D271" s="201" t="s">
        <v>4478</v>
      </c>
      <c r="E271" s="4">
        <v>12051</v>
      </c>
      <c r="F271" s="4" t="s">
        <v>4479</v>
      </c>
      <c r="G271" s="188" t="s">
        <v>4480</v>
      </c>
      <c r="H271" s="4" t="s">
        <v>4481</v>
      </c>
      <c r="I271" s="4" t="s">
        <v>49</v>
      </c>
      <c r="J271" s="4" t="s">
        <v>1746</v>
      </c>
      <c r="K271" s="4">
        <v>1</v>
      </c>
      <c r="L271" s="4">
        <v>14108</v>
      </c>
      <c r="M271" s="9"/>
      <c r="N271" s="9"/>
      <c r="O271" s="9"/>
      <c r="P271" s="9"/>
      <c r="Q271" s="20"/>
      <c r="R271" s="9"/>
      <c r="S271" s="9"/>
      <c r="T271" s="9"/>
      <c r="U271" s="9"/>
      <c r="V271" s="9"/>
      <c r="W271" s="21"/>
      <c r="X271" s="9"/>
      <c r="AK271" s="9"/>
      <c r="AO271" s="268" t="s">
        <v>4479</v>
      </c>
      <c r="AP271" s="268">
        <v>1262</v>
      </c>
      <c r="AQ271" s="268" t="s">
        <v>1716</v>
      </c>
      <c r="AR271" s="268" t="s">
        <v>1701</v>
      </c>
      <c r="AS271" s="268" t="s">
        <v>1740</v>
      </c>
      <c r="AT271" s="268" t="s">
        <v>1741</v>
      </c>
      <c r="AU271" s="268" t="s">
        <v>1742</v>
      </c>
      <c r="AV271" s="268" t="s">
        <v>4415</v>
      </c>
      <c r="AW271" s="268" t="s">
        <v>2698</v>
      </c>
      <c r="AX271" s="268" t="s">
        <v>2699</v>
      </c>
      <c r="AY271" s="268">
        <v>51.025300000000001</v>
      </c>
      <c r="AZ271" s="268">
        <v>-118.1514</v>
      </c>
      <c r="BA271" s="268">
        <v>1561</v>
      </c>
    </row>
    <row r="272" spans="1:72" ht="14.25" customHeight="1" x14ac:dyDescent="0.2">
      <c r="A272" s="136" t="s">
        <v>1692</v>
      </c>
      <c r="B272" s="4">
        <v>12</v>
      </c>
      <c r="C272" s="201" t="s">
        <v>1693</v>
      </c>
      <c r="D272" s="201" t="s">
        <v>4482</v>
      </c>
      <c r="E272" s="4">
        <v>12038</v>
      </c>
      <c r="F272" s="4" t="s">
        <v>4483</v>
      </c>
      <c r="G272" s="8" t="s">
        <v>4484</v>
      </c>
      <c r="H272" s="4" t="s">
        <v>4474</v>
      </c>
      <c r="I272" s="4" t="s">
        <v>49</v>
      </c>
      <c r="J272" s="4" t="s">
        <v>1746</v>
      </c>
      <c r="K272" s="4">
        <v>1</v>
      </c>
      <c r="L272" s="4">
        <v>14095</v>
      </c>
      <c r="M272" s="27"/>
      <c r="N272" s="27"/>
      <c r="O272" s="27"/>
      <c r="P272" s="27"/>
      <c r="Q272" s="29"/>
      <c r="R272" s="27"/>
      <c r="S272" s="27"/>
      <c r="T272" s="27"/>
      <c r="U272" s="27"/>
      <c r="V272" s="27"/>
      <c r="W272" s="31"/>
      <c r="X272" s="27"/>
      <c r="Y272" s="182"/>
      <c r="Z272" s="182"/>
      <c r="AA272" s="182"/>
      <c r="AB272" s="182"/>
      <c r="AC272" s="182"/>
      <c r="AD272" s="182"/>
      <c r="AE272" s="182"/>
      <c r="AF272" s="182"/>
      <c r="AG272" s="182"/>
      <c r="AH272" s="182"/>
      <c r="AI272" s="182"/>
      <c r="AJ272" s="182"/>
      <c r="AK272" s="27"/>
      <c r="AL272" s="182"/>
      <c r="AM272" s="182"/>
      <c r="AN272" s="182"/>
      <c r="AO272" s="69" t="s">
        <v>4483</v>
      </c>
      <c r="AP272" s="69">
        <v>1263</v>
      </c>
      <c r="AQ272" s="69" t="s">
        <v>1716</v>
      </c>
      <c r="AR272" s="69" t="s">
        <v>1701</v>
      </c>
      <c r="AS272" s="69" t="s">
        <v>1740</v>
      </c>
      <c r="AT272" s="69" t="s">
        <v>1741</v>
      </c>
      <c r="AU272" s="69" t="s">
        <v>1742</v>
      </c>
      <c r="AV272" s="69" t="s">
        <v>4415</v>
      </c>
      <c r="AW272" s="69" t="s">
        <v>2698</v>
      </c>
      <c r="AX272" s="69" t="s">
        <v>2699</v>
      </c>
      <c r="AY272" s="69">
        <v>51.234400000000001</v>
      </c>
      <c r="AZ272" s="69">
        <v>-117.681</v>
      </c>
      <c r="BA272" s="69">
        <v>1308</v>
      </c>
      <c r="BB272" s="182"/>
      <c r="BC272" s="182"/>
      <c r="BD272" s="182"/>
      <c r="BE272" s="182"/>
      <c r="BF272" s="182"/>
      <c r="BG272" s="182"/>
      <c r="BH272" s="182"/>
      <c r="BI272" s="182"/>
      <c r="BJ272" s="182"/>
      <c r="BK272" s="182"/>
      <c r="BL272" s="182"/>
      <c r="BM272" s="182"/>
      <c r="BN272" s="182"/>
      <c r="BO272" s="182"/>
      <c r="BP272" s="182"/>
      <c r="BQ272" s="182"/>
      <c r="BR272" s="182"/>
      <c r="BS272" s="182"/>
      <c r="BT272" s="182"/>
    </row>
    <row r="273" spans="1:72" ht="14.25" customHeight="1" x14ac:dyDescent="0.2">
      <c r="A273" s="136" t="s">
        <v>1692</v>
      </c>
      <c r="B273" s="4">
        <v>12</v>
      </c>
      <c r="C273" s="201" t="s">
        <v>1693</v>
      </c>
      <c r="D273" s="201" t="s">
        <v>4485</v>
      </c>
      <c r="E273" s="4">
        <v>12039</v>
      </c>
      <c r="F273" s="4" t="s">
        <v>4486</v>
      </c>
      <c r="G273" s="8" t="s">
        <v>4487</v>
      </c>
      <c r="H273" s="4" t="s">
        <v>4474</v>
      </c>
      <c r="I273" s="4" t="s">
        <v>49</v>
      </c>
      <c r="J273" s="4" t="s">
        <v>1746</v>
      </c>
      <c r="K273" s="4">
        <v>1</v>
      </c>
      <c r="L273" s="4">
        <v>14096</v>
      </c>
      <c r="M273" s="9"/>
      <c r="U273"/>
      <c r="AK273" s="9"/>
      <c r="AO273" s="268" t="s">
        <v>4486</v>
      </c>
      <c r="AP273" s="268">
        <v>1264</v>
      </c>
      <c r="AQ273" s="268" t="s">
        <v>1716</v>
      </c>
      <c r="AR273" s="268" t="s">
        <v>1701</v>
      </c>
      <c r="AS273" s="268" t="s">
        <v>1740</v>
      </c>
      <c r="AT273" s="268" t="s">
        <v>1741</v>
      </c>
      <c r="AU273" s="268" t="s">
        <v>1742</v>
      </c>
      <c r="AV273" s="268" t="s">
        <v>4415</v>
      </c>
      <c r="AW273" s="268" t="s">
        <v>2698</v>
      </c>
      <c r="AX273" s="268" t="s">
        <v>2699</v>
      </c>
      <c r="AY273" s="268">
        <v>51.414900000000003</v>
      </c>
      <c r="AZ273" s="268">
        <v>-117.47410000000001</v>
      </c>
      <c r="BA273" s="268">
        <v>835</v>
      </c>
    </row>
    <row r="274" spans="1:72" ht="14.25" customHeight="1" x14ac:dyDescent="0.2">
      <c r="A274" s="136" t="s">
        <v>1692</v>
      </c>
      <c r="B274" s="4">
        <v>12</v>
      </c>
      <c r="C274" s="201" t="s">
        <v>1693</v>
      </c>
      <c r="D274" s="201" t="s">
        <v>4488</v>
      </c>
      <c r="E274" s="4">
        <v>12042</v>
      </c>
      <c r="F274" s="196" t="s">
        <v>4489</v>
      </c>
      <c r="G274" s="8" t="s">
        <v>4490</v>
      </c>
      <c r="H274" s="4" t="s">
        <v>4491</v>
      </c>
      <c r="I274" s="4" t="s">
        <v>49</v>
      </c>
      <c r="J274" s="4" t="s">
        <v>1746</v>
      </c>
      <c r="K274" s="4">
        <v>1</v>
      </c>
      <c r="L274" s="4">
        <v>14099</v>
      </c>
      <c r="M274" s="9"/>
      <c r="U274" s="182"/>
      <c r="V274" s="182"/>
      <c r="W274" s="182"/>
      <c r="X274" s="182"/>
      <c r="Y274" s="182"/>
      <c r="Z274" s="182"/>
      <c r="AA274" s="182"/>
      <c r="AB274" s="182"/>
      <c r="AC274" s="182"/>
      <c r="AD274" s="182"/>
      <c r="AE274" s="182"/>
      <c r="AF274" s="182"/>
      <c r="AG274" s="182"/>
      <c r="AH274" s="182"/>
      <c r="AI274" s="182"/>
      <c r="AJ274" s="182"/>
      <c r="AK274" s="27"/>
      <c r="AL274" s="182"/>
      <c r="AM274" s="182"/>
      <c r="AN274" s="182"/>
      <c r="AO274" s="69" t="s">
        <v>4489</v>
      </c>
      <c r="AP274" s="69">
        <v>1265</v>
      </c>
      <c r="AQ274" s="69" t="s">
        <v>1716</v>
      </c>
      <c r="AR274" s="69" t="s">
        <v>1701</v>
      </c>
      <c r="AS274" s="69" t="s">
        <v>1740</v>
      </c>
      <c r="AT274" s="69" t="s">
        <v>1741</v>
      </c>
      <c r="AU274" s="69" t="s">
        <v>1742</v>
      </c>
      <c r="AV274" s="69" t="s">
        <v>4415</v>
      </c>
      <c r="AW274" s="69" t="s">
        <v>2698</v>
      </c>
      <c r="AX274" s="69" t="s">
        <v>2699</v>
      </c>
      <c r="AY274" s="69">
        <v>51.314500000000002</v>
      </c>
      <c r="AZ274" s="69">
        <v>-117.3741</v>
      </c>
      <c r="BA274" s="69">
        <v>1638</v>
      </c>
      <c r="BB274" s="182"/>
      <c r="BC274" s="182"/>
      <c r="BD274" s="182"/>
      <c r="BE274" s="182"/>
      <c r="BF274" s="182"/>
      <c r="BG274" s="182"/>
      <c r="BH274" s="182"/>
      <c r="BI274" s="182"/>
      <c r="BJ274" s="182"/>
      <c r="BK274" s="182"/>
      <c r="BL274" s="182"/>
      <c r="BM274" s="182"/>
      <c r="BN274" s="182"/>
      <c r="BO274" s="182"/>
      <c r="BP274" s="182"/>
      <c r="BQ274" s="182"/>
      <c r="BR274" s="182"/>
      <c r="BS274" s="182"/>
      <c r="BT274" s="182"/>
    </row>
    <row r="275" spans="1:72" ht="14.25" customHeight="1" x14ac:dyDescent="0.2">
      <c r="A275" s="136" t="s">
        <v>1692</v>
      </c>
      <c r="B275" s="4">
        <v>9</v>
      </c>
      <c r="C275" s="201" t="s">
        <v>5039</v>
      </c>
      <c r="D275" s="200" t="s">
        <v>5092</v>
      </c>
      <c r="E275" s="4">
        <v>12089</v>
      </c>
      <c r="F275" s="196" t="s">
        <v>5093</v>
      </c>
      <c r="G275" s="8" t="s">
        <v>5094</v>
      </c>
      <c r="H275" s="4" t="s">
        <v>5095</v>
      </c>
      <c r="I275" s="4" t="s">
        <v>641</v>
      </c>
      <c r="J275" s="4" t="s">
        <v>5037</v>
      </c>
      <c r="K275" s="4">
        <v>1</v>
      </c>
      <c r="L275" s="4">
        <v>14145</v>
      </c>
      <c r="M275" s="9"/>
      <c r="U275" s="182"/>
      <c r="V275" s="27"/>
      <c r="W275" s="27"/>
      <c r="X275" s="27"/>
      <c r="Y275" s="27"/>
      <c r="Z275" s="29"/>
      <c r="AA275" s="27"/>
      <c r="AB275" s="30"/>
      <c r="AC275" s="27"/>
      <c r="AD275" s="182"/>
      <c r="AE275" s="182"/>
      <c r="AF275" s="182"/>
      <c r="AG275" s="182"/>
      <c r="AH275" s="182"/>
      <c r="AI275" s="182"/>
      <c r="AJ275" s="182"/>
      <c r="AK275" s="27"/>
      <c r="AL275" s="182"/>
      <c r="AM275" s="182"/>
      <c r="AN275" s="182"/>
      <c r="AO275" s="182"/>
      <c r="AP275" s="182"/>
      <c r="AQ275" s="182"/>
      <c r="AR275" s="182"/>
      <c r="AS275" s="182"/>
      <c r="AT275" s="182"/>
      <c r="AU275" s="182"/>
      <c r="AV275" s="182"/>
      <c r="AW275" s="182"/>
      <c r="AX275" s="182"/>
      <c r="AY275" s="182"/>
      <c r="AZ275" s="182"/>
      <c r="BA275" s="182"/>
      <c r="BB275" s="182"/>
      <c r="BC275" s="182"/>
      <c r="BD275" s="182"/>
      <c r="BE275" s="182"/>
      <c r="BF275" s="182"/>
      <c r="BG275" s="182"/>
      <c r="BH275" s="182"/>
      <c r="BI275" s="182"/>
      <c r="BJ275" s="182"/>
      <c r="BK275" s="182"/>
      <c r="BL275" s="182"/>
      <c r="BM275" s="182"/>
      <c r="BN275" s="182"/>
      <c r="BO275" s="182"/>
      <c r="BP275" s="182"/>
      <c r="BQ275" s="182"/>
      <c r="BR275" s="182"/>
      <c r="BS275" s="182"/>
      <c r="BT275" s="182"/>
    </row>
    <row r="276" spans="1:72" ht="14.25" customHeight="1" x14ac:dyDescent="0.2">
      <c r="A276" s="145" t="s">
        <v>5061</v>
      </c>
      <c r="B276" s="4">
        <v>9</v>
      </c>
      <c r="C276" s="201" t="s">
        <v>5039</v>
      </c>
      <c r="D276" s="201" t="s">
        <v>5062</v>
      </c>
      <c r="E276" s="4">
        <v>2628</v>
      </c>
      <c r="F276" s="4" t="s">
        <v>729</v>
      </c>
      <c r="G276" s="8" t="s">
        <v>5063</v>
      </c>
      <c r="H276" s="4" t="s">
        <v>84</v>
      </c>
      <c r="I276" s="4" t="s">
        <v>641</v>
      </c>
      <c r="K276" s="4">
        <v>1</v>
      </c>
      <c r="L276" s="4">
        <v>3031</v>
      </c>
      <c r="M276" s="9"/>
      <c r="U276"/>
      <c r="V276" s="9"/>
      <c r="W276" s="9"/>
      <c r="X276" s="9"/>
      <c r="Y276" s="9"/>
      <c r="Z276" s="70"/>
      <c r="AA276" s="9"/>
      <c r="AB276" s="11"/>
      <c r="AC276" s="9"/>
      <c r="AK276" s="9"/>
    </row>
    <row r="277" spans="1:72" ht="14.25" customHeight="1" x14ac:dyDescent="0.2">
      <c r="A277" s="5" t="s">
        <v>5679</v>
      </c>
      <c r="B277" s="4">
        <v>9</v>
      </c>
      <c r="C277" s="201" t="s">
        <v>5039</v>
      </c>
      <c r="D277" s="201" t="s">
        <v>5680</v>
      </c>
      <c r="E277" s="4">
        <v>12220</v>
      </c>
      <c r="F277" s="4" t="s">
        <v>5681</v>
      </c>
      <c r="G277" s="8" t="s">
        <v>5682</v>
      </c>
      <c r="H277" s="4" t="s">
        <v>84</v>
      </c>
      <c r="I277" s="4" t="s">
        <v>641</v>
      </c>
      <c r="K277" s="4">
        <v>1</v>
      </c>
      <c r="L277" s="4">
        <v>14275</v>
      </c>
      <c r="M277" s="34"/>
      <c r="N277" s="231"/>
      <c r="O277" s="240"/>
      <c r="R277" s="231"/>
      <c r="U277"/>
      <c r="AK277" s="9"/>
      <c r="AO277" s="9"/>
    </row>
    <row r="278" spans="1:72" ht="14.25" customHeight="1" x14ac:dyDescent="0.2">
      <c r="A278" s="145" t="s">
        <v>5104</v>
      </c>
      <c r="B278" s="4">
        <v>9</v>
      </c>
      <c r="C278" s="201" t="s">
        <v>5039</v>
      </c>
      <c r="D278" s="201" t="s">
        <v>5040</v>
      </c>
      <c r="E278" s="4">
        <v>12074</v>
      </c>
      <c r="F278" s="196" t="s">
        <v>5041</v>
      </c>
      <c r="G278" s="188" t="s">
        <v>5042</v>
      </c>
      <c r="H278" s="4" t="s">
        <v>84</v>
      </c>
      <c r="I278" s="4" t="s">
        <v>641</v>
      </c>
      <c r="K278" s="4">
        <v>1</v>
      </c>
      <c r="L278" s="4">
        <v>14130</v>
      </c>
      <c r="M278" s="27"/>
      <c r="N278" s="182"/>
      <c r="O278" s="182"/>
      <c r="P278" s="182"/>
      <c r="Q278" s="182"/>
      <c r="R278" s="182"/>
      <c r="S278" s="182"/>
      <c r="T278" s="182"/>
      <c r="U278" s="182"/>
      <c r="V278" s="182"/>
      <c r="W278" s="182"/>
      <c r="X278" s="182"/>
      <c r="Y278" s="182"/>
      <c r="Z278" s="182"/>
      <c r="AA278" s="182"/>
      <c r="AB278" s="182"/>
      <c r="AC278" s="182"/>
      <c r="AD278" s="182"/>
      <c r="AE278" s="182"/>
      <c r="AF278" s="182"/>
      <c r="AG278" s="182"/>
      <c r="AH278" s="182"/>
      <c r="AI278" s="182"/>
      <c r="AJ278" s="182"/>
      <c r="AK278" s="27"/>
      <c r="AL278" s="182"/>
      <c r="AM278" s="182"/>
      <c r="AN278" s="182"/>
      <c r="AO278" s="182"/>
      <c r="AP278" s="182"/>
      <c r="AQ278" s="182"/>
      <c r="AR278" s="182"/>
      <c r="AS278" s="182"/>
      <c r="AT278" s="182"/>
      <c r="AU278" s="182"/>
      <c r="AV278" s="182"/>
      <c r="AW278" s="182"/>
      <c r="AX278" s="182"/>
      <c r="AY278" s="182"/>
      <c r="AZ278" s="182"/>
      <c r="BA278" s="182"/>
      <c r="BB278" s="182"/>
      <c r="BC278" s="182"/>
      <c r="BD278" s="182"/>
      <c r="BE278" s="182"/>
      <c r="BF278" s="182"/>
      <c r="BG278" s="182"/>
      <c r="BH278" s="182"/>
      <c r="BI278" s="182"/>
      <c r="BJ278" s="182"/>
      <c r="BK278" s="182"/>
      <c r="BL278" s="182"/>
      <c r="BM278" s="182"/>
      <c r="BN278" s="182"/>
      <c r="BO278" s="182"/>
      <c r="BP278" s="182"/>
      <c r="BQ278" s="182"/>
      <c r="BR278" s="182"/>
      <c r="BS278" s="182"/>
      <c r="BT278" s="182"/>
    </row>
    <row r="279" spans="1:72" ht="14.25" customHeight="1" x14ac:dyDescent="0.2">
      <c r="A279" s="145" t="s">
        <v>5104</v>
      </c>
      <c r="B279" s="4">
        <v>9</v>
      </c>
      <c r="C279" s="201" t="s">
        <v>5039</v>
      </c>
      <c r="D279" s="201" t="s">
        <v>5105</v>
      </c>
      <c r="E279" s="4">
        <v>12092</v>
      </c>
      <c r="F279" s="196" t="s">
        <v>435</v>
      </c>
      <c r="G279" s="188" t="s">
        <v>5106</v>
      </c>
      <c r="H279" s="4" t="s">
        <v>84</v>
      </c>
      <c r="I279" s="4" t="s">
        <v>641</v>
      </c>
      <c r="K279" s="4">
        <v>1</v>
      </c>
      <c r="L279" s="4">
        <v>14148</v>
      </c>
      <c r="M279" s="9"/>
      <c r="U279" s="182"/>
      <c r="V279" s="182"/>
      <c r="W279" s="182"/>
      <c r="X279" s="182"/>
      <c r="Y279" s="182"/>
      <c r="Z279" s="182"/>
      <c r="AA279" s="182"/>
      <c r="AB279" s="182"/>
      <c r="AC279" s="182"/>
      <c r="AD279" s="182"/>
      <c r="AE279" s="182"/>
      <c r="AF279" s="182"/>
      <c r="AG279" s="182"/>
      <c r="AH279" s="182"/>
      <c r="AI279" s="182"/>
      <c r="AJ279" s="182"/>
      <c r="AK279" s="27"/>
      <c r="AL279" s="182"/>
      <c r="AM279" s="182"/>
      <c r="AN279" s="182"/>
      <c r="AO279" s="182"/>
      <c r="AP279" s="182"/>
      <c r="AQ279" s="182"/>
      <c r="AR279" s="182"/>
      <c r="AS279" s="182"/>
      <c r="AT279" s="182"/>
      <c r="AU279" s="182"/>
      <c r="AV279" s="182"/>
      <c r="AW279" s="182"/>
      <c r="AX279" s="182"/>
      <c r="AY279" s="182"/>
      <c r="AZ279" s="182"/>
      <c r="BA279" s="182"/>
      <c r="BB279" s="182"/>
      <c r="BC279" s="182"/>
      <c r="BD279" s="182"/>
      <c r="BE279" s="182"/>
      <c r="BF279" s="182"/>
      <c r="BG279" s="182"/>
      <c r="BH279" s="182"/>
      <c r="BI279" s="182"/>
      <c r="BJ279" s="182"/>
      <c r="BK279" s="182"/>
      <c r="BL279" s="182"/>
      <c r="BM279" s="182"/>
      <c r="BN279" s="182"/>
      <c r="BO279" s="182"/>
      <c r="BP279" s="182"/>
      <c r="BQ279" s="182"/>
      <c r="BR279" s="182"/>
      <c r="BS279" s="182"/>
      <c r="BT279" s="182"/>
    </row>
    <row r="280" spans="1:72" ht="14.25" customHeight="1" x14ac:dyDescent="0.2">
      <c r="A280" s="145" t="s">
        <v>5104</v>
      </c>
      <c r="B280" s="4">
        <v>9</v>
      </c>
      <c r="C280" s="201" t="s">
        <v>5039</v>
      </c>
      <c r="D280" s="201" t="s">
        <v>5270</v>
      </c>
      <c r="E280" s="4">
        <v>2634</v>
      </c>
      <c r="F280" s="4" t="s">
        <v>5271</v>
      </c>
      <c r="G280" s="8" t="s">
        <v>5272</v>
      </c>
      <c r="H280" s="4" t="s">
        <v>5273</v>
      </c>
      <c r="I280" s="4" t="s">
        <v>641</v>
      </c>
      <c r="J280" s="4" t="s">
        <v>5048</v>
      </c>
      <c r="K280" s="4">
        <v>1</v>
      </c>
      <c r="L280" s="4">
        <v>3037</v>
      </c>
      <c r="M280" s="9"/>
      <c r="U280"/>
      <c r="AK280" s="9"/>
    </row>
    <row r="281" spans="1:72" ht="14.25" customHeight="1" x14ac:dyDescent="0.2">
      <c r="A281" s="145" t="s">
        <v>5104</v>
      </c>
      <c r="B281" s="4">
        <v>9</v>
      </c>
      <c r="C281" s="201" t="s">
        <v>5039</v>
      </c>
      <c r="D281" s="201" t="s">
        <v>5810</v>
      </c>
      <c r="E281" s="4">
        <v>12269</v>
      </c>
      <c r="F281" s="4" t="s">
        <v>433</v>
      </c>
      <c r="G281" s="188" t="s">
        <v>5811</v>
      </c>
      <c r="H281" s="4" t="s">
        <v>84</v>
      </c>
      <c r="I281" s="4" t="s">
        <v>641</v>
      </c>
      <c r="K281" s="4">
        <v>1</v>
      </c>
      <c r="L281" s="4">
        <v>14324</v>
      </c>
      <c r="M281" s="9"/>
      <c r="U281"/>
      <c r="AK281" s="9"/>
    </row>
    <row r="282" spans="1:72" ht="14.25" customHeight="1" x14ac:dyDescent="0.2">
      <c r="A282" s="136" t="s">
        <v>5703</v>
      </c>
      <c r="B282" s="4">
        <v>9</v>
      </c>
      <c r="C282" s="8" t="s">
        <v>5039</v>
      </c>
      <c r="D282" s="10" t="s">
        <v>5704</v>
      </c>
      <c r="E282" s="4">
        <v>12232</v>
      </c>
      <c r="F282" s="36" t="s">
        <v>5705</v>
      </c>
      <c r="G282" s="188" t="s">
        <v>5706</v>
      </c>
      <c r="H282" s="4" t="s">
        <v>5095</v>
      </c>
      <c r="I282" s="4" t="s">
        <v>641</v>
      </c>
      <c r="J282" s="4" t="s">
        <v>5083</v>
      </c>
      <c r="K282" s="4">
        <v>1</v>
      </c>
      <c r="L282" s="4">
        <v>14287</v>
      </c>
      <c r="M282" s="27"/>
      <c r="N282" s="182"/>
      <c r="O282" s="182"/>
      <c r="P282" s="182"/>
      <c r="Q282" s="182"/>
      <c r="R282" s="182"/>
      <c r="S282" s="182"/>
      <c r="T282" s="182"/>
      <c r="U282" s="182"/>
      <c r="V282" s="182"/>
      <c r="W282" s="182"/>
      <c r="X282" s="182"/>
      <c r="Y282" s="182"/>
      <c r="Z282" s="182"/>
      <c r="AA282" s="182"/>
      <c r="AB282" s="182"/>
      <c r="AC282" s="182"/>
      <c r="AD282" s="182"/>
      <c r="AE282" s="182"/>
      <c r="AF282" s="182"/>
      <c r="AG282" s="182"/>
      <c r="AH282" s="182"/>
      <c r="AI282" s="182"/>
      <c r="AJ282" s="182"/>
      <c r="AK282" s="27"/>
      <c r="AL282" s="182"/>
      <c r="AM282" s="182"/>
      <c r="AN282" s="182"/>
      <c r="AO282" s="27"/>
      <c r="AP282" s="182"/>
      <c r="AQ282" s="182"/>
      <c r="AR282" s="182"/>
      <c r="AS282" s="182"/>
      <c r="AT282" s="182"/>
      <c r="AU282" s="182"/>
      <c r="AV282" s="182"/>
      <c r="AW282" s="182"/>
      <c r="AX282" s="182"/>
      <c r="AY282" s="182"/>
      <c r="AZ282" s="182"/>
      <c r="BA282" s="182"/>
      <c r="BB282" s="182"/>
      <c r="BC282" s="182"/>
      <c r="BD282" s="182"/>
      <c r="BE282" s="182"/>
      <c r="BF282" s="182"/>
      <c r="BG282" s="182"/>
      <c r="BH282" s="182"/>
      <c r="BI282" s="182"/>
      <c r="BJ282" s="182"/>
      <c r="BK282" s="182"/>
      <c r="BL282" s="182"/>
      <c r="BM282" s="182"/>
      <c r="BN282" s="182"/>
      <c r="BO282" s="182"/>
      <c r="BP282" s="182"/>
      <c r="BQ282" s="182"/>
      <c r="BR282" s="182"/>
      <c r="BS282" s="182"/>
      <c r="BT282" s="182"/>
    </row>
    <row r="283" spans="1:72" ht="14.25" customHeight="1" x14ac:dyDescent="0.2">
      <c r="A283" s="136" t="s">
        <v>3107</v>
      </c>
      <c r="B283" s="4">
        <v>12</v>
      </c>
      <c r="C283" s="201" t="s">
        <v>3108</v>
      </c>
      <c r="D283" s="207" t="s">
        <v>3109</v>
      </c>
      <c r="E283" s="4">
        <v>13011</v>
      </c>
      <c r="F283" s="200" t="s">
        <v>3110</v>
      </c>
      <c r="G283" s="8" t="s">
        <v>3111</v>
      </c>
      <c r="H283" s="4" t="s">
        <v>3112</v>
      </c>
      <c r="I283" s="4" t="s">
        <v>49</v>
      </c>
      <c r="J283" s="4" t="s">
        <v>1746</v>
      </c>
      <c r="K283" s="4">
        <v>1</v>
      </c>
      <c r="L283" s="4">
        <v>14943</v>
      </c>
      <c r="M283" s="9">
        <v>49.444916669999998</v>
      </c>
      <c r="N283" s="9">
        <v>-123.1039444</v>
      </c>
      <c r="O283" s="9" t="s">
        <v>51</v>
      </c>
      <c r="P283" s="9" t="s">
        <v>3113</v>
      </c>
      <c r="Q283" s="20">
        <v>2</v>
      </c>
      <c r="R283" s="9" t="s">
        <v>3114</v>
      </c>
      <c r="S283" s="9" t="s">
        <v>3115</v>
      </c>
      <c r="T283" s="9">
        <v>295</v>
      </c>
      <c r="U283" s="203"/>
      <c r="V283" s="9" t="s">
        <v>3116</v>
      </c>
      <c r="W283" s="9">
        <v>1986</v>
      </c>
      <c r="X283" s="9" t="s">
        <v>3117</v>
      </c>
      <c r="Y283" s="9" t="s">
        <v>3118</v>
      </c>
      <c r="Z283" s="9"/>
      <c r="AA283" s="9"/>
      <c r="AB283" s="9"/>
      <c r="AC283" s="9" t="s">
        <v>55</v>
      </c>
      <c r="AD283" s="9" t="s">
        <v>56</v>
      </c>
      <c r="AE283" s="9" t="s">
        <v>66</v>
      </c>
      <c r="AF283" s="9"/>
      <c r="AG283" s="9"/>
      <c r="AH283" s="9" t="s">
        <v>3119</v>
      </c>
      <c r="AI283" s="9"/>
      <c r="AJ283" s="9"/>
      <c r="AO283" s="268" t="s">
        <v>3120</v>
      </c>
      <c r="AP283" s="268">
        <v>554</v>
      </c>
      <c r="AQ283" s="268" t="s">
        <v>1716</v>
      </c>
      <c r="AR283" s="268" t="s">
        <v>1701</v>
      </c>
      <c r="AS283" s="268" t="s">
        <v>1740</v>
      </c>
      <c r="AT283" s="268" t="s">
        <v>1835</v>
      </c>
      <c r="AU283" s="268" t="s">
        <v>1742</v>
      </c>
      <c r="AV283" s="268" t="s">
        <v>3121</v>
      </c>
      <c r="AW283" s="268" t="s">
        <v>1705</v>
      </c>
      <c r="AX283" s="268" t="s">
        <v>1883</v>
      </c>
      <c r="AY283" s="268">
        <v>49.44</v>
      </c>
      <c r="AZ283" s="268">
        <v>-123.09699999999999</v>
      </c>
      <c r="BA283" s="268">
        <v>400</v>
      </c>
    </row>
    <row r="284" spans="1:72" ht="14.25" customHeight="1" x14ac:dyDescent="0.2">
      <c r="A284" s="136" t="s">
        <v>3107</v>
      </c>
      <c r="B284" s="4">
        <v>12</v>
      </c>
      <c r="C284" s="8" t="s">
        <v>3108</v>
      </c>
      <c r="D284" s="64" t="s">
        <v>3122</v>
      </c>
      <c r="E284" s="4">
        <v>13012</v>
      </c>
      <c r="F284" s="10" t="s">
        <v>3123</v>
      </c>
      <c r="G284" s="8" t="s">
        <v>3124</v>
      </c>
      <c r="H284" s="4" t="s">
        <v>3112</v>
      </c>
      <c r="I284" s="4" t="s">
        <v>49</v>
      </c>
      <c r="J284" s="4" t="s">
        <v>1746</v>
      </c>
      <c r="K284" s="4">
        <v>1</v>
      </c>
      <c r="L284" s="4">
        <v>14944</v>
      </c>
      <c r="M284" s="9">
        <v>49.485888889999998</v>
      </c>
      <c r="N284" s="9">
        <v>-122.9463056</v>
      </c>
      <c r="O284" s="9" t="s">
        <v>51</v>
      </c>
      <c r="P284" s="9" t="s">
        <v>3125</v>
      </c>
      <c r="Q284" s="20">
        <v>3</v>
      </c>
      <c r="R284" s="9" t="s">
        <v>3126</v>
      </c>
      <c r="S284" s="9" t="s">
        <v>3115</v>
      </c>
      <c r="T284" s="9">
        <v>375</v>
      </c>
      <c r="U284" s="9"/>
      <c r="V284" s="9" t="s">
        <v>3127</v>
      </c>
      <c r="W284" s="9">
        <v>1987</v>
      </c>
      <c r="X284" s="9" t="s">
        <v>3117</v>
      </c>
      <c r="Y284" s="9" t="s">
        <v>3118</v>
      </c>
      <c r="Z284" s="9"/>
      <c r="AA284" s="9"/>
      <c r="AB284" s="9"/>
      <c r="AC284" s="9" t="s">
        <v>55</v>
      </c>
      <c r="AD284" s="9" t="s">
        <v>56</v>
      </c>
      <c r="AE284" s="9" t="s">
        <v>66</v>
      </c>
      <c r="AO284" s="268" t="s">
        <v>3128</v>
      </c>
      <c r="AP284" s="268">
        <v>555</v>
      </c>
      <c r="AQ284" s="268" t="s">
        <v>1716</v>
      </c>
      <c r="AR284" s="268" t="s">
        <v>1739</v>
      </c>
      <c r="AS284" s="268" t="s">
        <v>1740</v>
      </c>
      <c r="AT284" s="268" t="s">
        <v>1835</v>
      </c>
      <c r="AU284" s="268" t="s">
        <v>1742</v>
      </c>
      <c r="AV284" s="268" t="s">
        <v>3121</v>
      </c>
      <c r="AW284" s="268" t="s">
        <v>1705</v>
      </c>
      <c r="AX284" s="268" t="s">
        <v>1883</v>
      </c>
      <c r="AY284" s="268">
        <v>49.482999999999997</v>
      </c>
      <c r="AZ284" s="268">
        <v>-122.95</v>
      </c>
      <c r="BA284" s="268">
        <v>390</v>
      </c>
    </row>
    <row r="285" spans="1:72" ht="14.25" customHeight="1" x14ac:dyDescent="0.2">
      <c r="A285" s="136" t="s">
        <v>3107</v>
      </c>
      <c r="B285" s="4">
        <v>12</v>
      </c>
      <c r="C285" s="201" t="s">
        <v>3108</v>
      </c>
      <c r="D285" s="207" t="s">
        <v>3129</v>
      </c>
      <c r="E285" s="4">
        <v>13013</v>
      </c>
      <c r="F285" s="200" t="s">
        <v>3130</v>
      </c>
      <c r="G285" s="8" t="s">
        <v>3131</v>
      </c>
      <c r="H285" s="4" t="s">
        <v>3112</v>
      </c>
      <c r="I285" s="4" t="s">
        <v>49</v>
      </c>
      <c r="J285" s="4" t="s">
        <v>1746</v>
      </c>
      <c r="K285" s="4">
        <v>1</v>
      </c>
      <c r="L285" s="4">
        <v>14945</v>
      </c>
      <c r="M285" s="9">
        <v>49.363861110000002</v>
      </c>
      <c r="N285" s="9">
        <v>-122.7536111</v>
      </c>
      <c r="O285" s="9" t="s">
        <v>51</v>
      </c>
      <c r="P285" s="9" t="s">
        <v>3132</v>
      </c>
      <c r="Q285" s="20">
        <v>3</v>
      </c>
      <c r="R285" s="9" t="s">
        <v>3133</v>
      </c>
      <c r="S285" s="9" t="s">
        <v>3115</v>
      </c>
      <c r="T285" s="9">
        <v>352</v>
      </c>
      <c r="U285" s="9"/>
      <c r="V285" s="9" t="s">
        <v>3134</v>
      </c>
      <c r="W285" s="9">
        <v>1987</v>
      </c>
      <c r="X285" s="9" t="s">
        <v>3117</v>
      </c>
      <c r="Y285" s="9" t="s">
        <v>3118</v>
      </c>
      <c r="Z285" s="9"/>
      <c r="AA285" s="9"/>
      <c r="AB285" s="9"/>
      <c r="AC285" s="9" t="s">
        <v>55</v>
      </c>
      <c r="AD285" s="9" t="s">
        <v>56</v>
      </c>
      <c r="AE285" s="9" t="s">
        <v>66</v>
      </c>
      <c r="AF285" s="9"/>
      <c r="AG285" s="9"/>
      <c r="AH285" s="9" t="s">
        <v>3119</v>
      </c>
      <c r="AI285" s="9"/>
      <c r="AJ285" s="9"/>
      <c r="AK285" s="9"/>
      <c r="AO285" s="268" t="s">
        <v>3135</v>
      </c>
      <c r="AP285" s="268">
        <v>556</v>
      </c>
      <c r="AQ285" s="268" t="s">
        <v>1716</v>
      </c>
      <c r="AR285" s="268" t="s">
        <v>1739</v>
      </c>
      <c r="AS285" s="268" t="s">
        <v>1740</v>
      </c>
      <c r="AT285" s="268" t="s">
        <v>1835</v>
      </c>
      <c r="AU285" s="268" t="s">
        <v>1742</v>
      </c>
      <c r="AV285" s="268" t="s">
        <v>3121</v>
      </c>
      <c r="AW285" s="268" t="s">
        <v>1705</v>
      </c>
      <c r="AX285" s="268" t="s">
        <v>1883</v>
      </c>
      <c r="AY285" s="268">
        <v>49.386000000000003</v>
      </c>
      <c r="AZ285" s="268">
        <v>-122.77</v>
      </c>
      <c r="BA285" s="268">
        <v>430</v>
      </c>
    </row>
    <row r="286" spans="1:72" ht="14.25" customHeight="1" x14ac:dyDescent="0.2">
      <c r="A286" s="136" t="s">
        <v>3107</v>
      </c>
      <c r="B286" s="4">
        <v>9</v>
      </c>
      <c r="C286" s="201" t="s">
        <v>5001</v>
      </c>
      <c r="D286" s="201" t="s">
        <v>5002</v>
      </c>
      <c r="E286" s="4">
        <v>13014</v>
      </c>
      <c r="F286" s="200" t="s">
        <v>5003</v>
      </c>
      <c r="G286" s="8" t="s">
        <v>5004</v>
      </c>
      <c r="H286" s="4" t="s">
        <v>5005</v>
      </c>
      <c r="I286" s="4" t="s">
        <v>49</v>
      </c>
      <c r="J286" s="4" t="s">
        <v>4979</v>
      </c>
      <c r="K286" s="4">
        <v>1</v>
      </c>
      <c r="L286" s="4">
        <v>14946</v>
      </c>
      <c r="M286" s="9"/>
      <c r="U286"/>
      <c r="V286" s="9"/>
      <c r="W286" s="9"/>
      <c r="X286" s="9"/>
      <c r="Y286" s="9"/>
      <c r="Z286" s="70"/>
      <c r="AA286" s="9"/>
      <c r="AB286" s="11"/>
      <c r="AC286" s="9"/>
      <c r="AK286" s="9"/>
    </row>
    <row r="287" spans="1:72" ht="14.25" customHeight="1" x14ac:dyDescent="0.2">
      <c r="A287" s="136" t="s">
        <v>3107</v>
      </c>
      <c r="B287" s="4">
        <v>9</v>
      </c>
      <c r="C287" s="201" t="s">
        <v>5039</v>
      </c>
      <c r="D287" s="201" t="s">
        <v>5675</v>
      </c>
      <c r="E287" s="4">
        <v>2647</v>
      </c>
      <c r="F287" s="201" t="s">
        <v>5676</v>
      </c>
      <c r="G287" s="8" t="s">
        <v>5677</v>
      </c>
      <c r="H287" s="4" t="s">
        <v>5678</v>
      </c>
      <c r="I287" s="4" t="s">
        <v>641</v>
      </c>
      <c r="J287" s="4" t="s">
        <v>5048</v>
      </c>
      <c r="K287" s="4">
        <v>1</v>
      </c>
      <c r="L287" s="4">
        <v>3050</v>
      </c>
      <c r="M287" s="9"/>
      <c r="U287"/>
      <c r="AK287" s="9"/>
    </row>
    <row r="288" spans="1:72" ht="14.25" customHeight="1" x14ac:dyDescent="0.2">
      <c r="A288" s="4" t="s">
        <v>5406</v>
      </c>
      <c r="B288" s="4">
        <v>9</v>
      </c>
      <c r="C288" s="201" t="s">
        <v>5039</v>
      </c>
      <c r="D288" s="201" t="s">
        <v>5407</v>
      </c>
      <c r="E288" s="4">
        <v>12582</v>
      </c>
      <c r="F288" s="201" t="s">
        <v>5408</v>
      </c>
      <c r="G288" s="8" t="s">
        <v>5409</v>
      </c>
      <c r="H288" s="4" t="s">
        <v>5397</v>
      </c>
      <c r="I288" s="4" t="s">
        <v>49</v>
      </c>
      <c r="J288" s="4" t="s">
        <v>4983</v>
      </c>
      <c r="K288" s="4">
        <v>1</v>
      </c>
      <c r="L288" s="4">
        <v>14604</v>
      </c>
      <c r="M288" s="9"/>
      <c r="U288"/>
      <c r="AK288" s="9"/>
    </row>
    <row r="289" spans="1:72" ht="14.25" customHeight="1" x14ac:dyDescent="0.2">
      <c r="A289" s="4" t="s">
        <v>5406</v>
      </c>
      <c r="B289" s="4">
        <v>9</v>
      </c>
      <c r="C289" s="201" t="s">
        <v>5039</v>
      </c>
      <c r="D289" s="201" t="s">
        <v>5933</v>
      </c>
      <c r="E289" s="4">
        <v>12949</v>
      </c>
      <c r="F289" s="201" t="s">
        <v>5934</v>
      </c>
      <c r="G289" s="8" t="s">
        <v>5409</v>
      </c>
      <c r="H289" s="4" t="s">
        <v>4978</v>
      </c>
      <c r="I289" s="4" t="s">
        <v>49</v>
      </c>
      <c r="J289" s="4" t="s">
        <v>4979</v>
      </c>
      <c r="K289" s="4">
        <v>1</v>
      </c>
      <c r="L289" s="4">
        <v>14881</v>
      </c>
      <c r="M289" s="182"/>
      <c r="N289" s="182"/>
      <c r="O289" s="182"/>
      <c r="P289" s="182"/>
      <c r="Q289" s="182"/>
      <c r="R289" s="182"/>
      <c r="S289" s="182"/>
      <c r="T289" s="182"/>
      <c r="U289" s="182"/>
      <c r="V289" s="182"/>
      <c r="W289" s="182"/>
      <c r="X289" s="182"/>
      <c r="Y289" s="182"/>
      <c r="Z289" s="182"/>
      <c r="AA289" s="182"/>
      <c r="AB289" s="182"/>
      <c r="AC289" s="182"/>
      <c r="AD289" s="182"/>
      <c r="AE289" s="182"/>
      <c r="AF289" s="182"/>
      <c r="AG289" s="182"/>
      <c r="AH289" s="182"/>
      <c r="AI289" s="182"/>
      <c r="AJ289" s="182"/>
      <c r="AK289" s="182"/>
      <c r="AL289" s="182"/>
      <c r="AM289" s="182"/>
      <c r="AN289" s="182"/>
      <c r="AO289" s="182"/>
      <c r="AP289" s="182"/>
      <c r="AQ289" s="182"/>
      <c r="AR289" s="182"/>
      <c r="AS289" s="182"/>
      <c r="AT289" s="182"/>
      <c r="AU289" s="182"/>
      <c r="AV289" s="182"/>
      <c r="AW289" s="182"/>
      <c r="AX289" s="182"/>
      <c r="AY289" s="182"/>
      <c r="AZ289" s="182"/>
      <c r="BA289" s="182"/>
      <c r="BB289" s="182"/>
      <c r="BC289" s="182"/>
      <c r="BD289" s="182"/>
      <c r="BE289" s="182"/>
      <c r="BF289" s="182"/>
      <c r="BG289" s="182"/>
      <c r="BH289" s="182"/>
      <c r="BI289" s="182"/>
      <c r="BJ289" s="182"/>
      <c r="BK289" s="182"/>
      <c r="BL289" s="182"/>
      <c r="BM289" s="182"/>
      <c r="BN289" s="182"/>
      <c r="BO289" s="182"/>
      <c r="BP289" s="182"/>
      <c r="BQ289" s="182"/>
      <c r="BR289" s="182"/>
      <c r="BS289" s="182"/>
      <c r="BT289" s="182"/>
    </row>
    <row r="290" spans="1:72" ht="14.25" customHeight="1" x14ac:dyDescent="0.2">
      <c r="A290" s="136" t="s">
        <v>5473</v>
      </c>
      <c r="B290" s="4">
        <v>9</v>
      </c>
      <c r="C290" s="201" t="s">
        <v>5039</v>
      </c>
      <c r="D290" s="201" t="s">
        <v>5394</v>
      </c>
      <c r="E290" s="4">
        <v>12530</v>
      </c>
      <c r="F290" s="204" t="s">
        <v>5395</v>
      </c>
      <c r="G290" s="26" t="s">
        <v>5396</v>
      </c>
      <c r="H290" s="4" t="s">
        <v>5397</v>
      </c>
      <c r="I290" s="4" t="s">
        <v>49</v>
      </c>
      <c r="J290" s="4" t="s">
        <v>4983</v>
      </c>
      <c r="K290" s="4">
        <v>1</v>
      </c>
      <c r="L290" s="4">
        <v>14552</v>
      </c>
      <c r="M290" s="203"/>
      <c r="N290" s="192"/>
      <c r="U290" s="192"/>
      <c r="AK290" s="9"/>
    </row>
    <row r="291" spans="1:72" ht="14.25" customHeight="1" x14ac:dyDescent="0.2">
      <c r="A291" s="145" t="s">
        <v>5473</v>
      </c>
      <c r="B291" s="4">
        <v>9</v>
      </c>
      <c r="C291" s="201" t="s">
        <v>5039</v>
      </c>
      <c r="D291" s="201" t="s">
        <v>5474</v>
      </c>
      <c r="E291" s="4">
        <v>12589</v>
      </c>
      <c r="F291" s="201" t="s">
        <v>5475</v>
      </c>
      <c r="G291" s="8" t="s">
        <v>5476</v>
      </c>
      <c r="H291" s="4" t="s">
        <v>5397</v>
      </c>
      <c r="I291" s="4" t="s">
        <v>49</v>
      </c>
      <c r="J291" s="4" t="s">
        <v>5402</v>
      </c>
      <c r="K291" s="4">
        <v>1</v>
      </c>
      <c r="L291" s="4">
        <v>14611</v>
      </c>
      <c r="M291" s="27"/>
      <c r="N291" s="182"/>
      <c r="O291" s="182"/>
      <c r="P291" s="182"/>
      <c r="Q291" s="182"/>
      <c r="R291" s="182"/>
      <c r="S291" s="182"/>
      <c r="U291" s="182"/>
      <c r="V291" s="182"/>
      <c r="W291" s="182"/>
      <c r="X291" s="182"/>
      <c r="Y291" s="182"/>
      <c r="Z291" s="182"/>
      <c r="AA291" s="182"/>
      <c r="AB291" s="182"/>
      <c r="AC291" s="182"/>
      <c r="AD291" s="182"/>
      <c r="AE291" s="182"/>
      <c r="AF291" s="182"/>
      <c r="AG291" s="182"/>
      <c r="AH291" s="182"/>
      <c r="AI291" s="182"/>
      <c r="AJ291" s="182"/>
      <c r="AK291" s="27"/>
      <c r="AL291" s="182"/>
      <c r="AM291" s="182"/>
      <c r="AN291" s="182"/>
      <c r="AO291" s="182"/>
      <c r="AP291" s="182"/>
      <c r="AQ291" s="182"/>
      <c r="AR291" s="182"/>
      <c r="AS291" s="182"/>
      <c r="AT291" s="182"/>
      <c r="AU291" s="182"/>
      <c r="AV291" s="182"/>
      <c r="AW291" s="182"/>
      <c r="AX291" s="182"/>
      <c r="AY291" s="182"/>
      <c r="AZ291" s="182"/>
      <c r="BA291" s="182"/>
      <c r="BB291" s="182"/>
      <c r="BC291" s="182"/>
      <c r="BD291" s="182"/>
      <c r="BE291" s="182"/>
      <c r="BF291" s="182"/>
      <c r="BG291" s="182"/>
      <c r="BH291" s="182"/>
      <c r="BI291" s="182"/>
      <c r="BJ291" s="182"/>
      <c r="BK291" s="182"/>
      <c r="BL291" s="182"/>
      <c r="BM291" s="182"/>
      <c r="BN291" s="182"/>
      <c r="BO291" s="182"/>
      <c r="BP291" s="182"/>
      <c r="BQ291" s="182"/>
      <c r="BR291" s="182"/>
      <c r="BS291" s="182"/>
      <c r="BT291" s="182"/>
    </row>
    <row r="292" spans="1:72" ht="14.25" customHeight="1" x14ac:dyDescent="0.2">
      <c r="A292" s="145" t="s">
        <v>5473</v>
      </c>
      <c r="B292" s="4">
        <v>9</v>
      </c>
      <c r="C292" s="201" t="s">
        <v>5039</v>
      </c>
      <c r="D292" s="201" t="s">
        <v>5480</v>
      </c>
      <c r="E292" s="4">
        <v>12532</v>
      </c>
      <c r="F292" s="201" t="s">
        <v>5481</v>
      </c>
      <c r="G292" s="8" t="s">
        <v>5482</v>
      </c>
      <c r="H292" s="4" t="s">
        <v>5397</v>
      </c>
      <c r="I292" s="4" t="s">
        <v>49</v>
      </c>
      <c r="J292" s="4" t="s">
        <v>4983</v>
      </c>
      <c r="K292" s="4">
        <v>1</v>
      </c>
      <c r="L292" s="4">
        <v>14554</v>
      </c>
      <c r="M292" s="9"/>
      <c r="U292"/>
      <c r="AK292" s="9"/>
    </row>
    <row r="293" spans="1:72" ht="14.25" customHeight="1" x14ac:dyDescent="0.2">
      <c r="A293" s="145" t="s">
        <v>5473</v>
      </c>
      <c r="B293" s="4">
        <v>9</v>
      </c>
      <c r="C293" s="201" t="s">
        <v>5039</v>
      </c>
      <c r="D293" s="201" t="s">
        <v>5483</v>
      </c>
      <c r="E293" s="4">
        <v>12593</v>
      </c>
      <c r="F293" s="36" t="s">
        <v>5484</v>
      </c>
      <c r="G293" s="8" t="s">
        <v>5485</v>
      </c>
      <c r="H293" s="4" t="s">
        <v>5397</v>
      </c>
      <c r="I293" s="4" t="s">
        <v>49</v>
      </c>
      <c r="J293" s="4" t="s">
        <v>5402</v>
      </c>
      <c r="K293" s="4">
        <v>1</v>
      </c>
      <c r="L293" s="4">
        <v>14615</v>
      </c>
      <c r="M293" s="27"/>
      <c r="N293" s="182"/>
      <c r="O293" s="182"/>
      <c r="P293" s="182"/>
      <c r="Q293" s="182"/>
      <c r="R293" s="182"/>
      <c r="S293" s="182"/>
      <c r="T293" s="182"/>
      <c r="U293" s="182"/>
      <c r="V293" s="182"/>
      <c r="W293" s="182"/>
      <c r="X293" s="182"/>
      <c r="Y293" s="182"/>
      <c r="Z293" s="182"/>
      <c r="AA293" s="182"/>
      <c r="AB293" s="182"/>
      <c r="AC293" s="182"/>
      <c r="AD293" s="182"/>
      <c r="AE293" s="182"/>
      <c r="AF293" s="182"/>
      <c r="AG293" s="182"/>
      <c r="AH293" s="182"/>
      <c r="AI293" s="182"/>
      <c r="AJ293" s="182"/>
      <c r="AK293" s="27"/>
      <c r="AL293" s="182"/>
      <c r="AM293" s="182"/>
      <c r="AN293" s="182"/>
      <c r="AO293" s="182"/>
      <c r="AP293" s="182"/>
      <c r="AQ293" s="182"/>
      <c r="AR293" s="182"/>
      <c r="AS293" s="182"/>
      <c r="AT293" s="182"/>
      <c r="AU293" s="182"/>
      <c r="AV293" s="182"/>
      <c r="AW293" s="182"/>
      <c r="AX293" s="182"/>
      <c r="AY293" s="182"/>
      <c r="AZ293" s="182"/>
      <c r="BA293" s="182"/>
      <c r="BB293" s="182"/>
      <c r="BC293" s="182"/>
      <c r="BD293" s="182"/>
      <c r="BE293" s="182"/>
      <c r="BF293" s="182"/>
      <c r="BG293" s="182"/>
      <c r="BH293" s="182"/>
      <c r="BI293" s="182"/>
      <c r="BJ293" s="182"/>
      <c r="BK293" s="182"/>
      <c r="BL293" s="182"/>
      <c r="BM293" s="182"/>
      <c r="BN293" s="182"/>
      <c r="BO293" s="182"/>
      <c r="BP293" s="182"/>
      <c r="BQ293" s="182"/>
      <c r="BR293" s="182"/>
      <c r="BS293" s="182"/>
      <c r="BT293" s="182"/>
    </row>
    <row r="294" spans="1:72" ht="14.25" customHeight="1" x14ac:dyDescent="0.2">
      <c r="A294" s="145" t="s">
        <v>5473</v>
      </c>
      <c r="B294" s="4">
        <v>9</v>
      </c>
      <c r="C294" s="201" t="s">
        <v>5039</v>
      </c>
      <c r="D294" s="201" t="s">
        <v>5486</v>
      </c>
      <c r="E294" s="4">
        <v>12533</v>
      </c>
      <c r="F294" s="201" t="s">
        <v>5487</v>
      </c>
      <c r="G294" s="8" t="s">
        <v>5488</v>
      </c>
      <c r="H294" s="4" t="s">
        <v>5397</v>
      </c>
      <c r="I294" s="4" t="s">
        <v>49</v>
      </c>
      <c r="J294" s="4" t="s">
        <v>4983</v>
      </c>
      <c r="K294" s="4">
        <v>1</v>
      </c>
      <c r="L294" s="4">
        <v>14555</v>
      </c>
      <c r="M294" s="203"/>
      <c r="N294" s="192"/>
      <c r="P294" s="192"/>
      <c r="R294" s="192"/>
      <c r="U294" s="192"/>
      <c r="AA294" s="192"/>
      <c r="AK294" s="9"/>
    </row>
    <row r="295" spans="1:72" ht="14.25" customHeight="1" x14ac:dyDescent="0.2">
      <c r="A295" s="145" t="s">
        <v>5473</v>
      </c>
      <c r="B295" s="4">
        <v>9</v>
      </c>
      <c r="C295" s="201" t="s">
        <v>5039</v>
      </c>
      <c r="D295" s="201" t="s">
        <v>5489</v>
      </c>
      <c r="E295" s="4">
        <v>12601</v>
      </c>
      <c r="F295" s="201" t="s">
        <v>5490</v>
      </c>
      <c r="G295" s="8" t="s">
        <v>5491</v>
      </c>
      <c r="H295" s="4" t="s">
        <v>5397</v>
      </c>
      <c r="I295" s="4" t="s">
        <v>49</v>
      </c>
      <c r="J295" s="4" t="s">
        <v>5402</v>
      </c>
      <c r="K295" s="4">
        <v>1</v>
      </c>
      <c r="L295" s="4">
        <v>14623</v>
      </c>
      <c r="M295" s="9"/>
      <c r="U295"/>
      <c r="AK295" s="9"/>
    </row>
    <row r="296" spans="1:72" ht="14.25" customHeight="1" x14ac:dyDescent="0.2">
      <c r="A296" s="145" t="s">
        <v>5473</v>
      </c>
      <c r="B296" s="4">
        <v>9</v>
      </c>
      <c r="C296" s="201" t="s">
        <v>5039</v>
      </c>
      <c r="D296" s="201" t="s">
        <v>5492</v>
      </c>
      <c r="E296" s="4">
        <v>12591</v>
      </c>
      <c r="F296" s="201" t="s">
        <v>5493</v>
      </c>
      <c r="G296" s="8" t="s">
        <v>5494</v>
      </c>
      <c r="H296" s="4" t="s">
        <v>5397</v>
      </c>
      <c r="I296" s="4" t="s">
        <v>49</v>
      </c>
      <c r="J296" s="4" t="s">
        <v>5402</v>
      </c>
      <c r="K296" s="4">
        <v>1</v>
      </c>
      <c r="L296" s="4">
        <v>14613</v>
      </c>
      <c r="M296" s="9"/>
      <c r="U296"/>
      <c r="AK296" s="9"/>
    </row>
    <row r="297" spans="1:72" ht="14.25" customHeight="1" x14ac:dyDescent="0.2">
      <c r="A297" s="145" t="s">
        <v>5473</v>
      </c>
      <c r="B297" s="4">
        <v>9</v>
      </c>
      <c r="C297" s="201" t="s">
        <v>5039</v>
      </c>
      <c r="D297" s="201" t="s">
        <v>5495</v>
      </c>
      <c r="E297" s="4">
        <v>12536</v>
      </c>
      <c r="F297" s="201" t="s">
        <v>5496</v>
      </c>
      <c r="G297" s="8" t="s">
        <v>5497</v>
      </c>
      <c r="H297" s="4" t="s">
        <v>5397</v>
      </c>
      <c r="I297" s="4" t="s">
        <v>49</v>
      </c>
      <c r="J297" s="4" t="s">
        <v>4983</v>
      </c>
      <c r="K297" s="4">
        <v>1</v>
      </c>
      <c r="L297" s="4">
        <v>14558</v>
      </c>
      <c r="M297" s="9"/>
      <c r="U297"/>
      <c r="AK297" s="9"/>
      <c r="AO297" s="9"/>
    </row>
    <row r="298" spans="1:72" ht="14.25" customHeight="1" x14ac:dyDescent="0.2">
      <c r="A298" s="145" t="s">
        <v>5473</v>
      </c>
      <c r="B298" s="4">
        <v>9</v>
      </c>
      <c r="C298" s="201" t="s">
        <v>5039</v>
      </c>
      <c r="D298" s="201" t="s">
        <v>5513</v>
      </c>
      <c r="E298" s="4">
        <v>12549</v>
      </c>
      <c r="F298" s="36" t="s">
        <v>5514</v>
      </c>
      <c r="G298" s="8" t="s">
        <v>5515</v>
      </c>
      <c r="H298" s="4" t="s">
        <v>5397</v>
      </c>
      <c r="I298" s="4" t="s">
        <v>49</v>
      </c>
      <c r="J298" s="4" t="s">
        <v>4983</v>
      </c>
      <c r="K298" s="4">
        <v>1</v>
      </c>
      <c r="L298" s="4">
        <v>14571</v>
      </c>
      <c r="M298" s="27"/>
      <c r="N298" s="182"/>
      <c r="O298" s="182"/>
      <c r="P298" s="182"/>
      <c r="Q298" s="182"/>
      <c r="R298" s="182"/>
      <c r="S298" s="182"/>
      <c r="T298" s="182"/>
      <c r="U298" s="182"/>
      <c r="V298" s="182"/>
      <c r="W298" s="182"/>
      <c r="X298" s="182"/>
      <c r="Y298" s="182"/>
      <c r="Z298" s="182"/>
      <c r="AA298" s="182"/>
      <c r="AB298" s="182"/>
      <c r="AC298" s="182"/>
      <c r="AD298" s="182"/>
      <c r="AE298" s="182"/>
      <c r="AF298" s="182"/>
      <c r="AG298" s="182"/>
      <c r="AH298" s="182"/>
      <c r="AI298" s="182"/>
      <c r="AJ298" s="182"/>
      <c r="AK298" s="27"/>
      <c r="AL298" s="182"/>
      <c r="AM298" s="182"/>
      <c r="AN298" s="182"/>
      <c r="AO298" s="182"/>
      <c r="AP298" s="182"/>
      <c r="AQ298" s="182"/>
      <c r="AR298" s="182"/>
      <c r="AS298" s="182"/>
      <c r="AT298" s="182"/>
      <c r="AU298" s="182"/>
      <c r="AV298" s="182"/>
      <c r="AW298" s="182"/>
      <c r="AX298" s="182"/>
      <c r="AY298" s="182"/>
      <c r="AZ298" s="182"/>
      <c r="BA298" s="182"/>
      <c r="BB298" s="182"/>
      <c r="BC298" s="182"/>
      <c r="BD298" s="182"/>
      <c r="BE298" s="182"/>
      <c r="BF298" s="182"/>
      <c r="BG298" s="182"/>
      <c r="BH298" s="182"/>
      <c r="BI298" s="182"/>
      <c r="BJ298" s="182"/>
      <c r="BK298" s="182"/>
      <c r="BL298" s="182"/>
      <c r="BM298" s="182"/>
      <c r="BN298" s="182"/>
      <c r="BO298" s="182"/>
      <c r="BP298" s="182"/>
      <c r="BQ298" s="182"/>
      <c r="BR298" s="182"/>
      <c r="BS298" s="182"/>
      <c r="BT298" s="182"/>
    </row>
    <row r="299" spans="1:72" ht="14.25" customHeight="1" x14ac:dyDescent="0.2">
      <c r="A299" s="145" t="s">
        <v>5473</v>
      </c>
      <c r="B299" s="4">
        <v>9</v>
      </c>
      <c r="C299" s="201" t="s">
        <v>5039</v>
      </c>
      <c r="D299" s="201" t="s">
        <v>5519</v>
      </c>
      <c r="E299" s="4">
        <v>12556</v>
      </c>
      <c r="F299" s="201" t="s">
        <v>5520</v>
      </c>
      <c r="G299" s="8" t="s">
        <v>5521</v>
      </c>
      <c r="H299" s="4" t="s">
        <v>5397</v>
      </c>
      <c r="I299" s="4" t="s">
        <v>49</v>
      </c>
      <c r="J299" s="4" t="s">
        <v>4983</v>
      </c>
      <c r="K299" s="4">
        <v>1</v>
      </c>
      <c r="L299" s="4">
        <v>14578</v>
      </c>
      <c r="M299" s="9"/>
      <c r="U299"/>
      <c r="AK299" s="9"/>
    </row>
    <row r="300" spans="1:72" ht="14.25" customHeight="1" x14ac:dyDescent="0.2">
      <c r="A300" s="145" t="s">
        <v>5473</v>
      </c>
      <c r="B300" s="4">
        <v>9</v>
      </c>
      <c r="C300" s="201" t="s">
        <v>5039</v>
      </c>
      <c r="D300" s="201" t="s">
        <v>5522</v>
      </c>
      <c r="E300" s="4">
        <v>12603</v>
      </c>
      <c r="F300" s="36" t="s">
        <v>5523</v>
      </c>
      <c r="G300" s="8" t="s">
        <v>5524</v>
      </c>
      <c r="H300" s="4" t="s">
        <v>5397</v>
      </c>
      <c r="I300" s="4" t="s">
        <v>49</v>
      </c>
      <c r="J300" s="4" t="s">
        <v>5402</v>
      </c>
      <c r="K300" s="4">
        <v>1</v>
      </c>
      <c r="L300" s="4">
        <v>14625</v>
      </c>
      <c r="M300" s="27"/>
      <c r="N300" s="182"/>
      <c r="O300" s="182"/>
      <c r="P300" s="182"/>
      <c r="Q300" s="182"/>
      <c r="R300" s="182"/>
      <c r="S300" s="182"/>
      <c r="T300" s="182"/>
      <c r="U300" s="182"/>
      <c r="V300" s="182"/>
      <c r="W300" s="182"/>
      <c r="X300" s="182"/>
      <c r="Y300" s="182"/>
      <c r="Z300" s="182"/>
      <c r="AA300" s="182"/>
      <c r="AB300" s="182"/>
      <c r="AC300" s="182"/>
      <c r="AD300" s="182"/>
      <c r="AE300" s="182"/>
      <c r="AF300" s="182"/>
      <c r="AG300" s="182"/>
      <c r="AH300" s="182"/>
      <c r="AI300" s="182"/>
      <c r="AJ300" s="182"/>
      <c r="AK300" s="27"/>
      <c r="AL300" s="182"/>
      <c r="AM300" s="182"/>
      <c r="AN300" s="182"/>
      <c r="AO300" s="182"/>
      <c r="AP300" s="182"/>
      <c r="AQ300" s="182"/>
      <c r="AR300" s="182"/>
      <c r="AS300" s="182"/>
      <c r="AT300" s="182"/>
      <c r="AU300" s="182"/>
      <c r="AV300" s="182"/>
      <c r="AW300" s="182"/>
      <c r="AX300" s="182"/>
      <c r="AY300" s="182"/>
      <c r="AZ300" s="182"/>
      <c r="BA300" s="182"/>
      <c r="BB300" s="182"/>
      <c r="BC300" s="182"/>
      <c r="BD300" s="182"/>
      <c r="BE300" s="182"/>
      <c r="BF300" s="182"/>
      <c r="BG300" s="182"/>
      <c r="BH300" s="182"/>
      <c r="BI300" s="182"/>
      <c r="BJ300" s="182"/>
      <c r="BK300" s="182"/>
      <c r="BL300" s="182"/>
      <c r="BM300" s="182"/>
      <c r="BN300" s="182"/>
      <c r="BO300" s="182"/>
      <c r="BP300" s="182"/>
      <c r="BQ300" s="182"/>
      <c r="BR300" s="182"/>
      <c r="BS300" s="182"/>
      <c r="BT300" s="182"/>
    </row>
    <row r="301" spans="1:72" ht="14.25" customHeight="1" x14ac:dyDescent="0.2">
      <c r="A301" s="145" t="s">
        <v>5473</v>
      </c>
      <c r="B301" s="4">
        <v>9</v>
      </c>
      <c r="C301" s="201" t="s">
        <v>5039</v>
      </c>
      <c r="D301" s="201" t="s">
        <v>5525</v>
      </c>
      <c r="E301" s="4">
        <v>12600</v>
      </c>
      <c r="F301" s="201" t="s">
        <v>5526</v>
      </c>
      <c r="G301" s="8" t="s">
        <v>5527</v>
      </c>
      <c r="H301" s="4" t="s">
        <v>5397</v>
      </c>
      <c r="I301" s="4" t="s">
        <v>49</v>
      </c>
      <c r="J301" s="4" t="s">
        <v>5402</v>
      </c>
      <c r="K301" s="4">
        <v>1</v>
      </c>
      <c r="L301" s="4">
        <v>14622</v>
      </c>
      <c r="M301" s="9"/>
      <c r="U301"/>
      <c r="AK301" s="9"/>
    </row>
    <row r="302" spans="1:72" ht="14.25" customHeight="1" x14ac:dyDescent="0.2">
      <c r="A302" s="145" t="s">
        <v>5473</v>
      </c>
      <c r="B302" s="4">
        <v>9</v>
      </c>
      <c r="C302" s="201" t="s">
        <v>5039</v>
      </c>
      <c r="D302" s="201" t="s">
        <v>5531</v>
      </c>
      <c r="E302" s="4">
        <v>12558</v>
      </c>
      <c r="F302" s="36" t="s">
        <v>5532</v>
      </c>
      <c r="G302" s="8" t="s">
        <v>5533</v>
      </c>
      <c r="H302" s="4" t="s">
        <v>5397</v>
      </c>
      <c r="I302" s="4" t="s">
        <v>49</v>
      </c>
      <c r="J302" s="4" t="s">
        <v>4983</v>
      </c>
      <c r="K302" s="4">
        <v>1</v>
      </c>
      <c r="L302" s="4">
        <v>14580</v>
      </c>
      <c r="M302" s="27"/>
      <c r="N302" s="182"/>
      <c r="O302" s="182"/>
      <c r="P302" s="182"/>
      <c r="Q302" s="182"/>
      <c r="R302" s="182"/>
      <c r="S302" s="182"/>
      <c r="T302" s="182"/>
      <c r="U302" s="182"/>
      <c r="V302" s="182"/>
      <c r="W302" s="182"/>
      <c r="X302" s="182"/>
      <c r="Y302" s="182"/>
      <c r="Z302" s="182"/>
      <c r="AA302" s="182"/>
      <c r="AB302" s="182"/>
      <c r="AC302" s="182"/>
      <c r="AD302" s="182"/>
      <c r="AE302" s="182"/>
      <c r="AF302" s="182"/>
      <c r="AG302" s="182"/>
      <c r="AH302" s="182"/>
      <c r="AI302" s="182"/>
      <c r="AJ302" s="182"/>
      <c r="AK302" s="27"/>
      <c r="AL302" s="182"/>
      <c r="AM302" s="182"/>
      <c r="AN302" s="182"/>
      <c r="AO302" s="27"/>
      <c r="AP302" s="182"/>
      <c r="AQ302" s="182"/>
      <c r="AR302" s="182"/>
      <c r="AS302" s="182"/>
      <c r="AT302" s="182"/>
      <c r="AU302" s="182"/>
      <c r="AV302" s="182"/>
      <c r="AW302" s="182"/>
      <c r="AX302" s="182"/>
      <c r="AY302" s="182"/>
      <c r="AZ302" s="182"/>
      <c r="BA302" s="182"/>
      <c r="BB302" s="182"/>
      <c r="BC302" s="182"/>
      <c r="BD302" s="182"/>
      <c r="BE302" s="182"/>
      <c r="BF302" s="182"/>
      <c r="BG302" s="182"/>
      <c r="BH302" s="182"/>
      <c r="BI302" s="182"/>
      <c r="BJ302" s="182"/>
      <c r="BK302" s="182"/>
      <c r="BL302" s="182"/>
      <c r="BM302" s="182"/>
      <c r="BN302" s="182"/>
      <c r="BO302" s="182"/>
      <c r="BP302" s="182"/>
      <c r="BQ302" s="182"/>
      <c r="BR302" s="182"/>
      <c r="BS302" s="182"/>
      <c r="BT302" s="182"/>
    </row>
    <row r="303" spans="1:72" ht="14.25" customHeight="1" x14ac:dyDescent="0.2">
      <c r="A303" s="5" t="s">
        <v>5544</v>
      </c>
      <c r="B303" s="4">
        <v>9</v>
      </c>
      <c r="C303" s="201" t="s">
        <v>5039</v>
      </c>
      <c r="D303" s="201" t="s">
        <v>5545</v>
      </c>
      <c r="E303" s="4">
        <v>12562</v>
      </c>
      <c r="F303" s="201" t="s">
        <v>5546</v>
      </c>
      <c r="G303" s="8" t="s">
        <v>5547</v>
      </c>
      <c r="H303" s="4" t="s">
        <v>5397</v>
      </c>
      <c r="I303" s="4" t="s">
        <v>49</v>
      </c>
      <c r="J303" s="4" t="s">
        <v>4983</v>
      </c>
      <c r="K303" s="4">
        <v>1</v>
      </c>
      <c r="L303" s="4">
        <v>14584</v>
      </c>
      <c r="M303" s="9"/>
      <c r="U303"/>
      <c r="AK303" s="9"/>
    </row>
    <row r="304" spans="1:72" ht="14.25" customHeight="1" x14ac:dyDescent="0.2">
      <c r="A304" s="279" t="s">
        <v>5935</v>
      </c>
      <c r="B304" s="196">
        <v>9</v>
      </c>
      <c r="C304" s="36" t="s">
        <v>5039</v>
      </c>
      <c r="D304" s="36" t="s">
        <v>5936</v>
      </c>
      <c r="E304" s="196">
        <v>12311</v>
      </c>
      <c r="F304" s="36" t="s">
        <v>5937</v>
      </c>
      <c r="G304" s="196" t="s">
        <v>5938</v>
      </c>
      <c r="H304" s="4" t="s">
        <v>84</v>
      </c>
      <c r="I304" s="4" t="s">
        <v>641</v>
      </c>
      <c r="K304" s="4">
        <v>1</v>
      </c>
      <c r="L304" s="4">
        <v>14366</v>
      </c>
      <c r="M304" s="182"/>
      <c r="N304" s="182"/>
      <c r="O304" s="182"/>
      <c r="P304" s="182"/>
      <c r="Q304" s="182"/>
      <c r="R304" s="182"/>
      <c r="S304" s="182"/>
      <c r="T304" s="182"/>
      <c r="U304" s="182"/>
      <c r="V304" s="182"/>
      <c r="W304" s="182"/>
      <c r="X304" s="182"/>
      <c r="Y304" s="182"/>
      <c r="Z304" s="182"/>
      <c r="AA304" s="182"/>
      <c r="AB304" s="182"/>
      <c r="AC304" s="182"/>
      <c r="AD304" s="182"/>
      <c r="AE304" s="182"/>
      <c r="AF304" s="182"/>
      <c r="AG304" s="182"/>
      <c r="AH304" s="182"/>
      <c r="AI304" s="182"/>
      <c r="AJ304" s="182"/>
      <c r="AK304" s="182"/>
      <c r="AL304" s="182"/>
      <c r="AM304" s="182"/>
      <c r="AN304" s="182"/>
      <c r="AO304" s="182"/>
      <c r="AP304" s="182"/>
      <c r="AQ304" s="182"/>
      <c r="AR304" s="182"/>
      <c r="AS304" s="182"/>
      <c r="AT304" s="182"/>
      <c r="AU304" s="182"/>
      <c r="AV304" s="182"/>
      <c r="AW304" s="182"/>
      <c r="AX304" s="182"/>
      <c r="AY304" s="182"/>
      <c r="AZ304" s="182"/>
      <c r="BA304" s="182"/>
      <c r="BB304" s="182"/>
      <c r="BC304" s="182"/>
      <c r="BD304" s="182"/>
      <c r="BE304" s="182"/>
      <c r="BF304" s="182"/>
      <c r="BG304" s="182"/>
      <c r="BH304" s="182"/>
      <c r="BI304" s="182"/>
      <c r="BJ304" s="182"/>
      <c r="BK304" s="182"/>
      <c r="BL304" s="182"/>
      <c r="BM304" s="182"/>
      <c r="BN304" s="182"/>
      <c r="BO304" s="182"/>
      <c r="BP304" s="182"/>
      <c r="BQ304" s="182"/>
      <c r="BR304" s="182"/>
      <c r="BS304" s="182"/>
      <c r="BT304" s="182"/>
    </row>
    <row r="305" spans="1:72" ht="14.25" customHeight="1" x14ac:dyDescent="0.2">
      <c r="A305" s="40" t="s">
        <v>5144</v>
      </c>
      <c r="B305" s="196">
        <v>9</v>
      </c>
      <c r="C305" s="36" t="s">
        <v>5039</v>
      </c>
      <c r="D305" s="36" t="s">
        <v>5145</v>
      </c>
      <c r="E305" s="196">
        <v>12104</v>
      </c>
      <c r="F305" s="196" t="s">
        <v>5146</v>
      </c>
      <c r="G305" s="196" t="s">
        <v>5147</v>
      </c>
      <c r="H305" s="4" t="s">
        <v>84</v>
      </c>
      <c r="I305" s="4" t="s">
        <v>641</v>
      </c>
      <c r="K305" s="4">
        <v>1</v>
      </c>
      <c r="L305" s="4">
        <v>14160</v>
      </c>
      <c r="M305" s="27"/>
      <c r="N305" s="182"/>
      <c r="O305" s="182"/>
      <c r="P305" s="182"/>
      <c r="Q305" s="182"/>
      <c r="R305" s="182"/>
      <c r="S305" s="182"/>
      <c r="T305" s="182"/>
      <c r="U305" s="182"/>
      <c r="V305" s="182"/>
      <c r="W305" s="182"/>
      <c r="X305" s="182"/>
      <c r="Y305" s="182"/>
      <c r="Z305" s="182"/>
      <c r="AA305" s="182"/>
      <c r="AB305" s="182"/>
      <c r="AC305" s="182"/>
      <c r="AD305" s="182"/>
      <c r="AE305" s="182"/>
      <c r="AF305" s="182"/>
      <c r="AG305" s="182"/>
      <c r="AH305" s="182"/>
      <c r="AI305" s="182"/>
      <c r="AJ305" s="182"/>
      <c r="AK305" s="27"/>
      <c r="AL305" s="182"/>
      <c r="AM305" s="182"/>
      <c r="AN305" s="182"/>
      <c r="AO305" s="182"/>
      <c r="AP305" s="182"/>
      <c r="AQ305" s="182"/>
      <c r="AR305" s="182"/>
      <c r="AS305" s="182"/>
      <c r="AT305" s="182"/>
      <c r="AU305" s="182"/>
      <c r="AV305" s="182"/>
      <c r="AW305" s="182"/>
      <c r="AX305" s="182"/>
      <c r="AY305" s="182"/>
      <c r="AZ305" s="182"/>
      <c r="BA305" s="182"/>
      <c r="BB305" s="182"/>
      <c r="BC305" s="182"/>
      <c r="BD305" s="182"/>
      <c r="BE305" s="182"/>
      <c r="BF305" s="182"/>
      <c r="BG305" s="182"/>
      <c r="BH305" s="182"/>
      <c r="BI305" s="182"/>
      <c r="BJ305" s="182"/>
      <c r="BK305" s="182"/>
      <c r="BL305" s="182"/>
      <c r="BM305" s="182"/>
      <c r="BN305" s="182"/>
      <c r="BO305" s="182"/>
      <c r="BP305" s="182"/>
      <c r="BQ305" s="182"/>
      <c r="BR305" s="182"/>
      <c r="BS305" s="182"/>
      <c r="BT305" s="182"/>
    </row>
    <row r="306" spans="1:72" ht="14.25" customHeight="1" x14ac:dyDescent="0.2">
      <c r="A306" s="136" t="s">
        <v>4338</v>
      </c>
      <c r="B306" s="4">
        <v>12</v>
      </c>
      <c r="C306" s="201" t="s">
        <v>4339</v>
      </c>
      <c r="D306" s="4">
        <v>1387</v>
      </c>
      <c r="E306" s="4">
        <v>12464</v>
      </c>
      <c r="F306" s="4" t="s">
        <v>4718</v>
      </c>
      <c r="G306" s="8" t="s">
        <v>4719</v>
      </c>
      <c r="H306" s="4" t="s">
        <v>4720</v>
      </c>
      <c r="I306" s="4" t="s">
        <v>49</v>
      </c>
      <c r="J306" s="4" t="s">
        <v>1829</v>
      </c>
      <c r="K306" s="4">
        <v>1</v>
      </c>
      <c r="L306" s="4">
        <v>14486</v>
      </c>
      <c r="M306" s="9"/>
      <c r="U306"/>
      <c r="AK306" s="9"/>
      <c r="AO306" s="4" t="s">
        <v>4718</v>
      </c>
      <c r="AP306" s="4">
        <v>1387</v>
      </c>
      <c r="AQ306" s="4" t="s">
        <v>3003</v>
      </c>
      <c r="AR306" s="4" t="s">
        <v>1739</v>
      </c>
      <c r="AS306" s="4" t="s">
        <v>1740</v>
      </c>
      <c r="AT306" s="4" t="s">
        <v>1835</v>
      </c>
      <c r="AU306" s="4" t="s">
        <v>1742</v>
      </c>
      <c r="AV306" s="4" t="s">
        <v>1720</v>
      </c>
      <c r="AW306" s="4" t="s">
        <v>2193</v>
      </c>
      <c r="AX306" s="4" t="s">
        <v>2283</v>
      </c>
      <c r="AY306" s="4">
        <v>51.3735</v>
      </c>
      <c r="AZ306" s="4">
        <v>-125.1645</v>
      </c>
      <c r="BA306" s="4">
        <v>2712</v>
      </c>
    </row>
    <row r="307" spans="1:72" ht="14.25" customHeight="1" x14ac:dyDescent="0.2">
      <c r="A307" s="205" t="s">
        <v>4338</v>
      </c>
      <c r="B307" s="4">
        <v>12</v>
      </c>
      <c r="C307" s="201" t="s">
        <v>4339</v>
      </c>
      <c r="D307" s="4">
        <v>1199</v>
      </c>
      <c r="E307" s="4">
        <v>11017</v>
      </c>
      <c r="F307" s="4" t="s">
        <v>4340</v>
      </c>
      <c r="G307" s="8" t="s">
        <v>4341</v>
      </c>
      <c r="H307" s="201" t="s">
        <v>4342</v>
      </c>
      <c r="I307" s="4" t="s">
        <v>49</v>
      </c>
      <c r="J307" s="4" t="s">
        <v>1746</v>
      </c>
      <c r="K307" s="4">
        <v>1</v>
      </c>
      <c r="L307" s="4">
        <v>13185</v>
      </c>
      <c r="M307" s="203">
        <v>52.279578999999998</v>
      </c>
      <c r="N307" s="188">
        <v>-126.89054299999999</v>
      </c>
      <c r="O307" s="4" t="s">
        <v>51</v>
      </c>
      <c r="P307" s="188" t="s">
        <v>4343</v>
      </c>
      <c r="Q307" s="188">
        <v>6</v>
      </c>
      <c r="R307" s="188" t="s">
        <v>4340</v>
      </c>
      <c r="S307" s="4" t="s">
        <v>4344</v>
      </c>
      <c r="T307" s="4">
        <v>1260</v>
      </c>
      <c r="U307" s="192"/>
      <c r="V307" s="4" t="s">
        <v>4345</v>
      </c>
      <c r="W307" s="4" t="s">
        <v>4346</v>
      </c>
      <c r="X307" s="4" t="s">
        <v>4347</v>
      </c>
      <c r="AA307" s="192"/>
      <c r="AK307" s="9"/>
      <c r="AO307" s="4" t="s">
        <v>4340</v>
      </c>
      <c r="AP307" s="4">
        <v>1199</v>
      </c>
      <c r="AQ307" s="4" t="s">
        <v>1716</v>
      </c>
      <c r="AR307" s="4" t="s">
        <v>1701</v>
      </c>
      <c r="AS307" s="4" t="s">
        <v>1740</v>
      </c>
      <c r="AT307" s="4" t="s">
        <v>1835</v>
      </c>
      <c r="AU307" s="4" t="s">
        <v>1742</v>
      </c>
      <c r="AV307" s="4" t="s">
        <v>1720</v>
      </c>
      <c r="AW307" s="4" t="s">
        <v>1705</v>
      </c>
      <c r="AX307" s="4" t="s">
        <v>1965</v>
      </c>
      <c r="AY307" s="4">
        <v>52.279899999999998</v>
      </c>
      <c r="AZ307" s="4">
        <v>-126.89019999999999</v>
      </c>
      <c r="BA307" s="4">
        <v>1275</v>
      </c>
    </row>
    <row r="308" spans="1:72" ht="14.25" customHeight="1" x14ac:dyDescent="0.2">
      <c r="A308" s="136" t="s">
        <v>4338</v>
      </c>
      <c r="B308" s="136">
        <v>11</v>
      </c>
      <c r="C308" s="137" t="s">
        <v>7179</v>
      </c>
      <c r="D308" s="136" t="s">
        <v>7180</v>
      </c>
      <c r="E308" s="136">
        <v>13043</v>
      </c>
      <c r="F308" s="136" t="s">
        <v>7180</v>
      </c>
      <c r="G308" s="142" t="s">
        <v>7181</v>
      </c>
      <c r="H308" s="136" t="s">
        <v>84</v>
      </c>
      <c r="I308" s="136" t="s">
        <v>49</v>
      </c>
      <c r="J308" s="135"/>
      <c r="K308" s="136">
        <v>1</v>
      </c>
      <c r="L308" s="136">
        <v>14975</v>
      </c>
      <c r="M308" s="138">
        <v>49.6233</v>
      </c>
      <c r="N308" s="138">
        <v>-117.0436</v>
      </c>
      <c r="O308" s="138" t="s">
        <v>170</v>
      </c>
      <c r="P308" s="138" t="s">
        <v>7182</v>
      </c>
      <c r="Q308" s="139">
        <v>1</v>
      </c>
      <c r="R308" s="138" t="s">
        <v>7180</v>
      </c>
      <c r="S308" s="140" t="str">
        <f>UPPER(R308)</f>
        <v>WADF1 SEEDTREE</v>
      </c>
      <c r="T308" s="138" t="s">
        <v>4344</v>
      </c>
      <c r="U308" s="138">
        <v>815</v>
      </c>
      <c r="V308" s="138" t="s">
        <v>645</v>
      </c>
      <c r="W308" s="138" t="s">
        <v>7183</v>
      </c>
      <c r="X308" s="141" t="s">
        <v>7184</v>
      </c>
      <c r="Y308" s="138" t="s">
        <v>7185</v>
      </c>
      <c r="Z308" s="135"/>
      <c r="AA308" s="135"/>
      <c r="AB308" s="135"/>
      <c r="AC308" s="135"/>
      <c r="AD308" s="135"/>
      <c r="AE308" s="135"/>
      <c r="AF308" s="135"/>
      <c r="AG308" s="135"/>
      <c r="AH308" s="135"/>
      <c r="AI308" s="135"/>
      <c r="AJ308" s="135"/>
      <c r="AK308" s="135"/>
      <c r="AL308" s="135"/>
      <c r="AM308" s="135"/>
      <c r="AN308" s="135"/>
      <c r="AO308" s="135"/>
      <c r="AP308" s="135"/>
      <c r="AQ308" s="135"/>
      <c r="AR308" s="135"/>
      <c r="AS308" s="135"/>
      <c r="AT308" s="135"/>
      <c r="AU308" s="135"/>
      <c r="AV308" s="135"/>
      <c r="AW308" s="135"/>
      <c r="AX308" s="135"/>
      <c r="AY308" s="135"/>
      <c r="AZ308" s="135"/>
      <c r="BA308" s="135"/>
    </row>
    <row r="309" spans="1:72" ht="14.25" customHeight="1" x14ac:dyDescent="0.2">
      <c r="A309" s="136" t="s">
        <v>4338</v>
      </c>
      <c r="B309" s="136">
        <v>11</v>
      </c>
      <c r="C309" s="137" t="s">
        <v>7179</v>
      </c>
      <c r="D309" s="136" t="s">
        <v>7186</v>
      </c>
      <c r="E309" s="136">
        <v>13044</v>
      </c>
      <c r="F309" s="136" t="s">
        <v>7186</v>
      </c>
      <c r="G309" s="142" t="s">
        <v>7187</v>
      </c>
      <c r="H309" s="136" t="s">
        <v>7188</v>
      </c>
      <c r="I309" s="136" t="s">
        <v>49</v>
      </c>
      <c r="J309" s="136" t="s">
        <v>726</v>
      </c>
      <c r="K309" s="136">
        <v>1</v>
      </c>
      <c r="L309" s="136">
        <v>14976</v>
      </c>
      <c r="M309" s="138">
        <v>49.644500000000001</v>
      </c>
      <c r="N309" s="138">
        <v>-117.0626</v>
      </c>
      <c r="O309" s="138" t="s">
        <v>170</v>
      </c>
      <c r="P309" s="138" t="s">
        <v>7189</v>
      </c>
      <c r="Q309" s="139">
        <v>3</v>
      </c>
      <c r="R309" s="138" t="s">
        <v>7186</v>
      </c>
      <c r="S309" s="140" t="str">
        <f>UPPER(R309)</f>
        <v>WADF2 BURN</v>
      </c>
      <c r="T309" s="138" t="s">
        <v>4344</v>
      </c>
      <c r="U309" s="138">
        <v>1270</v>
      </c>
      <c r="V309" s="138" t="s">
        <v>645</v>
      </c>
      <c r="W309" s="138" t="s">
        <v>7190</v>
      </c>
      <c r="X309" s="141" t="s">
        <v>7184</v>
      </c>
      <c r="Y309" s="138" t="s">
        <v>7185</v>
      </c>
      <c r="Z309" s="135"/>
      <c r="AA309" s="135"/>
      <c r="AB309" s="135"/>
      <c r="AC309" s="135"/>
      <c r="AD309" s="135"/>
      <c r="AE309" s="135"/>
      <c r="AF309" s="135"/>
      <c r="AG309" s="135"/>
      <c r="AH309" s="135"/>
      <c r="AI309" s="135"/>
      <c r="AJ309" s="135"/>
      <c r="AK309" s="135"/>
      <c r="AL309" s="135"/>
      <c r="AM309" s="135"/>
      <c r="AN309" s="135"/>
      <c r="AO309" s="135"/>
      <c r="AP309" s="135"/>
      <c r="AQ309" s="135"/>
      <c r="AR309" s="135"/>
      <c r="AS309" s="135"/>
      <c r="AT309" s="135"/>
      <c r="AU309" s="135"/>
      <c r="AV309" s="135"/>
      <c r="AW309" s="135"/>
      <c r="AX309" s="135"/>
      <c r="AY309" s="135"/>
      <c r="AZ309" s="135"/>
      <c r="BA309" s="135"/>
    </row>
    <row r="310" spans="1:72" ht="14.25" customHeight="1" x14ac:dyDescent="0.2">
      <c r="A310" s="136" t="s">
        <v>4338</v>
      </c>
      <c r="B310" s="136">
        <v>11</v>
      </c>
      <c r="C310" s="137" t="s">
        <v>7179</v>
      </c>
      <c r="D310" s="136" t="s">
        <v>7191</v>
      </c>
      <c r="E310" s="136">
        <v>13045</v>
      </c>
      <c r="F310" s="186" t="s">
        <v>7191</v>
      </c>
      <c r="G310" s="142" t="s">
        <v>7192</v>
      </c>
      <c r="H310" s="136" t="s">
        <v>84</v>
      </c>
      <c r="I310" s="136" t="s">
        <v>49</v>
      </c>
      <c r="J310" s="135"/>
      <c r="K310" s="136">
        <v>1</v>
      </c>
      <c r="L310" s="136">
        <v>14977</v>
      </c>
      <c r="M310" s="300">
        <v>49.6693</v>
      </c>
      <c r="N310" s="300">
        <v>-117.0643</v>
      </c>
      <c r="O310" s="300" t="s">
        <v>170</v>
      </c>
      <c r="P310" s="300" t="s">
        <v>7193</v>
      </c>
      <c r="Q310" s="316">
        <v>5</v>
      </c>
      <c r="R310" s="300" t="s">
        <v>7191</v>
      </c>
      <c r="S310" s="318" t="str">
        <f>UPPER(R310)</f>
        <v>WADF4 CABIN</v>
      </c>
      <c r="T310" s="300" t="s">
        <v>4344</v>
      </c>
      <c r="U310" s="300">
        <v>1715</v>
      </c>
      <c r="V310" s="300" t="s">
        <v>645</v>
      </c>
      <c r="W310" s="300" t="s">
        <v>7194</v>
      </c>
      <c r="X310" s="324" t="s">
        <v>7184</v>
      </c>
      <c r="Y310" s="300" t="s">
        <v>7185</v>
      </c>
      <c r="Z310" s="330"/>
      <c r="AA310" s="330"/>
      <c r="AB310" s="330"/>
      <c r="AC310" s="330"/>
      <c r="AD310" s="330"/>
      <c r="AE310" s="330"/>
      <c r="AF310" s="330"/>
      <c r="AG310" s="330"/>
      <c r="AH310" s="330"/>
      <c r="AI310" s="330"/>
      <c r="AJ310" s="330"/>
      <c r="AK310" s="330"/>
      <c r="AL310" s="330"/>
      <c r="AM310" s="330"/>
      <c r="AN310" s="330"/>
      <c r="AO310" s="330"/>
      <c r="AP310" s="330"/>
      <c r="AQ310" s="330"/>
      <c r="AR310" s="330"/>
      <c r="AS310" s="330"/>
      <c r="AT310" s="330"/>
      <c r="AU310" s="330"/>
      <c r="AV310" s="330"/>
      <c r="AW310" s="330"/>
      <c r="AX310" s="330"/>
      <c r="AY310" s="330"/>
      <c r="AZ310" s="330"/>
      <c r="BA310" s="330"/>
      <c r="BB310" s="182"/>
      <c r="BC310" s="182"/>
      <c r="BD310" s="182"/>
      <c r="BE310" s="182"/>
      <c r="BF310" s="182"/>
      <c r="BG310" s="182"/>
      <c r="BH310" s="182"/>
      <c r="BI310" s="182"/>
      <c r="BJ310" s="182"/>
      <c r="BK310" s="182"/>
      <c r="BL310" s="182"/>
      <c r="BM310" s="182"/>
      <c r="BN310" s="182"/>
      <c r="BO310" s="182"/>
      <c r="BP310" s="182"/>
      <c r="BQ310" s="182"/>
      <c r="BR310" s="182"/>
      <c r="BS310" s="182"/>
      <c r="BT310" s="182"/>
    </row>
    <row r="311" spans="1:72" ht="14.25" customHeight="1" x14ac:dyDescent="0.2">
      <c r="A311" s="136" t="s">
        <v>4338</v>
      </c>
      <c r="B311" s="136">
        <v>11</v>
      </c>
      <c r="C311" s="137" t="s">
        <v>7179</v>
      </c>
      <c r="D311" s="136" t="s">
        <v>7195</v>
      </c>
      <c r="E311" s="136">
        <v>13046</v>
      </c>
      <c r="F311" s="186" t="s">
        <v>7195</v>
      </c>
      <c r="G311" s="142" t="s">
        <v>7196</v>
      </c>
      <c r="H311" s="136" t="s">
        <v>84</v>
      </c>
      <c r="I311" s="136" t="s">
        <v>49</v>
      </c>
      <c r="J311" s="135"/>
      <c r="K311" s="136">
        <v>1</v>
      </c>
      <c r="L311" s="136">
        <v>14978</v>
      </c>
      <c r="M311" s="300">
        <v>49.69</v>
      </c>
      <c r="N311" s="300">
        <v>-117.0865</v>
      </c>
      <c r="O311" s="300" t="s">
        <v>170</v>
      </c>
      <c r="P311" s="300" t="s">
        <v>7197</v>
      </c>
      <c r="Q311" s="316">
        <v>7</v>
      </c>
      <c r="R311" s="300" t="s">
        <v>7195</v>
      </c>
      <c r="S311" s="318" t="str">
        <f>UPPER(R311)</f>
        <v>WADF5 ALPINE</v>
      </c>
      <c r="T311" s="300" t="s">
        <v>4344</v>
      </c>
      <c r="U311" s="300">
        <v>2085</v>
      </c>
      <c r="V311" s="300" t="s">
        <v>645</v>
      </c>
      <c r="W311" s="300" t="s">
        <v>7198</v>
      </c>
      <c r="X311" s="324" t="s">
        <v>7184</v>
      </c>
      <c r="Y311" s="300" t="s">
        <v>7185</v>
      </c>
      <c r="Z311" s="330"/>
      <c r="AA311" s="330"/>
      <c r="AB311" s="330"/>
      <c r="AC311" s="330"/>
      <c r="AD311" s="330"/>
      <c r="AE311" s="330"/>
      <c r="AF311" s="330"/>
      <c r="AG311" s="330"/>
      <c r="AH311" s="330"/>
      <c r="AI311" s="330"/>
      <c r="AJ311" s="330"/>
      <c r="AK311" s="330"/>
      <c r="AL311" s="330"/>
      <c r="AM311" s="330"/>
      <c r="AN311" s="330"/>
      <c r="AO311" s="330"/>
      <c r="AP311" s="330"/>
      <c r="AQ311" s="330"/>
      <c r="AR311" s="330"/>
      <c r="AS311" s="330"/>
      <c r="AT311" s="330"/>
      <c r="AU311" s="330"/>
      <c r="AV311" s="330"/>
      <c r="AW311" s="330"/>
      <c r="AX311" s="330"/>
      <c r="AY311" s="330"/>
      <c r="AZ311" s="330"/>
      <c r="BA311" s="330"/>
      <c r="BB311" s="182"/>
      <c r="BC311" s="182"/>
      <c r="BD311" s="182"/>
      <c r="BE311" s="182"/>
      <c r="BF311" s="182"/>
      <c r="BG311" s="182"/>
      <c r="BH311" s="182"/>
      <c r="BI311" s="182"/>
      <c r="BJ311" s="182"/>
      <c r="BK311" s="182"/>
      <c r="BL311" s="182"/>
      <c r="BM311" s="182"/>
      <c r="BN311" s="182"/>
      <c r="BO311" s="182"/>
      <c r="BP311" s="182"/>
      <c r="BQ311" s="182"/>
      <c r="BR311" s="182"/>
      <c r="BS311" s="182"/>
      <c r="BT311" s="182"/>
    </row>
    <row r="312" spans="1:72" ht="14.25" customHeight="1" x14ac:dyDescent="0.2">
      <c r="A312" s="145" t="s">
        <v>5879</v>
      </c>
      <c r="B312" s="4">
        <v>9</v>
      </c>
      <c r="C312" s="201" t="s">
        <v>5039</v>
      </c>
      <c r="D312" s="201" t="s">
        <v>5880</v>
      </c>
      <c r="E312" s="4">
        <v>12291</v>
      </c>
      <c r="F312" s="4" t="s">
        <v>431</v>
      </c>
      <c r="G312" s="188" t="s">
        <v>5881</v>
      </c>
      <c r="H312" s="4" t="s">
        <v>84</v>
      </c>
      <c r="I312" s="4" t="s">
        <v>641</v>
      </c>
      <c r="K312" s="4">
        <v>1</v>
      </c>
      <c r="L312" s="4">
        <v>14346</v>
      </c>
      <c r="M312" s="9"/>
      <c r="U312"/>
      <c r="AK312" s="9"/>
    </row>
    <row r="313" spans="1:72" ht="14.25" customHeight="1" x14ac:dyDescent="0.2">
      <c r="A313" s="4" t="s">
        <v>5132</v>
      </c>
      <c r="B313" s="4">
        <v>9</v>
      </c>
      <c r="C313" s="201" t="s">
        <v>5039</v>
      </c>
      <c r="D313" s="201" t="s">
        <v>5133</v>
      </c>
      <c r="E313" s="4">
        <v>2641</v>
      </c>
      <c r="F313" s="196" t="s">
        <v>5130</v>
      </c>
      <c r="G313" s="188" t="s">
        <v>5134</v>
      </c>
      <c r="H313" s="4" t="s">
        <v>5135</v>
      </c>
      <c r="I313" s="4" t="s">
        <v>641</v>
      </c>
      <c r="J313" s="4" t="s">
        <v>5083</v>
      </c>
      <c r="K313" s="4">
        <v>1</v>
      </c>
      <c r="L313" s="4">
        <v>3044</v>
      </c>
      <c r="M313" s="27"/>
      <c r="N313" s="182"/>
      <c r="O313" s="182"/>
      <c r="P313" s="182"/>
      <c r="Q313" s="182"/>
      <c r="R313" s="182"/>
      <c r="S313" s="182"/>
      <c r="T313" s="182"/>
      <c r="U313" s="182"/>
      <c r="V313" s="182"/>
      <c r="W313" s="182"/>
      <c r="X313" s="182"/>
      <c r="Y313" s="182"/>
      <c r="Z313" s="182"/>
      <c r="AA313" s="182"/>
      <c r="AB313" s="182"/>
      <c r="AC313" s="182"/>
      <c r="AD313" s="182"/>
      <c r="AE313" s="182"/>
      <c r="AF313" s="182"/>
      <c r="AG313" s="182"/>
      <c r="AH313" s="182"/>
      <c r="AI313" s="182"/>
      <c r="AJ313" s="182"/>
      <c r="AK313" s="27"/>
      <c r="AL313" s="182"/>
      <c r="AM313" s="182"/>
      <c r="AN313" s="182"/>
      <c r="AO313" s="182"/>
      <c r="AP313" s="182"/>
      <c r="AQ313" s="182"/>
      <c r="AR313" s="182"/>
      <c r="AS313" s="182"/>
      <c r="AT313" s="182"/>
      <c r="AU313" s="182"/>
      <c r="AV313" s="182"/>
      <c r="AW313" s="182"/>
      <c r="AX313" s="182"/>
      <c r="AY313" s="182"/>
      <c r="AZ313" s="182"/>
      <c r="BA313" s="182"/>
      <c r="BB313" s="182"/>
      <c r="BC313" s="182"/>
      <c r="BD313" s="182"/>
      <c r="BE313" s="182"/>
      <c r="BF313" s="182"/>
      <c r="BG313" s="182"/>
      <c r="BH313" s="182"/>
      <c r="BI313" s="182"/>
      <c r="BJ313" s="182"/>
      <c r="BK313" s="182"/>
      <c r="BL313" s="182"/>
      <c r="BM313" s="182"/>
      <c r="BN313" s="182"/>
      <c r="BO313" s="182"/>
      <c r="BP313" s="182"/>
      <c r="BQ313" s="182"/>
      <c r="BR313" s="182"/>
      <c r="BS313" s="182"/>
      <c r="BT313" s="182"/>
    </row>
    <row r="314" spans="1:72" ht="14.25" customHeight="1" x14ac:dyDescent="0.2">
      <c r="A314" s="4" t="s">
        <v>5132</v>
      </c>
      <c r="B314" s="4">
        <v>9</v>
      </c>
      <c r="C314" s="201" t="s">
        <v>5039</v>
      </c>
      <c r="D314" s="201" t="s">
        <v>5136</v>
      </c>
      <c r="E314" s="4">
        <v>2637</v>
      </c>
      <c r="F314" s="4" t="s">
        <v>5137</v>
      </c>
      <c r="G314" s="188" t="s">
        <v>5138</v>
      </c>
      <c r="H314" s="4" t="s">
        <v>5139</v>
      </c>
      <c r="I314" s="4" t="s">
        <v>641</v>
      </c>
      <c r="J314" s="4" t="s">
        <v>5048</v>
      </c>
      <c r="K314" s="4">
        <v>1</v>
      </c>
      <c r="L314" s="4">
        <v>3040</v>
      </c>
      <c r="M314" s="9"/>
      <c r="U314"/>
      <c r="AK314" s="9"/>
    </row>
    <row r="315" spans="1:72" ht="14.25" customHeight="1" x14ac:dyDescent="0.2">
      <c r="A315" s="187" t="s">
        <v>5845</v>
      </c>
      <c r="B315" s="197">
        <v>9</v>
      </c>
      <c r="C315" s="197" t="s">
        <v>5216</v>
      </c>
      <c r="D315" s="197" t="s">
        <v>5846</v>
      </c>
      <c r="E315" s="197">
        <v>12426</v>
      </c>
      <c r="F315" s="84" t="s">
        <v>5847</v>
      </c>
      <c r="G315" s="84" t="s">
        <v>113</v>
      </c>
      <c r="H315" s="197" t="s">
        <v>5848</v>
      </c>
      <c r="I315" s="197" t="s">
        <v>49</v>
      </c>
      <c r="J315" s="197" t="s">
        <v>5078</v>
      </c>
      <c r="K315" s="197">
        <v>1</v>
      </c>
      <c r="L315" s="197">
        <v>14448</v>
      </c>
      <c r="M315" s="197"/>
      <c r="N315" s="197"/>
      <c r="O315" s="197"/>
      <c r="P315" s="197"/>
      <c r="Q315" s="197"/>
      <c r="R315" s="197"/>
      <c r="S315" s="197"/>
      <c r="T315" s="197"/>
      <c r="U315" s="197"/>
      <c r="V315" s="197"/>
      <c r="W315" s="197"/>
      <c r="X315" s="197"/>
      <c r="Y315" s="197"/>
      <c r="Z315" s="197"/>
      <c r="AA315" s="197"/>
      <c r="AB315" s="197"/>
      <c r="AC315" s="197"/>
      <c r="AD315" s="197"/>
      <c r="AE315" s="197"/>
      <c r="AF315" s="197"/>
      <c r="AI315" s="197"/>
      <c r="AK315" s="9"/>
    </row>
    <row r="316" spans="1:72" ht="14.25" customHeight="1" x14ac:dyDescent="0.2">
      <c r="A316" s="4" t="s">
        <v>5910</v>
      </c>
      <c r="B316" s="4">
        <v>9</v>
      </c>
      <c r="C316" s="4" t="s">
        <v>4969</v>
      </c>
      <c r="D316" s="4" t="s">
        <v>5911</v>
      </c>
      <c r="E316" s="4">
        <v>2589</v>
      </c>
      <c r="F316" s="4" t="s">
        <v>5912</v>
      </c>
      <c r="G316" s="188" t="s">
        <v>5913</v>
      </c>
      <c r="H316" s="4" t="s">
        <v>5914</v>
      </c>
      <c r="I316" s="4" t="s">
        <v>641</v>
      </c>
      <c r="J316" s="4" t="s">
        <v>5037</v>
      </c>
      <c r="K316" s="4">
        <v>1</v>
      </c>
      <c r="L316" s="4">
        <v>2992</v>
      </c>
      <c r="M316" s="9"/>
      <c r="U316"/>
      <c r="AK316" s="9"/>
    </row>
    <row r="317" spans="1:72" ht="14.25" customHeight="1" x14ac:dyDescent="0.2">
      <c r="A317" s="4" t="s">
        <v>6834</v>
      </c>
      <c r="B317" s="4">
        <v>14</v>
      </c>
      <c r="C317" s="201" t="s">
        <v>6099</v>
      </c>
      <c r="D317" s="201" t="s">
        <v>6835</v>
      </c>
      <c r="E317" s="4">
        <v>2549</v>
      </c>
      <c r="F317" s="196" t="s">
        <v>6836</v>
      </c>
      <c r="G317" s="188" t="s">
        <v>6837</v>
      </c>
      <c r="H317" s="4" t="s">
        <v>6838</v>
      </c>
      <c r="I317" s="4" t="s">
        <v>1664</v>
      </c>
      <c r="J317" s="4" t="s">
        <v>6645</v>
      </c>
      <c r="K317" s="4">
        <v>1</v>
      </c>
      <c r="L317" s="4">
        <v>2952</v>
      </c>
      <c r="M317" s="182"/>
      <c r="N317" s="182"/>
      <c r="O317" s="182"/>
      <c r="P317" s="182"/>
      <c r="Q317" s="182"/>
      <c r="R317" s="182"/>
      <c r="S317" s="182"/>
      <c r="T317" s="182"/>
      <c r="U317" s="182"/>
      <c r="V317" s="27"/>
      <c r="W317" s="27"/>
      <c r="X317" s="27"/>
      <c r="Y317" s="27"/>
      <c r="Z317" s="27"/>
      <c r="AA317" s="27"/>
      <c r="AB317" s="27"/>
      <c r="AC317" s="27"/>
      <c r="AD317" s="27"/>
      <c r="AE317" s="27"/>
      <c r="AF317" s="27"/>
      <c r="AG317" s="27"/>
      <c r="AH317" s="27"/>
      <c r="AI317" s="27"/>
      <c r="AJ317" s="27"/>
      <c r="AK317" s="27"/>
      <c r="AL317" s="27"/>
      <c r="AM317" s="27"/>
      <c r="AN317" s="27"/>
      <c r="AO317" s="27"/>
      <c r="AP317" s="27"/>
      <c r="AQ317" s="27"/>
      <c r="AR317" s="27"/>
      <c r="AS317" s="27"/>
      <c r="AT317" s="27"/>
      <c r="AU317" s="27"/>
      <c r="AV317" s="27"/>
      <c r="AW317" s="27"/>
      <c r="AX317" s="27"/>
      <c r="AY317" s="27"/>
      <c r="AZ317" s="27"/>
      <c r="BA317" s="27"/>
      <c r="BB317" s="27"/>
      <c r="BC317" s="27"/>
      <c r="BD317" s="27"/>
      <c r="BE317" s="27"/>
      <c r="BF317" s="27"/>
      <c r="BG317" s="27"/>
      <c r="BH317" s="27"/>
      <c r="BI317" s="27"/>
      <c r="BJ317" s="27"/>
      <c r="BK317" s="27"/>
      <c r="BL317" s="27"/>
      <c r="BM317" s="27"/>
      <c r="BN317" s="27"/>
      <c r="BO317" s="27"/>
      <c r="BP317" s="27"/>
      <c r="BQ317" s="27"/>
      <c r="BR317" s="27"/>
      <c r="BS317" s="27"/>
      <c r="BT317" s="27"/>
    </row>
    <row r="318" spans="1:72" ht="14.25" customHeight="1" x14ac:dyDescent="0.2">
      <c r="A318" s="4" t="s">
        <v>4980</v>
      </c>
      <c r="B318" s="4">
        <v>9</v>
      </c>
      <c r="C318" s="4" t="s">
        <v>4969</v>
      </c>
      <c r="D318" s="201" t="s">
        <v>4981</v>
      </c>
      <c r="E318" s="4">
        <v>12939</v>
      </c>
      <c r="F318" s="49" t="s">
        <v>4976</v>
      </c>
      <c r="G318" s="188" t="s">
        <v>4977</v>
      </c>
      <c r="H318" s="4" t="s">
        <v>4982</v>
      </c>
      <c r="I318" s="4" t="s">
        <v>49</v>
      </c>
      <c r="J318" s="4" t="s">
        <v>4983</v>
      </c>
      <c r="K318" s="4">
        <v>1</v>
      </c>
      <c r="L318" s="4">
        <v>14871</v>
      </c>
      <c r="M318" s="9"/>
      <c r="U318"/>
      <c r="AK318" s="9"/>
    </row>
    <row r="319" spans="1:72" ht="14.25" customHeight="1" x14ac:dyDescent="0.2">
      <c r="A319" s="4" t="s">
        <v>4980</v>
      </c>
      <c r="B319" s="4">
        <v>9</v>
      </c>
      <c r="C319" s="4" t="s">
        <v>4969</v>
      </c>
      <c r="D319" s="201" t="s">
        <v>4997</v>
      </c>
      <c r="E319" s="4">
        <v>12938</v>
      </c>
      <c r="F319" s="49" t="s">
        <v>4998</v>
      </c>
      <c r="G319" s="188" t="s">
        <v>4999</v>
      </c>
      <c r="H319" s="4" t="s">
        <v>5000</v>
      </c>
      <c r="I319" s="4" t="s">
        <v>49</v>
      </c>
      <c r="J319" s="4" t="s">
        <v>4983</v>
      </c>
      <c r="K319" s="4">
        <v>1</v>
      </c>
      <c r="L319" s="4">
        <v>14870</v>
      </c>
      <c r="M319" s="9"/>
      <c r="U319"/>
      <c r="V319" s="9"/>
      <c r="W319" s="9"/>
      <c r="X319" s="9"/>
      <c r="Y319" s="9"/>
      <c r="Z319" s="70"/>
      <c r="AA319" s="9"/>
      <c r="AB319" s="11"/>
      <c r="AC319" s="9"/>
      <c r="AK319" s="9"/>
    </row>
    <row r="320" spans="1:72" ht="14.25" customHeight="1" x14ac:dyDescent="0.2">
      <c r="A320" s="4" t="s">
        <v>4980</v>
      </c>
      <c r="B320" s="4">
        <v>9</v>
      </c>
      <c r="C320" s="4" t="s">
        <v>4969</v>
      </c>
      <c r="D320" s="201" t="s">
        <v>5255</v>
      </c>
      <c r="E320" s="4">
        <v>2640</v>
      </c>
      <c r="F320" s="4" t="s">
        <v>5256</v>
      </c>
      <c r="G320" s="188" t="s">
        <v>5257</v>
      </c>
      <c r="H320" s="4" t="s">
        <v>5258</v>
      </c>
      <c r="I320" s="4" t="s">
        <v>641</v>
      </c>
      <c r="J320" s="4" t="s">
        <v>5037</v>
      </c>
      <c r="K320" s="4">
        <v>1</v>
      </c>
      <c r="L320" s="4">
        <v>3043</v>
      </c>
      <c r="M320" s="9"/>
      <c r="U320"/>
      <c r="AK320" s="9"/>
    </row>
    <row r="321" spans="1:72" ht="14.25" customHeight="1" x14ac:dyDescent="0.2">
      <c r="A321" s="4" t="s">
        <v>4980</v>
      </c>
      <c r="B321" s="4">
        <v>9</v>
      </c>
      <c r="C321" s="4" t="s">
        <v>4969</v>
      </c>
      <c r="D321" s="201" t="s">
        <v>5303</v>
      </c>
      <c r="E321" s="4">
        <v>2623</v>
      </c>
      <c r="F321" s="4" t="s">
        <v>5300</v>
      </c>
      <c r="G321" s="188" t="s">
        <v>5304</v>
      </c>
      <c r="H321" s="4" t="s">
        <v>5305</v>
      </c>
      <c r="I321" s="4" t="s">
        <v>641</v>
      </c>
      <c r="J321" s="4" t="s">
        <v>5083</v>
      </c>
      <c r="K321" s="4">
        <v>1</v>
      </c>
      <c r="L321" s="4">
        <v>3026</v>
      </c>
      <c r="M321" s="9"/>
      <c r="U321"/>
      <c r="AK321" s="9"/>
    </row>
    <row r="322" spans="1:72" ht="14.25" customHeight="1" x14ac:dyDescent="0.2">
      <c r="A322" s="4" t="s">
        <v>4980</v>
      </c>
      <c r="B322" s="4">
        <v>9</v>
      </c>
      <c r="C322" s="9" t="s">
        <v>4969</v>
      </c>
      <c r="D322" s="201" t="s">
        <v>5410</v>
      </c>
      <c r="E322" s="4">
        <v>12531</v>
      </c>
      <c r="F322" s="4" t="s">
        <v>1648</v>
      </c>
      <c r="G322" s="188" t="s">
        <v>5411</v>
      </c>
      <c r="H322" s="4" t="s">
        <v>5397</v>
      </c>
      <c r="I322" s="4" t="s">
        <v>49</v>
      </c>
      <c r="J322" s="4" t="s">
        <v>4983</v>
      </c>
      <c r="K322" s="4">
        <v>1</v>
      </c>
      <c r="L322" s="4">
        <v>14553</v>
      </c>
      <c r="M322" s="9"/>
      <c r="U322"/>
      <c r="AK322" s="9"/>
    </row>
    <row r="323" spans="1:72" ht="14.25" customHeight="1" x14ac:dyDescent="0.2">
      <c r="A323" s="4" t="s">
        <v>4980</v>
      </c>
      <c r="B323" s="4">
        <v>9</v>
      </c>
      <c r="C323" s="9" t="s">
        <v>4969</v>
      </c>
      <c r="D323" s="201" t="s">
        <v>5412</v>
      </c>
      <c r="E323" s="4">
        <v>12534</v>
      </c>
      <c r="F323" s="4" t="s">
        <v>1648</v>
      </c>
      <c r="G323" s="188" t="s">
        <v>5413</v>
      </c>
      <c r="H323" s="4" t="s">
        <v>5397</v>
      </c>
      <c r="I323" s="4" t="s">
        <v>49</v>
      </c>
      <c r="J323" s="4" t="s">
        <v>4983</v>
      </c>
      <c r="K323" s="4">
        <v>1</v>
      </c>
      <c r="L323" s="4">
        <v>14556</v>
      </c>
      <c r="M323" s="9"/>
      <c r="U323"/>
      <c r="AK323" s="9"/>
    </row>
    <row r="324" spans="1:72" ht="14.25" customHeight="1" x14ac:dyDescent="0.2">
      <c r="A324" s="4" t="s">
        <v>4980</v>
      </c>
      <c r="B324" s="4">
        <v>9</v>
      </c>
      <c r="C324" s="9" t="s">
        <v>4969</v>
      </c>
      <c r="D324" s="201" t="s">
        <v>5414</v>
      </c>
      <c r="E324" s="4">
        <v>12535</v>
      </c>
      <c r="F324" s="4" t="s">
        <v>1648</v>
      </c>
      <c r="G324" s="188" t="s">
        <v>5415</v>
      </c>
      <c r="H324" s="4" t="s">
        <v>5397</v>
      </c>
      <c r="I324" s="4" t="s">
        <v>49</v>
      </c>
      <c r="J324" s="4" t="s">
        <v>4983</v>
      </c>
      <c r="K324" s="4">
        <v>1</v>
      </c>
      <c r="L324" s="4">
        <v>14557</v>
      </c>
      <c r="M324" s="9"/>
      <c r="U324"/>
      <c r="AK324" s="9"/>
    </row>
    <row r="325" spans="1:72" ht="14.25" customHeight="1" x14ac:dyDescent="0.2">
      <c r="A325" s="4" t="s">
        <v>4980</v>
      </c>
      <c r="B325" s="4">
        <v>9</v>
      </c>
      <c r="C325" s="9" t="s">
        <v>4969</v>
      </c>
      <c r="D325" s="201" t="s">
        <v>5416</v>
      </c>
      <c r="E325" s="4">
        <v>12537</v>
      </c>
      <c r="F325" s="79" t="s">
        <v>1648</v>
      </c>
      <c r="G325" s="188" t="s">
        <v>5417</v>
      </c>
      <c r="H325" s="4" t="s">
        <v>5397</v>
      </c>
      <c r="I325" s="4" t="s">
        <v>49</v>
      </c>
      <c r="J325" s="4" t="s">
        <v>4983</v>
      </c>
      <c r="K325" s="4">
        <v>1</v>
      </c>
      <c r="L325" s="4">
        <v>14559</v>
      </c>
      <c r="M325" s="9"/>
      <c r="U325"/>
      <c r="AK325" s="9"/>
    </row>
    <row r="326" spans="1:72" ht="14.25" customHeight="1" x14ac:dyDescent="0.2">
      <c r="A326" s="4" t="s">
        <v>4980</v>
      </c>
      <c r="B326" s="4">
        <v>9</v>
      </c>
      <c r="C326" s="9" t="s">
        <v>4969</v>
      </c>
      <c r="D326" s="201" t="s">
        <v>5418</v>
      </c>
      <c r="E326" s="4">
        <v>12539</v>
      </c>
      <c r="F326" s="4" t="s">
        <v>1648</v>
      </c>
      <c r="G326" s="188" t="s">
        <v>5419</v>
      </c>
      <c r="H326" s="4" t="s">
        <v>5397</v>
      </c>
      <c r="I326" s="4" t="s">
        <v>49</v>
      </c>
      <c r="J326" s="4" t="s">
        <v>4983</v>
      </c>
      <c r="K326" s="4">
        <v>1</v>
      </c>
      <c r="L326" s="4">
        <v>14561</v>
      </c>
      <c r="M326" s="9"/>
      <c r="U326"/>
      <c r="AK326" s="9"/>
    </row>
    <row r="327" spans="1:72" ht="14.25" customHeight="1" x14ac:dyDescent="0.2">
      <c r="A327" s="4" t="s">
        <v>4980</v>
      </c>
      <c r="B327" s="4">
        <v>9</v>
      </c>
      <c r="C327" s="9" t="s">
        <v>4969</v>
      </c>
      <c r="D327" s="201" t="s">
        <v>5420</v>
      </c>
      <c r="E327" s="4">
        <v>12540</v>
      </c>
      <c r="F327" s="4" t="s">
        <v>1648</v>
      </c>
      <c r="G327" s="188" t="s">
        <v>5421</v>
      </c>
      <c r="H327" s="4" t="s">
        <v>5397</v>
      </c>
      <c r="I327" s="4" t="s">
        <v>49</v>
      </c>
      <c r="J327" s="4" t="s">
        <v>4983</v>
      </c>
      <c r="K327" s="4">
        <v>1</v>
      </c>
      <c r="L327" s="4">
        <v>14562</v>
      </c>
      <c r="M327" s="9"/>
      <c r="U327"/>
      <c r="AK327" s="9"/>
    </row>
    <row r="328" spans="1:72" ht="14.25" customHeight="1" x14ac:dyDescent="0.2">
      <c r="A328" s="4" t="s">
        <v>4980</v>
      </c>
      <c r="B328" s="4">
        <v>9</v>
      </c>
      <c r="C328" s="9" t="s">
        <v>4969</v>
      </c>
      <c r="D328" s="201" t="s">
        <v>5422</v>
      </c>
      <c r="E328" s="4">
        <v>12542</v>
      </c>
      <c r="F328" s="4" t="s">
        <v>1648</v>
      </c>
      <c r="G328" s="188" t="s">
        <v>5423</v>
      </c>
      <c r="H328" s="4" t="s">
        <v>5397</v>
      </c>
      <c r="I328" s="4" t="s">
        <v>49</v>
      </c>
      <c r="J328" s="4" t="s">
        <v>4983</v>
      </c>
      <c r="K328" s="4">
        <v>1</v>
      </c>
      <c r="L328" s="4">
        <v>14564</v>
      </c>
      <c r="M328" s="9"/>
      <c r="U328"/>
      <c r="AK328" s="9"/>
    </row>
    <row r="329" spans="1:72" ht="14.25" customHeight="1" x14ac:dyDescent="0.2">
      <c r="A329" s="4" t="s">
        <v>4980</v>
      </c>
      <c r="B329" s="4">
        <v>9</v>
      </c>
      <c r="C329" s="9" t="s">
        <v>4969</v>
      </c>
      <c r="D329" s="201" t="s">
        <v>5424</v>
      </c>
      <c r="E329" s="4">
        <v>12543</v>
      </c>
      <c r="F329" s="196" t="s">
        <v>1648</v>
      </c>
      <c r="G329" s="188" t="s">
        <v>5425</v>
      </c>
      <c r="H329" s="4" t="s">
        <v>5397</v>
      </c>
      <c r="I329" s="4" t="s">
        <v>49</v>
      </c>
      <c r="J329" s="4" t="s">
        <v>4983</v>
      </c>
      <c r="K329" s="4">
        <v>1</v>
      </c>
      <c r="L329" s="4">
        <v>14565</v>
      </c>
      <c r="M329" s="9"/>
      <c r="U329"/>
      <c r="V329" s="182"/>
      <c r="W329" s="182"/>
      <c r="X329" s="182"/>
      <c r="Y329" s="182"/>
      <c r="Z329" s="182"/>
      <c r="AA329" s="182"/>
      <c r="AB329" s="182"/>
      <c r="AC329" s="182"/>
      <c r="AD329" s="182"/>
      <c r="AE329" s="182"/>
      <c r="AF329" s="182"/>
      <c r="AG329" s="182"/>
      <c r="AH329" s="182"/>
      <c r="AI329" s="182"/>
      <c r="AJ329" s="182"/>
      <c r="AK329" s="27"/>
      <c r="AL329" s="182"/>
      <c r="AM329" s="182"/>
      <c r="AN329" s="182"/>
      <c r="AO329" s="182"/>
      <c r="AP329" s="182"/>
      <c r="AQ329" s="182"/>
      <c r="AR329" s="182"/>
      <c r="AS329" s="182"/>
      <c r="AT329" s="182"/>
      <c r="AU329" s="182"/>
      <c r="AV329" s="182"/>
      <c r="AW329" s="182"/>
      <c r="AX329" s="182"/>
      <c r="AY329" s="182"/>
      <c r="AZ329" s="182"/>
      <c r="BA329" s="182"/>
      <c r="BB329" s="182"/>
      <c r="BC329" s="182"/>
      <c r="BD329" s="182"/>
      <c r="BE329" s="182"/>
      <c r="BF329" s="182"/>
      <c r="BG329" s="182"/>
      <c r="BH329" s="182"/>
      <c r="BI329" s="182"/>
      <c r="BJ329" s="182"/>
      <c r="BK329" s="182"/>
      <c r="BL329" s="182"/>
      <c r="BM329" s="182"/>
      <c r="BN329" s="182"/>
      <c r="BO329" s="182"/>
      <c r="BP329" s="182"/>
      <c r="BQ329" s="182"/>
      <c r="BR329" s="182"/>
      <c r="BS329" s="182"/>
      <c r="BT329" s="182"/>
    </row>
    <row r="330" spans="1:72" ht="14.25" customHeight="1" x14ac:dyDescent="0.2">
      <c r="A330" s="4" t="s">
        <v>4980</v>
      </c>
      <c r="B330" s="4">
        <v>9</v>
      </c>
      <c r="C330" s="9" t="s">
        <v>4969</v>
      </c>
      <c r="D330" s="201" t="s">
        <v>5426</v>
      </c>
      <c r="E330" s="4">
        <v>12546</v>
      </c>
      <c r="F330" s="79" t="s">
        <v>1648</v>
      </c>
      <c r="G330" s="188" t="s">
        <v>5427</v>
      </c>
      <c r="H330" s="4" t="s">
        <v>5397</v>
      </c>
      <c r="I330" s="4" t="s">
        <v>49</v>
      </c>
      <c r="J330" s="4" t="s">
        <v>4983</v>
      </c>
      <c r="K330" s="4">
        <v>1</v>
      </c>
      <c r="L330" s="4">
        <v>14568</v>
      </c>
      <c r="M330" s="9"/>
      <c r="U330"/>
      <c r="AK330" s="9"/>
    </row>
    <row r="331" spans="1:72" ht="14.25" customHeight="1" x14ac:dyDescent="0.2">
      <c r="A331" s="4" t="s">
        <v>4980</v>
      </c>
      <c r="B331" s="4">
        <v>9</v>
      </c>
      <c r="C331" s="9" t="s">
        <v>4969</v>
      </c>
      <c r="D331" s="201" t="s">
        <v>5428</v>
      </c>
      <c r="E331" s="4">
        <v>12547</v>
      </c>
      <c r="F331" s="292" t="s">
        <v>1648</v>
      </c>
      <c r="G331" s="188" t="s">
        <v>5429</v>
      </c>
      <c r="H331" s="4" t="s">
        <v>5397</v>
      </c>
      <c r="I331" s="4" t="s">
        <v>49</v>
      </c>
      <c r="J331" s="4" t="s">
        <v>4983</v>
      </c>
      <c r="K331" s="4">
        <v>1</v>
      </c>
      <c r="L331" s="4">
        <v>14569</v>
      </c>
      <c r="M331" s="9"/>
      <c r="U331"/>
      <c r="V331" s="182"/>
      <c r="W331" s="182"/>
      <c r="X331" s="182"/>
      <c r="Y331" s="182"/>
      <c r="Z331" s="182"/>
      <c r="AA331" s="182"/>
      <c r="AB331" s="182"/>
      <c r="AC331" s="182"/>
      <c r="AD331" s="182"/>
      <c r="AE331" s="182"/>
      <c r="AF331" s="182"/>
      <c r="AG331" s="182"/>
      <c r="AH331" s="182"/>
      <c r="AI331" s="182"/>
      <c r="AJ331" s="182"/>
      <c r="AK331" s="27"/>
      <c r="AL331" s="182"/>
      <c r="AM331" s="182"/>
      <c r="AN331" s="182"/>
      <c r="AO331" s="182"/>
      <c r="AP331" s="182"/>
      <c r="AQ331" s="182"/>
      <c r="AR331" s="182"/>
      <c r="AS331" s="182"/>
      <c r="AT331" s="182"/>
      <c r="AU331" s="182"/>
      <c r="AV331" s="182"/>
      <c r="AW331" s="182"/>
      <c r="AX331" s="182"/>
      <c r="AY331" s="182"/>
      <c r="AZ331" s="182"/>
      <c r="BA331" s="182"/>
      <c r="BB331" s="182"/>
      <c r="BC331" s="182"/>
      <c r="BD331" s="182"/>
      <c r="BE331" s="182"/>
      <c r="BF331" s="182"/>
      <c r="BG331" s="182"/>
      <c r="BH331" s="182"/>
      <c r="BI331" s="182"/>
      <c r="BJ331" s="182"/>
      <c r="BK331" s="182"/>
      <c r="BL331" s="182"/>
      <c r="BM331" s="182"/>
      <c r="BN331" s="182"/>
      <c r="BO331" s="182"/>
      <c r="BP331" s="182"/>
      <c r="BQ331" s="182"/>
      <c r="BR331" s="182"/>
      <c r="BS331" s="182"/>
      <c r="BT331" s="182"/>
    </row>
    <row r="332" spans="1:72" ht="14.25" customHeight="1" x14ac:dyDescent="0.2">
      <c r="A332" s="4" t="s">
        <v>4980</v>
      </c>
      <c r="B332" s="4">
        <v>9</v>
      </c>
      <c r="C332" s="9" t="s">
        <v>4969</v>
      </c>
      <c r="D332" s="201" t="s">
        <v>5430</v>
      </c>
      <c r="E332" s="4">
        <v>12548</v>
      </c>
      <c r="F332" s="79" t="s">
        <v>1648</v>
      </c>
      <c r="G332" s="188" t="s">
        <v>5431</v>
      </c>
      <c r="H332" s="4" t="s">
        <v>5397</v>
      </c>
      <c r="I332" s="4" t="s">
        <v>49</v>
      </c>
      <c r="J332" s="4" t="s">
        <v>4983</v>
      </c>
      <c r="K332" s="4">
        <v>1</v>
      </c>
      <c r="L332" s="4">
        <v>14570</v>
      </c>
      <c r="M332" s="9"/>
      <c r="U332"/>
      <c r="AK332" s="9"/>
    </row>
    <row r="333" spans="1:72" ht="14.25" customHeight="1" x14ac:dyDescent="0.2">
      <c r="A333" s="4" t="s">
        <v>4980</v>
      </c>
      <c r="B333" s="4">
        <v>9</v>
      </c>
      <c r="C333" s="9" t="s">
        <v>4969</v>
      </c>
      <c r="D333" s="201" t="s">
        <v>5432</v>
      </c>
      <c r="E333" s="4">
        <v>12595</v>
      </c>
      <c r="F333" s="4" t="s">
        <v>1648</v>
      </c>
      <c r="G333" s="188" t="s">
        <v>5433</v>
      </c>
      <c r="H333" s="4" t="s">
        <v>5397</v>
      </c>
      <c r="I333" s="4" t="s">
        <v>49</v>
      </c>
      <c r="J333" s="4" t="s">
        <v>5402</v>
      </c>
      <c r="K333" s="4">
        <v>1</v>
      </c>
      <c r="L333" s="4">
        <v>14617</v>
      </c>
      <c r="M333" s="9"/>
      <c r="U333"/>
      <c r="AK333" s="9"/>
    </row>
    <row r="334" spans="1:72" ht="14.25" customHeight="1" x14ac:dyDescent="0.2">
      <c r="A334" s="4" t="s">
        <v>4980</v>
      </c>
      <c r="B334" s="4">
        <v>9</v>
      </c>
      <c r="C334" s="9" t="s">
        <v>4969</v>
      </c>
      <c r="D334" s="201" t="s">
        <v>5434</v>
      </c>
      <c r="E334" s="4">
        <v>12550</v>
      </c>
      <c r="F334" s="4" t="s">
        <v>1648</v>
      </c>
      <c r="G334" s="188" t="s">
        <v>5435</v>
      </c>
      <c r="H334" s="4" t="s">
        <v>5397</v>
      </c>
      <c r="I334" s="4" t="s">
        <v>49</v>
      </c>
      <c r="J334" s="4" t="s">
        <v>4983</v>
      </c>
      <c r="K334" s="4">
        <v>1</v>
      </c>
      <c r="L334" s="4">
        <v>14572</v>
      </c>
      <c r="M334" s="9"/>
      <c r="U334"/>
      <c r="AK334" s="9"/>
    </row>
    <row r="335" spans="1:72" ht="14.25" customHeight="1" x14ac:dyDescent="0.2">
      <c r="A335" s="4" t="s">
        <v>4980</v>
      </c>
      <c r="B335" s="4">
        <v>9</v>
      </c>
      <c r="C335" s="201" t="s">
        <v>5039</v>
      </c>
      <c r="D335" s="201" t="s">
        <v>5436</v>
      </c>
      <c r="E335" s="4">
        <v>12551</v>
      </c>
      <c r="F335" s="79" t="s">
        <v>1648</v>
      </c>
      <c r="G335" s="188" t="s">
        <v>5437</v>
      </c>
      <c r="H335" s="4" t="s">
        <v>5397</v>
      </c>
      <c r="I335" s="4" t="s">
        <v>49</v>
      </c>
      <c r="J335" s="4" t="s">
        <v>4983</v>
      </c>
      <c r="K335" s="4">
        <v>1</v>
      </c>
      <c r="L335" s="4">
        <v>14573</v>
      </c>
      <c r="M335" s="34"/>
      <c r="N335" s="231"/>
      <c r="O335" s="240"/>
      <c r="R335" s="231"/>
      <c r="U335"/>
      <c r="AK335" s="9"/>
    </row>
    <row r="336" spans="1:72" ht="14.25" customHeight="1" x14ac:dyDescent="0.2">
      <c r="A336" s="4" t="s">
        <v>4980</v>
      </c>
      <c r="B336" s="4">
        <v>9</v>
      </c>
      <c r="C336" s="9" t="s">
        <v>4969</v>
      </c>
      <c r="D336" s="201" t="s">
        <v>5438</v>
      </c>
      <c r="E336" s="4">
        <v>12552</v>
      </c>
      <c r="F336" s="80" t="s">
        <v>1648</v>
      </c>
      <c r="G336" s="188" t="s">
        <v>5439</v>
      </c>
      <c r="H336" s="4" t="s">
        <v>5440</v>
      </c>
      <c r="I336" s="4" t="s">
        <v>49</v>
      </c>
      <c r="J336" s="4" t="s">
        <v>4983</v>
      </c>
      <c r="K336" s="4">
        <v>1</v>
      </c>
      <c r="L336" s="4">
        <v>14574</v>
      </c>
      <c r="M336" s="9"/>
      <c r="U336"/>
      <c r="AK336" s="9"/>
    </row>
    <row r="337" spans="1:72" ht="14.25" customHeight="1" x14ac:dyDescent="0.2">
      <c r="A337" s="4" t="s">
        <v>4980</v>
      </c>
      <c r="B337" s="4">
        <v>9</v>
      </c>
      <c r="C337" s="9" t="s">
        <v>4969</v>
      </c>
      <c r="D337" s="201" t="s">
        <v>5441</v>
      </c>
      <c r="E337" s="4">
        <v>12553</v>
      </c>
      <c r="F337" s="4" t="s">
        <v>1648</v>
      </c>
      <c r="G337" s="188" t="s">
        <v>5442</v>
      </c>
      <c r="H337" s="4" t="s">
        <v>5397</v>
      </c>
      <c r="I337" s="4" t="s">
        <v>49</v>
      </c>
      <c r="J337" s="4" t="s">
        <v>4983</v>
      </c>
      <c r="K337" s="4">
        <v>1</v>
      </c>
      <c r="L337" s="4">
        <v>14575</v>
      </c>
      <c r="M337" s="203"/>
      <c r="N337" s="192"/>
      <c r="U337"/>
      <c r="AK337" s="9"/>
    </row>
    <row r="338" spans="1:72" ht="14.25" customHeight="1" x14ac:dyDescent="0.2">
      <c r="A338" s="4" t="s">
        <v>4980</v>
      </c>
      <c r="B338" s="4">
        <v>9</v>
      </c>
      <c r="C338" s="9" t="s">
        <v>4969</v>
      </c>
      <c r="D338" s="201" t="s">
        <v>5446</v>
      </c>
      <c r="E338" s="4">
        <v>12596</v>
      </c>
      <c r="F338" s="4" t="s">
        <v>1648</v>
      </c>
      <c r="G338" s="188" t="s">
        <v>5447</v>
      </c>
      <c r="H338" s="4" t="s">
        <v>5397</v>
      </c>
      <c r="I338" s="4" t="s">
        <v>49</v>
      </c>
      <c r="J338" s="4" t="s">
        <v>5402</v>
      </c>
      <c r="K338" s="4">
        <v>1</v>
      </c>
      <c r="L338" s="4">
        <v>14618</v>
      </c>
      <c r="M338" s="9"/>
      <c r="U338"/>
      <c r="AK338" s="9"/>
    </row>
    <row r="339" spans="1:72" ht="14.25" customHeight="1" x14ac:dyDescent="0.2">
      <c r="A339" s="4" t="s">
        <v>4980</v>
      </c>
      <c r="B339" s="4">
        <v>9</v>
      </c>
      <c r="C339" s="9" t="s">
        <v>4969</v>
      </c>
      <c r="D339" s="201" t="s">
        <v>5448</v>
      </c>
      <c r="E339" s="4">
        <v>12597</v>
      </c>
      <c r="F339" s="4" t="s">
        <v>1648</v>
      </c>
      <c r="G339" s="188" t="s">
        <v>5449</v>
      </c>
      <c r="H339" s="4" t="s">
        <v>5397</v>
      </c>
      <c r="I339" s="4" t="s">
        <v>49</v>
      </c>
      <c r="J339" s="4" t="s">
        <v>5402</v>
      </c>
      <c r="K339" s="4">
        <v>1</v>
      </c>
      <c r="L339" s="4">
        <v>14619</v>
      </c>
      <c r="M339" s="9"/>
      <c r="U339"/>
      <c r="AK339" s="9"/>
    </row>
    <row r="340" spans="1:72" ht="14.25" customHeight="1" x14ac:dyDescent="0.2">
      <c r="A340" s="4" t="s">
        <v>4980</v>
      </c>
      <c r="B340" s="4">
        <v>9</v>
      </c>
      <c r="C340" s="9" t="s">
        <v>4969</v>
      </c>
      <c r="D340" s="201" t="s">
        <v>5450</v>
      </c>
      <c r="E340" s="4">
        <v>12598</v>
      </c>
      <c r="F340" s="4" t="s">
        <v>1648</v>
      </c>
      <c r="G340" s="188" t="s">
        <v>5451</v>
      </c>
      <c r="H340" s="4" t="s">
        <v>5397</v>
      </c>
      <c r="I340" s="4" t="s">
        <v>49</v>
      </c>
      <c r="J340" s="4" t="s">
        <v>5402</v>
      </c>
      <c r="K340" s="4">
        <v>1</v>
      </c>
      <c r="L340" s="4">
        <v>14620</v>
      </c>
      <c r="M340" s="9"/>
      <c r="U340"/>
      <c r="AK340" s="9"/>
    </row>
    <row r="341" spans="1:72" ht="14.25" customHeight="1" x14ac:dyDescent="0.2">
      <c r="A341" s="4" t="s">
        <v>4980</v>
      </c>
      <c r="B341" s="4">
        <v>9</v>
      </c>
      <c r="C341" s="9" t="s">
        <v>4969</v>
      </c>
      <c r="D341" s="201" t="s">
        <v>5452</v>
      </c>
      <c r="E341" s="4">
        <v>12555</v>
      </c>
      <c r="F341" s="4" t="s">
        <v>1648</v>
      </c>
      <c r="G341" s="188" t="s">
        <v>5453</v>
      </c>
      <c r="H341" s="4" t="s">
        <v>5440</v>
      </c>
      <c r="I341" s="4" t="s">
        <v>49</v>
      </c>
      <c r="J341" s="4" t="s">
        <v>4983</v>
      </c>
      <c r="K341" s="4">
        <v>1</v>
      </c>
      <c r="L341" s="4">
        <v>14577</v>
      </c>
      <c r="M341" s="9"/>
      <c r="U341"/>
      <c r="AK341" s="9"/>
    </row>
    <row r="342" spans="1:72" ht="14.25" customHeight="1" x14ac:dyDescent="0.2">
      <c r="A342" s="4" t="s">
        <v>4980</v>
      </c>
      <c r="B342" s="4">
        <v>9</v>
      </c>
      <c r="C342" s="9" t="s">
        <v>4969</v>
      </c>
      <c r="D342" s="201" t="s">
        <v>5454</v>
      </c>
      <c r="E342" s="4">
        <v>12599</v>
      </c>
      <c r="F342" s="196" t="s">
        <v>1648</v>
      </c>
      <c r="G342" s="188" t="s">
        <v>5455</v>
      </c>
      <c r="H342" s="4" t="s">
        <v>5397</v>
      </c>
      <c r="I342" s="4" t="s">
        <v>49</v>
      </c>
      <c r="J342" s="4" t="s">
        <v>5402</v>
      </c>
      <c r="K342" s="4">
        <v>1</v>
      </c>
      <c r="L342" s="4">
        <v>14621</v>
      </c>
      <c r="M342" s="27"/>
      <c r="N342" s="182"/>
      <c r="O342" s="182"/>
      <c r="P342" s="182"/>
      <c r="Q342" s="182"/>
      <c r="R342" s="182"/>
      <c r="S342" s="182"/>
      <c r="T342" s="182"/>
      <c r="U342" s="182"/>
      <c r="V342" s="182"/>
      <c r="W342" s="182"/>
      <c r="X342" s="182"/>
      <c r="Y342" s="182"/>
      <c r="Z342" s="182"/>
      <c r="AA342" s="182"/>
      <c r="AB342" s="182"/>
      <c r="AC342" s="182"/>
      <c r="AD342" s="182"/>
      <c r="AE342" s="182"/>
      <c r="AF342" s="182"/>
      <c r="AG342" s="182"/>
      <c r="AH342" s="182"/>
      <c r="AI342" s="182"/>
      <c r="AJ342" s="182"/>
      <c r="AK342" s="27"/>
      <c r="AL342" s="182"/>
      <c r="AM342" s="182"/>
      <c r="AN342" s="182"/>
      <c r="AO342" s="182"/>
      <c r="AP342" s="182"/>
      <c r="AQ342" s="182"/>
      <c r="AR342" s="182"/>
      <c r="AS342" s="182"/>
      <c r="AT342" s="182"/>
      <c r="AU342" s="182"/>
      <c r="AV342" s="182"/>
      <c r="AW342" s="182"/>
      <c r="AX342" s="182"/>
      <c r="AY342" s="182"/>
      <c r="AZ342" s="182"/>
      <c r="BA342" s="182"/>
      <c r="BB342" s="182"/>
      <c r="BC342" s="182"/>
      <c r="BD342" s="182"/>
      <c r="BE342" s="182"/>
      <c r="BF342" s="182"/>
      <c r="BG342" s="182"/>
      <c r="BH342" s="182"/>
      <c r="BI342" s="182"/>
      <c r="BJ342" s="182"/>
      <c r="BK342" s="182"/>
      <c r="BL342" s="182"/>
      <c r="BM342" s="182"/>
      <c r="BN342" s="182"/>
      <c r="BO342" s="182"/>
      <c r="BP342" s="182"/>
      <c r="BQ342" s="182"/>
      <c r="BR342" s="182"/>
      <c r="BS342" s="182"/>
      <c r="BT342" s="182"/>
    </row>
    <row r="343" spans="1:72" ht="14.25" customHeight="1" x14ac:dyDescent="0.2">
      <c r="A343" s="4" t="s">
        <v>4980</v>
      </c>
      <c r="B343" s="4">
        <v>9</v>
      </c>
      <c r="C343" s="9" t="s">
        <v>4969</v>
      </c>
      <c r="D343" s="201" t="s">
        <v>5456</v>
      </c>
      <c r="E343" s="4">
        <v>12561</v>
      </c>
      <c r="F343" s="80" t="s">
        <v>1648</v>
      </c>
      <c r="G343" s="188" t="s">
        <v>5457</v>
      </c>
      <c r="H343" s="4" t="s">
        <v>5397</v>
      </c>
      <c r="I343" s="4" t="s">
        <v>49</v>
      </c>
      <c r="J343" s="4" t="s">
        <v>4983</v>
      </c>
      <c r="K343" s="4">
        <v>1</v>
      </c>
      <c r="L343" s="4">
        <v>14583</v>
      </c>
      <c r="M343" s="9"/>
      <c r="U343"/>
      <c r="AK343" s="9"/>
    </row>
    <row r="344" spans="1:72" ht="14.25" customHeight="1" x14ac:dyDescent="0.2">
      <c r="A344" s="4" t="s">
        <v>4980</v>
      </c>
      <c r="B344" s="4">
        <v>9</v>
      </c>
      <c r="C344" s="9" t="s">
        <v>4969</v>
      </c>
      <c r="D344" s="201" t="s">
        <v>5460</v>
      </c>
      <c r="E344" s="4">
        <v>12575</v>
      </c>
      <c r="F344" s="196" t="s">
        <v>1648</v>
      </c>
      <c r="G344" s="188" t="s">
        <v>5461</v>
      </c>
      <c r="H344" s="4" t="s">
        <v>5397</v>
      </c>
      <c r="I344" s="4" t="s">
        <v>49</v>
      </c>
      <c r="J344" s="4" t="s">
        <v>4983</v>
      </c>
      <c r="K344" s="4">
        <v>1</v>
      </c>
      <c r="L344" s="4">
        <v>14597</v>
      </c>
      <c r="M344" s="9"/>
      <c r="U344"/>
      <c r="X344" s="182"/>
      <c r="Y344" s="182"/>
      <c r="Z344" s="182"/>
      <c r="AA344" s="182"/>
      <c r="AB344" s="182"/>
      <c r="AC344" s="182"/>
      <c r="AD344" s="182"/>
      <c r="AE344" s="182"/>
      <c r="AF344" s="182"/>
      <c r="AG344" s="182"/>
      <c r="AH344" s="182"/>
      <c r="AI344" s="182"/>
      <c r="AJ344" s="182"/>
      <c r="AK344" s="27"/>
      <c r="AL344" s="182"/>
      <c r="AM344" s="182"/>
      <c r="AN344" s="182"/>
      <c r="AO344" s="182"/>
      <c r="AP344" s="182"/>
      <c r="AQ344" s="182"/>
      <c r="AR344" s="182"/>
      <c r="AS344" s="182"/>
      <c r="AT344" s="182"/>
      <c r="AU344" s="182"/>
      <c r="AV344" s="182"/>
      <c r="AW344" s="182"/>
      <c r="AX344" s="182"/>
      <c r="AY344" s="182"/>
      <c r="AZ344" s="182"/>
      <c r="BA344" s="182"/>
      <c r="BB344" s="182"/>
      <c r="BC344" s="182"/>
      <c r="BD344" s="182"/>
      <c r="BE344" s="182"/>
      <c r="BF344" s="182"/>
      <c r="BG344" s="182"/>
      <c r="BH344" s="182"/>
      <c r="BI344" s="182"/>
      <c r="BJ344" s="182"/>
      <c r="BK344" s="182"/>
      <c r="BL344" s="182"/>
      <c r="BM344" s="182"/>
      <c r="BN344" s="182"/>
      <c r="BO344" s="182"/>
      <c r="BP344" s="182"/>
      <c r="BQ344" s="182"/>
      <c r="BR344" s="182"/>
      <c r="BS344" s="182"/>
      <c r="BT344" s="182"/>
    </row>
    <row r="345" spans="1:72" ht="14.25" customHeight="1" x14ac:dyDescent="0.2">
      <c r="A345" s="4" t="s">
        <v>4980</v>
      </c>
      <c r="B345" s="4">
        <v>9</v>
      </c>
      <c r="C345" s="9" t="s">
        <v>4969</v>
      </c>
      <c r="D345" s="201" t="s">
        <v>5462</v>
      </c>
      <c r="E345" s="4">
        <v>12576</v>
      </c>
      <c r="F345" s="4" t="s">
        <v>1648</v>
      </c>
      <c r="G345" s="188" t="s">
        <v>5463</v>
      </c>
      <c r="H345" s="4" t="s">
        <v>5397</v>
      </c>
      <c r="I345" s="4" t="s">
        <v>49</v>
      </c>
      <c r="J345" s="4" t="s">
        <v>4983</v>
      </c>
      <c r="K345" s="4">
        <v>1</v>
      </c>
      <c r="L345" s="4">
        <v>14598</v>
      </c>
      <c r="M345" s="27"/>
      <c r="N345" s="182"/>
      <c r="O345" s="182"/>
      <c r="P345" s="182"/>
      <c r="Q345" s="182"/>
      <c r="R345" s="182"/>
      <c r="S345" s="182"/>
      <c r="T345" s="182"/>
      <c r="U345" s="182"/>
      <c r="V345" s="182"/>
      <c r="W345" s="182"/>
      <c r="X345" s="182"/>
      <c r="Y345" s="182"/>
      <c r="Z345" s="182"/>
      <c r="AA345" s="182"/>
      <c r="AB345" s="182"/>
      <c r="AC345" s="182"/>
      <c r="AD345" s="182"/>
      <c r="AE345" s="182"/>
      <c r="AF345" s="182"/>
      <c r="AG345" s="182"/>
      <c r="AH345" s="182"/>
      <c r="AI345" s="182"/>
      <c r="AJ345" s="182"/>
      <c r="AK345" s="27"/>
      <c r="AL345" s="182"/>
      <c r="AM345" s="182"/>
      <c r="AN345" s="182"/>
      <c r="AO345" s="182"/>
      <c r="AP345" s="182"/>
      <c r="AQ345" s="182"/>
      <c r="AR345" s="182"/>
      <c r="AS345" s="182"/>
      <c r="AT345" s="182"/>
      <c r="AU345" s="182"/>
      <c r="AV345" s="182"/>
      <c r="AW345" s="182"/>
      <c r="AX345" s="182"/>
      <c r="AY345" s="182"/>
      <c r="AZ345" s="182"/>
      <c r="BA345" s="182"/>
      <c r="BB345" s="182"/>
      <c r="BC345" s="182"/>
      <c r="BD345" s="182"/>
      <c r="BE345" s="182"/>
      <c r="BF345" s="182"/>
      <c r="BG345" s="182"/>
      <c r="BH345" s="182"/>
      <c r="BI345" s="182"/>
      <c r="BJ345" s="182"/>
      <c r="BK345" s="182"/>
      <c r="BL345" s="182"/>
      <c r="BM345" s="182"/>
      <c r="BN345" s="182"/>
      <c r="BO345" s="182"/>
      <c r="BP345" s="182"/>
      <c r="BQ345" s="182"/>
      <c r="BR345" s="182"/>
      <c r="BS345" s="182"/>
      <c r="BT345" s="182"/>
    </row>
    <row r="346" spans="1:72" ht="14.25" customHeight="1" x14ac:dyDescent="0.2">
      <c r="A346" s="4" t="s">
        <v>4980</v>
      </c>
      <c r="B346" s="4">
        <v>9</v>
      </c>
      <c r="C346" s="9" t="s">
        <v>4969</v>
      </c>
      <c r="D346" s="201" t="s">
        <v>5464</v>
      </c>
      <c r="E346" s="4">
        <v>12580</v>
      </c>
      <c r="F346" s="80" t="s">
        <v>1648</v>
      </c>
      <c r="G346" s="188" t="s">
        <v>5465</v>
      </c>
      <c r="H346" s="4" t="s">
        <v>5397</v>
      </c>
      <c r="I346" s="4" t="s">
        <v>49</v>
      </c>
      <c r="J346" s="4" t="s">
        <v>4983</v>
      </c>
      <c r="K346" s="4">
        <v>1</v>
      </c>
      <c r="L346" s="4">
        <v>14602</v>
      </c>
      <c r="M346" s="9"/>
      <c r="P346" s="182"/>
      <c r="Q346" s="182"/>
      <c r="R346" s="182"/>
      <c r="S346" s="182"/>
      <c r="T346" s="182"/>
      <c r="U346" s="182"/>
      <c r="V346" s="182"/>
      <c r="W346" s="182"/>
      <c r="X346" s="182"/>
      <c r="Y346" s="182"/>
      <c r="Z346" s="182"/>
      <c r="AA346" s="182"/>
      <c r="AB346" s="182"/>
      <c r="AC346" s="182"/>
      <c r="AD346" s="182"/>
      <c r="AE346" s="182"/>
      <c r="AF346" s="182"/>
      <c r="AG346" s="182"/>
      <c r="AH346" s="182"/>
      <c r="AI346" s="182"/>
      <c r="AJ346" s="182"/>
      <c r="AK346" s="27"/>
      <c r="AL346" s="182"/>
      <c r="AM346" s="182"/>
      <c r="AN346" s="182"/>
      <c r="AO346" s="182"/>
      <c r="AP346" s="182"/>
      <c r="AQ346" s="182"/>
      <c r="AR346" s="182"/>
      <c r="AS346" s="182"/>
      <c r="AT346" s="182"/>
      <c r="AU346" s="182"/>
      <c r="AV346" s="182"/>
      <c r="AW346" s="182"/>
      <c r="AX346" s="182"/>
      <c r="AY346" s="182"/>
      <c r="AZ346" s="182"/>
      <c r="BA346" s="182"/>
      <c r="BB346" s="182"/>
      <c r="BC346" s="182"/>
      <c r="BD346" s="182"/>
      <c r="BE346" s="182"/>
      <c r="BF346" s="182"/>
      <c r="BG346" s="182"/>
      <c r="BH346" s="182"/>
      <c r="BI346" s="182"/>
      <c r="BJ346" s="182"/>
      <c r="BK346" s="182"/>
      <c r="BL346" s="182"/>
      <c r="BM346" s="182"/>
      <c r="BN346" s="182"/>
      <c r="BO346" s="182"/>
      <c r="BP346" s="182"/>
      <c r="BQ346" s="182"/>
      <c r="BR346" s="182"/>
      <c r="BS346" s="182"/>
      <c r="BT346" s="182"/>
    </row>
    <row r="347" spans="1:72" ht="14.25" customHeight="1" x14ac:dyDescent="0.2">
      <c r="A347" s="4" t="s">
        <v>4980</v>
      </c>
      <c r="B347" s="4">
        <v>9</v>
      </c>
      <c r="C347" s="9" t="s">
        <v>4969</v>
      </c>
      <c r="D347" s="201" t="s">
        <v>5466</v>
      </c>
      <c r="E347" s="4">
        <v>12594</v>
      </c>
      <c r="F347" s="291" t="s">
        <v>5467</v>
      </c>
      <c r="G347" s="188" t="s">
        <v>5468</v>
      </c>
      <c r="H347" s="4" t="s">
        <v>5397</v>
      </c>
      <c r="I347" s="4" t="s">
        <v>49</v>
      </c>
      <c r="J347" s="4" t="s">
        <v>5402</v>
      </c>
      <c r="K347" s="4">
        <v>1</v>
      </c>
      <c r="L347" s="4">
        <v>14616</v>
      </c>
      <c r="M347" s="9"/>
      <c r="U347" s="182"/>
      <c r="V347" s="182"/>
      <c r="W347" s="182"/>
      <c r="X347" s="182"/>
      <c r="Y347" s="182"/>
      <c r="Z347" s="182"/>
      <c r="AA347" s="182"/>
      <c r="AB347" s="182"/>
      <c r="AC347" s="182"/>
      <c r="AD347" s="182"/>
      <c r="AE347" s="182"/>
      <c r="AF347" s="182"/>
      <c r="AG347" s="182"/>
      <c r="AH347" s="182"/>
      <c r="AI347" s="182"/>
      <c r="AJ347" s="182"/>
      <c r="AK347" s="27"/>
      <c r="AL347" s="182"/>
      <c r="AM347" s="182"/>
      <c r="AN347" s="182"/>
      <c r="AO347" s="182"/>
      <c r="AP347" s="182"/>
      <c r="AQ347" s="182"/>
      <c r="AR347" s="182"/>
      <c r="AS347" s="182"/>
      <c r="AT347" s="182"/>
      <c r="AU347" s="182"/>
      <c r="AV347" s="182"/>
      <c r="AW347" s="182"/>
      <c r="AX347" s="182"/>
      <c r="AY347" s="182"/>
      <c r="AZ347" s="182"/>
      <c r="BA347" s="182"/>
      <c r="BB347" s="182"/>
      <c r="BC347" s="182"/>
      <c r="BD347" s="182"/>
      <c r="BE347" s="182"/>
      <c r="BF347" s="182"/>
      <c r="BG347" s="182"/>
      <c r="BH347" s="182"/>
      <c r="BI347" s="182"/>
      <c r="BJ347" s="182"/>
      <c r="BK347" s="182"/>
      <c r="BL347" s="182"/>
      <c r="BM347" s="182"/>
      <c r="BN347" s="182"/>
      <c r="BO347" s="182"/>
      <c r="BP347" s="182"/>
      <c r="BQ347" s="182"/>
      <c r="BR347" s="182"/>
      <c r="BS347" s="182"/>
      <c r="BT347" s="182"/>
    </row>
    <row r="348" spans="1:72" ht="14.25" customHeight="1" x14ac:dyDescent="0.2">
      <c r="A348" s="4" t="s">
        <v>4980</v>
      </c>
      <c r="B348" s="4">
        <v>9</v>
      </c>
      <c r="C348" s="9" t="s">
        <v>4969</v>
      </c>
      <c r="D348" s="201" t="s">
        <v>5477</v>
      </c>
      <c r="E348" s="4">
        <v>12590</v>
      </c>
      <c r="F348" s="201" t="s">
        <v>5478</v>
      </c>
      <c r="G348" s="188" t="s">
        <v>5479</v>
      </c>
      <c r="H348" s="4" t="s">
        <v>5397</v>
      </c>
      <c r="I348" s="4" t="s">
        <v>49</v>
      </c>
      <c r="J348" s="4" t="s">
        <v>5402</v>
      </c>
      <c r="K348" s="4">
        <v>1</v>
      </c>
      <c r="L348" s="4">
        <v>14612</v>
      </c>
      <c r="M348" s="9"/>
      <c r="U348"/>
      <c r="AK348" s="9"/>
    </row>
    <row r="349" spans="1:72" ht="14.25" customHeight="1" x14ac:dyDescent="0.2">
      <c r="A349" s="4" t="s">
        <v>4980</v>
      </c>
      <c r="B349" s="4">
        <v>9</v>
      </c>
      <c r="C349" s="9" t="s">
        <v>4969</v>
      </c>
      <c r="D349" s="201" t="s">
        <v>5505</v>
      </c>
      <c r="E349" s="4">
        <v>12544</v>
      </c>
      <c r="F349" s="201" t="s">
        <v>5506</v>
      </c>
      <c r="G349" s="188" t="s">
        <v>5507</v>
      </c>
      <c r="H349" s="4" t="s">
        <v>5397</v>
      </c>
      <c r="I349" s="4" t="s">
        <v>49</v>
      </c>
      <c r="J349" s="4" t="s">
        <v>4983</v>
      </c>
      <c r="K349" s="4">
        <v>1</v>
      </c>
      <c r="L349" s="4">
        <v>14566</v>
      </c>
      <c r="M349" s="9"/>
      <c r="U349"/>
      <c r="AK349" s="9"/>
    </row>
    <row r="350" spans="1:72" ht="14.25" customHeight="1" x14ac:dyDescent="0.2">
      <c r="A350" s="4" t="s">
        <v>4980</v>
      </c>
      <c r="B350" s="4">
        <v>9</v>
      </c>
      <c r="C350" s="9" t="s">
        <v>4969</v>
      </c>
      <c r="D350" s="201" t="s">
        <v>5516</v>
      </c>
      <c r="E350" s="4">
        <v>12554</v>
      </c>
      <c r="F350" s="201" t="s">
        <v>5517</v>
      </c>
      <c r="G350" s="188" t="s">
        <v>5518</v>
      </c>
      <c r="H350" s="4" t="s">
        <v>5397</v>
      </c>
      <c r="I350" s="4" t="s">
        <v>49</v>
      </c>
      <c r="J350" s="4" t="s">
        <v>4983</v>
      </c>
      <c r="K350" s="4">
        <v>1</v>
      </c>
      <c r="L350" s="4">
        <v>14576</v>
      </c>
      <c r="M350" s="9"/>
      <c r="U350"/>
      <c r="V350" s="182"/>
      <c r="W350" s="182"/>
      <c r="X350" s="182"/>
      <c r="Y350" s="182"/>
      <c r="Z350" s="182"/>
      <c r="AA350" s="182"/>
      <c r="AB350" s="182"/>
      <c r="AC350" s="182"/>
      <c r="AD350" s="182"/>
      <c r="AE350" s="182"/>
      <c r="AF350" s="182"/>
      <c r="AG350" s="182"/>
      <c r="AH350" s="182"/>
      <c r="AI350" s="182"/>
      <c r="AJ350" s="182"/>
      <c r="AK350" s="27"/>
      <c r="AL350" s="182"/>
      <c r="AM350" s="182"/>
      <c r="AN350" s="182"/>
      <c r="AO350" s="182"/>
      <c r="AP350" s="182"/>
      <c r="AQ350" s="182"/>
      <c r="AR350" s="182"/>
      <c r="AS350" s="182"/>
      <c r="AT350" s="182"/>
      <c r="AU350" s="182"/>
      <c r="AV350" s="182"/>
      <c r="AW350" s="182"/>
      <c r="AX350" s="182"/>
      <c r="AY350" s="182"/>
      <c r="AZ350" s="182"/>
      <c r="BA350" s="182"/>
      <c r="BB350" s="182"/>
      <c r="BC350" s="182"/>
      <c r="BD350" s="182"/>
      <c r="BE350" s="182"/>
      <c r="BF350" s="182"/>
      <c r="BG350" s="182"/>
      <c r="BH350" s="182"/>
      <c r="BI350" s="182"/>
      <c r="BJ350" s="182"/>
      <c r="BK350" s="182"/>
      <c r="BL350" s="182"/>
      <c r="BM350" s="182"/>
      <c r="BN350" s="182"/>
      <c r="BO350" s="182"/>
      <c r="BP350" s="182"/>
      <c r="BQ350" s="182"/>
      <c r="BR350" s="182"/>
      <c r="BS350" s="182"/>
      <c r="BT350" s="182"/>
    </row>
    <row r="351" spans="1:72" ht="14.25" customHeight="1" x14ac:dyDescent="0.2">
      <c r="A351" s="4" t="s">
        <v>4980</v>
      </c>
      <c r="B351" s="4">
        <v>9</v>
      </c>
      <c r="C351" s="9" t="s">
        <v>4969</v>
      </c>
      <c r="D351" s="201" t="s">
        <v>5528</v>
      </c>
      <c r="E351" s="4">
        <v>12557</v>
      </c>
      <c r="F351" s="201" t="s">
        <v>5529</v>
      </c>
      <c r="G351" s="188" t="s">
        <v>5530</v>
      </c>
      <c r="H351" s="4" t="s">
        <v>5397</v>
      </c>
      <c r="I351" s="4" t="s">
        <v>49</v>
      </c>
      <c r="J351" s="4" t="s">
        <v>4983</v>
      </c>
      <c r="K351" s="4">
        <v>1</v>
      </c>
      <c r="L351" s="4">
        <v>14579</v>
      </c>
      <c r="M351" s="9"/>
      <c r="U351" s="192"/>
      <c r="AK351" s="9"/>
      <c r="AO351" s="9"/>
    </row>
    <row r="352" spans="1:72" ht="14.25" customHeight="1" x14ac:dyDescent="0.2">
      <c r="A352" s="4" t="s">
        <v>4980</v>
      </c>
      <c r="B352" s="4">
        <v>9</v>
      </c>
      <c r="C352" s="9" t="s">
        <v>4969</v>
      </c>
      <c r="D352" s="201" t="s">
        <v>5541</v>
      </c>
      <c r="E352" s="4">
        <v>12560</v>
      </c>
      <c r="F352" s="36" t="s">
        <v>5542</v>
      </c>
      <c r="G352" s="188" t="s">
        <v>5543</v>
      </c>
      <c r="H352" s="4" t="s">
        <v>5397</v>
      </c>
      <c r="I352" s="4" t="s">
        <v>49</v>
      </c>
      <c r="J352" s="4" t="s">
        <v>4983</v>
      </c>
      <c r="K352" s="4">
        <v>1</v>
      </c>
      <c r="L352" s="4">
        <v>14582</v>
      </c>
      <c r="M352" s="9"/>
      <c r="U352"/>
      <c r="W352" s="182"/>
      <c r="X352" s="182"/>
      <c r="Y352" s="182"/>
      <c r="Z352" s="182"/>
      <c r="AA352" s="182"/>
      <c r="AB352" s="182"/>
      <c r="AC352" s="182"/>
      <c r="AD352" s="182"/>
      <c r="AE352" s="182"/>
      <c r="AF352" s="182"/>
      <c r="AG352" s="182"/>
      <c r="AH352" s="182"/>
      <c r="AI352" s="182"/>
      <c r="AJ352" s="182"/>
      <c r="AK352" s="27"/>
      <c r="AL352" s="182"/>
      <c r="AM352" s="182"/>
      <c r="AN352" s="182"/>
      <c r="AO352" s="182"/>
      <c r="AP352" s="182"/>
      <c r="AQ352" s="182"/>
      <c r="AR352" s="182"/>
      <c r="AS352" s="182"/>
      <c r="AT352" s="182"/>
      <c r="AU352" s="182"/>
      <c r="AV352" s="182"/>
      <c r="AW352" s="182"/>
      <c r="AX352" s="182"/>
      <c r="AY352" s="182"/>
      <c r="AZ352" s="182"/>
      <c r="BA352" s="182"/>
      <c r="BB352" s="182"/>
      <c r="BC352" s="182"/>
      <c r="BD352" s="182"/>
      <c r="BE352" s="182"/>
      <c r="BF352" s="182"/>
      <c r="BG352" s="182"/>
      <c r="BH352" s="182"/>
      <c r="BI352" s="182"/>
      <c r="BJ352" s="182"/>
      <c r="BK352" s="182"/>
      <c r="BL352" s="182"/>
      <c r="BM352" s="182"/>
      <c r="BN352" s="182"/>
      <c r="BO352" s="182"/>
      <c r="BP352" s="182"/>
      <c r="BQ352" s="182"/>
      <c r="BR352" s="182"/>
      <c r="BS352" s="182"/>
      <c r="BT352" s="182"/>
    </row>
    <row r="353" spans="1:72" ht="14.25" customHeight="1" x14ac:dyDescent="0.2">
      <c r="A353" s="4" t="s">
        <v>4980</v>
      </c>
      <c r="B353" s="4">
        <v>9</v>
      </c>
      <c r="C353" s="9" t="s">
        <v>4969</v>
      </c>
      <c r="D353" s="201" t="s">
        <v>5548</v>
      </c>
      <c r="E353" s="4">
        <v>12604</v>
      </c>
      <c r="F353" s="188" t="s">
        <v>5549</v>
      </c>
      <c r="G353" s="188" t="s">
        <v>5550</v>
      </c>
      <c r="H353" s="4" t="s">
        <v>5397</v>
      </c>
      <c r="I353" s="4" t="s">
        <v>49</v>
      </c>
      <c r="J353" s="4" t="s">
        <v>5402</v>
      </c>
      <c r="K353" s="4">
        <v>1</v>
      </c>
      <c r="L353" s="4">
        <v>14626</v>
      </c>
      <c r="M353" s="9"/>
      <c r="U353" s="192"/>
      <c r="AK353" s="9"/>
    </row>
    <row r="354" spans="1:72" ht="14.25" customHeight="1" x14ac:dyDescent="0.2">
      <c r="A354" s="4" t="s">
        <v>4980</v>
      </c>
      <c r="B354" s="4">
        <v>9</v>
      </c>
      <c r="C354" s="9" t="s">
        <v>4969</v>
      </c>
      <c r="D354" s="201" t="s">
        <v>5551</v>
      </c>
      <c r="E354" s="4">
        <v>12605</v>
      </c>
      <c r="F354" s="196" t="s">
        <v>5552</v>
      </c>
      <c r="G354" s="188" t="s">
        <v>5553</v>
      </c>
      <c r="H354" s="4" t="s">
        <v>5397</v>
      </c>
      <c r="I354" s="4" t="s">
        <v>49</v>
      </c>
      <c r="J354" s="4" t="s">
        <v>5402</v>
      </c>
      <c r="K354" s="4">
        <v>1</v>
      </c>
      <c r="L354" s="4">
        <v>14627</v>
      </c>
      <c r="M354" s="27"/>
      <c r="N354" s="182"/>
      <c r="O354" s="182"/>
      <c r="P354" s="182"/>
      <c r="Q354" s="182"/>
      <c r="R354" s="182"/>
      <c r="S354" s="182"/>
      <c r="T354" s="182"/>
      <c r="U354" s="182"/>
      <c r="V354" s="182"/>
      <c r="W354" s="182"/>
      <c r="X354" s="182"/>
      <c r="Y354" s="182"/>
      <c r="Z354" s="182"/>
      <c r="AA354" s="182"/>
      <c r="AB354" s="182"/>
      <c r="AC354" s="182"/>
      <c r="AD354" s="182"/>
      <c r="AE354" s="182"/>
      <c r="AF354" s="182"/>
      <c r="AG354" s="182"/>
      <c r="AH354" s="182"/>
      <c r="AI354" s="182"/>
      <c r="AJ354" s="182"/>
      <c r="AK354" s="27"/>
      <c r="AL354" s="182"/>
      <c r="AM354" s="182"/>
      <c r="AN354" s="182"/>
      <c r="AO354" s="182"/>
      <c r="AP354" s="182"/>
      <c r="AQ354" s="182"/>
      <c r="AR354" s="182"/>
      <c r="AS354" s="182"/>
      <c r="AT354" s="182"/>
      <c r="AU354" s="182"/>
      <c r="AV354" s="182"/>
      <c r="AW354" s="182"/>
      <c r="AX354" s="182"/>
      <c r="AY354" s="182"/>
      <c r="AZ354" s="182"/>
      <c r="BA354" s="182"/>
      <c r="BB354" s="182"/>
      <c r="BC354" s="182"/>
      <c r="BD354" s="182"/>
      <c r="BE354" s="182"/>
      <c r="BF354" s="182"/>
      <c r="BG354" s="182"/>
      <c r="BH354" s="182"/>
      <c r="BI354" s="182"/>
      <c r="BJ354" s="182"/>
      <c r="BK354" s="182"/>
      <c r="BL354" s="182"/>
      <c r="BM354" s="182"/>
      <c r="BN354" s="182"/>
      <c r="BO354" s="182"/>
      <c r="BP354" s="182"/>
      <c r="BQ354" s="182"/>
      <c r="BR354" s="182"/>
      <c r="BS354" s="182"/>
      <c r="BT354" s="182"/>
    </row>
    <row r="355" spans="1:72" ht="14.25" customHeight="1" x14ac:dyDescent="0.2">
      <c r="A355" s="4" t="s">
        <v>4980</v>
      </c>
      <c r="B355" s="4">
        <v>9</v>
      </c>
      <c r="C355" s="9" t="s">
        <v>4969</v>
      </c>
      <c r="D355" s="201" t="s">
        <v>5554</v>
      </c>
      <c r="E355" s="4">
        <v>12564</v>
      </c>
      <c r="F355" s="4" t="s">
        <v>5555</v>
      </c>
      <c r="G355" s="188" t="s">
        <v>5556</v>
      </c>
      <c r="H355" s="4" t="s">
        <v>5397</v>
      </c>
      <c r="I355" s="4" t="s">
        <v>49</v>
      </c>
      <c r="J355" s="4" t="s">
        <v>4983</v>
      </c>
      <c r="K355" s="4">
        <v>1</v>
      </c>
      <c r="L355" s="4">
        <v>14586</v>
      </c>
      <c r="M355" s="9"/>
      <c r="U355"/>
      <c r="AK355" s="9"/>
    </row>
    <row r="356" spans="1:72" ht="14.25" customHeight="1" x14ac:dyDescent="0.2">
      <c r="A356" s="4" t="s">
        <v>4980</v>
      </c>
      <c r="B356" s="4">
        <v>9</v>
      </c>
      <c r="C356" s="9" t="s">
        <v>4969</v>
      </c>
      <c r="D356" s="201" t="s">
        <v>5557</v>
      </c>
      <c r="E356" s="4">
        <v>12565</v>
      </c>
      <c r="F356" s="4" t="s">
        <v>5558</v>
      </c>
      <c r="G356" s="188" t="s">
        <v>5559</v>
      </c>
      <c r="H356" s="4" t="s">
        <v>5397</v>
      </c>
      <c r="I356" s="4" t="s">
        <v>49</v>
      </c>
      <c r="J356" s="4" t="s">
        <v>4983</v>
      </c>
      <c r="K356" s="4">
        <v>1</v>
      </c>
      <c r="L356" s="4">
        <v>14587</v>
      </c>
      <c r="M356" s="9"/>
      <c r="U356"/>
      <c r="AK356" s="9"/>
    </row>
    <row r="357" spans="1:72" ht="14.25" customHeight="1" x14ac:dyDescent="0.2">
      <c r="A357" s="4" t="s">
        <v>4980</v>
      </c>
      <c r="B357" s="4">
        <v>9</v>
      </c>
      <c r="C357" s="9" t="s">
        <v>4969</v>
      </c>
      <c r="D357" s="201" t="s">
        <v>5560</v>
      </c>
      <c r="E357" s="4">
        <v>12566</v>
      </c>
      <c r="F357" s="9" t="s">
        <v>5561</v>
      </c>
      <c r="G357" s="188" t="s">
        <v>5562</v>
      </c>
      <c r="H357" s="4" t="s">
        <v>5397</v>
      </c>
      <c r="I357" s="4" t="s">
        <v>49</v>
      </c>
      <c r="J357" s="4" t="s">
        <v>4983</v>
      </c>
      <c r="K357" s="4">
        <v>1</v>
      </c>
      <c r="L357" s="4">
        <v>14588</v>
      </c>
      <c r="M357" s="9"/>
      <c r="U357"/>
      <c r="AK357" s="9"/>
    </row>
    <row r="358" spans="1:72" ht="14.25" customHeight="1" x14ac:dyDescent="0.2">
      <c r="A358" s="4" t="s">
        <v>4980</v>
      </c>
      <c r="B358" s="4">
        <v>9</v>
      </c>
      <c r="C358" s="9" t="s">
        <v>4969</v>
      </c>
      <c r="D358" s="201" t="s">
        <v>5563</v>
      </c>
      <c r="E358" s="4">
        <v>12567</v>
      </c>
      <c r="F358" s="27" t="s">
        <v>5564</v>
      </c>
      <c r="G358" s="188" t="s">
        <v>5565</v>
      </c>
      <c r="H358" s="4" t="s">
        <v>5397</v>
      </c>
      <c r="I358" s="4" t="s">
        <v>49</v>
      </c>
      <c r="J358" s="4" t="s">
        <v>4983</v>
      </c>
      <c r="K358" s="4">
        <v>1</v>
      </c>
      <c r="L358" s="4">
        <v>14589</v>
      </c>
      <c r="M358" s="27"/>
      <c r="N358" s="182"/>
      <c r="O358" s="182"/>
      <c r="P358" s="182"/>
      <c r="Q358" s="182"/>
      <c r="R358" s="182"/>
      <c r="S358" s="182"/>
      <c r="T358" s="182"/>
      <c r="U358" s="182"/>
      <c r="V358" s="182"/>
      <c r="W358" s="182"/>
      <c r="X358" s="182"/>
      <c r="Y358" s="182"/>
      <c r="Z358" s="182"/>
      <c r="AA358" s="182"/>
      <c r="AB358" s="182"/>
      <c r="AC358" s="182"/>
      <c r="AD358" s="182"/>
      <c r="AE358" s="182"/>
      <c r="AF358" s="182"/>
      <c r="AG358" s="182"/>
      <c r="AH358" s="182"/>
      <c r="AI358" s="182"/>
      <c r="AJ358" s="182"/>
      <c r="AK358" s="27"/>
      <c r="AL358" s="182"/>
      <c r="AM358" s="182"/>
      <c r="AN358" s="182"/>
      <c r="AO358" s="182"/>
      <c r="AP358" s="182"/>
      <c r="AQ358" s="182"/>
      <c r="AR358" s="182"/>
      <c r="AS358" s="182"/>
      <c r="AT358" s="182"/>
      <c r="AU358" s="182"/>
      <c r="AV358" s="182"/>
      <c r="AW358" s="182"/>
      <c r="AX358" s="182"/>
      <c r="AY358" s="182"/>
      <c r="AZ358" s="182"/>
      <c r="BA358" s="182"/>
      <c r="BB358" s="182"/>
      <c r="BC358" s="182"/>
      <c r="BD358" s="182"/>
      <c r="BE358" s="182"/>
      <c r="BF358" s="182"/>
      <c r="BG358" s="182"/>
      <c r="BH358" s="182"/>
      <c r="BI358" s="182"/>
      <c r="BJ358" s="182"/>
      <c r="BK358" s="182"/>
      <c r="BL358" s="182"/>
      <c r="BM358" s="182"/>
      <c r="BN358" s="182"/>
      <c r="BO358" s="182"/>
      <c r="BP358" s="182"/>
      <c r="BQ358" s="182"/>
      <c r="BR358" s="182"/>
      <c r="BS358" s="182"/>
      <c r="BT358" s="182"/>
    </row>
    <row r="359" spans="1:72" ht="14.25" customHeight="1" x14ac:dyDescent="0.2">
      <c r="A359" s="4" t="s">
        <v>4980</v>
      </c>
      <c r="B359" s="4">
        <v>9</v>
      </c>
      <c r="C359" s="9" t="s">
        <v>4969</v>
      </c>
      <c r="D359" s="201" t="s">
        <v>5566</v>
      </c>
      <c r="E359" s="4">
        <v>12606</v>
      </c>
      <c r="F359" s="9" t="s">
        <v>5567</v>
      </c>
      <c r="G359" s="188" t="s">
        <v>5568</v>
      </c>
      <c r="H359" s="4" t="s">
        <v>5397</v>
      </c>
      <c r="I359" s="4" t="s">
        <v>49</v>
      </c>
      <c r="J359" s="4" t="s">
        <v>5402</v>
      </c>
      <c r="K359" s="4">
        <v>1</v>
      </c>
      <c r="L359" s="4">
        <v>14628</v>
      </c>
      <c r="M359" s="9"/>
      <c r="U359"/>
      <c r="V359" s="182"/>
      <c r="W359" s="182"/>
      <c r="X359" s="182"/>
      <c r="Y359" s="182"/>
      <c r="Z359" s="182"/>
      <c r="AA359" s="182"/>
      <c r="AB359" s="182"/>
      <c r="AC359" s="182"/>
      <c r="AD359" s="182"/>
      <c r="AE359" s="182"/>
      <c r="AF359" s="182"/>
      <c r="AG359" s="182"/>
      <c r="AH359" s="182"/>
      <c r="AI359" s="182"/>
      <c r="AJ359" s="182"/>
      <c r="AK359" s="27"/>
      <c r="AL359" s="182"/>
      <c r="AM359" s="182"/>
      <c r="AN359" s="182"/>
      <c r="AO359" s="182"/>
      <c r="AP359" s="182"/>
      <c r="AQ359" s="182"/>
      <c r="AR359" s="182"/>
      <c r="AS359" s="182"/>
      <c r="AT359" s="182"/>
      <c r="AU359" s="182"/>
      <c r="AV359" s="182"/>
      <c r="AW359" s="182"/>
      <c r="AX359" s="182"/>
      <c r="AY359" s="182"/>
      <c r="AZ359" s="182"/>
      <c r="BA359" s="182"/>
      <c r="BB359" s="182"/>
      <c r="BC359" s="182"/>
      <c r="BD359" s="182"/>
      <c r="BE359" s="182"/>
      <c r="BF359" s="182"/>
      <c r="BG359" s="182"/>
      <c r="BH359" s="182"/>
      <c r="BI359" s="182"/>
      <c r="BJ359" s="182"/>
      <c r="BK359" s="182"/>
      <c r="BL359" s="182"/>
      <c r="BM359" s="182"/>
      <c r="BN359" s="182"/>
      <c r="BO359" s="182"/>
      <c r="BP359" s="182"/>
      <c r="BQ359" s="182"/>
      <c r="BR359" s="182"/>
      <c r="BS359" s="182"/>
      <c r="BT359" s="182"/>
    </row>
    <row r="360" spans="1:72" ht="14.25" customHeight="1" x14ac:dyDescent="0.2">
      <c r="A360" s="4" t="s">
        <v>4980</v>
      </c>
      <c r="B360" s="4">
        <v>9</v>
      </c>
      <c r="C360" s="9" t="s">
        <v>4969</v>
      </c>
      <c r="D360" s="201" t="s">
        <v>5573</v>
      </c>
      <c r="E360" s="4">
        <v>12569</v>
      </c>
      <c r="F360" s="4" t="s">
        <v>5574</v>
      </c>
      <c r="G360" s="188" t="s">
        <v>5575</v>
      </c>
      <c r="H360" s="4" t="s">
        <v>5576</v>
      </c>
      <c r="I360" s="4" t="s">
        <v>49</v>
      </c>
      <c r="J360" s="4" t="s">
        <v>4983</v>
      </c>
      <c r="K360" s="4">
        <v>1</v>
      </c>
      <c r="L360" s="4">
        <v>14591</v>
      </c>
      <c r="M360" s="9"/>
      <c r="U360"/>
      <c r="V360" s="182"/>
      <c r="W360" s="182"/>
      <c r="X360" s="182"/>
      <c r="Y360" s="182"/>
      <c r="Z360" s="182"/>
      <c r="AA360" s="182"/>
      <c r="AB360" s="182"/>
      <c r="AC360" s="182"/>
      <c r="AD360" s="182"/>
      <c r="AE360" s="182"/>
      <c r="AF360" s="182"/>
      <c r="AG360" s="182"/>
      <c r="AH360" s="182"/>
      <c r="AI360" s="182"/>
      <c r="AJ360" s="182"/>
      <c r="AK360" s="27"/>
      <c r="AL360" s="182"/>
      <c r="AM360" s="182"/>
      <c r="AN360" s="182"/>
      <c r="AO360" s="182"/>
      <c r="AP360" s="182"/>
      <c r="AQ360" s="182"/>
      <c r="AR360" s="182"/>
      <c r="AS360" s="182"/>
      <c r="AT360" s="182"/>
      <c r="AU360" s="182"/>
      <c r="AV360" s="182"/>
      <c r="AW360" s="182"/>
      <c r="AX360" s="182"/>
      <c r="AY360" s="182"/>
      <c r="AZ360" s="182"/>
      <c r="BA360" s="182"/>
      <c r="BB360" s="182"/>
      <c r="BC360" s="182"/>
      <c r="BD360" s="182"/>
      <c r="BE360" s="182"/>
      <c r="BF360" s="182"/>
      <c r="BG360" s="182"/>
      <c r="BH360" s="182"/>
      <c r="BI360" s="182"/>
      <c r="BJ360" s="182"/>
      <c r="BK360" s="182"/>
      <c r="BL360" s="182"/>
      <c r="BM360" s="182"/>
      <c r="BN360" s="182"/>
      <c r="BO360" s="182"/>
      <c r="BP360" s="182"/>
      <c r="BQ360" s="182"/>
      <c r="BR360" s="182"/>
      <c r="BS360" s="182"/>
      <c r="BT360" s="182"/>
    </row>
    <row r="361" spans="1:72" ht="14.25" customHeight="1" x14ac:dyDescent="0.2">
      <c r="A361" s="4" t="s">
        <v>4980</v>
      </c>
      <c r="B361" s="4">
        <v>9</v>
      </c>
      <c r="C361" s="9" t="s">
        <v>4969</v>
      </c>
      <c r="D361" s="201" t="s">
        <v>5586</v>
      </c>
      <c r="E361" s="4">
        <v>12571</v>
      </c>
      <c r="F361" s="4" t="s">
        <v>5587</v>
      </c>
      <c r="G361" s="188" t="s">
        <v>5588</v>
      </c>
      <c r="H361" s="4" t="s">
        <v>5397</v>
      </c>
      <c r="I361" s="4" t="s">
        <v>49</v>
      </c>
      <c r="J361" s="4" t="s">
        <v>5512</v>
      </c>
      <c r="K361" s="4">
        <v>1</v>
      </c>
      <c r="L361" s="4">
        <v>14593</v>
      </c>
      <c r="M361" s="9"/>
      <c r="U361"/>
      <c r="AK361" s="9"/>
    </row>
    <row r="362" spans="1:72" ht="14.25" customHeight="1" x14ac:dyDescent="0.2">
      <c r="A362" s="4" t="s">
        <v>4980</v>
      </c>
      <c r="B362" s="4">
        <v>9</v>
      </c>
      <c r="C362" s="9" t="s">
        <v>4969</v>
      </c>
      <c r="D362" s="201" t="s">
        <v>5593</v>
      </c>
      <c r="E362" s="4">
        <v>12573</v>
      </c>
      <c r="F362" s="201" t="s">
        <v>5594</v>
      </c>
      <c r="G362" s="188" t="s">
        <v>5595</v>
      </c>
      <c r="H362" s="4" t="s">
        <v>5397</v>
      </c>
      <c r="I362" s="4" t="s">
        <v>49</v>
      </c>
      <c r="J362" s="4" t="s">
        <v>4983</v>
      </c>
      <c r="K362" s="4">
        <v>1</v>
      </c>
      <c r="L362" s="4">
        <v>14595</v>
      </c>
      <c r="M362" s="9"/>
      <c r="U362"/>
      <c r="AK362" s="9"/>
    </row>
    <row r="363" spans="1:72" ht="14.25" customHeight="1" x14ac:dyDescent="0.2">
      <c r="A363" s="4" t="s">
        <v>4980</v>
      </c>
      <c r="B363" s="4">
        <v>9</v>
      </c>
      <c r="C363" s="9" t="s">
        <v>4969</v>
      </c>
      <c r="D363" s="201" t="s">
        <v>5596</v>
      </c>
      <c r="E363" s="4">
        <v>12574</v>
      </c>
      <c r="F363" s="201" t="s">
        <v>5597</v>
      </c>
      <c r="G363" s="188" t="s">
        <v>5598</v>
      </c>
      <c r="H363" s="4" t="s">
        <v>5397</v>
      </c>
      <c r="I363" s="4" t="s">
        <v>49</v>
      </c>
      <c r="J363" s="4" t="s">
        <v>4983</v>
      </c>
      <c r="K363" s="4">
        <v>1</v>
      </c>
      <c r="L363" s="4">
        <v>14596</v>
      </c>
      <c r="M363" s="9"/>
      <c r="U363"/>
      <c r="AK363" s="9"/>
    </row>
    <row r="364" spans="1:72" ht="14.25" customHeight="1" x14ac:dyDescent="0.2">
      <c r="A364" s="4" t="s">
        <v>4980</v>
      </c>
      <c r="B364" s="4">
        <v>9</v>
      </c>
      <c r="C364" s="9" t="s">
        <v>4969</v>
      </c>
      <c r="D364" s="201" t="s">
        <v>5599</v>
      </c>
      <c r="E364" s="4">
        <v>12577</v>
      </c>
      <c r="F364" s="201" t="s">
        <v>5600</v>
      </c>
      <c r="G364" s="188" t="s">
        <v>5601</v>
      </c>
      <c r="H364" s="4" t="s">
        <v>5397</v>
      </c>
      <c r="I364" s="4" t="s">
        <v>49</v>
      </c>
      <c r="J364" s="4" t="s">
        <v>4983</v>
      </c>
      <c r="K364" s="4">
        <v>1</v>
      </c>
      <c r="L364" s="4">
        <v>14599</v>
      </c>
      <c r="M364" s="27"/>
      <c r="N364" s="182"/>
      <c r="O364" s="182"/>
      <c r="P364" s="182"/>
      <c r="Q364" s="182"/>
      <c r="R364" s="182"/>
      <c r="S364" s="182"/>
      <c r="T364" s="182"/>
      <c r="U364" s="182"/>
      <c r="V364" s="182"/>
      <c r="W364" s="182"/>
      <c r="X364" s="182"/>
      <c r="Y364" s="182"/>
      <c r="Z364" s="182"/>
      <c r="AA364" s="182"/>
      <c r="AB364" s="182"/>
      <c r="AC364" s="182"/>
      <c r="AD364" s="182"/>
      <c r="AE364" s="182"/>
      <c r="AF364" s="182"/>
      <c r="AG364" s="182"/>
      <c r="AH364" s="182"/>
      <c r="AI364" s="182"/>
      <c r="AJ364" s="182"/>
      <c r="AK364" s="27"/>
      <c r="AL364" s="182"/>
      <c r="AM364" s="182"/>
      <c r="AN364" s="182"/>
      <c r="AO364" s="182"/>
      <c r="AP364" s="182"/>
      <c r="AQ364" s="182"/>
      <c r="AR364" s="182"/>
      <c r="AS364" s="182"/>
      <c r="AT364" s="182"/>
      <c r="AU364" s="182"/>
      <c r="AV364" s="182"/>
      <c r="AW364" s="182"/>
      <c r="AX364" s="182"/>
      <c r="AY364" s="182"/>
      <c r="AZ364" s="182"/>
      <c r="BA364" s="182"/>
      <c r="BB364" s="182"/>
      <c r="BC364" s="182"/>
      <c r="BD364" s="182"/>
      <c r="BE364" s="182"/>
      <c r="BF364" s="182"/>
      <c r="BG364" s="182"/>
      <c r="BH364" s="182"/>
      <c r="BI364" s="182"/>
      <c r="BJ364" s="182"/>
      <c r="BK364" s="182"/>
      <c r="BL364" s="182"/>
      <c r="BM364" s="182"/>
      <c r="BN364" s="182"/>
      <c r="BO364" s="182"/>
      <c r="BP364" s="182"/>
      <c r="BQ364" s="182"/>
      <c r="BR364" s="182"/>
      <c r="BS364" s="182"/>
      <c r="BT364" s="182"/>
    </row>
    <row r="365" spans="1:72" ht="14.25" customHeight="1" x14ac:dyDescent="0.2">
      <c r="A365" s="4" t="s">
        <v>4980</v>
      </c>
      <c r="B365" s="4">
        <v>9</v>
      </c>
      <c r="C365" s="9" t="s">
        <v>4969</v>
      </c>
      <c r="D365" s="201" t="s">
        <v>5602</v>
      </c>
      <c r="E365" s="4">
        <v>12578</v>
      </c>
      <c r="F365" s="201" t="s">
        <v>5603</v>
      </c>
      <c r="G365" s="188" t="s">
        <v>5604</v>
      </c>
      <c r="H365" s="4" t="s">
        <v>5397</v>
      </c>
      <c r="I365" s="4" t="s">
        <v>49</v>
      </c>
      <c r="J365" s="4" t="s">
        <v>4983</v>
      </c>
      <c r="K365" s="4">
        <v>1</v>
      </c>
      <c r="L365" s="4">
        <v>14600</v>
      </c>
      <c r="M365" s="9"/>
      <c r="U365"/>
      <c r="AK365" s="9"/>
    </row>
    <row r="366" spans="1:72" ht="14.25" customHeight="1" x14ac:dyDescent="0.2">
      <c r="A366" s="4" t="s">
        <v>4980</v>
      </c>
      <c r="B366" s="4">
        <v>9</v>
      </c>
      <c r="C366" s="9" t="s">
        <v>4969</v>
      </c>
      <c r="D366" s="201" t="s">
        <v>5605</v>
      </c>
      <c r="E366" s="4">
        <v>12579</v>
      </c>
      <c r="F366" s="201" t="s">
        <v>5606</v>
      </c>
      <c r="G366" s="188" t="s">
        <v>5607</v>
      </c>
      <c r="H366" s="4" t="s">
        <v>5397</v>
      </c>
      <c r="I366" s="4" t="s">
        <v>49</v>
      </c>
      <c r="J366" s="4" t="s">
        <v>4983</v>
      </c>
      <c r="K366" s="4">
        <v>1</v>
      </c>
      <c r="L366" s="4">
        <v>14601</v>
      </c>
      <c r="M366" s="9"/>
      <c r="U366"/>
      <c r="AK366" s="9"/>
    </row>
    <row r="367" spans="1:72" ht="14.25" customHeight="1" x14ac:dyDescent="0.2">
      <c r="A367" s="188" t="s">
        <v>4980</v>
      </c>
      <c r="B367" s="188">
        <v>9</v>
      </c>
      <c r="C367" s="203" t="s">
        <v>4969</v>
      </c>
      <c r="D367" s="8" t="s">
        <v>5608</v>
      </c>
      <c r="E367" s="188">
        <v>12581</v>
      </c>
      <c r="F367" s="8" t="s">
        <v>5609</v>
      </c>
      <c r="G367" s="188" t="s">
        <v>5610</v>
      </c>
      <c r="H367" s="188" t="s">
        <v>5611</v>
      </c>
      <c r="I367" s="188" t="s">
        <v>49</v>
      </c>
      <c r="J367" s="188" t="s">
        <v>4983</v>
      </c>
      <c r="K367" s="188">
        <v>1</v>
      </c>
      <c r="L367" s="188">
        <v>14603</v>
      </c>
      <c r="M367" s="203"/>
      <c r="N367" s="192"/>
      <c r="O367" s="192"/>
      <c r="P367" s="192"/>
      <c r="U367"/>
      <c r="AF367" s="192"/>
      <c r="AG367" s="192"/>
      <c r="AH367" s="192"/>
      <c r="AI367" s="192"/>
      <c r="AJ367" s="192"/>
      <c r="AK367" s="203"/>
      <c r="AL367" s="192"/>
      <c r="AM367" s="192"/>
      <c r="AN367" s="192"/>
      <c r="AO367" s="203"/>
      <c r="AP367" s="192"/>
      <c r="AQ367" s="192"/>
      <c r="AR367" s="192"/>
      <c r="AS367" s="192"/>
      <c r="AT367" s="192"/>
      <c r="AU367" s="192"/>
      <c r="AV367" s="192"/>
      <c r="AW367" s="192"/>
      <c r="AX367" s="192"/>
      <c r="AY367" s="192"/>
      <c r="AZ367" s="192"/>
      <c r="BA367" s="192"/>
      <c r="BB367" s="192"/>
      <c r="BC367" s="192"/>
      <c r="BD367" s="192"/>
      <c r="BE367" s="192"/>
      <c r="BF367" s="192"/>
      <c r="BG367" s="192"/>
      <c r="BH367" s="192"/>
      <c r="BI367" s="192"/>
      <c r="BJ367" s="192"/>
      <c r="BK367" s="192"/>
      <c r="BL367" s="192"/>
      <c r="BM367" s="192"/>
      <c r="BN367" s="192"/>
      <c r="BO367" s="192"/>
      <c r="BP367" s="192"/>
      <c r="BQ367" s="192"/>
      <c r="BR367" s="192"/>
      <c r="BS367" s="192"/>
      <c r="BT367" s="192"/>
    </row>
    <row r="368" spans="1:72" ht="14.25" customHeight="1" x14ac:dyDescent="0.2">
      <c r="A368" s="4" t="s">
        <v>4980</v>
      </c>
      <c r="B368" s="4">
        <v>9</v>
      </c>
      <c r="C368" s="203" t="s">
        <v>4969</v>
      </c>
      <c r="D368" s="8" t="s">
        <v>5612</v>
      </c>
      <c r="E368" s="4">
        <v>12584</v>
      </c>
      <c r="F368" s="8" t="s">
        <v>5613</v>
      </c>
      <c r="G368" s="188" t="s">
        <v>5614</v>
      </c>
      <c r="H368" s="4" t="s">
        <v>5397</v>
      </c>
      <c r="I368" s="4" t="s">
        <v>49</v>
      </c>
      <c r="J368" s="4" t="s">
        <v>4983</v>
      </c>
      <c r="K368" s="4">
        <v>1</v>
      </c>
      <c r="L368" s="4">
        <v>14606</v>
      </c>
      <c r="M368" s="9"/>
      <c r="R368" s="192"/>
      <c r="U368"/>
      <c r="W368" s="192"/>
      <c r="X368" s="192"/>
      <c r="AK368" s="203"/>
      <c r="AL368" s="192"/>
      <c r="AM368" s="192"/>
      <c r="AN368" s="192"/>
      <c r="AO368" s="203"/>
      <c r="AP368" s="192"/>
      <c r="AQ368" s="192"/>
      <c r="AR368" s="192"/>
      <c r="AS368" s="192"/>
      <c r="AT368" s="192"/>
      <c r="AU368" s="192"/>
      <c r="AV368" s="192"/>
      <c r="AW368" s="192"/>
      <c r="AX368" s="192"/>
      <c r="AY368" s="192"/>
      <c r="AZ368" s="192"/>
      <c r="BA368" s="192"/>
      <c r="BB368" s="192"/>
      <c r="BC368" s="192"/>
      <c r="BD368" s="192"/>
      <c r="BE368" s="192"/>
      <c r="BF368" s="192"/>
      <c r="BG368" s="192"/>
      <c r="BH368" s="192"/>
      <c r="BI368" s="192"/>
      <c r="BJ368" s="192"/>
      <c r="BK368" s="192"/>
      <c r="BL368" s="192"/>
      <c r="BM368" s="192"/>
      <c r="BN368" s="192"/>
      <c r="BO368" s="192"/>
      <c r="BP368" s="192"/>
      <c r="BQ368" s="192"/>
      <c r="BR368" s="192"/>
      <c r="BS368" s="192"/>
      <c r="BT368" s="192"/>
    </row>
    <row r="369" spans="1:72" ht="14.25" customHeight="1" x14ac:dyDescent="0.2">
      <c r="A369" s="4" t="s">
        <v>4980</v>
      </c>
      <c r="B369" s="4">
        <v>9</v>
      </c>
      <c r="C369" s="9" t="s">
        <v>4969</v>
      </c>
      <c r="D369" s="201" t="s">
        <v>5615</v>
      </c>
      <c r="E369" s="4">
        <v>12585</v>
      </c>
      <c r="F369" s="201" t="s">
        <v>5616</v>
      </c>
      <c r="G369" s="188" t="s">
        <v>5617</v>
      </c>
      <c r="H369" s="4" t="s">
        <v>5397</v>
      </c>
      <c r="I369" s="4" t="s">
        <v>49</v>
      </c>
      <c r="J369" s="4" t="s">
        <v>4983</v>
      </c>
      <c r="K369" s="4">
        <v>1</v>
      </c>
      <c r="L369" s="4">
        <v>14607</v>
      </c>
      <c r="M369" s="9"/>
      <c r="P369" s="192"/>
      <c r="U369"/>
      <c r="AK369" s="9"/>
    </row>
    <row r="370" spans="1:72" ht="14.25" customHeight="1" x14ac:dyDescent="0.2">
      <c r="A370" s="4" t="s">
        <v>4980</v>
      </c>
      <c r="B370" s="4">
        <v>9</v>
      </c>
      <c r="C370" s="9" t="s">
        <v>4969</v>
      </c>
      <c r="D370" s="201" t="s">
        <v>5618</v>
      </c>
      <c r="E370" s="4">
        <v>12586</v>
      </c>
      <c r="F370" s="36" t="s">
        <v>5619</v>
      </c>
      <c r="G370" s="188" t="s">
        <v>5620</v>
      </c>
      <c r="H370" s="4" t="s">
        <v>5397</v>
      </c>
      <c r="I370" s="4" t="s">
        <v>49</v>
      </c>
      <c r="J370" s="4" t="s">
        <v>4983</v>
      </c>
      <c r="K370" s="4">
        <v>1</v>
      </c>
      <c r="L370" s="4">
        <v>14608</v>
      </c>
      <c r="M370" s="27"/>
      <c r="N370" s="182"/>
      <c r="O370" s="182"/>
      <c r="P370" s="182"/>
      <c r="Q370" s="182"/>
      <c r="R370" s="182"/>
      <c r="S370" s="182"/>
      <c r="T370" s="182"/>
      <c r="U370" s="182"/>
      <c r="V370" s="182"/>
      <c r="W370" s="182"/>
      <c r="X370" s="182"/>
      <c r="Y370" s="182"/>
      <c r="Z370" s="182"/>
      <c r="AA370" s="182"/>
      <c r="AB370" s="182"/>
      <c r="AC370" s="182"/>
      <c r="AD370" s="182"/>
      <c r="AE370" s="182"/>
      <c r="AF370" s="182"/>
      <c r="AG370" s="182"/>
      <c r="AH370" s="182"/>
      <c r="AI370" s="182"/>
      <c r="AJ370" s="182"/>
      <c r="AK370" s="27"/>
      <c r="AL370" s="182"/>
      <c r="AM370" s="182"/>
      <c r="AN370" s="182"/>
      <c r="AO370" s="182"/>
      <c r="AP370" s="182"/>
      <c r="AQ370" s="182"/>
      <c r="AR370" s="182"/>
      <c r="AS370" s="182"/>
      <c r="AT370" s="182"/>
      <c r="AU370" s="182"/>
      <c r="AV370" s="182"/>
      <c r="AW370" s="182"/>
      <c r="AX370" s="182"/>
      <c r="AY370" s="182"/>
      <c r="AZ370" s="182"/>
      <c r="BA370" s="182"/>
      <c r="BB370" s="182"/>
      <c r="BC370" s="182"/>
      <c r="BD370" s="182"/>
      <c r="BE370" s="182"/>
      <c r="BF370" s="182"/>
      <c r="BG370" s="182"/>
      <c r="BH370" s="182"/>
      <c r="BI370" s="182"/>
      <c r="BJ370" s="182"/>
      <c r="BK370" s="182"/>
      <c r="BL370" s="182"/>
      <c r="BM370" s="182"/>
      <c r="BN370" s="182"/>
      <c r="BO370" s="182"/>
      <c r="BP370" s="182"/>
      <c r="BQ370" s="182"/>
      <c r="BR370" s="182"/>
      <c r="BS370" s="182"/>
      <c r="BT370" s="182"/>
    </row>
    <row r="371" spans="1:72" ht="14.25" customHeight="1" x14ac:dyDescent="0.2">
      <c r="A371" s="4" t="s">
        <v>4980</v>
      </c>
      <c r="B371" s="4">
        <v>9</v>
      </c>
      <c r="C371" s="9" t="s">
        <v>4969</v>
      </c>
      <c r="D371" s="201" t="s">
        <v>5621</v>
      </c>
      <c r="E371" s="4">
        <v>12587</v>
      </c>
      <c r="F371" s="201" t="s">
        <v>5622</v>
      </c>
      <c r="G371" s="188" t="s">
        <v>5623</v>
      </c>
      <c r="H371" s="4" t="s">
        <v>5397</v>
      </c>
      <c r="I371" s="4" t="s">
        <v>49</v>
      </c>
      <c r="J371" s="4" t="s">
        <v>4983</v>
      </c>
      <c r="K371" s="4">
        <v>1</v>
      </c>
      <c r="L371" s="4">
        <v>14609</v>
      </c>
      <c r="M371" s="203"/>
      <c r="N371" s="192"/>
      <c r="P371" s="192"/>
      <c r="U371"/>
      <c r="AK371" s="9"/>
      <c r="AO371" s="9"/>
    </row>
    <row r="372" spans="1:72" ht="14.25" customHeight="1" x14ac:dyDescent="0.2">
      <c r="A372" s="4" t="s">
        <v>4980</v>
      </c>
      <c r="B372" s="4">
        <v>9</v>
      </c>
      <c r="C372" s="9" t="s">
        <v>4969</v>
      </c>
      <c r="D372" s="201" t="s">
        <v>5624</v>
      </c>
      <c r="E372" s="4">
        <v>12588</v>
      </c>
      <c r="F372" s="201" t="s">
        <v>5625</v>
      </c>
      <c r="G372" s="4" t="s">
        <v>5626</v>
      </c>
      <c r="H372" s="4" t="s">
        <v>5397</v>
      </c>
      <c r="I372" s="4" t="s">
        <v>49</v>
      </c>
      <c r="J372" s="4" t="s">
        <v>4983</v>
      </c>
      <c r="K372" s="4">
        <v>1</v>
      </c>
      <c r="L372" s="4">
        <v>14610</v>
      </c>
      <c r="M372" s="9"/>
      <c r="P372" s="192"/>
      <c r="U372"/>
      <c r="AK372" s="9"/>
    </row>
    <row r="373" spans="1:72" ht="14.25" customHeight="1" x14ac:dyDescent="0.2">
      <c r="A373" s="4" t="s">
        <v>4980</v>
      </c>
      <c r="B373" s="4">
        <v>9</v>
      </c>
      <c r="C373" s="4" t="s">
        <v>4969</v>
      </c>
      <c r="D373" s="201" t="s">
        <v>5918</v>
      </c>
      <c r="E373" s="4">
        <v>2618</v>
      </c>
      <c r="F373" s="4" t="s">
        <v>5919</v>
      </c>
      <c r="G373" s="4" t="s">
        <v>5920</v>
      </c>
      <c r="H373" s="4" t="s">
        <v>5921</v>
      </c>
      <c r="I373" s="4" t="s">
        <v>641</v>
      </c>
      <c r="J373" s="4" t="s">
        <v>5073</v>
      </c>
      <c r="K373" s="4">
        <v>1</v>
      </c>
      <c r="L373" s="4">
        <v>3021</v>
      </c>
      <c r="P373" s="192"/>
      <c r="U373"/>
    </row>
    <row r="374" spans="1:72" ht="14.25" customHeight="1" x14ac:dyDescent="0.2">
      <c r="A374" s="5" t="s">
        <v>125</v>
      </c>
      <c r="B374" s="4">
        <v>36</v>
      </c>
      <c r="C374" s="4" t="s">
        <v>44</v>
      </c>
      <c r="D374" s="201" t="s">
        <v>126</v>
      </c>
      <c r="E374" s="4">
        <v>12627</v>
      </c>
      <c r="F374" s="9"/>
      <c r="G374" s="4" t="s">
        <v>127</v>
      </c>
      <c r="H374" s="4" t="s">
        <v>128</v>
      </c>
      <c r="I374" s="4" t="s">
        <v>49</v>
      </c>
      <c r="J374" s="4" t="s">
        <v>78</v>
      </c>
      <c r="K374" s="4">
        <v>1</v>
      </c>
      <c r="L374" s="4">
        <v>14649</v>
      </c>
      <c r="P374" s="192"/>
      <c r="U374"/>
    </row>
    <row r="375" spans="1:72" ht="14.25" customHeight="1" x14ac:dyDescent="0.2">
      <c r="A375" s="5" t="s">
        <v>125</v>
      </c>
      <c r="B375" s="4">
        <v>36</v>
      </c>
      <c r="C375" s="188" t="s">
        <v>44</v>
      </c>
      <c r="D375" s="8" t="s">
        <v>129</v>
      </c>
      <c r="E375" s="4">
        <v>12628</v>
      </c>
      <c r="F375" s="203"/>
      <c r="G375" s="188" t="s">
        <v>127</v>
      </c>
      <c r="H375" s="4" t="s">
        <v>128</v>
      </c>
      <c r="I375" s="4" t="s">
        <v>49</v>
      </c>
      <c r="J375" s="4" t="s">
        <v>64</v>
      </c>
      <c r="K375" s="4">
        <v>1</v>
      </c>
      <c r="L375" s="4">
        <v>14650</v>
      </c>
      <c r="U375"/>
      <c r="AO375" s="192"/>
      <c r="AP375" s="192"/>
      <c r="AQ375" s="192"/>
      <c r="AR375" s="192"/>
      <c r="AS375" s="192"/>
      <c r="AT375" s="192"/>
      <c r="AU375" s="192"/>
      <c r="AV375" s="192"/>
      <c r="AW375" s="192"/>
      <c r="AX375" s="192"/>
      <c r="AY375" s="192"/>
      <c r="AZ375" s="192"/>
      <c r="BA375" s="192"/>
    </row>
    <row r="376" spans="1:72" ht="14.25" customHeight="1" x14ac:dyDescent="0.2">
      <c r="A376" s="5" t="s">
        <v>125</v>
      </c>
      <c r="B376" s="4">
        <v>36</v>
      </c>
      <c r="C376" s="4" t="s">
        <v>44</v>
      </c>
      <c r="D376" s="201" t="s">
        <v>130</v>
      </c>
      <c r="E376" s="4">
        <v>12629</v>
      </c>
      <c r="F376" s="9"/>
      <c r="G376" s="4" t="s">
        <v>127</v>
      </c>
      <c r="H376" s="4" t="s">
        <v>128</v>
      </c>
      <c r="I376" s="4" t="s">
        <v>49</v>
      </c>
      <c r="J376" s="4" t="s">
        <v>71</v>
      </c>
      <c r="K376" s="4">
        <v>1</v>
      </c>
      <c r="L376" s="4">
        <v>14651</v>
      </c>
      <c r="U376"/>
      <c r="AO376" s="192"/>
      <c r="AP376" s="192"/>
      <c r="AQ376" s="192"/>
      <c r="AR376" s="192"/>
      <c r="AS376" s="192"/>
      <c r="AT376" s="192"/>
      <c r="AU376" s="192"/>
      <c r="AV376" s="192"/>
      <c r="AW376" s="192"/>
      <c r="AX376" s="192"/>
      <c r="AY376" s="192"/>
      <c r="AZ376" s="192"/>
      <c r="BA376" s="192"/>
    </row>
    <row r="377" spans="1:72" ht="14.25" customHeight="1" x14ac:dyDescent="0.2">
      <c r="A377" s="5" t="s">
        <v>125</v>
      </c>
      <c r="B377" s="4">
        <v>36</v>
      </c>
      <c r="C377" s="4" t="s">
        <v>44</v>
      </c>
      <c r="D377" s="201" t="s">
        <v>131</v>
      </c>
      <c r="E377" s="4">
        <v>12630</v>
      </c>
      <c r="F377" s="203"/>
      <c r="G377" s="4" t="s">
        <v>127</v>
      </c>
      <c r="H377" s="4" t="s">
        <v>128</v>
      </c>
      <c r="I377" s="4" t="s">
        <v>49</v>
      </c>
      <c r="J377" s="4" t="s">
        <v>78</v>
      </c>
      <c r="K377" s="4">
        <v>1</v>
      </c>
      <c r="L377" s="4">
        <v>14652</v>
      </c>
      <c r="U377"/>
    </row>
    <row r="378" spans="1:72" ht="14.25" customHeight="1" x14ac:dyDescent="0.2">
      <c r="A378" s="5" t="s">
        <v>125</v>
      </c>
      <c r="B378" s="4">
        <v>36</v>
      </c>
      <c r="C378" s="4" t="s">
        <v>44</v>
      </c>
      <c r="D378" s="201" t="s">
        <v>132</v>
      </c>
      <c r="E378" s="4">
        <v>12631</v>
      </c>
      <c r="F378" s="203"/>
      <c r="G378" s="4" t="s">
        <v>127</v>
      </c>
      <c r="H378" s="4" t="s">
        <v>128</v>
      </c>
      <c r="I378" s="4" t="s">
        <v>49</v>
      </c>
      <c r="J378" s="4" t="s">
        <v>78</v>
      </c>
      <c r="K378" s="4">
        <v>1</v>
      </c>
      <c r="L378" s="4">
        <v>14653</v>
      </c>
      <c r="U378"/>
    </row>
    <row r="379" spans="1:72" ht="14.25" customHeight="1" x14ac:dyDescent="0.2">
      <c r="A379" s="5" t="s">
        <v>125</v>
      </c>
      <c r="B379" s="4">
        <v>36</v>
      </c>
      <c r="C379" s="4" t="s">
        <v>44</v>
      </c>
      <c r="D379" s="201" t="s">
        <v>133</v>
      </c>
      <c r="E379" s="4">
        <v>12632</v>
      </c>
      <c r="F379" s="203"/>
      <c r="G379" s="4" t="s">
        <v>127</v>
      </c>
      <c r="H379" s="4" t="s">
        <v>128</v>
      </c>
      <c r="I379" s="4" t="s">
        <v>49</v>
      </c>
      <c r="J379" s="4" t="s">
        <v>64</v>
      </c>
      <c r="K379" s="4">
        <v>1</v>
      </c>
      <c r="L379" s="4">
        <v>14654</v>
      </c>
      <c r="U379"/>
    </row>
    <row r="380" spans="1:72" ht="14.25" customHeight="1" x14ac:dyDescent="0.2">
      <c r="A380" s="5" t="s">
        <v>125</v>
      </c>
      <c r="B380" s="4">
        <v>36</v>
      </c>
      <c r="C380" s="4" t="s">
        <v>44</v>
      </c>
      <c r="D380" s="201" t="s">
        <v>134</v>
      </c>
      <c r="E380" s="4">
        <v>12633</v>
      </c>
      <c r="F380" s="203"/>
      <c r="G380" s="4" t="s">
        <v>127</v>
      </c>
      <c r="H380" s="4" t="s">
        <v>128</v>
      </c>
      <c r="I380" s="4" t="s">
        <v>49</v>
      </c>
      <c r="J380" s="4" t="s">
        <v>105</v>
      </c>
      <c r="K380" s="4">
        <v>1</v>
      </c>
      <c r="L380" s="4">
        <v>14655</v>
      </c>
      <c r="U380"/>
    </row>
    <row r="381" spans="1:72" ht="14.25" customHeight="1" x14ac:dyDescent="0.2">
      <c r="A381" s="5" t="s">
        <v>125</v>
      </c>
      <c r="B381" s="4">
        <v>36</v>
      </c>
      <c r="C381" s="4" t="s">
        <v>44</v>
      </c>
      <c r="D381" s="201" t="s">
        <v>135</v>
      </c>
      <c r="E381" s="4">
        <v>12634</v>
      </c>
      <c r="F381" s="203"/>
      <c r="G381" s="4" t="s">
        <v>127</v>
      </c>
      <c r="H381" s="4" t="s">
        <v>128</v>
      </c>
      <c r="I381" s="4" t="s">
        <v>49</v>
      </c>
      <c r="J381" s="4" t="s">
        <v>136</v>
      </c>
      <c r="K381" s="4">
        <v>1</v>
      </c>
      <c r="L381" s="4">
        <v>14656</v>
      </c>
      <c r="U381"/>
    </row>
    <row r="382" spans="1:72" ht="14.25" customHeight="1" x14ac:dyDescent="0.2">
      <c r="A382" s="5" t="s">
        <v>125</v>
      </c>
      <c r="B382" s="4">
        <v>36</v>
      </c>
      <c r="C382" s="4" t="s">
        <v>44</v>
      </c>
      <c r="D382" s="201" t="s">
        <v>137</v>
      </c>
      <c r="E382" s="4">
        <v>12635</v>
      </c>
      <c r="F382" s="9"/>
      <c r="G382" s="188" t="s">
        <v>127</v>
      </c>
      <c r="H382" s="4" t="s">
        <v>128</v>
      </c>
      <c r="I382" s="4" t="s">
        <v>49</v>
      </c>
      <c r="J382" s="4" t="s">
        <v>71</v>
      </c>
      <c r="K382" s="4">
        <v>1</v>
      </c>
      <c r="L382" s="4">
        <v>14657</v>
      </c>
      <c r="P382" s="192"/>
      <c r="U382"/>
      <c r="AO382" s="192"/>
      <c r="AP382" s="192"/>
      <c r="AQ382" s="192"/>
      <c r="AR382" s="192"/>
      <c r="AS382" s="192"/>
      <c r="AT382" s="192"/>
      <c r="AU382" s="192"/>
      <c r="AV382" s="192"/>
      <c r="AW382" s="192"/>
      <c r="AX382" s="192"/>
      <c r="AY382" s="192"/>
      <c r="AZ382" s="192"/>
      <c r="BA382" s="192"/>
    </row>
    <row r="383" spans="1:72" ht="14.25" customHeight="1" x14ac:dyDescent="0.2">
      <c r="A383" s="183" t="s">
        <v>6362</v>
      </c>
      <c r="B383" s="190">
        <v>5</v>
      </c>
      <c r="C383" s="190" t="s">
        <v>6010</v>
      </c>
      <c r="D383" s="190" t="s">
        <v>6358</v>
      </c>
      <c r="E383" s="190">
        <v>13128</v>
      </c>
      <c r="F383" s="92"/>
      <c r="G383" s="190" t="s">
        <v>127</v>
      </c>
      <c r="H383" s="4" t="s">
        <v>6363</v>
      </c>
      <c r="I383" s="4" t="s">
        <v>49</v>
      </c>
      <c r="J383" s="4" t="s">
        <v>6087</v>
      </c>
      <c r="K383" s="4">
        <v>1</v>
      </c>
      <c r="L383" s="4">
        <v>15050</v>
      </c>
      <c r="M383" s="183"/>
      <c r="N383" s="183"/>
      <c r="O383" s="183"/>
      <c r="P383" s="183"/>
      <c r="Q383" s="183"/>
      <c r="R383" s="183"/>
      <c r="S383" s="183"/>
      <c r="T383" s="183"/>
      <c r="U383" s="183"/>
      <c r="V383" s="183"/>
      <c r="W383" s="183"/>
      <c r="X383" s="183"/>
      <c r="Y383" s="183"/>
      <c r="Z383" s="183"/>
      <c r="AA383" s="183"/>
      <c r="AB383" s="183"/>
      <c r="AC383" s="183"/>
      <c r="AD383" s="183"/>
      <c r="AE383" s="183"/>
      <c r="AF383" s="190"/>
      <c r="AG383" s="190"/>
      <c r="AH383" s="190"/>
      <c r="AI383" s="183"/>
      <c r="AJ383" s="183"/>
      <c r="AK383" s="183"/>
      <c r="AL383" s="183"/>
      <c r="AM383" s="183"/>
      <c r="AN383" s="183"/>
      <c r="AO383" s="183"/>
      <c r="AP383" s="183"/>
      <c r="AQ383" s="183"/>
      <c r="AR383" s="183"/>
      <c r="AS383" s="183"/>
      <c r="AT383" s="183"/>
      <c r="AU383" s="183"/>
      <c r="AV383" s="183"/>
      <c r="AW383" s="183"/>
      <c r="AX383" s="183"/>
      <c r="AY383" s="183"/>
      <c r="AZ383" s="183"/>
      <c r="BA383" s="183"/>
      <c r="BB383" s="183"/>
      <c r="BC383" s="183"/>
      <c r="BD383" s="183"/>
      <c r="BE383" s="183"/>
      <c r="BF383" s="183"/>
      <c r="BG383" s="183"/>
      <c r="BH383" s="183"/>
      <c r="BI383" s="183"/>
      <c r="BJ383" s="183"/>
      <c r="BK383" s="183"/>
      <c r="BL383" s="183"/>
      <c r="BM383" s="183"/>
      <c r="BN383" s="183"/>
      <c r="BO383" s="183"/>
      <c r="BP383" s="183"/>
      <c r="BQ383" s="183"/>
      <c r="BR383" s="183"/>
      <c r="BS383" s="183"/>
      <c r="BT383" s="183"/>
    </row>
    <row r="384" spans="1:72" ht="14.25" customHeight="1" x14ac:dyDescent="0.2">
      <c r="A384" s="4" t="s">
        <v>5837</v>
      </c>
      <c r="B384" s="4">
        <v>9</v>
      </c>
      <c r="C384" s="4" t="s">
        <v>4969</v>
      </c>
      <c r="D384" s="4" t="s">
        <v>5838</v>
      </c>
      <c r="E384" s="4">
        <v>2613</v>
      </c>
      <c r="F384" s="188" t="s">
        <v>5834</v>
      </c>
      <c r="G384" s="4" t="s">
        <v>5839</v>
      </c>
      <c r="H384" s="4" t="s">
        <v>5840</v>
      </c>
      <c r="I384" s="4" t="s">
        <v>641</v>
      </c>
      <c r="J384" s="4" t="s">
        <v>5083</v>
      </c>
      <c r="K384" s="4">
        <v>1</v>
      </c>
      <c r="L384" s="4">
        <v>3016</v>
      </c>
      <c r="M384" s="9"/>
      <c r="U384"/>
      <c r="AK384" s="9"/>
    </row>
    <row r="385" spans="1:72" ht="14.25" customHeight="1" x14ac:dyDescent="0.2">
      <c r="A385" s="4" t="s">
        <v>5589</v>
      </c>
      <c r="B385" s="4">
        <v>9</v>
      </c>
      <c r="C385" s="4" t="s">
        <v>4969</v>
      </c>
      <c r="D385" s="4" t="s">
        <v>5590</v>
      </c>
      <c r="E385" s="4">
        <v>12572</v>
      </c>
      <c r="F385" s="188" t="s">
        <v>5591</v>
      </c>
      <c r="G385" s="4" t="s">
        <v>5592</v>
      </c>
      <c r="H385" s="4" t="s">
        <v>5397</v>
      </c>
      <c r="I385" s="4" t="s">
        <v>49</v>
      </c>
      <c r="J385" s="4" t="s">
        <v>4983</v>
      </c>
      <c r="K385" s="4">
        <v>1</v>
      </c>
      <c r="L385" s="4">
        <v>14594</v>
      </c>
      <c r="M385" s="9"/>
      <c r="U385"/>
      <c r="AK385" s="9"/>
    </row>
    <row r="386" spans="1:72" ht="14.25" customHeight="1" x14ac:dyDescent="0.2">
      <c r="A386" s="5" t="s">
        <v>5049</v>
      </c>
      <c r="B386" s="4">
        <v>9</v>
      </c>
      <c r="C386" s="4" t="s">
        <v>5039</v>
      </c>
      <c r="D386" s="4" t="s">
        <v>5050</v>
      </c>
      <c r="E386" s="4">
        <v>2630</v>
      </c>
      <c r="F386" s="188" t="s">
        <v>5051</v>
      </c>
      <c r="G386" s="4" t="s">
        <v>5052</v>
      </c>
      <c r="H386" s="4" t="s">
        <v>84</v>
      </c>
      <c r="I386" s="4" t="s">
        <v>641</v>
      </c>
      <c r="K386" s="4">
        <v>1</v>
      </c>
      <c r="L386" s="4">
        <v>3033</v>
      </c>
      <c r="M386" s="9"/>
      <c r="U386"/>
      <c r="AK386" s="9"/>
    </row>
    <row r="387" spans="1:72" ht="14.25" customHeight="1" x14ac:dyDescent="0.2">
      <c r="A387" s="191" t="s">
        <v>5569</v>
      </c>
      <c r="B387" s="191">
        <v>9</v>
      </c>
      <c r="C387" s="191" t="s">
        <v>4969</v>
      </c>
      <c r="D387" s="191" t="s">
        <v>5570</v>
      </c>
      <c r="E387" s="191">
        <v>12568</v>
      </c>
      <c r="F387" s="42" t="s">
        <v>5571</v>
      </c>
      <c r="G387" s="191" t="s">
        <v>5572</v>
      </c>
      <c r="H387" s="191" t="s">
        <v>5397</v>
      </c>
      <c r="I387" s="191" t="s">
        <v>49</v>
      </c>
      <c r="J387" s="191" t="s">
        <v>4983</v>
      </c>
      <c r="K387" s="191">
        <v>1</v>
      </c>
      <c r="L387" s="191">
        <v>14590</v>
      </c>
      <c r="M387" s="191"/>
      <c r="N387" s="191"/>
      <c r="O387" s="191"/>
      <c r="P387" s="191"/>
      <c r="Q387" s="191"/>
      <c r="R387" s="191"/>
      <c r="S387" s="191"/>
      <c r="T387" s="191"/>
      <c r="U387" s="191"/>
      <c r="V387" s="191"/>
      <c r="W387" s="191"/>
      <c r="X387" s="191"/>
      <c r="Y387" s="191"/>
      <c r="Z387" s="191"/>
      <c r="AA387" s="191"/>
      <c r="AB387" s="191"/>
      <c r="AC387" s="191"/>
      <c r="AD387" s="191"/>
      <c r="AE387" s="191"/>
      <c r="AF387" s="191"/>
      <c r="AG387" s="191"/>
      <c r="AH387" s="191"/>
      <c r="AI387" s="191"/>
      <c r="AJ387" s="191"/>
      <c r="AK387" s="191"/>
      <c r="AL387" s="191"/>
      <c r="AM387" s="191"/>
      <c r="AN387" s="191"/>
      <c r="AO387" s="191"/>
      <c r="AP387" s="191"/>
      <c r="AQ387" s="191"/>
      <c r="AR387" s="191"/>
      <c r="AS387" s="191"/>
      <c r="AT387" s="191"/>
      <c r="AU387" s="191"/>
      <c r="AV387" s="191"/>
      <c r="AW387" s="191"/>
      <c r="AX387" s="191"/>
      <c r="AY387" s="191"/>
      <c r="AZ387" s="191"/>
      <c r="BA387" s="191"/>
      <c r="BB387" s="191"/>
      <c r="BC387" s="191"/>
      <c r="BD387" s="191"/>
      <c r="BE387" s="191"/>
      <c r="BF387" s="191"/>
      <c r="BG387" s="191"/>
      <c r="BH387" s="191"/>
      <c r="BI387" s="191"/>
      <c r="BJ387" s="191"/>
      <c r="BK387" s="191"/>
      <c r="BL387" s="191"/>
      <c r="BM387" s="191"/>
      <c r="BN387" s="191"/>
      <c r="BO387" s="191"/>
      <c r="BP387" s="191"/>
      <c r="BQ387" s="191"/>
      <c r="BR387" s="191"/>
      <c r="BS387" s="191"/>
      <c r="BT387" s="191"/>
    </row>
    <row r="388" spans="1:72" ht="14.25" customHeight="1" x14ac:dyDescent="0.2">
      <c r="A388" s="189" t="s">
        <v>5501</v>
      </c>
      <c r="B388" s="191">
        <v>9</v>
      </c>
      <c r="C388" s="191" t="s">
        <v>4969</v>
      </c>
      <c r="D388" s="191" t="s">
        <v>5502</v>
      </c>
      <c r="E388" s="191">
        <v>12541</v>
      </c>
      <c r="F388" s="42" t="s">
        <v>5503</v>
      </c>
      <c r="G388" s="191" t="s">
        <v>5504</v>
      </c>
      <c r="H388" s="191" t="s">
        <v>5397</v>
      </c>
      <c r="I388" s="191" t="s">
        <v>49</v>
      </c>
      <c r="J388" s="191" t="s">
        <v>4983</v>
      </c>
      <c r="K388" s="191">
        <v>1</v>
      </c>
      <c r="L388" s="191">
        <v>14563</v>
      </c>
      <c r="M388" s="191"/>
      <c r="N388" s="191"/>
      <c r="O388" s="191"/>
      <c r="P388" s="191"/>
      <c r="Q388" s="191"/>
      <c r="R388" s="191"/>
      <c r="S388" s="191"/>
      <c r="T388" s="191"/>
      <c r="U388" s="191"/>
      <c r="V388" s="191"/>
      <c r="W388" s="191"/>
      <c r="X388" s="191"/>
      <c r="Y388" s="191"/>
      <c r="Z388" s="191"/>
      <c r="AA388" s="191"/>
      <c r="AB388" s="191"/>
      <c r="AC388" s="191"/>
      <c r="AD388" s="191"/>
      <c r="AE388" s="191"/>
      <c r="AF388" s="191"/>
      <c r="AG388" s="191"/>
      <c r="AH388" s="191"/>
      <c r="AI388" s="191"/>
      <c r="AJ388" s="191"/>
      <c r="AK388" s="191"/>
      <c r="AL388" s="191"/>
      <c r="AM388" s="191"/>
      <c r="AN388" s="191"/>
      <c r="AO388" s="191"/>
      <c r="AP388" s="191"/>
      <c r="AQ388" s="191"/>
      <c r="AR388" s="191"/>
      <c r="AS388" s="191"/>
      <c r="AT388" s="191"/>
      <c r="AU388" s="191"/>
      <c r="AV388" s="191"/>
      <c r="AW388" s="191"/>
      <c r="AX388" s="191"/>
      <c r="AY388" s="191"/>
      <c r="AZ388" s="191"/>
      <c r="BA388" s="191"/>
      <c r="BB388" s="191"/>
      <c r="BC388" s="191"/>
      <c r="BD388" s="191"/>
      <c r="BE388" s="191"/>
      <c r="BF388" s="191"/>
      <c r="BG388" s="191"/>
      <c r="BH388" s="191"/>
      <c r="BI388" s="191"/>
      <c r="BJ388" s="191"/>
      <c r="BK388" s="191"/>
      <c r="BL388" s="191"/>
      <c r="BM388" s="191"/>
      <c r="BN388" s="191"/>
      <c r="BO388" s="191"/>
      <c r="BP388" s="191"/>
      <c r="BQ388" s="191"/>
      <c r="BR388" s="191"/>
      <c r="BS388" s="191"/>
      <c r="BT388" s="191"/>
    </row>
    <row r="389" spans="1:72" ht="14.25" customHeight="1" x14ac:dyDescent="0.2">
      <c r="A389" s="4" t="s">
        <v>5849</v>
      </c>
      <c r="B389" s="197">
        <v>9</v>
      </c>
      <c r="C389" s="197" t="s">
        <v>4969</v>
      </c>
      <c r="D389" s="197" t="s">
        <v>5850</v>
      </c>
      <c r="E389" s="197">
        <v>12442</v>
      </c>
      <c r="F389" s="197" t="s">
        <v>5851</v>
      </c>
      <c r="G389" s="84" t="s">
        <v>113</v>
      </c>
      <c r="H389" s="197" t="s">
        <v>5852</v>
      </c>
      <c r="I389" s="197" t="s">
        <v>49</v>
      </c>
      <c r="J389" s="197" t="s">
        <v>5073</v>
      </c>
      <c r="K389" s="197">
        <v>1</v>
      </c>
      <c r="L389" s="197">
        <v>14464</v>
      </c>
      <c r="M389" s="197"/>
      <c r="N389" s="197"/>
      <c r="O389" s="197"/>
      <c r="P389" s="84"/>
      <c r="Q389" s="197"/>
      <c r="R389" s="197"/>
      <c r="S389" s="197"/>
      <c r="T389" s="197"/>
      <c r="U389" s="197"/>
      <c r="V389" s="197"/>
      <c r="W389" s="197"/>
      <c r="X389" s="197"/>
      <c r="Y389" s="197"/>
      <c r="Z389" s="197"/>
      <c r="AA389" s="197"/>
      <c r="AB389" s="197"/>
      <c r="AC389" s="197"/>
      <c r="AD389" s="197"/>
      <c r="AE389" s="197"/>
      <c r="AF389" s="197"/>
      <c r="AI389" s="197"/>
      <c r="AK389" s="9"/>
      <c r="AO389" s="192"/>
      <c r="AP389" s="192"/>
      <c r="AQ389" s="192"/>
      <c r="AR389" s="192"/>
      <c r="AS389" s="192"/>
      <c r="AT389" s="192"/>
      <c r="AU389" s="192"/>
      <c r="AV389" s="192"/>
      <c r="AW389" s="192"/>
      <c r="AX389" s="192"/>
      <c r="AY389" s="192"/>
      <c r="AZ389" s="192"/>
      <c r="BA389" s="192"/>
    </row>
    <row r="390" spans="1:72" ht="14.25" customHeight="1" x14ac:dyDescent="0.2">
      <c r="A390" s="4" t="s">
        <v>5824</v>
      </c>
      <c r="B390" s="4">
        <v>9</v>
      </c>
      <c r="C390" s="4" t="s">
        <v>4969</v>
      </c>
      <c r="D390" s="201" t="s">
        <v>5825</v>
      </c>
      <c r="E390" s="4">
        <v>12280</v>
      </c>
      <c r="F390" s="188" t="s">
        <v>5826</v>
      </c>
      <c r="G390" s="4" t="s">
        <v>5827</v>
      </c>
      <c r="H390" s="4" t="s">
        <v>5828</v>
      </c>
      <c r="I390" s="4" t="s">
        <v>641</v>
      </c>
      <c r="J390" s="4" t="s">
        <v>5254</v>
      </c>
      <c r="K390" s="4">
        <v>1</v>
      </c>
      <c r="L390" s="4">
        <v>14335</v>
      </c>
      <c r="M390" s="9"/>
      <c r="U390"/>
      <c r="AK390" s="9"/>
    </row>
    <row r="391" spans="1:72" ht="14.25" customHeight="1" x14ac:dyDescent="0.2">
      <c r="A391" s="4" t="s">
        <v>5336</v>
      </c>
      <c r="B391" s="4">
        <v>9</v>
      </c>
      <c r="C391" s="4" t="s">
        <v>4969</v>
      </c>
      <c r="D391" s="201" t="s">
        <v>5337</v>
      </c>
      <c r="E391" s="4">
        <v>1580</v>
      </c>
      <c r="F391" s="4" t="s">
        <v>5334</v>
      </c>
      <c r="G391" s="188" t="s">
        <v>5338</v>
      </c>
      <c r="H391" s="4" t="s">
        <v>5339</v>
      </c>
      <c r="I391" s="4" t="s">
        <v>641</v>
      </c>
      <c r="J391" s="4" t="s">
        <v>5037</v>
      </c>
      <c r="K391" s="4">
        <v>1</v>
      </c>
      <c r="L391" s="4">
        <v>1983</v>
      </c>
      <c r="M391" s="9"/>
      <c r="P391" s="192"/>
      <c r="U391"/>
      <c r="AK391" s="9"/>
      <c r="AO391" s="192"/>
      <c r="AP391" s="192"/>
      <c r="AQ391" s="192"/>
      <c r="AR391" s="192"/>
      <c r="AS391" s="192"/>
      <c r="AT391" s="192"/>
      <c r="AU391" s="192"/>
      <c r="AV391" s="192"/>
      <c r="AW391" s="192"/>
      <c r="AX391" s="192"/>
      <c r="AY391" s="192"/>
      <c r="AZ391" s="192"/>
      <c r="BA391" s="192"/>
    </row>
    <row r="392" spans="1:72" ht="14.25" customHeight="1" x14ac:dyDescent="0.2">
      <c r="A392" s="4" t="s">
        <v>5758</v>
      </c>
      <c r="B392" s="4">
        <v>9</v>
      </c>
      <c r="C392" s="4" t="s">
        <v>4969</v>
      </c>
      <c r="D392" s="201" t="s">
        <v>5759</v>
      </c>
      <c r="E392" s="4">
        <v>2601</v>
      </c>
      <c r="F392" s="188" t="s">
        <v>5756</v>
      </c>
      <c r="G392" s="4" t="s">
        <v>5760</v>
      </c>
      <c r="H392" s="4" t="s">
        <v>5761</v>
      </c>
      <c r="I392" s="4" t="s">
        <v>641</v>
      </c>
      <c r="J392" s="4" t="s">
        <v>5083</v>
      </c>
      <c r="K392" s="4">
        <v>1</v>
      </c>
      <c r="L392" s="4">
        <v>3004</v>
      </c>
      <c r="M392" s="9"/>
      <c r="U392"/>
      <c r="AK392" s="9"/>
      <c r="AO392" s="9"/>
    </row>
    <row r="393" spans="1:72" ht="14.25" customHeight="1" x14ac:dyDescent="0.2">
      <c r="A393" s="179" t="s">
        <v>422</v>
      </c>
      <c r="B393" s="4">
        <v>10</v>
      </c>
      <c r="C393" s="4" t="s">
        <v>423</v>
      </c>
      <c r="D393" s="4" t="s">
        <v>424</v>
      </c>
      <c r="E393" s="4">
        <v>1527</v>
      </c>
      <c r="F393" s="188" t="s">
        <v>425</v>
      </c>
      <c r="G393" s="4">
        <v>1930</v>
      </c>
      <c r="H393" s="4" t="s">
        <v>426</v>
      </c>
      <c r="I393" s="4" t="s">
        <v>427</v>
      </c>
      <c r="J393" s="4">
        <v>36169</v>
      </c>
      <c r="M393" s="11"/>
      <c r="N393" s="11"/>
      <c r="O393" s="11"/>
      <c r="P393" s="11"/>
      <c r="Q393" s="12"/>
      <c r="R393" s="11"/>
      <c r="S393" s="211"/>
      <c r="T393" s="211"/>
      <c r="U393" s="211"/>
      <c r="V393" s="211"/>
      <c r="W393" s="211"/>
      <c r="X393" s="211"/>
      <c r="Y393" s="211"/>
      <c r="Z393" s="211"/>
      <c r="AA393" s="211"/>
      <c r="AB393" s="211"/>
      <c r="AC393" s="211"/>
      <c r="AD393" s="211"/>
      <c r="AE393" s="211">
        <v>49.156111109999998</v>
      </c>
      <c r="AF393" s="211">
        <v>-121.9405556</v>
      </c>
      <c r="AG393" s="211">
        <v>11</v>
      </c>
      <c r="AH393" s="211"/>
      <c r="AI393" s="211"/>
      <c r="AJ393" s="211"/>
      <c r="AK393" s="211"/>
      <c r="AL393" s="211"/>
      <c r="AM393" s="211"/>
      <c r="AN393" s="211"/>
      <c r="AO393" s="211"/>
      <c r="AP393" s="211"/>
      <c r="AQ393" s="211"/>
      <c r="AR393" s="211"/>
      <c r="AS393" s="211"/>
      <c r="AT393" s="211"/>
      <c r="AU393" s="211"/>
      <c r="AV393" s="211"/>
      <c r="AW393" s="211"/>
      <c r="AX393" s="211"/>
      <c r="AY393" s="211"/>
      <c r="AZ393" s="211"/>
      <c r="BA393" s="211"/>
      <c r="BB393" s="211"/>
      <c r="BC393" s="211"/>
      <c r="BD393" s="211"/>
      <c r="BE393" s="211"/>
      <c r="BF393" s="211"/>
      <c r="BG393" s="211"/>
      <c r="BH393" s="211"/>
      <c r="BI393" s="211"/>
      <c r="BJ393" s="211"/>
      <c r="BK393" s="211"/>
      <c r="BL393" s="211"/>
      <c r="BM393" s="211"/>
      <c r="BN393" s="211"/>
      <c r="BO393" s="211"/>
      <c r="BP393" s="211"/>
      <c r="BQ393" s="211"/>
      <c r="BR393" s="211"/>
      <c r="BS393" s="211"/>
      <c r="BT393" s="211"/>
    </row>
    <row r="394" spans="1:72" ht="14.25" customHeight="1" x14ac:dyDescent="0.2">
      <c r="A394" s="179" t="s">
        <v>422</v>
      </c>
      <c r="B394" s="4">
        <v>10</v>
      </c>
      <c r="C394" s="4" t="s">
        <v>423</v>
      </c>
      <c r="D394" s="4" t="s">
        <v>428</v>
      </c>
      <c r="E394" s="4">
        <v>1528</v>
      </c>
      <c r="F394" s="188" t="s">
        <v>429</v>
      </c>
      <c r="G394" s="4">
        <v>1931</v>
      </c>
      <c r="H394" s="4" t="s">
        <v>426</v>
      </c>
      <c r="I394" s="4" t="s">
        <v>427</v>
      </c>
      <c r="J394" s="4">
        <v>33555</v>
      </c>
      <c r="M394" s="11"/>
      <c r="N394" s="11"/>
      <c r="O394" s="11"/>
      <c r="P394" s="11"/>
      <c r="Q394" s="12"/>
      <c r="R394" s="11"/>
      <c r="S394" s="211"/>
      <c r="T394" s="211"/>
      <c r="U394" s="211"/>
      <c r="V394" s="211"/>
      <c r="W394" s="211"/>
      <c r="X394" s="211"/>
      <c r="Y394" s="211"/>
      <c r="Z394" s="211"/>
      <c r="AA394" s="211"/>
      <c r="AB394" s="211"/>
      <c r="AC394" s="211"/>
      <c r="AD394" s="211"/>
      <c r="AE394" s="211">
        <v>49.158333329999998</v>
      </c>
      <c r="AF394" s="211">
        <v>-122.90166670000001</v>
      </c>
      <c r="AG394" s="211">
        <v>111</v>
      </c>
      <c r="AH394" s="211"/>
      <c r="AI394" s="211"/>
      <c r="AJ394" s="211"/>
      <c r="AK394" s="211"/>
      <c r="AL394" s="211"/>
      <c r="AM394" s="211"/>
      <c r="AN394" s="211"/>
      <c r="AO394" s="211"/>
      <c r="AP394" s="211"/>
      <c r="AQ394" s="211"/>
      <c r="AR394" s="211"/>
      <c r="AS394" s="211"/>
      <c r="AT394" s="211"/>
      <c r="AU394" s="211"/>
      <c r="AV394" s="211"/>
      <c r="AW394" s="211"/>
      <c r="AX394" s="211"/>
      <c r="AY394" s="211"/>
      <c r="AZ394" s="211"/>
      <c r="BA394" s="211"/>
      <c r="BB394" s="211"/>
      <c r="BC394" s="211"/>
      <c r="BD394" s="211"/>
      <c r="BE394" s="211"/>
      <c r="BF394" s="211"/>
      <c r="BG394" s="211"/>
      <c r="BH394" s="211"/>
      <c r="BI394" s="211"/>
      <c r="BJ394" s="211"/>
      <c r="BK394" s="211"/>
      <c r="BL394" s="211"/>
      <c r="BM394" s="211"/>
      <c r="BN394" s="211"/>
      <c r="BO394" s="211"/>
      <c r="BP394" s="211"/>
      <c r="BQ394" s="211"/>
      <c r="BR394" s="211"/>
      <c r="BS394" s="211"/>
      <c r="BT394" s="211"/>
    </row>
    <row r="395" spans="1:72" ht="14.25" customHeight="1" x14ac:dyDescent="0.2">
      <c r="A395" s="179" t="s">
        <v>422</v>
      </c>
      <c r="B395" s="4">
        <v>10</v>
      </c>
      <c r="C395" s="4" t="s">
        <v>423</v>
      </c>
      <c r="D395" s="4" t="s">
        <v>430</v>
      </c>
      <c r="E395" s="4">
        <v>1529</v>
      </c>
      <c r="F395" s="4" t="s">
        <v>431</v>
      </c>
      <c r="G395" s="4">
        <v>1932</v>
      </c>
      <c r="H395" s="4" t="s">
        <v>426</v>
      </c>
      <c r="I395" s="4" t="s">
        <v>427</v>
      </c>
      <c r="J395" s="4">
        <v>33532</v>
      </c>
      <c r="M395" s="11"/>
      <c r="N395" s="11"/>
      <c r="O395" s="11"/>
      <c r="P395" s="11"/>
      <c r="Q395" s="12"/>
      <c r="R395" s="11"/>
      <c r="S395" s="211"/>
      <c r="T395" s="211"/>
      <c r="U395" s="211"/>
      <c r="V395" s="211"/>
      <c r="W395" s="211"/>
      <c r="X395" s="211"/>
      <c r="Y395" s="211"/>
      <c r="Z395" s="211"/>
      <c r="AA395" s="211"/>
      <c r="AB395" s="211"/>
      <c r="AC395" s="211"/>
      <c r="AD395" s="211"/>
      <c r="AE395" s="211">
        <v>49.132777779999998</v>
      </c>
      <c r="AF395" s="211">
        <v>-122.69333330000001</v>
      </c>
      <c r="AG395" s="211">
        <v>79</v>
      </c>
      <c r="AH395" s="211"/>
      <c r="AI395" s="211"/>
      <c r="AJ395" s="211"/>
      <c r="AK395" s="211"/>
      <c r="AL395" s="211"/>
      <c r="AM395" s="211"/>
      <c r="AN395" s="211"/>
      <c r="AO395" s="16"/>
      <c r="AP395" s="16"/>
      <c r="AQ395" s="16"/>
      <c r="AR395" s="16"/>
      <c r="AS395" s="16"/>
      <c r="AT395" s="16"/>
      <c r="AU395" s="16"/>
      <c r="AV395" s="16"/>
      <c r="AW395" s="16"/>
      <c r="AX395" s="16"/>
      <c r="AY395" s="16"/>
      <c r="AZ395" s="16"/>
      <c r="BA395" s="16"/>
      <c r="BB395" s="211"/>
      <c r="BC395" s="211"/>
      <c r="BD395" s="211"/>
      <c r="BE395" s="211"/>
      <c r="BF395" s="211"/>
      <c r="BG395" s="211"/>
      <c r="BH395" s="211"/>
      <c r="BI395" s="211"/>
      <c r="BJ395" s="211"/>
      <c r="BK395" s="211"/>
      <c r="BL395" s="211"/>
      <c r="BM395" s="211"/>
      <c r="BN395" s="211"/>
      <c r="BO395" s="211"/>
      <c r="BP395" s="211"/>
      <c r="BQ395" s="211"/>
      <c r="BR395" s="211"/>
      <c r="BS395" s="211"/>
      <c r="BT395" s="211"/>
    </row>
    <row r="396" spans="1:72" ht="14.25" customHeight="1" x14ac:dyDescent="0.2">
      <c r="A396" s="179" t="s">
        <v>422</v>
      </c>
      <c r="B396" s="4">
        <v>10</v>
      </c>
      <c r="C396" s="4" t="s">
        <v>423</v>
      </c>
      <c r="D396" s="4" t="s">
        <v>432</v>
      </c>
      <c r="E396" s="4">
        <v>1530</v>
      </c>
      <c r="F396" s="188" t="s">
        <v>433</v>
      </c>
      <c r="G396" s="4">
        <v>1933</v>
      </c>
      <c r="H396" s="4" t="s">
        <v>426</v>
      </c>
      <c r="I396" s="4" t="s">
        <v>427</v>
      </c>
      <c r="J396" s="4">
        <v>33800</v>
      </c>
      <c r="M396" s="11"/>
      <c r="N396" s="11"/>
      <c r="O396" s="11"/>
      <c r="P396" s="11"/>
      <c r="Q396" s="12"/>
      <c r="R396" s="11"/>
      <c r="S396" s="211"/>
      <c r="T396" s="211"/>
      <c r="U396" s="211"/>
      <c r="V396" s="211"/>
      <c r="W396" s="211"/>
      <c r="X396" s="211"/>
      <c r="Y396" s="211"/>
      <c r="Z396" s="211"/>
      <c r="AA396" s="211"/>
      <c r="AB396" s="211"/>
      <c r="AC396" s="211"/>
      <c r="AD396" s="211"/>
      <c r="AE396" s="211">
        <v>49.141666669999999</v>
      </c>
      <c r="AF396" s="211">
        <v>-123.1080556</v>
      </c>
      <c r="AG396" s="211">
        <v>5</v>
      </c>
      <c r="AH396" s="211"/>
      <c r="AI396" s="211"/>
      <c r="AJ396" s="211"/>
      <c r="AK396" s="211"/>
      <c r="AL396" s="211"/>
      <c r="AM396" s="211"/>
      <c r="AN396" s="211"/>
      <c r="AO396" s="211"/>
      <c r="AP396" s="211"/>
      <c r="AQ396" s="211"/>
      <c r="AR396" s="211"/>
      <c r="AS396" s="211"/>
      <c r="AT396" s="211"/>
      <c r="AU396" s="211"/>
      <c r="AV396" s="211"/>
      <c r="AW396" s="211"/>
      <c r="AX396" s="211"/>
      <c r="AY396" s="211"/>
      <c r="AZ396" s="211"/>
      <c r="BA396" s="211"/>
      <c r="BB396" s="211"/>
      <c r="BC396" s="211"/>
      <c r="BD396" s="211"/>
      <c r="BE396" s="211"/>
      <c r="BF396" s="211"/>
      <c r="BG396" s="211"/>
      <c r="BH396" s="211"/>
      <c r="BI396" s="211"/>
      <c r="BJ396" s="211"/>
      <c r="BK396" s="211"/>
      <c r="BL396" s="211"/>
      <c r="BM396" s="211"/>
      <c r="BN396" s="211"/>
      <c r="BO396" s="211"/>
      <c r="BP396" s="211"/>
      <c r="BQ396" s="211"/>
      <c r="BR396" s="211"/>
      <c r="BS396" s="211"/>
      <c r="BT396" s="211"/>
    </row>
    <row r="397" spans="1:72" ht="14.25" customHeight="1" x14ac:dyDescent="0.2">
      <c r="A397" s="179" t="s">
        <v>422</v>
      </c>
      <c r="B397" s="4">
        <v>10</v>
      </c>
      <c r="C397" s="4" t="s">
        <v>423</v>
      </c>
      <c r="D397" s="4" t="s">
        <v>434</v>
      </c>
      <c r="E397" s="4">
        <v>1531</v>
      </c>
      <c r="F397" s="188" t="s">
        <v>435</v>
      </c>
      <c r="G397" s="4">
        <v>1934</v>
      </c>
      <c r="H397" s="4" t="s">
        <v>426</v>
      </c>
      <c r="I397" s="4" t="s">
        <v>427</v>
      </c>
      <c r="J397" s="4">
        <v>36288</v>
      </c>
      <c r="M397" s="11"/>
      <c r="N397" s="11"/>
      <c r="O397" s="11"/>
      <c r="P397" s="11"/>
      <c r="Q397" s="12"/>
      <c r="R397" s="11"/>
      <c r="S397" s="211"/>
      <c r="T397" s="211"/>
      <c r="U397" s="211"/>
      <c r="V397" s="211"/>
      <c r="W397" s="211"/>
      <c r="X397" s="211"/>
      <c r="Y397" s="211"/>
      <c r="Z397" s="211"/>
      <c r="AA397" s="211"/>
      <c r="AB397" s="211"/>
      <c r="AC397" s="211"/>
      <c r="AD397" s="211"/>
      <c r="AE397" s="211">
        <v>49.215555559999999</v>
      </c>
      <c r="AF397" s="211">
        <v>-122.9825</v>
      </c>
      <c r="AG397" s="211">
        <v>145</v>
      </c>
      <c r="AH397" s="211"/>
      <c r="AI397" s="211"/>
      <c r="AJ397" s="211"/>
      <c r="AK397" s="211"/>
      <c r="AL397" s="211"/>
      <c r="AM397" s="211"/>
      <c r="AN397" s="211"/>
      <c r="AO397" s="211"/>
      <c r="AP397" s="211"/>
      <c r="AQ397" s="211"/>
      <c r="AR397" s="211"/>
      <c r="AS397" s="211"/>
      <c r="AT397" s="211"/>
      <c r="AU397" s="211"/>
      <c r="AV397" s="211"/>
      <c r="AW397" s="211"/>
      <c r="AX397" s="211"/>
      <c r="AY397" s="211"/>
      <c r="AZ397" s="211"/>
      <c r="BA397" s="211"/>
      <c r="BB397" s="211"/>
      <c r="BC397" s="211"/>
      <c r="BD397" s="211"/>
      <c r="BE397" s="211"/>
      <c r="BF397" s="211"/>
      <c r="BG397" s="211"/>
      <c r="BH397" s="211"/>
      <c r="BI397" s="211"/>
      <c r="BJ397" s="211"/>
      <c r="BK397" s="211"/>
      <c r="BL397" s="211"/>
      <c r="BM397" s="211"/>
      <c r="BN397" s="211"/>
      <c r="BO397" s="211"/>
      <c r="BP397" s="211"/>
      <c r="BQ397" s="211"/>
      <c r="BR397" s="211"/>
      <c r="BS397" s="211"/>
      <c r="BT397" s="211"/>
    </row>
    <row r="398" spans="1:72" ht="14.25" customHeight="1" x14ac:dyDescent="0.2">
      <c r="A398" s="179" t="s">
        <v>422</v>
      </c>
      <c r="B398" s="4">
        <v>10</v>
      </c>
      <c r="C398" s="4" t="s">
        <v>423</v>
      </c>
      <c r="D398" s="4" t="s">
        <v>436</v>
      </c>
      <c r="E398" s="4">
        <v>1532</v>
      </c>
      <c r="F398" s="188" t="s">
        <v>437</v>
      </c>
      <c r="G398" s="4">
        <v>1935</v>
      </c>
      <c r="H398" s="4" t="s">
        <v>426</v>
      </c>
      <c r="I398" s="4" t="s">
        <v>427</v>
      </c>
      <c r="J398" s="4">
        <v>37773</v>
      </c>
      <c r="M398" s="11"/>
      <c r="N398" s="11"/>
      <c r="O398" s="11"/>
      <c r="P398" s="11"/>
      <c r="Q398" s="12"/>
      <c r="R398" s="11"/>
      <c r="S398" s="211"/>
      <c r="T398" s="211"/>
      <c r="U398" s="211"/>
      <c r="V398" s="211"/>
      <c r="W398" s="211"/>
      <c r="X398" s="211"/>
      <c r="Y398" s="211"/>
      <c r="Z398" s="211"/>
      <c r="AA398" s="211"/>
      <c r="AB398" s="211"/>
      <c r="AC398" s="211"/>
      <c r="AD398" s="211"/>
      <c r="AE398" s="211">
        <v>49.245277780000002</v>
      </c>
      <c r="AF398" s="211">
        <v>-122.7091667</v>
      </c>
      <c r="AG398" s="211">
        <v>20</v>
      </c>
      <c r="AH398" s="211"/>
      <c r="AI398" s="211"/>
      <c r="AJ398" s="211"/>
      <c r="AK398" s="211"/>
      <c r="AL398" s="211"/>
      <c r="AM398" s="211"/>
      <c r="AN398" s="211"/>
      <c r="AO398" s="211"/>
      <c r="AP398" s="211"/>
      <c r="AQ398" s="211"/>
      <c r="AR398" s="211"/>
      <c r="AS398" s="211"/>
      <c r="AT398" s="211"/>
      <c r="AU398" s="211"/>
      <c r="AV398" s="211"/>
      <c r="AW398" s="211"/>
      <c r="AX398" s="211"/>
      <c r="AY398" s="211"/>
      <c r="AZ398" s="211"/>
      <c r="BA398" s="211"/>
      <c r="BB398" s="211"/>
      <c r="BC398" s="211"/>
      <c r="BD398" s="211"/>
      <c r="BE398" s="211"/>
      <c r="BF398" s="211"/>
      <c r="BG398" s="211"/>
      <c r="BH398" s="211"/>
      <c r="BI398" s="211"/>
      <c r="BJ398" s="211"/>
      <c r="BK398" s="211"/>
      <c r="BL398" s="211"/>
      <c r="BM398" s="211"/>
      <c r="BN398" s="211"/>
      <c r="BO398" s="211"/>
      <c r="BP398" s="211"/>
      <c r="BQ398" s="211"/>
      <c r="BR398" s="211"/>
      <c r="BS398" s="211"/>
      <c r="BT398" s="211"/>
    </row>
    <row r="399" spans="1:72" ht="14.25" customHeight="1" x14ac:dyDescent="0.2">
      <c r="A399" s="179" t="s">
        <v>422</v>
      </c>
      <c r="B399" s="4">
        <v>10</v>
      </c>
      <c r="C399" s="4" t="s">
        <v>423</v>
      </c>
      <c r="D399" s="4" t="s">
        <v>438</v>
      </c>
      <c r="E399" s="4">
        <v>1533</v>
      </c>
      <c r="F399" s="188" t="s">
        <v>439</v>
      </c>
      <c r="G399" s="4">
        <v>1936</v>
      </c>
      <c r="H399" s="4" t="s">
        <v>426</v>
      </c>
      <c r="I399" s="4" t="s">
        <v>427</v>
      </c>
      <c r="J399" s="4">
        <v>33930</v>
      </c>
      <c r="M399" s="11"/>
      <c r="N399" s="11"/>
      <c r="O399" s="11"/>
      <c r="P399" s="11"/>
      <c r="Q399" s="12"/>
      <c r="R399" s="11"/>
      <c r="S399" s="211"/>
      <c r="T399" s="211"/>
      <c r="U399" s="211"/>
      <c r="V399" s="211"/>
      <c r="W399" s="211"/>
      <c r="X399" s="211"/>
      <c r="Y399" s="211"/>
      <c r="Z399" s="11"/>
      <c r="AA399" s="11"/>
      <c r="AB399" s="11"/>
      <c r="AC399" s="11"/>
      <c r="AD399" s="211"/>
      <c r="AE399" s="211">
        <v>49.096111110000002</v>
      </c>
      <c r="AF399" s="211">
        <v>-122.56638890000001</v>
      </c>
      <c r="AG399" s="211">
        <v>82</v>
      </c>
      <c r="AH399" s="211"/>
      <c r="AI399" s="211"/>
      <c r="AJ399" s="211"/>
      <c r="AK399" s="211"/>
      <c r="AL399" s="211"/>
      <c r="AM399" s="211"/>
      <c r="AN399" s="211"/>
      <c r="AO399" s="211"/>
      <c r="AP399" s="211"/>
      <c r="AQ399" s="211"/>
      <c r="AR399" s="211"/>
      <c r="AS399" s="211"/>
      <c r="AT399" s="211"/>
      <c r="AU399" s="211"/>
      <c r="AV399" s="211"/>
      <c r="AW399" s="211"/>
      <c r="AX399" s="211"/>
      <c r="AY399" s="211"/>
      <c r="AZ399" s="211"/>
      <c r="BA399" s="211"/>
      <c r="BB399" s="211"/>
      <c r="BC399" s="211"/>
      <c r="BD399" s="211"/>
      <c r="BE399" s="211"/>
      <c r="BF399" s="211"/>
      <c r="BG399" s="211"/>
      <c r="BH399" s="211"/>
      <c r="BI399" s="211"/>
      <c r="BJ399" s="211"/>
      <c r="BK399" s="211"/>
      <c r="BL399" s="211"/>
      <c r="BM399" s="211"/>
      <c r="BN399" s="211"/>
      <c r="BO399" s="211"/>
      <c r="BP399" s="211"/>
      <c r="BQ399" s="211"/>
      <c r="BR399" s="211"/>
      <c r="BS399" s="211"/>
      <c r="BT399" s="211"/>
    </row>
    <row r="400" spans="1:72" ht="14.25" customHeight="1" x14ac:dyDescent="0.2">
      <c r="A400" s="179" t="s">
        <v>422</v>
      </c>
      <c r="B400" s="4">
        <v>10</v>
      </c>
      <c r="C400" s="4" t="s">
        <v>423</v>
      </c>
      <c r="D400" s="4" t="s">
        <v>440</v>
      </c>
      <c r="E400" s="4">
        <v>1534</v>
      </c>
      <c r="F400" s="188" t="s">
        <v>441</v>
      </c>
      <c r="G400" s="4">
        <v>1937</v>
      </c>
      <c r="H400" s="4" t="s">
        <v>426</v>
      </c>
      <c r="I400" s="4" t="s">
        <v>427</v>
      </c>
      <c r="J400" s="4">
        <v>35998</v>
      </c>
      <c r="M400" s="11"/>
      <c r="N400" s="11"/>
      <c r="O400" s="11"/>
      <c r="P400" s="11"/>
      <c r="Q400" s="12"/>
      <c r="R400" s="11"/>
      <c r="S400" s="211"/>
      <c r="T400" s="211"/>
      <c r="U400" s="211"/>
      <c r="V400" s="211"/>
      <c r="W400" s="211"/>
      <c r="X400" s="211"/>
      <c r="Y400" s="211"/>
      <c r="Z400" s="211"/>
      <c r="AA400" s="211"/>
      <c r="AB400" s="211"/>
      <c r="AC400" s="211"/>
      <c r="AD400" s="211"/>
      <c r="AE400" s="211">
        <v>49.214722219999999</v>
      </c>
      <c r="AF400" s="211">
        <v>-122.5819444</v>
      </c>
      <c r="AG400" s="211">
        <v>100</v>
      </c>
      <c r="AH400" s="211"/>
      <c r="AI400" s="211"/>
      <c r="AJ400" s="211"/>
      <c r="AK400" s="211"/>
      <c r="AL400" s="211"/>
      <c r="AM400" s="211"/>
      <c r="AN400" s="211"/>
      <c r="AO400" s="211"/>
      <c r="AP400" s="211"/>
      <c r="AQ400" s="211"/>
      <c r="AR400" s="211"/>
      <c r="AS400" s="211"/>
      <c r="AT400" s="211"/>
      <c r="AU400" s="211"/>
      <c r="AV400" s="211"/>
      <c r="AW400" s="211"/>
      <c r="AX400" s="211"/>
      <c r="AY400" s="211"/>
      <c r="AZ400" s="211"/>
      <c r="BA400" s="211"/>
      <c r="BB400" s="211"/>
      <c r="BC400" s="211"/>
      <c r="BD400" s="211"/>
      <c r="BE400" s="211"/>
      <c r="BF400" s="211"/>
      <c r="BG400" s="211"/>
      <c r="BH400" s="211"/>
      <c r="BI400" s="211"/>
      <c r="BJ400" s="211"/>
      <c r="BK400" s="211"/>
      <c r="BL400" s="211"/>
      <c r="BM400" s="211"/>
      <c r="BN400" s="211"/>
      <c r="BO400" s="211"/>
      <c r="BP400" s="211"/>
      <c r="BQ400" s="211"/>
      <c r="BR400" s="211"/>
      <c r="BS400" s="211"/>
      <c r="BT400" s="211"/>
    </row>
    <row r="401" spans="1:72" ht="14.25" customHeight="1" x14ac:dyDescent="0.2">
      <c r="A401" s="179" t="s">
        <v>422</v>
      </c>
      <c r="B401" s="4">
        <v>10</v>
      </c>
      <c r="C401" s="4" t="s">
        <v>423</v>
      </c>
      <c r="D401" s="4" t="s">
        <v>442</v>
      </c>
      <c r="E401" s="4">
        <v>1535</v>
      </c>
      <c r="F401" s="188" t="s">
        <v>443</v>
      </c>
      <c r="G401" s="4">
        <v>1938</v>
      </c>
      <c r="H401" s="4" t="s">
        <v>426</v>
      </c>
      <c r="I401" s="4" t="s">
        <v>427</v>
      </c>
      <c r="J401" s="4">
        <v>37773</v>
      </c>
      <c r="M401" s="11"/>
      <c r="N401" s="11"/>
      <c r="O401" s="11"/>
      <c r="P401" s="11"/>
      <c r="Q401" s="12"/>
      <c r="R401" s="11"/>
      <c r="S401" s="211"/>
      <c r="T401" s="211"/>
      <c r="U401" s="211"/>
      <c r="V401" s="211"/>
      <c r="W401" s="211"/>
      <c r="X401" s="211"/>
      <c r="Y401" s="211"/>
      <c r="Z401" s="11"/>
      <c r="AA401" s="11"/>
      <c r="AB401" s="11"/>
      <c r="AC401" s="11"/>
      <c r="AD401" s="211"/>
      <c r="AE401" s="211">
        <v>49.186388890000003</v>
      </c>
      <c r="AF401" s="211">
        <v>-123.1525</v>
      </c>
      <c r="AG401" s="211">
        <v>5</v>
      </c>
      <c r="AH401" s="211"/>
      <c r="AI401" s="211"/>
      <c r="AJ401" s="211"/>
      <c r="AK401" s="211"/>
      <c r="AL401" s="211"/>
      <c r="AM401" s="211"/>
      <c r="AN401" s="211"/>
      <c r="AO401" s="16"/>
      <c r="AP401" s="16"/>
      <c r="AQ401" s="16"/>
      <c r="AR401" s="16"/>
      <c r="AS401" s="16"/>
      <c r="AT401" s="16"/>
      <c r="AU401" s="16"/>
      <c r="AV401" s="16"/>
      <c r="AW401" s="16"/>
      <c r="AX401" s="16"/>
      <c r="AY401" s="16"/>
      <c r="AZ401" s="16"/>
      <c r="BA401" s="16"/>
      <c r="BB401" s="211"/>
      <c r="BC401" s="211"/>
      <c r="BD401" s="211"/>
      <c r="BE401" s="211"/>
      <c r="BF401" s="211"/>
      <c r="BG401" s="211"/>
      <c r="BH401" s="211"/>
      <c r="BI401" s="211"/>
      <c r="BJ401" s="211"/>
      <c r="BK401" s="211"/>
      <c r="BL401" s="211"/>
      <c r="BM401" s="211"/>
      <c r="BN401" s="211"/>
      <c r="BO401" s="211"/>
      <c r="BP401" s="211"/>
      <c r="BQ401" s="211"/>
      <c r="BR401" s="211"/>
      <c r="BS401" s="211"/>
      <c r="BT401" s="211"/>
    </row>
    <row r="402" spans="1:72" ht="14.25" customHeight="1" x14ac:dyDescent="0.2">
      <c r="A402" s="179" t="s">
        <v>422</v>
      </c>
      <c r="B402" s="4">
        <v>10</v>
      </c>
      <c r="C402" s="4" t="s">
        <v>423</v>
      </c>
      <c r="D402" s="4" t="s">
        <v>444</v>
      </c>
      <c r="E402" s="4">
        <v>1536</v>
      </c>
      <c r="F402" s="188" t="s">
        <v>445</v>
      </c>
      <c r="G402" s="4">
        <v>1939</v>
      </c>
      <c r="H402" s="4" t="s">
        <v>426</v>
      </c>
      <c r="I402" s="4" t="s">
        <v>427</v>
      </c>
      <c r="J402" s="4">
        <v>37773</v>
      </c>
      <c r="M402" s="11"/>
      <c r="N402" s="11"/>
      <c r="O402" s="11"/>
      <c r="P402" s="11"/>
      <c r="Q402" s="12"/>
      <c r="R402" s="11"/>
      <c r="S402" s="211"/>
      <c r="T402" s="211"/>
      <c r="U402" s="211"/>
      <c r="V402" s="211"/>
      <c r="W402" s="211"/>
      <c r="X402" s="211"/>
      <c r="Y402" s="211"/>
      <c r="Z402" s="211"/>
      <c r="AA402" s="211"/>
      <c r="AB402" s="211"/>
      <c r="AC402" s="211"/>
      <c r="AD402" s="211"/>
      <c r="AE402" s="211">
        <v>49.023611109999997</v>
      </c>
      <c r="AF402" s="211">
        <v>-122.3438889</v>
      </c>
      <c r="AG402" s="211">
        <v>58</v>
      </c>
      <c r="AH402" s="211"/>
      <c r="AI402" s="211"/>
      <c r="AJ402" s="211"/>
      <c r="AK402" s="211"/>
      <c r="AL402" s="211"/>
      <c r="AM402" s="211"/>
      <c r="AN402" s="211"/>
      <c r="AO402" s="211"/>
      <c r="AP402" s="211"/>
      <c r="AQ402" s="211"/>
      <c r="AR402" s="211"/>
      <c r="AS402" s="211"/>
      <c r="AT402" s="211"/>
      <c r="AU402" s="211"/>
      <c r="AV402" s="211"/>
      <c r="AW402" s="211"/>
      <c r="AX402" s="211"/>
      <c r="AY402" s="211"/>
      <c r="AZ402" s="211"/>
      <c r="BA402" s="211"/>
      <c r="BB402" s="211"/>
      <c r="BC402" s="211"/>
      <c r="BD402" s="211"/>
      <c r="BE402" s="211"/>
      <c r="BF402" s="211"/>
      <c r="BG402" s="211"/>
      <c r="BH402" s="211"/>
      <c r="BI402" s="211"/>
      <c r="BJ402" s="211"/>
      <c r="BK402" s="211"/>
      <c r="BL402" s="211"/>
      <c r="BM402" s="211"/>
      <c r="BN402" s="211"/>
      <c r="BO402" s="211"/>
      <c r="BP402" s="211"/>
      <c r="BQ402" s="211"/>
      <c r="BR402" s="211"/>
      <c r="BS402" s="211"/>
      <c r="BT402" s="211"/>
    </row>
    <row r="403" spans="1:72" ht="14.25" customHeight="1" x14ac:dyDescent="0.2">
      <c r="A403" s="179" t="s">
        <v>422</v>
      </c>
      <c r="B403" s="4">
        <v>10</v>
      </c>
      <c r="C403" s="4" t="s">
        <v>423</v>
      </c>
      <c r="D403" s="4" t="s">
        <v>446</v>
      </c>
      <c r="E403" s="4">
        <v>1537</v>
      </c>
      <c r="F403" s="188" t="s">
        <v>447</v>
      </c>
      <c r="G403" s="4">
        <v>1940</v>
      </c>
      <c r="H403" s="4" t="s">
        <v>426</v>
      </c>
      <c r="I403" s="4" t="s">
        <v>427</v>
      </c>
      <c r="J403" s="4">
        <v>37054</v>
      </c>
      <c r="M403" s="11"/>
      <c r="N403" s="11"/>
      <c r="O403" s="11"/>
      <c r="P403" s="11"/>
      <c r="Q403" s="12"/>
      <c r="R403" s="11"/>
      <c r="S403" s="211"/>
      <c r="T403" s="211"/>
      <c r="U403" s="211"/>
      <c r="V403" s="211"/>
      <c r="W403" s="211"/>
      <c r="X403" s="211"/>
      <c r="Y403" s="211"/>
      <c r="Z403" s="211"/>
      <c r="AA403" s="211"/>
      <c r="AB403" s="211"/>
      <c r="AC403" s="211"/>
      <c r="AD403" s="211"/>
      <c r="AE403" s="211">
        <v>50.716666670000002</v>
      </c>
      <c r="AF403" s="211">
        <v>-121.33333330000001</v>
      </c>
      <c r="AG403" s="211">
        <v>305</v>
      </c>
      <c r="AH403" s="211"/>
      <c r="AI403" s="211"/>
      <c r="AJ403" s="211"/>
      <c r="AK403" s="211"/>
      <c r="AL403" s="211"/>
      <c r="AM403" s="211"/>
      <c r="AN403" s="211"/>
      <c r="AO403" s="211"/>
      <c r="AP403" s="211"/>
      <c r="AQ403" s="211"/>
      <c r="AR403" s="211"/>
      <c r="AS403" s="211"/>
      <c r="AT403" s="211"/>
      <c r="AU403" s="211"/>
      <c r="AV403" s="211"/>
      <c r="AW403" s="211"/>
      <c r="AX403" s="211"/>
      <c r="AY403" s="211"/>
      <c r="AZ403" s="211"/>
      <c r="BA403" s="211"/>
      <c r="BB403" s="211"/>
      <c r="BC403" s="211"/>
      <c r="BD403" s="211"/>
      <c r="BE403" s="211"/>
      <c r="BF403" s="211"/>
      <c r="BG403" s="211"/>
      <c r="BH403" s="211"/>
      <c r="BI403" s="211"/>
      <c r="BJ403" s="211"/>
      <c r="BK403" s="211"/>
      <c r="BL403" s="211"/>
      <c r="BM403" s="211"/>
      <c r="BN403" s="211"/>
      <c r="BO403" s="211"/>
      <c r="BP403" s="211"/>
      <c r="BQ403" s="211"/>
      <c r="BR403" s="211"/>
      <c r="BS403" s="211"/>
      <c r="BT403" s="211"/>
    </row>
    <row r="404" spans="1:72" ht="14.25" customHeight="1" x14ac:dyDescent="0.2">
      <c r="A404" s="179" t="s">
        <v>422</v>
      </c>
      <c r="B404" s="4">
        <v>10</v>
      </c>
      <c r="C404" s="4" t="s">
        <v>423</v>
      </c>
      <c r="D404" s="211" t="s">
        <v>448</v>
      </c>
      <c r="E404" s="211">
        <v>1554</v>
      </c>
      <c r="F404" s="211" t="s">
        <v>449</v>
      </c>
      <c r="G404" s="16">
        <v>1957</v>
      </c>
      <c r="H404" s="211" t="s">
        <v>426</v>
      </c>
      <c r="I404" s="211" t="s">
        <v>427</v>
      </c>
      <c r="J404" s="211">
        <v>37773</v>
      </c>
      <c r="K404" s="211"/>
      <c r="L404" s="211"/>
      <c r="M404" s="11"/>
      <c r="N404" s="11"/>
      <c r="O404" s="11"/>
      <c r="P404" s="232"/>
      <c r="Q404" s="12"/>
      <c r="R404" s="11"/>
      <c r="S404" s="211"/>
      <c r="T404" s="211"/>
      <c r="U404" s="211"/>
      <c r="V404" s="211"/>
      <c r="W404" s="211"/>
      <c r="X404" s="211"/>
      <c r="Y404" s="211"/>
      <c r="Z404" s="211"/>
      <c r="AA404" s="211"/>
      <c r="AB404" s="211"/>
      <c r="AC404" s="211"/>
      <c r="AD404" s="211"/>
      <c r="AE404" s="211">
        <v>49.369722000000003</v>
      </c>
      <c r="AF404" s="211">
        <v>-121.499444</v>
      </c>
      <c r="AG404" s="211">
        <v>131</v>
      </c>
      <c r="AH404" s="211"/>
      <c r="AI404" s="211"/>
      <c r="AJ404" s="211"/>
      <c r="AK404" s="211"/>
      <c r="AL404" s="211"/>
      <c r="AM404" s="211"/>
      <c r="AN404" s="211"/>
      <c r="AO404" s="16"/>
      <c r="AP404" s="16"/>
      <c r="AQ404" s="16"/>
      <c r="AR404" s="16"/>
      <c r="AS404" s="16"/>
      <c r="AT404" s="16"/>
      <c r="AU404" s="16"/>
      <c r="AV404" s="16"/>
      <c r="AW404" s="16"/>
      <c r="AX404" s="16"/>
      <c r="AY404" s="16"/>
      <c r="AZ404" s="16"/>
      <c r="BA404" s="16"/>
      <c r="BB404" s="211"/>
      <c r="BC404" s="211"/>
      <c r="BD404" s="211"/>
      <c r="BE404" s="211"/>
      <c r="BF404" s="211"/>
      <c r="BG404" s="211"/>
      <c r="BH404" s="211"/>
      <c r="BI404" s="211"/>
      <c r="BJ404" s="211"/>
      <c r="BK404" s="211"/>
      <c r="BL404" s="211"/>
      <c r="BM404" s="211"/>
      <c r="BN404" s="211"/>
      <c r="BO404" s="211"/>
      <c r="BP404" s="211"/>
      <c r="BQ404" s="211"/>
      <c r="BR404" s="211"/>
      <c r="BS404" s="211"/>
      <c r="BT404" s="211"/>
    </row>
    <row r="405" spans="1:72" ht="14.25" customHeight="1" x14ac:dyDescent="0.2">
      <c r="A405" s="184" t="s">
        <v>422</v>
      </c>
      <c r="B405" s="191">
        <v>2</v>
      </c>
      <c r="C405" s="191" t="s">
        <v>637</v>
      </c>
      <c r="D405" s="191" t="s">
        <v>1648</v>
      </c>
      <c r="E405" s="191">
        <v>12521</v>
      </c>
      <c r="F405" s="42" t="s">
        <v>1649</v>
      </c>
      <c r="G405" s="191" t="s">
        <v>113</v>
      </c>
      <c r="H405" s="191" t="s">
        <v>1650</v>
      </c>
      <c r="I405" s="191" t="s">
        <v>49</v>
      </c>
      <c r="J405" s="191" t="s">
        <v>1651</v>
      </c>
      <c r="K405" s="191">
        <v>1</v>
      </c>
      <c r="L405" s="191">
        <v>14543</v>
      </c>
      <c r="M405" s="238"/>
      <c r="N405" s="238"/>
      <c r="O405" s="238"/>
      <c r="P405" s="242"/>
      <c r="U405"/>
      <c r="AF405" s="191"/>
      <c r="AG405" s="191"/>
      <c r="AH405" s="191"/>
      <c r="AI405" s="191"/>
      <c r="AJ405" s="191"/>
      <c r="AK405" s="191"/>
      <c r="AL405" s="191"/>
      <c r="AM405" s="191"/>
      <c r="AN405" s="191"/>
      <c r="AO405" s="191"/>
      <c r="AP405" s="191"/>
      <c r="AQ405" s="191"/>
      <c r="AR405" s="191"/>
      <c r="AS405" s="191"/>
      <c r="AT405" s="191"/>
      <c r="AU405" s="191"/>
      <c r="AV405" s="191"/>
      <c r="AW405" s="191"/>
      <c r="AX405" s="191"/>
      <c r="AY405" s="191"/>
      <c r="AZ405" s="191"/>
      <c r="BA405" s="191"/>
      <c r="BB405" s="191"/>
      <c r="BC405" s="191"/>
      <c r="BD405" s="191"/>
      <c r="BE405" s="191"/>
      <c r="BF405" s="191"/>
      <c r="BG405" s="191"/>
      <c r="BH405" s="191"/>
      <c r="BI405" s="191"/>
      <c r="BJ405" s="191"/>
      <c r="BK405" s="191"/>
      <c r="BL405" s="191"/>
      <c r="BM405" s="191"/>
      <c r="BN405" s="191"/>
      <c r="BO405" s="191"/>
      <c r="BP405" s="191"/>
      <c r="BQ405" s="191"/>
      <c r="BR405" s="191"/>
      <c r="BS405" s="191"/>
      <c r="BT405" s="191"/>
    </row>
    <row r="406" spans="1:72" ht="14.25" customHeight="1" x14ac:dyDescent="0.2">
      <c r="A406" s="136" t="s">
        <v>422</v>
      </c>
      <c r="B406" s="4">
        <v>12</v>
      </c>
      <c r="C406" s="4" t="s">
        <v>1707</v>
      </c>
      <c r="D406" s="4">
        <v>2</v>
      </c>
      <c r="E406" s="4">
        <v>12961</v>
      </c>
      <c r="F406" s="213" t="s">
        <v>1708</v>
      </c>
      <c r="G406" s="49" t="s">
        <v>127</v>
      </c>
      <c r="H406" s="4" t="s">
        <v>1697</v>
      </c>
      <c r="I406" s="4" t="s">
        <v>49</v>
      </c>
      <c r="J406" s="4" t="s">
        <v>1698</v>
      </c>
      <c r="K406" s="4">
        <v>1</v>
      </c>
      <c r="L406" s="4">
        <v>14893</v>
      </c>
      <c r="U406"/>
      <c r="AO406" s="268" t="s">
        <v>1709</v>
      </c>
      <c r="AP406" s="268">
        <v>2</v>
      </c>
      <c r="AQ406" s="268" t="s">
        <v>1700</v>
      </c>
      <c r="AR406" s="268" t="s">
        <v>1701</v>
      </c>
      <c r="AS406" s="268" t="s">
        <v>1702</v>
      </c>
      <c r="AT406" s="268" t="s">
        <v>1703</v>
      </c>
      <c r="AU406" s="268" t="s">
        <v>1704</v>
      </c>
      <c r="AV406" s="268" t="s">
        <v>1702</v>
      </c>
      <c r="AW406" s="268" t="s">
        <v>1705</v>
      </c>
      <c r="AX406" s="268" t="s">
        <v>1710</v>
      </c>
      <c r="AY406" s="268">
        <v>50.7</v>
      </c>
      <c r="AZ406" s="268">
        <v>-127.4</v>
      </c>
      <c r="BA406" s="268">
        <v>22</v>
      </c>
    </row>
    <row r="407" spans="1:72" ht="14.25" customHeight="1" x14ac:dyDescent="0.2">
      <c r="A407" s="136" t="s">
        <v>422</v>
      </c>
      <c r="B407" s="4">
        <v>12</v>
      </c>
      <c r="C407" s="4" t="s">
        <v>1782</v>
      </c>
      <c r="D407" s="4">
        <v>26</v>
      </c>
      <c r="E407" s="4">
        <v>12962</v>
      </c>
      <c r="F407" s="213" t="s">
        <v>1783</v>
      </c>
      <c r="G407" s="49" t="s">
        <v>127</v>
      </c>
      <c r="H407" s="4" t="s">
        <v>1697</v>
      </c>
      <c r="I407" s="4" t="s">
        <v>49</v>
      </c>
      <c r="J407" s="4" t="s">
        <v>1698</v>
      </c>
      <c r="K407" s="4">
        <v>1</v>
      </c>
      <c r="L407" s="4">
        <v>14894</v>
      </c>
      <c r="U407"/>
      <c r="AO407" s="268" t="s">
        <v>1784</v>
      </c>
      <c r="AP407" s="268" t="s">
        <v>1784</v>
      </c>
      <c r="AQ407" s="268" t="s">
        <v>1784</v>
      </c>
      <c r="AR407" s="268" t="s">
        <v>1784</v>
      </c>
      <c r="AS407" s="268" t="s">
        <v>1784</v>
      </c>
      <c r="AT407" s="268" t="s">
        <v>1784</v>
      </c>
      <c r="AU407" s="268" t="s">
        <v>1784</v>
      </c>
      <c r="AV407" s="268" t="s">
        <v>1784</v>
      </c>
      <c r="AW407" s="268" t="s">
        <v>1784</v>
      </c>
      <c r="AX407" s="268" t="s">
        <v>1784</v>
      </c>
      <c r="AY407" s="268" t="s">
        <v>1784</v>
      </c>
      <c r="AZ407" s="268" t="s">
        <v>1784</v>
      </c>
      <c r="BA407" s="268" t="s">
        <v>1784</v>
      </c>
    </row>
    <row r="408" spans="1:72" ht="14.25" customHeight="1" x14ac:dyDescent="0.2">
      <c r="A408" s="136" t="s">
        <v>422</v>
      </c>
      <c r="B408" s="4">
        <v>12</v>
      </c>
      <c r="C408" s="4" t="s">
        <v>1842</v>
      </c>
      <c r="D408" s="4">
        <v>49</v>
      </c>
      <c r="E408" s="4">
        <v>12963</v>
      </c>
      <c r="F408" s="213" t="s">
        <v>1843</v>
      </c>
      <c r="G408" s="49" t="s">
        <v>1844</v>
      </c>
      <c r="H408" s="4" t="s">
        <v>1697</v>
      </c>
      <c r="I408" s="4" t="s">
        <v>49</v>
      </c>
      <c r="J408" s="4" t="s">
        <v>1698</v>
      </c>
      <c r="K408" s="4">
        <v>1</v>
      </c>
      <c r="L408" s="4">
        <v>14895</v>
      </c>
      <c r="U408"/>
      <c r="AO408" s="268" t="s">
        <v>1845</v>
      </c>
      <c r="AP408" s="268">
        <v>49</v>
      </c>
      <c r="AQ408" s="268" t="s">
        <v>1700</v>
      </c>
      <c r="AR408" s="268" t="s">
        <v>1701</v>
      </c>
      <c r="AS408" s="268" t="s">
        <v>1702</v>
      </c>
      <c r="AT408" s="268" t="s">
        <v>1703</v>
      </c>
      <c r="AU408" s="268" t="s">
        <v>1704</v>
      </c>
      <c r="AV408" s="268" t="s">
        <v>1702</v>
      </c>
      <c r="AW408" s="268" t="s">
        <v>1705</v>
      </c>
      <c r="AX408" s="268" t="s">
        <v>1747</v>
      </c>
      <c r="AY408" s="268">
        <v>48.648200000000003</v>
      </c>
      <c r="AZ408" s="268">
        <v>-123.4288</v>
      </c>
      <c r="BA408" s="268">
        <v>19</v>
      </c>
    </row>
    <row r="409" spans="1:72" ht="14.25" customHeight="1" x14ac:dyDescent="0.2">
      <c r="A409" s="136" t="s">
        <v>422</v>
      </c>
      <c r="B409" s="4">
        <v>12</v>
      </c>
      <c r="C409" s="4" t="s">
        <v>1711</v>
      </c>
      <c r="D409" s="4">
        <v>50</v>
      </c>
      <c r="E409" s="4">
        <v>1640</v>
      </c>
      <c r="F409" s="211" t="s">
        <v>1846</v>
      </c>
      <c r="G409" s="188" t="s">
        <v>1847</v>
      </c>
      <c r="H409" s="4" t="s">
        <v>1848</v>
      </c>
      <c r="I409" s="4" t="s">
        <v>641</v>
      </c>
      <c r="J409" s="4" t="s">
        <v>1746</v>
      </c>
      <c r="K409" s="4">
        <v>1</v>
      </c>
      <c r="L409" s="4">
        <v>2043</v>
      </c>
      <c r="P409" s="192"/>
      <c r="U409"/>
      <c r="AO409" s="4" t="s">
        <v>1846</v>
      </c>
      <c r="AP409" s="4">
        <v>50</v>
      </c>
      <c r="AQ409" s="4" t="s">
        <v>1716</v>
      </c>
      <c r="AR409" s="4" t="s">
        <v>1717</v>
      </c>
      <c r="AS409" s="4" t="s">
        <v>1718</v>
      </c>
      <c r="AT409" s="4" t="s">
        <v>1703</v>
      </c>
      <c r="AU409" s="4" t="s">
        <v>1703</v>
      </c>
      <c r="AV409" s="4" t="s">
        <v>1720</v>
      </c>
      <c r="AW409" s="4" t="s">
        <v>1705</v>
      </c>
      <c r="AX409" s="4" t="s">
        <v>1747</v>
      </c>
      <c r="AY409" s="4">
        <v>48.6</v>
      </c>
      <c r="AZ409" s="4">
        <v>-123.9</v>
      </c>
      <c r="BA409" s="4">
        <v>4</v>
      </c>
    </row>
    <row r="410" spans="1:72" ht="14.25" customHeight="1" x14ac:dyDescent="0.2">
      <c r="A410" s="136" t="s">
        <v>422</v>
      </c>
      <c r="B410" s="4">
        <v>12</v>
      </c>
      <c r="C410" s="4" t="s">
        <v>1711</v>
      </c>
      <c r="D410" s="4">
        <v>53</v>
      </c>
      <c r="E410" s="4">
        <v>1643</v>
      </c>
      <c r="F410" s="211" t="s">
        <v>1854</v>
      </c>
      <c r="G410" s="4" t="s">
        <v>1855</v>
      </c>
      <c r="H410" s="4" t="s">
        <v>1856</v>
      </c>
      <c r="I410" s="4" t="s">
        <v>641</v>
      </c>
      <c r="J410" s="4" t="s">
        <v>1746</v>
      </c>
      <c r="K410" s="4">
        <v>1</v>
      </c>
      <c r="L410" s="4">
        <v>2046</v>
      </c>
      <c r="U410"/>
      <c r="AO410" s="4" t="s">
        <v>1854</v>
      </c>
      <c r="AP410" s="4">
        <v>53</v>
      </c>
      <c r="AQ410" s="4" t="s">
        <v>1716</v>
      </c>
      <c r="AR410" s="4" t="s">
        <v>1717</v>
      </c>
      <c r="AS410" s="4" t="s">
        <v>1718</v>
      </c>
      <c r="AT410" s="4" t="s">
        <v>1719</v>
      </c>
      <c r="AU410" s="4" t="s">
        <v>1703</v>
      </c>
      <c r="AV410" s="4" t="s">
        <v>1720</v>
      </c>
      <c r="AW410" s="4" t="s">
        <v>1705</v>
      </c>
      <c r="AX410" s="4" t="s">
        <v>1747</v>
      </c>
      <c r="AY410" s="4">
        <v>48.6</v>
      </c>
      <c r="AZ410" s="4">
        <v>-123.6</v>
      </c>
      <c r="BA410" s="4">
        <v>2</v>
      </c>
    </row>
    <row r="411" spans="1:72" ht="14.25" customHeight="1" x14ac:dyDescent="0.2">
      <c r="A411" s="136" t="s">
        <v>422</v>
      </c>
      <c r="B411" s="4">
        <v>12</v>
      </c>
      <c r="C411" s="4" t="s">
        <v>1707</v>
      </c>
      <c r="D411" s="4">
        <v>69</v>
      </c>
      <c r="E411" s="4">
        <v>12984</v>
      </c>
      <c r="F411" s="213" t="s">
        <v>1895</v>
      </c>
      <c r="G411" s="49" t="s">
        <v>127</v>
      </c>
      <c r="H411" s="4" t="s">
        <v>1896</v>
      </c>
      <c r="I411" s="4" t="s">
        <v>49</v>
      </c>
      <c r="J411" s="4" t="s">
        <v>1698</v>
      </c>
      <c r="K411" s="4">
        <v>1</v>
      </c>
      <c r="L411" s="4">
        <v>14916</v>
      </c>
      <c r="U411"/>
      <c r="AO411" s="268" t="s">
        <v>1897</v>
      </c>
      <c r="AP411" s="268">
        <v>69</v>
      </c>
      <c r="AQ411" s="268" t="s">
        <v>1700</v>
      </c>
      <c r="AR411" s="268" t="s">
        <v>1701</v>
      </c>
      <c r="AS411" s="268" t="s">
        <v>1702</v>
      </c>
      <c r="AT411" s="268" t="s">
        <v>1703</v>
      </c>
      <c r="AU411" s="268" t="s">
        <v>1704</v>
      </c>
      <c r="AV411" s="268" t="s">
        <v>1702</v>
      </c>
      <c r="AW411" s="268" t="s">
        <v>1705</v>
      </c>
      <c r="AX411" s="268" t="s">
        <v>1883</v>
      </c>
      <c r="AY411" s="268">
        <v>49.2</v>
      </c>
      <c r="AZ411" s="268">
        <v>-123.2</v>
      </c>
      <c r="BA411" s="268">
        <v>1</v>
      </c>
    </row>
    <row r="412" spans="1:72" ht="14.25" customHeight="1" x14ac:dyDescent="0.2">
      <c r="A412" s="136" t="s">
        <v>422</v>
      </c>
      <c r="B412" s="4">
        <v>12</v>
      </c>
      <c r="C412" s="4" t="s">
        <v>1707</v>
      </c>
      <c r="D412" s="4">
        <v>83</v>
      </c>
      <c r="E412" s="4">
        <v>12964</v>
      </c>
      <c r="F412" s="49" t="s">
        <v>1930</v>
      </c>
      <c r="G412" s="49" t="s">
        <v>127</v>
      </c>
      <c r="H412" s="4" t="s">
        <v>1697</v>
      </c>
      <c r="I412" s="4" t="s">
        <v>49</v>
      </c>
      <c r="J412" s="4" t="s">
        <v>1746</v>
      </c>
      <c r="K412" s="4">
        <v>1</v>
      </c>
      <c r="L412" s="4">
        <v>14896</v>
      </c>
      <c r="U412"/>
      <c r="AO412" s="48" t="s">
        <v>1931</v>
      </c>
      <c r="AP412" s="48">
        <v>83</v>
      </c>
      <c r="AQ412" s="48" t="s">
        <v>1700</v>
      </c>
      <c r="AR412" s="48" t="s">
        <v>1739</v>
      </c>
      <c r="AS412" s="48" t="s">
        <v>1702</v>
      </c>
      <c r="AT412" s="48" t="s">
        <v>1703</v>
      </c>
      <c r="AU412" s="48" t="s">
        <v>1704</v>
      </c>
      <c r="AV412" s="48" t="s">
        <v>1702</v>
      </c>
      <c r="AW412" s="48" t="s">
        <v>1705</v>
      </c>
      <c r="AX412" s="48" t="s">
        <v>1879</v>
      </c>
      <c r="AY412" s="48">
        <v>49.782400000000003</v>
      </c>
      <c r="AZ412" s="48">
        <v>-123.1619</v>
      </c>
      <c r="BA412" s="48">
        <v>60</v>
      </c>
    </row>
    <row r="413" spans="1:72" ht="14.25" customHeight="1" x14ac:dyDescent="0.2">
      <c r="A413" s="136" t="s">
        <v>422</v>
      </c>
      <c r="B413" s="4">
        <v>12</v>
      </c>
      <c r="C413" s="4" t="s">
        <v>1944</v>
      </c>
      <c r="D413" s="4">
        <v>88</v>
      </c>
      <c r="E413" s="4">
        <v>12965</v>
      </c>
      <c r="F413" s="213" t="s">
        <v>1945</v>
      </c>
      <c r="G413" s="49" t="s">
        <v>127</v>
      </c>
      <c r="H413" s="4" t="s">
        <v>1697</v>
      </c>
      <c r="I413" s="4" t="s">
        <v>49</v>
      </c>
      <c r="J413" s="4" t="s">
        <v>1746</v>
      </c>
      <c r="K413" s="4">
        <v>1</v>
      </c>
      <c r="L413" s="4">
        <v>14897</v>
      </c>
      <c r="U413"/>
      <c r="AO413" s="268" t="s">
        <v>1946</v>
      </c>
      <c r="AP413" s="268">
        <v>88</v>
      </c>
      <c r="AQ413" s="268" t="s">
        <v>1700</v>
      </c>
      <c r="AR413" s="268" t="s">
        <v>1701</v>
      </c>
      <c r="AS413" s="268" t="s">
        <v>1702</v>
      </c>
      <c r="AT413" s="268" t="s">
        <v>1703</v>
      </c>
      <c r="AU413" s="268" t="s">
        <v>1704</v>
      </c>
      <c r="AV413" s="268" t="s">
        <v>1702</v>
      </c>
      <c r="AW413" s="268" t="s">
        <v>1947</v>
      </c>
      <c r="AX413" s="268" t="s">
        <v>1948</v>
      </c>
      <c r="AY413" s="268">
        <v>54.3</v>
      </c>
      <c r="AZ413" s="268">
        <v>-130.4</v>
      </c>
      <c r="BA413" s="268">
        <v>35</v>
      </c>
    </row>
    <row r="414" spans="1:72" ht="14.25" customHeight="1" x14ac:dyDescent="0.2">
      <c r="A414" s="136" t="s">
        <v>422</v>
      </c>
      <c r="B414" s="4">
        <v>12</v>
      </c>
      <c r="C414" s="4" t="s">
        <v>1970</v>
      </c>
      <c r="D414" s="4">
        <v>103</v>
      </c>
      <c r="E414" s="4">
        <v>12966</v>
      </c>
      <c r="F414" s="188" t="s">
        <v>1971</v>
      </c>
      <c r="G414" s="4" t="s">
        <v>127</v>
      </c>
      <c r="H414" s="4" t="s">
        <v>1697</v>
      </c>
      <c r="I414" s="4" t="s">
        <v>49</v>
      </c>
      <c r="J414" s="4" t="s">
        <v>1698</v>
      </c>
      <c r="K414" s="4">
        <v>1</v>
      </c>
      <c r="L414" s="4">
        <v>14898</v>
      </c>
      <c r="U414"/>
      <c r="AO414" s="268" t="s">
        <v>1972</v>
      </c>
      <c r="AP414" s="268">
        <v>103</v>
      </c>
      <c r="AQ414" s="268" t="s">
        <v>1716</v>
      </c>
      <c r="AR414" s="268" t="s">
        <v>1717</v>
      </c>
      <c r="AS414" s="268" t="s">
        <v>1702</v>
      </c>
      <c r="AT414" s="268" t="s">
        <v>1703</v>
      </c>
      <c r="AU414" s="268" t="s">
        <v>1704</v>
      </c>
      <c r="AV414" s="268" t="s">
        <v>1702</v>
      </c>
      <c r="AW414" s="268" t="s">
        <v>1947</v>
      </c>
      <c r="AX414" s="268" t="s">
        <v>1973</v>
      </c>
      <c r="AY414" s="268">
        <v>54.5</v>
      </c>
      <c r="AZ414" s="268">
        <v>-128.6</v>
      </c>
      <c r="BA414" s="268">
        <v>217</v>
      </c>
    </row>
    <row r="415" spans="1:72" ht="14.25" customHeight="1" x14ac:dyDescent="0.2">
      <c r="A415" s="136" t="s">
        <v>422</v>
      </c>
      <c r="B415" s="4">
        <v>12</v>
      </c>
      <c r="C415" s="4" t="s">
        <v>1970</v>
      </c>
      <c r="D415" s="4">
        <v>122</v>
      </c>
      <c r="E415" s="4">
        <v>12967</v>
      </c>
      <c r="F415" s="188" t="s">
        <v>2022</v>
      </c>
      <c r="G415" s="4" t="s">
        <v>127</v>
      </c>
      <c r="H415" s="4" t="s">
        <v>1697</v>
      </c>
      <c r="I415" s="4" t="s">
        <v>49</v>
      </c>
      <c r="J415" s="4" t="s">
        <v>1698</v>
      </c>
      <c r="K415" s="4">
        <v>1</v>
      </c>
      <c r="L415" s="4">
        <v>14899</v>
      </c>
      <c r="U415"/>
      <c r="AO415" s="268" t="s">
        <v>2023</v>
      </c>
      <c r="AP415" s="268">
        <v>122</v>
      </c>
      <c r="AQ415" s="268" t="s">
        <v>1700</v>
      </c>
      <c r="AR415" s="268" t="s">
        <v>1701</v>
      </c>
      <c r="AS415" s="268" t="s">
        <v>1702</v>
      </c>
      <c r="AT415" s="268" t="s">
        <v>1703</v>
      </c>
      <c r="AU415" s="268" t="s">
        <v>1704</v>
      </c>
      <c r="AV415" s="268" t="s">
        <v>1702</v>
      </c>
      <c r="AW415" s="268" t="s">
        <v>2003</v>
      </c>
      <c r="AX415" s="268" t="s">
        <v>2024</v>
      </c>
      <c r="AY415" s="268">
        <v>55.7</v>
      </c>
      <c r="AZ415" s="268">
        <v>-121.6</v>
      </c>
      <c r="BA415" s="268">
        <v>610</v>
      </c>
    </row>
    <row r="416" spans="1:72" ht="14.25" customHeight="1" x14ac:dyDescent="0.2">
      <c r="A416" s="136" t="s">
        <v>422</v>
      </c>
      <c r="B416" s="4">
        <v>12</v>
      </c>
      <c r="C416" s="4" t="s">
        <v>1711</v>
      </c>
      <c r="D416" s="4">
        <v>135</v>
      </c>
      <c r="E416" s="4">
        <v>1702</v>
      </c>
      <c r="F416" s="16" t="s">
        <v>2066</v>
      </c>
      <c r="G416" s="4" t="s">
        <v>2067</v>
      </c>
      <c r="H416" s="4" t="s">
        <v>2068</v>
      </c>
      <c r="I416" s="4" t="s">
        <v>1664</v>
      </c>
      <c r="J416" s="4" t="s">
        <v>1746</v>
      </c>
      <c r="K416" s="4">
        <v>1</v>
      </c>
      <c r="L416" s="4">
        <v>2105</v>
      </c>
      <c r="U416"/>
      <c r="AO416" s="4" t="s">
        <v>2066</v>
      </c>
      <c r="AP416" s="4">
        <v>135</v>
      </c>
      <c r="AQ416" s="4" t="s">
        <v>1716</v>
      </c>
      <c r="AR416" s="4" t="s">
        <v>1717</v>
      </c>
      <c r="AS416" s="4" t="s">
        <v>1718</v>
      </c>
      <c r="AT416" s="4" t="s">
        <v>1719</v>
      </c>
      <c r="AU416" s="4" t="s">
        <v>1703</v>
      </c>
      <c r="AV416" s="4" t="s">
        <v>1720</v>
      </c>
      <c r="AW416" s="4" t="s">
        <v>2003</v>
      </c>
      <c r="AX416" s="4" t="s">
        <v>2004</v>
      </c>
      <c r="AY416" s="4">
        <v>56.5</v>
      </c>
      <c r="AZ416" s="4">
        <v>-123.2</v>
      </c>
      <c r="BA416" s="4">
        <v>11</v>
      </c>
    </row>
    <row r="417" spans="1:53" ht="14.25" customHeight="1" x14ac:dyDescent="0.2">
      <c r="A417" s="136" t="s">
        <v>422</v>
      </c>
      <c r="B417" s="9">
        <v>12</v>
      </c>
      <c r="C417" s="4" t="s">
        <v>2129</v>
      </c>
      <c r="D417" s="4">
        <v>157</v>
      </c>
      <c r="E417" s="4">
        <v>12968</v>
      </c>
      <c r="F417" s="213" t="s">
        <v>2130</v>
      </c>
      <c r="G417" s="4" t="s">
        <v>2131</v>
      </c>
      <c r="H417" s="4" t="s">
        <v>1697</v>
      </c>
      <c r="I417" s="4" t="s">
        <v>49</v>
      </c>
      <c r="J417" s="4" t="s">
        <v>1746</v>
      </c>
      <c r="K417" s="4">
        <v>1</v>
      </c>
      <c r="L417" s="4">
        <v>14900</v>
      </c>
      <c r="U417"/>
      <c r="Y417" s="9"/>
      <c r="AO417" s="268" t="s">
        <v>2132</v>
      </c>
      <c r="AP417" s="268">
        <v>157</v>
      </c>
      <c r="AQ417" s="268" t="s">
        <v>1700</v>
      </c>
      <c r="AR417" s="268" t="s">
        <v>1701</v>
      </c>
      <c r="AS417" s="268" t="s">
        <v>1702</v>
      </c>
      <c r="AT417" s="268" t="s">
        <v>1703</v>
      </c>
      <c r="AU417" s="268" t="s">
        <v>1704</v>
      </c>
      <c r="AV417" s="268" t="s">
        <v>1702</v>
      </c>
      <c r="AW417" s="268" t="s">
        <v>1947</v>
      </c>
      <c r="AX417" s="268" t="s">
        <v>2133</v>
      </c>
      <c r="AY417" s="268">
        <v>54.824199999999998</v>
      </c>
      <c r="AZ417" s="268">
        <v>-127.18940000000001</v>
      </c>
      <c r="BA417" s="268">
        <v>522</v>
      </c>
    </row>
    <row r="418" spans="1:53" ht="14.25" customHeight="1" x14ac:dyDescent="0.2">
      <c r="A418" s="136" t="s">
        <v>422</v>
      </c>
      <c r="B418" s="9">
        <v>12</v>
      </c>
      <c r="C418" s="4" t="s">
        <v>2129</v>
      </c>
      <c r="D418" s="4">
        <v>186</v>
      </c>
      <c r="E418" s="4">
        <v>12969</v>
      </c>
      <c r="F418" s="213" t="s">
        <v>2227</v>
      </c>
      <c r="G418" s="4" t="s">
        <v>127</v>
      </c>
      <c r="H418" s="4" t="s">
        <v>1697</v>
      </c>
      <c r="I418" s="4" t="s">
        <v>49</v>
      </c>
      <c r="J418" s="4" t="s">
        <v>1746</v>
      </c>
      <c r="K418" s="4">
        <v>1</v>
      </c>
      <c r="L418" s="4">
        <v>14901</v>
      </c>
      <c r="U418"/>
      <c r="Y418" s="9"/>
      <c r="AO418" s="268" t="s">
        <v>2228</v>
      </c>
      <c r="AP418" s="268">
        <v>186</v>
      </c>
      <c r="AQ418" s="268" t="s">
        <v>1700</v>
      </c>
      <c r="AR418" s="268" t="s">
        <v>1701</v>
      </c>
      <c r="AS418" s="268" t="s">
        <v>1702</v>
      </c>
      <c r="AT418" s="268" t="s">
        <v>1703</v>
      </c>
      <c r="AU418" s="268" t="s">
        <v>1704</v>
      </c>
      <c r="AV418" s="268" t="s">
        <v>1702</v>
      </c>
      <c r="AW418" s="268" t="s">
        <v>2003</v>
      </c>
      <c r="AX418" s="268" t="s">
        <v>2091</v>
      </c>
      <c r="AY418" s="268">
        <v>53.9</v>
      </c>
      <c r="AZ418" s="268">
        <v>-122.7</v>
      </c>
      <c r="BA418" s="268">
        <v>691</v>
      </c>
    </row>
    <row r="419" spans="1:53" ht="14.25" customHeight="1" x14ac:dyDescent="0.2">
      <c r="A419" s="136" t="s">
        <v>422</v>
      </c>
      <c r="B419" s="9">
        <v>12</v>
      </c>
      <c r="C419" s="4" t="s">
        <v>1707</v>
      </c>
      <c r="D419" s="4">
        <v>203</v>
      </c>
      <c r="E419" s="4">
        <v>12970</v>
      </c>
      <c r="F419" s="49" t="s">
        <v>2281</v>
      </c>
      <c r="G419" s="188" t="s">
        <v>127</v>
      </c>
      <c r="H419" s="4" t="s">
        <v>1697</v>
      </c>
      <c r="I419" s="4" t="s">
        <v>49</v>
      </c>
      <c r="J419" s="4" t="s">
        <v>1746</v>
      </c>
      <c r="K419" s="4">
        <v>1</v>
      </c>
      <c r="L419" s="4">
        <v>14902</v>
      </c>
      <c r="P419" s="192"/>
      <c r="U419"/>
      <c r="Y419" s="9"/>
      <c r="AO419" s="268" t="s">
        <v>2282</v>
      </c>
      <c r="AP419" s="268">
        <v>203</v>
      </c>
      <c r="AQ419" s="268" t="s">
        <v>1700</v>
      </c>
      <c r="AR419" s="268" t="s">
        <v>1701</v>
      </c>
      <c r="AS419" s="268" t="s">
        <v>1702</v>
      </c>
      <c r="AT419" s="268" t="s">
        <v>1703</v>
      </c>
      <c r="AU419" s="268" t="s">
        <v>1704</v>
      </c>
      <c r="AV419" s="268" t="s">
        <v>1702</v>
      </c>
      <c r="AW419" s="268" t="s">
        <v>2193</v>
      </c>
      <c r="AX419" s="268" t="s">
        <v>2283</v>
      </c>
      <c r="AY419" s="268">
        <v>52.1</v>
      </c>
      <c r="AZ419" s="268">
        <v>-124.2</v>
      </c>
      <c r="BA419" s="48">
        <v>910</v>
      </c>
    </row>
    <row r="420" spans="1:53" ht="14.25" customHeight="1" x14ac:dyDescent="0.2">
      <c r="A420" s="136" t="s">
        <v>422</v>
      </c>
      <c r="B420" s="9">
        <v>12</v>
      </c>
      <c r="C420" s="4" t="s">
        <v>2129</v>
      </c>
      <c r="D420" s="4">
        <v>205</v>
      </c>
      <c r="E420" s="4">
        <v>12985</v>
      </c>
      <c r="F420" s="213" t="s">
        <v>2288</v>
      </c>
      <c r="G420" s="4" t="s">
        <v>127</v>
      </c>
      <c r="H420" s="4" t="s">
        <v>2289</v>
      </c>
      <c r="I420" s="4" t="s">
        <v>49</v>
      </c>
      <c r="J420" s="4" t="s">
        <v>1698</v>
      </c>
      <c r="K420" s="4">
        <v>1</v>
      </c>
      <c r="L420" s="4">
        <v>14917</v>
      </c>
      <c r="U420"/>
      <c r="Y420" s="9"/>
      <c r="AO420" s="268" t="s">
        <v>2290</v>
      </c>
      <c r="AP420" s="268">
        <v>205</v>
      </c>
      <c r="AQ420" s="268" t="s">
        <v>1700</v>
      </c>
      <c r="AR420" s="268" t="s">
        <v>1701</v>
      </c>
      <c r="AS420" s="268" t="s">
        <v>1702</v>
      </c>
      <c r="AT420" s="268" t="s">
        <v>1703</v>
      </c>
      <c r="AU420" s="268" t="s">
        <v>1704</v>
      </c>
      <c r="AV420" s="268" t="s">
        <v>1702</v>
      </c>
      <c r="AW420" s="268" t="s">
        <v>2193</v>
      </c>
      <c r="AX420" s="268" t="s">
        <v>2291</v>
      </c>
      <c r="AY420" s="268">
        <v>52.2</v>
      </c>
      <c r="AZ420" s="268">
        <v>-122.1</v>
      </c>
      <c r="BA420" s="268">
        <v>940</v>
      </c>
    </row>
    <row r="421" spans="1:53" ht="14.25" customHeight="1" x14ac:dyDescent="0.2">
      <c r="A421" s="136" t="s">
        <v>422</v>
      </c>
      <c r="B421" s="9">
        <v>12</v>
      </c>
      <c r="C421" s="4" t="s">
        <v>1711</v>
      </c>
      <c r="D421" s="4">
        <v>217</v>
      </c>
      <c r="E421" s="4">
        <v>1774</v>
      </c>
      <c r="F421" s="211" t="s">
        <v>2324</v>
      </c>
      <c r="G421" s="188" t="s">
        <v>2325</v>
      </c>
      <c r="H421" s="4" t="s">
        <v>2326</v>
      </c>
      <c r="I421" s="4" t="s">
        <v>1664</v>
      </c>
      <c r="J421" s="4" t="s">
        <v>1746</v>
      </c>
      <c r="K421" s="4">
        <v>1</v>
      </c>
      <c r="L421" s="4">
        <v>2177</v>
      </c>
      <c r="U421"/>
      <c r="Y421" s="9"/>
      <c r="AO421" s="4" t="s">
        <v>2324</v>
      </c>
      <c r="AP421" s="4">
        <v>217</v>
      </c>
      <c r="AQ421" s="4" t="s">
        <v>1716</v>
      </c>
      <c r="AR421" s="4" t="s">
        <v>1717</v>
      </c>
      <c r="AS421" s="4" t="s">
        <v>1718</v>
      </c>
      <c r="AT421" s="4" t="s">
        <v>1719</v>
      </c>
      <c r="AU421" s="4" t="s">
        <v>1703</v>
      </c>
      <c r="AV421" s="4" t="s">
        <v>1720</v>
      </c>
      <c r="AW421" s="4" t="s">
        <v>2193</v>
      </c>
      <c r="AX421" s="4" t="s">
        <v>2194</v>
      </c>
      <c r="AY421" s="4">
        <v>53</v>
      </c>
      <c r="AZ421" s="4">
        <v>-125</v>
      </c>
      <c r="BA421" s="4">
        <v>0</v>
      </c>
    </row>
    <row r="422" spans="1:53" ht="14.25" customHeight="1" x14ac:dyDescent="0.2">
      <c r="A422" s="136" t="s">
        <v>422</v>
      </c>
      <c r="B422" s="9">
        <v>12</v>
      </c>
      <c r="C422" s="4" t="s">
        <v>1707</v>
      </c>
      <c r="D422" s="4">
        <v>229</v>
      </c>
      <c r="E422" s="4">
        <v>12971</v>
      </c>
      <c r="F422" s="213" t="s">
        <v>2360</v>
      </c>
      <c r="G422" s="4" t="s">
        <v>127</v>
      </c>
      <c r="H422" s="4" t="s">
        <v>1697</v>
      </c>
      <c r="I422" s="4" t="s">
        <v>49</v>
      </c>
      <c r="J422" s="4" t="s">
        <v>1746</v>
      </c>
      <c r="K422" s="4">
        <v>1</v>
      </c>
      <c r="L422" s="4">
        <v>14903</v>
      </c>
      <c r="U422"/>
      <c r="Y422" s="9"/>
      <c r="AO422" s="268" t="s">
        <v>2361</v>
      </c>
      <c r="AP422" s="268">
        <v>229</v>
      </c>
      <c r="AQ422" s="268" t="s">
        <v>1700</v>
      </c>
      <c r="AR422" s="268" t="s">
        <v>1701</v>
      </c>
      <c r="AS422" s="268" t="s">
        <v>1702</v>
      </c>
      <c r="AT422" s="268" t="s">
        <v>1703</v>
      </c>
      <c r="AU422" s="268" t="s">
        <v>1704</v>
      </c>
      <c r="AV422" s="268" t="s">
        <v>1702</v>
      </c>
      <c r="AW422" s="268" t="s">
        <v>2193</v>
      </c>
      <c r="AX422" s="268" t="s">
        <v>2194</v>
      </c>
      <c r="AY422" s="268">
        <v>53</v>
      </c>
      <c r="AZ422" s="268">
        <v>-122.4</v>
      </c>
      <c r="BA422" s="268">
        <v>545</v>
      </c>
    </row>
    <row r="423" spans="1:53" ht="14.25" customHeight="1" x14ac:dyDescent="0.2">
      <c r="A423" s="136" t="s">
        <v>422</v>
      </c>
      <c r="B423" s="4">
        <v>12</v>
      </c>
      <c r="C423" s="4" t="s">
        <v>1711</v>
      </c>
      <c r="D423" s="4">
        <v>358</v>
      </c>
      <c r="E423" s="4">
        <v>1903</v>
      </c>
      <c r="F423" s="16" t="s">
        <v>2739</v>
      </c>
      <c r="G423" s="4" t="s">
        <v>2740</v>
      </c>
      <c r="H423" s="4" t="s">
        <v>2741</v>
      </c>
      <c r="I423" s="4" t="s">
        <v>1664</v>
      </c>
      <c r="J423" s="4" t="s">
        <v>1746</v>
      </c>
      <c r="K423" s="4">
        <v>1</v>
      </c>
      <c r="L423" s="4">
        <v>2306</v>
      </c>
      <c r="M423" s="9"/>
      <c r="N423" s="9"/>
      <c r="P423" s="9"/>
      <c r="R423" s="9"/>
      <c r="T423" s="9"/>
      <c r="U423"/>
      <c r="AO423" s="4" t="s">
        <v>2739</v>
      </c>
      <c r="AP423" s="4">
        <v>358</v>
      </c>
      <c r="AQ423" s="4" t="s">
        <v>1716</v>
      </c>
      <c r="AR423" s="4" t="s">
        <v>1717</v>
      </c>
      <c r="AS423" s="4" t="s">
        <v>1718</v>
      </c>
      <c r="AT423" s="4" t="s">
        <v>1719</v>
      </c>
      <c r="AU423" s="4" t="s">
        <v>1703</v>
      </c>
      <c r="AV423" s="4" t="s">
        <v>1720</v>
      </c>
      <c r="AW423" s="4" t="s">
        <v>2368</v>
      </c>
      <c r="AX423" s="4" t="s">
        <v>2707</v>
      </c>
      <c r="AY423" s="4">
        <v>51</v>
      </c>
      <c r="AZ423" s="4">
        <v>-118.8</v>
      </c>
      <c r="BA423" s="4">
        <v>10</v>
      </c>
    </row>
    <row r="424" spans="1:53" ht="14.25" customHeight="1" x14ac:dyDescent="0.2">
      <c r="A424" s="136" t="s">
        <v>422</v>
      </c>
      <c r="B424" s="4">
        <v>12</v>
      </c>
      <c r="C424" s="4" t="s">
        <v>1711</v>
      </c>
      <c r="D424" s="4">
        <v>372</v>
      </c>
      <c r="E424" s="4">
        <v>1915</v>
      </c>
      <c r="F424" s="16" t="s">
        <v>2778</v>
      </c>
      <c r="G424" s="4" t="s">
        <v>2779</v>
      </c>
      <c r="H424" s="4" t="s">
        <v>2780</v>
      </c>
      <c r="I424" s="4" t="s">
        <v>49</v>
      </c>
      <c r="J424" s="4" t="s">
        <v>1746</v>
      </c>
      <c r="K424" s="4">
        <v>1</v>
      </c>
      <c r="L424" s="4">
        <v>2318</v>
      </c>
      <c r="M424" s="9"/>
      <c r="N424" s="9"/>
      <c r="P424" s="9"/>
      <c r="R424" s="9"/>
      <c r="U424"/>
      <c r="AO424" s="4" t="s">
        <v>2778</v>
      </c>
      <c r="AP424" s="4">
        <v>372</v>
      </c>
      <c r="AQ424" s="4" t="s">
        <v>1716</v>
      </c>
      <c r="AR424" s="4" t="s">
        <v>1717</v>
      </c>
      <c r="AS424" s="4" t="s">
        <v>1718</v>
      </c>
      <c r="AT424" s="4" t="s">
        <v>1719</v>
      </c>
      <c r="AU424" s="4" t="s">
        <v>1703</v>
      </c>
      <c r="AV424" s="4" t="s">
        <v>1720</v>
      </c>
      <c r="AW424" s="4" t="s">
        <v>2698</v>
      </c>
      <c r="AX424" s="4" t="s">
        <v>2699</v>
      </c>
      <c r="AY424" s="4">
        <v>51.3</v>
      </c>
      <c r="AZ424" s="4">
        <v>-117.5</v>
      </c>
      <c r="BA424" s="4">
        <v>0</v>
      </c>
    </row>
    <row r="425" spans="1:53" ht="14.25" customHeight="1" x14ac:dyDescent="0.2">
      <c r="A425" s="136" t="s">
        <v>422</v>
      </c>
      <c r="B425" s="4">
        <v>12</v>
      </c>
      <c r="C425" s="4" t="s">
        <v>2129</v>
      </c>
      <c r="D425" s="4">
        <v>395</v>
      </c>
      <c r="E425" s="4">
        <v>12972</v>
      </c>
      <c r="F425" s="49" t="s">
        <v>2853</v>
      </c>
      <c r="G425" s="188" t="s">
        <v>127</v>
      </c>
      <c r="H425" s="4" t="s">
        <v>1697</v>
      </c>
      <c r="I425" s="4" t="s">
        <v>49</v>
      </c>
      <c r="J425" s="4" t="s">
        <v>1698</v>
      </c>
      <c r="K425" s="4">
        <v>1</v>
      </c>
      <c r="L425" s="4">
        <v>14904</v>
      </c>
      <c r="M425" s="9"/>
      <c r="U425"/>
      <c r="AO425" s="268" t="s">
        <v>2854</v>
      </c>
      <c r="AP425" s="268">
        <v>395</v>
      </c>
      <c r="AQ425" s="268" t="s">
        <v>1700</v>
      </c>
      <c r="AR425" s="268" t="s">
        <v>1701</v>
      </c>
      <c r="AS425" s="268" t="s">
        <v>1702</v>
      </c>
      <c r="AT425" s="268" t="s">
        <v>1703</v>
      </c>
      <c r="AU425" s="268" t="s">
        <v>1704</v>
      </c>
      <c r="AV425" s="268" t="s">
        <v>1702</v>
      </c>
      <c r="AW425" s="268" t="s">
        <v>2698</v>
      </c>
      <c r="AX425" s="268" t="s">
        <v>2797</v>
      </c>
      <c r="AY425" s="268">
        <v>49.3</v>
      </c>
      <c r="AZ425" s="268">
        <v>-117.6</v>
      </c>
      <c r="BA425" s="268">
        <v>495</v>
      </c>
    </row>
    <row r="426" spans="1:53" ht="14.25" customHeight="1" x14ac:dyDescent="0.2">
      <c r="A426" s="136" t="s">
        <v>422</v>
      </c>
      <c r="B426" s="4">
        <v>12</v>
      </c>
      <c r="C426" s="4" t="s">
        <v>1707</v>
      </c>
      <c r="D426" s="4">
        <v>415</v>
      </c>
      <c r="E426" s="4">
        <v>12973</v>
      </c>
      <c r="F426" s="49" t="s">
        <v>2908</v>
      </c>
      <c r="G426" s="188" t="s">
        <v>127</v>
      </c>
      <c r="H426" s="4" t="s">
        <v>1697</v>
      </c>
      <c r="I426" s="4" t="s">
        <v>49</v>
      </c>
      <c r="J426" s="4" t="s">
        <v>1698</v>
      </c>
      <c r="K426" s="4">
        <v>1</v>
      </c>
      <c r="L426" s="4">
        <v>14905</v>
      </c>
      <c r="M426" s="9"/>
      <c r="U426"/>
      <c r="AO426" s="268" t="s">
        <v>2909</v>
      </c>
      <c r="AP426" s="268">
        <v>415</v>
      </c>
      <c r="AQ426" s="268" t="s">
        <v>1716</v>
      </c>
      <c r="AR426" s="268" t="s">
        <v>1717</v>
      </c>
      <c r="AS426" s="268" t="s">
        <v>1702</v>
      </c>
      <c r="AT426" s="268" t="s">
        <v>1703</v>
      </c>
      <c r="AU426" s="268" t="s">
        <v>1704</v>
      </c>
      <c r="AV426" s="268" t="s">
        <v>1702</v>
      </c>
      <c r="AW426" s="268" t="s">
        <v>2698</v>
      </c>
      <c r="AX426" s="268" t="s">
        <v>2902</v>
      </c>
      <c r="AY426" s="268">
        <v>49.75</v>
      </c>
      <c r="AZ426" s="268">
        <v>-114.87</v>
      </c>
      <c r="BA426" s="268">
        <v>1138</v>
      </c>
    </row>
    <row r="427" spans="1:53" ht="14.25" customHeight="1" x14ac:dyDescent="0.2">
      <c r="A427" s="136" t="s">
        <v>422</v>
      </c>
      <c r="B427" s="4">
        <v>12</v>
      </c>
      <c r="C427" s="4" t="s">
        <v>1707</v>
      </c>
      <c r="D427" s="4">
        <v>434</v>
      </c>
      <c r="E427" s="4">
        <v>12974</v>
      </c>
      <c r="F427" s="213" t="s">
        <v>2963</v>
      </c>
      <c r="G427" s="4" t="s">
        <v>127</v>
      </c>
      <c r="H427" s="4" t="s">
        <v>1697</v>
      </c>
      <c r="I427" s="4" t="s">
        <v>49</v>
      </c>
      <c r="J427" s="4" t="s">
        <v>1698</v>
      </c>
      <c r="K427" s="4">
        <v>1</v>
      </c>
      <c r="L427" s="4">
        <v>14906</v>
      </c>
      <c r="M427" s="9"/>
      <c r="U427"/>
      <c r="AO427" s="268" t="s">
        <v>2964</v>
      </c>
      <c r="AP427" s="268">
        <v>434</v>
      </c>
      <c r="AQ427" s="268" t="s">
        <v>1700</v>
      </c>
      <c r="AR427" s="268" t="s">
        <v>1701</v>
      </c>
      <c r="AS427" s="268" t="s">
        <v>1702</v>
      </c>
      <c r="AT427" s="268" t="s">
        <v>1703</v>
      </c>
      <c r="AU427" s="268" t="s">
        <v>1704</v>
      </c>
      <c r="AV427" s="268" t="s">
        <v>1702</v>
      </c>
      <c r="AW427" s="268" t="s">
        <v>2003</v>
      </c>
      <c r="AX427" s="268" t="s">
        <v>2004</v>
      </c>
      <c r="AY427" s="268">
        <v>56.3</v>
      </c>
      <c r="AZ427" s="268">
        <v>-120.7</v>
      </c>
      <c r="BA427" s="268">
        <v>695</v>
      </c>
    </row>
    <row r="428" spans="1:53" ht="14.25" customHeight="1" x14ac:dyDescent="0.2">
      <c r="A428" s="136" t="s">
        <v>422</v>
      </c>
      <c r="B428" s="4">
        <v>12</v>
      </c>
      <c r="C428" s="4" t="s">
        <v>1707</v>
      </c>
      <c r="D428" s="4">
        <v>435</v>
      </c>
      <c r="E428" s="4">
        <v>12975</v>
      </c>
      <c r="F428" s="49" t="s">
        <v>2965</v>
      </c>
      <c r="G428" s="4" t="s">
        <v>127</v>
      </c>
      <c r="H428" s="4" t="s">
        <v>1697</v>
      </c>
      <c r="I428" s="4" t="s">
        <v>49</v>
      </c>
      <c r="J428" s="4" t="s">
        <v>1746</v>
      </c>
      <c r="K428" s="4">
        <v>1</v>
      </c>
      <c r="L428" s="4">
        <v>14907</v>
      </c>
      <c r="M428" s="9"/>
      <c r="N428" s="9"/>
      <c r="P428" s="9"/>
      <c r="R428" s="9"/>
      <c r="T428" s="9"/>
      <c r="U428"/>
      <c r="AO428" s="48" t="s">
        <v>2966</v>
      </c>
      <c r="AP428" s="48">
        <v>435</v>
      </c>
      <c r="AQ428" s="48" t="s">
        <v>1700</v>
      </c>
      <c r="AR428" s="48" t="s">
        <v>1701</v>
      </c>
      <c r="AS428" s="48" t="s">
        <v>1702</v>
      </c>
      <c r="AT428" s="48" t="s">
        <v>1703</v>
      </c>
      <c r="AU428" s="48" t="s">
        <v>1704</v>
      </c>
      <c r="AV428" s="48" t="s">
        <v>1702</v>
      </c>
      <c r="AW428" s="48" t="s">
        <v>2003</v>
      </c>
      <c r="AX428" s="48" t="s">
        <v>2024</v>
      </c>
      <c r="AY428" s="48">
        <v>55.8</v>
      </c>
      <c r="AZ428" s="48">
        <v>-120.2</v>
      </c>
      <c r="BA428" s="48">
        <v>655</v>
      </c>
    </row>
    <row r="429" spans="1:53" ht="14.25" customHeight="1" x14ac:dyDescent="0.2">
      <c r="A429" s="136" t="s">
        <v>422</v>
      </c>
      <c r="B429" s="4">
        <v>12</v>
      </c>
      <c r="C429" s="4" t="s">
        <v>1711</v>
      </c>
      <c r="D429" s="4">
        <v>446</v>
      </c>
      <c r="E429" s="4">
        <v>1982</v>
      </c>
      <c r="F429" s="16" t="s">
        <v>2994</v>
      </c>
      <c r="G429" s="188" t="s">
        <v>2995</v>
      </c>
      <c r="H429" s="4" t="s">
        <v>2996</v>
      </c>
      <c r="I429" s="4" t="s">
        <v>1664</v>
      </c>
      <c r="J429" s="4" t="s">
        <v>1746</v>
      </c>
      <c r="K429" s="4">
        <v>1</v>
      </c>
      <c r="L429" s="4">
        <v>2385</v>
      </c>
      <c r="M429" s="9"/>
      <c r="N429" s="9"/>
      <c r="P429" s="9"/>
      <c r="R429" s="9"/>
      <c r="T429" s="9"/>
      <c r="U429"/>
      <c r="AO429" s="4" t="s">
        <v>2994</v>
      </c>
      <c r="AP429" s="4">
        <v>446</v>
      </c>
      <c r="AQ429" s="4" t="s">
        <v>1716</v>
      </c>
      <c r="AR429" s="4" t="s">
        <v>1717</v>
      </c>
      <c r="AS429" s="4" t="s">
        <v>1718</v>
      </c>
      <c r="AT429" s="4" t="s">
        <v>1719</v>
      </c>
      <c r="AU429" s="4" t="s">
        <v>1703</v>
      </c>
      <c r="AV429" s="4" t="s">
        <v>1720</v>
      </c>
      <c r="AW429" s="4" t="s">
        <v>1947</v>
      </c>
      <c r="AX429" s="4" t="s">
        <v>2009</v>
      </c>
      <c r="AY429" s="4">
        <v>59.7</v>
      </c>
      <c r="AZ429" s="4">
        <v>-127.2</v>
      </c>
      <c r="BA429" s="4">
        <v>7</v>
      </c>
    </row>
    <row r="430" spans="1:53" ht="14.25" customHeight="1" x14ac:dyDescent="0.2">
      <c r="A430" s="136" t="s">
        <v>422</v>
      </c>
      <c r="B430" s="4">
        <v>12</v>
      </c>
      <c r="C430" s="4" t="s">
        <v>1711</v>
      </c>
      <c r="D430" s="4">
        <v>522</v>
      </c>
      <c r="E430" s="4">
        <v>1987</v>
      </c>
      <c r="F430" s="211" t="s">
        <v>3016</v>
      </c>
      <c r="G430" s="203" t="s">
        <v>3017</v>
      </c>
      <c r="H430" s="4" t="s">
        <v>3018</v>
      </c>
      <c r="I430" s="4" t="s">
        <v>1664</v>
      </c>
      <c r="J430" s="4" t="s">
        <v>1746</v>
      </c>
      <c r="K430" s="4">
        <v>1</v>
      </c>
      <c r="L430" s="4">
        <v>2390</v>
      </c>
      <c r="M430" s="9"/>
      <c r="T430" s="192"/>
      <c r="U430"/>
      <c r="AO430" s="4" t="s">
        <v>3016</v>
      </c>
      <c r="AP430" s="4">
        <v>522</v>
      </c>
      <c r="AQ430" s="4" t="s">
        <v>1716</v>
      </c>
      <c r="AR430" s="4" t="s">
        <v>1717</v>
      </c>
      <c r="AS430" s="4" t="s">
        <v>1718</v>
      </c>
      <c r="AT430" s="4" t="s">
        <v>1719</v>
      </c>
      <c r="AU430" s="4" t="s">
        <v>1703</v>
      </c>
      <c r="AV430" s="4" t="s">
        <v>1720</v>
      </c>
      <c r="AW430" s="4" t="s">
        <v>1705</v>
      </c>
      <c r="AY430" s="4">
        <v>48.9</v>
      </c>
      <c r="AZ430" s="4">
        <v>-125.6</v>
      </c>
      <c r="BA430" s="4">
        <v>1</v>
      </c>
    </row>
    <row r="431" spans="1:53" ht="14.25" customHeight="1" x14ac:dyDescent="0.2">
      <c r="A431" s="136" t="s">
        <v>422</v>
      </c>
      <c r="B431" s="4">
        <v>12</v>
      </c>
      <c r="C431" s="4" t="s">
        <v>1711</v>
      </c>
      <c r="D431" s="9">
        <v>529</v>
      </c>
      <c r="E431" s="4">
        <v>1994</v>
      </c>
      <c r="F431" s="16" t="s">
        <v>3036</v>
      </c>
      <c r="G431" s="4" t="s">
        <v>3037</v>
      </c>
      <c r="H431" s="4" t="s">
        <v>3038</v>
      </c>
      <c r="I431" s="4" t="s">
        <v>1664</v>
      </c>
      <c r="J431" s="4" t="s">
        <v>1746</v>
      </c>
      <c r="K431" s="4">
        <v>1</v>
      </c>
      <c r="L431" s="4">
        <v>2397</v>
      </c>
      <c r="M431" s="9"/>
      <c r="U431"/>
      <c r="AO431" s="4" t="s">
        <v>3036</v>
      </c>
      <c r="AP431" s="4">
        <v>529</v>
      </c>
      <c r="AQ431" s="4" t="s">
        <v>1716</v>
      </c>
      <c r="AR431" s="4" t="s">
        <v>1717</v>
      </c>
      <c r="AS431" s="4" t="s">
        <v>1718</v>
      </c>
      <c r="AT431" s="4" t="s">
        <v>1719</v>
      </c>
      <c r="AU431" s="4" t="s">
        <v>1703</v>
      </c>
      <c r="AV431" s="4" t="s">
        <v>1720</v>
      </c>
      <c r="AW431" s="4" t="s">
        <v>1705</v>
      </c>
      <c r="AX431" s="4" t="s">
        <v>1706</v>
      </c>
      <c r="AY431" s="4">
        <v>49.1</v>
      </c>
      <c r="AZ431" s="4">
        <v>-125.9</v>
      </c>
      <c r="BA431" s="4">
        <v>0</v>
      </c>
    </row>
    <row r="432" spans="1:53" ht="14.25" customHeight="1" x14ac:dyDescent="0.2">
      <c r="A432" s="136" t="s">
        <v>422</v>
      </c>
      <c r="B432" s="4">
        <v>12</v>
      </c>
      <c r="C432" s="4" t="s">
        <v>1711</v>
      </c>
      <c r="D432" s="4">
        <v>536</v>
      </c>
      <c r="E432" s="4">
        <v>2001</v>
      </c>
      <c r="F432" s="211" t="s">
        <v>3057</v>
      </c>
      <c r="G432" s="188" t="s">
        <v>3058</v>
      </c>
      <c r="H432" s="4" t="s">
        <v>3059</v>
      </c>
      <c r="I432" s="4" t="s">
        <v>1664</v>
      </c>
      <c r="J432" s="4" t="s">
        <v>1746</v>
      </c>
      <c r="K432" s="4">
        <v>1</v>
      </c>
      <c r="L432" s="4">
        <v>2404</v>
      </c>
      <c r="M432" s="9"/>
      <c r="U432"/>
      <c r="AO432" s="4" t="s">
        <v>3057</v>
      </c>
      <c r="AP432" s="4">
        <v>536</v>
      </c>
      <c r="AQ432" s="4" t="s">
        <v>1716</v>
      </c>
      <c r="AR432" s="4" t="s">
        <v>1717</v>
      </c>
      <c r="AS432" s="4" t="s">
        <v>1718</v>
      </c>
      <c r="AT432" s="4" t="s">
        <v>1719</v>
      </c>
      <c r="AU432" s="4" t="s">
        <v>1703</v>
      </c>
      <c r="AV432" s="4" t="s">
        <v>1720</v>
      </c>
      <c r="AW432" s="4" t="s">
        <v>1705</v>
      </c>
      <c r="AX432" s="4" t="s">
        <v>1706</v>
      </c>
      <c r="AY432" s="4">
        <v>49.5</v>
      </c>
      <c r="AZ432" s="4">
        <v>-125.4</v>
      </c>
      <c r="BA432" s="4">
        <v>3</v>
      </c>
    </row>
    <row r="433" spans="1:53" ht="14.25" customHeight="1" x14ac:dyDescent="0.2">
      <c r="A433" s="136" t="s">
        <v>422</v>
      </c>
      <c r="B433" s="4">
        <v>12</v>
      </c>
      <c r="C433" s="4" t="s">
        <v>3072</v>
      </c>
      <c r="D433" s="4">
        <v>543</v>
      </c>
      <c r="E433" s="4">
        <v>12444</v>
      </c>
      <c r="F433" s="4" t="s">
        <v>3073</v>
      </c>
      <c r="G433" s="203" t="s">
        <v>3074</v>
      </c>
      <c r="H433" s="4" t="s">
        <v>3075</v>
      </c>
      <c r="I433" s="4" t="s">
        <v>49</v>
      </c>
      <c r="J433" s="4" t="s">
        <v>1746</v>
      </c>
      <c r="K433" s="4">
        <v>1</v>
      </c>
      <c r="L433" s="4">
        <v>14466</v>
      </c>
      <c r="M433" s="9">
        <v>48.529440000000001</v>
      </c>
      <c r="N433" s="4">
        <v>-123.638611</v>
      </c>
      <c r="O433" s="4" t="s">
        <v>51</v>
      </c>
      <c r="P433" s="4" t="s">
        <v>60</v>
      </c>
      <c r="Q433" s="4">
        <v>4</v>
      </c>
      <c r="R433" s="4" t="s">
        <v>61</v>
      </c>
      <c r="S433" s="4" t="s">
        <v>44</v>
      </c>
      <c r="T433" s="4">
        <v>606</v>
      </c>
      <c r="U433"/>
      <c r="V433" s="4" t="s">
        <v>65</v>
      </c>
      <c r="W433" s="4">
        <v>35065</v>
      </c>
      <c r="AO433" s="268" t="s">
        <v>3076</v>
      </c>
      <c r="AP433" s="268">
        <v>543</v>
      </c>
      <c r="AQ433" s="268" t="s">
        <v>1700</v>
      </c>
      <c r="AR433" s="268" t="s">
        <v>1739</v>
      </c>
      <c r="AS433" s="268" t="s">
        <v>3077</v>
      </c>
      <c r="AT433" s="268" t="s">
        <v>1835</v>
      </c>
      <c r="AU433" s="268" t="s">
        <v>1704</v>
      </c>
      <c r="AV433" s="268" t="s">
        <v>3077</v>
      </c>
      <c r="AW433" s="268" t="s">
        <v>1705</v>
      </c>
      <c r="AX433" s="268" t="s">
        <v>1747</v>
      </c>
      <c r="AY433" s="268">
        <v>48.529699999999998</v>
      </c>
      <c r="AZ433" s="268">
        <v>-123.6375</v>
      </c>
      <c r="BA433" s="268">
        <v>600</v>
      </c>
    </row>
    <row r="434" spans="1:53" ht="14.25" customHeight="1" x14ac:dyDescent="0.2">
      <c r="A434" s="136" t="s">
        <v>422</v>
      </c>
      <c r="B434" s="4">
        <v>12</v>
      </c>
      <c r="C434" s="4" t="s">
        <v>1711</v>
      </c>
      <c r="D434" s="4">
        <v>550</v>
      </c>
      <c r="E434" s="4">
        <v>2012</v>
      </c>
      <c r="F434" s="16" t="s">
        <v>3095</v>
      </c>
      <c r="G434" s="4" t="s">
        <v>3096</v>
      </c>
      <c r="H434" s="4" t="s">
        <v>3097</v>
      </c>
      <c r="I434" s="4" t="s">
        <v>1664</v>
      </c>
      <c r="J434" s="4" t="s">
        <v>1746</v>
      </c>
      <c r="K434" s="4">
        <v>1</v>
      </c>
      <c r="L434" s="4">
        <v>2415</v>
      </c>
      <c r="M434" s="9"/>
      <c r="U434"/>
      <c r="AO434" s="4" t="s">
        <v>3095</v>
      </c>
      <c r="AP434" s="4">
        <v>550</v>
      </c>
      <c r="AQ434" s="4" t="s">
        <v>1716</v>
      </c>
      <c r="AR434" s="4" t="s">
        <v>1717</v>
      </c>
      <c r="AS434" s="4" t="s">
        <v>1718</v>
      </c>
      <c r="AT434" s="4" t="s">
        <v>1719</v>
      </c>
      <c r="AU434" s="4" t="s">
        <v>1703</v>
      </c>
      <c r="AV434" s="4" t="s">
        <v>1720</v>
      </c>
      <c r="AW434" s="4" t="s">
        <v>1705</v>
      </c>
      <c r="AX434" s="4" t="s">
        <v>1747</v>
      </c>
      <c r="AY434" s="4">
        <v>48.7</v>
      </c>
      <c r="AZ434" s="4">
        <v>-123.3</v>
      </c>
      <c r="BA434" s="4">
        <v>0</v>
      </c>
    </row>
    <row r="435" spans="1:53" ht="14.25" customHeight="1" x14ac:dyDescent="0.2">
      <c r="A435" s="136" t="s">
        <v>422</v>
      </c>
      <c r="B435" s="4">
        <v>12</v>
      </c>
      <c r="C435" s="4" t="s">
        <v>1711</v>
      </c>
      <c r="D435" s="4">
        <v>551</v>
      </c>
      <c r="E435" s="4">
        <v>2013</v>
      </c>
      <c r="F435" s="16" t="s">
        <v>3098</v>
      </c>
      <c r="G435" s="4" t="s">
        <v>3099</v>
      </c>
      <c r="H435" s="4" t="s">
        <v>3100</v>
      </c>
      <c r="I435" s="4" t="s">
        <v>1664</v>
      </c>
      <c r="J435" s="4" t="s">
        <v>1746</v>
      </c>
      <c r="K435" s="4">
        <v>1</v>
      </c>
      <c r="L435" s="4">
        <v>2416</v>
      </c>
      <c r="M435" s="9"/>
      <c r="U435"/>
      <c r="AO435" s="4" t="s">
        <v>3098</v>
      </c>
      <c r="AP435" s="4">
        <v>551</v>
      </c>
      <c r="AQ435" s="4" t="s">
        <v>1716</v>
      </c>
      <c r="AR435" s="4" t="s">
        <v>1717</v>
      </c>
      <c r="AS435" s="4" t="s">
        <v>1718</v>
      </c>
      <c r="AT435" s="4" t="s">
        <v>1719</v>
      </c>
      <c r="AU435" s="4" t="s">
        <v>1703</v>
      </c>
      <c r="AV435" s="4" t="s">
        <v>1720</v>
      </c>
      <c r="AW435" s="4" t="s">
        <v>1705</v>
      </c>
      <c r="AX435" s="4" t="s">
        <v>1883</v>
      </c>
      <c r="AY435" s="4">
        <v>49.5</v>
      </c>
      <c r="AZ435" s="4">
        <v>-122.8</v>
      </c>
      <c r="BA435" s="4">
        <v>4</v>
      </c>
    </row>
    <row r="436" spans="1:53" ht="14.25" customHeight="1" x14ac:dyDescent="0.2">
      <c r="A436" s="136" t="s">
        <v>422</v>
      </c>
      <c r="B436" s="4">
        <v>12</v>
      </c>
      <c r="C436" s="4" t="s">
        <v>1711</v>
      </c>
      <c r="D436" s="4">
        <v>553</v>
      </c>
      <c r="E436" s="4">
        <v>2015</v>
      </c>
      <c r="F436" s="16" t="s">
        <v>3104</v>
      </c>
      <c r="G436" s="4" t="s">
        <v>3105</v>
      </c>
      <c r="H436" s="4" t="s">
        <v>3106</v>
      </c>
      <c r="I436" s="4" t="s">
        <v>641</v>
      </c>
      <c r="J436" s="4" t="s">
        <v>1746</v>
      </c>
      <c r="K436" s="4">
        <v>1</v>
      </c>
      <c r="L436" s="4">
        <v>2418</v>
      </c>
      <c r="M436" s="9"/>
      <c r="U436"/>
      <c r="AO436" s="4" t="s">
        <v>3104</v>
      </c>
      <c r="AP436" s="4">
        <v>553</v>
      </c>
      <c r="AQ436" s="4" t="s">
        <v>1716</v>
      </c>
      <c r="AR436" s="4" t="s">
        <v>1717</v>
      </c>
      <c r="AS436" s="4" t="s">
        <v>1718</v>
      </c>
      <c r="AT436" s="4" t="s">
        <v>1703</v>
      </c>
      <c r="AU436" s="4" t="s">
        <v>1703</v>
      </c>
      <c r="AV436" s="4" t="s">
        <v>1720</v>
      </c>
      <c r="AW436" s="4" t="s">
        <v>1705</v>
      </c>
      <c r="AX436" s="4" t="s">
        <v>1883</v>
      </c>
      <c r="AY436" s="4">
        <v>49.369</v>
      </c>
      <c r="AZ436" s="4">
        <v>-121.492</v>
      </c>
      <c r="BA436" s="4">
        <v>162</v>
      </c>
    </row>
    <row r="437" spans="1:53" ht="14.25" customHeight="1" x14ac:dyDescent="0.2">
      <c r="A437" s="136" t="s">
        <v>422</v>
      </c>
      <c r="B437" s="4">
        <v>12</v>
      </c>
      <c r="C437" s="4" t="s">
        <v>1711</v>
      </c>
      <c r="D437" s="4">
        <v>570</v>
      </c>
      <c r="E437" s="4">
        <v>2028</v>
      </c>
      <c r="F437" s="16" t="s">
        <v>3172</v>
      </c>
      <c r="G437" s="4" t="s">
        <v>3173</v>
      </c>
      <c r="H437" s="4" t="s">
        <v>3174</v>
      </c>
      <c r="I437" s="4" t="s">
        <v>1664</v>
      </c>
      <c r="J437" s="4" t="s">
        <v>1746</v>
      </c>
      <c r="K437" s="4">
        <v>1</v>
      </c>
      <c r="L437" s="4">
        <v>2431</v>
      </c>
      <c r="M437" s="9"/>
      <c r="U437"/>
      <c r="AO437" s="4" t="s">
        <v>3172</v>
      </c>
      <c r="AP437" s="4">
        <v>570</v>
      </c>
      <c r="AQ437" s="4" t="s">
        <v>1716</v>
      </c>
      <c r="AR437" s="4" t="s">
        <v>1717</v>
      </c>
      <c r="AS437" s="4" t="s">
        <v>1718</v>
      </c>
      <c r="AT437" s="4" t="s">
        <v>1719</v>
      </c>
      <c r="AU437" s="4" t="s">
        <v>1703</v>
      </c>
      <c r="AV437" s="4" t="s">
        <v>1720</v>
      </c>
      <c r="AW437" s="4" t="s">
        <v>1705</v>
      </c>
      <c r="AX437" s="4" t="s">
        <v>1952</v>
      </c>
      <c r="AY437" s="4">
        <v>53.4</v>
      </c>
      <c r="AZ437" s="4">
        <v>-132.1</v>
      </c>
      <c r="BA437" s="4">
        <v>1</v>
      </c>
    </row>
    <row r="438" spans="1:53" ht="14.25" customHeight="1" x14ac:dyDescent="0.2">
      <c r="A438" s="136" t="s">
        <v>422</v>
      </c>
      <c r="B438" s="4">
        <v>12</v>
      </c>
      <c r="C438" s="4" t="s">
        <v>1711</v>
      </c>
      <c r="D438" s="4">
        <v>574</v>
      </c>
      <c r="E438" s="4">
        <v>2031</v>
      </c>
      <c r="F438" s="16" t="s">
        <v>3181</v>
      </c>
      <c r="G438" s="4" t="s">
        <v>3182</v>
      </c>
      <c r="H438" s="4" t="s">
        <v>3183</v>
      </c>
      <c r="I438" s="4" t="s">
        <v>1664</v>
      </c>
      <c r="J438" s="4" t="s">
        <v>1746</v>
      </c>
      <c r="K438" s="4">
        <v>1</v>
      </c>
      <c r="L438" s="4">
        <v>2434</v>
      </c>
      <c r="M438" s="9"/>
      <c r="U438"/>
      <c r="AO438" s="4" t="s">
        <v>3181</v>
      </c>
      <c r="AP438" s="4">
        <v>574</v>
      </c>
      <c r="AQ438" s="4" t="s">
        <v>1716</v>
      </c>
      <c r="AR438" s="4" t="s">
        <v>1717</v>
      </c>
      <c r="AS438" s="4" t="s">
        <v>1718</v>
      </c>
      <c r="AT438" s="4" t="s">
        <v>1719</v>
      </c>
      <c r="AU438" s="4" t="s">
        <v>1703</v>
      </c>
      <c r="AV438" s="4" t="s">
        <v>1720</v>
      </c>
      <c r="AW438" s="4" t="s">
        <v>1705</v>
      </c>
      <c r="AX438" s="4" t="s">
        <v>1965</v>
      </c>
      <c r="AY438" s="4">
        <v>52.133000000000003</v>
      </c>
      <c r="AZ438" s="4">
        <v>-128.26</v>
      </c>
      <c r="BA438" s="4">
        <v>1</v>
      </c>
    </row>
    <row r="439" spans="1:53" ht="14.25" customHeight="1" x14ac:dyDescent="0.2">
      <c r="A439" s="136" t="s">
        <v>422</v>
      </c>
      <c r="B439" s="4">
        <v>12</v>
      </c>
      <c r="C439" s="4" t="s">
        <v>1711</v>
      </c>
      <c r="D439" s="9">
        <v>576</v>
      </c>
      <c r="E439" s="4">
        <v>2033</v>
      </c>
      <c r="F439" s="211" t="s">
        <v>3187</v>
      </c>
      <c r="G439" s="188" t="s">
        <v>3188</v>
      </c>
      <c r="H439" s="4" t="s">
        <v>3189</v>
      </c>
      <c r="I439" s="4" t="s">
        <v>1664</v>
      </c>
      <c r="J439" s="4" t="s">
        <v>1746</v>
      </c>
      <c r="K439" s="4">
        <v>1</v>
      </c>
      <c r="L439" s="4">
        <v>2436</v>
      </c>
      <c r="M439" s="9"/>
      <c r="U439"/>
      <c r="AO439" s="4" t="s">
        <v>3187</v>
      </c>
      <c r="AP439" s="4">
        <v>576</v>
      </c>
      <c r="AQ439" s="4" t="s">
        <v>1716</v>
      </c>
      <c r="AR439" s="4" t="s">
        <v>1717</v>
      </c>
      <c r="AS439" s="4" t="s">
        <v>1718</v>
      </c>
      <c r="AT439" s="4" t="s">
        <v>1719</v>
      </c>
      <c r="AU439" s="4" t="s">
        <v>1703</v>
      </c>
      <c r="AV439" s="4" t="s">
        <v>1720</v>
      </c>
      <c r="AW439" s="4" t="s">
        <v>1947</v>
      </c>
      <c r="AX439" s="4" t="s">
        <v>1948</v>
      </c>
      <c r="AY439" s="4">
        <v>53.4</v>
      </c>
      <c r="AZ439" s="4">
        <v>-128.69999999999999</v>
      </c>
      <c r="BA439" s="4">
        <v>6</v>
      </c>
    </row>
    <row r="440" spans="1:53" ht="14.25" customHeight="1" x14ac:dyDescent="0.2">
      <c r="A440" s="136" t="s">
        <v>422</v>
      </c>
      <c r="B440" s="4">
        <v>12</v>
      </c>
      <c r="C440" s="4" t="s">
        <v>1711</v>
      </c>
      <c r="D440" s="4">
        <v>577</v>
      </c>
      <c r="E440" s="4">
        <v>2034</v>
      </c>
      <c r="F440" s="211" t="s">
        <v>3190</v>
      </c>
      <c r="G440" s="4" t="s">
        <v>3191</v>
      </c>
      <c r="H440" s="4" t="s">
        <v>3192</v>
      </c>
      <c r="I440" s="4" t="s">
        <v>1664</v>
      </c>
      <c r="J440" s="4" t="s">
        <v>1746</v>
      </c>
      <c r="K440" s="4">
        <v>1</v>
      </c>
      <c r="L440" s="4">
        <v>2437</v>
      </c>
      <c r="M440" s="9"/>
      <c r="U440"/>
      <c r="AO440" s="188" t="s">
        <v>3190</v>
      </c>
      <c r="AP440" s="188">
        <v>577</v>
      </c>
      <c r="AQ440" s="188" t="s">
        <v>1716</v>
      </c>
      <c r="AR440" s="188" t="s">
        <v>1717</v>
      </c>
      <c r="AS440" s="188" t="s">
        <v>1718</v>
      </c>
      <c r="AT440" s="188" t="s">
        <v>1719</v>
      </c>
      <c r="AU440" s="188" t="s">
        <v>1703</v>
      </c>
      <c r="AV440" s="188" t="s">
        <v>1720</v>
      </c>
      <c r="AW440" s="188" t="s">
        <v>1947</v>
      </c>
      <c r="AX440" s="188" t="s">
        <v>1948</v>
      </c>
      <c r="AY440" s="188">
        <v>53.5</v>
      </c>
      <c r="AZ440" s="188">
        <v>-128.80000000000001</v>
      </c>
      <c r="BA440" s="188">
        <v>1</v>
      </c>
    </row>
    <row r="441" spans="1:53" ht="14.25" customHeight="1" x14ac:dyDescent="0.2">
      <c r="A441" s="136" t="s">
        <v>422</v>
      </c>
      <c r="B441" s="4">
        <v>12</v>
      </c>
      <c r="C441" s="4" t="s">
        <v>1711</v>
      </c>
      <c r="D441" s="4">
        <v>578</v>
      </c>
      <c r="E441" s="4">
        <v>2035</v>
      </c>
      <c r="F441" s="16" t="s">
        <v>3193</v>
      </c>
      <c r="G441" s="4" t="s">
        <v>3194</v>
      </c>
      <c r="H441" s="4" t="s">
        <v>3195</v>
      </c>
      <c r="I441" s="4" t="s">
        <v>1664</v>
      </c>
      <c r="J441" s="4" t="s">
        <v>1746</v>
      </c>
      <c r="K441" s="4">
        <v>1</v>
      </c>
      <c r="L441" s="4">
        <v>2438</v>
      </c>
      <c r="M441" s="9"/>
      <c r="U441"/>
      <c r="AO441" s="4" t="s">
        <v>3193</v>
      </c>
      <c r="AP441" s="4">
        <v>578</v>
      </c>
      <c r="AQ441" s="4" t="s">
        <v>1716</v>
      </c>
      <c r="AR441" s="4" t="s">
        <v>1717</v>
      </c>
      <c r="AS441" s="4" t="s">
        <v>1718</v>
      </c>
      <c r="AT441" s="4" t="s">
        <v>1719</v>
      </c>
      <c r="AU441" s="4" t="s">
        <v>1703</v>
      </c>
      <c r="AV441" s="4" t="s">
        <v>1720</v>
      </c>
      <c r="AW441" s="4" t="s">
        <v>1947</v>
      </c>
      <c r="AX441" s="4" t="s">
        <v>1948</v>
      </c>
      <c r="AY441" s="4">
        <v>53.4</v>
      </c>
      <c r="AZ441" s="4">
        <v>-129.1</v>
      </c>
      <c r="BA441" s="4">
        <v>0</v>
      </c>
    </row>
    <row r="442" spans="1:53" ht="14.25" customHeight="1" x14ac:dyDescent="0.2">
      <c r="A442" s="136" t="s">
        <v>422</v>
      </c>
      <c r="B442" s="4">
        <v>12</v>
      </c>
      <c r="C442" s="4" t="s">
        <v>1711</v>
      </c>
      <c r="D442" s="4">
        <v>587</v>
      </c>
      <c r="E442" s="4">
        <v>2044</v>
      </c>
      <c r="F442" s="16" t="s">
        <v>3218</v>
      </c>
      <c r="G442" s="4" t="s">
        <v>3219</v>
      </c>
      <c r="H442" s="4" t="s">
        <v>3220</v>
      </c>
      <c r="I442" s="4" t="s">
        <v>1664</v>
      </c>
      <c r="J442" s="4" t="s">
        <v>1746</v>
      </c>
      <c r="K442" s="4">
        <v>1</v>
      </c>
      <c r="L442" s="4">
        <v>2447</v>
      </c>
      <c r="M442" s="9"/>
      <c r="U442"/>
      <c r="AO442" s="4" t="s">
        <v>3218</v>
      </c>
      <c r="AP442" s="4">
        <v>587</v>
      </c>
      <c r="AQ442" s="4" t="s">
        <v>1716</v>
      </c>
      <c r="AR442" s="4" t="s">
        <v>1717</v>
      </c>
      <c r="AS442" s="4" t="s">
        <v>1718</v>
      </c>
      <c r="AT442" s="4" t="s">
        <v>1719</v>
      </c>
      <c r="AU442" s="4" t="s">
        <v>1703</v>
      </c>
      <c r="AV442" s="4" t="s">
        <v>1720</v>
      </c>
      <c r="AW442" s="4" t="s">
        <v>1705</v>
      </c>
      <c r="AX442" s="4" t="s">
        <v>1965</v>
      </c>
      <c r="AY442" s="4">
        <v>52.2</v>
      </c>
      <c r="AZ442" s="4">
        <v>-126.7</v>
      </c>
      <c r="BA442" s="4">
        <v>7</v>
      </c>
    </row>
    <row r="443" spans="1:53" ht="14.25" customHeight="1" x14ac:dyDescent="0.2">
      <c r="A443" s="136" t="s">
        <v>422</v>
      </c>
      <c r="B443" s="4">
        <v>12</v>
      </c>
      <c r="C443" s="4" t="s">
        <v>1711</v>
      </c>
      <c r="D443" s="4">
        <v>622</v>
      </c>
      <c r="E443" s="4">
        <v>2078</v>
      </c>
      <c r="F443" s="16" t="s">
        <v>3309</v>
      </c>
      <c r="G443" s="203" t="s">
        <v>3310</v>
      </c>
      <c r="H443" s="4" t="s">
        <v>3311</v>
      </c>
      <c r="I443" s="4" t="s">
        <v>1664</v>
      </c>
      <c r="J443" s="4" t="s">
        <v>1746</v>
      </c>
      <c r="K443" s="4">
        <v>1</v>
      </c>
      <c r="L443" s="4">
        <v>2481</v>
      </c>
      <c r="M443" s="9"/>
      <c r="U443"/>
      <c r="AO443" s="4" t="s">
        <v>3309</v>
      </c>
      <c r="AP443" s="4">
        <v>622</v>
      </c>
      <c r="AQ443" s="4" t="s">
        <v>1716</v>
      </c>
      <c r="AR443" s="4" t="s">
        <v>1717</v>
      </c>
      <c r="AS443" s="4" t="s">
        <v>1718</v>
      </c>
      <c r="AT443" s="4" t="s">
        <v>1719</v>
      </c>
      <c r="AU443" s="4" t="s">
        <v>1703</v>
      </c>
      <c r="AV443" s="4" t="s">
        <v>1720</v>
      </c>
      <c r="AW443" s="4" t="s">
        <v>1947</v>
      </c>
      <c r="AX443" s="4" t="s">
        <v>2148</v>
      </c>
      <c r="AY443" s="4">
        <v>54.3</v>
      </c>
      <c r="AZ443" s="4">
        <v>-125.5</v>
      </c>
      <c r="BA443" s="4">
        <v>9</v>
      </c>
    </row>
    <row r="444" spans="1:53" ht="14.25" customHeight="1" x14ac:dyDescent="0.2">
      <c r="A444" s="136" t="s">
        <v>422</v>
      </c>
      <c r="B444" s="4">
        <v>12</v>
      </c>
      <c r="C444" s="4" t="s">
        <v>1711</v>
      </c>
      <c r="D444" s="4">
        <v>626</v>
      </c>
      <c r="E444" s="4">
        <v>2082</v>
      </c>
      <c r="F444" s="16" t="s">
        <v>3321</v>
      </c>
      <c r="G444" s="4" t="s">
        <v>3322</v>
      </c>
      <c r="H444" s="4" t="s">
        <v>3323</v>
      </c>
      <c r="I444" s="4" t="s">
        <v>1664</v>
      </c>
      <c r="J444" s="4" t="s">
        <v>1746</v>
      </c>
      <c r="K444" s="4">
        <v>1</v>
      </c>
      <c r="L444" s="4">
        <v>2485</v>
      </c>
      <c r="M444" s="9"/>
      <c r="U444"/>
      <c r="AO444" s="4" t="s">
        <v>3321</v>
      </c>
      <c r="AP444" s="4">
        <v>626</v>
      </c>
      <c r="AQ444" s="4" t="s">
        <v>1716</v>
      </c>
      <c r="AR444" s="4" t="s">
        <v>1717</v>
      </c>
      <c r="AS444" s="4" t="s">
        <v>1718</v>
      </c>
      <c r="AT444" s="4" t="s">
        <v>1719</v>
      </c>
      <c r="AU444" s="4" t="s">
        <v>1703</v>
      </c>
      <c r="AV444" s="4" t="s">
        <v>1720</v>
      </c>
      <c r="AW444" s="4" t="s">
        <v>2003</v>
      </c>
      <c r="AX444" s="4" t="s">
        <v>2139</v>
      </c>
      <c r="AY444" s="4">
        <v>54.2</v>
      </c>
      <c r="AZ444" s="4">
        <v>-124.1</v>
      </c>
      <c r="BA444" s="4">
        <v>8</v>
      </c>
    </row>
    <row r="445" spans="1:53" ht="14.25" customHeight="1" x14ac:dyDescent="0.2">
      <c r="A445" s="136" t="s">
        <v>422</v>
      </c>
      <c r="B445" s="4">
        <v>12</v>
      </c>
      <c r="C445" s="4" t="s">
        <v>1711</v>
      </c>
      <c r="D445" s="4">
        <v>631</v>
      </c>
      <c r="E445" s="4">
        <v>2086</v>
      </c>
      <c r="F445" s="211" t="s">
        <v>3333</v>
      </c>
      <c r="G445" s="4" t="s">
        <v>3334</v>
      </c>
      <c r="H445" s="4" t="s">
        <v>3335</v>
      </c>
      <c r="I445" s="4" t="s">
        <v>1664</v>
      </c>
      <c r="J445" s="4" t="s">
        <v>1746</v>
      </c>
      <c r="K445" s="4">
        <v>1</v>
      </c>
      <c r="L445" s="4">
        <v>2489</v>
      </c>
      <c r="M445" s="9"/>
      <c r="U445"/>
      <c r="AO445" s="188" t="s">
        <v>3333</v>
      </c>
      <c r="AP445" s="188">
        <v>631</v>
      </c>
      <c r="AQ445" s="188" t="s">
        <v>1716</v>
      </c>
      <c r="AR445" s="188" t="s">
        <v>1717</v>
      </c>
      <c r="AS445" s="188" t="s">
        <v>1718</v>
      </c>
      <c r="AT445" s="188" t="s">
        <v>1719</v>
      </c>
      <c r="AU445" s="188" t="s">
        <v>1703</v>
      </c>
      <c r="AV445" s="188" t="s">
        <v>1720</v>
      </c>
      <c r="AW445" s="188" t="s">
        <v>2003</v>
      </c>
      <c r="AX445" s="188" t="s">
        <v>2139</v>
      </c>
      <c r="AY445" s="188">
        <v>53.1</v>
      </c>
      <c r="AZ445" s="188">
        <v>-125.1</v>
      </c>
      <c r="BA445" s="188">
        <v>14</v>
      </c>
    </row>
    <row r="446" spans="1:53" ht="14.25" customHeight="1" x14ac:dyDescent="0.2">
      <c r="A446" s="136" t="s">
        <v>422</v>
      </c>
      <c r="B446" s="4">
        <v>12</v>
      </c>
      <c r="C446" s="4" t="s">
        <v>1711</v>
      </c>
      <c r="D446" s="4">
        <v>632</v>
      </c>
      <c r="E446" s="4">
        <v>2087</v>
      </c>
      <c r="F446" s="16" t="s">
        <v>3336</v>
      </c>
      <c r="G446" s="4" t="s">
        <v>3337</v>
      </c>
      <c r="H446" s="4" t="s">
        <v>3338</v>
      </c>
      <c r="I446" s="4" t="s">
        <v>1664</v>
      </c>
      <c r="J446" s="4" t="s">
        <v>1746</v>
      </c>
      <c r="K446" s="4">
        <v>1</v>
      </c>
      <c r="L446" s="4">
        <v>2490</v>
      </c>
      <c r="M446" s="9"/>
      <c r="U446"/>
      <c r="AO446" s="4" t="s">
        <v>3336</v>
      </c>
      <c r="AP446" s="4">
        <v>632</v>
      </c>
      <c r="AQ446" s="4" t="s">
        <v>1716</v>
      </c>
      <c r="AR446" s="4" t="s">
        <v>1717</v>
      </c>
      <c r="AS446" s="4" t="s">
        <v>1718</v>
      </c>
      <c r="AT446" s="4" t="s">
        <v>1719</v>
      </c>
      <c r="AU446" s="4" t="s">
        <v>1703</v>
      </c>
      <c r="AV446" s="4" t="s">
        <v>1720</v>
      </c>
      <c r="AW446" s="4" t="s">
        <v>2003</v>
      </c>
      <c r="AX446" s="4" t="s">
        <v>2139</v>
      </c>
      <c r="AY446" s="4">
        <v>53.3</v>
      </c>
      <c r="AZ446" s="4">
        <v>-125.1</v>
      </c>
      <c r="BA446" s="4">
        <v>10</v>
      </c>
    </row>
    <row r="447" spans="1:53" ht="14.25" customHeight="1" x14ac:dyDescent="0.2">
      <c r="A447" s="136" t="s">
        <v>422</v>
      </c>
      <c r="B447" s="4">
        <v>12</v>
      </c>
      <c r="C447" s="4" t="s">
        <v>1711</v>
      </c>
      <c r="D447" s="4">
        <v>651</v>
      </c>
      <c r="E447" s="4">
        <v>2104</v>
      </c>
      <c r="F447" s="211" t="s">
        <v>3384</v>
      </c>
      <c r="G447" s="188" t="s">
        <v>3385</v>
      </c>
      <c r="H447" s="4" t="s">
        <v>3386</v>
      </c>
      <c r="I447" s="4" t="s">
        <v>1664</v>
      </c>
      <c r="J447" s="4" t="s">
        <v>1746</v>
      </c>
      <c r="K447" s="4">
        <v>1</v>
      </c>
      <c r="L447" s="4">
        <v>2507</v>
      </c>
      <c r="M447" s="9"/>
      <c r="U447"/>
      <c r="AO447" s="4" t="s">
        <v>3384</v>
      </c>
      <c r="AP447" s="4">
        <v>651</v>
      </c>
      <c r="AQ447" s="4" t="s">
        <v>1716</v>
      </c>
      <c r="AR447" s="4" t="s">
        <v>1717</v>
      </c>
      <c r="AS447" s="4" t="s">
        <v>1718</v>
      </c>
      <c r="AT447" s="4" t="s">
        <v>1719</v>
      </c>
      <c r="AU447" s="4" t="s">
        <v>1703</v>
      </c>
      <c r="AV447" s="4" t="s">
        <v>1720</v>
      </c>
      <c r="AW447" s="4" t="s">
        <v>1947</v>
      </c>
      <c r="AX447" s="4" t="s">
        <v>2133</v>
      </c>
      <c r="AY447" s="4">
        <v>55.8</v>
      </c>
      <c r="AZ447" s="4">
        <v>-127.1</v>
      </c>
      <c r="BA447" s="4">
        <v>9</v>
      </c>
    </row>
    <row r="448" spans="1:53" ht="14.25" customHeight="1" x14ac:dyDescent="0.2">
      <c r="A448" s="136" t="s">
        <v>422</v>
      </c>
      <c r="B448" s="4">
        <v>12</v>
      </c>
      <c r="C448" s="4" t="s">
        <v>1711</v>
      </c>
      <c r="D448" s="4">
        <v>652</v>
      </c>
      <c r="E448" s="4">
        <v>2105</v>
      </c>
      <c r="F448" s="16" t="s">
        <v>3387</v>
      </c>
      <c r="G448" s="4" t="s">
        <v>3388</v>
      </c>
      <c r="H448" s="4" t="s">
        <v>3389</v>
      </c>
      <c r="I448" s="4" t="s">
        <v>1664</v>
      </c>
      <c r="J448" s="4" t="s">
        <v>1746</v>
      </c>
      <c r="K448" s="4">
        <v>1</v>
      </c>
      <c r="L448" s="4">
        <v>2508</v>
      </c>
      <c r="M448" s="9"/>
      <c r="U448"/>
      <c r="AO448" s="4" t="s">
        <v>3387</v>
      </c>
      <c r="AP448" s="4">
        <v>652</v>
      </c>
      <c r="AQ448" s="4" t="s">
        <v>1716</v>
      </c>
      <c r="AR448" s="4" t="s">
        <v>1717</v>
      </c>
      <c r="AS448" s="4" t="s">
        <v>1718</v>
      </c>
      <c r="AT448" s="4" t="s">
        <v>1719</v>
      </c>
      <c r="AU448" s="4" t="s">
        <v>1703</v>
      </c>
      <c r="AV448" s="4" t="s">
        <v>1720</v>
      </c>
      <c r="AW448" s="4" t="s">
        <v>1947</v>
      </c>
      <c r="AX448" s="4" t="s">
        <v>2153</v>
      </c>
      <c r="AY448" s="4">
        <v>53.5</v>
      </c>
      <c r="AZ448" s="4">
        <v>-126.9</v>
      </c>
      <c r="BA448" s="4">
        <v>9</v>
      </c>
    </row>
    <row r="449" spans="1:53" ht="14.25" customHeight="1" x14ac:dyDescent="0.2">
      <c r="A449" s="136" t="s">
        <v>422</v>
      </c>
      <c r="B449" s="4">
        <v>12</v>
      </c>
      <c r="C449" s="4" t="s">
        <v>1711</v>
      </c>
      <c r="D449" s="4">
        <v>658</v>
      </c>
      <c r="E449" s="4">
        <v>2111</v>
      </c>
      <c r="F449" s="16" t="s">
        <v>3404</v>
      </c>
      <c r="G449" s="4" t="s">
        <v>3405</v>
      </c>
      <c r="H449" s="4" t="s">
        <v>3406</v>
      </c>
      <c r="I449" s="4" t="s">
        <v>1664</v>
      </c>
      <c r="J449" s="4" t="s">
        <v>1746</v>
      </c>
      <c r="K449" s="4">
        <v>1</v>
      </c>
      <c r="L449" s="4">
        <v>2514</v>
      </c>
      <c r="M449" s="9"/>
      <c r="U449"/>
      <c r="AO449" s="4" t="s">
        <v>3404</v>
      </c>
      <c r="AP449" s="4">
        <v>658</v>
      </c>
      <c r="AQ449" s="4" t="s">
        <v>1716</v>
      </c>
      <c r="AR449" s="4" t="s">
        <v>1717</v>
      </c>
      <c r="AS449" s="4" t="s">
        <v>1718</v>
      </c>
      <c r="AT449" s="4" t="s">
        <v>1719</v>
      </c>
      <c r="AU449" s="4" t="s">
        <v>1703</v>
      </c>
      <c r="AV449" s="4" t="s">
        <v>1720</v>
      </c>
      <c r="AW449" s="4" t="s">
        <v>2003</v>
      </c>
      <c r="AX449" s="4" t="s">
        <v>2258</v>
      </c>
      <c r="AY449" s="4">
        <v>52.4</v>
      </c>
      <c r="AZ449" s="4">
        <v>-118.4</v>
      </c>
      <c r="BA449" s="4">
        <v>9</v>
      </c>
    </row>
    <row r="450" spans="1:53" ht="14.25" customHeight="1" x14ac:dyDescent="0.2">
      <c r="A450" s="136" t="s">
        <v>422</v>
      </c>
      <c r="B450" s="4">
        <v>12</v>
      </c>
      <c r="C450" s="4" t="s">
        <v>1711</v>
      </c>
      <c r="D450" s="4">
        <v>662</v>
      </c>
      <c r="E450" s="4">
        <v>2114</v>
      </c>
      <c r="F450" s="16" t="s">
        <v>3413</v>
      </c>
      <c r="G450" s="9" t="s">
        <v>3414</v>
      </c>
      <c r="H450" s="4" t="s">
        <v>3415</v>
      </c>
      <c r="I450" s="4" t="s">
        <v>1664</v>
      </c>
      <c r="J450" s="4" t="s">
        <v>1746</v>
      </c>
      <c r="K450" s="4">
        <v>1</v>
      </c>
      <c r="L450" s="4">
        <v>2517</v>
      </c>
      <c r="M450" s="9"/>
      <c r="U450"/>
      <c r="AO450" s="4" t="s">
        <v>3413</v>
      </c>
      <c r="AP450" s="4">
        <v>662</v>
      </c>
      <c r="AQ450" s="4" t="s">
        <v>1716</v>
      </c>
      <c r="AR450" s="4" t="s">
        <v>1717</v>
      </c>
      <c r="AS450" s="4" t="s">
        <v>1718</v>
      </c>
      <c r="AT450" s="4" t="s">
        <v>1719</v>
      </c>
      <c r="AU450" s="4" t="s">
        <v>1703</v>
      </c>
      <c r="AV450" s="4" t="s">
        <v>1720</v>
      </c>
      <c r="AW450" s="4" t="s">
        <v>2193</v>
      </c>
      <c r="AX450" s="4" t="s">
        <v>2283</v>
      </c>
      <c r="AY450" s="4">
        <v>52</v>
      </c>
      <c r="AZ450" s="4">
        <v>-125.1</v>
      </c>
      <c r="BA450" s="4">
        <v>35</v>
      </c>
    </row>
    <row r="451" spans="1:53" ht="14.25" customHeight="1" x14ac:dyDescent="0.2">
      <c r="A451" s="136" t="s">
        <v>422</v>
      </c>
      <c r="B451" s="4">
        <v>12</v>
      </c>
      <c r="C451" s="4" t="s">
        <v>1711</v>
      </c>
      <c r="D451" s="4">
        <v>665</v>
      </c>
      <c r="E451" s="4">
        <v>2117</v>
      </c>
      <c r="F451" s="16" t="s">
        <v>3422</v>
      </c>
      <c r="G451" s="203" t="s">
        <v>3423</v>
      </c>
      <c r="H451" s="4" t="s">
        <v>3424</v>
      </c>
      <c r="I451" s="4" t="s">
        <v>1664</v>
      </c>
      <c r="J451" s="4" t="s">
        <v>1746</v>
      </c>
      <c r="K451" s="4">
        <v>1</v>
      </c>
      <c r="L451" s="4">
        <v>2520</v>
      </c>
      <c r="M451" s="9"/>
      <c r="U451"/>
      <c r="AO451" s="4" t="s">
        <v>3422</v>
      </c>
      <c r="AP451" s="4">
        <v>665</v>
      </c>
      <c r="AQ451" s="4" t="s">
        <v>1716</v>
      </c>
      <c r="AR451" s="4" t="s">
        <v>1717</v>
      </c>
      <c r="AS451" s="4" t="s">
        <v>1718</v>
      </c>
      <c r="AT451" s="4" t="s">
        <v>1719</v>
      </c>
      <c r="AU451" s="4" t="s">
        <v>1703</v>
      </c>
      <c r="AV451" s="4" t="s">
        <v>1720</v>
      </c>
      <c r="AW451" s="4" t="s">
        <v>2193</v>
      </c>
      <c r="AX451" s="4" t="s">
        <v>2194</v>
      </c>
      <c r="AY451" s="4">
        <v>53.2</v>
      </c>
      <c r="AZ451" s="4">
        <v>-122.6</v>
      </c>
      <c r="BA451" s="4">
        <v>8</v>
      </c>
    </row>
    <row r="452" spans="1:53" ht="14.25" customHeight="1" x14ac:dyDescent="0.2">
      <c r="A452" s="136" t="s">
        <v>422</v>
      </c>
      <c r="B452" s="4">
        <v>12</v>
      </c>
      <c r="C452" s="4" t="s">
        <v>1711</v>
      </c>
      <c r="D452" s="4">
        <v>667</v>
      </c>
      <c r="E452" s="4">
        <v>2119</v>
      </c>
      <c r="F452" s="211" t="s">
        <v>3428</v>
      </c>
      <c r="G452" s="4" t="s">
        <v>3429</v>
      </c>
      <c r="H452" s="4" t="s">
        <v>3430</v>
      </c>
      <c r="I452" s="4" t="s">
        <v>1664</v>
      </c>
      <c r="J452" s="4" t="s">
        <v>1746</v>
      </c>
      <c r="K452" s="4">
        <v>1</v>
      </c>
      <c r="L452" s="4">
        <v>2522</v>
      </c>
      <c r="M452" s="9"/>
      <c r="U452"/>
      <c r="AO452" s="188" t="s">
        <v>3428</v>
      </c>
      <c r="AP452" s="188">
        <v>667</v>
      </c>
      <c r="AQ452" s="188" t="s">
        <v>1716</v>
      </c>
      <c r="AR452" s="188" t="s">
        <v>1717</v>
      </c>
      <c r="AS452" s="188" t="s">
        <v>1718</v>
      </c>
      <c r="AT452" s="188" t="s">
        <v>1719</v>
      </c>
      <c r="AU452" s="188" t="s">
        <v>1703</v>
      </c>
      <c r="AV452" s="188" t="s">
        <v>1720</v>
      </c>
      <c r="AW452" s="188" t="s">
        <v>2368</v>
      </c>
      <c r="AX452" s="188" t="s">
        <v>2401</v>
      </c>
      <c r="AY452" s="188">
        <v>51.767000000000003</v>
      </c>
      <c r="AZ452" s="188">
        <v>-120.06699999999999</v>
      </c>
      <c r="BA452" s="188">
        <v>11</v>
      </c>
    </row>
    <row r="453" spans="1:53" ht="14.25" customHeight="1" x14ac:dyDescent="0.2">
      <c r="A453" s="136" t="s">
        <v>422</v>
      </c>
      <c r="B453" s="4">
        <v>12</v>
      </c>
      <c r="C453" s="4" t="s">
        <v>1711</v>
      </c>
      <c r="D453" s="4">
        <v>674</v>
      </c>
      <c r="E453" s="4">
        <v>2126</v>
      </c>
      <c r="F453" s="16" t="s">
        <v>3449</v>
      </c>
      <c r="G453" s="4" t="s">
        <v>3450</v>
      </c>
      <c r="H453" s="4" t="s">
        <v>3451</v>
      </c>
      <c r="I453" s="4" t="s">
        <v>1664</v>
      </c>
      <c r="J453" s="4" t="s">
        <v>1746</v>
      </c>
      <c r="K453" s="4">
        <v>1</v>
      </c>
      <c r="L453" s="4">
        <v>2529</v>
      </c>
      <c r="M453" s="9"/>
      <c r="U453"/>
      <c r="AO453" s="4" t="s">
        <v>3449</v>
      </c>
      <c r="AP453" s="4">
        <v>674</v>
      </c>
      <c r="AQ453" s="4" t="s">
        <v>1716</v>
      </c>
      <c r="AR453" s="4" t="s">
        <v>1717</v>
      </c>
      <c r="AS453" s="4" t="s">
        <v>1718</v>
      </c>
      <c r="AT453" s="4" t="s">
        <v>1719</v>
      </c>
      <c r="AU453" s="4" t="s">
        <v>1703</v>
      </c>
      <c r="AV453" s="4" t="s">
        <v>1720</v>
      </c>
      <c r="AW453" s="4" t="s">
        <v>2368</v>
      </c>
      <c r="AX453" s="4" t="s">
        <v>2287</v>
      </c>
      <c r="AY453" s="4">
        <v>52.1</v>
      </c>
      <c r="AZ453" s="4">
        <v>-121.1</v>
      </c>
      <c r="BA453" s="4">
        <v>15</v>
      </c>
    </row>
    <row r="454" spans="1:53" ht="14.25" customHeight="1" x14ac:dyDescent="0.2">
      <c r="A454" s="136" t="s">
        <v>422</v>
      </c>
      <c r="B454" s="4">
        <v>12</v>
      </c>
      <c r="C454" s="4" t="s">
        <v>1711</v>
      </c>
      <c r="D454" s="4">
        <v>675</v>
      </c>
      <c r="E454" s="4">
        <v>2127</v>
      </c>
      <c r="F454" s="211" t="s">
        <v>3452</v>
      </c>
      <c r="G454" s="188" t="s">
        <v>3453</v>
      </c>
      <c r="H454" s="4" t="s">
        <v>3454</v>
      </c>
      <c r="I454" s="4" t="s">
        <v>1664</v>
      </c>
      <c r="J454" s="4" t="s">
        <v>1746</v>
      </c>
      <c r="K454" s="4">
        <v>1</v>
      </c>
      <c r="L454" s="4">
        <v>2530</v>
      </c>
      <c r="M454" s="9"/>
      <c r="U454"/>
      <c r="AO454" s="4" t="s">
        <v>3452</v>
      </c>
      <c r="AP454" s="4">
        <v>675</v>
      </c>
      <c r="AQ454" s="4" t="s">
        <v>1716</v>
      </c>
      <c r="AR454" s="4" t="s">
        <v>1717</v>
      </c>
      <c r="AS454" s="4" t="s">
        <v>1718</v>
      </c>
      <c r="AT454" s="4" t="s">
        <v>1719</v>
      </c>
      <c r="AU454" s="4" t="s">
        <v>1703</v>
      </c>
      <c r="AV454" s="4" t="s">
        <v>1720</v>
      </c>
      <c r="AW454" s="4" t="s">
        <v>2368</v>
      </c>
      <c r="AX454" s="4" t="s">
        <v>2401</v>
      </c>
      <c r="AY454" s="4">
        <v>51.4</v>
      </c>
      <c r="AZ454" s="4">
        <v>-119.4</v>
      </c>
      <c r="BA454" s="4">
        <v>16</v>
      </c>
    </row>
    <row r="455" spans="1:53" ht="14.25" customHeight="1" x14ac:dyDescent="0.2">
      <c r="A455" s="136" t="s">
        <v>422</v>
      </c>
      <c r="B455" s="4">
        <v>12</v>
      </c>
      <c r="C455" s="4" t="s">
        <v>1711</v>
      </c>
      <c r="D455" s="4">
        <v>683</v>
      </c>
      <c r="E455" s="4">
        <v>2134</v>
      </c>
      <c r="F455" s="211" t="s">
        <v>3473</v>
      </c>
      <c r="G455" s="203" t="s">
        <v>3474</v>
      </c>
      <c r="H455" s="4" t="s">
        <v>3475</v>
      </c>
      <c r="I455" s="4" t="s">
        <v>641</v>
      </c>
      <c r="J455" s="4" t="s">
        <v>1746</v>
      </c>
      <c r="K455" s="4">
        <v>1</v>
      </c>
      <c r="L455" s="4">
        <v>2537</v>
      </c>
      <c r="M455" s="9"/>
      <c r="U455"/>
      <c r="AO455" s="4" t="s">
        <v>3473</v>
      </c>
      <c r="AP455" s="4">
        <v>683</v>
      </c>
      <c r="AQ455" s="4" t="s">
        <v>1716</v>
      </c>
      <c r="AR455" s="4" t="s">
        <v>1717</v>
      </c>
      <c r="AS455" s="4" t="s">
        <v>1718</v>
      </c>
      <c r="AT455" s="4" t="s">
        <v>1703</v>
      </c>
      <c r="AU455" s="4" t="s">
        <v>1703</v>
      </c>
      <c r="AV455" s="4" t="s">
        <v>1720</v>
      </c>
      <c r="AW455" s="4" t="s">
        <v>2368</v>
      </c>
      <c r="AX455" s="4" t="s">
        <v>2401</v>
      </c>
      <c r="AY455" s="4">
        <v>51.5</v>
      </c>
      <c r="AZ455" s="4">
        <v>-120.1</v>
      </c>
      <c r="BA455" s="4">
        <v>14</v>
      </c>
    </row>
    <row r="456" spans="1:53" ht="14.25" customHeight="1" x14ac:dyDescent="0.2">
      <c r="A456" s="136" t="s">
        <v>422</v>
      </c>
      <c r="B456" s="4">
        <v>12</v>
      </c>
      <c r="C456" s="4" t="s">
        <v>1711</v>
      </c>
      <c r="D456" s="4">
        <v>688</v>
      </c>
      <c r="E456" s="4">
        <v>2139</v>
      </c>
      <c r="F456" s="211" t="s">
        <v>3487</v>
      </c>
      <c r="G456" s="188" t="s">
        <v>3488</v>
      </c>
      <c r="H456" s="4" t="s">
        <v>3489</v>
      </c>
      <c r="I456" s="4" t="s">
        <v>1664</v>
      </c>
      <c r="J456" s="4" t="s">
        <v>1746</v>
      </c>
      <c r="K456" s="4">
        <v>1</v>
      </c>
      <c r="L456" s="4">
        <v>2542</v>
      </c>
      <c r="M456" s="9"/>
      <c r="U456"/>
      <c r="AO456" s="4" t="s">
        <v>3487</v>
      </c>
      <c r="AP456" s="4">
        <v>688</v>
      </c>
      <c r="AQ456" s="4" t="s">
        <v>1716</v>
      </c>
      <c r="AR456" s="4" t="s">
        <v>1717</v>
      </c>
      <c r="AS456" s="4" t="s">
        <v>1718</v>
      </c>
      <c r="AT456" s="4" t="s">
        <v>1719</v>
      </c>
      <c r="AU456" s="4" t="s">
        <v>1703</v>
      </c>
      <c r="AV456" s="4" t="s">
        <v>1720</v>
      </c>
      <c r="AW456" s="4" t="s">
        <v>2193</v>
      </c>
      <c r="AX456" s="4" t="s">
        <v>2356</v>
      </c>
      <c r="AY456" s="4">
        <v>52.2</v>
      </c>
      <c r="AZ456" s="4">
        <v>-120.7</v>
      </c>
      <c r="BA456" s="4">
        <v>0</v>
      </c>
    </row>
    <row r="457" spans="1:53" ht="14.25" customHeight="1" x14ac:dyDescent="0.2">
      <c r="A457" s="136" t="s">
        <v>422</v>
      </c>
      <c r="B457" s="4">
        <v>12</v>
      </c>
      <c r="C457" s="4" t="s">
        <v>1711</v>
      </c>
      <c r="D457" s="4">
        <v>689</v>
      </c>
      <c r="E457" s="4">
        <v>2140</v>
      </c>
      <c r="F457" s="211" t="s">
        <v>3490</v>
      </c>
      <c r="G457" s="203" t="s">
        <v>3491</v>
      </c>
      <c r="H457" s="4" t="s">
        <v>3492</v>
      </c>
      <c r="I457" s="4" t="s">
        <v>641</v>
      </c>
      <c r="J457" s="4" t="s">
        <v>1746</v>
      </c>
      <c r="K457" s="4">
        <v>1</v>
      </c>
      <c r="L457" s="4">
        <v>2543</v>
      </c>
      <c r="M457" s="9"/>
      <c r="U457"/>
      <c r="AO457" s="4" t="s">
        <v>3490</v>
      </c>
      <c r="AP457" s="4">
        <v>689</v>
      </c>
      <c r="AQ457" s="4" t="s">
        <v>1716</v>
      </c>
      <c r="AR457" s="4" t="s">
        <v>1717</v>
      </c>
      <c r="AS457" s="4" t="s">
        <v>1718</v>
      </c>
      <c r="AT457" s="4" t="s">
        <v>1719</v>
      </c>
      <c r="AU457" s="4" t="s">
        <v>1703</v>
      </c>
      <c r="AV457" s="4" t="s">
        <v>1720</v>
      </c>
      <c r="AW457" s="4" t="s">
        <v>2193</v>
      </c>
      <c r="AX457" s="4" t="s">
        <v>2356</v>
      </c>
      <c r="AY457" s="4">
        <v>52.5</v>
      </c>
      <c r="AZ457" s="4">
        <v>-121.5</v>
      </c>
      <c r="BA457" s="4">
        <v>0</v>
      </c>
    </row>
    <row r="458" spans="1:53" ht="14.25" customHeight="1" x14ac:dyDescent="0.2">
      <c r="A458" s="136" t="s">
        <v>422</v>
      </c>
      <c r="B458" s="4">
        <v>12</v>
      </c>
      <c r="C458" s="4" t="s">
        <v>1711</v>
      </c>
      <c r="D458" s="4">
        <v>691</v>
      </c>
      <c r="E458" s="4">
        <v>2142</v>
      </c>
      <c r="F458" s="211" t="s">
        <v>3496</v>
      </c>
      <c r="G458" s="188" t="s">
        <v>3497</v>
      </c>
      <c r="H458" s="4" t="s">
        <v>3498</v>
      </c>
      <c r="I458" s="4" t="s">
        <v>1664</v>
      </c>
      <c r="J458" s="4" t="s">
        <v>1746</v>
      </c>
      <c r="K458" s="4">
        <v>1</v>
      </c>
      <c r="L458" s="4">
        <v>2545</v>
      </c>
      <c r="M458" s="9"/>
      <c r="P458" s="192"/>
      <c r="U458"/>
      <c r="AO458" s="4" t="s">
        <v>3496</v>
      </c>
      <c r="AP458" s="4">
        <v>691</v>
      </c>
      <c r="AQ458" s="4" t="s">
        <v>1716</v>
      </c>
      <c r="AR458" s="4" t="s">
        <v>1717</v>
      </c>
      <c r="AS458" s="4" t="s">
        <v>1718</v>
      </c>
      <c r="AT458" s="4" t="s">
        <v>1719</v>
      </c>
      <c r="AU458" s="4" t="s">
        <v>1703</v>
      </c>
      <c r="AV458" s="4" t="s">
        <v>1720</v>
      </c>
      <c r="AW458" s="4" t="s">
        <v>2368</v>
      </c>
      <c r="AX458" s="4" t="s">
        <v>2401</v>
      </c>
      <c r="AY458" s="4">
        <v>51.8</v>
      </c>
      <c r="AZ458" s="4">
        <v>-119.4</v>
      </c>
      <c r="BA458" s="4">
        <v>11</v>
      </c>
    </row>
    <row r="459" spans="1:53" ht="14.25" customHeight="1" x14ac:dyDescent="0.2">
      <c r="A459" s="136" t="s">
        <v>422</v>
      </c>
      <c r="B459" s="4">
        <v>12</v>
      </c>
      <c r="C459" s="4" t="s">
        <v>1711</v>
      </c>
      <c r="D459" s="4">
        <v>693</v>
      </c>
      <c r="E459" s="4">
        <v>2144</v>
      </c>
      <c r="F459" s="211" t="s">
        <v>3502</v>
      </c>
      <c r="G459" s="188" t="s">
        <v>3503</v>
      </c>
      <c r="H459" s="4" t="s">
        <v>3504</v>
      </c>
      <c r="I459" s="4" t="s">
        <v>1664</v>
      </c>
      <c r="J459" s="4" t="s">
        <v>1746</v>
      </c>
      <c r="K459" s="4">
        <v>1</v>
      </c>
      <c r="L459" s="4">
        <v>2547</v>
      </c>
      <c r="M459" s="9"/>
      <c r="U459"/>
      <c r="AO459" s="4" t="s">
        <v>3502</v>
      </c>
      <c r="AP459" s="4">
        <v>693</v>
      </c>
      <c r="AQ459" s="4" t="s">
        <v>1716</v>
      </c>
      <c r="AR459" s="4" t="s">
        <v>1717</v>
      </c>
      <c r="AS459" s="4" t="s">
        <v>1718</v>
      </c>
      <c r="AT459" s="4" t="s">
        <v>1719</v>
      </c>
      <c r="AU459" s="4" t="s">
        <v>1703</v>
      </c>
      <c r="AV459" s="4" t="s">
        <v>1720</v>
      </c>
      <c r="AW459" s="4" t="s">
        <v>2368</v>
      </c>
      <c r="AX459" s="4" t="s">
        <v>2401</v>
      </c>
      <c r="AY459" s="4">
        <v>51.7</v>
      </c>
      <c r="AZ459" s="4">
        <v>-119.6</v>
      </c>
      <c r="BA459" s="4">
        <v>13</v>
      </c>
    </row>
    <row r="460" spans="1:53" ht="14.25" customHeight="1" x14ac:dyDescent="0.2">
      <c r="A460" s="136" t="s">
        <v>422</v>
      </c>
      <c r="B460" s="4">
        <v>12</v>
      </c>
      <c r="C460" s="4" t="s">
        <v>1711</v>
      </c>
      <c r="D460" s="4">
        <v>704</v>
      </c>
      <c r="E460" s="4">
        <v>2154</v>
      </c>
      <c r="F460" s="16" t="s">
        <v>3531</v>
      </c>
      <c r="G460" s="188" t="s">
        <v>3532</v>
      </c>
      <c r="H460" s="4" t="s">
        <v>3533</v>
      </c>
      <c r="I460" s="4" t="s">
        <v>641</v>
      </c>
      <c r="J460" s="4" t="s">
        <v>1746</v>
      </c>
      <c r="K460" s="4">
        <v>1</v>
      </c>
      <c r="L460" s="4">
        <v>2557</v>
      </c>
      <c r="M460" s="9"/>
      <c r="U460"/>
      <c r="AO460" s="188" t="s">
        <v>3531</v>
      </c>
      <c r="AP460" s="188">
        <v>704</v>
      </c>
      <c r="AQ460" s="188" t="s">
        <v>1716</v>
      </c>
      <c r="AR460" s="188" t="s">
        <v>1717</v>
      </c>
      <c r="AS460" s="188" t="s">
        <v>1718</v>
      </c>
      <c r="AT460" s="188" t="s">
        <v>1719</v>
      </c>
      <c r="AU460" s="188" t="s">
        <v>1703</v>
      </c>
      <c r="AV460" s="188" t="s">
        <v>1720</v>
      </c>
      <c r="AW460" s="188" t="s">
        <v>2368</v>
      </c>
      <c r="AX460" s="188" t="s">
        <v>2258</v>
      </c>
      <c r="AY460" s="188">
        <v>52.5</v>
      </c>
      <c r="AZ460" s="188">
        <v>-119</v>
      </c>
      <c r="BA460" s="188">
        <v>7</v>
      </c>
    </row>
    <row r="461" spans="1:53" ht="14.25" customHeight="1" x14ac:dyDescent="0.2">
      <c r="A461" s="136" t="s">
        <v>422</v>
      </c>
      <c r="B461" s="4">
        <v>12</v>
      </c>
      <c r="C461" s="4" t="s">
        <v>1711</v>
      </c>
      <c r="D461" s="4">
        <v>706</v>
      </c>
      <c r="E461" s="4">
        <v>2156</v>
      </c>
      <c r="F461" s="16" t="s">
        <v>3537</v>
      </c>
      <c r="G461" s="9" t="s">
        <v>3538</v>
      </c>
      <c r="H461" s="4" t="s">
        <v>3539</v>
      </c>
      <c r="I461" s="4" t="s">
        <v>1664</v>
      </c>
      <c r="J461" s="4" t="s">
        <v>1746</v>
      </c>
      <c r="K461" s="4">
        <v>1</v>
      </c>
      <c r="L461" s="4">
        <v>2559</v>
      </c>
      <c r="M461" s="9"/>
      <c r="U461"/>
      <c r="AO461" s="4" t="s">
        <v>3537</v>
      </c>
      <c r="AP461" s="4">
        <v>706</v>
      </c>
      <c r="AQ461" s="4" t="s">
        <v>1716</v>
      </c>
      <c r="AR461" s="4" t="s">
        <v>1717</v>
      </c>
      <c r="AS461" s="4" t="s">
        <v>1718</v>
      </c>
      <c r="AT461" s="4" t="s">
        <v>1719</v>
      </c>
      <c r="AU461" s="4" t="s">
        <v>1703</v>
      </c>
      <c r="AV461" s="4" t="s">
        <v>1720</v>
      </c>
      <c r="AW461" s="4" t="s">
        <v>2193</v>
      </c>
      <c r="AX461" s="4" t="s">
        <v>2401</v>
      </c>
      <c r="AY461" s="4">
        <v>52.5</v>
      </c>
      <c r="AZ461" s="4">
        <v>-120.5</v>
      </c>
      <c r="BA461" s="4">
        <v>30</v>
      </c>
    </row>
    <row r="462" spans="1:53" ht="14.25" customHeight="1" x14ac:dyDescent="0.2">
      <c r="A462" s="136" t="s">
        <v>422</v>
      </c>
      <c r="B462" s="4">
        <v>12</v>
      </c>
      <c r="C462" s="4" t="s">
        <v>1711</v>
      </c>
      <c r="D462" s="4">
        <v>708</v>
      </c>
      <c r="E462" s="4">
        <v>2158</v>
      </c>
      <c r="F462" s="211" t="s">
        <v>3543</v>
      </c>
      <c r="G462" s="188" t="s">
        <v>3544</v>
      </c>
      <c r="H462" s="4" t="s">
        <v>3545</v>
      </c>
      <c r="I462" s="4" t="s">
        <v>1664</v>
      </c>
      <c r="J462" s="4" t="s">
        <v>1746</v>
      </c>
      <c r="K462" s="4">
        <v>1</v>
      </c>
      <c r="L462" s="4">
        <v>2561</v>
      </c>
      <c r="M462" s="9"/>
      <c r="U462"/>
      <c r="AO462" s="4" t="s">
        <v>3543</v>
      </c>
      <c r="AP462" s="4">
        <v>708</v>
      </c>
      <c r="AQ462" s="4" t="s">
        <v>1716</v>
      </c>
      <c r="AR462" s="4" t="s">
        <v>1717</v>
      </c>
      <c r="AS462" s="4" t="s">
        <v>1718</v>
      </c>
      <c r="AT462" s="4" t="s">
        <v>1719</v>
      </c>
      <c r="AU462" s="4" t="s">
        <v>1703</v>
      </c>
      <c r="AV462" s="4" t="s">
        <v>1720</v>
      </c>
      <c r="AW462" s="4" t="s">
        <v>2368</v>
      </c>
      <c r="AX462" s="4" t="s">
        <v>2258</v>
      </c>
      <c r="AY462" s="4">
        <v>52.1</v>
      </c>
      <c r="AZ462" s="4">
        <v>-119.4</v>
      </c>
      <c r="BA462" s="4">
        <v>10</v>
      </c>
    </row>
    <row r="463" spans="1:53" ht="14.25" customHeight="1" x14ac:dyDescent="0.2">
      <c r="A463" s="136" t="s">
        <v>422</v>
      </c>
      <c r="B463" s="4">
        <v>12</v>
      </c>
      <c r="C463" s="4" t="s">
        <v>1711</v>
      </c>
      <c r="D463" s="4">
        <v>714</v>
      </c>
      <c r="E463" s="4">
        <v>2164</v>
      </c>
      <c r="F463" s="211" t="s">
        <v>3561</v>
      </c>
      <c r="G463" s="188" t="s">
        <v>3562</v>
      </c>
      <c r="H463" s="4" t="s">
        <v>3563</v>
      </c>
      <c r="I463" s="4" t="s">
        <v>1664</v>
      </c>
      <c r="J463" s="4" t="s">
        <v>1746</v>
      </c>
      <c r="K463" s="4">
        <v>1</v>
      </c>
      <c r="L463" s="4">
        <v>2567</v>
      </c>
      <c r="M463" s="9"/>
      <c r="U463"/>
      <c r="AO463" s="4" t="s">
        <v>3561</v>
      </c>
      <c r="AP463" s="4">
        <v>714</v>
      </c>
      <c r="AQ463" s="4" t="s">
        <v>1716</v>
      </c>
      <c r="AR463" s="4" t="s">
        <v>1717</v>
      </c>
      <c r="AS463" s="4" t="s">
        <v>1718</v>
      </c>
      <c r="AT463" s="4" t="s">
        <v>1719</v>
      </c>
      <c r="AU463" s="4" t="s">
        <v>1703</v>
      </c>
      <c r="AV463" s="4" t="s">
        <v>1720</v>
      </c>
      <c r="AW463" s="4" t="s">
        <v>2193</v>
      </c>
      <c r="AX463" s="4" t="s">
        <v>2287</v>
      </c>
      <c r="AY463" s="4">
        <v>52.133000000000003</v>
      </c>
      <c r="AZ463" s="4">
        <v>-120.68300000000001</v>
      </c>
      <c r="BA463" s="4">
        <v>12</v>
      </c>
    </row>
    <row r="464" spans="1:53" ht="14.25" customHeight="1" x14ac:dyDescent="0.2">
      <c r="A464" s="136" t="s">
        <v>422</v>
      </c>
      <c r="B464" s="4">
        <v>12</v>
      </c>
      <c r="C464" s="4" t="s">
        <v>1711</v>
      </c>
      <c r="D464" s="4">
        <v>717</v>
      </c>
      <c r="E464" s="4">
        <v>2167</v>
      </c>
      <c r="F464" s="211" t="s">
        <v>3569</v>
      </c>
      <c r="G464" s="188" t="s">
        <v>3570</v>
      </c>
      <c r="H464" s="4" t="s">
        <v>3571</v>
      </c>
      <c r="I464" s="4" t="s">
        <v>1664</v>
      </c>
      <c r="J464" s="4" t="s">
        <v>1746</v>
      </c>
      <c r="K464" s="4">
        <v>1</v>
      </c>
      <c r="L464" s="4">
        <v>2570</v>
      </c>
      <c r="M464" s="9"/>
      <c r="U464"/>
      <c r="AO464" s="4" t="s">
        <v>3569</v>
      </c>
      <c r="AP464" s="4">
        <v>717</v>
      </c>
      <c r="AQ464" s="4" t="s">
        <v>1716</v>
      </c>
      <c r="AR464" s="4" t="s">
        <v>1717</v>
      </c>
      <c r="AS464" s="4" t="s">
        <v>1718</v>
      </c>
      <c r="AT464" s="4" t="s">
        <v>1719</v>
      </c>
      <c r="AU464" s="4" t="s">
        <v>1703</v>
      </c>
      <c r="AV464" s="4" t="s">
        <v>1720</v>
      </c>
      <c r="AW464" s="4" t="s">
        <v>2193</v>
      </c>
      <c r="AX464" s="4" t="s">
        <v>2356</v>
      </c>
      <c r="AY464" s="4">
        <v>52.232999999999997</v>
      </c>
      <c r="AZ464" s="4">
        <v>-121.01600000000001</v>
      </c>
      <c r="BA464" s="4">
        <v>15</v>
      </c>
    </row>
    <row r="465" spans="1:53" ht="14.25" customHeight="1" x14ac:dyDescent="0.2">
      <c r="A465" s="136" t="s">
        <v>422</v>
      </c>
      <c r="B465" s="4">
        <v>12</v>
      </c>
      <c r="C465" s="4" t="s">
        <v>1711</v>
      </c>
      <c r="D465" s="4">
        <v>718</v>
      </c>
      <c r="E465" s="4">
        <v>2168</v>
      </c>
      <c r="F465" s="211" t="s">
        <v>3572</v>
      </c>
      <c r="G465" s="188" t="s">
        <v>3573</v>
      </c>
      <c r="H465" s="4" t="s">
        <v>3574</v>
      </c>
      <c r="I465" s="4" t="s">
        <v>641</v>
      </c>
      <c r="J465" s="4" t="s">
        <v>1746</v>
      </c>
      <c r="K465" s="4">
        <v>1</v>
      </c>
      <c r="L465" s="4">
        <v>2571</v>
      </c>
      <c r="M465" s="9"/>
      <c r="U465"/>
      <c r="AO465" s="4" t="s">
        <v>3572</v>
      </c>
      <c r="AP465" s="4">
        <v>718</v>
      </c>
      <c r="AQ465" s="4" t="s">
        <v>1716</v>
      </c>
      <c r="AR465" s="4" t="s">
        <v>1717</v>
      </c>
      <c r="AS465" s="4" t="s">
        <v>1718</v>
      </c>
      <c r="AT465" s="4" t="s">
        <v>1703</v>
      </c>
      <c r="AU465" s="4" t="s">
        <v>1703</v>
      </c>
      <c r="AV465" s="4" t="s">
        <v>1720</v>
      </c>
      <c r="AW465" s="4" t="s">
        <v>2368</v>
      </c>
      <c r="AX465" s="4" t="s">
        <v>2492</v>
      </c>
      <c r="AY465" s="4">
        <v>49.548200000000001</v>
      </c>
      <c r="AZ465" s="4">
        <v>-120.76990000000001</v>
      </c>
      <c r="BA465" s="4">
        <v>876</v>
      </c>
    </row>
    <row r="466" spans="1:53" ht="14.25" customHeight="1" x14ac:dyDescent="0.2">
      <c r="A466" s="136" t="s">
        <v>422</v>
      </c>
      <c r="B466" s="4">
        <v>12</v>
      </c>
      <c r="C466" s="4" t="s">
        <v>1711</v>
      </c>
      <c r="D466" s="4">
        <v>722</v>
      </c>
      <c r="E466" s="4">
        <v>2171</v>
      </c>
      <c r="F466" s="211" t="s">
        <v>3581</v>
      </c>
      <c r="G466" s="4" t="s">
        <v>3582</v>
      </c>
      <c r="H466" s="4" t="s">
        <v>3583</v>
      </c>
      <c r="I466" s="4" t="s">
        <v>641</v>
      </c>
      <c r="J466" s="4" t="s">
        <v>1746</v>
      </c>
      <c r="K466" s="4">
        <v>1</v>
      </c>
      <c r="L466" s="4">
        <v>2574</v>
      </c>
      <c r="M466" s="9"/>
      <c r="U466"/>
      <c r="AO466" s="4" t="s">
        <v>3581</v>
      </c>
      <c r="AP466" s="4">
        <v>722</v>
      </c>
      <c r="AQ466" s="4" t="s">
        <v>1716</v>
      </c>
      <c r="AR466" s="4" t="s">
        <v>1717</v>
      </c>
      <c r="AS466" s="4" t="s">
        <v>1718</v>
      </c>
      <c r="AT466" s="4" t="s">
        <v>1719</v>
      </c>
      <c r="AU466" s="4" t="s">
        <v>1959</v>
      </c>
      <c r="AV466" s="4" t="s">
        <v>1720</v>
      </c>
      <c r="AW466" s="4" t="s">
        <v>2368</v>
      </c>
      <c r="AX466" s="4" t="s">
        <v>2505</v>
      </c>
      <c r="AY466" s="4">
        <v>51.061900000000001</v>
      </c>
      <c r="AZ466" s="4">
        <v>-122.751</v>
      </c>
      <c r="BA466" s="4">
        <v>0</v>
      </c>
    </row>
    <row r="467" spans="1:53" ht="14.25" customHeight="1" x14ac:dyDescent="0.2">
      <c r="A467" s="136" t="s">
        <v>422</v>
      </c>
      <c r="B467" s="4">
        <v>12</v>
      </c>
      <c r="C467" s="4" t="s">
        <v>1711</v>
      </c>
      <c r="D467" s="4">
        <v>723</v>
      </c>
      <c r="E467" s="4">
        <v>2172</v>
      </c>
      <c r="F467" s="211" t="s">
        <v>3584</v>
      </c>
      <c r="G467" s="4" t="s">
        <v>3585</v>
      </c>
      <c r="H467" s="4" t="s">
        <v>3586</v>
      </c>
      <c r="I467" s="4" t="s">
        <v>641</v>
      </c>
      <c r="J467" s="4" t="s">
        <v>1746</v>
      </c>
      <c r="K467" s="4">
        <v>1</v>
      </c>
      <c r="L467" s="4">
        <v>2575</v>
      </c>
      <c r="M467" s="9"/>
      <c r="U467"/>
      <c r="AO467" s="188" t="s">
        <v>3584</v>
      </c>
      <c r="AP467" s="188">
        <v>723</v>
      </c>
      <c r="AQ467" s="188" t="s">
        <v>1716</v>
      </c>
      <c r="AR467" s="188" t="s">
        <v>1717</v>
      </c>
      <c r="AS467" s="188" t="s">
        <v>1718</v>
      </c>
      <c r="AT467" s="188" t="s">
        <v>1719</v>
      </c>
      <c r="AU467" s="188" t="s">
        <v>1959</v>
      </c>
      <c r="AV467" s="188" t="s">
        <v>1720</v>
      </c>
      <c r="AW467" s="188" t="s">
        <v>2368</v>
      </c>
      <c r="AX467" s="188" t="s">
        <v>2505</v>
      </c>
      <c r="AY467" s="188">
        <v>50.683999999999997</v>
      </c>
      <c r="AZ467" s="188">
        <v>-122.645</v>
      </c>
      <c r="BA467" s="188">
        <v>0</v>
      </c>
    </row>
    <row r="468" spans="1:53" ht="14.25" customHeight="1" x14ac:dyDescent="0.2">
      <c r="A468" s="136" t="s">
        <v>422</v>
      </c>
      <c r="B468" s="4">
        <v>12</v>
      </c>
      <c r="C468" s="4" t="s">
        <v>1711</v>
      </c>
      <c r="D468" s="4">
        <v>727</v>
      </c>
      <c r="E468" s="4">
        <v>2175</v>
      </c>
      <c r="F468" s="16" t="s">
        <v>3593</v>
      </c>
      <c r="G468" s="4" t="s">
        <v>3594</v>
      </c>
      <c r="H468" s="4" t="s">
        <v>3595</v>
      </c>
      <c r="I468" s="4" t="s">
        <v>641</v>
      </c>
      <c r="J468" s="4" t="s">
        <v>1746</v>
      </c>
      <c r="K468" s="4">
        <v>1</v>
      </c>
      <c r="L468" s="4">
        <v>2578</v>
      </c>
      <c r="M468" s="9"/>
      <c r="U468"/>
      <c r="AO468" s="4" t="s">
        <v>3593</v>
      </c>
      <c r="AP468" s="4">
        <v>727</v>
      </c>
      <c r="AQ468" s="4" t="s">
        <v>1716</v>
      </c>
      <c r="AR468" s="4" t="s">
        <v>1717</v>
      </c>
      <c r="AS468" s="4" t="s">
        <v>1718</v>
      </c>
      <c r="AT468" s="4" t="s">
        <v>1719</v>
      </c>
      <c r="AU468" s="4" t="s">
        <v>1703</v>
      </c>
      <c r="AV468" s="4" t="s">
        <v>1720</v>
      </c>
      <c r="AW468" s="4" t="s">
        <v>2368</v>
      </c>
      <c r="AX468" s="4" t="s">
        <v>2401</v>
      </c>
      <c r="AY468" s="4">
        <v>51.6</v>
      </c>
      <c r="AZ468" s="4">
        <v>-120</v>
      </c>
      <c r="BA468" s="4">
        <v>14</v>
      </c>
    </row>
    <row r="469" spans="1:53" ht="14.25" customHeight="1" x14ac:dyDescent="0.2">
      <c r="A469" s="136" t="s">
        <v>422</v>
      </c>
      <c r="B469" s="4">
        <v>12</v>
      </c>
      <c r="C469" s="4" t="s">
        <v>1711</v>
      </c>
      <c r="D469" s="4">
        <v>730</v>
      </c>
      <c r="E469" s="4">
        <v>2178</v>
      </c>
      <c r="F469" s="211" t="s">
        <v>3602</v>
      </c>
      <c r="G469" s="4" t="s">
        <v>3603</v>
      </c>
      <c r="H469" s="4" t="s">
        <v>3604</v>
      </c>
      <c r="I469" s="4" t="s">
        <v>1664</v>
      </c>
      <c r="J469" s="4" t="s">
        <v>1746</v>
      </c>
      <c r="K469" s="4">
        <v>1</v>
      </c>
      <c r="L469" s="4">
        <v>2581</v>
      </c>
      <c r="M469" s="9"/>
      <c r="U469"/>
      <c r="AO469" s="4" t="s">
        <v>3602</v>
      </c>
      <c r="AP469" s="4">
        <v>730</v>
      </c>
      <c r="AQ469" s="4" t="s">
        <v>1716</v>
      </c>
      <c r="AR469" s="4" t="s">
        <v>1717</v>
      </c>
      <c r="AS469" s="4" t="s">
        <v>1718</v>
      </c>
      <c r="AT469" s="4" t="s">
        <v>1719</v>
      </c>
      <c r="AU469" s="4" t="s">
        <v>1703</v>
      </c>
      <c r="AV469" s="4" t="s">
        <v>1720</v>
      </c>
      <c r="AW469" s="4" t="s">
        <v>2368</v>
      </c>
      <c r="AX469" s="4" t="s">
        <v>1879</v>
      </c>
      <c r="AY469" s="4">
        <v>50</v>
      </c>
      <c r="AZ469" s="4">
        <v>-123</v>
      </c>
      <c r="BA469" s="4">
        <v>13</v>
      </c>
    </row>
    <row r="470" spans="1:53" ht="14.25" customHeight="1" x14ac:dyDescent="0.2">
      <c r="A470" s="136" t="s">
        <v>422</v>
      </c>
      <c r="B470" s="4">
        <v>12</v>
      </c>
      <c r="C470" s="4" t="s">
        <v>1711</v>
      </c>
      <c r="D470" s="4">
        <v>731</v>
      </c>
      <c r="E470" s="4">
        <v>2179</v>
      </c>
      <c r="F470" s="16" t="s">
        <v>3605</v>
      </c>
      <c r="G470" s="4" t="s">
        <v>3606</v>
      </c>
      <c r="H470" s="4" t="s">
        <v>3607</v>
      </c>
      <c r="I470" s="4" t="s">
        <v>1664</v>
      </c>
      <c r="J470" s="4" t="s">
        <v>1746</v>
      </c>
      <c r="K470" s="4">
        <v>1</v>
      </c>
      <c r="L470" s="4">
        <v>2582</v>
      </c>
      <c r="U470"/>
      <c r="AO470" s="4" t="s">
        <v>3605</v>
      </c>
      <c r="AP470" s="4">
        <v>731</v>
      </c>
      <c r="AQ470" s="4" t="s">
        <v>1716</v>
      </c>
      <c r="AR470" s="4" t="s">
        <v>1717</v>
      </c>
      <c r="AS470" s="4" t="s">
        <v>1718</v>
      </c>
      <c r="AT470" s="4" t="s">
        <v>1719</v>
      </c>
      <c r="AU470" s="4" t="s">
        <v>1703</v>
      </c>
      <c r="AV470" s="4" t="s">
        <v>1720</v>
      </c>
      <c r="AW470" s="4" t="s">
        <v>2368</v>
      </c>
      <c r="AX470" s="4" t="s">
        <v>1883</v>
      </c>
      <c r="AY470" s="4">
        <v>50</v>
      </c>
      <c r="AZ470" s="4">
        <v>-122</v>
      </c>
      <c r="BA470" s="4">
        <v>14</v>
      </c>
    </row>
    <row r="471" spans="1:53" ht="14.25" customHeight="1" x14ac:dyDescent="0.2">
      <c r="A471" s="136" t="s">
        <v>422</v>
      </c>
      <c r="B471" s="4">
        <v>12</v>
      </c>
      <c r="C471" s="4" t="s">
        <v>1711</v>
      </c>
      <c r="D471" s="4">
        <v>732</v>
      </c>
      <c r="E471" s="4">
        <v>2180</v>
      </c>
      <c r="F471" s="211" t="s">
        <v>3608</v>
      </c>
      <c r="G471" s="4" t="s">
        <v>3609</v>
      </c>
      <c r="H471" s="4" t="s">
        <v>3610</v>
      </c>
      <c r="I471" s="4" t="s">
        <v>1664</v>
      </c>
      <c r="J471" s="4" t="s">
        <v>1746</v>
      </c>
      <c r="K471" s="4">
        <v>1</v>
      </c>
      <c r="L471" s="4">
        <v>2583</v>
      </c>
      <c r="M471" s="9"/>
      <c r="U471"/>
      <c r="AO471" s="4" t="s">
        <v>3608</v>
      </c>
      <c r="AP471" s="4">
        <v>732</v>
      </c>
      <c r="AQ471" s="4" t="s">
        <v>1716</v>
      </c>
      <c r="AR471" s="4" t="s">
        <v>1717</v>
      </c>
      <c r="AS471" s="4" t="s">
        <v>1718</v>
      </c>
      <c r="AT471" s="4" t="s">
        <v>1719</v>
      </c>
      <c r="AU471" s="4" t="s">
        <v>1703</v>
      </c>
      <c r="AV471" s="4" t="s">
        <v>1720</v>
      </c>
      <c r="AW471" s="4" t="s">
        <v>2368</v>
      </c>
      <c r="AX471" s="4" t="s">
        <v>1883</v>
      </c>
      <c r="AY471" s="4">
        <v>50</v>
      </c>
      <c r="AZ471" s="4">
        <v>-122</v>
      </c>
      <c r="BA471" s="4">
        <v>4</v>
      </c>
    </row>
    <row r="472" spans="1:53" ht="14.25" customHeight="1" x14ac:dyDescent="0.2">
      <c r="A472" s="136" t="s">
        <v>422</v>
      </c>
      <c r="B472" s="4">
        <v>12</v>
      </c>
      <c r="C472" s="4" t="s">
        <v>1711</v>
      </c>
      <c r="D472" s="4">
        <v>733</v>
      </c>
      <c r="E472" s="4">
        <v>2181</v>
      </c>
      <c r="F472" s="16" t="s">
        <v>3611</v>
      </c>
      <c r="G472" s="4" t="s">
        <v>3609</v>
      </c>
      <c r="H472" s="4" t="s">
        <v>3612</v>
      </c>
      <c r="I472" s="4" t="s">
        <v>1664</v>
      </c>
      <c r="J472" s="4" t="s">
        <v>1746</v>
      </c>
      <c r="K472" s="4">
        <v>1</v>
      </c>
      <c r="L472" s="4">
        <v>2584</v>
      </c>
      <c r="M472" s="9"/>
      <c r="U472"/>
      <c r="AK472" s="9"/>
      <c r="AO472" s="188" t="s">
        <v>3611</v>
      </c>
      <c r="AP472" s="4">
        <v>733</v>
      </c>
      <c r="AQ472" s="4" t="s">
        <v>1716</v>
      </c>
      <c r="AR472" s="4" t="s">
        <v>1717</v>
      </c>
      <c r="AS472" s="4" t="s">
        <v>1718</v>
      </c>
      <c r="AT472" s="4" t="s">
        <v>1719</v>
      </c>
      <c r="AU472" s="4" t="s">
        <v>1703</v>
      </c>
      <c r="AV472" s="4" t="s">
        <v>1720</v>
      </c>
      <c r="AW472" s="4" t="s">
        <v>2368</v>
      </c>
      <c r="AX472" s="4" t="s">
        <v>1883</v>
      </c>
      <c r="AY472" s="4">
        <v>50</v>
      </c>
      <c r="AZ472" s="4">
        <v>-122</v>
      </c>
      <c r="BA472" s="4">
        <v>4</v>
      </c>
    </row>
    <row r="473" spans="1:53" ht="14.25" customHeight="1" x14ac:dyDescent="0.2">
      <c r="A473" s="136" t="s">
        <v>422</v>
      </c>
      <c r="B473" s="4">
        <v>12</v>
      </c>
      <c r="C473" s="4" t="s">
        <v>1711</v>
      </c>
      <c r="D473" s="4">
        <v>734</v>
      </c>
      <c r="E473" s="4">
        <v>2182</v>
      </c>
      <c r="F473" s="16" t="s">
        <v>3613</v>
      </c>
      <c r="G473" s="4" t="s">
        <v>3614</v>
      </c>
      <c r="H473" s="4" t="s">
        <v>3615</v>
      </c>
      <c r="I473" s="4" t="s">
        <v>1664</v>
      </c>
      <c r="J473" s="4" t="s">
        <v>1746</v>
      </c>
      <c r="K473" s="4">
        <v>1</v>
      </c>
      <c r="L473" s="4">
        <v>2585</v>
      </c>
      <c r="M473" s="9"/>
      <c r="U473"/>
      <c r="AK473" s="9"/>
      <c r="AO473" s="4" t="s">
        <v>3613</v>
      </c>
      <c r="AP473" s="4">
        <v>734</v>
      </c>
      <c r="AQ473" s="4" t="s">
        <v>1716</v>
      </c>
      <c r="AR473" s="4" t="s">
        <v>1717</v>
      </c>
      <c r="AS473" s="4" t="s">
        <v>1718</v>
      </c>
      <c r="AT473" s="4" t="s">
        <v>1719</v>
      </c>
      <c r="AU473" s="4" t="s">
        <v>1703</v>
      </c>
      <c r="AV473" s="4" t="s">
        <v>1720</v>
      </c>
      <c r="AW473" s="4" t="s">
        <v>2368</v>
      </c>
      <c r="AX473" s="4" t="s">
        <v>2505</v>
      </c>
      <c r="AY473" s="4">
        <v>50.5</v>
      </c>
      <c r="AZ473" s="4">
        <v>-122</v>
      </c>
      <c r="BA473" s="4">
        <v>16</v>
      </c>
    </row>
    <row r="474" spans="1:53" ht="14.25" customHeight="1" x14ac:dyDescent="0.2">
      <c r="A474" s="136" t="s">
        <v>422</v>
      </c>
      <c r="B474" s="4">
        <v>12</v>
      </c>
      <c r="C474" s="4" t="s">
        <v>1711</v>
      </c>
      <c r="D474" s="4">
        <v>737</v>
      </c>
      <c r="E474" s="4">
        <v>2185</v>
      </c>
      <c r="F474" s="211" t="s">
        <v>3622</v>
      </c>
      <c r="G474" s="188" t="s">
        <v>3623</v>
      </c>
      <c r="H474" s="4" t="s">
        <v>3624</v>
      </c>
      <c r="I474" s="4" t="s">
        <v>1664</v>
      </c>
      <c r="J474" s="4" t="s">
        <v>1746</v>
      </c>
      <c r="K474" s="4">
        <v>1</v>
      </c>
      <c r="L474" s="4">
        <v>2588</v>
      </c>
      <c r="M474" s="9"/>
      <c r="U474"/>
      <c r="AK474" s="9"/>
      <c r="AO474" s="4" t="s">
        <v>3622</v>
      </c>
      <c r="AP474" s="4">
        <v>737</v>
      </c>
      <c r="AQ474" s="4" t="s">
        <v>1716</v>
      </c>
      <c r="AR474" s="4" t="s">
        <v>1717</v>
      </c>
      <c r="AS474" s="4" t="s">
        <v>1718</v>
      </c>
      <c r="AT474" s="4" t="s">
        <v>1719</v>
      </c>
      <c r="AU474" s="4" t="s">
        <v>1703</v>
      </c>
      <c r="AV474" s="4" t="s">
        <v>1720</v>
      </c>
      <c r="AW474" s="4" t="s">
        <v>2368</v>
      </c>
      <c r="AX474" s="4" t="s">
        <v>2505</v>
      </c>
      <c r="AY474" s="4">
        <v>51.2</v>
      </c>
      <c r="AZ474" s="4">
        <v>-122.2</v>
      </c>
      <c r="BA474" s="4">
        <v>3</v>
      </c>
    </row>
    <row r="475" spans="1:53" ht="14.25" customHeight="1" x14ac:dyDescent="0.2">
      <c r="A475" s="136" t="s">
        <v>422</v>
      </c>
      <c r="B475" s="4">
        <v>12</v>
      </c>
      <c r="C475" s="4" t="s">
        <v>1711</v>
      </c>
      <c r="D475" s="4">
        <v>739</v>
      </c>
      <c r="E475" s="4">
        <v>2187</v>
      </c>
      <c r="F475" s="16" t="s">
        <v>3628</v>
      </c>
      <c r="G475" s="4" t="s">
        <v>3629</v>
      </c>
      <c r="H475" s="4" t="s">
        <v>3630</v>
      </c>
      <c r="I475" s="4" t="s">
        <v>641</v>
      </c>
      <c r="J475" s="4" t="s">
        <v>1746</v>
      </c>
      <c r="K475" s="4">
        <v>1</v>
      </c>
      <c r="L475" s="4">
        <v>2590</v>
      </c>
      <c r="M475" s="9"/>
      <c r="U475"/>
      <c r="AK475" s="9"/>
      <c r="AO475" s="4" t="s">
        <v>3628</v>
      </c>
      <c r="AP475" s="4">
        <v>739</v>
      </c>
      <c r="AQ475" s="4" t="s">
        <v>1716</v>
      </c>
      <c r="AR475" s="4" t="s">
        <v>1717</v>
      </c>
      <c r="AS475" s="4" t="s">
        <v>1718</v>
      </c>
      <c r="AT475" s="4" t="s">
        <v>1719</v>
      </c>
      <c r="AU475" s="4" t="s">
        <v>1703</v>
      </c>
      <c r="AV475" s="4" t="s">
        <v>1720</v>
      </c>
      <c r="AW475" s="4" t="s">
        <v>2368</v>
      </c>
      <c r="AY475" s="4">
        <v>49</v>
      </c>
      <c r="AZ475" s="4">
        <v>-119</v>
      </c>
      <c r="BA475" s="4">
        <v>15</v>
      </c>
    </row>
    <row r="476" spans="1:53" ht="14.25" customHeight="1" x14ac:dyDescent="0.2">
      <c r="A476" s="136" t="s">
        <v>422</v>
      </c>
      <c r="B476" s="4">
        <v>12</v>
      </c>
      <c r="C476" s="4" t="s">
        <v>1711</v>
      </c>
      <c r="D476" s="4">
        <v>740</v>
      </c>
      <c r="E476" s="4">
        <v>2188</v>
      </c>
      <c r="F476" s="211" t="s">
        <v>3631</v>
      </c>
      <c r="G476" s="188" t="s">
        <v>3632</v>
      </c>
      <c r="H476" s="4" t="s">
        <v>3633</v>
      </c>
      <c r="I476" s="4" t="s">
        <v>1664</v>
      </c>
      <c r="J476" s="4" t="s">
        <v>1746</v>
      </c>
      <c r="K476" s="4">
        <v>1</v>
      </c>
      <c r="L476" s="4">
        <v>2591</v>
      </c>
      <c r="M476" s="9"/>
      <c r="U476"/>
      <c r="AK476" s="9"/>
      <c r="AO476" s="4" t="s">
        <v>3631</v>
      </c>
      <c r="AP476" s="4">
        <v>740</v>
      </c>
      <c r="AQ476" s="4" t="s">
        <v>1716</v>
      </c>
      <c r="AR476" s="4" t="s">
        <v>1717</v>
      </c>
      <c r="AS476" s="4" t="s">
        <v>1718</v>
      </c>
      <c r="AT476" s="4" t="s">
        <v>1719</v>
      </c>
      <c r="AU476" s="4" t="s">
        <v>1703</v>
      </c>
      <c r="AV476" s="4" t="s">
        <v>1720</v>
      </c>
      <c r="AW476" s="4" t="s">
        <v>2368</v>
      </c>
      <c r="AY476" s="4">
        <v>49</v>
      </c>
      <c r="AZ476" s="4">
        <v>-119</v>
      </c>
      <c r="BA476" s="4">
        <v>16</v>
      </c>
    </row>
    <row r="477" spans="1:53" ht="14.25" customHeight="1" x14ac:dyDescent="0.2">
      <c r="A477" s="136" t="s">
        <v>422</v>
      </c>
      <c r="B477" s="4">
        <v>12</v>
      </c>
      <c r="C477" s="4" t="s">
        <v>1711</v>
      </c>
      <c r="D477" s="4">
        <v>741</v>
      </c>
      <c r="E477" s="4">
        <v>2189</v>
      </c>
      <c r="F477" s="211" t="s">
        <v>3634</v>
      </c>
      <c r="G477" s="4" t="s">
        <v>3635</v>
      </c>
      <c r="H477" s="4" t="s">
        <v>3636</v>
      </c>
      <c r="I477" s="4" t="s">
        <v>1664</v>
      </c>
      <c r="J477" s="4" t="s">
        <v>1746</v>
      </c>
      <c r="K477" s="4">
        <v>1</v>
      </c>
      <c r="L477" s="4">
        <v>2592</v>
      </c>
      <c r="M477" s="9"/>
      <c r="N477" s="9"/>
      <c r="P477" s="9"/>
      <c r="U477"/>
      <c r="AK477" s="9"/>
      <c r="AO477" s="4" t="s">
        <v>3634</v>
      </c>
      <c r="AP477" s="4">
        <v>741</v>
      </c>
      <c r="AQ477" s="4" t="s">
        <v>1716</v>
      </c>
      <c r="AR477" s="4" t="s">
        <v>1717</v>
      </c>
      <c r="AS477" s="4" t="s">
        <v>1718</v>
      </c>
      <c r="AT477" s="4" t="s">
        <v>1719</v>
      </c>
      <c r="AU477" s="4" t="s">
        <v>1703</v>
      </c>
      <c r="AV477" s="4" t="s">
        <v>1720</v>
      </c>
      <c r="AW477" s="4" t="s">
        <v>2368</v>
      </c>
      <c r="AX477" s="4" t="s">
        <v>2492</v>
      </c>
      <c r="AY477" s="4">
        <v>50.1</v>
      </c>
      <c r="AZ477" s="4">
        <v>-121.1</v>
      </c>
      <c r="BA477" s="4">
        <v>10</v>
      </c>
    </row>
    <row r="478" spans="1:53" ht="14.25" customHeight="1" x14ac:dyDescent="0.2">
      <c r="A478" s="136" t="s">
        <v>422</v>
      </c>
      <c r="B478" s="4">
        <v>12</v>
      </c>
      <c r="C478" s="4" t="s">
        <v>1711</v>
      </c>
      <c r="D478" s="4">
        <v>742</v>
      </c>
      <c r="E478" s="4">
        <v>2190</v>
      </c>
      <c r="F478" s="16" t="s">
        <v>3637</v>
      </c>
      <c r="G478" s="4" t="s">
        <v>3638</v>
      </c>
      <c r="H478" s="4" t="s">
        <v>3639</v>
      </c>
      <c r="I478" s="4" t="s">
        <v>641</v>
      </c>
      <c r="J478" s="4" t="s">
        <v>1746</v>
      </c>
      <c r="K478" s="4">
        <v>1</v>
      </c>
      <c r="L478" s="4">
        <v>2593</v>
      </c>
      <c r="M478" s="9"/>
      <c r="U478"/>
      <c r="AK478" s="9"/>
      <c r="AO478" s="4" t="s">
        <v>3637</v>
      </c>
      <c r="AP478" s="4">
        <v>742</v>
      </c>
      <c r="AQ478" s="4" t="s">
        <v>1716</v>
      </c>
      <c r="AR478" s="4" t="s">
        <v>1717</v>
      </c>
      <c r="AS478" s="4" t="s">
        <v>1718</v>
      </c>
      <c r="AT478" s="4" t="s">
        <v>1703</v>
      </c>
      <c r="AU478" s="4" t="s">
        <v>1703</v>
      </c>
      <c r="AV478" s="4" t="s">
        <v>1720</v>
      </c>
      <c r="AW478" s="4" t="s">
        <v>2368</v>
      </c>
      <c r="AX478" s="4" t="s">
        <v>2516</v>
      </c>
      <c r="AY478" s="4">
        <v>49.959600000000002</v>
      </c>
      <c r="AZ478" s="4">
        <v>-119.7076</v>
      </c>
      <c r="BA478" s="4">
        <v>1150</v>
      </c>
    </row>
    <row r="479" spans="1:53" ht="14.25" customHeight="1" x14ac:dyDescent="0.2">
      <c r="A479" s="136" t="s">
        <v>422</v>
      </c>
      <c r="B479" s="4">
        <v>12</v>
      </c>
      <c r="C479" s="4" t="s">
        <v>1711</v>
      </c>
      <c r="D479" s="4">
        <v>743</v>
      </c>
      <c r="E479" s="4">
        <v>2191</v>
      </c>
      <c r="F479" s="16" t="s">
        <v>3640</v>
      </c>
      <c r="G479" s="4" t="s">
        <v>3641</v>
      </c>
      <c r="H479" s="4" t="s">
        <v>3639</v>
      </c>
      <c r="I479" s="4" t="s">
        <v>641</v>
      </c>
      <c r="J479" s="4" t="s">
        <v>1746</v>
      </c>
      <c r="K479" s="4">
        <v>1</v>
      </c>
      <c r="L479" s="4">
        <v>2594</v>
      </c>
      <c r="M479" s="9"/>
      <c r="U479"/>
      <c r="AK479" s="9"/>
      <c r="AO479" s="4" t="s">
        <v>3640</v>
      </c>
      <c r="AP479" s="4">
        <v>743</v>
      </c>
      <c r="AQ479" s="4" t="s">
        <v>1716</v>
      </c>
      <c r="AR479" s="4" t="s">
        <v>1717</v>
      </c>
      <c r="AS479" s="4" t="s">
        <v>1718</v>
      </c>
      <c r="AT479" s="4" t="s">
        <v>1703</v>
      </c>
      <c r="AU479" s="4" t="s">
        <v>1703</v>
      </c>
      <c r="AV479" s="4" t="s">
        <v>1720</v>
      </c>
      <c r="AW479" s="4" t="s">
        <v>2368</v>
      </c>
      <c r="AX479" s="4" t="s">
        <v>2516</v>
      </c>
      <c r="AY479" s="4">
        <v>49.959000000000003</v>
      </c>
      <c r="AZ479" s="4">
        <v>-119.70959999999999</v>
      </c>
      <c r="BA479" s="4">
        <v>1150</v>
      </c>
    </row>
    <row r="480" spans="1:53" ht="14.25" customHeight="1" x14ac:dyDescent="0.2">
      <c r="A480" s="136" t="s">
        <v>422</v>
      </c>
      <c r="B480" s="4">
        <v>12</v>
      </c>
      <c r="C480" s="4" t="s">
        <v>1711</v>
      </c>
      <c r="D480" s="4">
        <v>744</v>
      </c>
      <c r="E480" s="4">
        <v>2192</v>
      </c>
      <c r="F480" s="16" t="s">
        <v>3642</v>
      </c>
      <c r="G480" s="4" t="s">
        <v>3643</v>
      </c>
      <c r="H480" s="4" t="s">
        <v>3644</v>
      </c>
      <c r="I480" s="4" t="s">
        <v>1664</v>
      </c>
      <c r="J480" s="4" t="s">
        <v>1746</v>
      </c>
      <c r="K480" s="4">
        <v>1</v>
      </c>
      <c r="L480" s="4">
        <v>2595</v>
      </c>
      <c r="M480" s="9"/>
      <c r="U480"/>
      <c r="AK480" s="9"/>
      <c r="AO480" s="4" t="s">
        <v>3642</v>
      </c>
      <c r="AP480" s="4">
        <v>744</v>
      </c>
      <c r="AQ480" s="4" t="s">
        <v>1716</v>
      </c>
      <c r="AR480" s="4" t="s">
        <v>1717</v>
      </c>
      <c r="AS480" s="4" t="s">
        <v>1718</v>
      </c>
      <c r="AT480" s="4" t="s">
        <v>1719</v>
      </c>
      <c r="AU480" s="4" t="s">
        <v>1703</v>
      </c>
      <c r="AV480" s="4" t="s">
        <v>1720</v>
      </c>
      <c r="AW480" s="4" t="s">
        <v>2368</v>
      </c>
      <c r="AX480" s="4" t="s">
        <v>2827</v>
      </c>
      <c r="AY480" s="4">
        <v>49.2</v>
      </c>
      <c r="AZ480" s="4">
        <v>-119.2</v>
      </c>
      <c r="BA480" s="4">
        <v>14</v>
      </c>
    </row>
    <row r="481" spans="1:53" ht="14.25" customHeight="1" x14ac:dyDescent="0.2">
      <c r="A481" s="136" t="s">
        <v>422</v>
      </c>
      <c r="B481" s="4">
        <v>12</v>
      </c>
      <c r="C481" s="4" t="s">
        <v>1711</v>
      </c>
      <c r="D481" s="4">
        <v>746</v>
      </c>
      <c r="E481" s="4">
        <v>2194</v>
      </c>
      <c r="F481" s="211" t="s">
        <v>3648</v>
      </c>
      <c r="G481" s="188" t="s">
        <v>3649</v>
      </c>
      <c r="H481" s="4" t="s">
        <v>3650</v>
      </c>
      <c r="I481" s="4" t="s">
        <v>641</v>
      </c>
      <c r="J481" s="4" t="s">
        <v>1746</v>
      </c>
      <c r="K481" s="4">
        <v>1</v>
      </c>
      <c r="L481" s="4">
        <v>2597</v>
      </c>
      <c r="M481" s="9"/>
      <c r="U481"/>
      <c r="AK481" s="9"/>
      <c r="AO481" s="4" t="s">
        <v>3648</v>
      </c>
      <c r="AP481" s="4">
        <v>746</v>
      </c>
      <c r="AQ481" s="4" t="s">
        <v>1716</v>
      </c>
      <c r="AR481" s="4" t="s">
        <v>1717</v>
      </c>
      <c r="AS481" s="4" t="s">
        <v>1718</v>
      </c>
      <c r="AT481" s="4" t="s">
        <v>1719</v>
      </c>
      <c r="AU481" s="4" t="s">
        <v>1959</v>
      </c>
      <c r="AV481" s="4" t="s">
        <v>1720</v>
      </c>
      <c r="AW481" s="4" t="s">
        <v>2368</v>
      </c>
      <c r="AX481" s="4" t="s">
        <v>2522</v>
      </c>
      <c r="AY481" s="4">
        <v>50.444200000000002</v>
      </c>
      <c r="AZ481" s="4">
        <v>-118.89570000000001</v>
      </c>
      <c r="BA481" s="4">
        <v>1180</v>
      </c>
    </row>
    <row r="482" spans="1:53" ht="14.25" customHeight="1" x14ac:dyDescent="0.2">
      <c r="A482" s="136" t="s">
        <v>422</v>
      </c>
      <c r="B482" s="4">
        <v>12</v>
      </c>
      <c r="C482" s="4" t="s">
        <v>1711</v>
      </c>
      <c r="D482" s="4">
        <v>747</v>
      </c>
      <c r="E482" s="4">
        <v>2195</v>
      </c>
      <c r="F482" s="16" t="s">
        <v>3651</v>
      </c>
      <c r="G482" s="4" t="s">
        <v>3652</v>
      </c>
      <c r="H482" s="4" t="s">
        <v>3653</v>
      </c>
      <c r="I482" s="4" t="s">
        <v>641</v>
      </c>
      <c r="J482" s="4" t="s">
        <v>1746</v>
      </c>
      <c r="K482" s="4">
        <v>1</v>
      </c>
      <c r="L482" s="4">
        <v>2598</v>
      </c>
      <c r="M482" s="9"/>
      <c r="U482"/>
      <c r="AK482" s="9"/>
      <c r="AO482" s="4" t="s">
        <v>3651</v>
      </c>
      <c r="AP482" s="4">
        <v>747</v>
      </c>
      <c r="AQ482" s="4" t="s">
        <v>1716</v>
      </c>
      <c r="AR482" s="4" t="s">
        <v>1717</v>
      </c>
      <c r="AS482" s="4" t="s">
        <v>1718</v>
      </c>
      <c r="AT482" s="4" t="s">
        <v>1719</v>
      </c>
      <c r="AU482" s="4" t="s">
        <v>1703</v>
      </c>
      <c r="AV482" s="4" t="s">
        <v>1720</v>
      </c>
      <c r="AW482" s="4" t="s">
        <v>2368</v>
      </c>
      <c r="AX482" s="4" t="s">
        <v>2522</v>
      </c>
      <c r="AY482" s="4">
        <v>50.205500000000001</v>
      </c>
      <c r="AZ482" s="4">
        <v>-119.57</v>
      </c>
      <c r="BA482" s="4">
        <v>1100</v>
      </c>
    </row>
    <row r="483" spans="1:53" ht="14.25" customHeight="1" x14ac:dyDescent="0.2">
      <c r="A483" s="136" t="s">
        <v>422</v>
      </c>
      <c r="B483" s="4">
        <v>12</v>
      </c>
      <c r="C483" s="4" t="s">
        <v>1711</v>
      </c>
      <c r="D483" s="4">
        <v>750</v>
      </c>
      <c r="E483" s="4">
        <v>2198</v>
      </c>
      <c r="F483" s="211" t="s">
        <v>3659</v>
      </c>
      <c r="G483" s="4" t="s">
        <v>3660</v>
      </c>
      <c r="H483" s="4" t="s">
        <v>3661</v>
      </c>
      <c r="I483" s="4" t="s">
        <v>1664</v>
      </c>
      <c r="J483" s="4" t="s">
        <v>1746</v>
      </c>
      <c r="K483" s="4">
        <v>1</v>
      </c>
      <c r="L483" s="4">
        <v>2601</v>
      </c>
      <c r="M483" s="9"/>
      <c r="U483"/>
      <c r="AK483" s="9"/>
      <c r="AO483" s="4" t="s">
        <v>3659</v>
      </c>
      <c r="AP483" s="4">
        <v>750</v>
      </c>
      <c r="AQ483" s="4" t="s">
        <v>1716</v>
      </c>
      <c r="AR483" s="4" t="s">
        <v>1717</v>
      </c>
      <c r="AS483" s="4" t="s">
        <v>1718</v>
      </c>
      <c r="AT483" s="4" t="s">
        <v>1719</v>
      </c>
      <c r="AU483" s="4" t="s">
        <v>1703</v>
      </c>
      <c r="AV483" s="4" t="s">
        <v>1720</v>
      </c>
      <c r="AW483" s="4" t="s">
        <v>2698</v>
      </c>
      <c r="AX483" s="4" t="s">
        <v>2801</v>
      </c>
      <c r="AY483" s="4">
        <v>50.8</v>
      </c>
      <c r="AZ483" s="4">
        <v>-117</v>
      </c>
      <c r="BA483" s="4">
        <v>12</v>
      </c>
    </row>
    <row r="484" spans="1:53" ht="14.25" customHeight="1" x14ac:dyDescent="0.2">
      <c r="A484" s="136" t="s">
        <v>422</v>
      </c>
      <c r="B484" s="4">
        <v>12</v>
      </c>
      <c r="C484" s="4" t="s">
        <v>1711</v>
      </c>
      <c r="D484" s="4">
        <v>751</v>
      </c>
      <c r="E484" s="4">
        <v>2199</v>
      </c>
      <c r="F484" s="16" t="s">
        <v>3662</v>
      </c>
      <c r="G484" s="4" t="s">
        <v>3663</v>
      </c>
      <c r="H484" s="4" t="s">
        <v>3664</v>
      </c>
      <c r="I484" s="4" t="s">
        <v>1664</v>
      </c>
      <c r="J484" s="4" t="s">
        <v>1746</v>
      </c>
      <c r="K484" s="4">
        <v>1</v>
      </c>
      <c r="L484" s="4">
        <v>2602</v>
      </c>
      <c r="M484" s="9"/>
      <c r="U484"/>
      <c r="AK484" s="9"/>
      <c r="AO484" s="4" t="s">
        <v>3662</v>
      </c>
      <c r="AP484" s="4">
        <v>751</v>
      </c>
      <c r="AQ484" s="4" t="s">
        <v>1716</v>
      </c>
      <c r="AR484" s="4" t="s">
        <v>1717</v>
      </c>
      <c r="AS484" s="4" t="s">
        <v>1718</v>
      </c>
      <c r="AT484" s="4" t="s">
        <v>1719</v>
      </c>
      <c r="AU484" s="4" t="s">
        <v>1703</v>
      </c>
      <c r="AV484" s="4" t="s">
        <v>1720</v>
      </c>
      <c r="AW484" s="4" t="s">
        <v>2368</v>
      </c>
      <c r="AX484" s="4" t="s">
        <v>2401</v>
      </c>
      <c r="AY484" s="4">
        <v>51.7</v>
      </c>
      <c r="AZ484" s="4">
        <v>-119.3</v>
      </c>
      <c r="BA484" s="4">
        <v>13</v>
      </c>
    </row>
    <row r="485" spans="1:53" ht="14.25" customHeight="1" x14ac:dyDescent="0.2">
      <c r="A485" s="136" t="s">
        <v>422</v>
      </c>
      <c r="B485" s="4">
        <v>12</v>
      </c>
      <c r="C485" s="4" t="s">
        <v>1711</v>
      </c>
      <c r="D485" s="4">
        <v>753</v>
      </c>
      <c r="E485" s="4">
        <v>2201</v>
      </c>
      <c r="F485" s="211" t="s">
        <v>3665</v>
      </c>
      <c r="G485" s="188" t="s">
        <v>3666</v>
      </c>
      <c r="H485" s="4" t="s">
        <v>3667</v>
      </c>
      <c r="I485" s="4" t="s">
        <v>1664</v>
      </c>
      <c r="J485" s="4" t="s">
        <v>1746</v>
      </c>
      <c r="K485" s="4">
        <v>1</v>
      </c>
      <c r="L485" s="4">
        <v>2604</v>
      </c>
      <c r="M485" s="9"/>
      <c r="U485"/>
      <c r="AK485" s="9"/>
      <c r="AO485" s="9" t="s">
        <v>3665</v>
      </c>
      <c r="AP485" s="4">
        <v>753</v>
      </c>
      <c r="AQ485" s="4" t="s">
        <v>1716</v>
      </c>
      <c r="AR485" s="4" t="s">
        <v>1717</v>
      </c>
      <c r="AS485" s="4" t="s">
        <v>2257</v>
      </c>
      <c r="AT485" s="4" t="s">
        <v>1703</v>
      </c>
      <c r="AU485" s="4" t="s">
        <v>3668</v>
      </c>
      <c r="AV485" s="4" t="s">
        <v>1720</v>
      </c>
      <c r="AW485" s="4" t="s">
        <v>2698</v>
      </c>
      <c r="AX485" s="4" t="s">
        <v>2699</v>
      </c>
      <c r="AY485" s="4">
        <v>51.35</v>
      </c>
      <c r="AZ485" s="4">
        <v>-118.16</v>
      </c>
      <c r="BA485" s="4">
        <v>1000</v>
      </c>
    </row>
    <row r="486" spans="1:53" ht="14.25" customHeight="1" x14ac:dyDescent="0.2">
      <c r="A486" s="136" t="s">
        <v>422</v>
      </c>
      <c r="B486" s="4">
        <v>12</v>
      </c>
      <c r="C486" s="4" t="s">
        <v>1711</v>
      </c>
      <c r="D486" s="4">
        <v>754</v>
      </c>
      <c r="E486" s="4">
        <v>2202</v>
      </c>
      <c r="F486" s="211" t="s">
        <v>3669</v>
      </c>
      <c r="G486" s="4" t="s">
        <v>3670</v>
      </c>
      <c r="H486" s="4" t="s">
        <v>3671</v>
      </c>
      <c r="I486" s="4" t="s">
        <v>1664</v>
      </c>
      <c r="J486" s="4" t="s">
        <v>1746</v>
      </c>
      <c r="K486" s="4">
        <v>1</v>
      </c>
      <c r="L486" s="4">
        <v>2605</v>
      </c>
      <c r="M486" s="9"/>
      <c r="U486"/>
      <c r="AK486" s="9"/>
      <c r="AO486" s="4" t="s">
        <v>3669</v>
      </c>
      <c r="AP486" s="4">
        <v>754</v>
      </c>
      <c r="AQ486" s="4" t="s">
        <v>1716</v>
      </c>
      <c r="AR486" s="4" t="s">
        <v>1717</v>
      </c>
      <c r="AS486" s="4" t="s">
        <v>2257</v>
      </c>
      <c r="AT486" s="4" t="s">
        <v>1703</v>
      </c>
      <c r="AU486" s="4" t="s">
        <v>3668</v>
      </c>
      <c r="AV486" s="4" t="s">
        <v>1720</v>
      </c>
      <c r="AW486" s="4" t="s">
        <v>2698</v>
      </c>
      <c r="AX486" s="4" t="s">
        <v>2699</v>
      </c>
      <c r="AY486" s="4">
        <v>51.12</v>
      </c>
      <c r="AZ486" s="4">
        <v>-118.16</v>
      </c>
      <c r="BA486" s="4">
        <v>1000</v>
      </c>
    </row>
    <row r="487" spans="1:53" ht="14.25" customHeight="1" x14ac:dyDescent="0.2">
      <c r="A487" s="136" t="s">
        <v>422</v>
      </c>
      <c r="B487" s="4">
        <v>12</v>
      </c>
      <c r="C487" s="4" t="s">
        <v>1711</v>
      </c>
      <c r="D487" s="4">
        <v>756</v>
      </c>
      <c r="E487" s="4">
        <v>2204</v>
      </c>
      <c r="F487" s="211" t="s">
        <v>3674</v>
      </c>
      <c r="G487" s="188" t="s">
        <v>3675</v>
      </c>
      <c r="H487" s="4" t="s">
        <v>3676</v>
      </c>
      <c r="I487" s="4" t="s">
        <v>1664</v>
      </c>
      <c r="J487" s="4" t="s">
        <v>1746</v>
      </c>
      <c r="K487" s="4">
        <v>1</v>
      </c>
      <c r="L487" s="4">
        <v>2607</v>
      </c>
      <c r="M487" s="9"/>
      <c r="U487"/>
      <c r="AK487" s="9"/>
      <c r="AO487" s="4" t="s">
        <v>3674</v>
      </c>
      <c r="AP487" s="4">
        <v>756</v>
      </c>
      <c r="AQ487" s="4" t="s">
        <v>1716</v>
      </c>
      <c r="AR487" s="4" t="s">
        <v>1717</v>
      </c>
      <c r="AS487" s="4" t="s">
        <v>1718</v>
      </c>
      <c r="AT487" s="4" t="s">
        <v>1719</v>
      </c>
      <c r="AU487" s="4" t="s">
        <v>1703</v>
      </c>
      <c r="AV487" s="4" t="s">
        <v>1720</v>
      </c>
      <c r="AW487" s="4" t="s">
        <v>2003</v>
      </c>
      <c r="AX487" s="4" t="s">
        <v>2699</v>
      </c>
      <c r="AY487" s="4">
        <v>52</v>
      </c>
      <c r="AZ487" s="4">
        <v>-118</v>
      </c>
      <c r="BA487" s="4">
        <v>35</v>
      </c>
    </row>
    <row r="488" spans="1:53" ht="14.25" customHeight="1" x14ac:dyDescent="0.2">
      <c r="A488" s="136" t="s">
        <v>422</v>
      </c>
      <c r="B488" s="4">
        <v>12</v>
      </c>
      <c r="C488" s="4" t="s">
        <v>1711</v>
      </c>
      <c r="D488" s="4">
        <v>757</v>
      </c>
      <c r="E488" s="4">
        <v>2205</v>
      </c>
      <c r="F488" s="16" t="s">
        <v>3677</v>
      </c>
      <c r="G488" s="188" t="s">
        <v>3678</v>
      </c>
      <c r="H488" s="4" t="s">
        <v>3679</v>
      </c>
      <c r="I488" s="4" t="s">
        <v>641</v>
      </c>
      <c r="J488" s="4" t="s">
        <v>1746</v>
      </c>
      <c r="K488" s="4">
        <v>1</v>
      </c>
      <c r="L488" s="4">
        <v>2608</v>
      </c>
      <c r="M488" s="9"/>
      <c r="U488"/>
      <c r="AK488" s="9"/>
      <c r="AO488" s="267" t="s">
        <v>3677</v>
      </c>
      <c r="AP488" s="4">
        <v>757</v>
      </c>
      <c r="AQ488" s="4" t="s">
        <v>1716</v>
      </c>
      <c r="AR488" s="4" t="s">
        <v>1717</v>
      </c>
      <c r="AS488" s="4" t="s">
        <v>1718</v>
      </c>
      <c r="AT488" s="4" t="s">
        <v>1703</v>
      </c>
      <c r="AU488" s="4" t="s">
        <v>1703</v>
      </c>
      <c r="AV488" s="4" t="s">
        <v>1720</v>
      </c>
      <c r="AW488" s="4" t="s">
        <v>2003</v>
      </c>
      <c r="AX488" s="4" t="s">
        <v>2707</v>
      </c>
      <c r="AY488" s="4">
        <v>50.658999999999999</v>
      </c>
      <c r="AZ488" s="4">
        <v>-119.496</v>
      </c>
      <c r="BA488" s="4">
        <v>1768</v>
      </c>
    </row>
    <row r="489" spans="1:53" ht="14.25" customHeight="1" x14ac:dyDescent="0.2">
      <c r="A489" s="136" t="s">
        <v>422</v>
      </c>
      <c r="B489" s="193">
        <v>12</v>
      </c>
      <c r="C489" s="4" t="s">
        <v>1711</v>
      </c>
      <c r="D489" s="4">
        <v>759</v>
      </c>
      <c r="E489" s="4">
        <v>2207</v>
      </c>
      <c r="F489" s="211" t="s">
        <v>3683</v>
      </c>
      <c r="G489" s="188" t="s">
        <v>3684</v>
      </c>
      <c r="H489" s="4" t="s">
        <v>3685</v>
      </c>
      <c r="I489" s="4" t="s">
        <v>641</v>
      </c>
      <c r="J489" s="4" t="s">
        <v>1746</v>
      </c>
      <c r="K489" s="4">
        <v>1</v>
      </c>
      <c r="L489" s="4">
        <v>2610</v>
      </c>
      <c r="M489" s="9"/>
      <c r="U489"/>
      <c r="Y489" s="260"/>
      <c r="AK489" s="9"/>
      <c r="AO489" s="4" t="s">
        <v>3683</v>
      </c>
      <c r="AP489" s="4">
        <v>759</v>
      </c>
      <c r="AQ489" s="4" t="s">
        <v>1716</v>
      </c>
      <c r="AR489" s="4" t="s">
        <v>1717</v>
      </c>
      <c r="AS489" s="4" t="s">
        <v>1718</v>
      </c>
      <c r="AT489" s="4" t="s">
        <v>1719</v>
      </c>
      <c r="AU489" s="4" t="s">
        <v>1703</v>
      </c>
      <c r="AV489" s="4" t="s">
        <v>1720</v>
      </c>
      <c r="AW489" s="4" t="s">
        <v>2698</v>
      </c>
      <c r="AX489" s="4" t="s">
        <v>2699</v>
      </c>
      <c r="AY489" s="4">
        <v>51</v>
      </c>
      <c r="AZ489" s="4">
        <v>-116.2</v>
      </c>
      <c r="BA489" s="4">
        <v>14</v>
      </c>
    </row>
    <row r="490" spans="1:53" ht="14.25" customHeight="1" x14ac:dyDescent="0.2">
      <c r="A490" s="136" t="s">
        <v>422</v>
      </c>
      <c r="B490" s="193">
        <v>12</v>
      </c>
      <c r="C490" s="4" t="s">
        <v>1711</v>
      </c>
      <c r="D490" s="4">
        <v>770</v>
      </c>
      <c r="E490" s="4">
        <v>2217</v>
      </c>
      <c r="F490" s="16" t="s">
        <v>3710</v>
      </c>
      <c r="G490" s="4" t="s">
        <v>3711</v>
      </c>
      <c r="H490" s="4" t="s">
        <v>3712</v>
      </c>
      <c r="I490" s="4" t="s">
        <v>1664</v>
      </c>
      <c r="J490" s="4" t="s">
        <v>1746</v>
      </c>
      <c r="K490" s="4">
        <v>1</v>
      </c>
      <c r="L490" s="4">
        <v>2620</v>
      </c>
      <c r="M490" s="9"/>
      <c r="U490"/>
      <c r="Y490" s="260"/>
      <c r="AK490" s="9"/>
      <c r="AO490" s="4" t="s">
        <v>3710</v>
      </c>
      <c r="AP490" s="4">
        <v>770</v>
      </c>
      <c r="AQ490" s="4" t="s">
        <v>1716</v>
      </c>
      <c r="AR490" s="4" t="s">
        <v>1717</v>
      </c>
      <c r="AS490" s="4" t="s">
        <v>1718</v>
      </c>
      <c r="AT490" s="4" t="s">
        <v>1719</v>
      </c>
      <c r="AU490" s="4" t="s">
        <v>1703</v>
      </c>
      <c r="AV490" s="4" t="s">
        <v>1720</v>
      </c>
      <c r="AW490" s="4" t="s">
        <v>2698</v>
      </c>
      <c r="AX490" s="4" t="s">
        <v>2768</v>
      </c>
      <c r="AY490" s="4">
        <v>51</v>
      </c>
      <c r="AZ490" s="4">
        <v>-117</v>
      </c>
      <c r="BA490" s="4">
        <v>10</v>
      </c>
    </row>
    <row r="491" spans="1:53" ht="14.25" customHeight="1" x14ac:dyDescent="0.2">
      <c r="A491" s="136" t="s">
        <v>422</v>
      </c>
      <c r="B491" s="193">
        <v>12</v>
      </c>
      <c r="C491" s="4" t="s">
        <v>1711</v>
      </c>
      <c r="D491" s="4">
        <v>772</v>
      </c>
      <c r="E491" s="4">
        <v>2219</v>
      </c>
      <c r="F491" s="211" t="s">
        <v>3716</v>
      </c>
      <c r="G491" s="188" t="s">
        <v>3717</v>
      </c>
      <c r="H491" s="4" t="s">
        <v>3718</v>
      </c>
      <c r="I491" s="4" t="s">
        <v>1664</v>
      </c>
      <c r="J491" s="4" t="s">
        <v>1746</v>
      </c>
      <c r="K491" s="4">
        <v>1</v>
      </c>
      <c r="L491" s="4">
        <v>2622</v>
      </c>
      <c r="M491" s="9"/>
      <c r="U491"/>
      <c r="Y491" s="260"/>
      <c r="AK491" s="9"/>
      <c r="AO491" s="4" t="s">
        <v>3716</v>
      </c>
      <c r="AP491" s="4">
        <v>772</v>
      </c>
      <c r="AQ491" s="4" t="s">
        <v>1716</v>
      </c>
      <c r="AR491" s="4" t="s">
        <v>1717</v>
      </c>
      <c r="AS491" s="4" t="s">
        <v>1718</v>
      </c>
      <c r="AT491" s="4" t="s">
        <v>1719</v>
      </c>
      <c r="AU491" s="4" t="s">
        <v>1703</v>
      </c>
      <c r="AV491" s="4" t="s">
        <v>1720</v>
      </c>
      <c r="AW491" s="4" t="s">
        <v>2698</v>
      </c>
      <c r="AX491" s="4" t="s">
        <v>2699</v>
      </c>
      <c r="AY491" s="4">
        <v>51.8</v>
      </c>
      <c r="AZ491" s="4">
        <v>-117.9</v>
      </c>
      <c r="BA491" s="4">
        <v>11</v>
      </c>
    </row>
    <row r="492" spans="1:53" ht="14.25" customHeight="1" x14ac:dyDescent="0.2">
      <c r="A492" s="136" t="s">
        <v>422</v>
      </c>
      <c r="B492" s="193">
        <v>12</v>
      </c>
      <c r="C492" s="4" t="s">
        <v>1711</v>
      </c>
      <c r="D492" s="4">
        <v>780</v>
      </c>
      <c r="E492" s="4">
        <v>2227</v>
      </c>
      <c r="F492" s="211" t="s">
        <v>3737</v>
      </c>
      <c r="G492" s="188" t="s">
        <v>3738</v>
      </c>
      <c r="H492" s="4" t="s">
        <v>3739</v>
      </c>
      <c r="I492" s="4" t="s">
        <v>1664</v>
      </c>
      <c r="J492" s="4" t="s">
        <v>1746</v>
      </c>
      <c r="K492" s="4">
        <v>1</v>
      </c>
      <c r="L492" s="4">
        <v>2630</v>
      </c>
      <c r="M492" s="9"/>
      <c r="U492"/>
      <c r="Y492" s="260"/>
      <c r="AK492" s="9"/>
      <c r="AO492" s="4" t="s">
        <v>3737</v>
      </c>
      <c r="AP492" s="4">
        <v>780</v>
      </c>
      <c r="AQ492" s="4" t="s">
        <v>1716</v>
      </c>
      <c r="AR492" s="4" t="s">
        <v>1717</v>
      </c>
      <c r="AS492" s="4" t="s">
        <v>1718</v>
      </c>
      <c r="AT492" s="4" t="s">
        <v>1719</v>
      </c>
      <c r="AU492" s="4" t="s">
        <v>1703</v>
      </c>
      <c r="AV492" s="4" t="s">
        <v>1720</v>
      </c>
      <c r="AW492" s="4" t="s">
        <v>2698</v>
      </c>
      <c r="AX492" s="4" t="s">
        <v>2797</v>
      </c>
      <c r="AY492" s="4">
        <v>50.8</v>
      </c>
      <c r="AZ492" s="4">
        <v>-117.8</v>
      </c>
      <c r="BA492" s="4">
        <v>12</v>
      </c>
    </row>
    <row r="493" spans="1:53" ht="14.25" customHeight="1" x14ac:dyDescent="0.2">
      <c r="A493" s="136" t="s">
        <v>422</v>
      </c>
      <c r="B493" s="193">
        <v>12</v>
      </c>
      <c r="C493" s="4" t="s">
        <v>1711</v>
      </c>
      <c r="D493" s="4">
        <v>781</v>
      </c>
      <c r="E493" s="4">
        <v>2228</v>
      </c>
      <c r="F493" s="16" t="s">
        <v>3740</v>
      </c>
      <c r="G493" s="4" t="s">
        <v>3741</v>
      </c>
      <c r="H493" s="4" t="s">
        <v>3742</v>
      </c>
      <c r="I493" s="4" t="s">
        <v>1664</v>
      </c>
      <c r="J493" s="4" t="s">
        <v>1746</v>
      </c>
      <c r="K493" s="4">
        <v>1</v>
      </c>
      <c r="L493" s="4">
        <v>2631</v>
      </c>
      <c r="M493" s="9"/>
      <c r="U493"/>
      <c r="W493" s="9"/>
      <c r="Y493" s="260"/>
      <c r="AK493" s="9"/>
      <c r="AO493" s="4" t="s">
        <v>3740</v>
      </c>
      <c r="AP493" s="4">
        <v>781</v>
      </c>
      <c r="AQ493" s="4" t="s">
        <v>1716</v>
      </c>
      <c r="AR493" s="4" t="s">
        <v>1717</v>
      </c>
      <c r="AS493" s="4" t="s">
        <v>1718</v>
      </c>
      <c r="AT493" s="4" t="s">
        <v>1719</v>
      </c>
      <c r="AU493" s="4" t="s">
        <v>1703</v>
      </c>
      <c r="AV493" s="4" t="s">
        <v>1720</v>
      </c>
      <c r="AW493" s="4" t="s">
        <v>2698</v>
      </c>
      <c r="AX493" s="4" t="s">
        <v>2699</v>
      </c>
      <c r="AY493" s="4">
        <v>51.5</v>
      </c>
      <c r="AZ493" s="4">
        <v>-117.2</v>
      </c>
      <c r="BA493" s="4">
        <v>13</v>
      </c>
    </row>
    <row r="494" spans="1:53" ht="14.25" customHeight="1" x14ac:dyDescent="0.2">
      <c r="A494" s="136" t="s">
        <v>422</v>
      </c>
      <c r="B494" s="193">
        <v>12</v>
      </c>
      <c r="C494" s="4" t="s">
        <v>1711</v>
      </c>
      <c r="D494" s="4">
        <v>782</v>
      </c>
      <c r="E494" s="4">
        <v>2229</v>
      </c>
      <c r="F494" s="211" t="s">
        <v>3743</v>
      </c>
      <c r="G494" s="4" t="s">
        <v>3744</v>
      </c>
      <c r="H494" s="4" t="s">
        <v>3745</v>
      </c>
      <c r="I494" s="4" t="s">
        <v>1664</v>
      </c>
      <c r="J494" s="4" t="s">
        <v>1746</v>
      </c>
      <c r="K494" s="4">
        <v>1</v>
      </c>
      <c r="L494" s="4">
        <v>2632</v>
      </c>
      <c r="M494" s="9"/>
      <c r="N494" s="9"/>
      <c r="P494" s="9"/>
      <c r="R494" s="9"/>
      <c r="T494" s="9"/>
      <c r="U494"/>
      <c r="Y494" s="260"/>
      <c r="AK494" s="9"/>
      <c r="AO494" s="4" t="s">
        <v>3743</v>
      </c>
      <c r="AP494" s="4">
        <v>782</v>
      </c>
      <c r="AQ494" s="4" t="s">
        <v>1716</v>
      </c>
      <c r="AR494" s="4" t="s">
        <v>1717</v>
      </c>
      <c r="AS494" s="4" t="s">
        <v>1718</v>
      </c>
      <c r="AT494" s="4" t="s">
        <v>1719</v>
      </c>
      <c r="AU494" s="4" t="s">
        <v>1703</v>
      </c>
      <c r="AV494" s="4" t="s">
        <v>1720</v>
      </c>
      <c r="AW494" s="4" t="s">
        <v>2698</v>
      </c>
      <c r="AX494" s="4" t="s">
        <v>2699</v>
      </c>
      <c r="AY494" s="4">
        <v>52</v>
      </c>
      <c r="AZ494" s="4">
        <v>-117.5</v>
      </c>
      <c r="BA494" s="4">
        <v>10</v>
      </c>
    </row>
    <row r="495" spans="1:53" ht="14.25" customHeight="1" x14ac:dyDescent="0.2">
      <c r="A495" s="136" t="s">
        <v>422</v>
      </c>
      <c r="B495" s="193">
        <v>12</v>
      </c>
      <c r="C495" s="4" t="s">
        <v>1711</v>
      </c>
      <c r="D495" s="4">
        <v>783</v>
      </c>
      <c r="E495" s="4">
        <v>2230</v>
      </c>
      <c r="F495" s="211" t="s">
        <v>3746</v>
      </c>
      <c r="G495" s="188" t="s">
        <v>3747</v>
      </c>
      <c r="H495" s="4" t="s">
        <v>3748</v>
      </c>
      <c r="I495" s="4" t="s">
        <v>1664</v>
      </c>
      <c r="J495" s="4" t="s">
        <v>1746</v>
      </c>
      <c r="K495" s="4">
        <v>1</v>
      </c>
      <c r="L495" s="4">
        <v>2633</v>
      </c>
      <c r="M495" s="9"/>
      <c r="U495"/>
      <c r="Y495" s="260"/>
      <c r="AK495" s="9"/>
      <c r="AO495" s="4" t="s">
        <v>3746</v>
      </c>
      <c r="AP495" s="4">
        <v>783</v>
      </c>
      <c r="AQ495" s="4" t="s">
        <v>1716</v>
      </c>
      <c r="AR495" s="4" t="s">
        <v>1717</v>
      </c>
      <c r="AS495" s="4" t="s">
        <v>1718</v>
      </c>
      <c r="AT495" s="4" t="s">
        <v>1719</v>
      </c>
      <c r="AU495" s="4" t="s">
        <v>1703</v>
      </c>
      <c r="AV495" s="4" t="s">
        <v>1720</v>
      </c>
      <c r="AW495" s="4" t="s">
        <v>2698</v>
      </c>
      <c r="AX495" s="4" t="s">
        <v>2801</v>
      </c>
      <c r="AY495" s="4">
        <v>50</v>
      </c>
      <c r="AZ495" s="4">
        <v>-117</v>
      </c>
      <c r="BA495" s="4">
        <v>11</v>
      </c>
    </row>
    <row r="496" spans="1:53" ht="14.25" customHeight="1" x14ac:dyDescent="0.2">
      <c r="A496" s="136" t="s">
        <v>422</v>
      </c>
      <c r="B496" s="193">
        <v>12</v>
      </c>
      <c r="C496" s="4" t="s">
        <v>1711</v>
      </c>
      <c r="D496" s="4">
        <v>797</v>
      </c>
      <c r="E496" s="4">
        <v>2244</v>
      </c>
      <c r="F496" s="211" t="s">
        <v>3788</v>
      </c>
      <c r="G496" s="188" t="s">
        <v>3789</v>
      </c>
      <c r="H496" s="4" t="s">
        <v>3790</v>
      </c>
      <c r="I496" s="4" t="s">
        <v>1664</v>
      </c>
      <c r="J496" s="4" t="s">
        <v>1746</v>
      </c>
      <c r="K496" s="4">
        <v>1</v>
      </c>
      <c r="L496" s="4">
        <v>2647</v>
      </c>
      <c r="M496" s="9"/>
      <c r="U496"/>
      <c r="Y496" s="260"/>
      <c r="AK496" s="9"/>
      <c r="AO496" s="4" t="s">
        <v>3788</v>
      </c>
      <c r="AP496" s="4">
        <v>797</v>
      </c>
      <c r="AQ496" s="4" t="s">
        <v>1716</v>
      </c>
      <c r="AR496" s="4" t="s">
        <v>1717</v>
      </c>
      <c r="AS496" s="4" t="s">
        <v>1718</v>
      </c>
      <c r="AT496" s="4" t="s">
        <v>1719</v>
      </c>
      <c r="AU496" s="4" t="s">
        <v>1703</v>
      </c>
      <c r="AV496" s="4" t="s">
        <v>1720</v>
      </c>
      <c r="AW496" s="4" t="s">
        <v>2698</v>
      </c>
      <c r="AX496" s="4" t="s">
        <v>2768</v>
      </c>
      <c r="AY496" s="4">
        <v>50.3</v>
      </c>
      <c r="AZ496" s="4">
        <v>-116.3</v>
      </c>
      <c r="BA496" s="4">
        <v>18</v>
      </c>
    </row>
    <row r="497" spans="1:53" ht="14.25" customHeight="1" x14ac:dyDescent="0.2">
      <c r="A497" s="136" t="s">
        <v>422</v>
      </c>
      <c r="B497" s="193">
        <v>12</v>
      </c>
      <c r="C497" s="4" t="s">
        <v>1711</v>
      </c>
      <c r="D497" s="4">
        <v>798</v>
      </c>
      <c r="E497" s="4">
        <v>2245</v>
      </c>
      <c r="F497" s="211" t="s">
        <v>3791</v>
      </c>
      <c r="G497" s="188" t="s">
        <v>3792</v>
      </c>
      <c r="H497" s="4" t="s">
        <v>3793</v>
      </c>
      <c r="I497" s="4" t="s">
        <v>1664</v>
      </c>
      <c r="J497" s="4" t="s">
        <v>1746</v>
      </c>
      <c r="K497" s="4">
        <v>1</v>
      </c>
      <c r="L497" s="4">
        <v>2648</v>
      </c>
      <c r="M497" s="9"/>
      <c r="N497" s="9"/>
      <c r="P497" s="9"/>
      <c r="R497" s="9"/>
      <c r="T497" s="9"/>
      <c r="U497"/>
      <c r="Y497" s="260"/>
      <c r="AK497" s="9"/>
      <c r="AO497" s="4" t="s">
        <v>3791</v>
      </c>
      <c r="AP497" s="4">
        <v>798</v>
      </c>
      <c r="AQ497" s="4" t="s">
        <v>1716</v>
      </c>
      <c r="AR497" s="4" t="s">
        <v>1717</v>
      </c>
      <c r="AS497" s="4" t="s">
        <v>1718</v>
      </c>
      <c r="AT497" s="4" t="s">
        <v>1719</v>
      </c>
      <c r="AU497" s="4" t="s">
        <v>1703</v>
      </c>
      <c r="AV497" s="4" t="s">
        <v>1720</v>
      </c>
      <c r="AW497" s="4" t="s">
        <v>2698</v>
      </c>
      <c r="AX497" s="4" t="s">
        <v>2768</v>
      </c>
      <c r="AY497" s="4">
        <v>50.3</v>
      </c>
      <c r="AZ497" s="4">
        <v>-115.8</v>
      </c>
      <c r="BA497" s="4">
        <v>16</v>
      </c>
    </row>
    <row r="498" spans="1:53" ht="14.25" customHeight="1" x14ac:dyDescent="0.2">
      <c r="A498" s="136" t="s">
        <v>422</v>
      </c>
      <c r="B498" s="193">
        <v>12</v>
      </c>
      <c r="C498" s="4" t="s">
        <v>1711</v>
      </c>
      <c r="D498" s="4">
        <v>801</v>
      </c>
      <c r="E498" s="4">
        <v>2248</v>
      </c>
      <c r="F498" s="211" t="s">
        <v>3800</v>
      </c>
      <c r="G498" s="188" t="s">
        <v>3801</v>
      </c>
      <c r="H498" s="4" t="s">
        <v>3802</v>
      </c>
      <c r="I498" s="4" t="s">
        <v>1664</v>
      </c>
      <c r="J498" s="4" t="s">
        <v>1746</v>
      </c>
      <c r="K498" s="4">
        <v>1</v>
      </c>
      <c r="L498" s="4">
        <v>2651</v>
      </c>
      <c r="M498" s="9"/>
      <c r="N498" s="9"/>
      <c r="P498" s="9"/>
      <c r="R498" s="9"/>
      <c r="T498" s="9"/>
      <c r="U498"/>
      <c r="W498" s="9"/>
      <c r="Y498" s="260"/>
      <c r="AK498" s="9"/>
      <c r="AO498" s="9" t="s">
        <v>3800</v>
      </c>
      <c r="AP498" s="4">
        <v>801</v>
      </c>
      <c r="AQ498" s="4" t="s">
        <v>1716</v>
      </c>
      <c r="AR498" s="4" t="s">
        <v>1717</v>
      </c>
      <c r="AS498" s="4" t="s">
        <v>1718</v>
      </c>
      <c r="AT498" s="4" t="s">
        <v>1719</v>
      </c>
      <c r="AU498" s="4" t="s">
        <v>1703</v>
      </c>
      <c r="AV498" s="4" t="s">
        <v>1720</v>
      </c>
      <c r="AW498" s="4" t="s">
        <v>2698</v>
      </c>
      <c r="AX498" s="4" t="s">
        <v>2768</v>
      </c>
      <c r="AY498" s="4">
        <v>49.9</v>
      </c>
      <c r="AZ498" s="4">
        <v>-115.8</v>
      </c>
      <c r="BA498" s="4">
        <v>9</v>
      </c>
    </row>
    <row r="499" spans="1:53" ht="14.25" customHeight="1" x14ac:dyDescent="0.2">
      <c r="A499" s="136" t="s">
        <v>422</v>
      </c>
      <c r="B499" s="193">
        <v>12</v>
      </c>
      <c r="C499" s="4" t="s">
        <v>1711</v>
      </c>
      <c r="D499" s="4">
        <v>804</v>
      </c>
      <c r="E499" s="4">
        <v>2251</v>
      </c>
      <c r="F499" s="211" t="s">
        <v>3809</v>
      </c>
      <c r="G499" s="203" t="s">
        <v>3810</v>
      </c>
      <c r="H499" s="4" t="s">
        <v>3811</v>
      </c>
      <c r="I499" s="4" t="s">
        <v>1664</v>
      </c>
      <c r="J499" s="4" t="s">
        <v>1746</v>
      </c>
      <c r="K499" s="4">
        <v>1</v>
      </c>
      <c r="L499" s="4">
        <v>2654</v>
      </c>
      <c r="M499" s="9"/>
      <c r="N499" s="9"/>
      <c r="P499" s="9"/>
      <c r="R499" s="9"/>
      <c r="T499" s="9"/>
      <c r="U499"/>
      <c r="Y499" s="260"/>
      <c r="AK499" s="9"/>
      <c r="AO499" s="4" t="s">
        <v>3809</v>
      </c>
      <c r="AP499" s="4">
        <v>804</v>
      </c>
      <c r="AQ499" s="4" t="s">
        <v>1716</v>
      </c>
      <c r="AR499" s="4" t="s">
        <v>1717</v>
      </c>
      <c r="AS499" s="4" t="s">
        <v>1718</v>
      </c>
      <c r="AT499" s="4" t="s">
        <v>1719</v>
      </c>
      <c r="AU499" s="4" t="s">
        <v>1703</v>
      </c>
      <c r="AV499" s="4" t="s">
        <v>1720</v>
      </c>
      <c r="AW499" s="4" t="s">
        <v>2698</v>
      </c>
      <c r="AX499" s="4" t="s">
        <v>2768</v>
      </c>
      <c r="AY499" s="4">
        <v>50.2</v>
      </c>
      <c r="AZ499" s="4">
        <v>-115.5</v>
      </c>
      <c r="BA499" s="4">
        <v>13</v>
      </c>
    </row>
    <row r="500" spans="1:53" ht="14.25" customHeight="1" x14ac:dyDescent="0.2">
      <c r="A500" s="136" t="s">
        <v>422</v>
      </c>
      <c r="B500" s="193">
        <v>12</v>
      </c>
      <c r="C500" s="4" t="s">
        <v>1711</v>
      </c>
      <c r="D500" s="4">
        <v>813</v>
      </c>
      <c r="E500" s="4">
        <v>2260</v>
      </c>
      <c r="F500" s="211" t="s">
        <v>3836</v>
      </c>
      <c r="G500" s="4" t="s">
        <v>3837</v>
      </c>
      <c r="H500" s="4" t="s">
        <v>3838</v>
      </c>
      <c r="I500" s="4" t="s">
        <v>1664</v>
      </c>
      <c r="J500" s="4" t="s">
        <v>1746</v>
      </c>
      <c r="K500" s="4">
        <v>1</v>
      </c>
      <c r="L500" s="4">
        <v>2663</v>
      </c>
      <c r="M500" s="9"/>
      <c r="N500" s="9"/>
      <c r="P500" s="9"/>
      <c r="R500" s="9"/>
      <c r="T500" s="9"/>
      <c r="U500"/>
      <c r="W500" s="9"/>
      <c r="Y500" s="260"/>
      <c r="AK500" s="9"/>
      <c r="AO500" s="188" t="s">
        <v>3836</v>
      </c>
      <c r="AP500" s="188">
        <v>813</v>
      </c>
      <c r="AQ500" s="188" t="s">
        <v>1716</v>
      </c>
      <c r="AR500" s="188" t="s">
        <v>1717</v>
      </c>
      <c r="AS500" s="188" t="s">
        <v>1718</v>
      </c>
      <c r="AT500" s="188" t="s">
        <v>1719</v>
      </c>
      <c r="AU500" s="188" t="s">
        <v>1703</v>
      </c>
      <c r="AV500" s="188" t="s">
        <v>1720</v>
      </c>
      <c r="AW500" s="188" t="s">
        <v>1947</v>
      </c>
      <c r="AX500" s="188" t="s">
        <v>2133</v>
      </c>
      <c r="AY500" s="188">
        <v>55.1</v>
      </c>
      <c r="AZ500" s="188">
        <v>-127.3</v>
      </c>
      <c r="BA500" s="188">
        <v>40</v>
      </c>
    </row>
    <row r="501" spans="1:53" ht="14.25" customHeight="1" x14ac:dyDescent="0.2">
      <c r="A501" s="136" t="s">
        <v>422</v>
      </c>
      <c r="B501" s="193">
        <v>12</v>
      </c>
      <c r="C501" s="4" t="s">
        <v>1711</v>
      </c>
      <c r="D501" s="4">
        <v>814</v>
      </c>
      <c r="E501" s="4">
        <v>2261</v>
      </c>
      <c r="F501" s="16" t="s">
        <v>3839</v>
      </c>
      <c r="G501" s="188" t="s">
        <v>3840</v>
      </c>
      <c r="H501" s="4" t="s">
        <v>3841</v>
      </c>
      <c r="I501" s="4" t="s">
        <v>1664</v>
      </c>
      <c r="J501" s="4" t="s">
        <v>1746</v>
      </c>
      <c r="K501" s="4">
        <v>1</v>
      </c>
      <c r="L501" s="4">
        <v>2664</v>
      </c>
      <c r="M501" s="9"/>
      <c r="N501" s="9"/>
      <c r="P501" s="9"/>
      <c r="R501" s="9"/>
      <c r="T501" s="9"/>
      <c r="U501"/>
      <c r="Y501" s="260"/>
      <c r="AK501" s="9"/>
      <c r="AO501" s="188" t="s">
        <v>3839</v>
      </c>
      <c r="AP501" s="4">
        <v>814</v>
      </c>
      <c r="AQ501" s="4" t="s">
        <v>1716</v>
      </c>
      <c r="AR501" s="4" t="s">
        <v>1717</v>
      </c>
      <c r="AS501" s="4" t="s">
        <v>1718</v>
      </c>
      <c r="AT501" s="4" t="s">
        <v>1719</v>
      </c>
      <c r="AU501" s="4" t="s">
        <v>1703</v>
      </c>
      <c r="AV501" s="4" t="s">
        <v>1720</v>
      </c>
      <c r="AW501" s="4" t="s">
        <v>1947</v>
      </c>
      <c r="AX501" s="4" t="s">
        <v>2133</v>
      </c>
      <c r="AY501" s="4">
        <v>55</v>
      </c>
      <c r="AZ501" s="4">
        <v>-127</v>
      </c>
      <c r="BA501" s="4">
        <v>2</v>
      </c>
    </row>
    <row r="502" spans="1:53" ht="14.25" customHeight="1" x14ac:dyDescent="0.2">
      <c r="A502" s="136" t="s">
        <v>422</v>
      </c>
      <c r="B502" s="193">
        <v>12</v>
      </c>
      <c r="C502" s="4" t="s">
        <v>1711</v>
      </c>
      <c r="D502" s="4">
        <v>815</v>
      </c>
      <c r="E502" s="4">
        <v>2262</v>
      </c>
      <c r="F502" s="211" t="s">
        <v>3842</v>
      </c>
      <c r="G502" s="188" t="s">
        <v>3843</v>
      </c>
      <c r="H502" s="4" t="s">
        <v>3844</v>
      </c>
      <c r="I502" s="4" t="s">
        <v>1664</v>
      </c>
      <c r="J502" s="4" t="s">
        <v>1746</v>
      </c>
      <c r="K502" s="4">
        <v>1</v>
      </c>
      <c r="L502" s="4">
        <v>2665</v>
      </c>
      <c r="M502" s="9"/>
      <c r="U502"/>
      <c r="Y502" s="260"/>
      <c r="AK502" s="9"/>
      <c r="AO502" s="4" t="s">
        <v>3842</v>
      </c>
      <c r="AP502" s="4">
        <v>815</v>
      </c>
      <c r="AQ502" s="4" t="s">
        <v>1716</v>
      </c>
      <c r="AR502" s="4" t="s">
        <v>1717</v>
      </c>
      <c r="AS502" s="4" t="s">
        <v>1718</v>
      </c>
      <c r="AT502" s="4" t="s">
        <v>1719</v>
      </c>
      <c r="AU502" s="4" t="s">
        <v>1703</v>
      </c>
      <c r="AV502" s="4" t="s">
        <v>1720</v>
      </c>
      <c r="AW502" s="4" t="s">
        <v>1947</v>
      </c>
      <c r="AX502" s="4" t="s">
        <v>2948</v>
      </c>
      <c r="AY502" s="4">
        <v>55.6</v>
      </c>
      <c r="AZ502" s="4">
        <v>-128.69999999999999</v>
      </c>
      <c r="BA502" s="4">
        <v>4</v>
      </c>
    </row>
    <row r="503" spans="1:53" ht="14.25" customHeight="1" x14ac:dyDescent="0.2">
      <c r="A503" s="136" t="s">
        <v>422</v>
      </c>
      <c r="B503" s="193">
        <v>12</v>
      </c>
      <c r="C503" s="4" t="s">
        <v>1711</v>
      </c>
      <c r="D503" s="4">
        <v>819</v>
      </c>
      <c r="E503" s="4">
        <v>2266</v>
      </c>
      <c r="F503" s="16" t="s">
        <v>3854</v>
      </c>
      <c r="G503" s="188" t="s">
        <v>3855</v>
      </c>
      <c r="H503" s="4" t="s">
        <v>3856</v>
      </c>
      <c r="I503" s="4" t="s">
        <v>1664</v>
      </c>
      <c r="J503" s="4" t="s">
        <v>1746</v>
      </c>
      <c r="K503" s="4">
        <v>1</v>
      </c>
      <c r="L503" s="4">
        <v>2669</v>
      </c>
      <c r="M503" s="9"/>
      <c r="U503"/>
      <c r="Y503" s="260"/>
      <c r="AK503" s="9"/>
      <c r="AO503" s="188" t="s">
        <v>3854</v>
      </c>
      <c r="AP503" s="4">
        <v>819</v>
      </c>
      <c r="AQ503" s="4" t="s">
        <v>1716</v>
      </c>
      <c r="AR503" s="4" t="s">
        <v>1717</v>
      </c>
      <c r="AS503" s="4" t="s">
        <v>1718</v>
      </c>
      <c r="AT503" s="4" t="s">
        <v>1719</v>
      </c>
      <c r="AU503" s="4" t="s">
        <v>1703</v>
      </c>
      <c r="AV503" s="4" t="s">
        <v>1720</v>
      </c>
      <c r="AW503" s="4" t="s">
        <v>1947</v>
      </c>
      <c r="AX503" s="4" t="s">
        <v>1973</v>
      </c>
      <c r="AY503" s="4">
        <v>55.2</v>
      </c>
      <c r="AZ503" s="4">
        <v>-129.1</v>
      </c>
      <c r="BA503" s="4">
        <v>1</v>
      </c>
    </row>
    <row r="504" spans="1:53" ht="14.25" customHeight="1" x14ac:dyDescent="0.2">
      <c r="A504" s="136" t="s">
        <v>422</v>
      </c>
      <c r="B504" s="193">
        <v>12</v>
      </c>
      <c r="C504" s="4" t="s">
        <v>1711</v>
      </c>
      <c r="D504" s="4">
        <v>823</v>
      </c>
      <c r="E504" s="4">
        <v>2268</v>
      </c>
      <c r="F504" s="211" t="s">
        <v>3860</v>
      </c>
      <c r="G504" s="188" t="s">
        <v>3861</v>
      </c>
      <c r="H504" s="4" t="s">
        <v>3862</v>
      </c>
      <c r="I504" s="4" t="s">
        <v>641</v>
      </c>
      <c r="J504" s="4" t="s">
        <v>1746</v>
      </c>
      <c r="K504" s="4">
        <v>1</v>
      </c>
      <c r="L504" s="4">
        <v>2671</v>
      </c>
      <c r="M504" s="9"/>
      <c r="U504"/>
      <c r="Y504" s="260"/>
      <c r="AK504" s="9"/>
      <c r="AO504" s="4" t="s">
        <v>3860</v>
      </c>
      <c r="AP504" s="4">
        <v>823</v>
      </c>
      <c r="AQ504" s="4" t="s">
        <v>1716</v>
      </c>
      <c r="AR504" s="4" t="s">
        <v>1717</v>
      </c>
      <c r="AS504" s="4" t="s">
        <v>1718</v>
      </c>
      <c r="AT504" s="4" t="s">
        <v>1719</v>
      </c>
      <c r="AU504" s="4" t="s">
        <v>1703</v>
      </c>
      <c r="AW504" s="4" t="s">
        <v>3863</v>
      </c>
      <c r="AY504" s="4">
        <v>49</v>
      </c>
      <c r="AZ504" s="4">
        <v>-122</v>
      </c>
      <c r="BA504" s="4">
        <v>0</v>
      </c>
    </row>
    <row r="505" spans="1:53" ht="14.25" customHeight="1" x14ac:dyDescent="0.2">
      <c r="A505" s="136" t="s">
        <v>422</v>
      </c>
      <c r="B505" s="193">
        <v>12</v>
      </c>
      <c r="C505" s="4" t="s">
        <v>1711</v>
      </c>
      <c r="D505" s="4">
        <v>846</v>
      </c>
      <c r="E505" s="4">
        <v>2273</v>
      </c>
      <c r="F505" s="211" t="s">
        <v>3876</v>
      </c>
      <c r="G505" s="188" t="s">
        <v>3877</v>
      </c>
      <c r="H505" s="4" t="s">
        <v>3878</v>
      </c>
      <c r="I505" s="4" t="s">
        <v>641</v>
      </c>
      <c r="J505" s="4" t="s">
        <v>1746</v>
      </c>
      <c r="K505" s="4">
        <v>1</v>
      </c>
      <c r="L505" s="4">
        <v>2676</v>
      </c>
      <c r="M505" s="9"/>
      <c r="U505"/>
      <c r="Y505" s="260"/>
      <c r="AK505" s="9"/>
      <c r="AO505" s="267" t="s">
        <v>3876</v>
      </c>
      <c r="AP505" s="4">
        <v>846</v>
      </c>
      <c r="AQ505" s="4" t="s">
        <v>1716</v>
      </c>
      <c r="AR505" s="4" t="s">
        <v>1717</v>
      </c>
      <c r="AS505" s="4" t="s">
        <v>1718</v>
      </c>
      <c r="AT505" s="4" t="s">
        <v>1835</v>
      </c>
      <c r="AU505" s="4" t="s">
        <v>1836</v>
      </c>
      <c r="AX505" s="4" t="s">
        <v>2283</v>
      </c>
      <c r="AY505" s="4">
        <v>51.723599999999998</v>
      </c>
      <c r="AZ505" s="4">
        <v>-124.0611</v>
      </c>
      <c r="BA505" s="4">
        <v>1250</v>
      </c>
    </row>
    <row r="506" spans="1:53" ht="14.25" customHeight="1" x14ac:dyDescent="0.2">
      <c r="A506" s="136" t="s">
        <v>422</v>
      </c>
      <c r="B506" s="193">
        <v>12</v>
      </c>
      <c r="C506" s="4" t="s">
        <v>1711</v>
      </c>
      <c r="D506" s="4">
        <v>847</v>
      </c>
      <c r="E506" s="4">
        <v>2274</v>
      </c>
      <c r="F506" s="211" t="s">
        <v>3879</v>
      </c>
      <c r="G506" s="4" t="s">
        <v>3880</v>
      </c>
      <c r="H506" s="4" t="s">
        <v>3881</v>
      </c>
      <c r="I506" s="4" t="s">
        <v>641</v>
      </c>
      <c r="J506" s="4" t="s">
        <v>1746</v>
      </c>
      <c r="K506" s="4">
        <v>1</v>
      </c>
      <c r="L506" s="4">
        <v>2677</v>
      </c>
      <c r="M506" s="9"/>
      <c r="U506"/>
      <c r="Y506" s="260"/>
      <c r="AK506" s="9"/>
      <c r="AO506" s="267" t="s">
        <v>3879</v>
      </c>
      <c r="AP506" s="4">
        <v>847</v>
      </c>
      <c r="AQ506" s="4" t="s">
        <v>1716</v>
      </c>
      <c r="AR506" s="4" t="s">
        <v>1717</v>
      </c>
      <c r="AS506" s="4" t="s">
        <v>1718</v>
      </c>
      <c r="AT506" s="4" t="s">
        <v>1835</v>
      </c>
      <c r="AU506" s="4" t="s">
        <v>1836</v>
      </c>
      <c r="AV506" s="4" t="s">
        <v>1720</v>
      </c>
      <c r="AX506" s="4" t="s">
        <v>2369</v>
      </c>
      <c r="AY506" s="4">
        <v>51.1</v>
      </c>
      <c r="AZ506" s="4">
        <v>-120.2</v>
      </c>
      <c r="BA506" s="4">
        <v>600</v>
      </c>
    </row>
    <row r="507" spans="1:53" ht="14.25" customHeight="1" x14ac:dyDescent="0.2">
      <c r="A507" s="136" t="s">
        <v>422</v>
      </c>
      <c r="B507" s="193">
        <v>12</v>
      </c>
      <c r="C507" s="4" t="s">
        <v>1711</v>
      </c>
      <c r="D507" s="4">
        <v>850</v>
      </c>
      <c r="E507" s="4">
        <v>2275</v>
      </c>
      <c r="F507" s="211" t="s">
        <v>3882</v>
      </c>
      <c r="G507" s="188" t="s">
        <v>3883</v>
      </c>
      <c r="H507" s="4" t="s">
        <v>3884</v>
      </c>
      <c r="I507" s="4" t="s">
        <v>641</v>
      </c>
      <c r="J507" s="4" t="s">
        <v>1746</v>
      </c>
      <c r="K507" s="4">
        <v>1</v>
      </c>
      <c r="L507" s="4">
        <v>2678</v>
      </c>
      <c r="M507" s="9"/>
      <c r="U507"/>
      <c r="Y507" s="260"/>
      <c r="AK507" s="9"/>
      <c r="AO507" s="4" t="s">
        <v>3882</v>
      </c>
      <c r="AP507" s="4">
        <v>850</v>
      </c>
      <c r="AQ507" s="4" t="s">
        <v>1716</v>
      </c>
      <c r="AR507" s="4" t="s">
        <v>1717</v>
      </c>
      <c r="AS507" s="4" t="s">
        <v>1718</v>
      </c>
      <c r="AT507" s="4" t="s">
        <v>1835</v>
      </c>
      <c r="AU507" s="4" t="s">
        <v>1836</v>
      </c>
      <c r="AV507" s="4" t="s">
        <v>1720</v>
      </c>
      <c r="AX507" s="4" t="s">
        <v>2801</v>
      </c>
      <c r="AY507" s="4">
        <v>49.495800000000003</v>
      </c>
      <c r="AZ507" s="4">
        <v>-117.2406</v>
      </c>
      <c r="BA507" s="4">
        <v>2000</v>
      </c>
    </row>
    <row r="508" spans="1:53" ht="14.25" customHeight="1" x14ac:dyDescent="0.2">
      <c r="A508" s="136" t="s">
        <v>422</v>
      </c>
      <c r="B508" s="193">
        <v>12</v>
      </c>
      <c r="C508" s="4" t="s">
        <v>1711</v>
      </c>
      <c r="D508" s="4">
        <v>851</v>
      </c>
      <c r="E508" s="4">
        <v>2276</v>
      </c>
      <c r="F508" s="211" t="s">
        <v>3885</v>
      </c>
      <c r="G508" s="188" t="s">
        <v>3886</v>
      </c>
      <c r="H508" s="4" t="s">
        <v>3887</v>
      </c>
      <c r="I508" s="4" t="s">
        <v>641</v>
      </c>
      <c r="J508" s="4" t="s">
        <v>1746</v>
      </c>
      <c r="K508" s="4">
        <v>1</v>
      </c>
      <c r="L508" s="4">
        <v>2679</v>
      </c>
      <c r="M508" s="9"/>
      <c r="U508"/>
      <c r="Y508" s="260"/>
      <c r="AK508" s="9"/>
      <c r="AO508" s="267" t="s">
        <v>3885</v>
      </c>
      <c r="AP508" s="4">
        <v>851</v>
      </c>
      <c r="AQ508" s="4" t="s">
        <v>1716</v>
      </c>
      <c r="AR508" s="4" t="s">
        <v>1717</v>
      </c>
      <c r="AS508" s="4" t="s">
        <v>1718</v>
      </c>
      <c r="AT508" s="4" t="s">
        <v>1835</v>
      </c>
      <c r="AU508" s="4" t="s">
        <v>1959</v>
      </c>
      <c r="AV508" s="4" t="s">
        <v>1720</v>
      </c>
      <c r="AX508" s="4" t="s">
        <v>2902</v>
      </c>
      <c r="AY508" s="4">
        <v>49.366999999999997</v>
      </c>
      <c r="AZ508" s="4">
        <v>-115.8553</v>
      </c>
      <c r="BA508" s="4">
        <v>1060</v>
      </c>
    </row>
    <row r="509" spans="1:53" ht="14.25" customHeight="1" x14ac:dyDescent="0.2">
      <c r="A509" s="136" t="s">
        <v>422</v>
      </c>
      <c r="B509" s="193">
        <v>12</v>
      </c>
      <c r="C509" s="4" t="s">
        <v>1711</v>
      </c>
      <c r="D509" s="4">
        <v>853</v>
      </c>
      <c r="E509" s="4">
        <v>2277</v>
      </c>
      <c r="F509" s="4" t="s">
        <v>3888</v>
      </c>
      <c r="G509" s="188" t="s">
        <v>3889</v>
      </c>
      <c r="H509" s="4" t="s">
        <v>3890</v>
      </c>
      <c r="I509" s="4" t="s">
        <v>641</v>
      </c>
      <c r="J509" s="4" t="s">
        <v>1746</v>
      </c>
      <c r="K509" s="4">
        <v>1</v>
      </c>
      <c r="L509" s="4">
        <v>2680</v>
      </c>
      <c r="M509" s="9"/>
      <c r="P509" s="192"/>
      <c r="U509"/>
      <c r="Y509" s="260"/>
      <c r="AK509" s="9"/>
      <c r="AO509" s="4" t="s">
        <v>3891</v>
      </c>
      <c r="AP509" s="4">
        <v>853</v>
      </c>
      <c r="AQ509" s="4" t="s">
        <v>1716</v>
      </c>
      <c r="AR509" s="4" t="s">
        <v>1717</v>
      </c>
      <c r="AS509" s="4" t="s">
        <v>1718</v>
      </c>
      <c r="AT509" s="4" t="s">
        <v>1719</v>
      </c>
      <c r="AU509" s="4" t="s">
        <v>1959</v>
      </c>
      <c r="AV509" s="4" t="s">
        <v>1720</v>
      </c>
      <c r="AX509" s="4" t="s">
        <v>2797</v>
      </c>
      <c r="AY509" s="4">
        <v>50.023699999999998</v>
      </c>
      <c r="AZ509" s="4">
        <v>-117.9894</v>
      </c>
      <c r="BA509" s="4">
        <v>2000</v>
      </c>
    </row>
    <row r="510" spans="1:53" ht="14.25" customHeight="1" x14ac:dyDescent="0.2">
      <c r="A510" s="136" t="s">
        <v>422</v>
      </c>
      <c r="B510" s="193">
        <v>12</v>
      </c>
      <c r="C510" s="4" t="s">
        <v>1711</v>
      </c>
      <c r="D510" s="4">
        <v>854</v>
      </c>
      <c r="E510" s="4">
        <v>2278</v>
      </c>
      <c r="F510" s="16" t="s">
        <v>3892</v>
      </c>
      <c r="G510" s="4" t="s">
        <v>3893</v>
      </c>
      <c r="H510" s="4" t="s">
        <v>3894</v>
      </c>
      <c r="I510" s="4" t="s">
        <v>641</v>
      </c>
      <c r="J510" s="4" t="s">
        <v>1746</v>
      </c>
      <c r="K510" s="4">
        <v>1</v>
      </c>
      <c r="L510" s="4">
        <v>2681</v>
      </c>
      <c r="M510" s="9"/>
      <c r="U510"/>
      <c r="Y510" s="260"/>
      <c r="AK510" s="9"/>
      <c r="AO510" s="4" t="s">
        <v>3892</v>
      </c>
      <c r="AP510" s="4">
        <v>854</v>
      </c>
      <c r="AQ510" s="4" t="s">
        <v>1716</v>
      </c>
      <c r="AR510" s="4" t="s">
        <v>1717</v>
      </c>
      <c r="AS510" s="4" t="s">
        <v>2257</v>
      </c>
      <c r="AT510" s="4" t="s">
        <v>3895</v>
      </c>
      <c r="AU510" s="4" t="s">
        <v>3668</v>
      </c>
      <c r="AV510" s="4" t="s">
        <v>1720</v>
      </c>
      <c r="AW510" s="4" t="s">
        <v>2368</v>
      </c>
      <c r="AX510" s="4" t="s">
        <v>2522</v>
      </c>
      <c r="AY510" s="4">
        <v>50.392600000000002</v>
      </c>
      <c r="AZ510" s="4">
        <v>-118.4234</v>
      </c>
      <c r="BA510" s="4">
        <v>1200</v>
      </c>
    </row>
    <row r="511" spans="1:53" ht="14.25" customHeight="1" x14ac:dyDescent="0.2">
      <c r="A511" s="136" t="s">
        <v>422</v>
      </c>
      <c r="B511" s="193">
        <v>12</v>
      </c>
      <c r="C511" s="4" t="s">
        <v>1711</v>
      </c>
      <c r="D511" s="4">
        <v>857</v>
      </c>
      <c r="E511" s="4">
        <v>2279</v>
      </c>
      <c r="F511" s="211" t="s">
        <v>3896</v>
      </c>
      <c r="G511" s="188" t="s">
        <v>3897</v>
      </c>
      <c r="H511" s="4" t="s">
        <v>3898</v>
      </c>
      <c r="I511" s="4" t="s">
        <v>641</v>
      </c>
      <c r="J511" s="4" t="s">
        <v>1746</v>
      </c>
      <c r="K511" s="4">
        <v>1</v>
      </c>
      <c r="L511" s="4">
        <v>2682</v>
      </c>
      <c r="M511" s="9"/>
      <c r="U511"/>
      <c r="Y511" s="260"/>
      <c r="AK511" s="9"/>
      <c r="AO511" s="4" t="s">
        <v>3896</v>
      </c>
      <c r="AP511" s="4">
        <v>857</v>
      </c>
      <c r="AQ511" s="4" t="s">
        <v>1716</v>
      </c>
      <c r="AR511" s="4" t="s">
        <v>1717</v>
      </c>
      <c r="AS511" s="4" t="s">
        <v>1718</v>
      </c>
      <c r="AT511" s="4" t="s">
        <v>1835</v>
      </c>
      <c r="AU511" s="4" t="s">
        <v>1836</v>
      </c>
      <c r="AV511" s="4" t="s">
        <v>1720</v>
      </c>
      <c r="AX511" s="4" t="s">
        <v>1883</v>
      </c>
      <c r="AY511" s="4">
        <v>49.15</v>
      </c>
      <c r="AZ511" s="4">
        <v>-122.55</v>
      </c>
      <c r="BA511" s="4">
        <v>100</v>
      </c>
    </row>
    <row r="512" spans="1:53" ht="14.25" customHeight="1" x14ac:dyDescent="0.2">
      <c r="A512" s="136" t="s">
        <v>422</v>
      </c>
      <c r="B512" s="193">
        <v>12</v>
      </c>
      <c r="C512" s="4" t="s">
        <v>1711</v>
      </c>
      <c r="D512" s="4">
        <v>861</v>
      </c>
      <c r="E512" s="4">
        <v>2280</v>
      </c>
      <c r="F512" s="4" t="s">
        <v>3899</v>
      </c>
      <c r="G512" s="188" t="s">
        <v>3900</v>
      </c>
      <c r="H512" s="4" t="s">
        <v>3901</v>
      </c>
      <c r="I512" s="4" t="s">
        <v>641</v>
      </c>
      <c r="J512" s="4" t="s">
        <v>1746</v>
      </c>
      <c r="K512" s="4">
        <v>1</v>
      </c>
      <c r="L512" s="4">
        <v>2683</v>
      </c>
      <c r="M512" s="9"/>
      <c r="P512" s="192"/>
      <c r="U512"/>
      <c r="Y512" s="260"/>
      <c r="AK512" s="9"/>
      <c r="AO512" s="4" t="s">
        <v>3902</v>
      </c>
      <c r="AP512" s="4">
        <v>861</v>
      </c>
      <c r="AQ512" s="4" t="s">
        <v>1716</v>
      </c>
      <c r="AR512" s="4" t="s">
        <v>1717</v>
      </c>
      <c r="AS512" s="4" t="s">
        <v>1718</v>
      </c>
      <c r="AT512" s="4" t="s">
        <v>1719</v>
      </c>
      <c r="AU512" s="4" t="s">
        <v>1959</v>
      </c>
      <c r="AV512" s="4" t="s">
        <v>1720</v>
      </c>
      <c r="AX512" s="4" t="s">
        <v>2902</v>
      </c>
      <c r="AY512" s="4">
        <v>49.388100000000001</v>
      </c>
      <c r="AZ512" s="4">
        <v>-115.3976</v>
      </c>
      <c r="BA512" s="4">
        <v>797</v>
      </c>
    </row>
    <row r="513" spans="1:53" ht="14.25" customHeight="1" x14ac:dyDescent="0.2">
      <c r="A513" s="136" t="s">
        <v>422</v>
      </c>
      <c r="B513" s="193">
        <v>12</v>
      </c>
      <c r="C513" s="4" t="s">
        <v>1711</v>
      </c>
      <c r="D513" s="4">
        <v>869</v>
      </c>
      <c r="E513" s="4">
        <v>2286</v>
      </c>
      <c r="F513" s="211" t="s">
        <v>3918</v>
      </c>
      <c r="G513" s="188" t="s">
        <v>3919</v>
      </c>
      <c r="H513" s="4" t="s">
        <v>3920</v>
      </c>
      <c r="I513" s="4" t="s">
        <v>641</v>
      </c>
      <c r="J513" s="4" t="s">
        <v>1746</v>
      </c>
      <c r="K513" s="4">
        <v>1</v>
      </c>
      <c r="L513" s="4">
        <v>2689</v>
      </c>
      <c r="M513" s="9"/>
      <c r="U513"/>
      <c r="Y513" s="260"/>
      <c r="AK513" s="9"/>
      <c r="AO513" s="4" t="s">
        <v>3918</v>
      </c>
      <c r="AP513" s="4">
        <v>869</v>
      </c>
      <c r="AQ513" s="4" t="s">
        <v>1716</v>
      </c>
      <c r="AR513" s="4" t="s">
        <v>1717</v>
      </c>
      <c r="AS513" s="4" t="s">
        <v>1718</v>
      </c>
      <c r="AT513" s="4" t="s">
        <v>1835</v>
      </c>
      <c r="AU513" s="4" t="s">
        <v>1836</v>
      </c>
      <c r="AW513" s="4" t="s">
        <v>2368</v>
      </c>
      <c r="AX513" s="4" t="s">
        <v>2505</v>
      </c>
      <c r="AY513" s="4">
        <v>50.756100000000004</v>
      </c>
      <c r="AZ513" s="4">
        <v>-122.02030000000001</v>
      </c>
      <c r="BA513" s="4">
        <v>1640</v>
      </c>
    </row>
    <row r="514" spans="1:53" ht="14.25" customHeight="1" x14ac:dyDescent="0.2">
      <c r="A514" s="136" t="s">
        <v>422</v>
      </c>
      <c r="B514" s="193">
        <v>12</v>
      </c>
      <c r="C514" s="4" t="s">
        <v>1711</v>
      </c>
      <c r="D514" s="4">
        <v>870</v>
      </c>
      <c r="E514" s="4">
        <v>2287</v>
      </c>
      <c r="F514" s="211" t="s">
        <v>3921</v>
      </c>
      <c r="G514" s="188" t="s">
        <v>3922</v>
      </c>
      <c r="H514" s="4" t="s">
        <v>3923</v>
      </c>
      <c r="I514" s="4" t="s">
        <v>641</v>
      </c>
      <c r="J514" s="4" t="s">
        <v>1746</v>
      </c>
      <c r="K514" s="4">
        <v>1</v>
      </c>
      <c r="L514" s="4">
        <v>2690</v>
      </c>
      <c r="M514" s="9"/>
      <c r="U514"/>
      <c r="Y514" s="260"/>
      <c r="AK514" s="9"/>
      <c r="AO514" s="4" t="s">
        <v>3921</v>
      </c>
      <c r="AP514" s="4">
        <v>870</v>
      </c>
      <c r="AQ514" s="4" t="s">
        <v>1716</v>
      </c>
      <c r="AR514" s="4" t="s">
        <v>1717</v>
      </c>
      <c r="AS514" s="4" t="s">
        <v>1718</v>
      </c>
      <c r="AT514" s="4" t="s">
        <v>1835</v>
      </c>
      <c r="AU514" s="4" t="s">
        <v>1836</v>
      </c>
      <c r="AW514" s="4" t="s">
        <v>2193</v>
      </c>
      <c r="AX514" s="4" t="s">
        <v>2283</v>
      </c>
      <c r="AY514" s="4">
        <v>52.236899999999999</v>
      </c>
      <c r="AZ514" s="4">
        <v>-125.2693</v>
      </c>
      <c r="BA514" s="4">
        <v>1230</v>
      </c>
    </row>
    <row r="515" spans="1:53" ht="14.25" customHeight="1" x14ac:dyDescent="0.2">
      <c r="A515" s="136" t="s">
        <v>422</v>
      </c>
      <c r="B515" s="193">
        <v>12</v>
      </c>
      <c r="C515" s="4" t="s">
        <v>1711</v>
      </c>
      <c r="D515" s="4">
        <v>874</v>
      </c>
      <c r="E515" s="4">
        <v>2290</v>
      </c>
      <c r="F515" s="4" t="s">
        <v>3930</v>
      </c>
      <c r="G515" s="203" t="s">
        <v>3931</v>
      </c>
      <c r="H515" s="4" t="s">
        <v>3932</v>
      </c>
      <c r="I515" s="4" t="s">
        <v>641</v>
      </c>
      <c r="J515" s="4" t="s">
        <v>1746</v>
      </c>
      <c r="K515" s="4">
        <v>1</v>
      </c>
      <c r="L515" s="4">
        <v>2693</v>
      </c>
      <c r="M515" s="9"/>
      <c r="U515"/>
      <c r="Y515" s="260"/>
      <c r="AK515" s="9"/>
      <c r="AO515" s="4" t="s">
        <v>3933</v>
      </c>
      <c r="AP515" s="4">
        <v>874</v>
      </c>
      <c r="AQ515" s="4" t="s">
        <v>1716</v>
      </c>
      <c r="AR515" s="4" t="s">
        <v>1717</v>
      </c>
      <c r="AS515" s="4" t="s">
        <v>1718</v>
      </c>
      <c r="AT515" s="4" t="s">
        <v>1835</v>
      </c>
      <c r="AU515" s="4" t="s">
        <v>1836</v>
      </c>
      <c r="AX515" s="4" t="s">
        <v>2283</v>
      </c>
      <c r="AY515" s="4">
        <v>51.8825</v>
      </c>
      <c r="AZ515" s="4">
        <v>-124.9961</v>
      </c>
      <c r="BA515" s="4">
        <v>1355</v>
      </c>
    </row>
    <row r="516" spans="1:53" ht="14.25" customHeight="1" x14ac:dyDescent="0.2">
      <c r="A516" s="136" t="s">
        <v>422</v>
      </c>
      <c r="B516" s="193">
        <v>12</v>
      </c>
      <c r="C516" s="4" t="s">
        <v>1711</v>
      </c>
      <c r="D516" s="4">
        <v>875</v>
      </c>
      <c r="E516" s="4">
        <v>2291</v>
      </c>
      <c r="F516" s="16" t="s">
        <v>3934</v>
      </c>
      <c r="G516" s="4" t="s">
        <v>3935</v>
      </c>
      <c r="H516" s="4" t="s">
        <v>3936</v>
      </c>
      <c r="I516" s="4" t="s">
        <v>641</v>
      </c>
      <c r="J516" s="4" t="s">
        <v>1746</v>
      </c>
      <c r="K516" s="4">
        <v>1</v>
      </c>
      <c r="L516" s="4">
        <v>2694</v>
      </c>
      <c r="M516" s="9"/>
      <c r="U516"/>
      <c r="Y516" s="260"/>
      <c r="AK516" s="9"/>
      <c r="AO516" s="4" t="s">
        <v>3934</v>
      </c>
      <c r="AP516" s="4">
        <v>875</v>
      </c>
      <c r="AQ516" s="4" t="s">
        <v>1716</v>
      </c>
      <c r="AR516" s="4" t="s">
        <v>1717</v>
      </c>
      <c r="AS516" s="4" t="s">
        <v>1718</v>
      </c>
      <c r="AT516" s="4" t="s">
        <v>1719</v>
      </c>
      <c r="AU516" s="4" t="s">
        <v>1959</v>
      </c>
      <c r="AV516" s="4" t="s">
        <v>1720</v>
      </c>
      <c r="AW516" s="4" t="s">
        <v>2368</v>
      </c>
      <c r="AX516" s="4" t="s">
        <v>2516</v>
      </c>
      <c r="AY516" s="4">
        <v>49.767200000000003</v>
      </c>
      <c r="AZ516" s="4">
        <v>-119.1242</v>
      </c>
      <c r="BA516" s="4">
        <v>1300</v>
      </c>
    </row>
    <row r="517" spans="1:53" ht="14.25" customHeight="1" x14ac:dyDescent="0.2">
      <c r="A517" s="136" t="s">
        <v>422</v>
      </c>
      <c r="B517" s="193">
        <v>12</v>
      </c>
      <c r="C517" s="4" t="s">
        <v>1711</v>
      </c>
      <c r="D517" s="4">
        <v>879</v>
      </c>
      <c r="E517" s="4">
        <v>2293</v>
      </c>
      <c r="F517" s="211" t="s">
        <v>3942</v>
      </c>
      <c r="G517" s="4" t="s">
        <v>3943</v>
      </c>
      <c r="H517" s="4" t="s">
        <v>3944</v>
      </c>
      <c r="I517" s="4" t="s">
        <v>641</v>
      </c>
      <c r="J517" s="4" t="s">
        <v>1746</v>
      </c>
      <c r="K517" s="4">
        <v>1</v>
      </c>
      <c r="L517" s="4">
        <v>2696</v>
      </c>
      <c r="M517" s="9"/>
      <c r="U517"/>
      <c r="Y517" s="260"/>
      <c r="AK517" s="9"/>
      <c r="AO517" s="4" t="s">
        <v>3942</v>
      </c>
      <c r="AP517" s="4">
        <v>879</v>
      </c>
      <c r="AQ517" s="4" t="s">
        <v>1716</v>
      </c>
      <c r="AR517" s="4" t="s">
        <v>1717</v>
      </c>
      <c r="AS517" s="4" t="s">
        <v>1718</v>
      </c>
      <c r="AT517" s="4" t="s">
        <v>1835</v>
      </c>
      <c r="AU517" s="4" t="s">
        <v>1836</v>
      </c>
      <c r="AV517" s="4" t="s">
        <v>1720</v>
      </c>
      <c r="AW517" s="4" t="s">
        <v>2368</v>
      </c>
      <c r="AX517" s="4" t="s">
        <v>2505</v>
      </c>
      <c r="AY517" s="4">
        <v>50.746899999999997</v>
      </c>
      <c r="AZ517" s="4">
        <v>-122.4281</v>
      </c>
      <c r="BA517" s="4">
        <v>2165</v>
      </c>
    </row>
    <row r="518" spans="1:53" ht="14.25" customHeight="1" x14ac:dyDescent="0.2">
      <c r="A518" s="136" t="s">
        <v>422</v>
      </c>
      <c r="B518" s="193">
        <v>12</v>
      </c>
      <c r="C518" s="4" t="s">
        <v>1711</v>
      </c>
      <c r="D518" s="4">
        <v>892</v>
      </c>
      <c r="E518" s="4">
        <v>2296</v>
      </c>
      <c r="F518" s="16" t="s">
        <v>3951</v>
      </c>
      <c r="G518" s="9" t="s">
        <v>3952</v>
      </c>
      <c r="H518" s="4" t="s">
        <v>3953</v>
      </c>
      <c r="I518" s="4" t="s">
        <v>641</v>
      </c>
      <c r="J518" s="4" t="s">
        <v>1746</v>
      </c>
      <c r="K518" s="4">
        <v>1</v>
      </c>
      <c r="L518" s="4">
        <v>2699</v>
      </c>
      <c r="M518" s="9"/>
      <c r="U518"/>
      <c r="Y518" s="260"/>
      <c r="AK518" s="9"/>
      <c r="AO518" s="4" t="s">
        <v>3951</v>
      </c>
      <c r="AP518" s="4">
        <v>892</v>
      </c>
      <c r="AQ518" s="4" t="s">
        <v>1716</v>
      </c>
      <c r="AR518" s="4" t="s">
        <v>1717</v>
      </c>
      <c r="AS518" s="4" t="s">
        <v>1718</v>
      </c>
      <c r="AT518" s="4" t="s">
        <v>1841</v>
      </c>
      <c r="AU518" s="4" t="s">
        <v>1959</v>
      </c>
      <c r="AV518" s="4" t="s">
        <v>1720</v>
      </c>
      <c r="AW518" s="4" t="s">
        <v>2368</v>
      </c>
      <c r="AX518" s="4" t="s">
        <v>2401</v>
      </c>
      <c r="AY518" s="4">
        <v>51.581400000000002</v>
      </c>
      <c r="AZ518" s="4">
        <v>-120.0433</v>
      </c>
      <c r="BA518" s="4">
        <v>1200</v>
      </c>
    </row>
    <row r="519" spans="1:53" ht="14.25" customHeight="1" x14ac:dyDescent="0.2">
      <c r="A519" s="136" t="s">
        <v>422</v>
      </c>
      <c r="B519" s="193">
        <v>12</v>
      </c>
      <c r="C519" s="4" t="s">
        <v>1707</v>
      </c>
      <c r="D519" s="4">
        <v>896</v>
      </c>
      <c r="E519" s="4">
        <v>12976</v>
      </c>
      <c r="F519" s="192"/>
      <c r="G519" s="9" t="s">
        <v>127</v>
      </c>
      <c r="H519" s="4" t="s">
        <v>1697</v>
      </c>
      <c r="I519" s="4" t="s">
        <v>49</v>
      </c>
      <c r="J519" s="4" t="s">
        <v>1746</v>
      </c>
      <c r="K519" s="4">
        <v>1</v>
      </c>
      <c r="L519" s="4">
        <v>14908</v>
      </c>
      <c r="M519" s="9"/>
      <c r="U519"/>
      <c r="Y519" s="260"/>
      <c r="AK519" s="9"/>
      <c r="AO519" s="268" t="s">
        <v>3954</v>
      </c>
      <c r="AP519" s="268">
        <v>896</v>
      </c>
      <c r="AQ519" s="268" t="s">
        <v>1700</v>
      </c>
      <c r="AR519" s="268" t="s">
        <v>1739</v>
      </c>
      <c r="AS519" s="268" t="s">
        <v>1702</v>
      </c>
      <c r="AT519" s="268" t="s">
        <v>1703</v>
      </c>
      <c r="AU519" s="268" t="s">
        <v>1704</v>
      </c>
      <c r="AV519" s="268" t="s">
        <v>1702</v>
      </c>
      <c r="AW519" s="268" t="s">
        <v>1705</v>
      </c>
      <c r="AX519" s="268" t="s">
        <v>1879</v>
      </c>
      <c r="AY519" s="268">
        <v>50.144300000000001</v>
      </c>
      <c r="AZ519" s="268">
        <v>-123.1093</v>
      </c>
      <c r="BA519" s="268">
        <v>869</v>
      </c>
    </row>
    <row r="520" spans="1:53" ht="14.25" customHeight="1" x14ac:dyDescent="0.2">
      <c r="A520" s="136" t="s">
        <v>422</v>
      </c>
      <c r="B520" s="193">
        <v>12</v>
      </c>
      <c r="C520" s="4" t="s">
        <v>1711</v>
      </c>
      <c r="D520" s="4">
        <v>900</v>
      </c>
      <c r="E520" s="4">
        <v>2297</v>
      </c>
      <c r="F520" s="211" t="s">
        <v>3955</v>
      </c>
      <c r="G520" s="188" t="s">
        <v>3956</v>
      </c>
      <c r="H520" s="4" t="s">
        <v>3957</v>
      </c>
      <c r="I520" s="4" t="s">
        <v>641</v>
      </c>
      <c r="J520" s="4" t="s">
        <v>1746</v>
      </c>
      <c r="K520" s="4">
        <v>1</v>
      </c>
      <c r="L520" s="4">
        <v>2700</v>
      </c>
      <c r="M520" s="9"/>
      <c r="U520"/>
      <c r="Y520" s="260"/>
      <c r="AK520" s="9"/>
      <c r="AO520" s="4" t="s">
        <v>3955</v>
      </c>
      <c r="AP520" s="4">
        <v>900</v>
      </c>
      <c r="AQ520" s="4" t="s">
        <v>1716</v>
      </c>
      <c r="AR520" s="4" t="s">
        <v>1717</v>
      </c>
      <c r="AS520" s="4" t="s">
        <v>1718</v>
      </c>
      <c r="AT520" s="4" t="s">
        <v>1841</v>
      </c>
      <c r="AU520" s="4" t="s">
        <v>1959</v>
      </c>
      <c r="AV520" s="4" t="s">
        <v>1720</v>
      </c>
      <c r="AW520" s="4" t="s">
        <v>2368</v>
      </c>
      <c r="AX520" s="4" t="s">
        <v>2369</v>
      </c>
      <c r="AY520" s="4">
        <v>51.439700000000002</v>
      </c>
      <c r="AZ520" s="4">
        <v>-119.7136</v>
      </c>
      <c r="BA520" s="4">
        <v>900</v>
      </c>
    </row>
    <row r="521" spans="1:53" ht="14.25" customHeight="1" x14ac:dyDescent="0.2">
      <c r="A521" s="136" t="s">
        <v>422</v>
      </c>
      <c r="B521" s="193">
        <v>12</v>
      </c>
      <c r="C521" s="4" t="s">
        <v>1711</v>
      </c>
      <c r="D521" s="4">
        <v>914</v>
      </c>
      <c r="E521" s="4">
        <v>2303</v>
      </c>
      <c r="F521" s="211" t="s">
        <v>3977</v>
      </c>
      <c r="G521" s="4" t="s">
        <v>3978</v>
      </c>
      <c r="H521" s="4" t="s">
        <v>3979</v>
      </c>
      <c r="I521" s="4" t="s">
        <v>641</v>
      </c>
      <c r="J521" s="4" t="s">
        <v>1746</v>
      </c>
      <c r="K521" s="4">
        <v>1</v>
      </c>
      <c r="L521" s="4">
        <v>2706</v>
      </c>
      <c r="M521" s="9"/>
      <c r="U521"/>
      <c r="Y521" s="260"/>
      <c r="AK521" s="9"/>
      <c r="AO521" s="9" t="s">
        <v>3977</v>
      </c>
      <c r="AP521" s="4">
        <v>914</v>
      </c>
      <c r="AQ521" s="4" t="s">
        <v>1716</v>
      </c>
      <c r="AR521" s="4" t="s">
        <v>1717</v>
      </c>
      <c r="AS521" s="4" t="s">
        <v>1718</v>
      </c>
      <c r="AT521" s="4" t="s">
        <v>1835</v>
      </c>
      <c r="AU521" s="4" t="s">
        <v>1836</v>
      </c>
      <c r="AV521" s="4" t="s">
        <v>1720</v>
      </c>
      <c r="AW521" s="4" t="s">
        <v>1705</v>
      </c>
      <c r="AX521" s="4" t="s">
        <v>1879</v>
      </c>
      <c r="AY521" s="4">
        <v>50.324199999999998</v>
      </c>
      <c r="AZ521" s="4">
        <v>-123.55889999999999</v>
      </c>
      <c r="BA521" s="4">
        <v>650</v>
      </c>
    </row>
    <row r="522" spans="1:53" ht="14.25" customHeight="1" x14ac:dyDescent="0.2">
      <c r="A522" s="136" t="s">
        <v>422</v>
      </c>
      <c r="B522" s="193">
        <v>12</v>
      </c>
      <c r="C522" s="4" t="s">
        <v>1707</v>
      </c>
      <c r="D522" s="4">
        <v>915</v>
      </c>
      <c r="E522" s="4">
        <v>12977</v>
      </c>
      <c r="G522" s="188" t="s">
        <v>127</v>
      </c>
      <c r="H522" s="4" t="s">
        <v>1697</v>
      </c>
      <c r="I522" s="4" t="s">
        <v>49</v>
      </c>
      <c r="J522" s="4" t="s">
        <v>1746</v>
      </c>
      <c r="K522" s="4">
        <v>1</v>
      </c>
      <c r="L522" s="4">
        <v>14909</v>
      </c>
      <c r="M522" s="9"/>
      <c r="U522"/>
      <c r="Y522" s="260"/>
      <c r="AK522" s="9"/>
      <c r="AO522" s="268" t="s">
        <v>3980</v>
      </c>
      <c r="AP522" s="268">
        <v>915</v>
      </c>
      <c r="AQ522" s="268" t="s">
        <v>1700</v>
      </c>
      <c r="AR522" s="268" t="s">
        <v>1701</v>
      </c>
      <c r="AS522" s="268" t="s">
        <v>1702</v>
      </c>
      <c r="AT522" s="268" t="s">
        <v>1703</v>
      </c>
      <c r="AU522" s="268" t="s">
        <v>1704</v>
      </c>
      <c r="AV522" s="268" t="s">
        <v>1702</v>
      </c>
      <c r="AW522" s="268" t="s">
        <v>1705</v>
      </c>
      <c r="AX522" s="268" t="s">
        <v>1747</v>
      </c>
      <c r="AY522" s="268">
        <v>48.783299999999997</v>
      </c>
      <c r="AZ522" s="268">
        <v>-123.05</v>
      </c>
      <c r="BA522" s="268">
        <v>24</v>
      </c>
    </row>
    <row r="523" spans="1:53" ht="14.25" customHeight="1" x14ac:dyDescent="0.2">
      <c r="A523" s="136" t="s">
        <v>422</v>
      </c>
      <c r="B523" s="193">
        <v>12</v>
      </c>
      <c r="C523" s="4" t="s">
        <v>1711</v>
      </c>
      <c r="D523" s="4">
        <v>920</v>
      </c>
      <c r="E523" s="4">
        <v>2305</v>
      </c>
      <c r="F523" s="4" t="s">
        <v>3985</v>
      </c>
      <c r="G523" s="188" t="s">
        <v>3986</v>
      </c>
      <c r="H523" s="4" t="s">
        <v>3987</v>
      </c>
      <c r="I523" s="4" t="s">
        <v>641</v>
      </c>
      <c r="J523" s="4" t="s">
        <v>1746</v>
      </c>
      <c r="K523" s="4">
        <v>1</v>
      </c>
      <c r="L523" s="4">
        <v>2708</v>
      </c>
      <c r="M523" s="9"/>
      <c r="N523" s="9"/>
      <c r="O523" s="9"/>
      <c r="P523" s="9"/>
      <c r="Q523" s="20"/>
      <c r="R523" s="9"/>
      <c r="S523" s="9"/>
      <c r="T523" s="9"/>
      <c r="U523" s="9"/>
      <c r="V523" s="9"/>
      <c r="W523" s="21"/>
      <c r="X523" s="9"/>
      <c r="Y523" s="260"/>
      <c r="AK523" s="9"/>
      <c r="AO523" s="4" t="s">
        <v>3988</v>
      </c>
      <c r="AP523" s="4">
        <v>920</v>
      </c>
      <c r="AQ523" s="4" t="s">
        <v>1716</v>
      </c>
      <c r="AR523" s="4" t="s">
        <v>1717</v>
      </c>
      <c r="AS523" s="4" t="s">
        <v>1718</v>
      </c>
      <c r="AT523" s="4" t="s">
        <v>1835</v>
      </c>
      <c r="AU523" s="4" t="s">
        <v>1836</v>
      </c>
      <c r="AV523" s="4" t="s">
        <v>1720</v>
      </c>
      <c r="AW523" s="4" t="s">
        <v>2698</v>
      </c>
      <c r="AX523" s="4" t="s">
        <v>2801</v>
      </c>
      <c r="AY523" s="4">
        <v>49.627800000000001</v>
      </c>
      <c r="AZ523" s="4">
        <v>-117.1258</v>
      </c>
      <c r="BA523" s="4">
        <v>1376</v>
      </c>
    </row>
    <row r="524" spans="1:53" ht="14.25" customHeight="1" x14ac:dyDescent="0.2">
      <c r="A524" s="136" t="s">
        <v>422</v>
      </c>
      <c r="B524" s="193">
        <v>12</v>
      </c>
      <c r="C524" s="4" t="s">
        <v>1711</v>
      </c>
      <c r="D524" s="4">
        <v>925</v>
      </c>
      <c r="E524" s="4">
        <v>2306</v>
      </c>
      <c r="F524" s="211" t="s">
        <v>3989</v>
      </c>
      <c r="G524" s="188" t="s">
        <v>3990</v>
      </c>
      <c r="H524" s="4" t="s">
        <v>3991</v>
      </c>
      <c r="I524" s="4" t="s">
        <v>641</v>
      </c>
      <c r="J524" s="4" t="s">
        <v>1746</v>
      </c>
      <c r="K524" s="4">
        <v>1</v>
      </c>
      <c r="L524" s="4">
        <v>2709</v>
      </c>
      <c r="M524" s="9"/>
      <c r="U524"/>
      <c r="Y524" s="260"/>
      <c r="AK524" s="9"/>
      <c r="AO524" s="4" t="s">
        <v>3989</v>
      </c>
      <c r="AP524" s="4">
        <v>925</v>
      </c>
      <c r="AQ524" s="4" t="s">
        <v>1716</v>
      </c>
      <c r="AR524" s="4" t="s">
        <v>1717</v>
      </c>
      <c r="AS524" s="4" t="s">
        <v>1718</v>
      </c>
      <c r="AT524" s="4" t="s">
        <v>1835</v>
      </c>
      <c r="AU524" s="4" t="s">
        <v>1836</v>
      </c>
      <c r="AV524" s="4" t="s">
        <v>1720</v>
      </c>
      <c r="AW524" s="4" t="s">
        <v>1705</v>
      </c>
      <c r="AX524" s="4" t="s">
        <v>1879</v>
      </c>
      <c r="AY524" s="4">
        <v>50.116900000000001</v>
      </c>
      <c r="AZ524" s="4">
        <v>-122.95310000000001</v>
      </c>
      <c r="BA524" s="4">
        <v>678</v>
      </c>
    </row>
    <row r="525" spans="1:53" ht="14.25" customHeight="1" x14ac:dyDescent="0.2">
      <c r="A525" s="136" t="s">
        <v>422</v>
      </c>
      <c r="B525" s="193">
        <v>12</v>
      </c>
      <c r="C525" s="4" t="s">
        <v>1711</v>
      </c>
      <c r="D525" s="4">
        <v>926</v>
      </c>
      <c r="E525" s="4">
        <v>2307</v>
      </c>
      <c r="F525" s="16" t="s">
        <v>3992</v>
      </c>
      <c r="G525" s="203" t="s">
        <v>3993</v>
      </c>
      <c r="H525" s="4" t="s">
        <v>3991</v>
      </c>
      <c r="I525" s="4" t="s">
        <v>641</v>
      </c>
      <c r="J525" s="4" t="s">
        <v>1746</v>
      </c>
      <c r="K525" s="4">
        <v>1</v>
      </c>
      <c r="L525" s="4">
        <v>2710</v>
      </c>
      <c r="M525" s="9"/>
      <c r="U525"/>
      <c r="Y525" s="260"/>
      <c r="AK525" s="9"/>
      <c r="AO525" s="4" t="s">
        <v>3992</v>
      </c>
      <c r="AP525" s="4">
        <v>926</v>
      </c>
      <c r="AQ525" s="4" t="s">
        <v>1716</v>
      </c>
      <c r="AR525" s="4" t="s">
        <v>1717</v>
      </c>
      <c r="AS525" s="4" t="s">
        <v>1718</v>
      </c>
      <c r="AT525" s="4" t="s">
        <v>1835</v>
      </c>
      <c r="AU525" s="4" t="s">
        <v>1836</v>
      </c>
      <c r="AV525" s="4" t="s">
        <v>1720</v>
      </c>
      <c r="AW525" s="4" t="s">
        <v>1705</v>
      </c>
      <c r="AX525" s="4" t="s">
        <v>1879</v>
      </c>
      <c r="AY525" s="4">
        <v>50.305799999999998</v>
      </c>
      <c r="AZ525" s="4">
        <v>-122.72920000000001</v>
      </c>
      <c r="BA525" s="4">
        <v>206</v>
      </c>
    </row>
    <row r="526" spans="1:53" ht="14.25" customHeight="1" x14ac:dyDescent="0.2">
      <c r="A526" s="136" t="s">
        <v>422</v>
      </c>
      <c r="B526" s="193">
        <v>12</v>
      </c>
      <c r="C526" s="4" t="s">
        <v>1711</v>
      </c>
      <c r="D526" s="4">
        <v>927</v>
      </c>
      <c r="E526" s="4">
        <v>2308</v>
      </c>
      <c r="F526" s="188" t="s">
        <v>3994</v>
      </c>
      <c r="G526" s="4" t="s">
        <v>3995</v>
      </c>
      <c r="H526" s="4" t="s">
        <v>3996</v>
      </c>
      <c r="I526" s="4" t="s">
        <v>1664</v>
      </c>
      <c r="J526" s="4" t="s">
        <v>1746</v>
      </c>
      <c r="K526" s="4">
        <v>1</v>
      </c>
      <c r="L526" s="4">
        <v>2711</v>
      </c>
      <c r="M526" s="9"/>
      <c r="N526" s="9"/>
      <c r="O526" s="9"/>
      <c r="P526" s="9"/>
      <c r="Q526" s="20"/>
      <c r="R526" s="9"/>
      <c r="S526" s="9"/>
      <c r="T526" s="9"/>
      <c r="U526" s="9"/>
      <c r="V526" s="9"/>
      <c r="W526" s="21"/>
      <c r="X526" s="9"/>
      <c r="Y526" s="260"/>
      <c r="AK526" s="9"/>
      <c r="AO526" s="4" t="s">
        <v>3997</v>
      </c>
      <c r="AP526" s="4">
        <v>927</v>
      </c>
      <c r="AQ526" s="4" t="s">
        <v>1716</v>
      </c>
      <c r="AR526" s="4" t="s">
        <v>1717</v>
      </c>
      <c r="AS526" s="4" t="s">
        <v>2257</v>
      </c>
      <c r="AT526" s="4" t="s">
        <v>1719</v>
      </c>
      <c r="AU526" s="4" t="s">
        <v>3668</v>
      </c>
      <c r="AW526" s="4" t="s">
        <v>2003</v>
      </c>
      <c r="AX526" s="4" t="s">
        <v>2258</v>
      </c>
      <c r="AY526" s="4">
        <v>52.2502</v>
      </c>
      <c r="AZ526" s="4">
        <v>-119.0256</v>
      </c>
      <c r="BA526" s="4">
        <v>1109</v>
      </c>
    </row>
    <row r="527" spans="1:53" ht="14.25" customHeight="1" x14ac:dyDescent="0.2">
      <c r="A527" s="136" t="s">
        <v>422</v>
      </c>
      <c r="B527" s="193">
        <v>12</v>
      </c>
      <c r="C527" s="4" t="s">
        <v>1711</v>
      </c>
      <c r="D527" s="4">
        <v>928</v>
      </c>
      <c r="E527" s="4">
        <v>2309</v>
      </c>
      <c r="F527" s="4" t="s">
        <v>3998</v>
      </c>
      <c r="G527" s="4" t="s">
        <v>3999</v>
      </c>
      <c r="H527" s="4" t="s">
        <v>4000</v>
      </c>
      <c r="I527" s="4" t="s">
        <v>1664</v>
      </c>
      <c r="J527" s="4" t="s">
        <v>1746</v>
      </c>
      <c r="K527" s="4">
        <v>1</v>
      </c>
      <c r="L527" s="4">
        <v>2712</v>
      </c>
      <c r="M527" s="9"/>
      <c r="N527" s="9"/>
      <c r="O527" s="9"/>
      <c r="P527" s="9"/>
      <c r="Q527" s="70"/>
      <c r="R527" s="9"/>
      <c r="S527" s="9"/>
      <c r="T527" s="9"/>
      <c r="U527" s="9"/>
      <c r="V527" s="9"/>
      <c r="W527" s="58"/>
      <c r="X527" s="9"/>
      <c r="Y527" s="260"/>
      <c r="AK527" s="9"/>
      <c r="AO527" s="188" t="s">
        <v>4001</v>
      </c>
      <c r="AP527" s="188">
        <v>928</v>
      </c>
      <c r="AQ527" s="188" t="s">
        <v>1716</v>
      </c>
      <c r="AR527" s="188" t="s">
        <v>1717</v>
      </c>
      <c r="AS527" s="188" t="s">
        <v>2257</v>
      </c>
      <c r="AT527" s="188" t="s">
        <v>1719</v>
      </c>
      <c r="AU527" s="188" t="s">
        <v>3668</v>
      </c>
      <c r="AV527" s="192"/>
      <c r="AW527" s="188" t="s">
        <v>2003</v>
      </c>
      <c r="AX527" s="188" t="s">
        <v>2258</v>
      </c>
      <c r="AY527" s="188">
        <v>52.469700000000003</v>
      </c>
      <c r="AZ527" s="188">
        <v>-119.2868</v>
      </c>
      <c r="BA527" s="188">
        <v>1160</v>
      </c>
    </row>
    <row r="528" spans="1:53" ht="14.25" customHeight="1" x14ac:dyDescent="0.2">
      <c r="A528" s="136" t="s">
        <v>422</v>
      </c>
      <c r="B528" s="193">
        <v>12</v>
      </c>
      <c r="C528" s="4" t="s">
        <v>1711</v>
      </c>
      <c r="D528" s="4">
        <v>929</v>
      </c>
      <c r="E528" s="4">
        <v>2310</v>
      </c>
      <c r="F528" s="4" t="s">
        <v>4002</v>
      </c>
      <c r="G528" s="188" t="s">
        <v>4003</v>
      </c>
      <c r="H528" s="4" t="s">
        <v>4004</v>
      </c>
      <c r="I528" s="4" t="s">
        <v>1664</v>
      </c>
      <c r="J528" s="4" t="s">
        <v>1746</v>
      </c>
      <c r="K528" s="4">
        <v>1</v>
      </c>
      <c r="L528" s="4">
        <v>2713</v>
      </c>
      <c r="M528" s="9"/>
      <c r="N528" s="9"/>
      <c r="O528" s="9"/>
      <c r="P528" s="9"/>
      <c r="Q528" s="20"/>
      <c r="R528" s="9"/>
      <c r="S528" s="9"/>
      <c r="T528" s="9"/>
      <c r="U528" s="9"/>
      <c r="V528" s="9"/>
      <c r="W528" s="21"/>
      <c r="X528" s="9"/>
      <c r="Y528" s="260"/>
      <c r="AK528" s="9"/>
      <c r="AO528" s="4" t="s">
        <v>4005</v>
      </c>
      <c r="AP528" s="4">
        <v>929</v>
      </c>
      <c r="AQ528" s="4" t="s">
        <v>1716</v>
      </c>
      <c r="AR528" s="4" t="s">
        <v>1717</v>
      </c>
      <c r="AS528" s="4" t="s">
        <v>2257</v>
      </c>
      <c r="AT528" s="4" t="s">
        <v>1719</v>
      </c>
      <c r="AU528" s="4" t="s">
        <v>3668</v>
      </c>
      <c r="AW528" s="4" t="s">
        <v>2003</v>
      </c>
      <c r="AX528" s="4" t="s">
        <v>2258</v>
      </c>
      <c r="AY528" s="4">
        <v>52.841500000000003</v>
      </c>
      <c r="AZ528" s="4">
        <v>-119.77079999999999</v>
      </c>
      <c r="BA528" s="4">
        <v>1070</v>
      </c>
    </row>
    <row r="529" spans="1:53" ht="14.25" customHeight="1" x14ac:dyDescent="0.2">
      <c r="A529" s="136" t="s">
        <v>422</v>
      </c>
      <c r="B529" s="193">
        <v>12</v>
      </c>
      <c r="C529" s="4" t="s">
        <v>1711</v>
      </c>
      <c r="D529" s="4">
        <v>931</v>
      </c>
      <c r="E529" s="4">
        <v>2312</v>
      </c>
      <c r="F529" s="16" t="s">
        <v>4011</v>
      </c>
      <c r="G529" s="4" t="s">
        <v>4012</v>
      </c>
      <c r="H529" s="4" t="s">
        <v>4013</v>
      </c>
      <c r="I529" s="4" t="s">
        <v>641</v>
      </c>
      <c r="J529" s="4" t="s">
        <v>1746</v>
      </c>
      <c r="K529" s="4">
        <v>1</v>
      </c>
      <c r="L529" s="4">
        <v>2715</v>
      </c>
      <c r="M529" s="9"/>
      <c r="U529"/>
      <c r="Y529" s="260"/>
      <c r="AK529" s="9"/>
      <c r="AO529" s="4" t="s">
        <v>4011</v>
      </c>
      <c r="AP529" s="4">
        <v>931</v>
      </c>
      <c r="AQ529" s="4" t="s">
        <v>1716</v>
      </c>
      <c r="AR529" s="4" t="s">
        <v>1717</v>
      </c>
      <c r="AS529" s="4" t="s">
        <v>1718</v>
      </c>
      <c r="AT529" s="4" t="s">
        <v>1835</v>
      </c>
      <c r="AU529" s="4" t="s">
        <v>1836</v>
      </c>
      <c r="AV529" s="4" t="s">
        <v>1720</v>
      </c>
      <c r="AX529" s="4" t="s">
        <v>1706</v>
      </c>
      <c r="AY529" s="4">
        <v>49.2119</v>
      </c>
      <c r="AZ529" s="4">
        <v>-124.4106</v>
      </c>
      <c r="BA529" s="4">
        <v>309</v>
      </c>
    </row>
    <row r="530" spans="1:53" ht="14.25" customHeight="1" x14ac:dyDescent="0.2">
      <c r="A530" s="136" t="s">
        <v>422</v>
      </c>
      <c r="B530" s="193">
        <v>12</v>
      </c>
      <c r="C530" s="4" t="s">
        <v>1711</v>
      </c>
      <c r="D530" s="4">
        <v>932</v>
      </c>
      <c r="E530" s="4">
        <v>2313</v>
      </c>
      <c r="F530" s="211" t="s">
        <v>4014</v>
      </c>
      <c r="G530" s="188" t="s">
        <v>4015</v>
      </c>
      <c r="H530" s="4" t="s">
        <v>4016</v>
      </c>
      <c r="I530" s="4" t="s">
        <v>641</v>
      </c>
      <c r="J530" s="4" t="s">
        <v>1746</v>
      </c>
      <c r="K530" s="4">
        <v>1</v>
      </c>
      <c r="L530" s="4">
        <v>2716</v>
      </c>
      <c r="M530" s="9"/>
      <c r="U530"/>
      <c r="Y530" s="260"/>
      <c r="AK530" s="9"/>
      <c r="AO530" s="4" t="s">
        <v>4014</v>
      </c>
      <c r="AP530" s="4">
        <v>932</v>
      </c>
      <c r="AQ530" s="4" t="s">
        <v>1716</v>
      </c>
      <c r="AR530" s="4" t="s">
        <v>1717</v>
      </c>
      <c r="AS530" s="4" t="s">
        <v>1718</v>
      </c>
      <c r="AT530" s="4" t="s">
        <v>1835</v>
      </c>
      <c r="AU530" s="4" t="s">
        <v>1836</v>
      </c>
      <c r="AV530" s="4" t="s">
        <v>1720</v>
      </c>
      <c r="AX530" s="4" t="s">
        <v>1706</v>
      </c>
      <c r="AY530" s="4">
        <v>49.228299999999997</v>
      </c>
      <c r="AZ530" s="4">
        <v>-124.0147</v>
      </c>
      <c r="BA530" s="4">
        <v>156</v>
      </c>
    </row>
    <row r="531" spans="1:53" ht="14.25" customHeight="1" x14ac:dyDescent="0.2">
      <c r="A531" s="136" t="s">
        <v>422</v>
      </c>
      <c r="B531" s="193">
        <v>12</v>
      </c>
      <c r="C531" s="4" t="s">
        <v>1711</v>
      </c>
      <c r="D531" s="4">
        <v>933</v>
      </c>
      <c r="E531" s="4">
        <v>2314</v>
      </c>
      <c r="F531" s="4" t="s">
        <v>4017</v>
      </c>
      <c r="G531" s="188" t="s">
        <v>4018</v>
      </c>
      <c r="H531" s="4" t="s">
        <v>4019</v>
      </c>
      <c r="I531" s="4" t="s">
        <v>641</v>
      </c>
      <c r="J531" s="4" t="s">
        <v>1746</v>
      </c>
      <c r="K531" s="4">
        <v>1</v>
      </c>
      <c r="L531" s="4">
        <v>2717</v>
      </c>
      <c r="M531" s="9"/>
      <c r="U531"/>
      <c r="Y531" s="260"/>
      <c r="AK531" s="9"/>
      <c r="AO531" s="4" t="s">
        <v>4020</v>
      </c>
      <c r="AP531" s="4">
        <v>933</v>
      </c>
      <c r="AQ531" s="4" t="s">
        <v>1716</v>
      </c>
      <c r="AR531" s="4" t="s">
        <v>1717</v>
      </c>
      <c r="AS531" s="4" t="s">
        <v>1718</v>
      </c>
      <c r="AT531" s="4" t="s">
        <v>1719</v>
      </c>
      <c r="AU531" s="4" t="s">
        <v>1959</v>
      </c>
      <c r="AV531" s="4" t="s">
        <v>1720</v>
      </c>
      <c r="AW531" s="4" t="s">
        <v>2698</v>
      </c>
      <c r="AX531" s="4" t="s">
        <v>2902</v>
      </c>
      <c r="AY531" s="4">
        <v>49.031700000000001</v>
      </c>
      <c r="AZ531" s="4">
        <v>-115.2127</v>
      </c>
      <c r="BA531" s="4">
        <v>794</v>
      </c>
    </row>
    <row r="532" spans="1:53" ht="14.25" customHeight="1" x14ac:dyDescent="0.2">
      <c r="A532" s="136" t="s">
        <v>422</v>
      </c>
      <c r="B532" s="193">
        <v>12</v>
      </c>
      <c r="C532" s="4" t="s">
        <v>1711</v>
      </c>
      <c r="D532" s="4">
        <v>936</v>
      </c>
      <c r="E532" s="4">
        <v>2316</v>
      </c>
      <c r="F532" s="4" t="s">
        <v>4024</v>
      </c>
      <c r="G532" s="4" t="s">
        <v>4025</v>
      </c>
      <c r="H532" s="4" t="s">
        <v>4026</v>
      </c>
      <c r="I532" s="4" t="s">
        <v>641</v>
      </c>
      <c r="J532" s="4" t="s">
        <v>1746</v>
      </c>
      <c r="K532" s="4">
        <v>1</v>
      </c>
      <c r="L532" s="4">
        <v>2719</v>
      </c>
      <c r="M532" s="9"/>
      <c r="U532"/>
      <c r="Y532" s="260"/>
      <c r="AK532" s="9"/>
      <c r="AO532" s="4" t="s">
        <v>4027</v>
      </c>
      <c r="AP532" s="4">
        <v>936</v>
      </c>
      <c r="AQ532" s="4" t="s">
        <v>1716</v>
      </c>
      <c r="AR532" s="4" t="s">
        <v>1717</v>
      </c>
      <c r="AS532" s="4" t="s">
        <v>1718</v>
      </c>
      <c r="AT532" s="4" t="s">
        <v>1835</v>
      </c>
      <c r="AU532" s="4" t="s">
        <v>1836</v>
      </c>
      <c r="AV532" s="4" t="s">
        <v>1720</v>
      </c>
      <c r="AW532" s="4" t="s">
        <v>2698</v>
      </c>
      <c r="AX532" s="4" t="s">
        <v>2797</v>
      </c>
      <c r="AY532" s="4">
        <v>49.984000000000002</v>
      </c>
      <c r="AZ532" s="4">
        <v>-117.3749</v>
      </c>
      <c r="BA532" s="4">
        <v>549</v>
      </c>
    </row>
    <row r="533" spans="1:53" ht="14.25" customHeight="1" x14ac:dyDescent="0.2">
      <c r="A533" s="136" t="s">
        <v>422</v>
      </c>
      <c r="B533" s="193">
        <v>12</v>
      </c>
      <c r="C533" s="4" t="s">
        <v>1711</v>
      </c>
      <c r="D533" s="4">
        <v>939</v>
      </c>
      <c r="E533" s="4">
        <v>2318</v>
      </c>
      <c r="F533" s="211" t="s">
        <v>4031</v>
      </c>
      <c r="G533" s="4" t="s">
        <v>4032</v>
      </c>
      <c r="H533" s="4" t="s">
        <v>4033</v>
      </c>
      <c r="I533" s="4" t="s">
        <v>641</v>
      </c>
      <c r="J533" s="4" t="s">
        <v>1746</v>
      </c>
      <c r="K533" s="4">
        <v>1</v>
      </c>
      <c r="L533" s="4">
        <v>2721</v>
      </c>
      <c r="M533" s="9"/>
      <c r="U533"/>
      <c r="Y533" s="260"/>
      <c r="AK533" s="9"/>
      <c r="AO533" s="4" t="s">
        <v>4031</v>
      </c>
      <c r="AP533" s="4">
        <v>939</v>
      </c>
      <c r="AQ533" s="4" t="s">
        <v>1716</v>
      </c>
      <c r="AR533" s="4" t="s">
        <v>1717</v>
      </c>
      <c r="AS533" s="4" t="s">
        <v>1718</v>
      </c>
      <c r="AT533" s="4" t="s">
        <v>1835</v>
      </c>
      <c r="AU533" s="4" t="s">
        <v>1836</v>
      </c>
      <c r="AW533" s="4" t="s">
        <v>2003</v>
      </c>
      <c r="AX533" s="4" t="s">
        <v>2024</v>
      </c>
      <c r="AY533" s="4">
        <v>54.632199999999997</v>
      </c>
      <c r="AZ533" s="4">
        <v>-120.6306</v>
      </c>
      <c r="BA533" s="4">
        <v>1241</v>
      </c>
    </row>
    <row r="534" spans="1:53" ht="14.25" customHeight="1" x14ac:dyDescent="0.2">
      <c r="A534" s="136" t="s">
        <v>422</v>
      </c>
      <c r="B534" s="193">
        <v>12</v>
      </c>
      <c r="C534" s="4" t="s">
        <v>1711</v>
      </c>
      <c r="D534" s="4">
        <v>942</v>
      </c>
      <c r="E534" s="4">
        <v>2319</v>
      </c>
      <c r="F534" s="4" t="s">
        <v>4034</v>
      </c>
      <c r="G534" s="188" t="s">
        <v>4035</v>
      </c>
      <c r="H534" s="4" t="s">
        <v>4036</v>
      </c>
      <c r="I534" s="4" t="s">
        <v>641</v>
      </c>
      <c r="J534" s="4" t="s">
        <v>1746</v>
      </c>
      <c r="K534" s="4">
        <v>1</v>
      </c>
      <c r="L534" s="4">
        <v>2722</v>
      </c>
      <c r="M534" s="9"/>
      <c r="U534"/>
      <c r="Y534" s="260"/>
      <c r="AK534" s="9"/>
      <c r="AO534" s="4" t="s">
        <v>4037</v>
      </c>
      <c r="AP534" s="4">
        <v>942</v>
      </c>
      <c r="AQ534" s="4" t="s">
        <v>1716</v>
      </c>
      <c r="AR534" s="4" t="s">
        <v>1717</v>
      </c>
      <c r="AS534" s="4" t="s">
        <v>1718</v>
      </c>
      <c r="AT534" s="4" t="s">
        <v>1835</v>
      </c>
      <c r="AU534" s="4" t="s">
        <v>1836</v>
      </c>
      <c r="AW534" s="4" t="s">
        <v>1947</v>
      </c>
      <c r="AX534" s="4" t="s">
        <v>2091</v>
      </c>
      <c r="AY534" s="4">
        <v>53.287300000000002</v>
      </c>
      <c r="AZ534" s="4">
        <v>-123.4456</v>
      </c>
      <c r="BA534" s="4">
        <v>1039</v>
      </c>
    </row>
    <row r="535" spans="1:53" ht="14.25" customHeight="1" x14ac:dyDescent="0.2">
      <c r="A535" s="136" t="s">
        <v>422</v>
      </c>
      <c r="B535" s="193">
        <v>12</v>
      </c>
      <c r="C535" s="4" t="s">
        <v>1711</v>
      </c>
      <c r="D535" s="4">
        <v>943</v>
      </c>
      <c r="E535" s="4">
        <v>2320</v>
      </c>
      <c r="F535" s="188" t="s">
        <v>4038</v>
      </c>
      <c r="G535" s="188" t="s">
        <v>4039</v>
      </c>
      <c r="H535" s="4" t="s">
        <v>4040</v>
      </c>
      <c r="I535" s="4" t="s">
        <v>641</v>
      </c>
      <c r="J535" s="4" t="s">
        <v>1746</v>
      </c>
      <c r="K535" s="4">
        <v>1</v>
      </c>
      <c r="L535" s="4">
        <v>2723</v>
      </c>
      <c r="M535" s="203"/>
      <c r="N535" s="203"/>
      <c r="O535" s="203"/>
      <c r="P535" s="203"/>
      <c r="Q535" s="245"/>
      <c r="R535" s="203"/>
      <c r="S535" s="203"/>
      <c r="T535" s="203"/>
      <c r="U535" s="203"/>
      <c r="V535" s="203"/>
      <c r="W535" s="256"/>
      <c r="X535" s="203"/>
      <c r="Y535" s="261"/>
      <c r="AK535" s="9"/>
      <c r="AO535" s="188" t="s">
        <v>4041</v>
      </c>
      <c r="AP535" s="4">
        <v>943</v>
      </c>
      <c r="AQ535" s="4" t="s">
        <v>1716</v>
      </c>
      <c r="AR535" s="4" t="s">
        <v>1717</v>
      </c>
      <c r="AS535" s="4" t="s">
        <v>1718</v>
      </c>
      <c r="AT535" s="4" t="s">
        <v>1835</v>
      </c>
      <c r="AU535" s="4" t="s">
        <v>1836</v>
      </c>
      <c r="AV535" s="4" t="s">
        <v>1720</v>
      </c>
      <c r="AW535" s="4" t="s">
        <v>2368</v>
      </c>
      <c r="AX535" s="4" t="s">
        <v>2522</v>
      </c>
      <c r="AY535" s="4">
        <v>50.472499999999997</v>
      </c>
      <c r="AZ535" s="4">
        <v>-119.56059999999999</v>
      </c>
      <c r="BA535" s="4">
        <v>1281</v>
      </c>
    </row>
    <row r="536" spans="1:53" ht="14.25" customHeight="1" x14ac:dyDescent="0.2">
      <c r="A536" s="136" t="s">
        <v>422</v>
      </c>
      <c r="B536" s="193">
        <v>12</v>
      </c>
      <c r="C536" s="4" t="s">
        <v>1711</v>
      </c>
      <c r="D536" s="4">
        <v>946</v>
      </c>
      <c r="E536" s="4">
        <v>2323</v>
      </c>
      <c r="F536" s="211" t="s">
        <v>4049</v>
      </c>
      <c r="G536" s="188" t="s">
        <v>4050</v>
      </c>
      <c r="H536" s="4" t="s">
        <v>4051</v>
      </c>
      <c r="I536" s="4" t="s">
        <v>641</v>
      </c>
      <c r="J536" s="4" t="s">
        <v>1746</v>
      </c>
      <c r="K536" s="4">
        <v>1</v>
      </c>
      <c r="L536" s="4">
        <v>2726</v>
      </c>
      <c r="M536" s="9"/>
      <c r="U536"/>
      <c r="Y536" s="260"/>
      <c r="AK536" s="9"/>
      <c r="AO536" s="4" t="s">
        <v>4049</v>
      </c>
      <c r="AP536" s="4">
        <v>946</v>
      </c>
      <c r="AQ536" s="4" t="s">
        <v>1716</v>
      </c>
      <c r="AR536" s="4" t="s">
        <v>1717</v>
      </c>
      <c r="AS536" s="4" t="s">
        <v>1718</v>
      </c>
      <c r="AT536" s="4" t="s">
        <v>1835</v>
      </c>
      <c r="AU536" s="4" t="s">
        <v>1836</v>
      </c>
      <c r="AV536" s="4" t="s">
        <v>1720</v>
      </c>
      <c r="AW536" s="4" t="s">
        <v>2368</v>
      </c>
      <c r="AX536" s="4" t="s">
        <v>2492</v>
      </c>
      <c r="AY536" s="4">
        <v>49.0625</v>
      </c>
      <c r="AZ536" s="4">
        <v>-120.5569</v>
      </c>
      <c r="BA536" s="4">
        <v>1103</v>
      </c>
    </row>
    <row r="537" spans="1:53" ht="14.25" customHeight="1" x14ac:dyDescent="0.2">
      <c r="A537" s="136" t="s">
        <v>422</v>
      </c>
      <c r="B537" s="193">
        <v>12</v>
      </c>
      <c r="C537" s="4" t="s">
        <v>1711</v>
      </c>
      <c r="D537" s="4">
        <v>952</v>
      </c>
      <c r="E537" s="4">
        <v>2324</v>
      </c>
      <c r="F537" s="16" t="s">
        <v>4052</v>
      </c>
      <c r="G537" s="4" t="s">
        <v>4053</v>
      </c>
      <c r="H537" s="4" t="s">
        <v>4054</v>
      </c>
      <c r="I537" s="4" t="s">
        <v>641</v>
      </c>
      <c r="J537" s="4" t="s">
        <v>1746</v>
      </c>
      <c r="K537" s="4">
        <v>1</v>
      </c>
      <c r="L537" s="4">
        <v>2727</v>
      </c>
      <c r="M537" s="9"/>
      <c r="U537"/>
      <c r="Y537" s="260"/>
      <c r="AK537" s="9"/>
      <c r="AO537" s="4" t="s">
        <v>4052</v>
      </c>
      <c r="AP537" s="4">
        <v>952</v>
      </c>
      <c r="AQ537" s="4" t="s">
        <v>1716</v>
      </c>
      <c r="AR537" s="4" t="s">
        <v>1717</v>
      </c>
      <c r="AS537" s="4" t="s">
        <v>1718</v>
      </c>
      <c r="AT537" s="4" t="s">
        <v>1835</v>
      </c>
      <c r="AU537" s="4" t="s">
        <v>1836</v>
      </c>
      <c r="AV537" s="4" t="s">
        <v>1720</v>
      </c>
      <c r="AW537" s="4" t="s">
        <v>2368</v>
      </c>
      <c r="AX537" s="4" t="s">
        <v>2492</v>
      </c>
      <c r="AY537" s="4">
        <v>49.124400000000001</v>
      </c>
      <c r="AZ537" s="4">
        <v>-120.50190000000001</v>
      </c>
      <c r="BA537" s="4">
        <v>1553</v>
      </c>
    </row>
    <row r="538" spans="1:53" ht="14.25" customHeight="1" x14ac:dyDescent="0.2">
      <c r="A538" s="136" t="s">
        <v>422</v>
      </c>
      <c r="B538" s="193">
        <v>12</v>
      </c>
      <c r="C538" s="4" t="s">
        <v>1711</v>
      </c>
      <c r="D538" s="4">
        <v>960</v>
      </c>
      <c r="E538" s="4">
        <v>2326</v>
      </c>
      <c r="F538" s="188" t="s">
        <v>4058</v>
      </c>
      <c r="G538" s="4" t="s">
        <v>4059</v>
      </c>
      <c r="H538" s="4" t="s">
        <v>4060</v>
      </c>
      <c r="I538" s="4" t="s">
        <v>641</v>
      </c>
      <c r="J538" s="4" t="s">
        <v>1746</v>
      </c>
      <c r="K538" s="4">
        <v>1</v>
      </c>
      <c r="L538" s="4">
        <v>2729</v>
      </c>
      <c r="M538" s="9"/>
      <c r="N538" s="9"/>
      <c r="O538" s="9"/>
      <c r="P538" s="9"/>
      <c r="Q538" s="20"/>
      <c r="R538" s="9"/>
      <c r="S538" s="9"/>
      <c r="T538" s="9"/>
      <c r="U538" s="9"/>
      <c r="V538" s="9"/>
      <c r="W538" s="21"/>
      <c r="X538" s="9"/>
      <c r="Y538" s="260"/>
      <c r="AK538" s="9"/>
      <c r="AO538" s="4" t="s">
        <v>4061</v>
      </c>
      <c r="AP538" s="4">
        <v>960</v>
      </c>
      <c r="AQ538" s="4" t="s">
        <v>1716</v>
      </c>
      <c r="AR538" s="4" t="s">
        <v>1717</v>
      </c>
      <c r="AS538" s="4" t="s">
        <v>1718</v>
      </c>
      <c r="AT538" s="4" t="s">
        <v>1835</v>
      </c>
      <c r="AU538" s="4" t="s">
        <v>1836</v>
      </c>
      <c r="AV538" s="4" t="s">
        <v>1720</v>
      </c>
      <c r="AW538" s="4" t="s">
        <v>3863</v>
      </c>
      <c r="AX538" s="4" t="s">
        <v>1723</v>
      </c>
      <c r="AY538" s="4">
        <v>49.7104</v>
      </c>
      <c r="AZ538" s="4">
        <v>-124.9971</v>
      </c>
      <c r="BA538" s="4">
        <v>37</v>
      </c>
    </row>
    <row r="539" spans="1:53" ht="14.25" customHeight="1" x14ac:dyDescent="0.2">
      <c r="A539" s="136" t="s">
        <v>422</v>
      </c>
      <c r="B539" s="193">
        <v>12</v>
      </c>
      <c r="C539" s="4" t="s">
        <v>1711</v>
      </c>
      <c r="D539" s="4">
        <v>962</v>
      </c>
      <c r="E539" s="4">
        <v>2327</v>
      </c>
      <c r="F539" s="4" t="s">
        <v>4062</v>
      </c>
      <c r="G539" s="188" t="s">
        <v>4063</v>
      </c>
      <c r="H539" s="4" t="s">
        <v>4064</v>
      </c>
      <c r="I539" s="4" t="s">
        <v>641</v>
      </c>
      <c r="J539" s="4" t="s">
        <v>1746</v>
      </c>
      <c r="K539" s="4">
        <v>1</v>
      </c>
      <c r="L539" s="4">
        <v>2730</v>
      </c>
      <c r="M539" s="9"/>
      <c r="N539" s="9"/>
      <c r="O539" s="9"/>
      <c r="P539" s="9"/>
      <c r="Q539" s="20"/>
      <c r="R539" s="9"/>
      <c r="S539" s="9"/>
      <c r="T539" s="9"/>
      <c r="U539" s="9"/>
      <c r="V539" s="9"/>
      <c r="W539" s="21"/>
      <c r="X539" s="9"/>
      <c r="Y539" s="260"/>
      <c r="AK539" s="9"/>
      <c r="AO539" s="4" t="s">
        <v>4065</v>
      </c>
      <c r="AP539" s="4">
        <v>962</v>
      </c>
      <c r="AQ539" s="4" t="s">
        <v>1716</v>
      </c>
      <c r="AR539" s="4" t="s">
        <v>1717</v>
      </c>
      <c r="AS539" s="4" t="s">
        <v>1718</v>
      </c>
      <c r="AT539" s="4" t="s">
        <v>1835</v>
      </c>
      <c r="AU539" s="4" t="s">
        <v>1836</v>
      </c>
      <c r="AV539" s="4" t="s">
        <v>1720</v>
      </c>
      <c r="AW539" s="4" t="s">
        <v>1705</v>
      </c>
      <c r="AX539" s="4" t="s">
        <v>1710</v>
      </c>
      <c r="AY539" s="4">
        <v>50.092599999999997</v>
      </c>
      <c r="AZ539" s="4">
        <v>-126.5145</v>
      </c>
      <c r="BA539" s="4">
        <v>455</v>
      </c>
    </row>
    <row r="540" spans="1:53" ht="14.25" customHeight="1" x14ac:dyDescent="0.2">
      <c r="A540" s="136" t="s">
        <v>422</v>
      </c>
      <c r="B540" s="193">
        <v>12</v>
      </c>
      <c r="C540" s="4" t="s">
        <v>1711</v>
      </c>
      <c r="D540" s="4">
        <v>976</v>
      </c>
      <c r="E540" s="4">
        <v>2329</v>
      </c>
      <c r="F540" s="4" t="s">
        <v>4075</v>
      </c>
      <c r="G540" s="188" t="s">
        <v>4076</v>
      </c>
      <c r="H540" s="4" t="s">
        <v>4077</v>
      </c>
      <c r="I540" s="4" t="s">
        <v>641</v>
      </c>
      <c r="J540" s="4" t="s">
        <v>1746</v>
      </c>
      <c r="K540" s="4">
        <v>1</v>
      </c>
      <c r="L540" s="4">
        <v>2732</v>
      </c>
      <c r="M540" s="9"/>
      <c r="N540" s="9"/>
      <c r="O540" s="9"/>
      <c r="P540" s="9"/>
      <c r="Q540" s="20"/>
      <c r="R540" s="9"/>
      <c r="S540" s="9"/>
      <c r="T540" s="9"/>
      <c r="U540" s="9"/>
      <c r="V540" s="9"/>
      <c r="W540" s="21"/>
      <c r="X540" s="9"/>
      <c r="Y540" s="260"/>
      <c r="AK540" s="9"/>
      <c r="AO540" s="4" t="s">
        <v>4078</v>
      </c>
      <c r="AP540" s="4">
        <v>976</v>
      </c>
      <c r="AQ540" s="4" t="s">
        <v>1716</v>
      </c>
      <c r="AR540" s="4" t="s">
        <v>1717</v>
      </c>
      <c r="AS540" s="4" t="s">
        <v>1718</v>
      </c>
      <c r="AT540" s="4" t="s">
        <v>1841</v>
      </c>
      <c r="AU540" s="4" t="s">
        <v>1959</v>
      </c>
      <c r="AV540" s="4" t="s">
        <v>1720</v>
      </c>
      <c r="AW540" s="4" t="s">
        <v>2368</v>
      </c>
      <c r="AX540" s="4" t="s">
        <v>2369</v>
      </c>
      <c r="AY540" s="4">
        <v>51.372500000000002</v>
      </c>
      <c r="AZ540" s="4">
        <v>-120.49079999999999</v>
      </c>
      <c r="BA540" s="4">
        <v>1467</v>
      </c>
    </row>
    <row r="541" spans="1:53" ht="14.25" customHeight="1" x14ac:dyDescent="0.2">
      <c r="A541" s="136" t="s">
        <v>422</v>
      </c>
      <c r="B541" s="193">
        <v>12</v>
      </c>
      <c r="C541" s="4" t="s">
        <v>1711</v>
      </c>
      <c r="D541" s="4">
        <v>979</v>
      </c>
      <c r="E541" s="4">
        <v>2331</v>
      </c>
      <c r="F541" s="4" t="s">
        <v>4081</v>
      </c>
      <c r="G541" s="4" t="s">
        <v>4082</v>
      </c>
      <c r="H541" s="4" t="s">
        <v>4083</v>
      </c>
      <c r="I541" s="4" t="s">
        <v>641</v>
      </c>
      <c r="J541" s="4" t="s">
        <v>1746</v>
      </c>
      <c r="K541" s="4">
        <v>1</v>
      </c>
      <c r="L541" s="4">
        <v>2734</v>
      </c>
      <c r="M541" s="9"/>
      <c r="U541"/>
      <c r="Y541" s="260"/>
      <c r="AK541" s="9"/>
      <c r="AO541" s="4" t="s">
        <v>4084</v>
      </c>
      <c r="AP541" s="4">
        <v>979</v>
      </c>
      <c r="AQ541" s="4" t="s">
        <v>1716</v>
      </c>
      <c r="AR541" s="4" t="s">
        <v>1717</v>
      </c>
      <c r="AS541" s="4" t="s">
        <v>1718</v>
      </c>
      <c r="AT541" s="4" t="s">
        <v>1841</v>
      </c>
      <c r="AU541" s="4" t="s">
        <v>1959</v>
      </c>
      <c r="AV541" s="4" t="s">
        <v>1720</v>
      </c>
      <c r="AW541" s="4" t="s">
        <v>2368</v>
      </c>
      <c r="AX541" s="4" t="s">
        <v>2492</v>
      </c>
      <c r="AY541" s="4">
        <v>49.178899999999999</v>
      </c>
      <c r="AZ541" s="4">
        <v>-120.4558</v>
      </c>
      <c r="BA541" s="4">
        <v>1674</v>
      </c>
    </row>
    <row r="542" spans="1:53" ht="14.25" customHeight="1" x14ac:dyDescent="0.2">
      <c r="A542" s="136" t="s">
        <v>422</v>
      </c>
      <c r="B542" s="193">
        <v>12</v>
      </c>
      <c r="C542" s="4" t="s">
        <v>1711</v>
      </c>
      <c r="D542" s="4">
        <v>981</v>
      </c>
      <c r="E542" s="4">
        <v>2333</v>
      </c>
      <c r="F542" s="211" t="s">
        <v>4089</v>
      </c>
      <c r="G542" s="4" t="s">
        <v>4090</v>
      </c>
      <c r="H542" s="4" t="s">
        <v>4091</v>
      </c>
      <c r="I542" s="4" t="s">
        <v>641</v>
      </c>
      <c r="J542" s="4" t="s">
        <v>1746</v>
      </c>
      <c r="K542" s="4">
        <v>1</v>
      </c>
      <c r="L542" s="4">
        <v>2736</v>
      </c>
      <c r="M542" s="9"/>
      <c r="U542"/>
      <c r="Y542" s="260"/>
      <c r="AK542" s="9"/>
      <c r="AO542" s="4" t="s">
        <v>4089</v>
      </c>
      <c r="AP542" s="4">
        <v>981</v>
      </c>
      <c r="AQ542" s="4" t="s">
        <v>1716</v>
      </c>
      <c r="AR542" s="4" t="s">
        <v>1717</v>
      </c>
      <c r="AS542" s="4" t="s">
        <v>1718</v>
      </c>
      <c r="AT542" s="4" t="s">
        <v>1835</v>
      </c>
      <c r="AU542" s="4" t="s">
        <v>1836</v>
      </c>
      <c r="AV542" s="4" t="s">
        <v>1720</v>
      </c>
      <c r="AW542" s="4" t="s">
        <v>1705</v>
      </c>
      <c r="AX542" s="4" t="s">
        <v>1883</v>
      </c>
      <c r="AY542" s="4">
        <v>49.295499999999997</v>
      </c>
      <c r="AZ542" s="4">
        <v>-123.122</v>
      </c>
      <c r="BA542" s="4">
        <v>10</v>
      </c>
    </row>
    <row r="543" spans="1:53" ht="14.25" customHeight="1" x14ac:dyDescent="0.2">
      <c r="A543" s="136" t="s">
        <v>422</v>
      </c>
      <c r="B543" s="193">
        <v>12</v>
      </c>
      <c r="C543" s="4" t="s">
        <v>1711</v>
      </c>
      <c r="D543" s="4">
        <v>982</v>
      </c>
      <c r="E543" s="4">
        <v>2334</v>
      </c>
      <c r="F543" s="211" t="s">
        <v>4092</v>
      </c>
      <c r="G543" s="4" t="s">
        <v>4093</v>
      </c>
      <c r="H543" s="4" t="s">
        <v>4094</v>
      </c>
      <c r="I543" s="4" t="s">
        <v>641</v>
      </c>
      <c r="J543" s="4" t="s">
        <v>1746</v>
      </c>
      <c r="K543" s="4">
        <v>1</v>
      </c>
      <c r="L543" s="4">
        <v>2737</v>
      </c>
      <c r="M543" s="9"/>
      <c r="U543"/>
      <c r="Y543" s="260"/>
      <c r="AK543" s="9"/>
      <c r="AO543" s="188" t="s">
        <v>4092</v>
      </c>
      <c r="AP543" s="188">
        <v>982</v>
      </c>
      <c r="AQ543" s="188" t="s">
        <v>1716</v>
      </c>
      <c r="AR543" s="188" t="s">
        <v>1717</v>
      </c>
      <c r="AS543" s="188" t="s">
        <v>1718</v>
      </c>
      <c r="AT543" s="188" t="s">
        <v>1835</v>
      </c>
      <c r="AU543" s="188" t="s">
        <v>1836</v>
      </c>
      <c r="AV543" s="192"/>
      <c r="AW543" s="188" t="s">
        <v>2698</v>
      </c>
      <c r="AX543" s="188" t="s">
        <v>2797</v>
      </c>
      <c r="AY543" s="188">
        <v>49.758600000000001</v>
      </c>
      <c r="AZ543" s="188">
        <v>-117.4178</v>
      </c>
      <c r="BA543" s="188">
        <v>1790</v>
      </c>
    </row>
    <row r="544" spans="1:53" ht="14.25" customHeight="1" x14ac:dyDescent="0.2">
      <c r="A544" s="136" t="s">
        <v>422</v>
      </c>
      <c r="B544" s="193">
        <v>12</v>
      </c>
      <c r="C544" s="4" t="s">
        <v>1711</v>
      </c>
      <c r="D544" s="4">
        <v>989</v>
      </c>
      <c r="E544" s="4">
        <v>2335</v>
      </c>
      <c r="F544" s="16" t="s">
        <v>4095</v>
      </c>
      <c r="G544" s="4" t="s">
        <v>4096</v>
      </c>
      <c r="H544" s="4" t="s">
        <v>4097</v>
      </c>
      <c r="I544" s="4" t="s">
        <v>641</v>
      </c>
      <c r="J544" s="4" t="s">
        <v>1746</v>
      </c>
      <c r="K544" s="4">
        <v>1</v>
      </c>
      <c r="L544" s="4">
        <v>2738</v>
      </c>
      <c r="M544" s="9"/>
      <c r="U544"/>
      <c r="Y544" s="260"/>
      <c r="AK544" s="9"/>
      <c r="AO544" s="4" t="s">
        <v>4095</v>
      </c>
      <c r="AP544" s="4">
        <v>989</v>
      </c>
      <c r="AQ544" s="4" t="s">
        <v>1716</v>
      </c>
      <c r="AR544" s="4" t="s">
        <v>1717</v>
      </c>
      <c r="AS544" s="4" t="s">
        <v>1718</v>
      </c>
      <c r="AT544" s="4" t="s">
        <v>1835</v>
      </c>
      <c r="AU544" s="4" t="s">
        <v>1836</v>
      </c>
      <c r="AV544" s="4" t="s">
        <v>1720</v>
      </c>
      <c r="AW544" s="4" t="s">
        <v>2698</v>
      </c>
      <c r="AX544" s="4" t="s">
        <v>2797</v>
      </c>
      <c r="AY544" s="4">
        <v>49.942900000000002</v>
      </c>
      <c r="AZ544" s="4">
        <v>-118.0505</v>
      </c>
      <c r="BA544" s="4">
        <v>746</v>
      </c>
    </row>
    <row r="545" spans="1:53" ht="14.25" customHeight="1" x14ac:dyDescent="0.2">
      <c r="A545" s="136" t="s">
        <v>422</v>
      </c>
      <c r="B545" s="193">
        <v>12</v>
      </c>
      <c r="C545" s="4" t="s">
        <v>1711</v>
      </c>
      <c r="D545" s="4">
        <v>990</v>
      </c>
      <c r="E545" s="4">
        <v>2336</v>
      </c>
      <c r="F545" s="211" t="s">
        <v>4098</v>
      </c>
      <c r="G545" s="4" t="s">
        <v>4099</v>
      </c>
      <c r="H545" s="4" t="s">
        <v>4100</v>
      </c>
      <c r="I545" s="4" t="s">
        <v>641</v>
      </c>
      <c r="J545" s="4" t="s">
        <v>1746</v>
      </c>
      <c r="K545" s="4">
        <v>1</v>
      </c>
      <c r="L545" s="4">
        <v>2739</v>
      </c>
      <c r="M545" s="9"/>
      <c r="U545"/>
      <c r="Y545" s="260"/>
      <c r="AK545" s="9"/>
      <c r="AO545" s="188" t="s">
        <v>4098</v>
      </c>
      <c r="AP545" s="188">
        <v>990</v>
      </c>
      <c r="AQ545" s="188" t="s">
        <v>1716</v>
      </c>
      <c r="AR545" s="188" t="s">
        <v>1717</v>
      </c>
      <c r="AS545" s="188" t="s">
        <v>2257</v>
      </c>
      <c r="AT545" s="188" t="s">
        <v>1719</v>
      </c>
      <c r="AU545" s="188" t="s">
        <v>3668</v>
      </c>
      <c r="AV545" s="192"/>
      <c r="AW545" s="188" t="s">
        <v>2698</v>
      </c>
      <c r="AX545" s="188" t="s">
        <v>2902</v>
      </c>
      <c r="AY545" s="188">
        <v>49.414999999999999</v>
      </c>
      <c r="AZ545" s="188">
        <v>-115.61499999999999</v>
      </c>
      <c r="BA545" s="188">
        <v>1335</v>
      </c>
    </row>
    <row r="546" spans="1:53" ht="14.25" customHeight="1" x14ac:dyDescent="0.2">
      <c r="A546" s="136" t="s">
        <v>422</v>
      </c>
      <c r="B546" s="193">
        <v>12</v>
      </c>
      <c r="C546" s="4" t="s">
        <v>1711</v>
      </c>
      <c r="D546" s="4">
        <v>1004</v>
      </c>
      <c r="E546" s="4">
        <v>2340</v>
      </c>
      <c r="F546" s="211" t="s">
        <v>4113</v>
      </c>
      <c r="G546" s="4" t="s">
        <v>4114</v>
      </c>
      <c r="H546" s="4" t="s">
        <v>4115</v>
      </c>
      <c r="I546" s="4" t="s">
        <v>641</v>
      </c>
      <c r="J546" s="4" t="s">
        <v>1746</v>
      </c>
      <c r="K546" s="4">
        <v>1</v>
      </c>
      <c r="L546" s="4">
        <v>2743</v>
      </c>
      <c r="M546" s="9"/>
      <c r="U546"/>
      <c r="Y546" s="260"/>
      <c r="AK546" s="9"/>
      <c r="AO546" s="4" t="s">
        <v>4113</v>
      </c>
      <c r="AP546" s="4">
        <v>1004</v>
      </c>
      <c r="AQ546" s="4" t="s">
        <v>1716</v>
      </c>
      <c r="AR546" s="4" t="s">
        <v>1717</v>
      </c>
      <c r="AS546" s="4" t="s">
        <v>1718</v>
      </c>
      <c r="AT546" s="4" t="s">
        <v>1835</v>
      </c>
      <c r="AU546" s="4" t="s">
        <v>1836</v>
      </c>
      <c r="AV546" s="4" t="s">
        <v>1720</v>
      </c>
      <c r="AW546" s="4" t="s">
        <v>1705</v>
      </c>
      <c r="AX546" s="4" t="s">
        <v>1747</v>
      </c>
      <c r="AY546" s="4">
        <v>48.963700000000003</v>
      </c>
      <c r="AZ546" s="4">
        <v>-123.77200000000001</v>
      </c>
      <c r="BA546" s="4">
        <v>18</v>
      </c>
    </row>
    <row r="547" spans="1:53" ht="14.25" customHeight="1" x14ac:dyDescent="0.2">
      <c r="A547" s="136" t="s">
        <v>422</v>
      </c>
      <c r="B547" s="193">
        <v>12</v>
      </c>
      <c r="C547" s="4" t="s">
        <v>1711</v>
      </c>
      <c r="D547" s="4">
        <v>1005</v>
      </c>
      <c r="E547" s="4">
        <v>2341</v>
      </c>
      <c r="F547" s="211" t="s">
        <v>4116</v>
      </c>
      <c r="G547" s="4" t="s">
        <v>4117</v>
      </c>
      <c r="H547" s="4" t="s">
        <v>4118</v>
      </c>
      <c r="I547" s="4" t="s">
        <v>641</v>
      </c>
      <c r="J547" s="4" t="s">
        <v>1746</v>
      </c>
      <c r="K547" s="4">
        <v>1</v>
      </c>
      <c r="L547" s="4">
        <v>2744</v>
      </c>
      <c r="M547" s="9"/>
      <c r="U547"/>
      <c r="Y547" s="260"/>
      <c r="AK547" s="9"/>
      <c r="AO547" s="4" t="s">
        <v>4116</v>
      </c>
      <c r="AP547" s="4">
        <v>1005</v>
      </c>
      <c r="AQ547" s="4" t="s">
        <v>1716</v>
      </c>
      <c r="AR547" s="4" t="s">
        <v>1717</v>
      </c>
      <c r="AS547" s="4" t="s">
        <v>1718</v>
      </c>
      <c r="AT547" s="4" t="s">
        <v>1835</v>
      </c>
      <c r="AU547" s="4" t="s">
        <v>1836</v>
      </c>
      <c r="AV547" s="4" t="s">
        <v>1720</v>
      </c>
      <c r="AW547" s="4" t="s">
        <v>1705</v>
      </c>
      <c r="AY547" s="4">
        <v>49.000300000000003</v>
      </c>
      <c r="AZ547" s="4">
        <v>-122.0309</v>
      </c>
      <c r="BA547" s="4">
        <v>235</v>
      </c>
    </row>
    <row r="548" spans="1:53" ht="14.25" customHeight="1" x14ac:dyDescent="0.2">
      <c r="A548" s="136" t="s">
        <v>422</v>
      </c>
      <c r="B548" s="193">
        <v>12</v>
      </c>
      <c r="C548" s="4" t="s">
        <v>1711</v>
      </c>
      <c r="D548" s="4">
        <v>1008</v>
      </c>
      <c r="E548" s="4">
        <v>2342</v>
      </c>
      <c r="F548" s="211" t="s">
        <v>4119</v>
      </c>
      <c r="G548" s="188" t="s">
        <v>4120</v>
      </c>
      <c r="H548" s="4" t="s">
        <v>4121</v>
      </c>
      <c r="I548" s="4" t="s">
        <v>641</v>
      </c>
      <c r="J548" s="4" t="s">
        <v>1746</v>
      </c>
      <c r="K548" s="4">
        <v>1</v>
      </c>
      <c r="L548" s="4">
        <v>2745</v>
      </c>
      <c r="M548" s="9"/>
      <c r="U548"/>
      <c r="Y548" s="260"/>
      <c r="AK548" s="9"/>
      <c r="AO548" s="4" t="s">
        <v>4119</v>
      </c>
      <c r="AP548" s="4">
        <v>1008</v>
      </c>
      <c r="AQ548" s="4" t="s">
        <v>1716</v>
      </c>
      <c r="AR548" s="4" t="s">
        <v>1717</v>
      </c>
      <c r="AS548" s="4" t="s">
        <v>1718</v>
      </c>
      <c r="AT548" s="4" t="s">
        <v>1835</v>
      </c>
      <c r="AU548" s="4" t="s">
        <v>1836</v>
      </c>
      <c r="AV548" s="4" t="s">
        <v>1720</v>
      </c>
      <c r="AW548" s="4" t="s">
        <v>2368</v>
      </c>
      <c r="AX548" s="4" t="s">
        <v>2369</v>
      </c>
      <c r="AY548" s="4">
        <v>50.500999999999998</v>
      </c>
      <c r="AZ548" s="4">
        <v>-120.8111</v>
      </c>
      <c r="BA548" s="4">
        <v>1163</v>
      </c>
    </row>
    <row r="549" spans="1:53" ht="14.25" customHeight="1" x14ac:dyDescent="0.2">
      <c r="A549" s="136" t="s">
        <v>422</v>
      </c>
      <c r="B549" s="193">
        <v>12</v>
      </c>
      <c r="C549" s="4" t="s">
        <v>1707</v>
      </c>
      <c r="D549" s="4">
        <v>1013</v>
      </c>
      <c r="E549" s="4">
        <v>12978</v>
      </c>
      <c r="G549" s="188" t="s">
        <v>127</v>
      </c>
      <c r="H549" s="4" t="s">
        <v>1697</v>
      </c>
      <c r="I549" s="4" t="s">
        <v>49</v>
      </c>
      <c r="J549" s="4" t="s">
        <v>1746</v>
      </c>
      <c r="K549" s="4">
        <v>1</v>
      </c>
      <c r="L549" s="4">
        <v>14910</v>
      </c>
      <c r="M549" s="9"/>
      <c r="U549"/>
      <c r="Y549" s="260"/>
      <c r="AK549" s="9"/>
      <c r="AO549" s="268" t="s">
        <v>4122</v>
      </c>
      <c r="AP549" s="268">
        <v>1013</v>
      </c>
      <c r="AQ549" s="268" t="s">
        <v>1700</v>
      </c>
      <c r="AR549" s="268" t="s">
        <v>1739</v>
      </c>
      <c r="AS549" s="268" t="s">
        <v>1702</v>
      </c>
      <c r="AT549" s="268" t="s">
        <v>1703</v>
      </c>
      <c r="AU549" s="268" t="s">
        <v>1704</v>
      </c>
      <c r="AV549" s="268" t="s">
        <v>1702</v>
      </c>
      <c r="AW549" s="268" t="s">
        <v>1705</v>
      </c>
      <c r="AX549" s="268" t="s">
        <v>1747</v>
      </c>
      <c r="AY549" s="268">
        <v>48.824199999999998</v>
      </c>
      <c r="AZ549" s="268">
        <v>-123.7189</v>
      </c>
      <c r="BA549" s="268">
        <v>60</v>
      </c>
    </row>
    <row r="550" spans="1:53" ht="14.25" customHeight="1" x14ac:dyDescent="0.2">
      <c r="A550" s="136" t="s">
        <v>422</v>
      </c>
      <c r="B550" s="193">
        <v>12</v>
      </c>
      <c r="C550" s="4" t="s">
        <v>1707</v>
      </c>
      <c r="D550" s="4">
        <v>1015</v>
      </c>
      <c r="E550" s="4">
        <v>12979</v>
      </c>
      <c r="G550" s="4" t="s">
        <v>127</v>
      </c>
      <c r="H550" s="4" t="s">
        <v>1697</v>
      </c>
      <c r="I550" s="4" t="s">
        <v>49</v>
      </c>
      <c r="J550" s="4" t="s">
        <v>1746</v>
      </c>
      <c r="K550" s="4">
        <v>1</v>
      </c>
      <c r="L550" s="4">
        <v>14911</v>
      </c>
      <c r="M550" s="9"/>
      <c r="U550"/>
      <c r="Y550" s="260"/>
      <c r="AK550" s="9"/>
      <c r="AO550" s="268" t="s">
        <v>4123</v>
      </c>
      <c r="AP550" s="268">
        <v>1015</v>
      </c>
      <c r="AQ550" s="268" t="s">
        <v>1700</v>
      </c>
      <c r="AR550" s="268" t="s">
        <v>1701</v>
      </c>
      <c r="AS550" s="268" t="s">
        <v>1702</v>
      </c>
      <c r="AT550" s="268" t="s">
        <v>1703</v>
      </c>
      <c r="AU550" s="268" t="s">
        <v>1704</v>
      </c>
      <c r="AV550" s="268" t="s">
        <v>1702</v>
      </c>
      <c r="AW550" s="268" t="s">
        <v>1705</v>
      </c>
      <c r="AX550" s="268" t="s">
        <v>1706</v>
      </c>
      <c r="AY550" s="268">
        <v>49.333300000000001</v>
      </c>
      <c r="AZ550" s="268">
        <v>-124.38330000000001</v>
      </c>
      <c r="BA550" s="268">
        <v>58</v>
      </c>
    </row>
    <row r="551" spans="1:53" ht="14.25" customHeight="1" x14ac:dyDescent="0.2">
      <c r="A551" s="136" t="s">
        <v>422</v>
      </c>
      <c r="B551" s="193">
        <v>12</v>
      </c>
      <c r="C551" s="4" t="s">
        <v>1707</v>
      </c>
      <c r="D551" s="4">
        <v>1016</v>
      </c>
      <c r="E551" s="4">
        <v>12980</v>
      </c>
      <c r="F551" s="192"/>
      <c r="G551" s="4" t="s">
        <v>127</v>
      </c>
      <c r="H551" s="4" t="s">
        <v>1697</v>
      </c>
      <c r="I551" s="4" t="s">
        <v>49</v>
      </c>
      <c r="J551" s="4" t="s">
        <v>1746</v>
      </c>
      <c r="K551" s="4">
        <v>1</v>
      </c>
      <c r="L551" s="4">
        <v>14912</v>
      </c>
      <c r="M551" s="9"/>
      <c r="U551"/>
      <c r="Y551" s="260"/>
      <c r="AK551" s="9"/>
      <c r="AO551" s="268" t="s">
        <v>4124</v>
      </c>
      <c r="AP551" s="268">
        <v>1016</v>
      </c>
      <c r="AQ551" s="268" t="s">
        <v>1700</v>
      </c>
      <c r="AR551" s="268" t="s">
        <v>1739</v>
      </c>
      <c r="AS551" s="268" t="s">
        <v>1702</v>
      </c>
      <c r="AT551" s="268" t="s">
        <v>1703</v>
      </c>
      <c r="AU551" s="268" t="s">
        <v>1704</v>
      </c>
      <c r="AV551" s="268" t="s">
        <v>1702</v>
      </c>
      <c r="AW551" s="268" t="s">
        <v>1705</v>
      </c>
      <c r="AX551" s="268" t="s">
        <v>1837</v>
      </c>
      <c r="AY551" s="268">
        <v>49.460500000000003</v>
      </c>
      <c r="AZ551" s="268">
        <v>-123.7</v>
      </c>
      <c r="BA551" s="268">
        <v>86</v>
      </c>
    </row>
    <row r="552" spans="1:53" ht="14.25" customHeight="1" x14ac:dyDescent="0.2">
      <c r="A552" s="136" t="s">
        <v>422</v>
      </c>
      <c r="B552" s="193">
        <v>12</v>
      </c>
      <c r="C552" s="4" t="s">
        <v>1711</v>
      </c>
      <c r="D552" s="4">
        <v>1017</v>
      </c>
      <c r="E552" s="4">
        <v>2343</v>
      </c>
      <c r="F552" s="211" t="s">
        <v>4125</v>
      </c>
      <c r="G552" s="4" t="s">
        <v>4126</v>
      </c>
      <c r="H552" s="4" t="s">
        <v>4127</v>
      </c>
      <c r="I552" s="4" t="s">
        <v>641</v>
      </c>
      <c r="J552" s="4" t="s">
        <v>1746</v>
      </c>
      <c r="K552" s="4">
        <v>1</v>
      </c>
      <c r="L552" s="4">
        <v>2746</v>
      </c>
      <c r="M552" s="9"/>
      <c r="P552" s="192"/>
      <c r="U552"/>
      <c r="Y552" s="260"/>
      <c r="AK552" s="9"/>
      <c r="AO552" s="4" t="s">
        <v>4125</v>
      </c>
      <c r="AP552" s="4">
        <v>1017</v>
      </c>
      <c r="AQ552" s="4" t="s">
        <v>1716</v>
      </c>
      <c r="AR552" s="4" t="s">
        <v>1717</v>
      </c>
      <c r="AS552" s="4" t="s">
        <v>1718</v>
      </c>
      <c r="AT552" s="4" t="s">
        <v>1835</v>
      </c>
      <c r="AU552" s="4" t="s">
        <v>1836</v>
      </c>
      <c r="AV552" s="4" t="s">
        <v>1720</v>
      </c>
      <c r="AW552" s="4" t="s">
        <v>1947</v>
      </c>
      <c r="AX552" s="4" t="s">
        <v>1986</v>
      </c>
      <c r="AY552" s="4">
        <v>57.646700000000003</v>
      </c>
      <c r="AZ552" s="4">
        <v>-128.1669</v>
      </c>
      <c r="BA552" s="4">
        <v>1077</v>
      </c>
    </row>
    <row r="553" spans="1:53" ht="14.25" customHeight="1" x14ac:dyDescent="0.2">
      <c r="A553" s="136" t="s">
        <v>422</v>
      </c>
      <c r="B553" s="193">
        <v>12</v>
      </c>
      <c r="C553" s="4" t="s">
        <v>1711</v>
      </c>
      <c r="D553" s="4">
        <v>1018</v>
      </c>
      <c r="E553" s="4">
        <v>2344</v>
      </c>
      <c r="F553" s="16" t="s">
        <v>4128</v>
      </c>
      <c r="G553" s="4" t="s">
        <v>4129</v>
      </c>
      <c r="H553" s="4" t="s">
        <v>4130</v>
      </c>
      <c r="I553" s="4" t="s">
        <v>641</v>
      </c>
      <c r="J553" s="4" t="s">
        <v>1746</v>
      </c>
      <c r="K553" s="4">
        <v>1</v>
      </c>
      <c r="L553" s="4">
        <v>2747</v>
      </c>
      <c r="M553" s="9"/>
      <c r="U553"/>
      <c r="Y553" s="260"/>
      <c r="AK553" s="9"/>
      <c r="AO553" s="4" t="s">
        <v>4128</v>
      </c>
      <c r="AP553" s="4">
        <v>1018</v>
      </c>
      <c r="AQ553" s="4" t="s">
        <v>1716</v>
      </c>
      <c r="AR553" s="4" t="s">
        <v>1717</v>
      </c>
      <c r="AS553" s="4" t="s">
        <v>1718</v>
      </c>
      <c r="AT553" s="4" t="s">
        <v>1841</v>
      </c>
      <c r="AU553" s="4" t="s">
        <v>1959</v>
      </c>
      <c r="AV553" s="4" t="s">
        <v>1720</v>
      </c>
      <c r="AW553" s="4" t="s">
        <v>2368</v>
      </c>
      <c r="AX553" s="4" t="s">
        <v>2492</v>
      </c>
      <c r="AY553" s="4">
        <v>49.181600000000003</v>
      </c>
      <c r="AZ553" s="4">
        <v>-120.4757</v>
      </c>
      <c r="BA553" s="4">
        <v>1722</v>
      </c>
    </row>
    <row r="554" spans="1:53" ht="14.25" customHeight="1" x14ac:dyDescent="0.2">
      <c r="A554" s="136" t="s">
        <v>422</v>
      </c>
      <c r="B554" s="193">
        <v>12</v>
      </c>
      <c r="C554" s="4" t="s">
        <v>1711</v>
      </c>
      <c r="D554" s="4">
        <v>1019</v>
      </c>
      <c r="E554" s="4">
        <v>2345</v>
      </c>
      <c r="F554" s="16" t="s">
        <v>4131</v>
      </c>
      <c r="G554" s="4" t="s">
        <v>4132</v>
      </c>
      <c r="H554" s="4" t="s">
        <v>4133</v>
      </c>
      <c r="I554" s="4" t="s">
        <v>641</v>
      </c>
      <c r="J554" s="4" t="s">
        <v>1746</v>
      </c>
      <c r="K554" s="4">
        <v>1</v>
      </c>
      <c r="L554" s="4">
        <v>2748</v>
      </c>
      <c r="M554" s="9"/>
      <c r="U554"/>
      <c r="Y554" s="260"/>
      <c r="AK554" s="9"/>
      <c r="AO554" s="4" t="s">
        <v>4131</v>
      </c>
      <c r="AP554" s="4">
        <v>1019</v>
      </c>
      <c r="AQ554" s="4" t="s">
        <v>1716</v>
      </c>
      <c r="AR554" s="4" t="s">
        <v>1717</v>
      </c>
      <c r="AS554" s="4" t="s">
        <v>1718</v>
      </c>
      <c r="AT554" s="4" t="s">
        <v>1841</v>
      </c>
      <c r="AU554" s="4" t="s">
        <v>1959</v>
      </c>
      <c r="AV554" s="4" t="s">
        <v>1720</v>
      </c>
      <c r="AW554" s="4" t="s">
        <v>2368</v>
      </c>
      <c r="AX554" s="4" t="s">
        <v>2492</v>
      </c>
      <c r="AY554" s="4">
        <v>49.7759</v>
      </c>
      <c r="AZ554" s="4">
        <v>-120.4213</v>
      </c>
      <c r="BA554" s="4">
        <v>1483</v>
      </c>
    </row>
    <row r="555" spans="1:53" ht="14.25" customHeight="1" x14ac:dyDescent="0.2">
      <c r="A555" s="136" t="s">
        <v>422</v>
      </c>
      <c r="B555" s="193">
        <v>12</v>
      </c>
      <c r="C555" s="4" t="s">
        <v>1711</v>
      </c>
      <c r="D555" s="4">
        <v>1020</v>
      </c>
      <c r="E555" s="4">
        <v>2346</v>
      </c>
      <c r="F555" s="211" t="s">
        <v>4134</v>
      </c>
      <c r="G555" s="4" t="s">
        <v>4135</v>
      </c>
      <c r="H555" s="4" t="s">
        <v>4136</v>
      </c>
      <c r="I555" s="4" t="s">
        <v>641</v>
      </c>
      <c r="J555" s="4" t="s">
        <v>1746</v>
      </c>
      <c r="K555" s="4">
        <v>1</v>
      </c>
      <c r="L555" s="4">
        <v>2749</v>
      </c>
      <c r="M555" s="9"/>
      <c r="U555"/>
      <c r="Y555" s="260"/>
      <c r="AK555" s="9"/>
      <c r="AO555" s="4" t="s">
        <v>4134</v>
      </c>
      <c r="AP555" s="4">
        <v>1020</v>
      </c>
      <c r="AQ555" s="4" t="s">
        <v>1716</v>
      </c>
      <c r="AR555" s="4" t="s">
        <v>1717</v>
      </c>
      <c r="AS555" s="4" t="s">
        <v>1718</v>
      </c>
      <c r="AT555" s="4" t="s">
        <v>1841</v>
      </c>
      <c r="AU555" s="4" t="s">
        <v>1959</v>
      </c>
      <c r="AV555" s="4" t="s">
        <v>1720</v>
      </c>
      <c r="AW555" s="4" t="s">
        <v>2368</v>
      </c>
      <c r="AX555" s="4" t="s">
        <v>2516</v>
      </c>
      <c r="AY555" s="4">
        <v>50.179699999999997</v>
      </c>
      <c r="AZ555" s="4">
        <v>-119.6605</v>
      </c>
      <c r="BA555" s="4">
        <v>1601</v>
      </c>
    </row>
    <row r="556" spans="1:53" ht="14.25" customHeight="1" x14ac:dyDescent="0.2">
      <c r="A556" s="136" t="s">
        <v>422</v>
      </c>
      <c r="B556" s="193">
        <v>12</v>
      </c>
      <c r="C556" s="4" t="s">
        <v>1711</v>
      </c>
      <c r="D556" s="4">
        <v>1022</v>
      </c>
      <c r="E556" s="4">
        <v>2347</v>
      </c>
      <c r="F556" s="188" t="s">
        <v>4137</v>
      </c>
      <c r="G556" s="4" t="s">
        <v>4138</v>
      </c>
      <c r="H556" s="4" t="s">
        <v>4139</v>
      </c>
      <c r="I556" s="4" t="s">
        <v>641</v>
      </c>
      <c r="J556" s="4" t="s">
        <v>1746</v>
      </c>
      <c r="K556" s="4">
        <v>1</v>
      </c>
      <c r="L556" s="4">
        <v>2750</v>
      </c>
      <c r="M556" s="9"/>
      <c r="U556"/>
      <c r="Y556" s="260"/>
      <c r="AK556" s="9"/>
      <c r="AO556" s="4" t="s">
        <v>4140</v>
      </c>
      <c r="AP556" s="4">
        <v>1022</v>
      </c>
      <c r="AQ556" s="4" t="s">
        <v>1716</v>
      </c>
      <c r="AR556" s="4" t="s">
        <v>1717</v>
      </c>
      <c r="AS556" s="4" t="s">
        <v>1740</v>
      </c>
      <c r="AT556" s="4" t="s">
        <v>1835</v>
      </c>
      <c r="AU556" s="4" t="s">
        <v>1742</v>
      </c>
      <c r="AV556" s="4" t="s">
        <v>1720</v>
      </c>
      <c r="AW556" s="4" t="s">
        <v>2003</v>
      </c>
      <c r="AX556" s="4" t="s">
        <v>2258</v>
      </c>
      <c r="AY556" s="4">
        <v>53.032299999999999</v>
      </c>
      <c r="AZ556" s="4">
        <v>-119.21129999999999</v>
      </c>
      <c r="BA556" s="4">
        <v>872</v>
      </c>
    </row>
    <row r="557" spans="1:53" ht="14.25" customHeight="1" x14ac:dyDescent="0.2">
      <c r="A557" s="136" t="s">
        <v>422</v>
      </c>
      <c r="B557" s="193">
        <v>12</v>
      </c>
      <c r="C557" s="4" t="s">
        <v>1711</v>
      </c>
      <c r="D557" s="4">
        <v>1023</v>
      </c>
      <c r="E557" s="4">
        <v>2348</v>
      </c>
      <c r="F557" s="211" t="s">
        <v>4141</v>
      </c>
      <c r="G557" s="4" t="s">
        <v>4142</v>
      </c>
      <c r="H557" s="4" t="s">
        <v>4143</v>
      </c>
      <c r="I557" s="4" t="s">
        <v>641</v>
      </c>
      <c r="J557" s="4" t="s">
        <v>1746</v>
      </c>
      <c r="K557" s="4">
        <v>1</v>
      </c>
      <c r="L557" s="4">
        <v>2751</v>
      </c>
      <c r="M557" s="9"/>
      <c r="U557"/>
      <c r="Y557" s="260"/>
      <c r="AK557" s="9"/>
      <c r="AO557" s="9" t="s">
        <v>4141</v>
      </c>
      <c r="AP557" s="4">
        <v>1023</v>
      </c>
      <c r="AQ557" s="4" t="s">
        <v>1716</v>
      </c>
      <c r="AR557" s="4" t="s">
        <v>1717</v>
      </c>
      <c r="AS557" s="4" t="s">
        <v>1740</v>
      </c>
      <c r="AT557" s="4" t="s">
        <v>1835</v>
      </c>
      <c r="AU557" s="4" t="s">
        <v>1742</v>
      </c>
      <c r="AV557" s="4" t="s">
        <v>1720</v>
      </c>
      <c r="AW557" s="4" t="s">
        <v>2003</v>
      </c>
      <c r="AX557" s="4" t="s">
        <v>2258</v>
      </c>
      <c r="AY557" s="4">
        <v>52.907499999999999</v>
      </c>
      <c r="AZ557" s="4">
        <v>-118.77889999999999</v>
      </c>
      <c r="BA557" s="4">
        <v>1080</v>
      </c>
    </row>
    <row r="558" spans="1:53" ht="14.25" customHeight="1" x14ac:dyDescent="0.2">
      <c r="A558" s="136" t="s">
        <v>422</v>
      </c>
      <c r="B558" s="193">
        <v>12</v>
      </c>
      <c r="C558" s="4" t="s">
        <v>1711</v>
      </c>
      <c r="D558" s="4">
        <v>1030</v>
      </c>
      <c r="E558" s="4">
        <v>2354</v>
      </c>
      <c r="F558" s="188" t="s">
        <v>4159</v>
      </c>
      <c r="G558" s="4" t="s">
        <v>4160</v>
      </c>
      <c r="H558" s="4" t="s">
        <v>4161</v>
      </c>
      <c r="I558" s="4" t="s">
        <v>641</v>
      </c>
      <c r="J558" s="4" t="s">
        <v>1746</v>
      </c>
      <c r="K558" s="4">
        <v>1</v>
      </c>
      <c r="L558" s="4">
        <v>2757</v>
      </c>
      <c r="M558" s="9"/>
      <c r="U558"/>
      <c r="Y558" s="260"/>
      <c r="AK558" s="9"/>
      <c r="AO558" s="4" t="s">
        <v>4162</v>
      </c>
      <c r="AP558" s="4">
        <v>1030</v>
      </c>
      <c r="AQ558" s="4" t="s">
        <v>1716</v>
      </c>
      <c r="AR558" s="4" t="s">
        <v>1717</v>
      </c>
      <c r="AS558" s="4" t="s">
        <v>1740</v>
      </c>
      <c r="AT558" s="4" t="s">
        <v>1835</v>
      </c>
      <c r="AU558" s="4" t="s">
        <v>1742</v>
      </c>
      <c r="AV558" s="4" t="s">
        <v>1720</v>
      </c>
      <c r="AW558" s="4" t="s">
        <v>2003</v>
      </c>
      <c r="AX558" s="4" t="s">
        <v>2024</v>
      </c>
      <c r="AY558" s="4">
        <v>55.295499999999997</v>
      </c>
      <c r="AZ558" s="4">
        <v>-121.5639</v>
      </c>
      <c r="BA558" s="4">
        <v>1100</v>
      </c>
    </row>
    <row r="559" spans="1:53" ht="14.25" customHeight="1" x14ac:dyDescent="0.2">
      <c r="A559" s="136" t="s">
        <v>422</v>
      </c>
      <c r="B559" s="193">
        <v>12</v>
      </c>
      <c r="C559" s="4" t="s">
        <v>1711</v>
      </c>
      <c r="D559" s="4">
        <v>1038</v>
      </c>
      <c r="E559" s="4">
        <v>2357</v>
      </c>
      <c r="F559" s="16" t="s">
        <v>4169</v>
      </c>
      <c r="G559" s="4" t="s">
        <v>4170</v>
      </c>
      <c r="H559" s="4" t="s">
        <v>4171</v>
      </c>
      <c r="I559" s="4" t="s">
        <v>641</v>
      </c>
      <c r="J559" s="4" t="s">
        <v>1746</v>
      </c>
      <c r="K559" s="4">
        <v>1</v>
      </c>
      <c r="L559" s="4">
        <v>2760</v>
      </c>
      <c r="M559" s="9"/>
      <c r="U559"/>
      <c r="Y559" s="260"/>
      <c r="AK559" s="9"/>
      <c r="AO559" s="4" t="s">
        <v>4169</v>
      </c>
      <c r="AP559" s="4">
        <v>1038</v>
      </c>
      <c r="AQ559" s="4" t="s">
        <v>1716</v>
      </c>
      <c r="AR559" s="4" t="s">
        <v>1717</v>
      </c>
      <c r="AS559" s="4" t="s">
        <v>1718</v>
      </c>
      <c r="AT559" s="4" t="s">
        <v>1835</v>
      </c>
      <c r="AU559" s="4" t="s">
        <v>1836</v>
      </c>
      <c r="AV559" s="4" t="s">
        <v>1720</v>
      </c>
      <c r="AW559" s="4" t="s">
        <v>2193</v>
      </c>
      <c r="AX559" s="4" t="s">
        <v>2283</v>
      </c>
      <c r="AY559" s="4">
        <v>52.0715</v>
      </c>
      <c r="AZ559" s="4">
        <v>-123.5284</v>
      </c>
      <c r="BA559" s="4">
        <v>798</v>
      </c>
    </row>
    <row r="560" spans="1:53" ht="14.25" customHeight="1" x14ac:dyDescent="0.2">
      <c r="A560" s="136" t="s">
        <v>422</v>
      </c>
      <c r="B560" s="193">
        <v>12</v>
      </c>
      <c r="C560" s="4" t="s">
        <v>1711</v>
      </c>
      <c r="D560" s="4">
        <v>1039</v>
      </c>
      <c r="E560" s="4">
        <v>2358</v>
      </c>
      <c r="F560" s="211" t="s">
        <v>4172</v>
      </c>
      <c r="G560" s="4" t="s">
        <v>4173</v>
      </c>
      <c r="H560" s="4" t="s">
        <v>4174</v>
      </c>
      <c r="I560" s="4" t="s">
        <v>641</v>
      </c>
      <c r="J560" s="4" t="s">
        <v>1746</v>
      </c>
      <c r="K560" s="4">
        <v>1</v>
      </c>
      <c r="L560" s="4">
        <v>2761</v>
      </c>
      <c r="M560" s="9"/>
      <c r="P560" s="192"/>
      <c r="U560"/>
      <c r="Y560" s="260"/>
      <c r="AK560" s="9"/>
      <c r="AO560" s="4" t="s">
        <v>4172</v>
      </c>
      <c r="AP560" s="4">
        <v>1039</v>
      </c>
      <c r="AQ560" s="4" t="s">
        <v>1716</v>
      </c>
      <c r="AR560" s="4" t="s">
        <v>1717</v>
      </c>
      <c r="AS560" s="4" t="s">
        <v>1718</v>
      </c>
      <c r="AT560" s="4" t="s">
        <v>1835</v>
      </c>
      <c r="AU560" s="4" t="s">
        <v>1836</v>
      </c>
      <c r="AV560" s="4" t="s">
        <v>1720</v>
      </c>
      <c r="AW560" s="4" t="s">
        <v>1705</v>
      </c>
      <c r="AX560" s="4" t="s">
        <v>1883</v>
      </c>
      <c r="AY560" s="4">
        <v>49.232700000000001</v>
      </c>
      <c r="AZ560" s="4">
        <v>-121.6503</v>
      </c>
      <c r="BA560" s="4">
        <v>657</v>
      </c>
    </row>
    <row r="561" spans="1:53" ht="14.25" customHeight="1" x14ac:dyDescent="0.2">
      <c r="A561" s="136" t="s">
        <v>422</v>
      </c>
      <c r="B561" s="193">
        <v>12</v>
      </c>
      <c r="C561" s="4" t="s">
        <v>1711</v>
      </c>
      <c r="D561" s="4">
        <v>1041</v>
      </c>
      <c r="E561" s="4">
        <v>2360</v>
      </c>
      <c r="F561" s="211" t="s">
        <v>4178</v>
      </c>
      <c r="G561" s="4" t="s">
        <v>4179</v>
      </c>
      <c r="H561" s="4" t="s">
        <v>4180</v>
      </c>
      <c r="I561" s="4" t="s">
        <v>641</v>
      </c>
      <c r="J561" s="4" t="s">
        <v>1746</v>
      </c>
      <c r="K561" s="4">
        <v>1</v>
      </c>
      <c r="L561" s="4">
        <v>2763</v>
      </c>
      <c r="M561" s="9"/>
      <c r="U561"/>
      <c r="Y561" s="260"/>
      <c r="AK561" s="9"/>
      <c r="AO561" s="4" t="s">
        <v>4178</v>
      </c>
      <c r="AP561" s="4">
        <v>1041</v>
      </c>
      <c r="AQ561" s="4" t="s">
        <v>1716</v>
      </c>
      <c r="AR561" s="4" t="s">
        <v>1717</v>
      </c>
      <c r="AS561" s="4" t="s">
        <v>1718</v>
      </c>
      <c r="AT561" s="4" t="s">
        <v>1835</v>
      </c>
      <c r="AU561" s="4" t="s">
        <v>1836</v>
      </c>
      <c r="AV561" s="4" t="s">
        <v>1720</v>
      </c>
      <c r="AW561" s="4" t="s">
        <v>2368</v>
      </c>
      <c r="AX561" s="4" t="s">
        <v>2505</v>
      </c>
      <c r="AY561" s="4">
        <v>50.894599999999997</v>
      </c>
      <c r="AZ561" s="4">
        <v>-122.7668</v>
      </c>
      <c r="BA561" s="4">
        <v>657</v>
      </c>
    </row>
    <row r="562" spans="1:53" ht="14.25" customHeight="1" x14ac:dyDescent="0.2">
      <c r="A562" s="136" t="s">
        <v>422</v>
      </c>
      <c r="B562" s="193">
        <v>12</v>
      </c>
      <c r="C562" s="4" t="s">
        <v>1711</v>
      </c>
      <c r="D562" s="4">
        <v>1043</v>
      </c>
      <c r="E562" s="4">
        <v>2361</v>
      </c>
      <c r="F562" s="16" t="s">
        <v>4181</v>
      </c>
      <c r="G562" s="4" t="s">
        <v>4182</v>
      </c>
      <c r="H562" s="4" t="s">
        <v>4183</v>
      </c>
      <c r="I562" s="4" t="s">
        <v>641</v>
      </c>
      <c r="J562" s="4" t="s">
        <v>1746</v>
      </c>
      <c r="K562" s="4">
        <v>1</v>
      </c>
      <c r="L562" s="4">
        <v>2764</v>
      </c>
      <c r="M562" s="9"/>
      <c r="U562"/>
      <c r="Y562" s="260"/>
      <c r="AK562" s="9"/>
      <c r="AO562" s="4" t="s">
        <v>4181</v>
      </c>
      <c r="AP562" s="4">
        <v>1043</v>
      </c>
      <c r="AQ562" s="4" t="s">
        <v>1716</v>
      </c>
      <c r="AR562" s="4" t="s">
        <v>1717</v>
      </c>
      <c r="AS562" s="4" t="s">
        <v>1740</v>
      </c>
      <c r="AT562" s="4" t="s">
        <v>1835</v>
      </c>
      <c r="AU562" s="4" t="s">
        <v>1742</v>
      </c>
      <c r="AV562" s="4" t="s">
        <v>1720</v>
      </c>
      <c r="AX562" s="4" t="s">
        <v>2009</v>
      </c>
      <c r="AY562" s="4">
        <v>59.65</v>
      </c>
      <c r="AZ562" s="4">
        <v>-126.91670000000001</v>
      </c>
      <c r="BA562" s="4">
        <v>500</v>
      </c>
    </row>
    <row r="563" spans="1:53" ht="14.25" customHeight="1" x14ac:dyDescent="0.2">
      <c r="A563" s="136" t="s">
        <v>422</v>
      </c>
      <c r="B563" s="193">
        <v>12</v>
      </c>
      <c r="C563" s="4" t="s">
        <v>1711</v>
      </c>
      <c r="D563" s="4">
        <v>1046</v>
      </c>
      <c r="E563" s="4">
        <v>2363</v>
      </c>
      <c r="F563" s="16" t="s">
        <v>4187</v>
      </c>
      <c r="G563" s="4" t="s">
        <v>4188</v>
      </c>
      <c r="H563" s="4" t="s">
        <v>4189</v>
      </c>
      <c r="I563" s="4" t="s">
        <v>641</v>
      </c>
      <c r="J563" s="4" t="s">
        <v>1746</v>
      </c>
      <c r="K563" s="4">
        <v>1</v>
      </c>
      <c r="L563" s="4">
        <v>2766</v>
      </c>
      <c r="M563" s="9"/>
      <c r="U563"/>
      <c r="Y563" s="260"/>
      <c r="AK563" s="9"/>
      <c r="AO563" s="4" t="s">
        <v>4187</v>
      </c>
      <c r="AP563" s="4">
        <v>1046</v>
      </c>
      <c r="AQ563" s="4" t="s">
        <v>1716</v>
      </c>
      <c r="AR563" s="4" t="s">
        <v>1717</v>
      </c>
      <c r="AS563" s="4" t="s">
        <v>1718</v>
      </c>
      <c r="AT563" s="4" t="s">
        <v>1835</v>
      </c>
      <c r="AU563" s="4" t="s">
        <v>1836</v>
      </c>
      <c r="AV563" s="4" t="s">
        <v>1720</v>
      </c>
      <c r="AW563" s="4" t="s">
        <v>2003</v>
      </c>
      <c r="AX563" s="4" t="s">
        <v>2516</v>
      </c>
      <c r="AY563" s="4">
        <v>50.197899999999997</v>
      </c>
      <c r="AZ563" s="4">
        <v>-119.7957</v>
      </c>
      <c r="BA563" s="4">
        <v>1814</v>
      </c>
    </row>
    <row r="564" spans="1:53" ht="14.25" customHeight="1" x14ac:dyDescent="0.2">
      <c r="A564" s="136" t="s">
        <v>422</v>
      </c>
      <c r="B564" s="193">
        <v>12</v>
      </c>
      <c r="C564" s="4" t="s">
        <v>1711</v>
      </c>
      <c r="D564" s="4">
        <v>1048</v>
      </c>
      <c r="E564" s="4">
        <v>2364</v>
      </c>
      <c r="F564" s="211" t="s">
        <v>4190</v>
      </c>
      <c r="G564" s="188" t="s">
        <v>4191</v>
      </c>
      <c r="H564" s="4" t="s">
        <v>4192</v>
      </c>
      <c r="I564" s="4" t="s">
        <v>641</v>
      </c>
      <c r="J564" s="4" t="s">
        <v>1746</v>
      </c>
      <c r="K564" s="4">
        <v>1</v>
      </c>
      <c r="L564" s="4">
        <v>2767</v>
      </c>
      <c r="M564" s="9"/>
      <c r="U564"/>
      <c r="Y564" s="260"/>
      <c r="AK564" s="9"/>
      <c r="AO564" s="4" t="s">
        <v>4190</v>
      </c>
      <c r="AP564" s="4">
        <v>1048</v>
      </c>
      <c r="AQ564" s="4" t="s">
        <v>1716</v>
      </c>
      <c r="AR564" s="4" t="s">
        <v>1717</v>
      </c>
      <c r="AS564" s="4" t="s">
        <v>1718</v>
      </c>
      <c r="AT564" s="4" t="s">
        <v>1835</v>
      </c>
      <c r="AU564" s="4" t="s">
        <v>1836</v>
      </c>
      <c r="AV564" s="4" t="s">
        <v>1720</v>
      </c>
      <c r="AW564" s="4" t="s">
        <v>2368</v>
      </c>
      <c r="AX564" s="4" t="s">
        <v>2505</v>
      </c>
      <c r="AY564" s="4">
        <v>50.685600000000001</v>
      </c>
      <c r="AZ564" s="4">
        <v>-122.1742</v>
      </c>
      <c r="BA564" s="4">
        <v>1523</v>
      </c>
    </row>
    <row r="565" spans="1:53" ht="14.25" customHeight="1" x14ac:dyDescent="0.2">
      <c r="A565" s="136" t="s">
        <v>422</v>
      </c>
      <c r="B565" s="193">
        <v>12</v>
      </c>
      <c r="C565" s="4" t="s">
        <v>1711</v>
      </c>
      <c r="D565" s="4">
        <v>1049</v>
      </c>
      <c r="E565" s="4">
        <v>2365</v>
      </c>
      <c r="F565" s="211" t="s">
        <v>4193</v>
      </c>
      <c r="G565" s="4" t="s">
        <v>4194</v>
      </c>
      <c r="H565" s="4" t="s">
        <v>4195</v>
      </c>
      <c r="I565" s="4" t="s">
        <v>641</v>
      </c>
      <c r="J565" s="4" t="s">
        <v>1746</v>
      </c>
      <c r="K565" s="4">
        <v>1</v>
      </c>
      <c r="L565" s="4">
        <v>2768</v>
      </c>
      <c r="M565" s="9"/>
      <c r="U565"/>
      <c r="Y565" s="260"/>
      <c r="AK565" s="9"/>
      <c r="AO565" s="267" t="s">
        <v>4193</v>
      </c>
      <c r="AP565" s="4">
        <v>1049</v>
      </c>
      <c r="AQ565" s="4" t="s">
        <v>1716</v>
      </c>
      <c r="AR565" s="4" t="s">
        <v>1717</v>
      </c>
      <c r="AS565" s="4" t="s">
        <v>1718</v>
      </c>
      <c r="AT565" s="4" t="s">
        <v>1835</v>
      </c>
      <c r="AU565" s="4" t="s">
        <v>1836</v>
      </c>
      <c r="AV565" s="4" t="s">
        <v>1720</v>
      </c>
      <c r="AW565" s="4" t="s">
        <v>2368</v>
      </c>
      <c r="AX565" s="4" t="s">
        <v>2505</v>
      </c>
      <c r="AY565" s="4">
        <v>50.963099999999997</v>
      </c>
      <c r="AZ565" s="4">
        <v>-122.30070000000001</v>
      </c>
      <c r="BA565" s="4">
        <v>938</v>
      </c>
    </row>
    <row r="566" spans="1:53" ht="14.25" customHeight="1" x14ac:dyDescent="0.2">
      <c r="A566" s="136" t="s">
        <v>422</v>
      </c>
      <c r="B566" s="193">
        <v>12</v>
      </c>
      <c r="C566" s="4" t="s">
        <v>1711</v>
      </c>
      <c r="D566" s="4">
        <v>1050</v>
      </c>
      <c r="E566" s="4">
        <v>2366</v>
      </c>
      <c r="F566" s="211" t="s">
        <v>4196</v>
      </c>
      <c r="G566" s="4" t="s">
        <v>4197</v>
      </c>
      <c r="H566" s="4" t="s">
        <v>4198</v>
      </c>
      <c r="I566" s="4" t="s">
        <v>641</v>
      </c>
      <c r="J566" s="4" t="s">
        <v>1746</v>
      </c>
      <c r="K566" s="4">
        <v>1</v>
      </c>
      <c r="L566" s="4">
        <v>2769</v>
      </c>
      <c r="M566" s="9"/>
      <c r="U566"/>
      <c r="Y566" s="260"/>
      <c r="AK566" s="9"/>
      <c r="AO566" s="4" t="s">
        <v>4196</v>
      </c>
      <c r="AP566" s="4">
        <v>1050</v>
      </c>
      <c r="AQ566" s="4" t="s">
        <v>1716</v>
      </c>
      <c r="AR566" s="4" t="s">
        <v>1717</v>
      </c>
      <c r="AS566" s="4" t="s">
        <v>1718</v>
      </c>
      <c r="AT566" s="4" t="s">
        <v>1835</v>
      </c>
      <c r="AU566" s="4" t="s">
        <v>1836</v>
      </c>
      <c r="AV566" s="4" t="s">
        <v>1720</v>
      </c>
      <c r="AW566" s="4" t="s">
        <v>2368</v>
      </c>
      <c r="AX566" s="4" t="s">
        <v>2401</v>
      </c>
      <c r="AY566" s="4">
        <v>51.295499999999997</v>
      </c>
      <c r="AZ566" s="4">
        <v>-119.32259999999999</v>
      </c>
      <c r="BA566" s="4">
        <v>1409</v>
      </c>
    </row>
    <row r="567" spans="1:53" ht="14.25" customHeight="1" x14ac:dyDescent="0.2">
      <c r="A567" s="136" t="s">
        <v>422</v>
      </c>
      <c r="B567" s="193">
        <v>12</v>
      </c>
      <c r="C567" s="4" t="s">
        <v>1711</v>
      </c>
      <c r="D567" s="4">
        <v>1051</v>
      </c>
      <c r="E567" s="4">
        <v>2367</v>
      </c>
      <c r="F567" s="211" t="s">
        <v>4199</v>
      </c>
      <c r="G567" s="4" t="s">
        <v>4200</v>
      </c>
      <c r="H567" s="4" t="s">
        <v>4201</v>
      </c>
      <c r="I567" s="4" t="s">
        <v>641</v>
      </c>
      <c r="J567" s="4" t="s">
        <v>1746</v>
      </c>
      <c r="K567" s="4">
        <v>1</v>
      </c>
      <c r="L567" s="4">
        <v>2770</v>
      </c>
      <c r="M567" s="9"/>
      <c r="U567"/>
      <c r="Y567" s="260"/>
      <c r="AK567" s="9"/>
      <c r="AO567" s="267" t="s">
        <v>4199</v>
      </c>
      <c r="AP567" s="4">
        <v>1051</v>
      </c>
      <c r="AQ567" s="4" t="s">
        <v>1716</v>
      </c>
      <c r="AR567" s="4" t="s">
        <v>1717</v>
      </c>
      <c r="AS567" s="4" t="s">
        <v>1718</v>
      </c>
      <c r="AT567" s="4" t="s">
        <v>1835</v>
      </c>
      <c r="AU567" s="4" t="s">
        <v>1836</v>
      </c>
      <c r="AV567" s="4" t="s">
        <v>1720</v>
      </c>
      <c r="AW567" s="4" t="s">
        <v>2368</v>
      </c>
      <c r="AX567" s="4" t="s">
        <v>2707</v>
      </c>
      <c r="AY567" s="4">
        <v>50.745899999999999</v>
      </c>
      <c r="AZ567" s="4">
        <v>-119.4524</v>
      </c>
      <c r="BA567" s="4">
        <v>1407</v>
      </c>
    </row>
    <row r="568" spans="1:53" ht="14.25" customHeight="1" x14ac:dyDescent="0.2">
      <c r="A568" s="136" t="s">
        <v>422</v>
      </c>
      <c r="B568" s="193">
        <v>12</v>
      </c>
      <c r="C568" s="4" t="s">
        <v>1711</v>
      </c>
      <c r="D568" s="4">
        <v>1053</v>
      </c>
      <c r="E568" s="4">
        <v>2368</v>
      </c>
      <c r="F568" s="211" t="s">
        <v>4202</v>
      </c>
      <c r="G568" s="4" t="s">
        <v>4203</v>
      </c>
      <c r="H568" s="4" t="s">
        <v>4204</v>
      </c>
      <c r="I568" s="4" t="s">
        <v>641</v>
      </c>
      <c r="J568" s="4" t="s">
        <v>1746</v>
      </c>
      <c r="K568" s="4">
        <v>1</v>
      </c>
      <c r="L568" s="4">
        <v>2771</v>
      </c>
      <c r="M568" s="9"/>
      <c r="U568"/>
      <c r="Y568" s="260"/>
      <c r="AK568" s="9"/>
      <c r="AO568" s="65" t="s">
        <v>4202</v>
      </c>
      <c r="AP568" s="188">
        <v>1053</v>
      </c>
      <c r="AQ568" s="188" t="s">
        <v>1716</v>
      </c>
      <c r="AR568" s="188" t="s">
        <v>1717</v>
      </c>
      <c r="AS568" s="188" t="s">
        <v>1718</v>
      </c>
      <c r="AT568" s="188" t="s">
        <v>1835</v>
      </c>
      <c r="AU568" s="188" t="s">
        <v>1836</v>
      </c>
      <c r="AV568" s="188" t="s">
        <v>1720</v>
      </c>
      <c r="AW568" s="188" t="s">
        <v>2193</v>
      </c>
      <c r="AX568" s="188" t="s">
        <v>2283</v>
      </c>
      <c r="AY568" s="188">
        <v>52.073399999999999</v>
      </c>
      <c r="AZ568" s="188">
        <v>-123.89100000000001</v>
      </c>
      <c r="BA568" s="188">
        <v>1055</v>
      </c>
    </row>
    <row r="569" spans="1:53" ht="14.25" customHeight="1" x14ac:dyDescent="0.2">
      <c r="A569" s="136" t="s">
        <v>422</v>
      </c>
      <c r="B569" s="193">
        <v>12</v>
      </c>
      <c r="C569" s="4" t="s">
        <v>1711</v>
      </c>
      <c r="D569" s="4">
        <v>1100</v>
      </c>
      <c r="E569" s="4">
        <v>12019</v>
      </c>
      <c r="F569" s="211" t="s">
        <v>4233</v>
      </c>
      <c r="G569" s="188" t="s">
        <v>4234</v>
      </c>
      <c r="H569" s="4" t="s">
        <v>4235</v>
      </c>
      <c r="I569" s="4" t="s">
        <v>49</v>
      </c>
      <c r="J569" s="4" t="s">
        <v>1746</v>
      </c>
      <c r="K569" s="4">
        <v>1</v>
      </c>
      <c r="L569" s="4">
        <v>14076</v>
      </c>
      <c r="M569" s="9"/>
      <c r="U569"/>
      <c r="Y569" s="260"/>
      <c r="AK569" s="9"/>
      <c r="AO569" s="4" t="s">
        <v>4233</v>
      </c>
      <c r="AP569" s="4">
        <v>1100</v>
      </c>
      <c r="AQ569" s="4" t="s">
        <v>1716</v>
      </c>
      <c r="AR569" s="4" t="s">
        <v>1717</v>
      </c>
      <c r="AS569" s="4" t="s">
        <v>1718</v>
      </c>
      <c r="AT569" s="4" t="s">
        <v>1841</v>
      </c>
      <c r="AU569" s="4" t="s">
        <v>1959</v>
      </c>
      <c r="AW569" s="4" t="s">
        <v>2368</v>
      </c>
      <c r="AX569" s="4" t="s">
        <v>2707</v>
      </c>
      <c r="AY569" s="4">
        <v>50.569899999999997</v>
      </c>
      <c r="AZ569" s="4">
        <v>-119.283</v>
      </c>
      <c r="BA569" s="4">
        <v>1118</v>
      </c>
    </row>
    <row r="570" spans="1:53" ht="14.25" customHeight="1" x14ac:dyDescent="0.2">
      <c r="A570" s="136" t="s">
        <v>422</v>
      </c>
      <c r="B570" s="193">
        <v>12</v>
      </c>
      <c r="C570" s="4" t="s">
        <v>1707</v>
      </c>
      <c r="D570" s="4">
        <v>1109</v>
      </c>
      <c r="E570" s="4">
        <v>12981</v>
      </c>
      <c r="F570" s="192"/>
      <c r="G570" s="4" t="s">
        <v>127</v>
      </c>
      <c r="H570" s="4" t="s">
        <v>1697</v>
      </c>
      <c r="I570" s="4" t="s">
        <v>49</v>
      </c>
      <c r="J570" s="4" t="s">
        <v>1746</v>
      </c>
      <c r="K570" s="4">
        <v>1</v>
      </c>
      <c r="L570" s="4">
        <v>14913</v>
      </c>
      <c r="M570" s="9"/>
      <c r="U570"/>
      <c r="Y570" s="260"/>
      <c r="AK570" s="9"/>
      <c r="AO570" s="268" t="s">
        <v>4239</v>
      </c>
      <c r="AP570" s="268">
        <v>1109</v>
      </c>
      <c r="AQ570" s="268" t="s">
        <v>1716</v>
      </c>
      <c r="AR570" s="268" t="s">
        <v>2441</v>
      </c>
      <c r="AS570" s="268" t="s">
        <v>1702</v>
      </c>
      <c r="AT570" s="268" t="s">
        <v>1703</v>
      </c>
      <c r="AU570" s="268" t="s">
        <v>1704</v>
      </c>
      <c r="AV570" s="268" t="s">
        <v>1702</v>
      </c>
      <c r="AW570" s="268" t="s">
        <v>2193</v>
      </c>
      <c r="AX570" s="268" t="s">
        <v>2283</v>
      </c>
      <c r="AY570" s="268">
        <v>51.674599999999998</v>
      </c>
      <c r="AZ570" s="268">
        <v>-124.40309999999999</v>
      </c>
      <c r="BA570" s="268">
        <v>875</v>
      </c>
    </row>
    <row r="571" spans="1:53" ht="14.25" customHeight="1" x14ac:dyDescent="0.2">
      <c r="A571" s="136" t="s">
        <v>422</v>
      </c>
      <c r="B571" s="193">
        <v>12</v>
      </c>
      <c r="C571" s="4" t="s">
        <v>1707</v>
      </c>
      <c r="D571" s="4">
        <v>1110</v>
      </c>
      <c r="E571" s="4">
        <v>12982</v>
      </c>
      <c r="G571" s="188" t="s">
        <v>127</v>
      </c>
      <c r="H571" s="4" t="s">
        <v>1697</v>
      </c>
      <c r="I571" s="4" t="s">
        <v>49</v>
      </c>
      <c r="J571" s="4" t="s">
        <v>1746</v>
      </c>
      <c r="K571" s="4">
        <v>1</v>
      </c>
      <c r="L571" s="4">
        <v>14914</v>
      </c>
      <c r="M571" s="9"/>
      <c r="U571"/>
      <c r="Y571" s="260"/>
      <c r="AK571" s="9"/>
      <c r="AO571" s="268" t="s">
        <v>4240</v>
      </c>
      <c r="AP571" s="268">
        <v>1110</v>
      </c>
      <c r="AQ571" s="268" t="s">
        <v>1716</v>
      </c>
      <c r="AR571" s="268" t="s">
        <v>2441</v>
      </c>
      <c r="AS571" s="268" t="s">
        <v>1702</v>
      </c>
      <c r="AT571" s="268" t="s">
        <v>1703</v>
      </c>
      <c r="AU571" s="268" t="s">
        <v>1704</v>
      </c>
      <c r="AV571" s="268" t="s">
        <v>1702</v>
      </c>
      <c r="AW571" s="268" t="s">
        <v>2698</v>
      </c>
      <c r="AX571" s="268" t="s">
        <v>2797</v>
      </c>
      <c r="AY571" s="268">
        <v>49.111899999999999</v>
      </c>
      <c r="AZ571" s="268">
        <v>-117.7389</v>
      </c>
      <c r="BA571" s="268">
        <v>567</v>
      </c>
    </row>
    <row r="572" spans="1:53" ht="14.25" customHeight="1" x14ac:dyDescent="0.2">
      <c r="A572" s="136" t="s">
        <v>422</v>
      </c>
      <c r="B572" s="193">
        <v>12</v>
      </c>
      <c r="C572" s="4" t="s">
        <v>1711</v>
      </c>
      <c r="D572" s="4">
        <v>1135</v>
      </c>
      <c r="E572" s="4">
        <v>12068</v>
      </c>
      <c r="F572" s="16" t="s">
        <v>4248</v>
      </c>
      <c r="G572" s="188" t="s">
        <v>4249</v>
      </c>
      <c r="H572" s="4" t="s">
        <v>4250</v>
      </c>
      <c r="I572" s="4" t="s">
        <v>49</v>
      </c>
      <c r="J572" s="4" t="s">
        <v>1746</v>
      </c>
      <c r="K572" s="4">
        <v>1</v>
      </c>
      <c r="L572" s="4">
        <v>14124</v>
      </c>
      <c r="M572" s="9"/>
      <c r="U572"/>
      <c r="Y572" s="260"/>
      <c r="AK572" s="9"/>
      <c r="AO572" s="4" t="s">
        <v>4248</v>
      </c>
      <c r="AP572" s="4">
        <v>1135</v>
      </c>
      <c r="AQ572" s="4" t="s">
        <v>1716</v>
      </c>
      <c r="AR572" s="4" t="s">
        <v>1717</v>
      </c>
      <c r="AS572" s="4" t="s">
        <v>1740</v>
      </c>
      <c r="AT572" s="4" t="s">
        <v>1835</v>
      </c>
      <c r="AU572" s="4" t="s">
        <v>1742</v>
      </c>
      <c r="AV572" s="4" t="s">
        <v>1720</v>
      </c>
      <c r="AW572" s="4" t="s">
        <v>2368</v>
      </c>
      <c r="AX572" s="4" t="s">
        <v>2516</v>
      </c>
      <c r="AY572" s="4">
        <v>49.234499999999997</v>
      </c>
      <c r="AZ572" s="4">
        <v>-119.8142</v>
      </c>
      <c r="BA572" s="4">
        <v>557</v>
      </c>
    </row>
    <row r="573" spans="1:53" ht="14.25" customHeight="1" x14ac:dyDescent="0.2">
      <c r="A573" s="136" t="s">
        <v>422</v>
      </c>
      <c r="B573" s="193">
        <v>12</v>
      </c>
      <c r="C573" s="4" t="s">
        <v>3072</v>
      </c>
      <c r="D573" s="4">
        <v>1141</v>
      </c>
      <c r="E573" s="4">
        <v>10977</v>
      </c>
      <c r="F573" s="4" t="s">
        <v>4251</v>
      </c>
      <c r="G573" s="4" t="s">
        <v>4252</v>
      </c>
      <c r="H573" s="4" t="s">
        <v>4253</v>
      </c>
      <c r="I573" s="4" t="s">
        <v>49</v>
      </c>
      <c r="J573" s="4" t="s">
        <v>1891</v>
      </c>
      <c r="K573" s="4">
        <v>1</v>
      </c>
      <c r="L573" s="4">
        <v>13148</v>
      </c>
      <c r="M573" s="9">
        <v>48.516159999999999</v>
      </c>
      <c r="N573" s="4">
        <v>-123.764438</v>
      </c>
      <c r="O573" s="4" t="s">
        <v>51</v>
      </c>
      <c r="P573" s="4" t="s">
        <v>89</v>
      </c>
      <c r="Q573" s="4">
        <v>3</v>
      </c>
      <c r="R573" s="4" t="s">
        <v>90</v>
      </c>
      <c r="S573" s="4" t="s">
        <v>44</v>
      </c>
      <c r="T573" s="4">
        <v>512</v>
      </c>
      <c r="U573"/>
      <c r="V573" s="4" t="s">
        <v>93</v>
      </c>
      <c r="W573" s="4">
        <v>43048</v>
      </c>
      <c r="X573" s="4" t="s">
        <v>53</v>
      </c>
      <c r="Y573" s="260"/>
      <c r="AK573" s="9"/>
      <c r="AO573" s="268" t="s">
        <v>4254</v>
      </c>
      <c r="AP573" s="268">
        <v>1141</v>
      </c>
      <c r="AQ573" s="268" t="s">
        <v>1700</v>
      </c>
      <c r="AR573" s="268" t="s">
        <v>1739</v>
      </c>
      <c r="AS573" s="268" t="s">
        <v>3077</v>
      </c>
      <c r="AT573" s="268" t="s">
        <v>1835</v>
      </c>
      <c r="AU573" s="268" t="s">
        <v>1704</v>
      </c>
      <c r="AV573" s="268" t="s">
        <v>3077</v>
      </c>
      <c r="AW573" s="268" t="s">
        <v>1705</v>
      </c>
      <c r="AX573" s="268" t="s">
        <v>1747</v>
      </c>
      <c r="AY573" s="268">
        <v>48.516100000000002</v>
      </c>
      <c r="AZ573" s="268">
        <v>-123.76439999999999</v>
      </c>
      <c r="BA573" s="268">
        <v>512</v>
      </c>
    </row>
    <row r="574" spans="1:53" ht="14.25" customHeight="1" x14ac:dyDescent="0.2">
      <c r="A574" s="136" t="s">
        <v>422</v>
      </c>
      <c r="B574" s="193">
        <v>12</v>
      </c>
      <c r="C574" s="4" t="s">
        <v>3072</v>
      </c>
      <c r="D574" s="4">
        <v>1142</v>
      </c>
      <c r="E574" s="4">
        <v>12445</v>
      </c>
      <c r="F574" s="4" t="s">
        <v>4255</v>
      </c>
      <c r="G574" s="4" t="s">
        <v>4256</v>
      </c>
      <c r="H574" s="4" t="s">
        <v>3075</v>
      </c>
      <c r="I574" s="4" t="s">
        <v>49</v>
      </c>
      <c r="J574" s="4" t="s">
        <v>1746</v>
      </c>
      <c r="K574" s="4">
        <v>1</v>
      </c>
      <c r="L574" s="4">
        <v>14467</v>
      </c>
      <c r="M574" s="9">
        <v>48.494166999999997</v>
      </c>
      <c r="N574" s="4">
        <v>-123.614722</v>
      </c>
      <c r="O574" s="4" t="s">
        <v>51</v>
      </c>
      <c r="P574" s="4" t="s">
        <v>45</v>
      </c>
      <c r="Q574" s="4">
        <v>3</v>
      </c>
      <c r="R574" s="4" t="s">
        <v>46</v>
      </c>
      <c r="S574" s="4" t="s">
        <v>44</v>
      </c>
      <c r="T574" s="4">
        <v>493</v>
      </c>
      <c r="U574"/>
      <c r="V574" s="4" t="s">
        <v>52</v>
      </c>
      <c r="W574" s="4">
        <v>35886</v>
      </c>
      <c r="Y574" s="260"/>
      <c r="AK574" s="9"/>
      <c r="AO574" s="268" t="s">
        <v>4257</v>
      </c>
      <c r="AP574" s="268">
        <v>1142</v>
      </c>
      <c r="AQ574" s="268" t="s">
        <v>1700</v>
      </c>
      <c r="AR574" s="268" t="s">
        <v>1739</v>
      </c>
      <c r="AS574" s="268" t="s">
        <v>3077</v>
      </c>
      <c r="AT574" s="268" t="s">
        <v>1835</v>
      </c>
      <c r="AU574" s="268" t="s">
        <v>1704</v>
      </c>
      <c r="AV574" s="268" t="s">
        <v>3077</v>
      </c>
      <c r="AW574" s="268" t="s">
        <v>1705</v>
      </c>
      <c r="AX574" s="268" t="s">
        <v>1747</v>
      </c>
      <c r="AY574" s="268">
        <v>48.494399999999999</v>
      </c>
      <c r="AZ574" s="268">
        <v>-123.6139</v>
      </c>
      <c r="BA574" s="268">
        <v>485</v>
      </c>
    </row>
    <row r="575" spans="1:53" ht="14.25" customHeight="1" x14ac:dyDescent="0.2">
      <c r="A575" s="136" t="s">
        <v>422</v>
      </c>
      <c r="B575" s="193">
        <v>12</v>
      </c>
      <c r="C575" s="4" t="s">
        <v>3072</v>
      </c>
      <c r="D575" s="4">
        <v>1143</v>
      </c>
      <c r="E575" s="4">
        <v>12446</v>
      </c>
      <c r="F575" s="4" t="s">
        <v>4258</v>
      </c>
      <c r="G575" s="4" t="s">
        <v>4259</v>
      </c>
      <c r="H575" s="4" t="s">
        <v>3075</v>
      </c>
      <c r="I575" s="4" t="s">
        <v>49</v>
      </c>
      <c r="J575" s="4" t="s">
        <v>1746</v>
      </c>
      <c r="K575" s="4">
        <v>1</v>
      </c>
      <c r="L575" s="4">
        <v>14468</v>
      </c>
      <c r="M575" s="9">
        <v>48.585833000000001</v>
      </c>
      <c r="N575" s="4">
        <v>-123.75111099999999</v>
      </c>
      <c r="O575" s="4" t="s">
        <v>51</v>
      </c>
      <c r="P575" s="4" t="s">
        <v>67</v>
      </c>
      <c r="Q575" s="4">
        <v>4</v>
      </c>
      <c r="R575" s="4" t="s">
        <v>68</v>
      </c>
      <c r="S575" s="4" t="s">
        <v>44</v>
      </c>
      <c r="T575" s="4">
        <v>675</v>
      </c>
      <c r="U575"/>
      <c r="V575" s="4" t="s">
        <v>72</v>
      </c>
      <c r="W575" s="4">
        <v>35125</v>
      </c>
      <c r="Y575" s="260"/>
      <c r="AK575" s="9"/>
      <c r="AO575" s="268" t="s">
        <v>4260</v>
      </c>
      <c r="AP575" s="268">
        <v>1143</v>
      </c>
      <c r="AQ575" s="268" t="s">
        <v>1700</v>
      </c>
      <c r="AR575" s="268" t="s">
        <v>1739</v>
      </c>
      <c r="AS575" s="268" t="s">
        <v>3077</v>
      </c>
      <c r="AT575" s="268" t="s">
        <v>1835</v>
      </c>
      <c r="AU575" s="268" t="s">
        <v>1704</v>
      </c>
      <c r="AV575" s="268" t="s">
        <v>3077</v>
      </c>
      <c r="AW575" s="268" t="s">
        <v>1705</v>
      </c>
      <c r="AX575" s="268" t="s">
        <v>1747</v>
      </c>
      <c r="AY575" s="268">
        <v>48.586100000000002</v>
      </c>
      <c r="AZ575" s="268">
        <v>-123.74939999999999</v>
      </c>
      <c r="BA575" s="268">
        <v>665</v>
      </c>
    </row>
    <row r="576" spans="1:53" ht="14.25" customHeight="1" x14ac:dyDescent="0.2">
      <c r="A576" s="136" t="s">
        <v>422</v>
      </c>
      <c r="B576" s="193">
        <v>12</v>
      </c>
      <c r="C576" s="4" t="s">
        <v>3072</v>
      </c>
      <c r="D576" s="4">
        <v>1166</v>
      </c>
      <c r="E576" s="4">
        <v>12447</v>
      </c>
      <c r="F576" s="188" t="s">
        <v>4276</v>
      </c>
      <c r="G576" s="4" t="s">
        <v>4277</v>
      </c>
      <c r="H576" s="4" t="s">
        <v>3075</v>
      </c>
      <c r="I576" s="4" t="s">
        <v>49</v>
      </c>
      <c r="J576" s="4" t="s">
        <v>1746</v>
      </c>
      <c r="K576" s="4">
        <v>1</v>
      </c>
      <c r="L576" s="4">
        <v>14469</v>
      </c>
      <c r="M576" s="9"/>
      <c r="U576"/>
      <c r="Y576" s="260"/>
      <c r="AK576" s="9"/>
      <c r="AO576" s="268" t="s">
        <v>4278</v>
      </c>
      <c r="AP576" s="268">
        <v>1166</v>
      </c>
      <c r="AQ576" s="268" t="s">
        <v>1700</v>
      </c>
      <c r="AR576" s="268" t="s">
        <v>1739</v>
      </c>
      <c r="AS576" s="268" t="s">
        <v>3077</v>
      </c>
      <c r="AT576" s="268" t="s">
        <v>1703</v>
      </c>
      <c r="AU576" s="268" t="s">
        <v>1704</v>
      </c>
      <c r="AV576" s="268" t="s">
        <v>3077</v>
      </c>
      <c r="AW576" s="268" t="s">
        <v>1705</v>
      </c>
      <c r="AX576" s="268" t="s">
        <v>1747</v>
      </c>
      <c r="AY576" s="268">
        <v>48.572200000000002</v>
      </c>
      <c r="AZ576" s="268">
        <v>-123.7068</v>
      </c>
      <c r="BA576" s="268">
        <v>180</v>
      </c>
    </row>
    <row r="577" spans="1:53" ht="14.25" customHeight="1" x14ac:dyDescent="0.2">
      <c r="A577" s="136" t="s">
        <v>422</v>
      </c>
      <c r="B577" s="193">
        <v>12</v>
      </c>
      <c r="C577" s="4" t="s">
        <v>1711</v>
      </c>
      <c r="D577" s="4">
        <v>1168</v>
      </c>
      <c r="E577" s="4">
        <v>10984</v>
      </c>
      <c r="F577" s="16" t="s">
        <v>4279</v>
      </c>
      <c r="G577" s="188" t="s">
        <v>4280</v>
      </c>
      <c r="H577" s="4" t="s">
        <v>4281</v>
      </c>
      <c r="I577" s="4" t="s">
        <v>49</v>
      </c>
      <c r="J577" s="4" t="s">
        <v>1746</v>
      </c>
      <c r="K577" s="4">
        <v>1</v>
      </c>
      <c r="L577" s="4">
        <v>13150</v>
      </c>
      <c r="M577" s="9"/>
      <c r="U577"/>
      <c r="Y577" s="260"/>
      <c r="AK577" s="9"/>
      <c r="AO577" s="65" t="s">
        <v>4279</v>
      </c>
      <c r="AP577" s="4">
        <v>1168</v>
      </c>
      <c r="AQ577" s="4" t="s">
        <v>1716</v>
      </c>
      <c r="AR577" s="4" t="s">
        <v>2441</v>
      </c>
      <c r="AS577" s="4" t="s">
        <v>1718</v>
      </c>
      <c r="AT577" s="4" t="s">
        <v>1835</v>
      </c>
      <c r="AU577" s="4" t="s">
        <v>1836</v>
      </c>
      <c r="AV577" s="4" t="s">
        <v>1720</v>
      </c>
      <c r="AX577" s="4" t="s">
        <v>1879</v>
      </c>
      <c r="AY577" s="4">
        <v>50.5291</v>
      </c>
      <c r="AZ577" s="4">
        <v>-122.44580000000001</v>
      </c>
      <c r="BA577" s="4">
        <v>765</v>
      </c>
    </row>
    <row r="578" spans="1:53" ht="14.25" customHeight="1" x14ac:dyDescent="0.2">
      <c r="A578" s="136" t="s">
        <v>422</v>
      </c>
      <c r="B578" s="193">
        <v>12</v>
      </c>
      <c r="C578" s="4" t="s">
        <v>1711</v>
      </c>
      <c r="D578" s="4">
        <v>1172</v>
      </c>
      <c r="E578" s="4">
        <v>10991</v>
      </c>
      <c r="F578" s="16" t="s">
        <v>4285</v>
      </c>
      <c r="G578" s="4" t="s">
        <v>4286</v>
      </c>
      <c r="H578" s="4" t="s">
        <v>4287</v>
      </c>
      <c r="I578" s="4" t="s">
        <v>49</v>
      </c>
      <c r="J578" s="4" t="s">
        <v>1746</v>
      </c>
      <c r="K578" s="4">
        <v>1</v>
      </c>
      <c r="L578" s="4">
        <v>13156</v>
      </c>
      <c r="M578" s="9"/>
      <c r="U578"/>
      <c r="Y578" s="260"/>
      <c r="AK578" s="9"/>
      <c r="AO578" s="267" t="s">
        <v>4285</v>
      </c>
      <c r="AP578" s="4">
        <v>1172</v>
      </c>
      <c r="AQ578" s="4" t="s">
        <v>1716</v>
      </c>
      <c r="AR578" s="4" t="s">
        <v>1717</v>
      </c>
      <c r="AS578" s="4" t="s">
        <v>1718</v>
      </c>
      <c r="AT578" s="4" t="s">
        <v>1835</v>
      </c>
      <c r="AU578" s="4" t="s">
        <v>1836</v>
      </c>
      <c r="AV578" s="4" t="s">
        <v>1720</v>
      </c>
      <c r="AW578" s="4" t="s">
        <v>2698</v>
      </c>
      <c r="AX578" s="4" t="s">
        <v>2801</v>
      </c>
      <c r="AY578" s="4">
        <v>50.11</v>
      </c>
      <c r="AZ578" s="4">
        <v>-117.05</v>
      </c>
      <c r="BA578" s="4">
        <v>1020</v>
      </c>
    </row>
    <row r="579" spans="1:53" ht="14.25" customHeight="1" x14ac:dyDescent="0.2">
      <c r="A579" s="136" t="s">
        <v>422</v>
      </c>
      <c r="B579" s="193">
        <v>12</v>
      </c>
      <c r="C579" s="4" t="s">
        <v>1707</v>
      </c>
      <c r="D579" s="4">
        <v>1173</v>
      </c>
      <c r="E579" s="4">
        <v>12983</v>
      </c>
      <c r="F579" s="192"/>
      <c r="G579" s="4" t="s">
        <v>127</v>
      </c>
      <c r="H579" s="4" t="s">
        <v>1697</v>
      </c>
      <c r="I579" s="4" t="s">
        <v>49</v>
      </c>
      <c r="J579" s="4" t="s">
        <v>1746</v>
      </c>
      <c r="K579" s="4">
        <v>1</v>
      </c>
      <c r="L579" s="4">
        <v>14915</v>
      </c>
      <c r="M579" s="9"/>
      <c r="U579"/>
      <c r="Y579" s="260"/>
      <c r="AK579" s="9"/>
      <c r="AO579" s="268" t="s">
        <v>4288</v>
      </c>
      <c r="AP579" s="268">
        <v>1173</v>
      </c>
      <c r="AQ579" s="268" t="s">
        <v>1700</v>
      </c>
      <c r="AR579" s="268" t="s">
        <v>1701</v>
      </c>
      <c r="AS579" s="268" t="s">
        <v>1702</v>
      </c>
      <c r="AT579" s="268" t="s">
        <v>1703</v>
      </c>
      <c r="AU579" s="268" t="s">
        <v>1704</v>
      </c>
      <c r="AV579" s="268" t="s">
        <v>1702</v>
      </c>
      <c r="AW579" s="268" t="s">
        <v>2368</v>
      </c>
      <c r="AX579" s="268" t="s">
        <v>2369</v>
      </c>
      <c r="AY579" s="268">
        <v>50.708399999999997</v>
      </c>
      <c r="AZ579" s="268">
        <v>-121.2812</v>
      </c>
      <c r="BA579" s="268">
        <v>327</v>
      </c>
    </row>
    <row r="580" spans="1:53" ht="14.25" customHeight="1" x14ac:dyDescent="0.2">
      <c r="A580" s="136" t="s">
        <v>422</v>
      </c>
      <c r="B580" s="193">
        <v>12</v>
      </c>
      <c r="C580" s="4" t="s">
        <v>1711</v>
      </c>
      <c r="D580" s="4">
        <v>1175</v>
      </c>
      <c r="E580" s="4">
        <v>10995</v>
      </c>
      <c r="F580" s="16" t="s">
        <v>4292</v>
      </c>
      <c r="G580" s="4" t="s">
        <v>4293</v>
      </c>
      <c r="H580" s="4" t="s">
        <v>4294</v>
      </c>
      <c r="I580" s="4" t="s">
        <v>49</v>
      </c>
      <c r="J580" s="4" t="s">
        <v>1746</v>
      </c>
      <c r="K580" s="4">
        <v>1</v>
      </c>
      <c r="L580" s="4">
        <v>13161</v>
      </c>
      <c r="M580" s="9"/>
      <c r="U580"/>
      <c r="Y580" s="260"/>
      <c r="AK580" s="9"/>
      <c r="AO580" s="267" t="s">
        <v>4292</v>
      </c>
      <c r="AP580" s="4">
        <v>1175</v>
      </c>
      <c r="AQ580" s="4" t="s">
        <v>1716</v>
      </c>
      <c r="AR580" s="4" t="s">
        <v>1717</v>
      </c>
      <c r="AS580" s="4" t="s">
        <v>1718</v>
      </c>
      <c r="AT580" s="4" t="s">
        <v>1835</v>
      </c>
      <c r="AU580" s="4" t="s">
        <v>1836</v>
      </c>
      <c r="AV580" s="4" t="s">
        <v>1720</v>
      </c>
      <c r="AW580" s="4" t="s">
        <v>2698</v>
      </c>
      <c r="AX580" s="4" t="s">
        <v>2801</v>
      </c>
      <c r="AY580" s="4">
        <v>49.4</v>
      </c>
      <c r="AZ580" s="4">
        <v>-117.11</v>
      </c>
      <c r="BA580" s="4">
        <v>1455</v>
      </c>
    </row>
    <row r="581" spans="1:53" ht="14.25" customHeight="1" x14ac:dyDescent="0.2">
      <c r="A581" s="136" t="s">
        <v>422</v>
      </c>
      <c r="B581" s="193">
        <v>12</v>
      </c>
      <c r="C581" s="4" t="s">
        <v>1711</v>
      </c>
      <c r="D581" s="4">
        <v>1178</v>
      </c>
      <c r="E581" s="4">
        <v>10998</v>
      </c>
      <c r="F581" s="211" t="s">
        <v>4298</v>
      </c>
      <c r="G581" s="188" t="s">
        <v>4299</v>
      </c>
      <c r="H581" s="4" t="s">
        <v>4300</v>
      </c>
      <c r="I581" s="4" t="s">
        <v>49</v>
      </c>
      <c r="J581" s="4" t="s">
        <v>1746</v>
      </c>
      <c r="K581" s="4">
        <v>1</v>
      </c>
      <c r="L581" s="4">
        <v>13164</v>
      </c>
      <c r="M581" s="9"/>
      <c r="U581"/>
      <c r="Y581" s="260"/>
      <c r="AK581" s="9"/>
      <c r="AO581" s="4" t="s">
        <v>4298</v>
      </c>
      <c r="AP581" s="4">
        <v>1178</v>
      </c>
      <c r="AQ581" s="4" t="s">
        <v>1716</v>
      </c>
      <c r="AR581" s="4" t="s">
        <v>1717</v>
      </c>
      <c r="AS581" s="4" t="s">
        <v>1718</v>
      </c>
      <c r="AT581" s="4" t="s">
        <v>1841</v>
      </c>
      <c r="AU581" s="4" t="s">
        <v>1959</v>
      </c>
      <c r="AV581" s="4" t="s">
        <v>1720</v>
      </c>
      <c r="AW581" s="4" t="s">
        <v>2368</v>
      </c>
      <c r="AX581" s="4" t="s">
        <v>2827</v>
      </c>
      <c r="AY581" s="4">
        <v>49.713900000000002</v>
      </c>
      <c r="AZ581" s="4">
        <v>-118.74</v>
      </c>
      <c r="BA581" s="4">
        <v>1393</v>
      </c>
    </row>
    <row r="582" spans="1:53" ht="14.25" customHeight="1" x14ac:dyDescent="0.2">
      <c r="A582" s="136" t="s">
        <v>422</v>
      </c>
      <c r="B582" s="193">
        <v>12</v>
      </c>
      <c r="C582" s="4" t="s">
        <v>1711</v>
      </c>
      <c r="D582" s="4">
        <v>1183</v>
      </c>
      <c r="E582" s="4">
        <v>11003</v>
      </c>
      <c r="F582" s="211" t="s">
        <v>4311</v>
      </c>
      <c r="G582" s="188" t="s">
        <v>4312</v>
      </c>
      <c r="H582" s="4" t="s">
        <v>4313</v>
      </c>
      <c r="I582" s="4" t="s">
        <v>49</v>
      </c>
      <c r="J582" s="4" t="s">
        <v>1746</v>
      </c>
      <c r="K582" s="4">
        <v>1</v>
      </c>
      <c r="L582" s="4">
        <v>13171</v>
      </c>
      <c r="M582" s="9"/>
      <c r="U582"/>
      <c r="Y582" s="260"/>
      <c r="AK582" s="9"/>
      <c r="AO582" s="267" t="s">
        <v>4311</v>
      </c>
      <c r="AP582" s="4">
        <v>1183</v>
      </c>
      <c r="AQ582" s="4" t="s">
        <v>1716</v>
      </c>
      <c r="AR582" s="4" t="s">
        <v>1717</v>
      </c>
      <c r="AS582" s="4" t="s">
        <v>1718</v>
      </c>
      <c r="AT582" s="4" t="s">
        <v>1835</v>
      </c>
      <c r="AU582" s="4" t="s">
        <v>1836</v>
      </c>
      <c r="AV582" s="4" t="s">
        <v>1720</v>
      </c>
      <c r="AW582" s="4" t="s">
        <v>2698</v>
      </c>
      <c r="AX582" s="4" t="s">
        <v>2797</v>
      </c>
      <c r="AY582" s="4">
        <v>49.7971</v>
      </c>
      <c r="AZ582" s="4">
        <v>-117.3969</v>
      </c>
      <c r="BA582" s="4">
        <v>1826</v>
      </c>
    </row>
    <row r="583" spans="1:53" ht="14.25" customHeight="1" x14ac:dyDescent="0.2">
      <c r="A583" s="136" t="s">
        <v>422</v>
      </c>
      <c r="B583" s="193">
        <v>12</v>
      </c>
      <c r="C583" s="4" t="s">
        <v>1711</v>
      </c>
      <c r="D583" s="4">
        <v>1184</v>
      </c>
      <c r="E583" s="4">
        <v>11004</v>
      </c>
      <c r="F583" s="16" t="s">
        <v>4314</v>
      </c>
      <c r="G583" s="4" t="s">
        <v>4315</v>
      </c>
      <c r="H583" s="4" t="s">
        <v>4316</v>
      </c>
      <c r="I583" s="4" t="s">
        <v>49</v>
      </c>
      <c r="J583" s="4" t="s">
        <v>1746</v>
      </c>
      <c r="K583" s="4">
        <v>1</v>
      </c>
      <c r="L583" s="4">
        <v>13172</v>
      </c>
      <c r="M583" s="9"/>
      <c r="U583"/>
      <c r="Y583" s="260"/>
      <c r="AK583" s="9"/>
      <c r="AO583" s="267" t="s">
        <v>4314</v>
      </c>
      <c r="AP583" s="4">
        <v>1184</v>
      </c>
      <c r="AQ583" s="4" t="s">
        <v>1716</v>
      </c>
      <c r="AR583" s="4" t="s">
        <v>1717</v>
      </c>
      <c r="AS583" s="4" t="s">
        <v>2257</v>
      </c>
      <c r="AT583" s="4" t="s">
        <v>1835</v>
      </c>
      <c r="AU583" s="4" t="s">
        <v>1836</v>
      </c>
      <c r="AW583" s="4" t="s">
        <v>1705</v>
      </c>
      <c r="AX583" s="4" t="s">
        <v>1879</v>
      </c>
      <c r="AY583" s="4">
        <v>50.316800000000001</v>
      </c>
      <c r="AZ583" s="4">
        <v>-123.54949999999999</v>
      </c>
      <c r="BA583" s="4">
        <v>800</v>
      </c>
    </row>
    <row r="584" spans="1:53" ht="14.25" customHeight="1" x14ac:dyDescent="0.2">
      <c r="A584" s="136" t="s">
        <v>422</v>
      </c>
      <c r="B584" s="193">
        <v>12</v>
      </c>
      <c r="C584" s="4" t="s">
        <v>1711</v>
      </c>
      <c r="D584" s="4">
        <v>1185</v>
      </c>
      <c r="E584" s="4">
        <v>11005</v>
      </c>
      <c r="F584" s="16" t="s">
        <v>4317</v>
      </c>
      <c r="G584" s="4" t="s">
        <v>4318</v>
      </c>
      <c r="H584" s="4" t="s">
        <v>4319</v>
      </c>
      <c r="I584" s="4" t="s">
        <v>49</v>
      </c>
      <c r="J584" s="4" t="s">
        <v>1746</v>
      </c>
      <c r="K584" s="4">
        <v>1</v>
      </c>
      <c r="L584" s="4">
        <v>13173</v>
      </c>
      <c r="M584" s="9"/>
      <c r="U584"/>
      <c r="Y584" s="260"/>
      <c r="AK584" s="9"/>
      <c r="AO584" s="267" t="s">
        <v>4317</v>
      </c>
      <c r="AP584" s="4">
        <v>1185</v>
      </c>
      <c r="AQ584" s="4" t="s">
        <v>1716</v>
      </c>
      <c r="AR584" s="4" t="s">
        <v>1717</v>
      </c>
      <c r="AS584" s="4" t="s">
        <v>1718</v>
      </c>
      <c r="AT584" s="4" t="s">
        <v>1835</v>
      </c>
      <c r="AU584" s="4" t="s">
        <v>1836</v>
      </c>
      <c r="AV584" s="4" t="s">
        <v>1720</v>
      </c>
      <c r="AW584" s="4" t="s">
        <v>2003</v>
      </c>
      <c r="AX584" s="4" t="s">
        <v>2024</v>
      </c>
      <c r="AY584" s="4">
        <v>55.912599999999998</v>
      </c>
      <c r="AZ584" s="4">
        <v>-122.2514</v>
      </c>
      <c r="BA584" s="4">
        <v>986</v>
      </c>
    </row>
    <row r="585" spans="1:53" ht="14.25" customHeight="1" x14ac:dyDescent="0.2">
      <c r="A585" s="136" t="s">
        <v>422</v>
      </c>
      <c r="B585" s="193">
        <v>12</v>
      </c>
      <c r="C585" s="4" t="s">
        <v>1711</v>
      </c>
      <c r="D585" s="4">
        <v>1188</v>
      </c>
      <c r="E585" s="4">
        <v>11006</v>
      </c>
      <c r="F585" s="16" t="s">
        <v>4320</v>
      </c>
      <c r="G585" s="4" t="s">
        <v>4321</v>
      </c>
      <c r="H585" s="4" t="s">
        <v>4322</v>
      </c>
      <c r="I585" s="4" t="s">
        <v>49</v>
      </c>
      <c r="J585" s="4" t="s">
        <v>1746</v>
      </c>
      <c r="K585" s="4">
        <v>1</v>
      </c>
      <c r="L585" s="4">
        <v>13174</v>
      </c>
      <c r="M585" s="9"/>
      <c r="U585"/>
      <c r="Y585" s="260"/>
      <c r="AK585" s="9"/>
      <c r="AO585" s="4" t="s">
        <v>4320</v>
      </c>
      <c r="AP585" s="4">
        <v>1188</v>
      </c>
      <c r="AQ585" s="4" t="s">
        <v>1716</v>
      </c>
      <c r="AR585" s="4" t="s">
        <v>1717</v>
      </c>
      <c r="AS585" s="4" t="s">
        <v>1718</v>
      </c>
      <c r="AT585" s="4" t="s">
        <v>1841</v>
      </c>
      <c r="AU585" s="4" t="s">
        <v>1959</v>
      </c>
      <c r="AV585" s="4" t="s">
        <v>1720</v>
      </c>
      <c r="AW585" s="4" t="s">
        <v>2368</v>
      </c>
      <c r="AX585" s="4" t="s">
        <v>2522</v>
      </c>
      <c r="AY585" s="4">
        <v>50.555</v>
      </c>
      <c r="AZ585" s="4">
        <v>-119.5419</v>
      </c>
      <c r="BA585" s="4">
        <v>1598</v>
      </c>
    </row>
    <row r="586" spans="1:53" ht="14.25" customHeight="1" x14ac:dyDescent="0.2">
      <c r="A586" s="136" t="s">
        <v>422</v>
      </c>
      <c r="B586" s="193">
        <v>12</v>
      </c>
      <c r="C586" s="4" t="s">
        <v>1711</v>
      </c>
      <c r="D586" s="4">
        <v>1189</v>
      </c>
      <c r="E586" s="4">
        <v>11007</v>
      </c>
      <c r="F586" s="16" t="s">
        <v>4323</v>
      </c>
      <c r="G586" s="4" t="s">
        <v>4324</v>
      </c>
      <c r="H586" s="4" t="s">
        <v>4325</v>
      </c>
      <c r="I586" s="4" t="s">
        <v>49</v>
      </c>
      <c r="J586" s="4" t="s">
        <v>1746</v>
      </c>
      <c r="K586" s="4">
        <v>1</v>
      </c>
      <c r="L586" s="4">
        <v>13175</v>
      </c>
      <c r="M586" s="9"/>
      <c r="U586"/>
      <c r="Y586" s="260"/>
      <c r="AK586" s="9"/>
      <c r="AO586" s="267" t="s">
        <v>4323</v>
      </c>
      <c r="AP586" s="4">
        <v>1189</v>
      </c>
      <c r="AQ586" s="4" t="s">
        <v>1716</v>
      </c>
      <c r="AR586" s="4" t="s">
        <v>1717</v>
      </c>
      <c r="AS586" s="4" t="s">
        <v>1718</v>
      </c>
      <c r="AT586" s="4" t="s">
        <v>1835</v>
      </c>
      <c r="AU586" s="4" t="s">
        <v>1836</v>
      </c>
      <c r="AV586" s="4" t="s">
        <v>1720</v>
      </c>
      <c r="AW586" s="4" t="s">
        <v>2193</v>
      </c>
      <c r="AX586" s="4" t="s">
        <v>2139</v>
      </c>
      <c r="AY586" s="4">
        <v>53.293599999999998</v>
      </c>
      <c r="AZ586" s="4">
        <v>-124.9092</v>
      </c>
      <c r="BA586" s="4">
        <v>1171</v>
      </c>
    </row>
    <row r="587" spans="1:53" ht="14.25" customHeight="1" x14ac:dyDescent="0.2">
      <c r="A587" s="136" t="s">
        <v>422</v>
      </c>
      <c r="B587" s="193">
        <v>12</v>
      </c>
      <c r="C587" s="4" t="s">
        <v>1711</v>
      </c>
      <c r="D587" s="4">
        <v>1190</v>
      </c>
      <c r="E587" s="4">
        <v>11008</v>
      </c>
      <c r="F587" s="16" t="s">
        <v>4326</v>
      </c>
      <c r="G587" s="188" t="s">
        <v>4327</v>
      </c>
      <c r="H587" s="4" t="s">
        <v>4328</v>
      </c>
      <c r="I587" s="4" t="s">
        <v>49</v>
      </c>
      <c r="J587" s="4" t="s">
        <v>1746</v>
      </c>
      <c r="K587" s="4">
        <v>1</v>
      </c>
      <c r="L587" s="4">
        <v>13176</v>
      </c>
      <c r="M587" s="9"/>
      <c r="U587"/>
      <c r="Y587" s="260"/>
      <c r="AK587" s="9"/>
      <c r="AO587" s="267" t="s">
        <v>4326</v>
      </c>
      <c r="AP587" s="4">
        <v>1190</v>
      </c>
      <c r="AQ587" s="4" t="s">
        <v>1716</v>
      </c>
      <c r="AR587" s="4" t="s">
        <v>1717</v>
      </c>
      <c r="AS587" s="4" t="s">
        <v>1718</v>
      </c>
      <c r="AT587" s="4" t="s">
        <v>1835</v>
      </c>
      <c r="AU587" s="4" t="s">
        <v>1836</v>
      </c>
      <c r="AW587" s="4" t="s">
        <v>2003</v>
      </c>
      <c r="AX587" s="4" t="s">
        <v>2087</v>
      </c>
      <c r="AY587" s="4">
        <v>56.256300000000003</v>
      </c>
      <c r="AZ587" s="4">
        <v>-125.0624</v>
      </c>
      <c r="BA587" s="4">
        <v>1707</v>
      </c>
    </row>
    <row r="588" spans="1:53" ht="14.25" customHeight="1" x14ac:dyDescent="0.2">
      <c r="A588" s="136" t="s">
        <v>422</v>
      </c>
      <c r="B588" s="193">
        <v>12</v>
      </c>
      <c r="C588" s="4" t="s">
        <v>1711</v>
      </c>
      <c r="D588" s="4">
        <v>1191</v>
      </c>
      <c r="E588" s="4">
        <v>11011</v>
      </c>
      <c r="F588" s="211" t="s">
        <v>4329</v>
      </c>
      <c r="G588" s="4" t="s">
        <v>4330</v>
      </c>
      <c r="H588" s="4" t="s">
        <v>4331</v>
      </c>
      <c r="I588" s="4" t="s">
        <v>49</v>
      </c>
      <c r="J588" s="4" t="s">
        <v>1746</v>
      </c>
      <c r="K588" s="4">
        <v>1</v>
      </c>
      <c r="L588" s="4">
        <v>13179</v>
      </c>
      <c r="M588" s="9"/>
      <c r="U588"/>
      <c r="Y588" s="260"/>
      <c r="AK588" s="9"/>
      <c r="AO588" s="267" t="s">
        <v>4329</v>
      </c>
      <c r="AP588" s="4">
        <v>1191</v>
      </c>
      <c r="AQ588" s="4" t="s">
        <v>1716</v>
      </c>
      <c r="AR588" s="4" t="s">
        <v>1717</v>
      </c>
      <c r="AS588" s="4" t="s">
        <v>1718</v>
      </c>
      <c r="AT588" s="4" t="s">
        <v>1835</v>
      </c>
      <c r="AU588" s="4" t="s">
        <v>1836</v>
      </c>
      <c r="AV588" s="4" t="s">
        <v>1720</v>
      </c>
      <c r="AW588" s="4" t="s">
        <v>2698</v>
      </c>
      <c r="AX588" s="4" t="s">
        <v>2768</v>
      </c>
      <c r="AY588" s="4">
        <v>50.233899999999998</v>
      </c>
      <c r="AZ588" s="4">
        <v>-115.4353</v>
      </c>
      <c r="BA588" s="4">
        <v>1596</v>
      </c>
    </row>
    <row r="589" spans="1:53" ht="14.25" customHeight="1" x14ac:dyDescent="0.2">
      <c r="A589" s="136" t="s">
        <v>422</v>
      </c>
      <c r="B589" s="193">
        <v>12</v>
      </c>
      <c r="C589" s="4" t="s">
        <v>1711</v>
      </c>
      <c r="D589" s="4">
        <v>1192</v>
      </c>
      <c r="E589" s="4">
        <v>11013</v>
      </c>
      <c r="F589" s="16" t="s">
        <v>4332</v>
      </c>
      <c r="G589" s="4" t="s">
        <v>4333</v>
      </c>
      <c r="H589" s="4" t="s">
        <v>4334</v>
      </c>
      <c r="I589" s="4" t="s">
        <v>49</v>
      </c>
      <c r="J589" s="4" t="s">
        <v>1746</v>
      </c>
      <c r="K589" s="4">
        <v>1</v>
      </c>
      <c r="L589" s="4">
        <v>13181</v>
      </c>
      <c r="M589" s="9"/>
      <c r="U589"/>
      <c r="Y589" s="260"/>
      <c r="AK589" s="9"/>
      <c r="AO589" s="267" t="s">
        <v>4332</v>
      </c>
      <c r="AP589" s="4">
        <v>1192</v>
      </c>
      <c r="AQ589" s="4" t="s">
        <v>1716</v>
      </c>
      <c r="AR589" s="4" t="s">
        <v>1717</v>
      </c>
      <c r="AS589" s="4" t="s">
        <v>1718</v>
      </c>
      <c r="AT589" s="4" t="s">
        <v>1835</v>
      </c>
      <c r="AU589" s="4" t="s">
        <v>1836</v>
      </c>
      <c r="AW589" s="4" t="s">
        <v>2698</v>
      </c>
      <c r="AX589" s="4" t="s">
        <v>2797</v>
      </c>
      <c r="AY589" s="4">
        <v>49.486699999999999</v>
      </c>
      <c r="AZ589" s="4">
        <v>-117.54649999999999</v>
      </c>
      <c r="BA589" s="4">
        <v>1550</v>
      </c>
    </row>
    <row r="590" spans="1:53" ht="14.25" customHeight="1" x14ac:dyDescent="0.2">
      <c r="A590" s="136" t="s">
        <v>422</v>
      </c>
      <c r="B590" s="193">
        <v>12</v>
      </c>
      <c r="C590" s="4" t="s">
        <v>1711</v>
      </c>
      <c r="D590" s="4">
        <v>1193</v>
      </c>
      <c r="E590" s="4">
        <v>11014</v>
      </c>
      <c r="F590" s="211" t="s">
        <v>4335</v>
      </c>
      <c r="G590" s="188" t="s">
        <v>4336</v>
      </c>
      <c r="H590" s="4" t="s">
        <v>4337</v>
      </c>
      <c r="I590" s="4" t="s">
        <v>49</v>
      </c>
      <c r="J590" s="4" t="s">
        <v>1746</v>
      </c>
      <c r="K590" s="4">
        <v>1</v>
      </c>
      <c r="L590" s="4">
        <v>13182</v>
      </c>
      <c r="M590" s="9"/>
      <c r="U590"/>
      <c r="Y590" s="260"/>
      <c r="AK590" s="9"/>
      <c r="AO590" s="267" t="s">
        <v>4335</v>
      </c>
      <c r="AP590" s="4">
        <v>1193</v>
      </c>
      <c r="AQ590" s="4" t="s">
        <v>1716</v>
      </c>
      <c r="AR590" s="4" t="s">
        <v>1717</v>
      </c>
      <c r="AS590" s="4" t="s">
        <v>1718</v>
      </c>
      <c r="AT590" s="4" t="s">
        <v>1835</v>
      </c>
      <c r="AU590" s="4" t="s">
        <v>1836</v>
      </c>
      <c r="AV590" s="4" t="s">
        <v>1720</v>
      </c>
      <c r="AW590" s="4" t="s">
        <v>2193</v>
      </c>
      <c r="AX590" s="4" t="s">
        <v>2194</v>
      </c>
      <c r="AY590" s="4">
        <v>52.905000000000001</v>
      </c>
      <c r="AZ590" s="4">
        <v>-124.18989999999999</v>
      </c>
      <c r="BA590" s="4">
        <v>1215</v>
      </c>
    </row>
    <row r="591" spans="1:53" ht="14.25" customHeight="1" x14ac:dyDescent="0.2">
      <c r="A591" s="136" t="s">
        <v>422</v>
      </c>
      <c r="B591" s="193">
        <v>12</v>
      </c>
      <c r="C591" s="4" t="s">
        <v>1711</v>
      </c>
      <c r="D591" s="4">
        <v>1201</v>
      </c>
      <c r="E591" s="4">
        <v>11018</v>
      </c>
      <c r="F591" s="211" t="s">
        <v>4348</v>
      </c>
      <c r="G591" s="4" t="s">
        <v>4349</v>
      </c>
      <c r="H591" s="4" t="s">
        <v>4350</v>
      </c>
      <c r="I591" s="4" t="s">
        <v>49</v>
      </c>
      <c r="J591" s="4" t="s">
        <v>1746</v>
      </c>
      <c r="K591" s="4">
        <v>1</v>
      </c>
      <c r="L591" s="4">
        <v>13186</v>
      </c>
      <c r="M591" s="9"/>
      <c r="U591"/>
      <c r="Y591" s="260"/>
      <c r="AK591" s="9"/>
      <c r="AO591" s="267" t="s">
        <v>4348</v>
      </c>
      <c r="AP591" s="4">
        <v>1201</v>
      </c>
      <c r="AQ591" s="4" t="s">
        <v>1716</v>
      </c>
      <c r="AR591" s="4" t="s">
        <v>1717</v>
      </c>
      <c r="AS591" s="4" t="s">
        <v>1718</v>
      </c>
      <c r="AT591" s="4" t="s">
        <v>1835</v>
      </c>
      <c r="AU591" s="4" t="s">
        <v>1836</v>
      </c>
      <c r="AV591" s="4" t="s">
        <v>1720</v>
      </c>
      <c r="AW591" s="4" t="s">
        <v>2698</v>
      </c>
      <c r="AX591" s="4" t="s">
        <v>2801</v>
      </c>
      <c r="AY591" s="4">
        <v>49.976100000000002</v>
      </c>
      <c r="AZ591" s="4">
        <v>-117.0108</v>
      </c>
      <c r="BA591" s="4">
        <v>877</v>
      </c>
    </row>
    <row r="592" spans="1:53" ht="14.25" customHeight="1" x14ac:dyDescent="0.2">
      <c r="A592" s="136" t="s">
        <v>422</v>
      </c>
      <c r="B592" s="193">
        <v>12</v>
      </c>
      <c r="C592" s="4" t="s">
        <v>1711</v>
      </c>
      <c r="D592" s="4">
        <v>1204</v>
      </c>
      <c r="E592" s="4">
        <v>11033</v>
      </c>
      <c r="F592" s="16" t="s">
        <v>4354</v>
      </c>
      <c r="G592" s="4" t="s">
        <v>4355</v>
      </c>
      <c r="H592" s="4" t="s">
        <v>4356</v>
      </c>
      <c r="I592" s="4" t="s">
        <v>49</v>
      </c>
      <c r="J592" s="4" t="s">
        <v>1746</v>
      </c>
      <c r="K592" s="4">
        <v>1</v>
      </c>
      <c r="L592" s="4">
        <v>13201</v>
      </c>
      <c r="M592" s="9"/>
      <c r="U592"/>
      <c r="Y592" s="260"/>
      <c r="AK592" s="9"/>
      <c r="AO592" s="4" t="s">
        <v>4354</v>
      </c>
      <c r="AP592" s="4">
        <v>1204</v>
      </c>
      <c r="AQ592" s="4" t="s">
        <v>1716</v>
      </c>
      <c r="AR592" s="4" t="s">
        <v>1717</v>
      </c>
      <c r="AS592" s="4" t="s">
        <v>1718</v>
      </c>
      <c r="AT592" s="4" t="s">
        <v>1835</v>
      </c>
      <c r="AU592" s="4" t="s">
        <v>1836</v>
      </c>
      <c r="AV592" s="4" t="s">
        <v>1720</v>
      </c>
      <c r="AW592" s="4" t="s">
        <v>1705</v>
      </c>
      <c r="AX592" s="4" t="s">
        <v>1883</v>
      </c>
      <c r="AY592" s="4">
        <v>49.115499999999997</v>
      </c>
      <c r="AZ592" s="4">
        <v>-122.7343</v>
      </c>
      <c r="BA592" s="4">
        <v>15</v>
      </c>
    </row>
    <row r="593" spans="1:53" ht="14.25" customHeight="1" x14ac:dyDescent="0.2">
      <c r="A593" s="136" t="s">
        <v>422</v>
      </c>
      <c r="B593" s="193">
        <v>12</v>
      </c>
      <c r="C593" s="4" t="s">
        <v>1711</v>
      </c>
      <c r="D593" s="4">
        <v>1206</v>
      </c>
      <c r="E593" s="4">
        <v>11409</v>
      </c>
      <c r="F593" s="211" t="s">
        <v>4357</v>
      </c>
      <c r="G593" s="188" t="s">
        <v>4358</v>
      </c>
      <c r="H593" s="4" t="s">
        <v>4359</v>
      </c>
      <c r="I593" s="4" t="s">
        <v>49</v>
      </c>
      <c r="J593" s="4" t="s">
        <v>1746</v>
      </c>
      <c r="K593" s="4">
        <v>1</v>
      </c>
      <c r="L593" s="4">
        <v>13470</v>
      </c>
      <c r="M593" s="9"/>
      <c r="U593"/>
      <c r="Y593" s="260"/>
      <c r="AK593" s="9"/>
      <c r="AO593" s="267" t="s">
        <v>4357</v>
      </c>
      <c r="AP593" s="4">
        <v>1206</v>
      </c>
      <c r="AQ593" s="4" t="s">
        <v>1716</v>
      </c>
      <c r="AR593" s="4" t="s">
        <v>1717</v>
      </c>
      <c r="AS593" s="4" t="s">
        <v>1718</v>
      </c>
      <c r="AT593" s="4" t="s">
        <v>1835</v>
      </c>
      <c r="AU593" s="4" t="s">
        <v>1836</v>
      </c>
      <c r="AV593" s="4" t="s">
        <v>1720</v>
      </c>
      <c r="AX593" s="4" t="s">
        <v>2801</v>
      </c>
      <c r="AY593" s="4">
        <v>49.9846</v>
      </c>
      <c r="AZ593" s="4">
        <v>-117.0256</v>
      </c>
      <c r="BA593" s="4">
        <v>911</v>
      </c>
    </row>
    <row r="594" spans="1:53" ht="14.25" customHeight="1" x14ac:dyDescent="0.2">
      <c r="A594" s="136" t="s">
        <v>422</v>
      </c>
      <c r="B594" s="193">
        <v>12</v>
      </c>
      <c r="C594" s="4" t="s">
        <v>1711</v>
      </c>
      <c r="D594" s="4">
        <v>1207</v>
      </c>
      <c r="E594" s="4">
        <v>11410</v>
      </c>
      <c r="F594" s="16" t="s">
        <v>4360</v>
      </c>
      <c r="G594" s="4" t="s">
        <v>4361</v>
      </c>
      <c r="H594" s="4" t="s">
        <v>4362</v>
      </c>
      <c r="I594" s="4" t="s">
        <v>49</v>
      </c>
      <c r="J594" s="4" t="s">
        <v>1746</v>
      </c>
      <c r="K594" s="4">
        <v>1</v>
      </c>
      <c r="L594" s="4">
        <v>13471</v>
      </c>
      <c r="M594" s="9"/>
      <c r="U594"/>
      <c r="Y594" s="260"/>
      <c r="AK594" s="9"/>
      <c r="AO594" s="267" t="s">
        <v>4360</v>
      </c>
      <c r="AP594" s="4">
        <v>1207</v>
      </c>
      <c r="AQ594" s="4" t="s">
        <v>1716</v>
      </c>
      <c r="AR594" s="4" t="s">
        <v>1717</v>
      </c>
      <c r="AS594" s="4" t="s">
        <v>1718</v>
      </c>
      <c r="AT594" s="4" t="s">
        <v>1835</v>
      </c>
      <c r="AU594" s="4" t="s">
        <v>1836</v>
      </c>
      <c r="AV594" s="4" t="s">
        <v>1720</v>
      </c>
      <c r="AW594" s="4" t="s">
        <v>1947</v>
      </c>
      <c r="AX594" s="4" t="s">
        <v>2148</v>
      </c>
      <c r="AY594" s="4">
        <v>53.775199999999998</v>
      </c>
      <c r="AZ594" s="4">
        <v>-125.4413</v>
      </c>
      <c r="BA594" s="4">
        <v>903</v>
      </c>
    </row>
    <row r="595" spans="1:53" ht="14.25" customHeight="1" x14ac:dyDescent="0.2">
      <c r="A595" s="136" t="s">
        <v>422</v>
      </c>
      <c r="B595" s="193">
        <v>12</v>
      </c>
      <c r="C595" s="4" t="s">
        <v>1711</v>
      </c>
      <c r="D595" s="4">
        <v>1208</v>
      </c>
      <c r="E595" s="4">
        <v>11411</v>
      </c>
      <c r="F595" s="16" t="s">
        <v>4363</v>
      </c>
      <c r="G595" s="4" t="s">
        <v>4364</v>
      </c>
      <c r="H595" s="4" t="s">
        <v>4365</v>
      </c>
      <c r="I595" s="4" t="s">
        <v>49</v>
      </c>
      <c r="J595" s="4" t="s">
        <v>1746</v>
      </c>
      <c r="K595" s="4">
        <v>1</v>
      </c>
      <c r="L595" s="4">
        <v>13472</v>
      </c>
      <c r="M595" s="9"/>
      <c r="U595"/>
      <c r="Y595" s="260"/>
      <c r="AK595" s="9"/>
      <c r="AO595" s="267" t="s">
        <v>4363</v>
      </c>
      <c r="AP595" s="4">
        <v>1208</v>
      </c>
      <c r="AQ595" s="4" t="s">
        <v>1716</v>
      </c>
      <c r="AR595" s="4" t="s">
        <v>1717</v>
      </c>
      <c r="AS595" s="4" t="s">
        <v>1718</v>
      </c>
      <c r="AT595" s="4" t="s">
        <v>1835</v>
      </c>
      <c r="AU595" s="4" t="s">
        <v>1836</v>
      </c>
      <c r="AV595" s="4" t="s">
        <v>1720</v>
      </c>
      <c r="AW595" s="4" t="s">
        <v>2003</v>
      </c>
      <c r="AX595" s="4" t="s">
        <v>2004</v>
      </c>
      <c r="AY595" s="4">
        <v>58.0443</v>
      </c>
      <c r="AZ595" s="4">
        <v>-121.65430000000001</v>
      </c>
      <c r="BA595" s="4">
        <v>853</v>
      </c>
    </row>
    <row r="596" spans="1:53" ht="14.25" customHeight="1" x14ac:dyDescent="0.2">
      <c r="A596" s="136" t="s">
        <v>422</v>
      </c>
      <c r="B596" s="193">
        <v>12</v>
      </c>
      <c r="C596" s="4" t="s">
        <v>1711</v>
      </c>
      <c r="D596" s="4">
        <v>1212</v>
      </c>
      <c r="E596" s="4">
        <v>11412</v>
      </c>
      <c r="F596" s="16" t="s">
        <v>4366</v>
      </c>
      <c r="G596" s="4" t="s">
        <v>4367</v>
      </c>
      <c r="H596" s="4" t="s">
        <v>4368</v>
      </c>
      <c r="I596" s="4" t="s">
        <v>49</v>
      </c>
      <c r="J596" s="4" t="s">
        <v>1746</v>
      </c>
      <c r="K596" s="4">
        <v>1</v>
      </c>
      <c r="L596" s="4">
        <v>13473</v>
      </c>
      <c r="M596" s="9"/>
      <c r="U596"/>
      <c r="Y596" s="260"/>
      <c r="AK596" s="9"/>
      <c r="AO596" s="4" t="s">
        <v>4366</v>
      </c>
      <c r="AP596" s="4">
        <v>1212</v>
      </c>
      <c r="AQ596" s="4" t="s">
        <v>1716</v>
      </c>
      <c r="AR596" s="4" t="s">
        <v>1717</v>
      </c>
      <c r="AS596" s="4" t="s">
        <v>1718</v>
      </c>
      <c r="AT596" s="4" t="s">
        <v>1841</v>
      </c>
      <c r="AU596" s="4" t="s">
        <v>1959</v>
      </c>
      <c r="AV596" s="4" t="s">
        <v>1720</v>
      </c>
      <c r="AW596" s="4" t="s">
        <v>2368</v>
      </c>
      <c r="AX596" s="4" t="s">
        <v>2516</v>
      </c>
      <c r="AY596" s="4">
        <v>49.637799999999999</v>
      </c>
      <c r="AZ596" s="4">
        <v>-120.02330000000001</v>
      </c>
      <c r="BA596" s="4">
        <v>1491</v>
      </c>
    </row>
    <row r="597" spans="1:53" ht="14.25" customHeight="1" x14ac:dyDescent="0.2">
      <c r="A597" s="136" t="s">
        <v>422</v>
      </c>
      <c r="B597" s="193">
        <v>12</v>
      </c>
      <c r="C597" s="4" t="s">
        <v>1711</v>
      </c>
      <c r="D597" s="4">
        <v>1213</v>
      </c>
      <c r="E597" s="4">
        <v>11414</v>
      </c>
      <c r="F597" s="16" t="s">
        <v>4369</v>
      </c>
      <c r="G597" s="4" t="s">
        <v>4370</v>
      </c>
      <c r="H597" s="4" t="s">
        <v>4371</v>
      </c>
      <c r="I597" s="4" t="s">
        <v>49</v>
      </c>
      <c r="J597" s="4" t="s">
        <v>1746</v>
      </c>
      <c r="K597" s="4">
        <v>1</v>
      </c>
      <c r="L597" s="4">
        <v>13475</v>
      </c>
      <c r="M597" s="9"/>
      <c r="U597"/>
      <c r="Y597" s="260"/>
      <c r="AK597" s="9"/>
      <c r="AO597" s="4" t="s">
        <v>4369</v>
      </c>
      <c r="AP597" s="4">
        <v>1213</v>
      </c>
      <c r="AQ597" s="4" t="s">
        <v>1716</v>
      </c>
      <c r="AR597" s="4" t="s">
        <v>1717</v>
      </c>
      <c r="AS597" s="4" t="s">
        <v>1718</v>
      </c>
      <c r="AT597" s="4" t="s">
        <v>1841</v>
      </c>
      <c r="AU597" s="4" t="s">
        <v>1959</v>
      </c>
      <c r="AW597" s="4" t="s">
        <v>2368</v>
      </c>
      <c r="AX597" s="4" t="s">
        <v>2707</v>
      </c>
      <c r="AY597" s="4">
        <v>50.634399999999999</v>
      </c>
      <c r="AZ597" s="4">
        <v>-118.7794</v>
      </c>
      <c r="BA597" s="4">
        <v>912</v>
      </c>
    </row>
    <row r="598" spans="1:53" ht="14.25" customHeight="1" x14ac:dyDescent="0.2">
      <c r="A598" s="136" t="s">
        <v>422</v>
      </c>
      <c r="B598" s="193">
        <v>12</v>
      </c>
      <c r="C598" s="4" t="s">
        <v>1711</v>
      </c>
      <c r="D598" s="4">
        <v>1214</v>
      </c>
      <c r="E598" s="4">
        <v>11413</v>
      </c>
      <c r="F598" s="211" t="s">
        <v>4372</v>
      </c>
      <c r="G598" s="4" t="s">
        <v>4373</v>
      </c>
      <c r="H598" s="4" t="s">
        <v>4374</v>
      </c>
      <c r="I598" s="4" t="s">
        <v>49</v>
      </c>
      <c r="J598" s="4" t="s">
        <v>1746</v>
      </c>
      <c r="K598" s="4">
        <v>1</v>
      </c>
      <c r="L598" s="4">
        <v>13474</v>
      </c>
      <c r="M598" s="9"/>
      <c r="U598"/>
      <c r="Y598" s="260"/>
      <c r="AK598" s="9"/>
      <c r="AO598" s="4" t="s">
        <v>4372</v>
      </c>
      <c r="AP598" s="4">
        <v>1214</v>
      </c>
      <c r="AQ598" s="4" t="s">
        <v>1716</v>
      </c>
      <c r="AR598" s="4" t="s">
        <v>1717</v>
      </c>
      <c r="AS598" s="4" t="s">
        <v>1718</v>
      </c>
      <c r="AT598" s="4" t="s">
        <v>1841</v>
      </c>
      <c r="AU598" s="4" t="s">
        <v>1959</v>
      </c>
      <c r="AW598" s="4" t="s">
        <v>2368</v>
      </c>
      <c r="AX598" s="4" t="s">
        <v>2522</v>
      </c>
      <c r="AY598" s="4">
        <v>50.408799999999999</v>
      </c>
      <c r="AZ598" s="4">
        <v>-118.4453</v>
      </c>
      <c r="BA598" s="4">
        <v>1223</v>
      </c>
    </row>
    <row r="599" spans="1:53" ht="14.25" customHeight="1" x14ac:dyDescent="0.2">
      <c r="A599" s="136" t="s">
        <v>422</v>
      </c>
      <c r="B599" s="193">
        <v>12</v>
      </c>
      <c r="C599" s="4" t="s">
        <v>1711</v>
      </c>
      <c r="D599" s="4">
        <v>1216</v>
      </c>
      <c r="E599" s="4">
        <v>11415</v>
      </c>
      <c r="F599" s="211" t="s">
        <v>4378</v>
      </c>
      <c r="G599" s="4" t="s">
        <v>4379</v>
      </c>
      <c r="H599" s="4" t="s">
        <v>4380</v>
      </c>
      <c r="I599" s="4" t="s">
        <v>49</v>
      </c>
      <c r="J599" s="4" t="s">
        <v>1746</v>
      </c>
      <c r="K599" s="4">
        <v>1</v>
      </c>
      <c r="L599" s="4">
        <v>13476</v>
      </c>
      <c r="M599" s="9"/>
      <c r="U599"/>
      <c r="Y599" s="260"/>
      <c r="AK599" s="9"/>
      <c r="AO599" s="4" t="s">
        <v>4378</v>
      </c>
      <c r="AP599" s="4">
        <v>1216</v>
      </c>
      <c r="AQ599" s="4" t="s">
        <v>1716</v>
      </c>
      <c r="AR599" s="4" t="s">
        <v>1717</v>
      </c>
      <c r="AS599" s="4" t="s">
        <v>1718</v>
      </c>
      <c r="AT599" s="4" t="s">
        <v>1841</v>
      </c>
      <c r="AU599" s="4" t="s">
        <v>1959</v>
      </c>
      <c r="AW599" s="4" t="s">
        <v>2368</v>
      </c>
      <c r="AX599" s="4" t="s">
        <v>2516</v>
      </c>
      <c r="AY599" s="4">
        <v>50.070599999999999</v>
      </c>
      <c r="AZ599" s="4">
        <v>-119.69110000000001</v>
      </c>
      <c r="BA599" s="4">
        <v>1429</v>
      </c>
    </row>
    <row r="600" spans="1:53" ht="14.25" customHeight="1" x14ac:dyDescent="0.2">
      <c r="A600" s="136" t="s">
        <v>422</v>
      </c>
      <c r="B600" s="193">
        <v>12</v>
      </c>
      <c r="C600" s="4" t="s">
        <v>1711</v>
      </c>
      <c r="D600" s="4">
        <v>1217</v>
      </c>
      <c r="E600" s="4">
        <v>11417</v>
      </c>
      <c r="F600" s="211" t="s">
        <v>4381</v>
      </c>
      <c r="G600" s="4" t="s">
        <v>4382</v>
      </c>
      <c r="H600" s="4" t="s">
        <v>4383</v>
      </c>
      <c r="I600" s="4" t="s">
        <v>49</v>
      </c>
      <c r="J600" s="4" t="s">
        <v>1746</v>
      </c>
      <c r="K600" s="4">
        <v>1</v>
      </c>
      <c r="L600" s="4">
        <v>13478</v>
      </c>
      <c r="M600" s="9"/>
      <c r="U600"/>
      <c r="Y600" s="260"/>
      <c r="AK600" s="9"/>
      <c r="AO600" s="267" t="s">
        <v>4381</v>
      </c>
      <c r="AP600" s="4">
        <v>1217</v>
      </c>
      <c r="AQ600" s="4" t="s">
        <v>1716</v>
      </c>
      <c r="AR600" s="4" t="s">
        <v>1717</v>
      </c>
      <c r="AS600" s="4" t="s">
        <v>1718</v>
      </c>
      <c r="AT600" s="4" t="s">
        <v>1835</v>
      </c>
      <c r="AU600" s="4" t="s">
        <v>1836</v>
      </c>
      <c r="AV600" s="4" t="s">
        <v>1720</v>
      </c>
      <c r="AW600" s="4" t="s">
        <v>1705</v>
      </c>
      <c r="AX600" s="4" t="s">
        <v>1879</v>
      </c>
      <c r="AY600" s="4">
        <v>50.118400000000001</v>
      </c>
      <c r="AZ600" s="4">
        <v>-123.44289999999999</v>
      </c>
      <c r="BA600" s="4">
        <v>317</v>
      </c>
    </row>
    <row r="601" spans="1:53" ht="14.25" customHeight="1" x14ac:dyDescent="0.2">
      <c r="A601" s="136" t="s">
        <v>422</v>
      </c>
      <c r="B601" s="198">
        <v>12</v>
      </c>
      <c r="C601" s="202" t="s">
        <v>1711</v>
      </c>
      <c r="D601" s="202">
        <v>1219</v>
      </c>
      <c r="E601" s="202">
        <v>11418</v>
      </c>
      <c r="F601" s="61" t="s">
        <v>4387</v>
      </c>
      <c r="G601" s="202" t="s">
        <v>4388</v>
      </c>
      <c r="H601" s="202" t="s">
        <v>4389</v>
      </c>
      <c r="I601" s="202" t="s">
        <v>49</v>
      </c>
      <c r="J601" s="202" t="s">
        <v>1746</v>
      </c>
      <c r="K601" s="202">
        <v>1</v>
      </c>
      <c r="L601" s="4">
        <v>13479</v>
      </c>
      <c r="M601" s="9"/>
      <c r="N601" s="272"/>
      <c r="O601" s="272"/>
      <c r="P601" s="272"/>
      <c r="Q601" s="272"/>
      <c r="R601" s="272"/>
      <c r="S601" s="272"/>
      <c r="T601" s="272"/>
      <c r="U601" s="272"/>
      <c r="V601" s="272"/>
      <c r="W601" s="272"/>
      <c r="X601" s="272"/>
      <c r="Y601" s="260"/>
      <c r="AK601" s="9"/>
      <c r="AO601" s="267" t="s">
        <v>4387</v>
      </c>
      <c r="AP601" s="4">
        <v>1219</v>
      </c>
      <c r="AQ601" s="4" t="s">
        <v>1716</v>
      </c>
      <c r="AR601" s="4" t="s">
        <v>1717</v>
      </c>
      <c r="AS601" s="4" t="s">
        <v>1718</v>
      </c>
      <c r="AT601" s="4" t="s">
        <v>1835</v>
      </c>
      <c r="AU601" s="4" t="s">
        <v>1836</v>
      </c>
      <c r="AV601" s="4" t="s">
        <v>1720</v>
      </c>
      <c r="AW601" s="4" t="s">
        <v>1947</v>
      </c>
      <c r="AX601" s="4" t="s">
        <v>1986</v>
      </c>
      <c r="AY601" s="4">
        <v>58.709499999999998</v>
      </c>
      <c r="AZ601" s="4">
        <v>-132.96350000000001</v>
      </c>
      <c r="BA601" s="4">
        <v>627</v>
      </c>
    </row>
    <row r="602" spans="1:53" ht="14.25" customHeight="1" x14ac:dyDescent="0.2">
      <c r="A602" s="136" t="s">
        <v>422</v>
      </c>
      <c r="B602" s="4">
        <v>12</v>
      </c>
      <c r="C602" s="4" t="s">
        <v>1711</v>
      </c>
      <c r="D602" s="4">
        <v>1220</v>
      </c>
      <c r="E602" s="4">
        <v>11420</v>
      </c>
      <c r="F602" s="211" t="s">
        <v>4390</v>
      </c>
      <c r="G602" s="188" t="s">
        <v>4391</v>
      </c>
      <c r="H602" s="4" t="s">
        <v>4392</v>
      </c>
      <c r="I602" s="4" t="s">
        <v>49</v>
      </c>
      <c r="J602" s="4" t="s">
        <v>1746</v>
      </c>
      <c r="K602" s="4">
        <v>1</v>
      </c>
      <c r="L602" s="4">
        <v>13481</v>
      </c>
      <c r="M602" s="9"/>
      <c r="U602"/>
      <c r="AK602" s="9"/>
      <c r="AO602" s="267" t="s">
        <v>4390</v>
      </c>
      <c r="AP602" s="4">
        <v>1220</v>
      </c>
      <c r="AQ602" s="4" t="s">
        <v>1716</v>
      </c>
      <c r="AR602" s="4" t="s">
        <v>1717</v>
      </c>
      <c r="AS602" s="4" t="s">
        <v>1718</v>
      </c>
      <c r="AT602" s="4" t="s">
        <v>1835</v>
      </c>
      <c r="AU602" s="4" t="s">
        <v>1836</v>
      </c>
      <c r="AV602" s="4" t="s">
        <v>1720</v>
      </c>
      <c r="AW602" s="4" t="s">
        <v>2698</v>
      </c>
      <c r="AX602" s="4" t="s">
        <v>2801</v>
      </c>
      <c r="AY602" s="4">
        <v>49.582500000000003</v>
      </c>
      <c r="AZ602" s="4">
        <v>-117.2529</v>
      </c>
      <c r="BA602" s="4">
        <v>1204</v>
      </c>
    </row>
    <row r="603" spans="1:53" ht="14.25" customHeight="1" x14ac:dyDescent="0.2">
      <c r="A603" s="136" t="s">
        <v>422</v>
      </c>
      <c r="B603" s="4">
        <v>12</v>
      </c>
      <c r="C603" s="4" t="s">
        <v>1711</v>
      </c>
      <c r="D603" s="4">
        <v>1224</v>
      </c>
      <c r="E603" s="4">
        <v>11422</v>
      </c>
      <c r="F603" s="211" t="s">
        <v>4396</v>
      </c>
      <c r="G603" s="188" t="s">
        <v>4397</v>
      </c>
      <c r="H603" s="4" t="s">
        <v>4398</v>
      </c>
      <c r="I603" s="4" t="s">
        <v>49</v>
      </c>
      <c r="J603" s="4" t="s">
        <v>1746</v>
      </c>
      <c r="K603" s="4">
        <v>1</v>
      </c>
      <c r="L603" s="4">
        <v>13483</v>
      </c>
      <c r="M603" s="9"/>
      <c r="U603"/>
      <c r="AK603" s="9"/>
      <c r="AO603" s="267" t="s">
        <v>4396</v>
      </c>
      <c r="AP603" s="4">
        <v>1224</v>
      </c>
      <c r="AQ603" s="4" t="s">
        <v>1716</v>
      </c>
      <c r="AR603" s="4" t="s">
        <v>1717</v>
      </c>
      <c r="AS603" s="4" t="s">
        <v>1740</v>
      </c>
      <c r="AT603" s="4" t="s">
        <v>1835</v>
      </c>
      <c r="AU603" s="4" t="s">
        <v>1742</v>
      </c>
      <c r="AV603" s="4" t="s">
        <v>1720</v>
      </c>
      <c r="AW603" s="4" t="s">
        <v>1705</v>
      </c>
      <c r="AX603" s="4" t="s">
        <v>1879</v>
      </c>
      <c r="AY603" s="4">
        <v>50.619900000000001</v>
      </c>
      <c r="AZ603" s="4">
        <v>-123.3967</v>
      </c>
      <c r="BA603" s="4">
        <v>413</v>
      </c>
    </row>
    <row r="604" spans="1:53" ht="14.25" customHeight="1" x14ac:dyDescent="0.2">
      <c r="A604" s="136" t="s">
        <v>422</v>
      </c>
      <c r="B604" s="4">
        <v>12</v>
      </c>
      <c r="C604" s="4" t="s">
        <v>1711</v>
      </c>
      <c r="D604" s="4">
        <v>1230</v>
      </c>
      <c r="E604" s="4">
        <v>11424</v>
      </c>
      <c r="F604" s="16" t="s">
        <v>4399</v>
      </c>
      <c r="G604" s="4" t="s">
        <v>4400</v>
      </c>
      <c r="H604" s="4" t="s">
        <v>4401</v>
      </c>
      <c r="I604" s="4" t="s">
        <v>49</v>
      </c>
      <c r="J604" s="4" t="s">
        <v>1746</v>
      </c>
      <c r="K604" s="4">
        <v>1</v>
      </c>
      <c r="L604" s="4">
        <v>13486</v>
      </c>
      <c r="M604" s="9"/>
      <c r="U604"/>
      <c r="AK604" s="9"/>
      <c r="AO604" s="4" t="s">
        <v>4399</v>
      </c>
      <c r="AP604" s="4">
        <v>1230</v>
      </c>
      <c r="AQ604" s="4" t="s">
        <v>1716</v>
      </c>
      <c r="AR604" s="4" t="s">
        <v>1717</v>
      </c>
      <c r="AS604" s="4" t="s">
        <v>1718</v>
      </c>
      <c r="AT604" s="4" t="s">
        <v>1835</v>
      </c>
      <c r="AU604" s="4" t="s">
        <v>1959</v>
      </c>
      <c r="AV604" s="4" t="s">
        <v>1720</v>
      </c>
      <c r="AW604" s="4" t="s">
        <v>2003</v>
      </c>
      <c r="AX604" s="4" t="s">
        <v>2087</v>
      </c>
      <c r="AY604" s="4">
        <v>55.2393</v>
      </c>
      <c r="AZ604" s="4">
        <v>-123.63030000000001</v>
      </c>
      <c r="BA604" s="4">
        <v>1000</v>
      </c>
    </row>
    <row r="605" spans="1:53" ht="14.25" customHeight="1" x14ac:dyDescent="0.2">
      <c r="A605" s="136" t="s">
        <v>422</v>
      </c>
      <c r="B605" s="4">
        <v>12</v>
      </c>
      <c r="C605" s="4" t="s">
        <v>1711</v>
      </c>
      <c r="D605" s="4">
        <v>1234</v>
      </c>
      <c r="E605" s="4">
        <v>11423</v>
      </c>
      <c r="F605" s="16" t="s">
        <v>4402</v>
      </c>
      <c r="G605" s="4" t="s">
        <v>4403</v>
      </c>
      <c r="H605" s="4" t="s">
        <v>4404</v>
      </c>
      <c r="I605" s="4" t="s">
        <v>49</v>
      </c>
      <c r="J605" s="4" t="s">
        <v>1746</v>
      </c>
      <c r="K605" s="4">
        <v>1</v>
      </c>
      <c r="L605" s="4">
        <v>13485</v>
      </c>
      <c r="M605" s="9"/>
      <c r="U605"/>
      <c r="AK605" s="9"/>
      <c r="AO605" s="267" t="s">
        <v>4402</v>
      </c>
      <c r="AP605" s="4">
        <v>1234</v>
      </c>
      <c r="AQ605" s="4" t="s">
        <v>1716</v>
      </c>
      <c r="AR605" s="4" t="s">
        <v>1717</v>
      </c>
      <c r="AS605" s="4" t="s">
        <v>1718</v>
      </c>
      <c r="AT605" s="4" t="s">
        <v>1835</v>
      </c>
      <c r="AU605" s="4" t="s">
        <v>1836</v>
      </c>
      <c r="AV605" s="4" t="s">
        <v>1720</v>
      </c>
      <c r="AW605" s="4" t="s">
        <v>2698</v>
      </c>
      <c r="AX605" s="4" t="s">
        <v>2827</v>
      </c>
      <c r="AY605" s="4">
        <v>49.154699999999998</v>
      </c>
      <c r="AZ605" s="4">
        <v>-119.0446</v>
      </c>
      <c r="BA605" s="4">
        <v>1126</v>
      </c>
    </row>
    <row r="606" spans="1:53" ht="14.25" customHeight="1" x14ac:dyDescent="0.2">
      <c r="A606" s="136" t="s">
        <v>422</v>
      </c>
      <c r="B606" s="4">
        <v>12</v>
      </c>
      <c r="C606" s="4" t="s">
        <v>1711</v>
      </c>
      <c r="D606" s="4">
        <v>1235</v>
      </c>
      <c r="E606" s="4">
        <v>11425</v>
      </c>
      <c r="F606" s="211" t="s">
        <v>4405</v>
      </c>
      <c r="G606" s="188" t="s">
        <v>4406</v>
      </c>
      <c r="H606" s="4" t="s">
        <v>4407</v>
      </c>
      <c r="I606" s="4" t="s">
        <v>49</v>
      </c>
      <c r="J606" s="4" t="s">
        <v>1746</v>
      </c>
      <c r="K606" s="4">
        <v>1</v>
      </c>
      <c r="L606" s="4">
        <v>13487</v>
      </c>
      <c r="M606" s="9"/>
      <c r="U606"/>
      <c r="AK606" s="9"/>
      <c r="AO606" s="267" t="s">
        <v>4405</v>
      </c>
      <c r="AP606" s="4">
        <v>1235</v>
      </c>
      <c r="AQ606" s="4" t="s">
        <v>1716</v>
      </c>
      <c r="AR606" s="4" t="s">
        <v>1717</v>
      </c>
      <c r="AS606" s="4" t="s">
        <v>1718</v>
      </c>
      <c r="AT606" s="4" t="s">
        <v>1835</v>
      </c>
      <c r="AU606" s="4" t="s">
        <v>1836</v>
      </c>
      <c r="AV606" s="4" t="s">
        <v>1720</v>
      </c>
      <c r="AW606" s="4" t="s">
        <v>1705</v>
      </c>
      <c r="AX606" s="4" t="s">
        <v>1879</v>
      </c>
      <c r="AY606" s="4">
        <v>50.0839</v>
      </c>
      <c r="AZ606" s="4">
        <v>-123.0475</v>
      </c>
      <c r="BA606" s="4">
        <v>593</v>
      </c>
    </row>
    <row r="607" spans="1:53" ht="14.25" customHeight="1" x14ac:dyDescent="0.2">
      <c r="A607" s="136" t="s">
        <v>422</v>
      </c>
      <c r="B607" s="4">
        <v>12</v>
      </c>
      <c r="C607" s="4" t="s">
        <v>1711</v>
      </c>
      <c r="D607" s="4">
        <v>1236</v>
      </c>
      <c r="E607" s="4">
        <v>11426</v>
      </c>
      <c r="F607" s="211" t="s">
        <v>4408</v>
      </c>
      <c r="G607" s="4" t="s">
        <v>4409</v>
      </c>
      <c r="H607" s="4" t="s">
        <v>4410</v>
      </c>
      <c r="I607" s="4" t="s">
        <v>49</v>
      </c>
      <c r="J607" s="4" t="s">
        <v>1746</v>
      </c>
      <c r="K607" s="4">
        <v>1</v>
      </c>
      <c r="L607" s="4">
        <v>13488</v>
      </c>
      <c r="M607" s="9"/>
      <c r="U607"/>
      <c r="AK607" s="9"/>
      <c r="AO607" s="267" t="s">
        <v>4408</v>
      </c>
      <c r="AP607" s="4">
        <v>1236</v>
      </c>
      <c r="AQ607" s="4" t="s">
        <v>1716</v>
      </c>
      <c r="AR607" s="4" t="s">
        <v>1717</v>
      </c>
      <c r="AS607" s="4" t="s">
        <v>1740</v>
      </c>
      <c r="AT607" s="4" t="s">
        <v>1835</v>
      </c>
      <c r="AU607" s="4" t="s">
        <v>1742</v>
      </c>
      <c r="AV607" s="4" t="s">
        <v>1720</v>
      </c>
      <c r="AW607" s="4" t="s">
        <v>2368</v>
      </c>
      <c r="AX607" s="4" t="s">
        <v>2516</v>
      </c>
      <c r="AY607" s="4">
        <v>49.161900000000003</v>
      </c>
      <c r="AZ607" s="4">
        <v>-119.6536</v>
      </c>
      <c r="BA607" s="4">
        <v>1717</v>
      </c>
    </row>
    <row r="608" spans="1:53" ht="14.25" customHeight="1" x14ac:dyDescent="0.2">
      <c r="A608" s="136" t="s">
        <v>422</v>
      </c>
      <c r="B608" s="4">
        <v>12</v>
      </c>
      <c r="C608" s="4" t="s">
        <v>4426</v>
      </c>
      <c r="D608" s="4">
        <v>1243</v>
      </c>
      <c r="E608" s="4">
        <v>11427</v>
      </c>
      <c r="F608" s="188" t="s">
        <v>4427</v>
      </c>
      <c r="G608" s="4" t="s">
        <v>4428</v>
      </c>
      <c r="H608" s="4" t="s">
        <v>4429</v>
      </c>
      <c r="I608" s="4" t="s">
        <v>49</v>
      </c>
      <c r="J608" s="4" t="s">
        <v>1746</v>
      </c>
      <c r="K608" s="4">
        <v>1</v>
      </c>
      <c r="L608" s="4">
        <v>13489</v>
      </c>
      <c r="M608" s="6"/>
      <c r="U608"/>
      <c r="AK608" s="7"/>
      <c r="AO608" s="4" t="s">
        <v>4427</v>
      </c>
      <c r="AP608" s="4">
        <v>1243</v>
      </c>
      <c r="AQ608" s="4" t="s">
        <v>1716</v>
      </c>
      <c r="AR608" s="4" t="s">
        <v>2441</v>
      </c>
      <c r="AS608" s="4" t="s">
        <v>2257</v>
      </c>
      <c r="AT608" s="4" t="s">
        <v>1703</v>
      </c>
      <c r="AU608" s="4" t="s">
        <v>1704</v>
      </c>
      <c r="AW608" s="4" t="s">
        <v>2003</v>
      </c>
      <c r="AX608" s="4" t="s">
        <v>2004</v>
      </c>
      <c r="AY608" s="4">
        <v>56.232700000000001</v>
      </c>
      <c r="AZ608" s="4">
        <v>-121.46639999999999</v>
      </c>
      <c r="BA608" s="4">
        <v>646</v>
      </c>
    </row>
    <row r="609" spans="1:53" ht="14.25" customHeight="1" x14ac:dyDescent="0.2">
      <c r="A609" s="136" t="s">
        <v>422</v>
      </c>
      <c r="B609" s="4">
        <v>12</v>
      </c>
      <c r="C609" s="4" t="s">
        <v>1711</v>
      </c>
      <c r="D609" s="4">
        <v>1244</v>
      </c>
      <c r="E609" s="4">
        <v>11429</v>
      </c>
      <c r="F609" s="188" t="s">
        <v>4430</v>
      </c>
      <c r="G609" s="4" t="s">
        <v>4431</v>
      </c>
      <c r="H609" s="4" t="s">
        <v>4432</v>
      </c>
      <c r="I609" s="4" t="s">
        <v>49</v>
      </c>
      <c r="J609" s="4" t="s">
        <v>1746</v>
      </c>
      <c r="K609" s="4">
        <v>1</v>
      </c>
      <c r="L609" s="4">
        <v>13490</v>
      </c>
      <c r="M609" s="6"/>
      <c r="U609"/>
      <c r="AK609" s="7"/>
      <c r="AO609" s="4" t="s">
        <v>4430</v>
      </c>
      <c r="AP609" s="4">
        <v>1244</v>
      </c>
      <c r="AQ609" s="4" t="s">
        <v>1716</v>
      </c>
      <c r="AR609" s="4" t="s">
        <v>2441</v>
      </c>
      <c r="AS609" s="4" t="s">
        <v>2257</v>
      </c>
      <c r="AT609" s="4" t="s">
        <v>1703</v>
      </c>
      <c r="AU609" s="4" t="s">
        <v>1704</v>
      </c>
      <c r="AW609" s="4" t="s">
        <v>2003</v>
      </c>
      <c r="AX609" s="4" t="s">
        <v>2004</v>
      </c>
      <c r="AY609" s="4">
        <v>56.275100000000002</v>
      </c>
      <c r="AZ609" s="4">
        <v>-121.2127</v>
      </c>
      <c r="BA609" s="4">
        <v>474</v>
      </c>
    </row>
    <row r="610" spans="1:53" ht="14.25" customHeight="1" x14ac:dyDescent="0.2">
      <c r="A610" s="136" t="s">
        <v>422</v>
      </c>
      <c r="B610" s="4">
        <v>12</v>
      </c>
      <c r="C610" s="4" t="s">
        <v>4426</v>
      </c>
      <c r="D610" s="4">
        <v>1245</v>
      </c>
      <c r="E610" s="4">
        <v>11428</v>
      </c>
      <c r="F610" s="16" t="s">
        <v>4433</v>
      </c>
      <c r="G610" s="4" t="s">
        <v>4434</v>
      </c>
      <c r="H610" s="4" t="s">
        <v>4429</v>
      </c>
      <c r="I610" s="4" t="s">
        <v>49</v>
      </c>
      <c r="J610" s="4" t="s">
        <v>1746</v>
      </c>
      <c r="K610" s="4">
        <v>1</v>
      </c>
      <c r="L610" s="4">
        <v>13491</v>
      </c>
      <c r="M610" s="6"/>
      <c r="U610"/>
      <c r="AK610" s="7"/>
      <c r="AO610" s="4" t="s">
        <v>4433</v>
      </c>
      <c r="AP610" s="4">
        <v>1245</v>
      </c>
      <c r="AQ610" s="4" t="s">
        <v>1716</v>
      </c>
      <c r="AR610" s="4" t="s">
        <v>1717</v>
      </c>
      <c r="AS610" s="4" t="s">
        <v>2257</v>
      </c>
      <c r="AT610" s="4" t="s">
        <v>1703</v>
      </c>
      <c r="AU610" s="4" t="s">
        <v>1704</v>
      </c>
      <c r="AW610" s="4" t="s">
        <v>2003</v>
      </c>
      <c r="AX610" s="4" t="s">
        <v>2004</v>
      </c>
      <c r="AY610" s="4">
        <v>56.205199999999998</v>
      </c>
      <c r="AZ610" s="4">
        <v>-120.9121</v>
      </c>
      <c r="BA610" s="4">
        <v>606</v>
      </c>
    </row>
    <row r="611" spans="1:53" ht="14.25" customHeight="1" x14ac:dyDescent="0.2">
      <c r="A611" s="136" t="s">
        <v>422</v>
      </c>
      <c r="B611" s="4">
        <v>12</v>
      </c>
      <c r="C611" s="4" t="s">
        <v>1711</v>
      </c>
      <c r="D611" s="4">
        <v>1246</v>
      </c>
      <c r="E611" s="4">
        <v>12010</v>
      </c>
      <c r="F611" s="16" t="s">
        <v>4435</v>
      </c>
      <c r="G611" s="4" t="s">
        <v>4436</v>
      </c>
      <c r="H611" s="4" t="s">
        <v>4437</v>
      </c>
      <c r="I611" s="4" t="s">
        <v>49</v>
      </c>
      <c r="J611" s="4" t="s">
        <v>1746</v>
      </c>
      <c r="K611" s="4">
        <v>1</v>
      </c>
      <c r="L611" s="4">
        <v>14065</v>
      </c>
      <c r="M611" s="6"/>
      <c r="U611"/>
      <c r="AK611" s="7"/>
      <c r="AO611" s="267" t="s">
        <v>4435</v>
      </c>
      <c r="AP611" s="4">
        <v>1246</v>
      </c>
      <c r="AQ611" s="4" t="s">
        <v>1716</v>
      </c>
      <c r="AR611" s="4" t="s">
        <v>1717</v>
      </c>
      <c r="AS611" s="4" t="s">
        <v>1718</v>
      </c>
      <c r="AT611" s="4" t="s">
        <v>1835</v>
      </c>
      <c r="AU611" s="4" t="s">
        <v>1836</v>
      </c>
      <c r="AV611" s="4" t="s">
        <v>1720</v>
      </c>
      <c r="AW611" s="4" t="s">
        <v>2698</v>
      </c>
      <c r="AX611" s="4" t="s">
        <v>2801</v>
      </c>
      <c r="AY611" s="4">
        <v>49.917299999999997</v>
      </c>
      <c r="AZ611" s="4">
        <v>-116.9999</v>
      </c>
      <c r="BA611" s="4">
        <v>1020</v>
      </c>
    </row>
    <row r="612" spans="1:53" ht="14.25" customHeight="1" x14ac:dyDescent="0.2">
      <c r="A612" s="136" t="s">
        <v>422</v>
      </c>
      <c r="B612" s="4">
        <v>12</v>
      </c>
      <c r="C612" s="4" t="s">
        <v>1711</v>
      </c>
      <c r="D612" s="4">
        <v>1247</v>
      </c>
      <c r="E612" s="4">
        <v>12011</v>
      </c>
      <c r="F612" s="211" t="s">
        <v>4438</v>
      </c>
      <c r="G612" s="188" t="s">
        <v>4439</v>
      </c>
      <c r="H612" s="4" t="s">
        <v>4440</v>
      </c>
      <c r="I612" s="4" t="s">
        <v>49</v>
      </c>
      <c r="J612" s="4" t="s">
        <v>1746</v>
      </c>
      <c r="K612" s="4">
        <v>1</v>
      </c>
      <c r="L612" s="4">
        <v>14067</v>
      </c>
      <c r="M612" s="6"/>
      <c r="U612"/>
      <c r="AK612" s="7"/>
      <c r="AO612" s="4" t="s">
        <v>4438</v>
      </c>
      <c r="AP612" s="4">
        <v>1247</v>
      </c>
      <c r="AQ612" s="4" t="s">
        <v>1716</v>
      </c>
      <c r="AR612" s="4" t="s">
        <v>1717</v>
      </c>
      <c r="AS612" s="4" t="s">
        <v>1718</v>
      </c>
      <c r="AT612" s="4" t="s">
        <v>1835</v>
      </c>
      <c r="AU612" s="4" t="s">
        <v>1836</v>
      </c>
      <c r="AV612" s="4" t="s">
        <v>1720</v>
      </c>
      <c r="AW612" s="4" t="s">
        <v>1705</v>
      </c>
      <c r="AX612" s="4" t="s">
        <v>1747</v>
      </c>
      <c r="AY612" s="4">
        <v>48.700299999999999</v>
      </c>
      <c r="AZ612" s="4">
        <v>-123.592</v>
      </c>
      <c r="BA612" s="4">
        <v>375</v>
      </c>
    </row>
    <row r="613" spans="1:53" ht="14.25" customHeight="1" x14ac:dyDescent="0.2">
      <c r="A613" s="136" t="s">
        <v>422</v>
      </c>
      <c r="B613" s="4">
        <v>12</v>
      </c>
      <c r="C613" s="4" t="s">
        <v>1711</v>
      </c>
      <c r="D613" s="4">
        <v>1250</v>
      </c>
      <c r="E613" s="4">
        <v>12015</v>
      </c>
      <c r="F613" s="211" t="s">
        <v>4441</v>
      </c>
      <c r="G613" s="188" t="s">
        <v>4442</v>
      </c>
      <c r="H613" s="4" t="s">
        <v>4443</v>
      </c>
      <c r="I613" s="4" t="s">
        <v>49</v>
      </c>
      <c r="J613" s="4" t="s">
        <v>1746</v>
      </c>
      <c r="K613" s="4">
        <v>1</v>
      </c>
      <c r="L613" s="4">
        <v>14072</v>
      </c>
      <c r="M613" s="6"/>
      <c r="U613"/>
      <c r="AK613" s="7"/>
      <c r="AO613" s="4" t="s">
        <v>4441</v>
      </c>
      <c r="AP613" s="4">
        <v>1250</v>
      </c>
      <c r="AQ613" s="4" t="s">
        <v>1716</v>
      </c>
      <c r="AR613" s="4" t="s">
        <v>1717</v>
      </c>
      <c r="AS613" s="4" t="s">
        <v>1718</v>
      </c>
      <c r="AT613" s="4" t="s">
        <v>1835</v>
      </c>
      <c r="AU613" s="4" t="s">
        <v>1836</v>
      </c>
      <c r="AV613" s="4" t="s">
        <v>1720</v>
      </c>
      <c r="AW613" s="4" t="s">
        <v>1705</v>
      </c>
      <c r="AX613" s="4" t="s">
        <v>1879</v>
      </c>
      <c r="AY613" s="4">
        <v>50.082500000000003</v>
      </c>
      <c r="AZ613" s="4">
        <v>-123.04130000000001</v>
      </c>
      <c r="BA613" s="4">
        <v>595</v>
      </c>
    </row>
    <row r="614" spans="1:53" ht="14.25" customHeight="1" x14ac:dyDescent="0.2">
      <c r="A614" s="136" t="s">
        <v>422</v>
      </c>
      <c r="B614" s="4">
        <v>12</v>
      </c>
      <c r="C614" s="4" t="s">
        <v>1711</v>
      </c>
      <c r="D614" s="4">
        <v>1252</v>
      </c>
      <c r="E614" s="4">
        <v>12016</v>
      </c>
      <c r="F614" s="211" t="s">
        <v>4449</v>
      </c>
      <c r="G614" s="188" t="s">
        <v>4450</v>
      </c>
      <c r="H614" s="4" t="s">
        <v>4451</v>
      </c>
      <c r="I614" s="4" t="s">
        <v>49</v>
      </c>
      <c r="J614" s="4" t="s">
        <v>1746</v>
      </c>
      <c r="K614" s="4">
        <v>1</v>
      </c>
      <c r="L614" s="4">
        <v>14073</v>
      </c>
      <c r="M614" s="6"/>
      <c r="U614"/>
      <c r="AK614" s="7"/>
      <c r="AO614" s="267" t="s">
        <v>4452</v>
      </c>
      <c r="AP614" s="4">
        <v>1252</v>
      </c>
      <c r="AQ614" s="4" t="s">
        <v>1716</v>
      </c>
      <c r="AR614" s="4" t="s">
        <v>1717</v>
      </c>
      <c r="AS614" s="4" t="s">
        <v>1718</v>
      </c>
      <c r="AT614" s="4" t="s">
        <v>1835</v>
      </c>
      <c r="AU614" s="4" t="s">
        <v>1836</v>
      </c>
      <c r="AV614" s="4" t="s">
        <v>1720</v>
      </c>
      <c r="AW614" s="4" t="s">
        <v>2698</v>
      </c>
      <c r="AX614" s="4" t="s">
        <v>2801</v>
      </c>
      <c r="AY614" s="4">
        <v>49.7273</v>
      </c>
      <c r="AZ614" s="4">
        <v>-116.6615</v>
      </c>
      <c r="BA614" s="4">
        <v>1400</v>
      </c>
    </row>
    <row r="615" spans="1:53" ht="14.25" customHeight="1" x14ac:dyDescent="0.2">
      <c r="A615" s="136" t="s">
        <v>422</v>
      </c>
      <c r="B615" s="4">
        <v>12</v>
      </c>
      <c r="C615" s="4" t="s">
        <v>1711</v>
      </c>
      <c r="D615" s="4">
        <v>1254</v>
      </c>
      <c r="E615" s="4">
        <v>12017</v>
      </c>
      <c r="F615" s="16" t="s">
        <v>4453</v>
      </c>
      <c r="G615" s="4" t="s">
        <v>4454</v>
      </c>
      <c r="H615" s="4" t="s">
        <v>4455</v>
      </c>
      <c r="I615" s="4" t="s">
        <v>49</v>
      </c>
      <c r="J615" s="4" t="s">
        <v>1746</v>
      </c>
      <c r="K615" s="4">
        <v>1</v>
      </c>
      <c r="L615" s="4">
        <v>14074</v>
      </c>
      <c r="M615" s="6"/>
      <c r="U615"/>
      <c r="AK615" s="7"/>
      <c r="AO615" s="4" t="s">
        <v>4453</v>
      </c>
      <c r="AP615" s="4">
        <v>1254</v>
      </c>
      <c r="AQ615" s="4" t="s">
        <v>1716</v>
      </c>
      <c r="AR615" s="4" t="s">
        <v>1717</v>
      </c>
      <c r="AS615" s="4" t="s">
        <v>1718</v>
      </c>
      <c r="AT615" s="4" t="s">
        <v>1841</v>
      </c>
      <c r="AU615" s="4" t="s">
        <v>1959</v>
      </c>
      <c r="AV615" s="4" t="s">
        <v>1720</v>
      </c>
      <c r="AW615" s="4" t="s">
        <v>2368</v>
      </c>
      <c r="AX615" s="4" t="s">
        <v>2516</v>
      </c>
      <c r="AY615" s="4">
        <v>49.648600000000002</v>
      </c>
      <c r="AZ615" s="4">
        <v>-120.0667</v>
      </c>
      <c r="BA615" s="4">
        <v>1633</v>
      </c>
    </row>
    <row r="616" spans="1:53" ht="14.25" customHeight="1" x14ac:dyDescent="0.2">
      <c r="A616" s="136" t="s">
        <v>422</v>
      </c>
      <c r="B616" s="4">
        <v>12</v>
      </c>
      <c r="C616" s="4" t="s">
        <v>1711</v>
      </c>
      <c r="D616" s="4">
        <v>1255</v>
      </c>
      <c r="E616" s="4">
        <v>12020</v>
      </c>
      <c r="F616" s="211" t="s">
        <v>4456</v>
      </c>
      <c r="G616" s="188" t="s">
        <v>4457</v>
      </c>
      <c r="H616" s="4" t="s">
        <v>4458</v>
      </c>
      <c r="I616" s="4" t="s">
        <v>49</v>
      </c>
      <c r="J616" s="4" t="s">
        <v>1746</v>
      </c>
      <c r="K616" s="4">
        <v>1</v>
      </c>
      <c r="L616" s="4">
        <v>14077</v>
      </c>
      <c r="M616" s="6"/>
      <c r="U616"/>
      <c r="AK616" s="7"/>
      <c r="AO616" s="4" t="s">
        <v>4456</v>
      </c>
      <c r="AP616" s="4">
        <v>1255</v>
      </c>
      <c r="AQ616" s="4" t="s">
        <v>1716</v>
      </c>
      <c r="AR616" s="4" t="s">
        <v>1717</v>
      </c>
      <c r="AS616" s="4" t="s">
        <v>1718</v>
      </c>
      <c r="AT616" s="4" t="s">
        <v>1841</v>
      </c>
      <c r="AU616" s="4" t="s">
        <v>1959</v>
      </c>
      <c r="AV616" s="4" t="s">
        <v>1720</v>
      </c>
      <c r="AW616" s="4" t="s">
        <v>2368</v>
      </c>
      <c r="AX616" s="4" t="s">
        <v>2522</v>
      </c>
      <c r="AY616" s="4">
        <v>50.691899999999997</v>
      </c>
      <c r="AZ616" s="4">
        <v>-118.6408</v>
      </c>
      <c r="BA616" s="4">
        <v>756</v>
      </c>
    </row>
    <row r="617" spans="1:53" ht="14.25" customHeight="1" x14ac:dyDescent="0.2">
      <c r="A617" s="136" t="s">
        <v>422</v>
      </c>
      <c r="B617" s="4">
        <v>12</v>
      </c>
      <c r="C617" s="4" t="s">
        <v>1711</v>
      </c>
      <c r="D617" s="4">
        <v>1256</v>
      </c>
      <c r="E617" s="4">
        <v>12021</v>
      </c>
      <c r="F617" s="16" t="s">
        <v>4459</v>
      </c>
      <c r="G617" s="4" t="s">
        <v>4460</v>
      </c>
      <c r="H617" s="4" t="s">
        <v>4461</v>
      </c>
      <c r="I617" s="4" t="s">
        <v>49</v>
      </c>
      <c r="J617" s="4" t="s">
        <v>1746</v>
      </c>
      <c r="K617" s="4">
        <v>1</v>
      </c>
      <c r="L617" s="4">
        <v>14078</v>
      </c>
      <c r="M617" s="6"/>
      <c r="U617"/>
      <c r="AK617" s="7"/>
      <c r="AO617" s="4" t="s">
        <v>4459</v>
      </c>
      <c r="AP617" s="4">
        <v>1256</v>
      </c>
      <c r="AQ617" s="4" t="s">
        <v>1716</v>
      </c>
      <c r="AR617" s="4" t="s">
        <v>1717</v>
      </c>
      <c r="AS617" s="4" t="s">
        <v>1718</v>
      </c>
      <c r="AT617" s="4" t="s">
        <v>1841</v>
      </c>
      <c r="AU617" s="4" t="s">
        <v>1959</v>
      </c>
      <c r="AV617" s="4" t="s">
        <v>1720</v>
      </c>
      <c r="AW617" s="4" t="s">
        <v>2368</v>
      </c>
      <c r="AX617" s="4" t="s">
        <v>2516</v>
      </c>
      <c r="AY617" s="4">
        <v>49.8947</v>
      </c>
      <c r="AZ617" s="4">
        <v>-119.12390000000001</v>
      </c>
      <c r="BA617" s="4">
        <v>1250</v>
      </c>
    </row>
    <row r="618" spans="1:53" ht="14.25" customHeight="1" x14ac:dyDescent="0.2">
      <c r="A618" s="136" t="s">
        <v>422</v>
      </c>
      <c r="B618" s="4">
        <v>12</v>
      </c>
      <c r="C618" s="4" t="s">
        <v>1711</v>
      </c>
      <c r="D618" s="4">
        <v>1257</v>
      </c>
      <c r="E618" s="4">
        <v>12022</v>
      </c>
      <c r="F618" s="16" t="s">
        <v>4462</v>
      </c>
      <c r="G618" s="4" t="s">
        <v>4463</v>
      </c>
      <c r="H618" s="4" t="s">
        <v>4464</v>
      </c>
      <c r="I618" s="4" t="s">
        <v>49</v>
      </c>
      <c r="J618" s="4" t="s">
        <v>1746</v>
      </c>
      <c r="K618" s="4">
        <v>1</v>
      </c>
      <c r="L618" s="4">
        <v>14079</v>
      </c>
      <c r="M618" s="6"/>
      <c r="U618"/>
      <c r="AK618" s="7"/>
      <c r="AO618" s="267" t="s">
        <v>4462</v>
      </c>
      <c r="AP618" s="4">
        <v>1257</v>
      </c>
      <c r="AQ618" s="4" t="s">
        <v>1716</v>
      </c>
      <c r="AR618" s="4" t="s">
        <v>1717</v>
      </c>
      <c r="AS618" s="4" t="s">
        <v>1718</v>
      </c>
      <c r="AT618" s="4" t="s">
        <v>1835</v>
      </c>
      <c r="AU618" s="4" t="s">
        <v>1836</v>
      </c>
      <c r="AV618" s="4" t="s">
        <v>1720</v>
      </c>
      <c r="AW618" s="4" t="s">
        <v>2698</v>
      </c>
      <c r="AX618" s="4" t="s">
        <v>2801</v>
      </c>
      <c r="AY618" s="4">
        <v>50.477699999999999</v>
      </c>
      <c r="AZ618" s="4">
        <v>-117.2013</v>
      </c>
      <c r="BA618" s="4">
        <v>820</v>
      </c>
    </row>
    <row r="619" spans="1:53" ht="14.25" customHeight="1" x14ac:dyDescent="0.2">
      <c r="A619" s="136" t="s">
        <v>422</v>
      </c>
      <c r="B619" s="4">
        <v>12</v>
      </c>
      <c r="C619" s="4" t="s">
        <v>1711</v>
      </c>
      <c r="D619" s="4">
        <v>1258</v>
      </c>
      <c r="E619" s="4">
        <v>12023</v>
      </c>
      <c r="F619" s="211" t="s">
        <v>4465</v>
      </c>
      <c r="G619" s="188" t="s">
        <v>4466</v>
      </c>
      <c r="H619" s="4" t="s">
        <v>4467</v>
      </c>
      <c r="I619" s="4" t="s">
        <v>49</v>
      </c>
      <c r="J619" s="4" t="s">
        <v>1746</v>
      </c>
      <c r="K619" s="4">
        <v>1</v>
      </c>
      <c r="L619" s="4">
        <v>14080</v>
      </c>
      <c r="M619" s="6"/>
      <c r="U619"/>
      <c r="AK619" s="7"/>
      <c r="AO619" s="4" t="s">
        <v>4465</v>
      </c>
      <c r="AP619" s="4">
        <v>1258</v>
      </c>
      <c r="AQ619" s="4" t="s">
        <v>1716</v>
      </c>
      <c r="AR619" s="4" t="s">
        <v>1717</v>
      </c>
      <c r="AS619" s="4" t="s">
        <v>1718</v>
      </c>
      <c r="AT619" s="4" t="s">
        <v>1835</v>
      </c>
      <c r="AU619" s="4" t="s">
        <v>1959</v>
      </c>
      <c r="AV619" s="4" t="s">
        <v>1720</v>
      </c>
      <c r="AW619" s="4" t="s">
        <v>2368</v>
      </c>
      <c r="AX619" s="4" t="s">
        <v>2492</v>
      </c>
      <c r="AY619" s="4">
        <v>50.083300000000001</v>
      </c>
      <c r="AZ619" s="4">
        <v>-121.1889</v>
      </c>
      <c r="BA619" s="4">
        <v>1345</v>
      </c>
    </row>
    <row r="620" spans="1:53" ht="14.25" customHeight="1" x14ac:dyDescent="0.2">
      <c r="A620" s="136" t="s">
        <v>422</v>
      </c>
      <c r="B620" s="4">
        <v>12</v>
      </c>
      <c r="C620" s="4" t="s">
        <v>1711</v>
      </c>
      <c r="D620" s="4">
        <v>1259</v>
      </c>
      <c r="E620" s="4">
        <v>12024</v>
      </c>
      <c r="F620" s="16" t="s">
        <v>4468</v>
      </c>
      <c r="G620" s="4" t="s">
        <v>4469</v>
      </c>
      <c r="H620" s="4" t="s">
        <v>4470</v>
      </c>
      <c r="I620" s="4" t="s">
        <v>49</v>
      </c>
      <c r="J620" s="4" t="s">
        <v>1746</v>
      </c>
      <c r="K620" s="4">
        <v>1</v>
      </c>
      <c r="L620" s="4">
        <v>14081</v>
      </c>
      <c r="M620" s="6"/>
      <c r="U620"/>
      <c r="AK620" s="7"/>
      <c r="AO620" s="267" t="s">
        <v>4468</v>
      </c>
      <c r="AP620" s="4">
        <v>1259</v>
      </c>
      <c r="AQ620" s="4" t="s">
        <v>1716</v>
      </c>
      <c r="AR620" s="4" t="s">
        <v>1717</v>
      </c>
      <c r="AS620" s="4" t="s">
        <v>1718</v>
      </c>
      <c r="AT620" s="4" t="s">
        <v>1835</v>
      </c>
      <c r="AU620" s="4" t="s">
        <v>1836</v>
      </c>
      <c r="AV620" s="4" t="s">
        <v>1720</v>
      </c>
      <c r="AW620" s="4" t="s">
        <v>2698</v>
      </c>
      <c r="AX620" s="4" t="s">
        <v>2902</v>
      </c>
      <c r="AY620" s="4">
        <v>49.1648</v>
      </c>
      <c r="AZ620" s="4">
        <v>-115.0027</v>
      </c>
      <c r="BA620" s="4">
        <v>2174</v>
      </c>
    </row>
    <row r="621" spans="1:53" ht="14.25" customHeight="1" x14ac:dyDescent="0.2">
      <c r="A621" s="136" t="s">
        <v>422</v>
      </c>
      <c r="B621" s="4">
        <v>12</v>
      </c>
      <c r="C621" s="4" t="s">
        <v>1711</v>
      </c>
      <c r="D621" s="4">
        <v>1266</v>
      </c>
      <c r="E621" s="4">
        <v>12025</v>
      </c>
      <c r="F621" s="16" t="s">
        <v>4492</v>
      </c>
      <c r="G621" s="4" t="s">
        <v>4493</v>
      </c>
      <c r="H621" s="4" t="s">
        <v>4494</v>
      </c>
      <c r="I621" s="4" t="s">
        <v>49</v>
      </c>
      <c r="J621" s="4" t="s">
        <v>1746</v>
      </c>
      <c r="K621" s="4">
        <v>1</v>
      </c>
      <c r="L621" s="4">
        <v>14082</v>
      </c>
      <c r="M621" s="6"/>
      <c r="U621"/>
      <c r="AK621" s="7"/>
      <c r="AO621" s="4" t="s">
        <v>4492</v>
      </c>
      <c r="AP621" s="4">
        <v>1266</v>
      </c>
      <c r="AQ621" s="4" t="s">
        <v>1716</v>
      </c>
      <c r="AR621" s="4" t="s">
        <v>1717</v>
      </c>
      <c r="AS621" s="4" t="s">
        <v>1740</v>
      </c>
      <c r="AT621" s="4" t="s">
        <v>1835</v>
      </c>
      <c r="AU621" s="4" t="s">
        <v>1742</v>
      </c>
      <c r="AV621" s="4" t="s">
        <v>1720</v>
      </c>
      <c r="AW621" s="4" t="s">
        <v>2368</v>
      </c>
      <c r="AX621" s="4" t="s">
        <v>2401</v>
      </c>
      <c r="AY621" s="4">
        <v>51.540100000000002</v>
      </c>
      <c r="AZ621" s="4">
        <v>-119.3947</v>
      </c>
      <c r="BA621" s="4">
        <v>1518</v>
      </c>
    </row>
    <row r="622" spans="1:53" ht="14.25" customHeight="1" x14ac:dyDescent="0.2">
      <c r="A622" s="136" t="s">
        <v>422</v>
      </c>
      <c r="B622" s="4">
        <v>12</v>
      </c>
      <c r="C622" s="4" t="s">
        <v>1711</v>
      </c>
      <c r="D622" s="4">
        <v>1267</v>
      </c>
      <c r="E622" s="4">
        <v>12026</v>
      </c>
      <c r="F622" s="16" t="s">
        <v>4495</v>
      </c>
      <c r="G622" s="4" t="s">
        <v>4496</v>
      </c>
      <c r="H622" s="4" t="s">
        <v>4497</v>
      </c>
      <c r="I622" s="4" t="s">
        <v>49</v>
      </c>
      <c r="J622" s="4" t="s">
        <v>1746</v>
      </c>
      <c r="K622" s="4">
        <v>1</v>
      </c>
      <c r="L622" s="4">
        <v>14083</v>
      </c>
      <c r="M622" s="6"/>
      <c r="U622"/>
      <c r="AK622" s="9"/>
      <c r="AO622" s="267" t="s">
        <v>4495</v>
      </c>
      <c r="AP622" s="4">
        <v>1267</v>
      </c>
      <c r="AQ622" s="4" t="s">
        <v>1716</v>
      </c>
      <c r="AR622" s="4" t="s">
        <v>1717</v>
      </c>
      <c r="AS622" s="4" t="s">
        <v>1718</v>
      </c>
      <c r="AT622" s="4" t="s">
        <v>1835</v>
      </c>
      <c r="AU622" s="4" t="s">
        <v>1836</v>
      </c>
      <c r="AV622" s="4" t="s">
        <v>1720</v>
      </c>
      <c r="AW622" s="4" t="s">
        <v>1947</v>
      </c>
      <c r="AX622" s="4" t="s">
        <v>1986</v>
      </c>
      <c r="AY622" s="4">
        <v>59.892800000000001</v>
      </c>
      <c r="AZ622" s="4">
        <v>-129.09389999999999</v>
      </c>
      <c r="BA622" s="4">
        <v>866</v>
      </c>
    </row>
    <row r="623" spans="1:53" ht="14.25" customHeight="1" x14ac:dyDescent="0.2">
      <c r="A623" s="136" t="s">
        <v>422</v>
      </c>
      <c r="B623" s="4">
        <v>12</v>
      </c>
      <c r="C623" s="4" t="s">
        <v>1711</v>
      </c>
      <c r="D623" s="4">
        <v>1269</v>
      </c>
      <c r="E623" s="4">
        <v>12028</v>
      </c>
      <c r="F623" s="16" t="s">
        <v>4501</v>
      </c>
      <c r="G623" s="4" t="s">
        <v>4502</v>
      </c>
      <c r="H623" s="4" t="s">
        <v>4503</v>
      </c>
      <c r="I623" s="4" t="s">
        <v>49</v>
      </c>
      <c r="J623" s="4" t="s">
        <v>1746</v>
      </c>
      <c r="K623" s="4">
        <v>1</v>
      </c>
      <c r="L623" s="4">
        <v>14085</v>
      </c>
      <c r="M623" s="6"/>
      <c r="U623"/>
      <c r="AK623" s="9"/>
      <c r="AO623" s="267" t="s">
        <v>4501</v>
      </c>
      <c r="AP623" s="4">
        <v>1269</v>
      </c>
      <c r="AQ623" s="4" t="s">
        <v>1716</v>
      </c>
      <c r="AR623" s="4" t="s">
        <v>1717</v>
      </c>
      <c r="AS623" s="4" t="s">
        <v>1718</v>
      </c>
      <c r="AT623" s="4" t="s">
        <v>1835</v>
      </c>
      <c r="AU623" s="4" t="s">
        <v>1836</v>
      </c>
      <c r="AV623" s="4" t="s">
        <v>1720</v>
      </c>
      <c r="AW623" s="4" t="s">
        <v>2368</v>
      </c>
      <c r="AX623" s="4" t="s">
        <v>2505</v>
      </c>
      <c r="AY623" s="4">
        <v>50.188899999999997</v>
      </c>
      <c r="AZ623" s="4">
        <v>-121.6</v>
      </c>
      <c r="BA623" s="4">
        <v>636</v>
      </c>
    </row>
    <row r="624" spans="1:53" ht="14.25" customHeight="1" x14ac:dyDescent="0.2">
      <c r="A624" s="136" t="s">
        <v>422</v>
      </c>
      <c r="B624" s="4">
        <v>12</v>
      </c>
      <c r="C624" s="4" t="s">
        <v>1711</v>
      </c>
      <c r="D624" s="4">
        <v>1272</v>
      </c>
      <c r="E624" s="4">
        <v>12030</v>
      </c>
      <c r="F624" s="211" t="s">
        <v>4507</v>
      </c>
      <c r="G624" s="188" t="s">
        <v>4508</v>
      </c>
      <c r="H624" s="4" t="s">
        <v>4509</v>
      </c>
      <c r="I624" s="4" t="s">
        <v>49</v>
      </c>
      <c r="J624" s="4" t="s">
        <v>1746</v>
      </c>
      <c r="K624" s="4">
        <v>1</v>
      </c>
      <c r="L624" s="4">
        <v>14087</v>
      </c>
      <c r="M624" s="6"/>
      <c r="U624"/>
      <c r="AK624" s="9"/>
      <c r="AO624" s="267" t="s">
        <v>4507</v>
      </c>
      <c r="AP624" s="4">
        <v>1272</v>
      </c>
      <c r="AQ624" s="4" t="s">
        <v>1716</v>
      </c>
      <c r="AR624" s="4" t="s">
        <v>1717</v>
      </c>
      <c r="AS624" s="4" t="s">
        <v>1718</v>
      </c>
      <c r="AT624" s="4" t="s">
        <v>1835</v>
      </c>
      <c r="AU624" s="4" t="s">
        <v>1836</v>
      </c>
      <c r="AV624" s="4" t="s">
        <v>1720</v>
      </c>
      <c r="AW624" s="4" t="s">
        <v>2368</v>
      </c>
      <c r="AX624" s="4" t="s">
        <v>2505</v>
      </c>
      <c r="AY624" s="4">
        <v>50.961599999999997</v>
      </c>
      <c r="AZ624" s="4">
        <v>-122.2504</v>
      </c>
      <c r="BA624" s="4">
        <v>1347</v>
      </c>
    </row>
    <row r="625" spans="1:53" ht="14.25" customHeight="1" x14ac:dyDescent="0.2">
      <c r="A625" s="136" t="s">
        <v>422</v>
      </c>
      <c r="B625" s="4">
        <v>12</v>
      </c>
      <c r="C625" s="4" t="s">
        <v>1711</v>
      </c>
      <c r="D625" s="4">
        <v>1273</v>
      </c>
      <c r="E625" s="4">
        <v>12031</v>
      </c>
      <c r="F625" s="16" t="s">
        <v>4510</v>
      </c>
      <c r="G625" s="188" t="s">
        <v>4511</v>
      </c>
      <c r="H625" s="4" t="s">
        <v>4512</v>
      </c>
      <c r="I625" s="4" t="s">
        <v>49</v>
      </c>
      <c r="J625" s="4" t="s">
        <v>1746</v>
      </c>
      <c r="K625" s="4">
        <v>1</v>
      </c>
      <c r="L625" s="4">
        <v>14088</v>
      </c>
      <c r="M625" s="6"/>
      <c r="U625"/>
      <c r="AK625" s="9"/>
      <c r="AO625" s="267" t="s">
        <v>4510</v>
      </c>
      <c r="AP625" s="4">
        <v>1273</v>
      </c>
      <c r="AQ625" s="4" t="s">
        <v>1716</v>
      </c>
      <c r="AR625" s="4" t="s">
        <v>1717</v>
      </c>
      <c r="AS625" s="4" t="s">
        <v>1718</v>
      </c>
      <c r="AT625" s="4" t="s">
        <v>1835</v>
      </c>
      <c r="AU625" s="4" t="s">
        <v>1836</v>
      </c>
      <c r="AV625" s="4" t="s">
        <v>1720</v>
      </c>
      <c r="AW625" s="4" t="s">
        <v>2698</v>
      </c>
      <c r="AX625" s="4" t="s">
        <v>2801</v>
      </c>
      <c r="AY625" s="4">
        <v>49.898000000000003</v>
      </c>
      <c r="AZ625" s="4">
        <v>-117.0887</v>
      </c>
      <c r="BA625" s="4">
        <v>1250</v>
      </c>
    </row>
    <row r="626" spans="1:53" ht="14.25" customHeight="1" x14ac:dyDescent="0.2">
      <c r="A626" s="136" t="s">
        <v>422</v>
      </c>
      <c r="B626" s="4">
        <v>12</v>
      </c>
      <c r="C626" s="4" t="s">
        <v>1711</v>
      </c>
      <c r="D626" s="4">
        <v>1274</v>
      </c>
      <c r="E626" s="4">
        <v>12032</v>
      </c>
      <c r="F626" s="188" t="s">
        <v>4513</v>
      </c>
      <c r="G626" s="4" t="s">
        <v>4514</v>
      </c>
      <c r="H626" s="4" t="s">
        <v>4515</v>
      </c>
      <c r="I626" s="4" t="s">
        <v>49</v>
      </c>
      <c r="J626" s="4" t="s">
        <v>1746</v>
      </c>
      <c r="K626" s="4">
        <v>1</v>
      </c>
      <c r="L626" s="4">
        <v>14089</v>
      </c>
      <c r="M626" s="6"/>
      <c r="N626" s="9"/>
      <c r="O626" s="9"/>
      <c r="P626" s="9"/>
      <c r="Q626" s="20"/>
      <c r="R626" s="9"/>
      <c r="S626" s="9"/>
      <c r="T626" s="9"/>
      <c r="U626" s="9"/>
      <c r="V626" s="9"/>
      <c r="W626" s="21"/>
      <c r="X626" s="9"/>
      <c r="AK626" s="9"/>
      <c r="AO626" s="4" t="s">
        <v>4513</v>
      </c>
      <c r="AP626" s="4">
        <v>1274</v>
      </c>
      <c r="AQ626" s="4" t="s">
        <v>1716</v>
      </c>
      <c r="AR626" s="4" t="s">
        <v>2441</v>
      </c>
      <c r="AS626" s="4" t="s">
        <v>1740</v>
      </c>
      <c r="AT626" s="4" t="s">
        <v>1703</v>
      </c>
      <c r="AU626" s="4" t="s">
        <v>1742</v>
      </c>
      <c r="AV626" s="4" t="s">
        <v>1720</v>
      </c>
      <c r="AW626" s="4" t="s">
        <v>1705</v>
      </c>
      <c r="AX626" s="4" t="s">
        <v>1706</v>
      </c>
      <c r="AY626" s="4">
        <v>49.207000000000001</v>
      </c>
      <c r="AZ626" s="4">
        <v>-124.5668</v>
      </c>
      <c r="BA626" s="4">
        <v>1459</v>
      </c>
    </row>
    <row r="627" spans="1:53" ht="14.25" customHeight="1" x14ac:dyDescent="0.2">
      <c r="A627" s="136" t="s">
        <v>422</v>
      </c>
      <c r="B627" s="4">
        <v>12</v>
      </c>
      <c r="C627" s="4" t="s">
        <v>4339</v>
      </c>
      <c r="D627" s="4">
        <v>1275</v>
      </c>
      <c r="E627" s="4">
        <v>12033</v>
      </c>
      <c r="F627" s="4" t="s">
        <v>4516</v>
      </c>
      <c r="G627" s="188" t="s">
        <v>4517</v>
      </c>
      <c r="H627" s="4" t="s">
        <v>4518</v>
      </c>
      <c r="I627" s="4" t="s">
        <v>49</v>
      </c>
      <c r="J627" s="4" t="s">
        <v>1829</v>
      </c>
      <c r="K627" s="4">
        <v>1</v>
      </c>
      <c r="L627" s="4">
        <v>14090</v>
      </c>
      <c r="M627" s="6">
        <v>52.134569399999997</v>
      </c>
      <c r="N627" s="9">
        <v>-126.2626806</v>
      </c>
      <c r="O627" s="9" t="s">
        <v>51</v>
      </c>
      <c r="P627" s="224" t="s">
        <v>4519</v>
      </c>
      <c r="Q627" s="70">
        <v>7</v>
      </c>
      <c r="R627" s="9" t="s">
        <v>4520</v>
      </c>
      <c r="S627" s="9" t="s">
        <v>4344</v>
      </c>
      <c r="T627" s="9">
        <v>1423</v>
      </c>
      <c r="U627" s="9"/>
      <c r="V627" s="9" t="s">
        <v>4345</v>
      </c>
      <c r="W627" s="58" t="s">
        <v>4521</v>
      </c>
      <c r="X627" s="9" t="s">
        <v>4347</v>
      </c>
      <c r="AE627" s="4" t="s">
        <v>4522</v>
      </c>
      <c r="AK627" s="9"/>
      <c r="AO627" s="188" t="s">
        <v>4516</v>
      </c>
      <c r="AP627" s="4">
        <v>1275</v>
      </c>
      <c r="AQ627" s="4" t="s">
        <v>1716</v>
      </c>
      <c r="AR627" s="4" t="s">
        <v>1739</v>
      </c>
      <c r="AS627" s="4" t="s">
        <v>1740</v>
      </c>
      <c r="AT627" s="4" t="s">
        <v>1703</v>
      </c>
      <c r="AU627" s="4" t="s">
        <v>1742</v>
      </c>
      <c r="AV627" s="4" t="s">
        <v>1720</v>
      </c>
      <c r="AW627" s="4" t="s">
        <v>1705</v>
      </c>
      <c r="AX627" s="4" t="s">
        <v>1965</v>
      </c>
      <c r="AY627" s="4">
        <v>52.134599999999999</v>
      </c>
      <c r="AZ627" s="4">
        <v>-126.2627</v>
      </c>
      <c r="BA627" s="4">
        <v>1414</v>
      </c>
    </row>
    <row r="628" spans="1:53" ht="14.25" customHeight="1" x14ac:dyDescent="0.2">
      <c r="A628" s="136" t="s">
        <v>422</v>
      </c>
      <c r="B628" s="4">
        <v>12</v>
      </c>
      <c r="C628" s="4" t="s">
        <v>1711</v>
      </c>
      <c r="D628" s="4">
        <v>1279</v>
      </c>
      <c r="E628" s="4">
        <v>12040</v>
      </c>
      <c r="F628" s="16" t="s">
        <v>4528</v>
      </c>
      <c r="G628" s="4" t="s">
        <v>4529</v>
      </c>
      <c r="H628" s="4" t="s">
        <v>4530</v>
      </c>
      <c r="I628" s="4" t="s">
        <v>49</v>
      </c>
      <c r="J628" s="4" t="s">
        <v>1746</v>
      </c>
      <c r="K628" s="4">
        <v>1</v>
      </c>
      <c r="L628" s="4">
        <v>14097</v>
      </c>
      <c r="M628" s="62"/>
      <c r="N628" s="231"/>
      <c r="P628" s="231"/>
      <c r="R628" s="231"/>
      <c r="T628" s="240"/>
      <c r="U628"/>
      <c r="AK628" s="9"/>
      <c r="AO628" s="267" t="s">
        <v>4528</v>
      </c>
      <c r="AP628" s="4">
        <v>1279</v>
      </c>
      <c r="AQ628" s="4" t="s">
        <v>1716</v>
      </c>
      <c r="AR628" s="4" t="s">
        <v>1717</v>
      </c>
      <c r="AS628" s="4" t="s">
        <v>1718</v>
      </c>
      <c r="AT628" s="4" t="s">
        <v>1835</v>
      </c>
      <c r="AU628" s="4" t="s">
        <v>1836</v>
      </c>
      <c r="AV628" s="4" t="s">
        <v>1720</v>
      </c>
      <c r="AW628" s="4" t="s">
        <v>1947</v>
      </c>
      <c r="AX628" s="4" t="s">
        <v>2148</v>
      </c>
      <c r="AY628" s="4">
        <v>54.041699999999999</v>
      </c>
      <c r="AZ628" s="4">
        <v>-125.6</v>
      </c>
      <c r="BA628" s="4">
        <v>800</v>
      </c>
    </row>
    <row r="629" spans="1:53" ht="14.25" customHeight="1" x14ac:dyDescent="0.2">
      <c r="A629" s="136" t="s">
        <v>422</v>
      </c>
      <c r="B629" s="4">
        <v>12</v>
      </c>
      <c r="C629" s="4" t="s">
        <v>1711</v>
      </c>
      <c r="D629" s="4">
        <v>1280</v>
      </c>
      <c r="E629" s="4">
        <v>12041</v>
      </c>
      <c r="F629" s="16" t="s">
        <v>4531</v>
      </c>
      <c r="G629" s="4" t="s">
        <v>4532</v>
      </c>
      <c r="H629" s="4" t="s">
        <v>4533</v>
      </c>
      <c r="I629" s="4" t="s">
        <v>49</v>
      </c>
      <c r="J629" s="4" t="s">
        <v>1746</v>
      </c>
      <c r="K629" s="4">
        <v>1</v>
      </c>
      <c r="L629" s="4">
        <v>14098</v>
      </c>
      <c r="M629" s="6"/>
      <c r="U629"/>
      <c r="AK629" s="9"/>
      <c r="AO629" s="267" t="s">
        <v>4531</v>
      </c>
      <c r="AP629" s="4">
        <v>1280</v>
      </c>
      <c r="AQ629" s="4" t="s">
        <v>1716</v>
      </c>
      <c r="AR629" s="4" t="s">
        <v>1717</v>
      </c>
      <c r="AS629" s="4" t="s">
        <v>1718</v>
      </c>
      <c r="AT629" s="4" t="s">
        <v>1835</v>
      </c>
      <c r="AU629" s="4" t="s">
        <v>1836</v>
      </c>
      <c r="AV629" s="4" t="s">
        <v>1720</v>
      </c>
      <c r="AW629" s="4" t="s">
        <v>2698</v>
      </c>
      <c r="AX629" s="4" t="s">
        <v>2801</v>
      </c>
      <c r="AY629" s="4">
        <v>50.474699999999999</v>
      </c>
      <c r="AZ629" s="4">
        <v>-117.1998</v>
      </c>
      <c r="BA629" s="4">
        <v>773</v>
      </c>
    </row>
    <row r="630" spans="1:53" ht="14.25" customHeight="1" x14ac:dyDescent="0.2">
      <c r="A630" s="136" t="s">
        <v>422</v>
      </c>
      <c r="B630" s="4">
        <v>12</v>
      </c>
      <c r="C630" s="4" t="s">
        <v>1711</v>
      </c>
      <c r="D630" s="4">
        <v>1285</v>
      </c>
      <c r="E630" s="4">
        <v>12046</v>
      </c>
      <c r="F630" s="211" t="s">
        <v>4543</v>
      </c>
      <c r="G630" s="188" t="s">
        <v>4544</v>
      </c>
      <c r="H630" s="4" t="s">
        <v>4545</v>
      </c>
      <c r="I630" s="4" t="s">
        <v>49</v>
      </c>
      <c r="J630" s="4" t="s">
        <v>1746</v>
      </c>
      <c r="K630" s="4">
        <v>1</v>
      </c>
      <c r="L630" s="4">
        <v>14103</v>
      </c>
      <c r="M630" s="6"/>
      <c r="U630"/>
      <c r="AK630" s="9"/>
      <c r="AO630" s="4" t="s">
        <v>4543</v>
      </c>
      <c r="AP630" s="4">
        <v>1285</v>
      </c>
      <c r="AQ630" s="4" t="s">
        <v>1716</v>
      </c>
      <c r="AR630" s="4" t="s">
        <v>1717</v>
      </c>
      <c r="AS630" s="4" t="s">
        <v>1718</v>
      </c>
      <c r="AT630" s="4" t="s">
        <v>1841</v>
      </c>
      <c r="AU630" s="4" t="s">
        <v>1836</v>
      </c>
      <c r="AW630" s="4" t="s">
        <v>2368</v>
      </c>
      <c r="AX630" s="4" t="s">
        <v>2516</v>
      </c>
      <c r="AY630" s="4">
        <v>49.738300000000002</v>
      </c>
      <c r="AZ630" s="4">
        <v>-120.0669</v>
      </c>
      <c r="BA630" s="4">
        <v>1397</v>
      </c>
    </row>
    <row r="631" spans="1:53" ht="14.25" customHeight="1" x14ac:dyDescent="0.2">
      <c r="A631" s="136" t="s">
        <v>422</v>
      </c>
      <c r="B631" s="4">
        <v>12</v>
      </c>
      <c r="C631" s="4" t="s">
        <v>1711</v>
      </c>
      <c r="D631" s="4">
        <v>1288</v>
      </c>
      <c r="E631" s="4">
        <v>12045</v>
      </c>
      <c r="F631" s="211" t="s">
        <v>4546</v>
      </c>
      <c r="G631" s="188" t="s">
        <v>4547</v>
      </c>
      <c r="H631" s="4" t="s">
        <v>4548</v>
      </c>
      <c r="I631" s="4" t="s">
        <v>49</v>
      </c>
      <c r="J631" s="4" t="s">
        <v>1746</v>
      </c>
      <c r="K631" s="4">
        <v>1</v>
      </c>
      <c r="L631" s="4">
        <v>14102</v>
      </c>
      <c r="M631" s="6"/>
      <c r="U631"/>
      <c r="AK631" s="9"/>
      <c r="AO631" s="267" t="s">
        <v>4546</v>
      </c>
      <c r="AP631" s="4">
        <v>1288</v>
      </c>
      <c r="AQ631" s="4" t="s">
        <v>1716</v>
      </c>
      <c r="AR631" s="4" t="s">
        <v>1717</v>
      </c>
      <c r="AS631" s="4" t="s">
        <v>1718</v>
      </c>
      <c r="AT631" s="4" t="s">
        <v>1835</v>
      </c>
      <c r="AU631" s="4" t="s">
        <v>1836</v>
      </c>
      <c r="AV631" s="4" t="s">
        <v>1720</v>
      </c>
      <c r="AW631" s="4" t="s">
        <v>2193</v>
      </c>
      <c r="AX631" s="4" t="s">
        <v>2291</v>
      </c>
      <c r="AY631" s="4">
        <v>52.015900000000002</v>
      </c>
      <c r="AZ631" s="4">
        <v>-122.91370000000001</v>
      </c>
      <c r="BA631" s="4">
        <v>1252</v>
      </c>
    </row>
    <row r="632" spans="1:53" ht="14.25" customHeight="1" x14ac:dyDescent="0.2">
      <c r="A632" s="136" t="s">
        <v>422</v>
      </c>
      <c r="B632" s="4">
        <v>12</v>
      </c>
      <c r="C632" s="4" t="s">
        <v>1711</v>
      </c>
      <c r="D632" s="4">
        <v>1291</v>
      </c>
      <c r="E632" s="4">
        <v>12047</v>
      </c>
      <c r="F632" s="16" t="s">
        <v>4552</v>
      </c>
      <c r="G632" s="4" t="s">
        <v>4553</v>
      </c>
      <c r="H632" s="4" t="s">
        <v>4554</v>
      </c>
      <c r="I632" s="4" t="s">
        <v>49</v>
      </c>
      <c r="J632" s="4" t="s">
        <v>1746</v>
      </c>
      <c r="K632" s="4">
        <v>1</v>
      </c>
      <c r="L632" s="4">
        <v>14104</v>
      </c>
      <c r="M632" s="62"/>
      <c r="N632" s="231"/>
      <c r="R632" s="231"/>
      <c r="T632" s="240"/>
      <c r="U632"/>
      <c r="AK632" s="9"/>
      <c r="AO632" s="4" t="s">
        <v>4552</v>
      </c>
      <c r="AP632" s="4">
        <v>1291</v>
      </c>
      <c r="AQ632" s="4" t="s">
        <v>1716</v>
      </c>
      <c r="AR632" s="4" t="s">
        <v>1717</v>
      </c>
      <c r="AS632" s="4" t="s">
        <v>1740</v>
      </c>
      <c r="AT632" s="4" t="s">
        <v>1835</v>
      </c>
      <c r="AU632" s="4" t="s">
        <v>1742</v>
      </c>
      <c r="AV632" s="4" t="s">
        <v>1720</v>
      </c>
      <c r="AW632" s="4" t="s">
        <v>2368</v>
      </c>
      <c r="AX632" s="4" t="s">
        <v>2369</v>
      </c>
      <c r="AY632" s="4">
        <v>51.412799999999997</v>
      </c>
      <c r="AZ632" s="4">
        <v>-120.2239</v>
      </c>
      <c r="BA632" s="4">
        <v>680</v>
      </c>
    </row>
    <row r="633" spans="1:53" ht="14.25" customHeight="1" x14ac:dyDescent="0.2">
      <c r="A633" s="136" t="s">
        <v>422</v>
      </c>
      <c r="B633" s="4">
        <v>12</v>
      </c>
      <c r="C633" s="4" t="s">
        <v>1711</v>
      </c>
      <c r="D633" s="4">
        <v>1293</v>
      </c>
      <c r="E633" s="4">
        <v>12050</v>
      </c>
      <c r="F633" s="211" t="s">
        <v>4558</v>
      </c>
      <c r="G633" s="188" t="s">
        <v>4559</v>
      </c>
      <c r="H633" s="4" t="s">
        <v>4560</v>
      </c>
      <c r="I633" s="4" t="s">
        <v>49</v>
      </c>
      <c r="J633" s="4" t="s">
        <v>1746</v>
      </c>
      <c r="K633" s="4">
        <v>1</v>
      </c>
      <c r="L633" s="4">
        <v>14107</v>
      </c>
      <c r="M633" s="6"/>
      <c r="U633"/>
      <c r="AK633" s="9"/>
      <c r="AO633" s="4" t="s">
        <v>4558</v>
      </c>
      <c r="AP633" s="4">
        <v>1293</v>
      </c>
      <c r="AQ633" s="4" t="s">
        <v>1716</v>
      </c>
      <c r="AR633" s="4" t="s">
        <v>1717</v>
      </c>
      <c r="AS633" s="4" t="s">
        <v>1718</v>
      </c>
      <c r="AT633" s="4" t="s">
        <v>1835</v>
      </c>
      <c r="AU633" s="4" t="s">
        <v>1836</v>
      </c>
      <c r="AW633" s="4" t="s">
        <v>2368</v>
      </c>
      <c r="AX633" s="4" t="s">
        <v>2522</v>
      </c>
      <c r="AY633" s="4">
        <v>50.597200000000001</v>
      </c>
      <c r="AZ633" s="4">
        <v>-118.4781</v>
      </c>
      <c r="BA633" s="4">
        <v>1570</v>
      </c>
    </row>
    <row r="634" spans="1:53" ht="14.25" customHeight="1" x14ac:dyDescent="0.2">
      <c r="A634" s="136" t="s">
        <v>422</v>
      </c>
      <c r="B634" s="4">
        <v>12</v>
      </c>
      <c r="C634" s="4" t="s">
        <v>1711</v>
      </c>
      <c r="D634" s="4">
        <v>1299</v>
      </c>
      <c r="E634" s="4">
        <v>12064</v>
      </c>
      <c r="F634" s="211" t="s">
        <v>4564</v>
      </c>
      <c r="G634" s="188" t="s">
        <v>4565</v>
      </c>
      <c r="H634" s="4" t="s">
        <v>4566</v>
      </c>
      <c r="I634" s="4" t="s">
        <v>49</v>
      </c>
      <c r="J634" s="4" t="s">
        <v>1746</v>
      </c>
      <c r="K634" s="4">
        <v>1</v>
      </c>
      <c r="L634" s="4">
        <v>14120</v>
      </c>
      <c r="M634" s="6"/>
      <c r="U634"/>
      <c r="AK634" s="9"/>
      <c r="AO634" s="267" t="s">
        <v>4564</v>
      </c>
      <c r="AP634" s="4">
        <v>1299</v>
      </c>
      <c r="AQ634" s="4" t="s">
        <v>1716</v>
      </c>
      <c r="AR634" s="4" t="s">
        <v>1717</v>
      </c>
      <c r="AS634" s="4" t="s">
        <v>1718</v>
      </c>
      <c r="AT634" s="4" t="s">
        <v>1835</v>
      </c>
      <c r="AU634" s="4" t="s">
        <v>1836</v>
      </c>
      <c r="AV634" s="4" t="s">
        <v>1720</v>
      </c>
      <c r="AW634" s="4" t="s">
        <v>2368</v>
      </c>
      <c r="AX634" s="4" t="s">
        <v>2492</v>
      </c>
      <c r="AY634" s="4">
        <v>50.469900000000003</v>
      </c>
      <c r="AZ634" s="4">
        <v>-121.1948</v>
      </c>
      <c r="BA634" s="4">
        <v>632</v>
      </c>
    </row>
    <row r="635" spans="1:53" ht="14.25" customHeight="1" x14ac:dyDescent="0.2">
      <c r="A635" s="136" t="s">
        <v>422</v>
      </c>
      <c r="B635" s="4">
        <v>12</v>
      </c>
      <c r="C635" s="4" t="s">
        <v>1711</v>
      </c>
      <c r="D635" s="4">
        <v>1300</v>
      </c>
      <c r="E635" s="4">
        <v>12065</v>
      </c>
      <c r="F635" s="211" t="s">
        <v>4567</v>
      </c>
      <c r="G635" s="188" t="s">
        <v>4568</v>
      </c>
      <c r="H635" s="4" t="s">
        <v>4569</v>
      </c>
      <c r="I635" s="4" t="s">
        <v>49</v>
      </c>
      <c r="J635" s="4" t="s">
        <v>1746</v>
      </c>
      <c r="K635" s="4">
        <v>1</v>
      </c>
      <c r="L635" s="4">
        <v>14121</v>
      </c>
      <c r="M635" s="62"/>
      <c r="N635" s="231"/>
      <c r="P635" s="235"/>
      <c r="R635" s="231"/>
      <c r="T635" s="240"/>
      <c r="U635"/>
      <c r="AK635" s="9"/>
      <c r="AO635" s="267" t="s">
        <v>4567</v>
      </c>
      <c r="AP635" s="4">
        <v>1300</v>
      </c>
      <c r="AQ635" s="4" t="s">
        <v>1716</v>
      </c>
      <c r="AR635" s="4" t="s">
        <v>1717</v>
      </c>
      <c r="AS635" s="4" t="s">
        <v>1718</v>
      </c>
      <c r="AT635" s="4" t="s">
        <v>1835</v>
      </c>
      <c r="AU635" s="4" t="s">
        <v>1836</v>
      </c>
      <c r="AV635" s="4" t="s">
        <v>1720</v>
      </c>
      <c r="AW635" s="4" t="s">
        <v>2368</v>
      </c>
      <c r="AX635" s="4" t="s">
        <v>2492</v>
      </c>
      <c r="AY635" s="4">
        <v>50.475299999999997</v>
      </c>
      <c r="AZ635" s="4">
        <v>-121.2149</v>
      </c>
      <c r="BA635" s="4">
        <v>1110</v>
      </c>
    </row>
    <row r="636" spans="1:53" ht="14.25" customHeight="1" x14ac:dyDescent="0.2">
      <c r="A636" s="136" t="s">
        <v>422</v>
      </c>
      <c r="B636" s="4">
        <v>12</v>
      </c>
      <c r="C636" s="4" t="s">
        <v>1711</v>
      </c>
      <c r="D636" s="4">
        <v>1301</v>
      </c>
      <c r="E636" s="4">
        <v>12067</v>
      </c>
      <c r="F636" s="16" t="s">
        <v>4570</v>
      </c>
      <c r="G636" s="4" t="s">
        <v>4571</v>
      </c>
      <c r="H636" s="4" t="s">
        <v>4572</v>
      </c>
      <c r="I636" s="4" t="s">
        <v>49</v>
      </c>
      <c r="J636" s="4" t="s">
        <v>1746</v>
      </c>
      <c r="K636" s="4">
        <v>1</v>
      </c>
      <c r="L636" s="4">
        <v>14123</v>
      </c>
      <c r="M636" s="62"/>
      <c r="N636" s="231"/>
      <c r="P636" s="231"/>
      <c r="R636" s="231"/>
      <c r="T636" s="240"/>
      <c r="U636"/>
      <c r="AK636" s="9"/>
      <c r="AO636" s="267" t="s">
        <v>4570</v>
      </c>
      <c r="AP636" s="4">
        <v>1301</v>
      </c>
      <c r="AQ636" s="4" t="s">
        <v>1716</v>
      </c>
      <c r="AR636" s="4" t="s">
        <v>1717</v>
      </c>
      <c r="AS636" s="4" t="s">
        <v>1718</v>
      </c>
      <c r="AT636" s="4" t="s">
        <v>1835</v>
      </c>
      <c r="AU636" s="4" t="s">
        <v>1836</v>
      </c>
      <c r="AW636" s="4" t="s">
        <v>2193</v>
      </c>
      <c r="AX636" s="4" t="s">
        <v>2283</v>
      </c>
      <c r="AY636" s="4">
        <v>51.871000000000002</v>
      </c>
      <c r="AZ636" s="4">
        <v>-124.792</v>
      </c>
      <c r="BA636" s="4">
        <v>1511</v>
      </c>
    </row>
    <row r="637" spans="1:53" ht="14.25" customHeight="1" x14ac:dyDescent="0.2">
      <c r="A637" s="136" t="s">
        <v>422</v>
      </c>
      <c r="B637" s="4">
        <v>12</v>
      </c>
      <c r="C637" s="4" t="s">
        <v>1711</v>
      </c>
      <c r="D637" s="4">
        <v>1302</v>
      </c>
      <c r="E637" s="4">
        <v>12066</v>
      </c>
      <c r="F637" s="16" t="s">
        <v>4573</v>
      </c>
      <c r="G637" s="4" t="s">
        <v>4574</v>
      </c>
      <c r="H637" s="4" t="s">
        <v>4575</v>
      </c>
      <c r="I637" s="4" t="s">
        <v>49</v>
      </c>
      <c r="J637" s="4" t="s">
        <v>1746</v>
      </c>
      <c r="K637" s="4">
        <v>1</v>
      </c>
      <c r="L637" s="4">
        <v>14122</v>
      </c>
      <c r="M637" s="6"/>
      <c r="U637"/>
      <c r="AK637" s="9"/>
      <c r="AO637" s="267" t="s">
        <v>4573</v>
      </c>
      <c r="AP637" s="4">
        <v>1302</v>
      </c>
      <c r="AQ637" s="4" t="s">
        <v>1716</v>
      </c>
      <c r="AR637" s="4" t="s">
        <v>1717</v>
      </c>
      <c r="AS637" s="4" t="s">
        <v>1718</v>
      </c>
      <c r="AT637" s="4" t="s">
        <v>1835</v>
      </c>
      <c r="AU637" s="4" t="s">
        <v>1836</v>
      </c>
      <c r="AW637" s="4" t="s">
        <v>2193</v>
      </c>
      <c r="AX637" s="4" t="s">
        <v>2291</v>
      </c>
      <c r="AY637" s="4">
        <v>52.1843</v>
      </c>
      <c r="AZ637" s="4">
        <v>-122.0638</v>
      </c>
      <c r="BA637" s="4">
        <v>940</v>
      </c>
    </row>
    <row r="638" spans="1:53" ht="14.25" customHeight="1" x14ac:dyDescent="0.2">
      <c r="A638" s="136" t="s">
        <v>422</v>
      </c>
      <c r="B638" s="4">
        <v>12</v>
      </c>
      <c r="C638" s="4" t="s">
        <v>1711</v>
      </c>
      <c r="D638" s="4">
        <v>1303</v>
      </c>
      <c r="E638" s="4">
        <v>12069</v>
      </c>
      <c r="F638" s="16" t="s">
        <v>4576</v>
      </c>
      <c r="G638" s="188" t="s">
        <v>4577</v>
      </c>
      <c r="H638" s="4" t="s">
        <v>4578</v>
      </c>
      <c r="I638" s="4" t="s">
        <v>49</v>
      </c>
      <c r="J638" s="4" t="s">
        <v>1746</v>
      </c>
      <c r="K638" s="4">
        <v>1</v>
      </c>
      <c r="L638" s="4">
        <v>14125</v>
      </c>
      <c r="M638" s="6"/>
      <c r="U638"/>
      <c r="AK638" s="9"/>
      <c r="AO638" s="267" t="s">
        <v>4576</v>
      </c>
      <c r="AP638" s="4">
        <v>1303</v>
      </c>
      <c r="AQ638" s="4" t="s">
        <v>1716</v>
      </c>
      <c r="AR638" s="4" t="s">
        <v>1717</v>
      </c>
      <c r="AS638" s="4" t="s">
        <v>1718</v>
      </c>
      <c r="AT638" s="4" t="s">
        <v>1835</v>
      </c>
      <c r="AU638" s="4" t="s">
        <v>1836</v>
      </c>
      <c r="AV638" s="4" t="s">
        <v>1720</v>
      </c>
      <c r="AW638" s="4" t="s">
        <v>2193</v>
      </c>
      <c r="AX638" s="4" t="s">
        <v>2194</v>
      </c>
      <c r="AY638" s="4">
        <v>52.917999999999999</v>
      </c>
      <c r="AZ638" s="4">
        <v>-123.91800000000001</v>
      </c>
      <c r="BA638" s="4">
        <v>1114</v>
      </c>
    </row>
    <row r="639" spans="1:53" ht="14.25" customHeight="1" x14ac:dyDescent="0.2">
      <c r="A639" s="136" t="s">
        <v>422</v>
      </c>
      <c r="B639" s="4">
        <v>12</v>
      </c>
      <c r="C639" s="4" t="s">
        <v>1711</v>
      </c>
      <c r="D639" s="4">
        <v>1304</v>
      </c>
      <c r="E639" s="4">
        <v>12070</v>
      </c>
      <c r="F639" s="16" t="s">
        <v>4579</v>
      </c>
      <c r="G639" s="188" t="s">
        <v>4580</v>
      </c>
      <c r="H639" s="4" t="s">
        <v>4581</v>
      </c>
      <c r="I639" s="4" t="s">
        <v>49</v>
      </c>
      <c r="J639" s="4" t="s">
        <v>1746</v>
      </c>
      <c r="K639" s="4">
        <v>1</v>
      </c>
      <c r="L639" s="4">
        <v>14126</v>
      </c>
      <c r="M639" s="6"/>
      <c r="U639"/>
      <c r="AK639" s="9"/>
      <c r="AO639" s="267" t="s">
        <v>4579</v>
      </c>
      <c r="AP639" s="4">
        <v>1304</v>
      </c>
      <c r="AQ639" s="4" t="s">
        <v>1716</v>
      </c>
      <c r="AR639" s="4" t="s">
        <v>1717</v>
      </c>
      <c r="AS639" s="4" t="s">
        <v>1718</v>
      </c>
      <c r="AT639" s="4" t="s">
        <v>1835</v>
      </c>
      <c r="AU639" s="4" t="s">
        <v>1836</v>
      </c>
      <c r="AW639" s="4" t="s">
        <v>2193</v>
      </c>
      <c r="AX639" s="4" t="s">
        <v>2194</v>
      </c>
      <c r="AY639" s="4">
        <v>52.6785</v>
      </c>
      <c r="AZ639" s="4">
        <v>-122.8884</v>
      </c>
      <c r="BA639" s="4">
        <v>1200</v>
      </c>
    </row>
    <row r="640" spans="1:53" ht="14.25" customHeight="1" x14ac:dyDescent="0.2">
      <c r="A640" s="136" t="s">
        <v>422</v>
      </c>
      <c r="B640" s="4">
        <v>12</v>
      </c>
      <c r="C640" s="4" t="s">
        <v>1711</v>
      </c>
      <c r="D640" s="4">
        <v>1305</v>
      </c>
      <c r="E640" s="4">
        <v>12071</v>
      </c>
      <c r="F640" s="16" t="s">
        <v>4582</v>
      </c>
      <c r="G640" s="188" t="s">
        <v>4583</v>
      </c>
      <c r="H640" s="4" t="s">
        <v>4584</v>
      </c>
      <c r="I640" s="4" t="s">
        <v>49</v>
      </c>
      <c r="J640" s="4" t="s">
        <v>1746</v>
      </c>
      <c r="K640" s="4">
        <v>1</v>
      </c>
      <c r="L640" s="4">
        <v>14127</v>
      </c>
      <c r="M640" s="62"/>
      <c r="N640" s="231"/>
      <c r="R640" s="231"/>
      <c r="T640" s="240"/>
      <c r="U640"/>
      <c r="AK640" s="9"/>
      <c r="AO640" s="267" t="s">
        <v>4582</v>
      </c>
      <c r="AP640" s="4">
        <v>1305</v>
      </c>
      <c r="AQ640" s="4" t="s">
        <v>1716</v>
      </c>
      <c r="AR640" s="4" t="s">
        <v>2441</v>
      </c>
      <c r="AS640" s="4" t="s">
        <v>1718</v>
      </c>
      <c r="AT640" s="4" t="s">
        <v>1835</v>
      </c>
      <c r="AU640" s="4" t="s">
        <v>1836</v>
      </c>
      <c r="AV640" s="4" t="s">
        <v>1720</v>
      </c>
      <c r="AW640" s="4" t="s">
        <v>2698</v>
      </c>
      <c r="AX640" s="4" t="s">
        <v>2801</v>
      </c>
      <c r="AY640" s="4">
        <v>49.569099999999999</v>
      </c>
      <c r="AZ640" s="4">
        <v>-117.0309</v>
      </c>
      <c r="BA640" s="4">
        <v>1681</v>
      </c>
    </row>
    <row r="641" spans="1:53" ht="14.25" customHeight="1" x14ac:dyDescent="0.2">
      <c r="A641" s="136" t="s">
        <v>422</v>
      </c>
      <c r="B641" s="4">
        <v>12</v>
      </c>
      <c r="C641" s="4" t="s">
        <v>1711</v>
      </c>
      <c r="D641" s="4">
        <v>1306</v>
      </c>
      <c r="E641" s="4">
        <v>12072</v>
      </c>
      <c r="F641" s="16" t="s">
        <v>4585</v>
      </c>
      <c r="G641" s="4" t="s">
        <v>4586</v>
      </c>
      <c r="H641" s="4" t="s">
        <v>4587</v>
      </c>
      <c r="I641" s="4" t="s">
        <v>49</v>
      </c>
      <c r="J641" s="4" t="s">
        <v>1746</v>
      </c>
      <c r="K641" s="4">
        <v>1</v>
      </c>
      <c r="L641" s="4">
        <v>14128</v>
      </c>
      <c r="M641" s="6"/>
      <c r="U641"/>
      <c r="AK641" s="9"/>
      <c r="AO641" s="267" t="s">
        <v>4585</v>
      </c>
      <c r="AP641" s="4">
        <v>1306</v>
      </c>
      <c r="AQ641" s="4" t="s">
        <v>1716</v>
      </c>
      <c r="AR641" s="4" t="s">
        <v>1717</v>
      </c>
      <c r="AS641" s="4" t="s">
        <v>1718</v>
      </c>
      <c r="AT641" s="4" t="s">
        <v>1835</v>
      </c>
      <c r="AU641" s="4" t="s">
        <v>1836</v>
      </c>
      <c r="AV641" s="4" t="s">
        <v>1720</v>
      </c>
      <c r="AW641" s="4" t="s">
        <v>2698</v>
      </c>
      <c r="AX641" s="4" t="s">
        <v>2768</v>
      </c>
      <c r="AY641" s="4">
        <v>50.182499999999997</v>
      </c>
      <c r="AZ641" s="4">
        <v>-115.3049</v>
      </c>
      <c r="BA641" s="4">
        <v>1465</v>
      </c>
    </row>
    <row r="642" spans="1:53" ht="14.25" customHeight="1" x14ac:dyDescent="0.2">
      <c r="A642" s="136" t="s">
        <v>422</v>
      </c>
      <c r="B642" s="4">
        <v>12</v>
      </c>
      <c r="C642" s="4" t="s">
        <v>1711</v>
      </c>
      <c r="D642" s="4">
        <v>1316</v>
      </c>
      <c r="E642" s="4">
        <v>12329</v>
      </c>
      <c r="F642" s="16" t="s">
        <v>4595</v>
      </c>
      <c r="G642" s="188" t="s">
        <v>4596</v>
      </c>
      <c r="H642" s="4" t="s">
        <v>4597</v>
      </c>
      <c r="I642" s="4" t="s">
        <v>49</v>
      </c>
      <c r="J642" s="4" t="s">
        <v>1746</v>
      </c>
      <c r="K642" s="4">
        <v>1</v>
      </c>
      <c r="L642" s="4">
        <v>14384</v>
      </c>
      <c r="M642" s="62"/>
      <c r="N642" s="231"/>
      <c r="R642" s="231"/>
      <c r="T642" s="240"/>
      <c r="U642"/>
      <c r="AK642" s="9"/>
      <c r="AO642" s="267" t="s">
        <v>4595</v>
      </c>
      <c r="AP642" s="4">
        <v>1316</v>
      </c>
      <c r="AQ642" s="4" t="s">
        <v>1716</v>
      </c>
      <c r="AR642" s="4" t="s">
        <v>1717</v>
      </c>
      <c r="AS642" s="4" t="s">
        <v>2257</v>
      </c>
      <c r="AT642" s="4" t="s">
        <v>1835</v>
      </c>
      <c r="AU642" s="4" t="s">
        <v>1836</v>
      </c>
      <c r="AV642" s="4" t="s">
        <v>1720</v>
      </c>
      <c r="AW642" s="4" t="s">
        <v>2368</v>
      </c>
      <c r="AX642" s="4" t="s">
        <v>2505</v>
      </c>
      <c r="AY642" s="4">
        <v>50.417200000000001</v>
      </c>
      <c r="AZ642" s="4">
        <v>-121.375</v>
      </c>
      <c r="BA642" s="4">
        <v>383</v>
      </c>
    </row>
    <row r="643" spans="1:53" ht="14.25" customHeight="1" x14ac:dyDescent="0.2">
      <c r="A643" s="136" t="s">
        <v>422</v>
      </c>
      <c r="B643" s="4">
        <v>12</v>
      </c>
      <c r="C643" s="4" t="s">
        <v>1711</v>
      </c>
      <c r="D643" s="4">
        <v>1317</v>
      </c>
      <c r="E643" s="4">
        <v>12330</v>
      </c>
      <c r="F643" s="16" t="s">
        <v>4598</v>
      </c>
      <c r="G643" s="4" t="s">
        <v>4599</v>
      </c>
      <c r="H643" s="4" t="s">
        <v>4600</v>
      </c>
      <c r="I643" s="4" t="s">
        <v>49</v>
      </c>
      <c r="J643" s="4" t="s">
        <v>1746</v>
      </c>
      <c r="K643" s="4">
        <v>1</v>
      </c>
      <c r="L643" s="4">
        <v>14385</v>
      </c>
      <c r="M643" s="62"/>
      <c r="N643" s="231"/>
      <c r="R643" s="231"/>
      <c r="T643" s="240"/>
      <c r="U643"/>
      <c r="AK643" s="9"/>
      <c r="AO643" s="267" t="s">
        <v>4598</v>
      </c>
      <c r="AP643" s="4">
        <v>1317</v>
      </c>
      <c r="AQ643" s="4" t="s">
        <v>1716</v>
      </c>
      <c r="AR643" s="4" t="s">
        <v>1717</v>
      </c>
      <c r="AS643" s="4" t="s">
        <v>1718</v>
      </c>
      <c r="AT643" s="4" t="s">
        <v>1835</v>
      </c>
      <c r="AU643" s="4" t="s">
        <v>1836</v>
      </c>
      <c r="AV643" s="4" t="s">
        <v>1720</v>
      </c>
      <c r="AW643" s="4" t="s">
        <v>2698</v>
      </c>
      <c r="AX643" s="4" t="s">
        <v>2801</v>
      </c>
      <c r="AY643" s="4">
        <v>50.44</v>
      </c>
      <c r="AZ643" s="4">
        <v>-117.1422</v>
      </c>
      <c r="BA643" s="4">
        <v>1068</v>
      </c>
    </row>
    <row r="644" spans="1:53" ht="14.25" customHeight="1" x14ac:dyDescent="0.2">
      <c r="A644" s="136" t="s">
        <v>422</v>
      </c>
      <c r="B644" s="4">
        <v>12</v>
      </c>
      <c r="C644" s="4" t="s">
        <v>1711</v>
      </c>
      <c r="D644" s="4">
        <v>1319</v>
      </c>
      <c r="E644" s="4">
        <v>12332</v>
      </c>
      <c r="F644" s="16" t="s">
        <v>4604</v>
      </c>
      <c r="G644" s="188" t="s">
        <v>4605</v>
      </c>
      <c r="H644" s="4" t="s">
        <v>4606</v>
      </c>
      <c r="I644" s="4" t="s">
        <v>49</v>
      </c>
      <c r="J644" s="4" t="s">
        <v>1746</v>
      </c>
      <c r="K644" s="4">
        <v>1</v>
      </c>
      <c r="L644" s="4">
        <v>14388</v>
      </c>
      <c r="M644" s="6"/>
      <c r="U644"/>
      <c r="AK644" s="9"/>
      <c r="AO644" s="267" t="s">
        <v>4604</v>
      </c>
      <c r="AP644" s="4">
        <v>1319</v>
      </c>
      <c r="AQ644" s="4" t="s">
        <v>1716</v>
      </c>
      <c r="AR644" s="4" t="s">
        <v>1717</v>
      </c>
      <c r="AS644" s="4" t="s">
        <v>1718</v>
      </c>
      <c r="AT644" s="4" t="s">
        <v>1835</v>
      </c>
      <c r="AU644" s="4" t="s">
        <v>1836</v>
      </c>
      <c r="AV644" s="4" t="s">
        <v>1720</v>
      </c>
      <c r="AW644" s="4" t="s">
        <v>2368</v>
      </c>
      <c r="AX644" s="4" t="s">
        <v>2369</v>
      </c>
      <c r="AY644" s="4">
        <v>51.150799999999997</v>
      </c>
      <c r="AZ644" s="4">
        <v>-120.8506</v>
      </c>
      <c r="BA644" s="4">
        <v>1065</v>
      </c>
    </row>
    <row r="645" spans="1:53" ht="14.25" customHeight="1" x14ac:dyDescent="0.2">
      <c r="A645" s="136" t="s">
        <v>422</v>
      </c>
      <c r="B645" s="4">
        <v>12</v>
      </c>
      <c r="C645" s="4" t="s">
        <v>1711</v>
      </c>
      <c r="D645" s="4">
        <v>1320</v>
      </c>
      <c r="E645" s="4">
        <v>12333</v>
      </c>
      <c r="F645" s="16" t="s">
        <v>4607</v>
      </c>
      <c r="G645" s="4" t="s">
        <v>4608</v>
      </c>
      <c r="H645" s="4" t="s">
        <v>4609</v>
      </c>
      <c r="I645" s="4" t="s">
        <v>49</v>
      </c>
      <c r="J645" s="4" t="s">
        <v>1746</v>
      </c>
      <c r="K645" s="4">
        <v>1</v>
      </c>
      <c r="L645" s="4">
        <v>14389</v>
      </c>
      <c r="M645" s="6"/>
      <c r="U645"/>
      <c r="AK645" s="9"/>
      <c r="AO645" s="267" t="s">
        <v>4607</v>
      </c>
      <c r="AP645" s="4">
        <v>1320</v>
      </c>
      <c r="AQ645" s="4" t="s">
        <v>1716</v>
      </c>
      <c r="AR645" s="4" t="s">
        <v>1717</v>
      </c>
      <c r="AS645" s="4" t="s">
        <v>1718</v>
      </c>
      <c r="AT645" s="4" t="s">
        <v>1835</v>
      </c>
      <c r="AU645" s="4" t="s">
        <v>1836</v>
      </c>
      <c r="AV645" s="4" t="s">
        <v>1720</v>
      </c>
      <c r="AW645" s="4" t="s">
        <v>2368</v>
      </c>
      <c r="AX645" s="4" t="s">
        <v>2505</v>
      </c>
      <c r="AY645" s="4">
        <v>50.636400000000002</v>
      </c>
      <c r="AZ645" s="4">
        <v>-122.43470000000001</v>
      </c>
      <c r="BA645" s="4">
        <v>603</v>
      </c>
    </row>
    <row r="646" spans="1:53" ht="14.25" customHeight="1" x14ac:dyDescent="0.2">
      <c r="A646" s="136" t="s">
        <v>422</v>
      </c>
      <c r="B646" s="4">
        <v>12</v>
      </c>
      <c r="C646" s="4" t="s">
        <v>1711</v>
      </c>
      <c r="D646" s="4">
        <v>1321</v>
      </c>
      <c r="E646" s="4">
        <v>12334</v>
      </c>
      <c r="F646" s="16" t="s">
        <v>4610</v>
      </c>
      <c r="G646" s="4" t="s">
        <v>4611</v>
      </c>
      <c r="H646" s="4" t="s">
        <v>4612</v>
      </c>
      <c r="I646" s="4" t="s">
        <v>49</v>
      </c>
      <c r="J646" s="4" t="s">
        <v>1746</v>
      </c>
      <c r="K646" s="4">
        <v>1</v>
      </c>
      <c r="L646" s="4">
        <v>14390</v>
      </c>
      <c r="M646" s="62"/>
      <c r="N646" s="231"/>
      <c r="P646" s="231"/>
      <c r="R646" s="231"/>
      <c r="T646" s="240"/>
      <c r="U646"/>
      <c r="AK646" s="9"/>
      <c r="AO646" s="267" t="s">
        <v>4610</v>
      </c>
      <c r="AP646" s="4">
        <v>1321</v>
      </c>
      <c r="AQ646" s="4" t="s">
        <v>1716</v>
      </c>
      <c r="AR646" s="4" t="s">
        <v>1717</v>
      </c>
      <c r="AS646" s="4" t="s">
        <v>1718</v>
      </c>
      <c r="AT646" s="4" t="s">
        <v>1835</v>
      </c>
      <c r="AU646" s="4" t="s">
        <v>1836</v>
      </c>
      <c r="AV646" s="4" t="s">
        <v>1720</v>
      </c>
      <c r="AW646" s="4" t="s">
        <v>2698</v>
      </c>
      <c r="AX646" s="4" t="s">
        <v>2801</v>
      </c>
      <c r="AY646" s="4">
        <v>49.898699999999998</v>
      </c>
      <c r="AZ646" s="4">
        <v>-117.0879</v>
      </c>
      <c r="BA646" s="4">
        <v>1227</v>
      </c>
    </row>
    <row r="647" spans="1:53" ht="14.25" customHeight="1" x14ac:dyDescent="0.2">
      <c r="A647" s="136" t="s">
        <v>422</v>
      </c>
      <c r="B647" s="4">
        <v>12</v>
      </c>
      <c r="C647" s="4" t="s">
        <v>1711</v>
      </c>
      <c r="D647" s="4">
        <v>1335</v>
      </c>
      <c r="E647" s="4">
        <v>12417</v>
      </c>
      <c r="F647" s="16" t="s">
        <v>4632</v>
      </c>
      <c r="G647" s="4" t="s">
        <v>4633</v>
      </c>
      <c r="H647" s="4" t="s">
        <v>4634</v>
      </c>
      <c r="I647" s="4" t="s">
        <v>49</v>
      </c>
      <c r="J647" s="4" t="s">
        <v>1746</v>
      </c>
      <c r="K647" s="4">
        <v>1</v>
      </c>
      <c r="L647" s="4">
        <v>14439</v>
      </c>
      <c r="M647" s="62"/>
      <c r="N647" s="231"/>
      <c r="P647" s="231"/>
      <c r="R647" s="231"/>
      <c r="T647" s="240"/>
      <c r="U647"/>
      <c r="AK647" s="9"/>
      <c r="AO647" s="267" t="s">
        <v>4632</v>
      </c>
      <c r="AP647" s="4">
        <v>1335</v>
      </c>
      <c r="AQ647" s="4" t="s">
        <v>1716</v>
      </c>
      <c r="AR647" s="4" t="s">
        <v>1717</v>
      </c>
      <c r="AS647" s="4" t="s">
        <v>1718</v>
      </c>
      <c r="AT647" s="4" t="s">
        <v>1835</v>
      </c>
      <c r="AU647" s="4" t="s">
        <v>1836</v>
      </c>
      <c r="AV647" s="4" t="s">
        <v>1720</v>
      </c>
      <c r="AW647" s="4" t="s">
        <v>1947</v>
      </c>
      <c r="AX647" s="4" t="s">
        <v>1973</v>
      </c>
      <c r="AY647" s="4">
        <v>54.673299999999998</v>
      </c>
      <c r="AZ647" s="4">
        <v>-127.97</v>
      </c>
      <c r="BA647" s="4">
        <v>500</v>
      </c>
    </row>
    <row r="648" spans="1:53" ht="14.25" customHeight="1" x14ac:dyDescent="0.2">
      <c r="A648" s="136" t="s">
        <v>422</v>
      </c>
      <c r="B648" s="4">
        <v>12</v>
      </c>
      <c r="C648" s="4" t="s">
        <v>1711</v>
      </c>
      <c r="D648" s="4">
        <v>1336</v>
      </c>
      <c r="E648" s="4">
        <v>12418</v>
      </c>
      <c r="F648" s="16" t="s">
        <v>4635</v>
      </c>
      <c r="G648" s="4" t="s">
        <v>4636</v>
      </c>
      <c r="H648" s="4" t="s">
        <v>4637</v>
      </c>
      <c r="I648" s="4" t="s">
        <v>49</v>
      </c>
      <c r="J648" s="4" t="s">
        <v>1746</v>
      </c>
      <c r="K648" s="4">
        <v>1</v>
      </c>
      <c r="L648" s="4">
        <v>14440</v>
      </c>
      <c r="M648" s="62"/>
      <c r="N648" s="231"/>
      <c r="P648" s="231"/>
      <c r="R648" s="231"/>
      <c r="T648" s="240"/>
      <c r="U648"/>
      <c r="AK648" s="9"/>
      <c r="AO648" s="267" t="s">
        <v>4635</v>
      </c>
      <c r="AP648" s="4">
        <v>1336</v>
      </c>
      <c r="AQ648" s="4" t="s">
        <v>1716</v>
      </c>
      <c r="AR648" s="4" t="s">
        <v>1717</v>
      </c>
      <c r="AS648" s="4" t="s">
        <v>2257</v>
      </c>
      <c r="AT648" s="4" t="s">
        <v>1835</v>
      </c>
      <c r="AU648" s="4" t="s">
        <v>1836</v>
      </c>
      <c r="AV648" s="4" t="s">
        <v>1720</v>
      </c>
      <c r="AW648" s="4" t="s">
        <v>2368</v>
      </c>
      <c r="AX648" s="4" t="s">
        <v>2516</v>
      </c>
      <c r="AY648" s="4">
        <v>49.0822</v>
      </c>
      <c r="AZ648" s="4">
        <v>-119.7294</v>
      </c>
      <c r="BA648" s="4">
        <v>392</v>
      </c>
    </row>
    <row r="649" spans="1:53" ht="14.25" customHeight="1" x14ac:dyDescent="0.2">
      <c r="A649" s="136" t="s">
        <v>422</v>
      </c>
      <c r="B649" s="4">
        <v>12</v>
      </c>
      <c r="C649" s="4" t="s">
        <v>1711</v>
      </c>
      <c r="D649" s="4">
        <v>1337</v>
      </c>
      <c r="E649" s="4">
        <v>12419</v>
      </c>
      <c r="F649" s="211" t="s">
        <v>4638</v>
      </c>
      <c r="G649" s="188" t="s">
        <v>4639</v>
      </c>
      <c r="H649" s="4" t="s">
        <v>4640</v>
      </c>
      <c r="I649" s="4" t="s">
        <v>49</v>
      </c>
      <c r="J649" s="4" t="s">
        <v>1746</v>
      </c>
      <c r="K649" s="4">
        <v>1</v>
      </c>
      <c r="L649" s="4">
        <v>14441</v>
      </c>
      <c r="M649" s="62"/>
      <c r="N649" s="231"/>
      <c r="R649" s="231"/>
      <c r="T649" s="240"/>
      <c r="U649"/>
      <c r="AK649" s="9"/>
      <c r="AO649" s="267" t="s">
        <v>4638</v>
      </c>
      <c r="AP649" s="4">
        <v>1337</v>
      </c>
      <c r="AQ649" s="4" t="s">
        <v>1716</v>
      </c>
      <c r="AR649" s="4" t="s">
        <v>1717</v>
      </c>
      <c r="AS649" s="4" t="s">
        <v>1718</v>
      </c>
      <c r="AT649" s="4" t="s">
        <v>1835</v>
      </c>
      <c r="AU649" s="4" t="s">
        <v>1836</v>
      </c>
      <c r="AV649" s="4" t="s">
        <v>1720</v>
      </c>
      <c r="AW649" s="4" t="s">
        <v>1947</v>
      </c>
      <c r="AX649" s="4" t="s">
        <v>1986</v>
      </c>
      <c r="AY649" s="4">
        <v>57.8613</v>
      </c>
      <c r="AZ649" s="4">
        <v>-131.38339999999999</v>
      </c>
      <c r="BA649" s="4">
        <v>855</v>
      </c>
    </row>
    <row r="650" spans="1:53" ht="14.25" customHeight="1" x14ac:dyDescent="0.2">
      <c r="A650" s="136" t="s">
        <v>422</v>
      </c>
      <c r="B650" s="4">
        <v>12</v>
      </c>
      <c r="C650" s="4" t="s">
        <v>1711</v>
      </c>
      <c r="D650" s="4">
        <v>1338</v>
      </c>
      <c r="E650" s="4">
        <v>12420</v>
      </c>
      <c r="F650" s="211" t="s">
        <v>4641</v>
      </c>
      <c r="G650" s="188" t="s">
        <v>4642</v>
      </c>
      <c r="H650" s="4" t="s">
        <v>4643</v>
      </c>
      <c r="I650" s="4" t="s">
        <v>49</v>
      </c>
      <c r="J650" s="4" t="s">
        <v>1746</v>
      </c>
      <c r="K650" s="4">
        <v>1</v>
      </c>
      <c r="L650" s="4">
        <v>14442</v>
      </c>
      <c r="M650" s="62"/>
      <c r="N650" s="231"/>
      <c r="P650" s="231"/>
      <c r="R650" s="231"/>
      <c r="T650" s="240"/>
      <c r="U650"/>
      <c r="AK650" s="9"/>
      <c r="AO650" s="267" t="s">
        <v>4641</v>
      </c>
      <c r="AP650" s="4">
        <v>1338</v>
      </c>
      <c r="AQ650" s="4" t="s">
        <v>1716</v>
      </c>
      <c r="AR650" s="4" t="s">
        <v>1717</v>
      </c>
      <c r="AS650" s="4" t="s">
        <v>2257</v>
      </c>
      <c r="AT650" s="4" t="s">
        <v>1835</v>
      </c>
      <c r="AW650" s="4" t="s">
        <v>2368</v>
      </c>
      <c r="AX650" s="4" t="s">
        <v>2492</v>
      </c>
      <c r="AY650" s="4">
        <v>49.7988</v>
      </c>
      <c r="AZ650" s="4">
        <v>-121.0778</v>
      </c>
      <c r="BA650" s="4">
        <v>100</v>
      </c>
    </row>
    <row r="651" spans="1:53" ht="14.25" customHeight="1" x14ac:dyDescent="0.2">
      <c r="A651" s="136" t="s">
        <v>422</v>
      </c>
      <c r="B651" s="4">
        <v>12</v>
      </c>
      <c r="C651" s="4" t="s">
        <v>1711</v>
      </c>
      <c r="D651" s="4">
        <v>1340</v>
      </c>
      <c r="E651" s="4">
        <v>12421</v>
      </c>
      <c r="F651" s="16" t="s">
        <v>4648</v>
      </c>
      <c r="G651" s="4" t="s">
        <v>4649</v>
      </c>
      <c r="H651" s="4" t="s">
        <v>4650</v>
      </c>
      <c r="I651" s="4" t="s">
        <v>49</v>
      </c>
      <c r="J651" s="4" t="s">
        <v>1746</v>
      </c>
      <c r="K651" s="4">
        <v>1</v>
      </c>
      <c r="L651" s="4">
        <v>14443</v>
      </c>
      <c r="M651" s="62"/>
      <c r="N651" s="231"/>
      <c r="P651" s="231"/>
      <c r="R651" s="231"/>
      <c r="T651" s="240"/>
      <c r="U651"/>
      <c r="AK651" s="9"/>
      <c r="AO651" s="267" t="s">
        <v>4648</v>
      </c>
      <c r="AP651" s="4">
        <v>1340</v>
      </c>
      <c r="AQ651" s="4" t="s">
        <v>1716</v>
      </c>
      <c r="AR651" s="4" t="s">
        <v>1717</v>
      </c>
      <c r="AS651" s="4" t="s">
        <v>1718</v>
      </c>
      <c r="AT651" s="4" t="s">
        <v>1835</v>
      </c>
      <c r="AU651" s="4" t="s">
        <v>1836</v>
      </c>
      <c r="AV651" s="4" t="s">
        <v>1720</v>
      </c>
      <c r="AW651" s="4" t="s">
        <v>2698</v>
      </c>
      <c r="AX651" s="4" t="s">
        <v>2902</v>
      </c>
      <c r="AY651" s="4">
        <v>49.598500000000001</v>
      </c>
      <c r="AZ651" s="4">
        <v>-116.26909999999999</v>
      </c>
      <c r="BA651" s="4">
        <v>1116</v>
      </c>
    </row>
    <row r="652" spans="1:53" ht="14.25" customHeight="1" x14ac:dyDescent="0.2">
      <c r="A652" s="136" t="s">
        <v>422</v>
      </c>
      <c r="B652" s="4">
        <v>12</v>
      </c>
      <c r="C652" s="4" t="s">
        <v>1711</v>
      </c>
      <c r="D652" s="4">
        <v>1341</v>
      </c>
      <c r="E652" s="4">
        <v>12422</v>
      </c>
      <c r="F652" s="16" t="s">
        <v>4651</v>
      </c>
      <c r="G652" s="4" t="s">
        <v>4652</v>
      </c>
      <c r="H652" s="4" t="s">
        <v>4653</v>
      </c>
      <c r="I652" s="4" t="s">
        <v>49</v>
      </c>
      <c r="J652" s="4" t="s">
        <v>1746</v>
      </c>
      <c r="K652" s="4">
        <v>1</v>
      </c>
      <c r="L652" s="4">
        <v>14444</v>
      </c>
      <c r="M652" s="62"/>
      <c r="N652" s="231"/>
      <c r="R652" s="231"/>
      <c r="T652" s="240"/>
      <c r="U652"/>
      <c r="AK652" s="9"/>
      <c r="AO652" s="267" t="s">
        <v>4651</v>
      </c>
      <c r="AP652" s="4">
        <v>1341</v>
      </c>
      <c r="AQ652" s="4" t="s">
        <v>1716</v>
      </c>
      <c r="AR652" s="4" t="s">
        <v>1717</v>
      </c>
      <c r="AS652" s="4" t="s">
        <v>1718</v>
      </c>
      <c r="AT652" s="4" t="s">
        <v>1835</v>
      </c>
      <c r="AU652" s="4" t="s">
        <v>1836</v>
      </c>
      <c r="AV652" s="4" t="s">
        <v>1720</v>
      </c>
      <c r="AW652" s="4" t="s">
        <v>2698</v>
      </c>
      <c r="AX652" s="4" t="s">
        <v>2797</v>
      </c>
      <c r="AY652" s="4">
        <v>49.408799999999999</v>
      </c>
      <c r="AZ652" s="4">
        <v>-117.96040000000001</v>
      </c>
      <c r="BA652" s="4">
        <v>863</v>
      </c>
    </row>
    <row r="653" spans="1:53" ht="14.25" customHeight="1" x14ac:dyDescent="0.2">
      <c r="A653" s="136" t="s">
        <v>422</v>
      </c>
      <c r="B653" s="4">
        <v>12</v>
      </c>
      <c r="C653" s="4" t="s">
        <v>1711</v>
      </c>
      <c r="D653" s="4">
        <v>1342</v>
      </c>
      <c r="E653" s="4">
        <v>12424</v>
      </c>
      <c r="F653" s="211" t="s">
        <v>4654</v>
      </c>
      <c r="G653" s="188" t="s">
        <v>4655</v>
      </c>
      <c r="H653" s="4" t="s">
        <v>4656</v>
      </c>
      <c r="I653" s="4" t="s">
        <v>49</v>
      </c>
      <c r="J653" s="4" t="s">
        <v>1746</v>
      </c>
      <c r="K653" s="4">
        <v>1</v>
      </c>
      <c r="L653" s="4">
        <v>14446</v>
      </c>
      <c r="M653" s="6"/>
      <c r="U653"/>
      <c r="AK653" s="9"/>
      <c r="AO653" s="65" t="s">
        <v>4654</v>
      </c>
      <c r="AP653" s="4">
        <v>1342</v>
      </c>
      <c r="AQ653" s="4" t="s">
        <v>1716</v>
      </c>
      <c r="AR653" s="4" t="s">
        <v>1717</v>
      </c>
      <c r="AS653" s="4" t="s">
        <v>1718</v>
      </c>
      <c r="AT653" s="4" t="s">
        <v>1835</v>
      </c>
      <c r="AU653" s="4" t="s">
        <v>1836</v>
      </c>
      <c r="AV653" s="4" t="s">
        <v>1720</v>
      </c>
      <c r="AW653" s="4" t="s">
        <v>2368</v>
      </c>
      <c r="AX653" s="4" t="s">
        <v>2492</v>
      </c>
      <c r="AY653" s="4">
        <v>49.181899999999999</v>
      </c>
      <c r="AZ653" s="4">
        <v>-120.41670000000001</v>
      </c>
      <c r="BA653" s="4">
        <v>1925</v>
      </c>
    </row>
    <row r="654" spans="1:53" ht="14.25" customHeight="1" x14ac:dyDescent="0.2">
      <c r="A654" s="136" t="s">
        <v>422</v>
      </c>
      <c r="B654" s="4">
        <v>12</v>
      </c>
      <c r="C654" s="4" t="s">
        <v>1711</v>
      </c>
      <c r="D654" s="4">
        <v>1343</v>
      </c>
      <c r="E654" s="4">
        <v>12425</v>
      </c>
      <c r="F654" s="211" t="s">
        <v>4657</v>
      </c>
      <c r="G654" s="188" t="s">
        <v>4658</v>
      </c>
      <c r="H654" s="4" t="s">
        <v>4659</v>
      </c>
      <c r="I654" s="4" t="s">
        <v>49</v>
      </c>
      <c r="J654" s="4" t="s">
        <v>1746</v>
      </c>
      <c r="K654" s="4">
        <v>1</v>
      </c>
      <c r="L654" s="4">
        <v>14447</v>
      </c>
      <c r="M654" s="62"/>
      <c r="N654" s="231"/>
      <c r="P654" s="231"/>
      <c r="R654" s="231"/>
      <c r="T654" s="240"/>
      <c r="U654"/>
      <c r="AK654" s="9"/>
      <c r="AO654" s="267" t="s">
        <v>4657</v>
      </c>
      <c r="AP654" s="4">
        <v>1343</v>
      </c>
      <c r="AQ654" s="4" t="s">
        <v>1716</v>
      </c>
      <c r="AR654" s="4" t="s">
        <v>1717</v>
      </c>
      <c r="AS654" s="4" t="s">
        <v>1718</v>
      </c>
      <c r="AT654" s="4" t="s">
        <v>1835</v>
      </c>
      <c r="AU654" s="4" t="s">
        <v>1836</v>
      </c>
      <c r="AV654" s="4" t="s">
        <v>1720</v>
      </c>
      <c r="AW654" s="4" t="s">
        <v>2368</v>
      </c>
      <c r="AX654" s="4" t="s">
        <v>2516</v>
      </c>
      <c r="AY654" s="4">
        <v>49.266100000000002</v>
      </c>
      <c r="AZ654" s="4">
        <v>-119.9158</v>
      </c>
      <c r="BA654" s="4">
        <v>1929</v>
      </c>
    </row>
    <row r="655" spans="1:53" ht="14.25" customHeight="1" x14ac:dyDescent="0.2">
      <c r="A655" s="136" t="s">
        <v>422</v>
      </c>
      <c r="B655" s="4">
        <v>12</v>
      </c>
      <c r="C655" s="4" t="s">
        <v>1711</v>
      </c>
      <c r="D655" s="4">
        <v>1351</v>
      </c>
      <c r="E655" s="4">
        <v>12443</v>
      </c>
      <c r="F655" s="16" t="s">
        <v>4677</v>
      </c>
      <c r="G655" s="4" t="s">
        <v>4678</v>
      </c>
      <c r="H655" s="4" t="s">
        <v>4679</v>
      </c>
      <c r="I655" s="4" t="s">
        <v>49</v>
      </c>
      <c r="J655" s="4" t="s">
        <v>1746</v>
      </c>
      <c r="K655" s="4">
        <v>1</v>
      </c>
      <c r="L655" s="4">
        <v>14465</v>
      </c>
      <c r="M655" s="62"/>
      <c r="N655" s="231"/>
      <c r="R655" s="231"/>
      <c r="T655" s="240"/>
      <c r="U655"/>
      <c r="AK655" s="9"/>
      <c r="AO655" s="267" t="s">
        <v>4677</v>
      </c>
      <c r="AP655" s="4">
        <v>1351</v>
      </c>
      <c r="AQ655" s="4" t="s">
        <v>1716</v>
      </c>
      <c r="AR655" s="4" t="s">
        <v>1717</v>
      </c>
      <c r="AS655" s="4" t="s">
        <v>1718</v>
      </c>
      <c r="AT655" s="4" t="s">
        <v>1835</v>
      </c>
      <c r="AU655" s="4" t="s">
        <v>1836</v>
      </c>
      <c r="AV655" s="4" t="s">
        <v>1720</v>
      </c>
      <c r="AW655" s="4" t="s">
        <v>2368</v>
      </c>
      <c r="AX655" s="4" t="s">
        <v>2516</v>
      </c>
      <c r="AY655" s="4">
        <v>49.19</v>
      </c>
      <c r="AZ655" s="4">
        <v>-120.0042</v>
      </c>
      <c r="BA655" s="4">
        <v>570</v>
      </c>
    </row>
    <row r="656" spans="1:53" ht="14.25" customHeight="1" x14ac:dyDescent="0.2">
      <c r="A656" s="136" t="s">
        <v>422</v>
      </c>
      <c r="B656" s="4">
        <v>12</v>
      </c>
      <c r="C656" s="4" t="s">
        <v>1711</v>
      </c>
      <c r="D656" s="4">
        <v>1355</v>
      </c>
      <c r="E656" s="4">
        <v>12449</v>
      </c>
      <c r="F656" s="16" t="s">
        <v>4683</v>
      </c>
      <c r="G656" s="4" t="s">
        <v>4684</v>
      </c>
      <c r="H656" s="4" t="s">
        <v>4685</v>
      </c>
      <c r="I656" s="4" t="s">
        <v>49</v>
      </c>
      <c r="J656" s="4" t="s">
        <v>1746</v>
      </c>
      <c r="K656" s="4">
        <v>1</v>
      </c>
      <c r="L656" s="4">
        <v>14471</v>
      </c>
      <c r="M656" s="62"/>
      <c r="N656" s="231"/>
      <c r="P656" s="231"/>
      <c r="R656" s="231"/>
      <c r="T656" s="240"/>
      <c r="U656"/>
      <c r="AK656" s="9"/>
      <c r="AO656" s="267" t="s">
        <v>4683</v>
      </c>
      <c r="AP656" s="4">
        <v>1355</v>
      </c>
      <c r="AQ656" s="4" t="s">
        <v>1716</v>
      </c>
      <c r="AR656" s="4" t="s">
        <v>1717</v>
      </c>
      <c r="AS656" s="4" t="s">
        <v>1718</v>
      </c>
      <c r="AT656" s="4" t="s">
        <v>1835</v>
      </c>
      <c r="AU656" s="4" t="s">
        <v>1836</v>
      </c>
      <c r="AV656" s="4" t="s">
        <v>1720</v>
      </c>
      <c r="AW656" s="4" t="s">
        <v>2698</v>
      </c>
      <c r="AX656" s="4" t="s">
        <v>2801</v>
      </c>
      <c r="AY656" s="4">
        <v>49.2761</v>
      </c>
      <c r="AZ656" s="4">
        <v>-116.3724</v>
      </c>
      <c r="BA656" s="4">
        <v>1330</v>
      </c>
    </row>
    <row r="657" spans="1:53" ht="14.25" customHeight="1" x14ac:dyDescent="0.2">
      <c r="A657" s="136" t="s">
        <v>422</v>
      </c>
      <c r="B657" s="4">
        <v>12</v>
      </c>
      <c r="C657" s="4" t="s">
        <v>1711</v>
      </c>
      <c r="D657" s="4">
        <v>1382</v>
      </c>
      <c r="E657" s="4">
        <v>12457</v>
      </c>
      <c r="F657" s="211" t="s">
        <v>4703</v>
      </c>
      <c r="G657" s="4" t="s">
        <v>4704</v>
      </c>
      <c r="H657" s="4" t="s">
        <v>4705</v>
      </c>
      <c r="I657" s="4" t="s">
        <v>49</v>
      </c>
      <c r="J657" s="4" t="s">
        <v>1746</v>
      </c>
      <c r="K657" s="4">
        <v>1</v>
      </c>
      <c r="L657" s="4">
        <v>14479</v>
      </c>
      <c r="M657" s="62"/>
      <c r="N657" s="231"/>
      <c r="P657" s="231"/>
      <c r="R657" s="231"/>
      <c r="T657" s="240"/>
      <c r="U657"/>
      <c r="AK657" s="9"/>
      <c r="AO657" s="267" t="s">
        <v>4703</v>
      </c>
      <c r="AP657" s="4">
        <v>1382</v>
      </c>
      <c r="AQ657" s="4" t="s">
        <v>1716</v>
      </c>
      <c r="AR657" s="4" t="s">
        <v>1717</v>
      </c>
      <c r="AS657" s="4" t="s">
        <v>1718</v>
      </c>
      <c r="AT657" s="4" t="s">
        <v>1835</v>
      </c>
      <c r="AU657" s="4" t="s">
        <v>1836</v>
      </c>
      <c r="AW657" s="4" t="s">
        <v>2368</v>
      </c>
      <c r="AX657" s="4" t="s">
        <v>2516</v>
      </c>
      <c r="AY657" s="4">
        <v>49.115600000000001</v>
      </c>
      <c r="AZ657" s="4">
        <v>-119.6758</v>
      </c>
      <c r="BA657" s="4">
        <v>1865</v>
      </c>
    </row>
    <row r="658" spans="1:53" ht="14.25" customHeight="1" x14ac:dyDescent="0.2">
      <c r="A658" s="136" t="s">
        <v>422</v>
      </c>
      <c r="B658" s="4">
        <v>12</v>
      </c>
      <c r="C658" s="4" t="s">
        <v>1711</v>
      </c>
      <c r="D658" s="4">
        <v>1384</v>
      </c>
      <c r="E658" s="4">
        <v>12459</v>
      </c>
      <c r="F658" s="211" t="s">
        <v>4709</v>
      </c>
      <c r="G658" s="188" t="s">
        <v>4710</v>
      </c>
      <c r="H658" s="4" t="s">
        <v>4711</v>
      </c>
      <c r="I658" s="4" t="s">
        <v>49</v>
      </c>
      <c r="J658" s="4" t="s">
        <v>1746</v>
      </c>
      <c r="K658" s="4">
        <v>1</v>
      </c>
      <c r="L658" s="4">
        <v>14481</v>
      </c>
      <c r="M658" s="62"/>
      <c r="N658" s="231"/>
      <c r="P658" s="231"/>
      <c r="R658" s="231"/>
      <c r="T658" s="240"/>
      <c r="U658"/>
      <c r="AK658" s="9"/>
      <c r="AO658" s="267" t="s">
        <v>4709</v>
      </c>
      <c r="AP658" s="4">
        <v>1384</v>
      </c>
      <c r="AQ658" s="4" t="s">
        <v>1716</v>
      </c>
      <c r="AR658" s="4" t="s">
        <v>1717</v>
      </c>
      <c r="AS658" s="4" t="s">
        <v>1718</v>
      </c>
      <c r="AT658" s="4" t="s">
        <v>1835</v>
      </c>
      <c r="AU658" s="4" t="s">
        <v>1836</v>
      </c>
      <c r="AV658" s="4" t="s">
        <v>1720</v>
      </c>
      <c r="AW658" s="4" t="s">
        <v>2368</v>
      </c>
      <c r="AX658" s="4" t="s">
        <v>2516</v>
      </c>
      <c r="AY658" s="4">
        <v>49.238100000000003</v>
      </c>
      <c r="AZ658" s="4">
        <v>-119.43219999999999</v>
      </c>
      <c r="BA658" s="4">
        <v>1457</v>
      </c>
    </row>
    <row r="659" spans="1:53" ht="14.25" customHeight="1" x14ac:dyDescent="0.2">
      <c r="A659" s="136" t="s">
        <v>422</v>
      </c>
      <c r="B659" s="4">
        <v>12</v>
      </c>
      <c r="C659" s="4" t="s">
        <v>1711</v>
      </c>
      <c r="D659" s="4">
        <v>1385</v>
      </c>
      <c r="E659" s="4">
        <v>12461</v>
      </c>
      <c r="F659" s="211" t="s">
        <v>4712</v>
      </c>
      <c r="G659" s="188" t="s">
        <v>4713</v>
      </c>
      <c r="H659" s="4" t="s">
        <v>4714</v>
      </c>
      <c r="I659" s="4" t="s">
        <v>49</v>
      </c>
      <c r="J659" s="4" t="s">
        <v>1746</v>
      </c>
      <c r="K659" s="4">
        <v>1</v>
      </c>
      <c r="L659" s="4">
        <v>14483</v>
      </c>
      <c r="M659" s="6"/>
      <c r="U659"/>
      <c r="AK659" s="9"/>
      <c r="AO659" s="267" t="s">
        <v>4712</v>
      </c>
      <c r="AP659" s="4">
        <v>1385</v>
      </c>
      <c r="AQ659" s="4" t="s">
        <v>1716</v>
      </c>
      <c r="AR659" s="4" t="s">
        <v>1717</v>
      </c>
      <c r="AS659" s="4" t="s">
        <v>1718</v>
      </c>
      <c r="AT659" s="4" t="s">
        <v>1835</v>
      </c>
      <c r="AU659" s="4" t="s">
        <v>1836</v>
      </c>
      <c r="AW659" s="4" t="s">
        <v>2368</v>
      </c>
      <c r="AX659" s="4" t="s">
        <v>2505</v>
      </c>
      <c r="AY659" s="4">
        <v>51.178100000000001</v>
      </c>
      <c r="AZ659" s="4">
        <v>-122.0783</v>
      </c>
      <c r="BA659" s="4">
        <v>500</v>
      </c>
    </row>
    <row r="660" spans="1:53" ht="14.25" customHeight="1" x14ac:dyDescent="0.2">
      <c r="A660" s="136" t="s">
        <v>422</v>
      </c>
      <c r="B660" s="4">
        <v>12</v>
      </c>
      <c r="C660" s="4" t="s">
        <v>1711</v>
      </c>
      <c r="D660" s="4">
        <v>1389</v>
      </c>
      <c r="E660" s="4">
        <v>13021</v>
      </c>
      <c r="F660" s="213" t="s">
        <v>4721</v>
      </c>
      <c r="G660" s="4" t="s">
        <v>127</v>
      </c>
      <c r="H660" s="4" t="s">
        <v>4722</v>
      </c>
      <c r="I660" s="4" t="s">
        <v>49</v>
      </c>
      <c r="J660" s="4" t="s">
        <v>1746</v>
      </c>
      <c r="K660" s="4">
        <v>1</v>
      </c>
      <c r="L660" s="4">
        <v>14953</v>
      </c>
      <c r="M660" s="62"/>
      <c r="N660" s="231"/>
      <c r="R660" s="231"/>
      <c r="T660" s="240"/>
      <c r="U660"/>
      <c r="AK660" s="9"/>
      <c r="AO660" s="4" t="s">
        <v>4723</v>
      </c>
      <c r="AP660" s="4">
        <v>1389</v>
      </c>
      <c r="AQ660" s="4" t="s">
        <v>1716</v>
      </c>
      <c r="AR660" s="4" t="s">
        <v>1717</v>
      </c>
      <c r="AS660" s="4" t="s">
        <v>1740</v>
      </c>
      <c r="AT660" s="4" t="s">
        <v>1835</v>
      </c>
      <c r="AU660" s="4" t="s">
        <v>1742</v>
      </c>
      <c r="AV660" s="4" t="s">
        <v>1720</v>
      </c>
      <c r="AW660" s="4" t="s">
        <v>2698</v>
      </c>
      <c r="AX660" s="4" t="s">
        <v>2902</v>
      </c>
      <c r="AY660" s="4">
        <v>49.833100000000002</v>
      </c>
      <c r="AZ660" s="4">
        <v>-114.8823</v>
      </c>
      <c r="BA660" s="4">
        <v>1172</v>
      </c>
    </row>
    <row r="661" spans="1:53" ht="14.25" customHeight="1" x14ac:dyDescent="0.2">
      <c r="A661" s="136" t="s">
        <v>422</v>
      </c>
      <c r="B661" s="4">
        <v>12</v>
      </c>
      <c r="C661" s="4" t="s">
        <v>1711</v>
      </c>
      <c r="D661" s="4">
        <v>1397</v>
      </c>
      <c r="E661" s="4">
        <v>12525</v>
      </c>
      <c r="F661" s="16" t="s">
        <v>4735</v>
      </c>
      <c r="G661" s="4" t="s">
        <v>4736</v>
      </c>
      <c r="H661" s="4" t="s">
        <v>4737</v>
      </c>
      <c r="I661" s="4" t="s">
        <v>49</v>
      </c>
      <c r="J661" s="4" t="s">
        <v>1746</v>
      </c>
      <c r="K661" s="4">
        <v>1</v>
      </c>
      <c r="L661" s="4">
        <v>14547</v>
      </c>
      <c r="M661" s="62"/>
      <c r="N661" s="231"/>
      <c r="P661" s="231"/>
      <c r="R661" s="231"/>
      <c r="T661" s="240"/>
      <c r="U661"/>
      <c r="AK661" s="9"/>
      <c r="AO661" s="267" t="s">
        <v>4735</v>
      </c>
      <c r="AP661" s="4">
        <v>1397</v>
      </c>
      <c r="AQ661" s="4" t="s">
        <v>1716</v>
      </c>
      <c r="AR661" s="4" t="s">
        <v>1717</v>
      </c>
      <c r="AS661" s="4" t="s">
        <v>1718</v>
      </c>
      <c r="AT661" s="4" t="s">
        <v>1835</v>
      </c>
      <c r="AU661" s="4" t="s">
        <v>1836</v>
      </c>
      <c r="AV661" s="4" t="s">
        <v>1720</v>
      </c>
      <c r="AW661" s="4" t="s">
        <v>1947</v>
      </c>
      <c r="AX661" s="4" t="s">
        <v>1973</v>
      </c>
      <c r="AY661" s="4">
        <v>54.473799999999997</v>
      </c>
      <c r="AZ661" s="4">
        <v>-128.58189999999999</v>
      </c>
      <c r="BA661" s="4">
        <v>220</v>
      </c>
    </row>
    <row r="662" spans="1:53" ht="14.25" customHeight="1" x14ac:dyDescent="0.2">
      <c r="A662" s="136" t="s">
        <v>422</v>
      </c>
      <c r="B662" s="4">
        <v>12</v>
      </c>
      <c r="C662" s="4" t="s">
        <v>1711</v>
      </c>
      <c r="D662" s="4">
        <v>1400</v>
      </c>
      <c r="E662" s="4">
        <v>12612</v>
      </c>
      <c r="F662" s="16" t="s">
        <v>4745</v>
      </c>
      <c r="G662" s="188" t="s">
        <v>4746</v>
      </c>
      <c r="H662" s="4" t="s">
        <v>4747</v>
      </c>
      <c r="I662" s="4" t="s">
        <v>49</v>
      </c>
      <c r="J662" s="4" t="s">
        <v>1746</v>
      </c>
      <c r="K662" s="4">
        <v>1</v>
      </c>
      <c r="L662" s="4">
        <v>14634</v>
      </c>
      <c r="M662" s="6"/>
      <c r="P662" s="192"/>
      <c r="U662"/>
      <c r="AK662" s="9"/>
      <c r="AO662" s="267" t="s">
        <v>4745</v>
      </c>
      <c r="AP662" s="4">
        <v>1400</v>
      </c>
      <c r="AQ662" s="4" t="s">
        <v>1716</v>
      </c>
      <c r="AR662" s="4" t="s">
        <v>2441</v>
      </c>
      <c r="AS662" s="4" t="s">
        <v>1718</v>
      </c>
      <c r="AT662" s="4" t="s">
        <v>1835</v>
      </c>
      <c r="AU662" s="4" t="s">
        <v>1836</v>
      </c>
      <c r="AV662" s="4" t="s">
        <v>1720</v>
      </c>
      <c r="AW662" s="4" t="s">
        <v>2698</v>
      </c>
      <c r="AX662" s="4" t="s">
        <v>2801</v>
      </c>
      <c r="AY662" s="4">
        <v>50.333399999999997</v>
      </c>
      <c r="AZ662" s="4">
        <v>-116.8502</v>
      </c>
      <c r="BA662" s="4">
        <v>1100</v>
      </c>
    </row>
    <row r="663" spans="1:53" ht="14.25" customHeight="1" x14ac:dyDescent="0.2">
      <c r="A663" s="136" t="s">
        <v>422</v>
      </c>
      <c r="B663" s="4">
        <v>12</v>
      </c>
      <c r="C663" s="4" t="s">
        <v>1711</v>
      </c>
      <c r="D663" s="4">
        <v>1401</v>
      </c>
      <c r="E663" s="4">
        <v>12623</v>
      </c>
      <c r="F663" s="16" t="s">
        <v>4748</v>
      </c>
      <c r="G663" s="4" t="s">
        <v>4749</v>
      </c>
      <c r="H663" s="4" t="s">
        <v>4750</v>
      </c>
      <c r="I663" s="4" t="s">
        <v>49</v>
      </c>
      <c r="J663" s="4" t="s">
        <v>1746</v>
      </c>
      <c r="K663" s="4">
        <v>1</v>
      </c>
      <c r="L663" s="4">
        <v>14645</v>
      </c>
      <c r="M663" s="62"/>
      <c r="N663" s="231"/>
      <c r="P663" s="231"/>
      <c r="R663" s="231"/>
      <c r="T663" s="240"/>
      <c r="U663"/>
      <c r="AK663" s="9"/>
      <c r="AO663" s="4" t="s">
        <v>4748</v>
      </c>
      <c r="AP663" s="4">
        <v>1401</v>
      </c>
      <c r="AQ663" s="4" t="s">
        <v>1716</v>
      </c>
      <c r="AR663" s="4" t="s">
        <v>1717</v>
      </c>
      <c r="AS663" s="4" t="s">
        <v>2257</v>
      </c>
      <c r="AT663" s="4" t="s">
        <v>1835</v>
      </c>
      <c r="AU663" s="4" t="s">
        <v>1836</v>
      </c>
      <c r="AW663" s="4" t="s">
        <v>2368</v>
      </c>
      <c r="AX663" s="4" t="s">
        <v>2369</v>
      </c>
      <c r="AY663" s="4">
        <v>50.673299999999998</v>
      </c>
      <c r="AZ663" s="4">
        <v>-120.4817</v>
      </c>
      <c r="BA663" s="4">
        <v>780</v>
      </c>
    </row>
    <row r="664" spans="1:53" ht="14.25" customHeight="1" x14ac:dyDescent="0.2">
      <c r="A664" s="136" t="s">
        <v>422</v>
      </c>
      <c r="B664" s="4">
        <v>12</v>
      </c>
      <c r="C664" s="4" t="s">
        <v>1711</v>
      </c>
      <c r="D664" s="4">
        <v>1402</v>
      </c>
      <c r="E664" s="4">
        <v>12624</v>
      </c>
      <c r="F664" s="16" t="s">
        <v>4751</v>
      </c>
      <c r="G664" s="4" t="s">
        <v>4752</v>
      </c>
      <c r="H664" s="4" t="s">
        <v>4753</v>
      </c>
      <c r="I664" s="4" t="s">
        <v>49</v>
      </c>
      <c r="J664" s="4" t="s">
        <v>1746</v>
      </c>
      <c r="K664" s="4">
        <v>1</v>
      </c>
      <c r="L664" s="4">
        <v>14646</v>
      </c>
      <c r="M664" s="6"/>
      <c r="U664"/>
      <c r="AK664" s="9"/>
      <c r="AO664" s="267" t="s">
        <v>4751</v>
      </c>
      <c r="AP664" s="4">
        <v>1402</v>
      </c>
      <c r="AQ664" s="4" t="s">
        <v>1716</v>
      </c>
      <c r="AR664" s="4" t="s">
        <v>1717</v>
      </c>
      <c r="AS664" s="4" t="s">
        <v>1718</v>
      </c>
      <c r="AT664" s="4" t="s">
        <v>1835</v>
      </c>
      <c r="AU664" s="4" t="s">
        <v>1836</v>
      </c>
      <c r="AV664" s="4" t="s">
        <v>1720</v>
      </c>
      <c r="AW664" s="4" t="s">
        <v>2698</v>
      </c>
      <c r="AX664" s="4" t="s">
        <v>2801</v>
      </c>
      <c r="AY664" s="4">
        <v>49.533499999999997</v>
      </c>
      <c r="AZ664" s="4">
        <v>-117.2423</v>
      </c>
      <c r="BA664" s="4">
        <v>817</v>
      </c>
    </row>
    <row r="665" spans="1:53" ht="14.25" customHeight="1" x14ac:dyDescent="0.2">
      <c r="A665" s="136" t="s">
        <v>422</v>
      </c>
      <c r="B665" s="4">
        <v>12</v>
      </c>
      <c r="C665" s="4" t="s">
        <v>1711</v>
      </c>
      <c r="D665" s="4">
        <v>1404</v>
      </c>
      <c r="E665" s="4">
        <v>12953</v>
      </c>
      <c r="G665" s="188" t="s">
        <v>127</v>
      </c>
      <c r="H665" s="4" t="s">
        <v>4758</v>
      </c>
      <c r="I665" s="4" t="s">
        <v>49</v>
      </c>
      <c r="J665" s="4" t="s">
        <v>1746</v>
      </c>
      <c r="K665" s="4">
        <v>1</v>
      </c>
      <c r="L665" s="4">
        <v>14885</v>
      </c>
      <c r="M665" s="62"/>
      <c r="N665" s="231"/>
      <c r="P665" s="231"/>
      <c r="R665" s="231"/>
      <c r="T665" s="240"/>
      <c r="U665"/>
      <c r="AK665" s="9"/>
      <c r="AO665" s="4" t="s">
        <v>4759</v>
      </c>
      <c r="AP665" s="4">
        <v>1404</v>
      </c>
      <c r="AQ665" s="4" t="s">
        <v>1716</v>
      </c>
      <c r="AR665" s="4" t="s">
        <v>1717</v>
      </c>
      <c r="AS665" s="4" t="s">
        <v>1718</v>
      </c>
      <c r="AT665" s="4" t="s">
        <v>1835</v>
      </c>
      <c r="AU665" s="4" t="s">
        <v>1836</v>
      </c>
      <c r="AV665" s="4" t="s">
        <v>1720</v>
      </c>
      <c r="AW665" s="4" t="s">
        <v>2698</v>
      </c>
      <c r="AX665" s="4" t="s">
        <v>2801</v>
      </c>
      <c r="AY665" s="4">
        <v>49.143099999999997</v>
      </c>
      <c r="AZ665" s="4">
        <v>-116.52249999999999</v>
      </c>
      <c r="BA665" s="4">
        <v>894</v>
      </c>
    </row>
    <row r="666" spans="1:53" ht="14.25" customHeight="1" x14ac:dyDescent="0.2">
      <c r="A666" s="136" t="s">
        <v>422</v>
      </c>
      <c r="B666" s="4">
        <v>12</v>
      </c>
      <c r="C666" s="4" t="s">
        <v>1711</v>
      </c>
      <c r="D666" s="4">
        <v>1407</v>
      </c>
      <c r="E666" s="4">
        <v>12955</v>
      </c>
      <c r="F666" s="192"/>
      <c r="G666" s="4" t="s">
        <v>127</v>
      </c>
      <c r="H666" s="4" t="s">
        <v>4760</v>
      </c>
      <c r="I666" s="4" t="s">
        <v>49</v>
      </c>
      <c r="J666" s="4" t="s">
        <v>1746</v>
      </c>
      <c r="K666" s="4">
        <v>1</v>
      </c>
      <c r="L666" s="4">
        <v>14887</v>
      </c>
      <c r="M666" s="6"/>
      <c r="U666"/>
      <c r="AK666" s="9"/>
      <c r="AO666" s="4" t="s">
        <v>4761</v>
      </c>
      <c r="AP666" s="4">
        <v>1407</v>
      </c>
      <c r="AQ666" s="4" t="s">
        <v>1716</v>
      </c>
      <c r="AR666" s="4" t="s">
        <v>1717</v>
      </c>
      <c r="AS666" s="4" t="s">
        <v>1718</v>
      </c>
      <c r="AT666" s="4" t="s">
        <v>1835</v>
      </c>
      <c r="AU666" s="4" t="s">
        <v>1836</v>
      </c>
      <c r="AW666" s="4" t="s">
        <v>2368</v>
      </c>
      <c r="AX666" s="4" t="s">
        <v>2516</v>
      </c>
      <c r="AY666" s="4">
        <v>49.143099999999997</v>
      </c>
      <c r="AZ666" s="4">
        <v>-120.0294</v>
      </c>
      <c r="BA666" s="4">
        <v>757</v>
      </c>
    </row>
    <row r="667" spans="1:53" ht="14.25" customHeight="1" x14ac:dyDescent="0.2">
      <c r="A667" s="136" t="s">
        <v>422</v>
      </c>
      <c r="B667" s="4">
        <v>12</v>
      </c>
      <c r="C667" s="4" t="s">
        <v>1711</v>
      </c>
      <c r="D667" s="4">
        <v>1409</v>
      </c>
      <c r="E667" s="4">
        <v>12958</v>
      </c>
      <c r="F667" s="192"/>
      <c r="G667" s="4" t="s">
        <v>127</v>
      </c>
      <c r="H667" s="4" t="s">
        <v>4766</v>
      </c>
      <c r="I667" s="4" t="s">
        <v>49</v>
      </c>
      <c r="J667" s="4" t="s">
        <v>1746</v>
      </c>
      <c r="K667" s="4">
        <v>1</v>
      </c>
      <c r="L667" s="4">
        <v>14890</v>
      </c>
      <c r="M667" s="6"/>
      <c r="U667"/>
      <c r="AK667" s="9"/>
      <c r="AO667" s="4" t="s">
        <v>4767</v>
      </c>
      <c r="AP667" s="4">
        <v>1409</v>
      </c>
      <c r="AQ667" s="4" t="s">
        <v>1716</v>
      </c>
      <c r="AR667" s="4" t="s">
        <v>1717</v>
      </c>
      <c r="AS667" s="4" t="s">
        <v>1718</v>
      </c>
      <c r="AT667" s="4" t="s">
        <v>1835</v>
      </c>
      <c r="AU667" s="4" t="s">
        <v>1836</v>
      </c>
      <c r="AV667" s="4" t="s">
        <v>1720</v>
      </c>
      <c r="AY667" s="4">
        <v>49.888599999999997</v>
      </c>
      <c r="AZ667" s="4">
        <v>-115.648</v>
      </c>
      <c r="BA667" s="4">
        <v>1041</v>
      </c>
    </row>
    <row r="668" spans="1:53" ht="14.25" customHeight="1" x14ac:dyDescent="0.2">
      <c r="A668" s="136" t="s">
        <v>422</v>
      </c>
      <c r="B668" s="4">
        <v>12</v>
      </c>
      <c r="C668" s="4" t="s">
        <v>1711</v>
      </c>
      <c r="D668" s="4">
        <v>1410</v>
      </c>
      <c r="E668" s="4">
        <v>12959</v>
      </c>
      <c r="F668" s="192"/>
      <c r="G668" s="4" t="s">
        <v>127</v>
      </c>
      <c r="H668" s="4" t="s">
        <v>4768</v>
      </c>
      <c r="I668" s="4" t="s">
        <v>49</v>
      </c>
      <c r="J668" s="4" t="s">
        <v>1746</v>
      </c>
      <c r="K668" s="4">
        <v>1</v>
      </c>
      <c r="L668" s="4">
        <v>14891</v>
      </c>
      <c r="M668" s="62"/>
      <c r="N668" s="231"/>
      <c r="P668" s="231"/>
      <c r="R668" s="231"/>
      <c r="T668" s="240"/>
      <c r="U668"/>
      <c r="AK668" s="9"/>
      <c r="AO668" s="4" t="s">
        <v>4769</v>
      </c>
      <c r="AP668" s="4">
        <v>1410</v>
      </c>
      <c r="AQ668" s="4" t="s">
        <v>1716</v>
      </c>
      <c r="AR668" s="4" t="s">
        <v>1717</v>
      </c>
      <c r="AS668" s="4" t="s">
        <v>1740</v>
      </c>
      <c r="AT668" s="4" t="s">
        <v>1835</v>
      </c>
      <c r="AU668" s="4" t="s">
        <v>1742</v>
      </c>
      <c r="AV668" s="4" t="s">
        <v>1720</v>
      </c>
      <c r="AW668" s="4" t="s">
        <v>1705</v>
      </c>
      <c r="AX668" s="4" t="s">
        <v>1883</v>
      </c>
      <c r="AY668" s="4">
        <v>49.014899999999997</v>
      </c>
      <c r="AZ668" s="4">
        <v>-121.07170000000001</v>
      </c>
      <c r="BA668" s="4">
        <v>0</v>
      </c>
    </row>
    <row r="669" spans="1:53" ht="14.25" customHeight="1" x14ac:dyDescent="0.2">
      <c r="A669" s="136" t="s">
        <v>422</v>
      </c>
      <c r="B669" s="4">
        <v>12</v>
      </c>
      <c r="C669" s="4" t="s">
        <v>1711</v>
      </c>
      <c r="D669" s="4">
        <v>1630</v>
      </c>
      <c r="E669" s="4">
        <v>12986</v>
      </c>
      <c r="F669" s="192"/>
      <c r="G669" s="4" t="s">
        <v>127</v>
      </c>
      <c r="H669" s="4" t="s">
        <v>4770</v>
      </c>
      <c r="I669" s="4" t="s">
        <v>49</v>
      </c>
      <c r="J669" s="4" t="s">
        <v>1746</v>
      </c>
      <c r="K669" s="4">
        <v>1</v>
      </c>
      <c r="L669" s="4">
        <v>14918</v>
      </c>
      <c r="M669" s="62"/>
      <c r="N669" s="231"/>
      <c r="P669" s="231"/>
      <c r="R669" s="231"/>
      <c r="T669" s="240"/>
      <c r="U669"/>
      <c r="AK669" s="9"/>
      <c r="AO669" s="4" t="s">
        <v>4771</v>
      </c>
      <c r="AP669" s="4">
        <v>1630</v>
      </c>
      <c r="AQ669" s="4" t="s">
        <v>1716</v>
      </c>
      <c r="AR669" s="4" t="s">
        <v>1717</v>
      </c>
      <c r="AS669" s="4" t="s">
        <v>1740</v>
      </c>
      <c r="AT669" s="4" t="s">
        <v>1835</v>
      </c>
      <c r="AU669" s="4" t="s">
        <v>1742</v>
      </c>
      <c r="AV669" s="4" t="s">
        <v>1720</v>
      </c>
      <c r="AW669" s="4" t="s">
        <v>1705</v>
      </c>
      <c r="AX669" s="4" t="s">
        <v>1883</v>
      </c>
      <c r="AY669" s="4">
        <v>49.3264</v>
      </c>
      <c r="AZ669" s="4">
        <v>-121.28189999999999</v>
      </c>
      <c r="BA669" s="4">
        <v>631</v>
      </c>
    </row>
    <row r="670" spans="1:53" ht="14.25" customHeight="1" x14ac:dyDescent="0.2">
      <c r="A670" s="136" t="s">
        <v>422</v>
      </c>
      <c r="B670" s="4">
        <v>12</v>
      </c>
      <c r="C670" s="4" t="s">
        <v>1711</v>
      </c>
      <c r="D670" s="4">
        <v>1670</v>
      </c>
      <c r="E670" s="4">
        <v>12987</v>
      </c>
      <c r="F670" s="192"/>
      <c r="G670" s="4" t="s">
        <v>127</v>
      </c>
      <c r="H670" s="4" t="s">
        <v>4772</v>
      </c>
      <c r="I670" s="4" t="s">
        <v>49</v>
      </c>
      <c r="J670" s="4" t="s">
        <v>1746</v>
      </c>
      <c r="K670" s="4">
        <v>1</v>
      </c>
      <c r="L670" s="4">
        <v>14919</v>
      </c>
      <c r="M670" s="62"/>
      <c r="N670" s="34"/>
      <c r="P670" s="34"/>
      <c r="R670" s="34"/>
      <c r="T670" s="35"/>
      <c r="U670"/>
      <c r="W670" s="9"/>
      <c r="AK670" s="9"/>
      <c r="AO670" s="4" t="s">
        <v>4773</v>
      </c>
      <c r="AP670" s="4">
        <v>1670</v>
      </c>
      <c r="AQ670" s="4" t="s">
        <v>1716</v>
      </c>
      <c r="AR670" s="4" t="s">
        <v>1717</v>
      </c>
      <c r="AS670" s="4" t="s">
        <v>1740</v>
      </c>
      <c r="AT670" s="4" t="s">
        <v>1703</v>
      </c>
      <c r="AU670" s="4" t="s">
        <v>1742</v>
      </c>
      <c r="AV670" s="4" t="s">
        <v>1720</v>
      </c>
      <c r="AW670" s="4" t="s">
        <v>2368</v>
      </c>
      <c r="AX670" s="4" t="s">
        <v>2369</v>
      </c>
      <c r="AY670" s="4">
        <v>50.872799999999998</v>
      </c>
      <c r="AZ670" s="4">
        <v>-119.96720000000001</v>
      </c>
      <c r="BA670" s="4">
        <v>930</v>
      </c>
    </row>
    <row r="671" spans="1:53" ht="14.25" customHeight="1" x14ac:dyDescent="0.2">
      <c r="A671" s="136" t="s">
        <v>422</v>
      </c>
      <c r="B671" s="4">
        <v>12</v>
      </c>
      <c r="C671" s="4" t="s">
        <v>1711</v>
      </c>
      <c r="D671" s="4">
        <v>1691</v>
      </c>
      <c r="E671" s="4">
        <v>12992</v>
      </c>
      <c r="G671" s="188" t="s">
        <v>127</v>
      </c>
      <c r="H671" s="4" t="s">
        <v>4774</v>
      </c>
      <c r="I671" s="4" t="s">
        <v>49</v>
      </c>
      <c r="J671" s="4" t="s">
        <v>1746</v>
      </c>
      <c r="K671" s="4">
        <v>1</v>
      </c>
      <c r="L671" s="4">
        <v>14924</v>
      </c>
      <c r="M671" s="62"/>
      <c r="N671" s="231"/>
      <c r="P671" s="231"/>
      <c r="R671" s="231"/>
      <c r="T671" s="240"/>
      <c r="U671"/>
      <c r="AK671" s="9"/>
      <c r="AO671" s="4" t="s">
        <v>4775</v>
      </c>
      <c r="AP671" s="4">
        <v>1691</v>
      </c>
      <c r="AQ671" s="4" t="s">
        <v>1716</v>
      </c>
      <c r="AR671" s="4" t="s">
        <v>1717</v>
      </c>
      <c r="AS671" s="4" t="s">
        <v>1740</v>
      </c>
      <c r="AT671" s="4" t="s">
        <v>1835</v>
      </c>
      <c r="AU671" s="4" t="s">
        <v>1742</v>
      </c>
      <c r="AV671" s="4" t="s">
        <v>1720</v>
      </c>
      <c r="AW671" s="4" t="s">
        <v>2368</v>
      </c>
      <c r="AX671" s="4" t="s">
        <v>2492</v>
      </c>
      <c r="AY671" s="4">
        <v>50.291699999999999</v>
      </c>
      <c r="AZ671" s="4">
        <v>-121.17359999999999</v>
      </c>
      <c r="BA671" s="4">
        <v>432</v>
      </c>
    </row>
    <row r="672" spans="1:53" ht="14.25" customHeight="1" x14ac:dyDescent="0.2">
      <c r="A672" s="136" t="s">
        <v>422</v>
      </c>
      <c r="B672" s="4">
        <v>12</v>
      </c>
      <c r="C672" s="4" t="s">
        <v>1711</v>
      </c>
      <c r="D672" s="4">
        <v>1692</v>
      </c>
      <c r="E672" s="4">
        <v>12993</v>
      </c>
      <c r="F672" s="192"/>
      <c r="G672" s="188" t="s">
        <v>127</v>
      </c>
      <c r="H672" s="4" t="s">
        <v>4776</v>
      </c>
      <c r="I672" s="4" t="s">
        <v>49</v>
      </c>
      <c r="J672" s="4" t="s">
        <v>1746</v>
      </c>
      <c r="K672" s="4">
        <v>1</v>
      </c>
      <c r="L672" s="4">
        <v>14925</v>
      </c>
      <c r="M672" s="6"/>
      <c r="U672"/>
      <c r="AK672" s="9"/>
      <c r="AO672" s="4" t="s">
        <v>4777</v>
      </c>
      <c r="AP672" s="4">
        <v>1692</v>
      </c>
      <c r="AQ672" s="4" t="s">
        <v>1716</v>
      </c>
      <c r="AR672" s="4" t="s">
        <v>1717</v>
      </c>
      <c r="AS672" s="4" t="s">
        <v>1718</v>
      </c>
      <c r="AT672" s="4" t="s">
        <v>1835</v>
      </c>
      <c r="AU672" s="4" t="s">
        <v>1836</v>
      </c>
      <c r="AV672" s="4" t="s">
        <v>1720</v>
      </c>
      <c r="AW672" s="4" t="s">
        <v>2368</v>
      </c>
      <c r="AX672" s="4" t="s">
        <v>2369</v>
      </c>
      <c r="AY672" s="4">
        <v>50.605600000000003</v>
      </c>
      <c r="AZ672" s="4">
        <v>-121.11060000000001</v>
      </c>
      <c r="BA672" s="4">
        <v>1640</v>
      </c>
    </row>
    <row r="673" spans="1:53" ht="14.25" customHeight="1" x14ac:dyDescent="0.2">
      <c r="A673" s="136" t="s">
        <v>422</v>
      </c>
      <c r="B673" s="4">
        <v>12</v>
      </c>
      <c r="C673" s="4" t="s">
        <v>1711</v>
      </c>
      <c r="D673" s="4">
        <v>1730</v>
      </c>
      <c r="E673" s="4">
        <v>12994</v>
      </c>
      <c r="F673" s="192"/>
      <c r="G673" s="4" t="s">
        <v>127</v>
      </c>
      <c r="H673" s="4" t="s">
        <v>4778</v>
      </c>
      <c r="I673" s="4" t="s">
        <v>49</v>
      </c>
      <c r="J673" s="4" t="s">
        <v>1746</v>
      </c>
      <c r="K673" s="4">
        <v>1</v>
      </c>
      <c r="L673" s="4">
        <v>14926</v>
      </c>
      <c r="M673" s="62"/>
      <c r="N673" s="231"/>
      <c r="R673" s="231"/>
      <c r="T673" s="240"/>
      <c r="U673"/>
      <c r="AK673" s="9"/>
      <c r="AO673" s="4" t="s">
        <v>4779</v>
      </c>
      <c r="AP673" s="4">
        <v>1730</v>
      </c>
      <c r="AQ673" s="4" t="s">
        <v>1716</v>
      </c>
      <c r="AR673" s="4" t="s">
        <v>1717</v>
      </c>
      <c r="AS673" s="4" t="s">
        <v>1740</v>
      </c>
      <c r="AT673" s="4" t="s">
        <v>1835</v>
      </c>
      <c r="AU673" s="4" t="s">
        <v>1742</v>
      </c>
      <c r="AV673" s="4" t="s">
        <v>1720</v>
      </c>
      <c r="AW673" s="4" t="s">
        <v>2368</v>
      </c>
      <c r="AX673" s="4" t="s">
        <v>2522</v>
      </c>
      <c r="AY673" s="4">
        <v>50.926099999999998</v>
      </c>
      <c r="AZ673" s="4">
        <v>-118.47239999999999</v>
      </c>
      <c r="BA673" s="4">
        <v>572</v>
      </c>
    </row>
    <row r="674" spans="1:53" ht="14.25" customHeight="1" x14ac:dyDescent="0.2">
      <c r="A674" s="136" t="s">
        <v>422</v>
      </c>
      <c r="B674" s="4">
        <v>12</v>
      </c>
      <c r="C674" s="4" t="s">
        <v>1711</v>
      </c>
      <c r="D674" s="4">
        <v>1750</v>
      </c>
      <c r="E674" s="4">
        <v>12995</v>
      </c>
      <c r="G674" s="4" t="s">
        <v>127</v>
      </c>
      <c r="H674" s="4" t="s">
        <v>4780</v>
      </c>
      <c r="I674" s="4" t="s">
        <v>49</v>
      </c>
      <c r="J674" s="4" t="s">
        <v>1746</v>
      </c>
      <c r="K674" s="4">
        <v>1</v>
      </c>
      <c r="L674" s="4">
        <v>14927</v>
      </c>
      <c r="M674" s="62"/>
      <c r="N674" s="231"/>
      <c r="R674" s="231"/>
      <c r="T674" s="240"/>
      <c r="U674"/>
      <c r="AK674" s="9"/>
      <c r="AO674" s="4" t="s">
        <v>4781</v>
      </c>
      <c r="AP674" s="4">
        <v>1750</v>
      </c>
      <c r="AQ674" s="4" t="s">
        <v>1716</v>
      </c>
      <c r="AR674" s="4" t="s">
        <v>1717</v>
      </c>
      <c r="AS674" s="4" t="s">
        <v>1740</v>
      </c>
      <c r="AT674" s="4" t="s">
        <v>1835</v>
      </c>
      <c r="AU674" s="4" t="s">
        <v>1742</v>
      </c>
      <c r="AV674" s="4" t="s">
        <v>1720</v>
      </c>
      <c r="AW674" s="4" t="s">
        <v>2368</v>
      </c>
      <c r="AX674" s="4" t="s">
        <v>2522</v>
      </c>
      <c r="AY674" s="4">
        <v>50.433300000000003</v>
      </c>
      <c r="AZ674" s="4">
        <v>-118.7247</v>
      </c>
      <c r="BA674" s="4">
        <v>844</v>
      </c>
    </row>
    <row r="675" spans="1:53" ht="14.25" customHeight="1" x14ac:dyDescent="0.2">
      <c r="A675" s="136" t="s">
        <v>422</v>
      </c>
      <c r="B675" s="4">
        <v>12</v>
      </c>
      <c r="C675" s="4" t="s">
        <v>1711</v>
      </c>
      <c r="D675" s="4">
        <v>1771</v>
      </c>
      <c r="E675" s="4">
        <v>12996</v>
      </c>
      <c r="F675" s="192"/>
      <c r="G675" s="4" t="s">
        <v>127</v>
      </c>
      <c r="H675" s="4" t="s">
        <v>4782</v>
      </c>
      <c r="I675" s="4" t="s">
        <v>49</v>
      </c>
      <c r="J675" s="4" t="s">
        <v>1746</v>
      </c>
      <c r="K675" s="4">
        <v>1</v>
      </c>
      <c r="L675" s="4">
        <v>14928</v>
      </c>
      <c r="M675" s="62"/>
      <c r="N675" s="231"/>
      <c r="R675" s="231"/>
      <c r="U675"/>
      <c r="AK675" s="9"/>
      <c r="AO675" s="4" t="s">
        <v>4783</v>
      </c>
      <c r="AP675" s="4">
        <v>1771</v>
      </c>
      <c r="AQ675" s="4" t="s">
        <v>1716</v>
      </c>
      <c r="AR675" s="4" t="s">
        <v>1717</v>
      </c>
      <c r="AS675" s="4" t="s">
        <v>1740</v>
      </c>
      <c r="AT675" s="4" t="s">
        <v>1835</v>
      </c>
      <c r="AU675" s="4" t="s">
        <v>1742</v>
      </c>
      <c r="AV675" s="4" t="s">
        <v>1720</v>
      </c>
      <c r="AW675" s="4" t="s">
        <v>2368</v>
      </c>
      <c r="AY675" s="4">
        <v>51.306699999999999</v>
      </c>
      <c r="AZ675" s="4">
        <v>-119.42529999999999</v>
      </c>
      <c r="BA675" s="4">
        <v>590</v>
      </c>
    </row>
    <row r="676" spans="1:53" ht="14.25" customHeight="1" x14ac:dyDescent="0.2">
      <c r="A676" s="136" t="s">
        <v>422</v>
      </c>
      <c r="B676" s="4">
        <v>12</v>
      </c>
      <c r="C676" s="4" t="s">
        <v>1711</v>
      </c>
      <c r="D676" s="4">
        <v>1794</v>
      </c>
      <c r="E676" s="4">
        <v>13001</v>
      </c>
      <c r="F676" s="192"/>
      <c r="G676" s="4" t="s">
        <v>127</v>
      </c>
      <c r="H676" s="4" t="s">
        <v>4787</v>
      </c>
      <c r="I676" s="4" t="s">
        <v>49</v>
      </c>
      <c r="J676" s="4" t="s">
        <v>1746</v>
      </c>
      <c r="K676" s="4">
        <v>1</v>
      </c>
      <c r="L676" s="4">
        <v>14933</v>
      </c>
      <c r="M676" s="6"/>
      <c r="U676"/>
      <c r="AK676" s="9"/>
      <c r="AO676" s="4" t="s">
        <v>4788</v>
      </c>
      <c r="AP676" s="4">
        <v>1794</v>
      </c>
      <c r="AQ676" s="4" t="s">
        <v>1716</v>
      </c>
      <c r="AR676" s="4" t="s">
        <v>1717</v>
      </c>
      <c r="AS676" s="4" t="s">
        <v>1740</v>
      </c>
      <c r="AT676" s="4" t="s">
        <v>1835</v>
      </c>
      <c r="AU676" s="4" t="s">
        <v>1742</v>
      </c>
      <c r="AV676" s="4" t="s">
        <v>1720</v>
      </c>
      <c r="AW676" s="4" t="s">
        <v>2368</v>
      </c>
      <c r="AX676" s="4" t="s">
        <v>2522</v>
      </c>
      <c r="AY676" s="4">
        <v>50.404400000000003</v>
      </c>
      <c r="AZ676" s="4">
        <v>-119.43689999999999</v>
      </c>
      <c r="BA676" s="4">
        <v>1380</v>
      </c>
    </row>
    <row r="677" spans="1:53" ht="14.25" customHeight="1" x14ac:dyDescent="0.2">
      <c r="A677" s="136" t="s">
        <v>422</v>
      </c>
      <c r="B677" s="4">
        <v>12</v>
      </c>
      <c r="C677" s="4" t="s">
        <v>1711</v>
      </c>
      <c r="D677" s="4">
        <v>1810</v>
      </c>
      <c r="E677" s="4">
        <v>13002</v>
      </c>
      <c r="F677" s="192"/>
      <c r="G677" s="4" t="s">
        <v>127</v>
      </c>
      <c r="H677" s="4" t="s">
        <v>4789</v>
      </c>
      <c r="I677" s="4" t="s">
        <v>49</v>
      </c>
      <c r="J677" s="4" t="s">
        <v>1746</v>
      </c>
      <c r="K677" s="4">
        <v>1</v>
      </c>
      <c r="L677" s="4">
        <v>14934</v>
      </c>
      <c r="M677" s="62"/>
      <c r="N677" s="231"/>
      <c r="P677" s="231"/>
      <c r="R677" s="231"/>
      <c r="T677" s="240"/>
      <c r="U677"/>
      <c r="AK677" s="9"/>
      <c r="AO677" s="4" t="s">
        <v>4790</v>
      </c>
      <c r="AP677" s="4">
        <v>1810</v>
      </c>
      <c r="AQ677" s="4" t="s">
        <v>1716</v>
      </c>
      <c r="AR677" s="4" t="s">
        <v>2441</v>
      </c>
      <c r="AS677" s="4" t="s">
        <v>1740</v>
      </c>
      <c r="AT677" s="4" t="s">
        <v>1835</v>
      </c>
      <c r="AU677" s="4" t="s">
        <v>1742</v>
      </c>
      <c r="AV677" s="4" t="s">
        <v>1720</v>
      </c>
      <c r="AW677" s="4" t="s">
        <v>2698</v>
      </c>
      <c r="AX677" s="4" t="s">
        <v>2768</v>
      </c>
      <c r="AY677" s="4">
        <v>49.888599999999997</v>
      </c>
      <c r="AZ677" s="4">
        <v>-115.6481</v>
      </c>
      <c r="BA677" s="4">
        <v>1053</v>
      </c>
    </row>
    <row r="678" spans="1:53" ht="14.25" customHeight="1" x14ac:dyDescent="0.2">
      <c r="A678" s="136" t="s">
        <v>422</v>
      </c>
      <c r="B678" s="4">
        <v>12</v>
      </c>
      <c r="C678" s="4" t="s">
        <v>1711</v>
      </c>
      <c r="D678" s="4">
        <v>1831</v>
      </c>
      <c r="E678" s="4">
        <v>13003</v>
      </c>
      <c r="F678" s="192"/>
      <c r="G678" s="4" t="s">
        <v>127</v>
      </c>
      <c r="H678" s="4" t="s">
        <v>4791</v>
      </c>
      <c r="I678" s="4" t="s">
        <v>49</v>
      </c>
      <c r="J678" s="4" t="s">
        <v>1746</v>
      </c>
      <c r="K678" s="4">
        <v>1</v>
      </c>
      <c r="L678" s="4">
        <v>14935</v>
      </c>
      <c r="M678" s="62"/>
      <c r="N678" s="231"/>
      <c r="P678" s="231"/>
      <c r="R678" s="231"/>
      <c r="T678" s="240"/>
      <c r="U678"/>
      <c r="AK678" s="9"/>
      <c r="AO678" s="4" t="s">
        <v>4792</v>
      </c>
      <c r="AP678" s="4">
        <v>1831</v>
      </c>
      <c r="AQ678" s="4" t="s">
        <v>1716</v>
      </c>
      <c r="AR678" s="4" t="s">
        <v>1717</v>
      </c>
      <c r="AS678" s="4" t="s">
        <v>1718</v>
      </c>
      <c r="AT678" s="4" t="s">
        <v>1835</v>
      </c>
      <c r="AU678" s="4" t="s">
        <v>1836</v>
      </c>
      <c r="AW678" s="4" t="s">
        <v>2698</v>
      </c>
      <c r="AX678" s="4" t="s">
        <v>2801</v>
      </c>
      <c r="AY678" s="4">
        <v>50.342100000000002</v>
      </c>
      <c r="AZ678" s="4">
        <v>-116.849</v>
      </c>
      <c r="BA678" s="4">
        <v>985</v>
      </c>
    </row>
    <row r="679" spans="1:53" ht="14.25" customHeight="1" x14ac:dyDescent="0.2">
      <c r="A679" s="136" t="s">
        <v>422</v>
      </c>
      <c r="B679" s="4">
        <v>12</v>
      </c>
      <c r="C679" s="4" t="s">
        <v>1707</v>
      </c>
      <c r="D679" s="4">
        <v>1851</v>
      </c>
      <c r="E679" s="4">
        <v>13004</v>
      </c>
      <c r="F679" s="213" t="s">
        <v>4793</v>
      </c>
      <c r="G679" s="4" t="s">
        <v>127</v>
      </c>
      <c r="H679" s="4" t="s">
        <v>4794</v>
      </c>
      <c r="I679" s="4" t="s">
        <v>49</v>
      </c>
      <c r="J679" s="4" t="s">
        <v>1746</v>
      </c>
      <c r="K679" s="4">
        <v>1</v>
      </c>
      <c r="L679" s="4">
        <v>14936</v>
      </c>
      <c r="M679" s="6"/>
      <c r="U679"/>
      <c r="AK679" s="9"/>
      <c r="AO679" s="268" t="s">
        <v>4795</v>
      </c>
      <c r="AP679" s="268">
        <v>1851</v>
      </c>
      <c r="AQ679" s="268" t="s">
        <v>1700</v>
      </c>
      <c r="AR679" s="268" t="s">
        <v>1701</v>
      </c>
      <c r="AS679" s="268" t="s">
        <v>1702</v>
      </c>
      <c r="AT679" s="268" t="s">
        <v>1703</v>
      </c>
      <c r="AU679" s="268" t="s">
        <v>1704</v>
      </c>
      <c r="AV679" s="268" t="s">
        <v>1702</v>
      </c>
      <c r="AW679" s="268" t="s">
        <v>1705</v>
      </c>
      <c r="AX679" s="268" t="s">
        <v>1965</v>
      </c>
      <c r="AY679" s="268">
        <v>52.361899999999999</v>
      </c>
      <c r="AZ679" s="268">
        <v>-128.88</v>
      </c>
      <c r="BA679" s="268">
        <v>43</v>
      </c>
    </row>
    <row r="680" spans="1:53" ht="14.25" customHeight="1" x14ac:dyDescent="0.2">
      <c r="A680" s="136" t="s">
        <v>422</v>
      </c>
      <c r="B680" s="4">
        <v>12</v>
      </c>
      <c r="C680" s="4" t="s">
        <v>1711</v>
      </c>
      <c r="D680" s="4">
        <v>2230</v>
      </c>
      <c r="E680" s="4">
        <v>13041</v>
      </c>
      <c r="F680" s="192"/>
      <c r="G680" s="188" t="s">
        <v>127</v>
      </c>
      <c r="H680" s="4" t="s">
        <v>4811</v>
      </c>
      <c r="I680" s="4" t="s">
        <v>49</v>
      </c>
      <c r="J680" s="4" t="s">
        <v>1746</v>
      </c>
      <c r="K680" s="4">
        <v>1</v>
      </c>
      <c r="L680" s="4">
        <v>14973</v>
      </c>
      <c r="M680" s="62"/>
      <c r="N680" s="231"/>
      <c r="P680" s="231"/>
      <c r="R680" s="231"/>
      <c r="T680" s="240"/>
      <c r="U680"/>
      <c r="AK680" s="9"/>
      <c r="AO680" s="4" t="s">
        <v>4812</v>
      </c>
      <c r="AP680" s="4">
        <v>2230</v>
      </c>
      <c r="AQ680" s="4" t="s">
        <v>1716</v>
      </c>
      <c r="AR680" s="4" t="s">
        <v>1717</v>
      </c>
      <c r="AS680" s="4" t="s">
        <v>1740</v>
      </c>
      <c r="AT680" s="4" t="s">
        <v>1741</v>
      </c>
      <c r="AU680" s="4" t="s">
        <v>1742</v>
      </c>
      <c r="AV680" s="4" t="s">
        <v>1720</v>
      </c>
      <c r="AW680" s="4" t="s">
        <v>2368</v>
      </c>
      <c r="AX680" s="4" t="s">
        <v>2505</v>
      </c>
      <c r="AY680" s="4">
        <v>50.9056</v>
      </c>
      <c r="AZ680" s="4">
        <v>-121.535</v>
      </c>
      <c r="BA680" s="4">
        <v>1155</v>
      </c>
    </row>
    <row r="681" spans="1:53" ht="14.25" customHeight="1" x14ac:dyDescent="0.2">
      <c r="A681" s="136" t="s">
        <v>422</v>
      </c>
      <c r="B681" s="4">
        <v>12</v>
      </c>
      <c r="C681" s="4" t="s">
        <v>1711</v>
      </c>
      <c r="D681" s="4">
        <v>2270</v>
      </c>
      <c r="E681" s="4">
        <v>13059</v>
      </c>
      <c r="F681" s="192"/>
      <c r="G681" s="4" t="s">
        <v>127</v>
      </c>
      <c r="H681" s="4" t="s">
        <v>4813</v>
      </c>
      <c r="I681" s="4" t="s">
        <v>49</v>
      </c>
      <c r="J681" s="4" t="s">
        <v>1746</v>
      </c>
      <c r="K681" s="4">
        <v>1</v>
      </c>
      <c r="L681" s="4">
        <v>14983</v>
      </c>
      <c r="M681" s="62"/>
      <c r="N681" s="231"/>
      <c r="P681" s="231"/>
      <c r="R681" s="231"/>
      <c r="T681" s="240"/>
      <c r="U681"/>
      <c r="AK681" s="9"/>
      <c r="AO681" s="4" t="s">
        <v>4814</v>
      </c>
      <c r="AP681" s="4">
        <v>2270</v>
      </c>
      <c r="AQ681" s="4" t="s">
        <v>1716</v>
      </c>
      <c r="AR681" s="4" t="s">
        <v>1717</v>
      </c>
      <c r="AS681" s="4" t="s">
        <v>1740</v>
      </c>
      <c r="AT681" s="4" t="s">
        <v>1741</v>
      </c>
      <c r="AU681" s="4" t="s">
        <v>1742</v>
      </c>
      <c r="AV681" s="4" t="s">
        <v>1720</v>
      </c>
      <c r="AW681" s="4" t="s">
        <v>2368</v>
      </c>
      <c r="AX681" s="4" t="s">
        <v>2516</v>
      </c>
      <c r="AY681" s="4">
        <v>49.330500000000001</v>
      </c>
      <c r="AZ681" s="4">
        <v>-119.7325</v>
      </c>
      <c r="BA681" s="4">
        <v>1130</v>
      </c>
    </row>
    <row r="682" spans="1:53" ht="14.25" customHeight="1" x14ac:dyDescent="0.2">
      <c r="A682" s="136" t="s">
        <v>422</v>
      </c>
      <c r="B682" s="4">
        <v>12</v>
      </c>
      <c r="C682" s="4" t="s">
        <v>1711</v>
      </c>
      <c r="D682" s="4">
        <v>2290</v>
      </c>
      <c r="E682" s="4">
        <v>13060</v>
      </c>
      <c r="F682" s="192"/>
      <c r="G682" s="4" t="s">
        <v>127</v>
      </c>
      <c r="H682" s="4" t="s">
        <v>4815</v>
      </c>
      <c r="I682" s="4" t="s">
        <v>49</v>
      </c>
      <c r="J682" s="4" t="s">
        <v>1746</v>
      </c>
      <c r="K682" s="4">
        <v>1</v>
      </c>
      <c r="L682" s="4">
        <v>14984</v>
      </c>
      <c r="M682" s="6"/>
      <c r="U682"/>
      <c r="AK682" s="9"/>
      <c r="AO682" s="4" t="s">
        <v>4816</v>
      </c>
      <c r="AP682" s="4">
        <v>2290</v>
      </c>
      <c r="AQ682" s="4" t="s">
        <v>1716</v>
      </c>
      <c r="AR682" s="4" t="s">
        <v>1717</v>
      </c>
      <c r="AS682" s="4" t="s">
        <v>1740</v>
      </c>
      <c r="AT682" s="4" t="s">
        <v>1741</v>
      </c>
      <c r="AU682" s="4" t="s">
        <v>1742</v>
      </c>
      <c r="AV682" s="4" t="s">
        <v>1720</v>
      </c>
      <c r="AW682" s="4" t="s">
        <v>2368</v>
      </c>
      <c r="AX682" s="4" t="s">
        <v>2369</v>
      </c>
      <c r="AY682" s="4">
        <v>50.9056</v>
      </c>
      <c r="AZ682" s="4">
        <v>-121.5347</v>
      </c>
      <c r="BA682" s="4">
        <v>1166</v>
      </c>
    </row>
    <row r="683" spans="1:53" ht="14.25" customHeight="1" x14ac:dyDescent="0.2">
      <c r="A683" s="136" t="s">
        <v>422</v>
      </c>
      <c r="B683" s="4">
        <v>12</v>
      </c>
      <c r="C683" s="4" t="s">
        <v>1711</v>
      </c>
      <c r="D683" s="4">
        <v>2330</v>
      </c>
      <c r="E683" s="4">
        <v>13062</v>
      </c>
      <c r="F683" s="192"/>
      <c r="G683" s="4" t="s">
        <v>127</v>
      </c>
      <c r="H683" s="4" t="s">
        <v>4817</v>
      </c>
      <c r="I683" s="4" t="s">
        <v>49</v>
      </c>
      <c r="J683" s="4" t="s">
        <v>1746</v>
      </c>
      <c r="K683" s="4">
        <v>1</v>
      </c>
      <c r="L683" s="4">
        <v>14986</v>
      </c>
      <c r="M683" s="62"/>
      <c r="N683" s="231"/>
      <c r="P683" s="231"/>
      <c r="R683" s="231"/>
      <c r="T683" s="240"/>
      <c r="U683"/>
      <c r="AK683" s="9"/>
      <c r="AO683" s="4" t="s">
        <v>4818</v>
      </c>
      <c r="AP683" s="4">
        <v>2330</v>
      </c>
      <c r="AQ683" s="4" t="s">
        <v>1716</v>
      </c>
      <c r="AR683" s="4" t="s">
        <v>1717</v>
      </c>
      <c r="AS683" s="4" t="s">
        <v>1740</v>
      </c>
      <c r="AT683" s="4" t="s">
        <v>1741</v>
      </c>
      <c r="AU683" s="4" t="s">
        <v>1742</v>
      </c>
      <c r="AV683" s="4" t="s">
        <v>1720</v>
      </c>
      <c r="AW683" s="4" t="s">
        <v>2698</v>
      </c>
      <c r="AX683" s="4" t="s">
        <v>2902</v>
      </c>
      <c r="AY683" s="4">
        <v>49.025300000000001</v>
      </c>
      <c r="AZ683" s="4">
        <v>-114.5866</v>
      </c>
      <c r="BA683" s="4">
        <v>1500</v>
      </c>
    </row>
    <row r="684" spans="1:53" ht="14.25" customHeight="1" x14ac:dyDescent="0.2">
      <c r="A684" s="136" t="s">
        <v>422</v>
      </c>
      <c r="B684" s="4">
        <v>12</v>
      </c>
      <c r="C684" s="4" t="s">
        <v>1711</v>
      </c>
      <c r="D684" s="4">
        <v>2350</v>
      </c>
      <c r="E684" s="4">
        <v>13063</v>
      </c>
      <c r="F684" s="192"/>
      <c r="G684" s="4" t="s">
        <v>127</v>
      </c>
      <c r="H684" s="4" t="s">
        <v>4819</v>
      </c>
      <c r="I684" s="4" t="s">
        <v>49</v>
      </c>
      <c r="J684" s="4" t="s">
        <v>1746</v>
      </c>
      <c r="K684" s="4">
        <v>1</v>
      </c>
      <c r="L684" s="4">
        <v>14987</v>
      </c>
      <c r="M684" s="6"/>
      <c r="U684"/>
      <c r="AK684" s="9"/>
      <c r="AO684" s="9" t="s">
        <v>4820</v>
      </c>
      <c r="AP684" s="4">
        <v>2350</v>
      </c>
      <c r="AQ684" s="4" t="s">
        <v>1716</v>
      </c>
      <c r="AR684" s="4" t="s">
        <v>1717</v>
      </c>
      <c r="AS684" s="4" t="s">
        <v>1740</v>
      </c>
      <c r="AT684" s="4" t="s">
        <v>1741</v>
      </c>
      <c r="AU684" s="4" t="s">
        <v>1742</v>
      </c>
      <c r="AV684" s="4" t="s">
        <v>1720</v>
      </c>
      <c r="AW684" s="4" t="s">
        <v>2698</v>
      </c>
      <c r="AX684" s="4" t="s">
        <v>2902</v>
      </c>
      <c r="AY684" s="4">
        <v>49.025300000000001</v>
      </c>
      <c r="AZ684" s="4">
        <v>-114.5866</v>
      </c>
      <c r="BA684" s="4">
        <v>1500</v>
      </c>
    </row>
    <row r="685" spans="1:53" ht="14.25" customHeight="1" x14ac:dyDescent="0.2">
      <c r="A685" s="136" t="s">
        <v>422</v>
      </c>
      <c r="B685" s="4">
        <v>12</v>
      </c>
      <c r="C685" s="4" t="s">
        <v>1711</v>
      </c>
      <c r="D685" s="4">
        <v>2370</v>
      </c>
      <c r="E685" s="4">
        <v>13064</v>
      </c>
      <c r="F685" s="192"/>
      <c r="G685" s="4" t="s">
        <v>127</v>
      </c>
      <c r="H685" s="4" t="s">
        <v>4821</v>
      </c>
      <c r="I685" s="4" t="s">
        <v>49</v>
      </c>
      <c r="J685" s="4" t="s">
        <v>1746</v>
      </c>
      <c r="K685" s="4">
        <v>1</v>
      </c>
      <c r="L685" s="4">
        <v>14988</v>
      </c>
      <c r="M685" s="6"/>
      <c r="U685"/>
      <c r="AK685" s="9"/>
      <c r="AO685" s="4" t="s">
        <v>4822</v>
      </c>
      <c r="AP685" s="4">
        <v>2370</v>
      </c>
      <c r="AQ685" s="4" t="s">
        <v>1716</v>
      </c>
      <c r="AR685" s="4" t="s">
        <v>1717</v>
      </c>
      <c r="AS685" s="4" t="s">
        <v>1740</v>
      </c>
      <c r="AT685" s="4" t="s">
        <v>1741</v>
      </c>
      <c r="AU685" s="4" t="s">
        <v>1742</v>
      </c>
      <c r="AV685" s="4" t="s">
        <v>1720</v>
      </c>
      <c r="AW685" s="4" t="s">
        <v>2698</v>
      </c>
      <c r="AX685" s="4" t="s">
        <v>2902</v>
      </c>
      <c r="AY685" s="4">
        <v>49.048999999999999</v>
      </c>
      <c r="AZ685" s="4">
        <v>-115.04600000000001</v>
      </c>
      <c r="BA685" s="4">
        <v>1119</v>
      </c>
    </row>
    <row r="686" spans="1:53" ht="14.25" customHeight="1" x14ac:dyDescent="0.2">
      <c r="A686" s="136" t="s">
        <v>422</v>
      </c>
      <c r="B686" s="4">
        <v>12</v>
      </c>
      <c r="C686" s="4" t="s">
        <v>1711</v>
      </c>
      <c r="D686" s="4">
        <v>2390</v>
      </c>
      <c r="E686" s="4">
        <v>13067</v>
      </c>
      <c r="F686" s="192"/>
      <c r="G686" s="4" t="s">
        <v>127</v>
      </c>
      <c r="H686" s="4" t="s">
        <v>4823</v>
      </c>
      <c r="I686" s="4" t="s">
        <v>49</v>
      </c>
      <c r="J686" s="4" t="s">
        <v>1746</v>
      </c>
      <c r="K686" s="4">
        <v>1</v>
      </c>
      <c r="L686" s="4">
        <v>14991</v>
      </c>
      <c r="M686" s="62"/>
      <c r="N686" s="231"/>
      <c r="P686" s="231"/>
      <c r="R686" s="231"/>
      <c r="T686" s="240"/>
      <c r="U686"/>
      <c r="AK686" s="9"/>
      <c r="AO686" s="4" t="s">
        <v>4824</v>
      </c>
      <c r="AP686" s="4">
        <v>2390</v>
      </c>
      <c r="AQ686" s="4" t="s">
        <v>1716</v>
      </c>
      <c r="AR686" s="4" t="s">
        <v>1717</v>
      </c>
      <c r="AS686" s="4" t="s">
        <v>1740</v>
      </c>
      <c r="AT686" s="4" t="s">
        <v>1741</v>
      </c>
      <c r="AU686" s="4" t="s">
        <v>1742</v>
      </c>
      <c r="AV686" s="4" t="s">
        <v>1720</v>
      </c>
      <c r="AW686" s="4" t="s">
        <v>2698</v>
      </c>
      <c r="AX686" s="4" t="s">
        <v>2768</v>
      </c>
      <c r="AY686" s="4">
        <v>49.889899999999997</v>
      </c>
      <c r="AZ686" s="4">
        <v>-115.6439</v>
      </c>
      <c r="BA686" s="4">
        <v>952</v>
      </c>
    </row>
    <row r="687" spans="1:53" ht="14.25" customHeight="1" x14ac:dyDescent="0.2">
      <c r="A687" s="136" t="s">
        <v>422</v>
      </c>
      <c r="B687" s="4">
        <v>12</v>
      </c>
      <c r="C687" s="4" t="s">
        <v>1711</v>
      </c>
      <c r="D687" s="9">
        <v>2410</v>
      </c>
      <c r="E687" s="4">
        <v>13068</v>
      </c>
      <c r="F687" s="192"/>
      <c r="G687" s="4" t="s">
        <v>127</v>
      </c>
      <c r="H687" s="4" t="s">
        <v>4825</v>
      </c>
      <c r="I687" s="4" t="s">
        <v>49</v>
      </c>
      <c r="J687" s="4" t="s">
        <v>1746</v>
      </c>
      <c r="K687" s="4">
        <v>1</v>
      </c>
      <c r="L687" s="4">
        <v>14992</v>
      </c>
      <c r="M687" s="223"/>
      <c r="U687"/>
      <c r="AK687" s="9"/>
      <c r="AO687" s="4" t="s">
        <v>4826</v>
      </c>
      <c r="AP687" s="4">
        <v>2410</v>
      </c>
      <c r="AQ687" s="4" t="s">
        <v>1716</v>
      </c>
      <c r="AR687" s="4" t="s">
        <v>1717</v>
      </c>
      <c r="AS687" s="4" t="s">
        <v>1740</v>
      </c>
      <c r="AT687" s="4" t="s">
        <v>1741</v>
      </c>
      <c r="AU687" s="4" t="s">
        <v>1742</v>
      </c>
      <c r="AV687" s="4" t="s">
        <v>1720</v>
      </c>
      <c r="AW687" s="4" t="s">
        <v>1705</v>
      </c>
      <c r="AX687" s="4" t="s">
        <v>1883</v>
      </c>
      <c r="AY687" s="4">
        <v>49.100999999999999</v>
      </c>
      <c r="AZ687" s="4">
        <v>-120.759</v>
      </c>
      <c r="BA687" s="4">
        <v>2022</v>
      </c>
    </row>
    <row r="688" spans="1:53" ht="14.25" customHeight="1" x14ac:dyDescent="0.2">
      <c r="A688" s="136" t="s">
        <v>422</v>
      </c>
      <c r="B688" s="4">
        <v>12</v>
      </c>
      <c r="C688" s="4" t="s">
        <v>1711</v>
      </c>
      <c r="D688" s="4">
        <v>2430</v>
      </c>
      <c r="E688" s="4">
        <v>13073</v>
      </c>
      <c r="F688" s="192"/>
      <c r="G688" s="4" t="s">
        <v>127</v>
      </c>
      <c r="H688" s="4" t="s">
        <v>4827</v>
      </c>
      <c r="I688" s="4" t="s">
        <v>49</v>
      </c>
      <c r="J688" s="4" t="s">
        <v>1746</v>
      </c>
      <c r="K688" s="4">
        <v>1</v>
      </c>
      <c r="L688" s="4">
        <v>14995</v>
      </c>
      <c r="M688" s="6"/>
      <c r="U688"/>
      <c r="AK688" s="9"/>
      <c r="AO688" s="4" t="s">
        <v>4828</v>
      </c>
      <c r="AP688" s="4">
        <v>2430</v>
      </c>
      <c r="AQ688" s="4" t="s">
        <v>1716</v>
      </c>
      <c r="AR688" s="4" t="s">
        <v>1717</v>
      </c>
      <c r="AS688" s="4" t="s">
        <v>1740</v>
      </c>
      <c r="AT688" s="4" t="s">
        <v>2442</v>
      </c>
      <c r="AU688" s="4" t="s">
        <v>1742</v>
      </c>
      <c r="AV688" s="4" t="s">
        <v>1720</v>
      </c>
      <c r="AW688" s="4" t="s">
        <v>2003</v>
      </c>
      <c r="AX688" s="4" t="s">
        <v>2024</v>
      </c>
      <c r="AY688" s="4">
        <v>55.905500000000004</v>
      </c>
      <c r="AZ688" s="4">
        <v>-122.6992</v>
      </c>
      <c r="BA688" s="4">
        <v>1100</v>
      </c>
    </row>
    <row r="689" spans="1:53" ht="14.25" customHeight="1" x14ac:dyDescent="0.2">
      <c r="A689" s="136" t="s">
        <v>422</v>
      </c>
      <c r="B689" s="4">
        <v>12</v>
      </c>
      <c r="C689" s="4" t="s">
        <v>1711</v>
      </c>
      <c r="D689" s="4">
        <v>2470</v>
      </c>
      <c r="E689" s="4">
        <v>13074</v>
      </c>
      <c r="G689" s="4" t="s">
        <v>127</v>
      </c>
      <c r="H689" s="4" t="s">
        <v>4833</v>
      </c>
      <c r="I689" s="4" t="s">
        <v>49</v>
      </c>
      <c r="J689" s="4" t="s">
        <v>1746</v>
      </c>
      <c r="K689" s="4">
        <v>1</v>
      </c>
      <c r="L689" s="4">
        <v>14996</v>
      </c>
      <c r="M689" s="62"/>
      <c r="N689" s="231"/>
      <c r="P689" s="231"/>
      <c r="R689" s="231"/>
      <c r="T689" s="240"/>
      <c r="U689"/>
      <c r="AK689" s="9"/>
      <c r="AO689" s="4" t="s">
        <v>4834</v>
      </c>
      <c r="AP689" s="4">
        <v>2470</v>
      </c>
      <c r="AQ689" s="4" t="s">
        <v>1716</v>
      </c>
      <c r="AR689" s="4" t="s">
        <v>1717</v>
      </c>
      <c r="AS689" s="4" t="s">
        <v>1740</v>
      </c>
      <c r="AT689" s="4" t="s">
        <v>1741</v>
      </c>
      <c r="AU689" s="4" t="s">
        <v>1742</v>
      </c>
      <c r="AV689" s="4" t="s">
        <v>1720</v>
      </c>
      <c r="AW689" s="4" t="s">
        <v>2368</v>
      </c>
      <c r="AX689" s="4" t="s">
        <v>2516</v>
      </c>
      <c r="AY689" s="4">
        <v>49.133299999999998</v>
      </c>
      <c r="AZ689" s="4">
        <v>-120.05</v>
      </c>
      <c r="BA689" s="4">
        <v>1380</v>
      </c>
    </row>
    <row r="690" spans="1:53" ht="14.25" customHeight="1" x14ac:dyDescent="0.2">
      <c r="A690" s="136" t="s">
        <v>422</v>
      </c>
      <c r="B690" s="4">
        <v>12</v>
      </c>
      <c r="C690" s="4" t="s">
        <v>1711</v>
      </c>
      <c r="D690" s="4">
        <v>2490</v>
      </c>
      <c r="E690" s="4">
        <v>13075</v>
      </c>
      <c r="G690" s="188" t="s">
        <v>127</v>
      </c>
      <c r="H690" s="4" t="s">
        <v>4835</v>
      </c>
      <c r="I690" s="4" t="s">
        <v>49</v>
      </c>
      <c r="J690" s="4" t="s">
        <v>1746</v>
      </c>
      <c r="K690" s="4">
        <v>1</v>
      </c>
      <c r="L690" s="4">
        <v>14997</v>
      </c>
      <c r="M690" s="6"/>
      <c r="U690"/>
      <c r="AK690" s="9"/>
      <c r="AO690" s="4" t="s">
        <v>4836</v>
      </c>
      <c r="AP690" s="4">
        <v>2490</v>
      </c>
      <c r="AQ690" s="4" t="s">
        <v>1716</v>
      </c>
      <c r="AR690" s="4" t="s">
        <v>1717</v>
      </c>
      <c r="AS690" s="4" t="s">
        <v>1740</v>
      </c>
      <c r="AT690" s="4" t="s">
        <v>1741</v>
      </c>
      <c r="AU690" s="4" t="s">
        <v>1742</v>
      </c>
      <c r="AV690" s="4" t="s">
        <v>1720</v>
      </c>
      <c r="AW690" s="4" t="s">
        <v>2698</v>
      </c>
      <c r="AX690" s="4" t="s">
        <v>2902</v>
      </c>
      <c r="AY690" s="4">
        <v>49.048999999999999</v>
      </c>
      <c r="AZ690" s="4">
        <v>-115.04600000000001</v>
      </c>
      <c r="BA690" s="4">
        <v>1121</v>
      </c>
    </row>
    <row r="691" spans="1:53" ht="14.25" customHeight="1" x14ac:dyDescent="0.2">
      <c r="A691" s="136" t="s">
        <v>422</v>
      </c>
      <c r="B691" s="4">
        <v>12</v>
      </c>
      <c r="C691" s="4" t="s">
        <v>1711</v>
      </c>
      <c r="D691" s="4">
        <v>2550</v>
      </c>
      <c r="E691" s="4">
        <v>13080</v>
      </c>
      <c r="F691" s="192"/>
      <c r="G691" s="4" t="s">
        <v>127</v>
      </c>
      <c r="H691" s="4" t="s">
        <v>4845</v>
      </c>
      <c r="I691" s="4" t="s">
        <v>49</v>
      </c>
      <c r="J691" s="4" t="s">
        <v>1746</v>
      </c>
      <c r="K691" s="4">
        <v>1</v>
      </c>
      <c r="L691" s="4">
        <v>15002</v>
      </c>
      <c r="M691" s="6"/>
      <c r="U691"/>
      <c r="AK691" s="9"/>
      <c r="AO691" s="4" t="s">
        <v>4846</v>
      </c>
      <c r="AP691" s="4">
        <v>2550</v>
      </c>
      <c r="AQ691" s="4" t="s">
        <v>1716</v>
      </c>
      <c r="AR691" s="4" t="s">
        <v>1717</v>
      </c>
      <c r="AS691" s="4" t="s">
        <v>1740</v>
      </c>
      <c r="AT691" s="4" t="s">
        <v>1741</v>
      </c>
      <c r="AU691" s="4" t="s">
        <v>1742</v>
      </c>
      <c r="AV691" s="4" t="s">
        <v>1720</v>
      </c>
      <c r="AW691" s="4" t="s">
        <v>2698</v>
      </c>
      <c r="AX691" s="4" t="s">
        <v>2801</v>
      </c>
      <c r="AY691" s="4">
        <v>49.632800000000003</v>
      </c>
      <c r="AZ691" s="4">
        <v>-117.0925</v>
      </c>
      <c r="BA691" s="4">
        <v>1090</v>
      </c>
    </row>
    <row r="692" spans="1:53" ht="14.25" customHeight="1" x14ac:dyDescent="0.2">
      <c r="A692" s="136" t="s">
        <v>422</v>
      </c>
      <c r="B692" s="4">
        <v>12</v>
      </c>
      <c r="C692" s="4" t="s">
        <v>1711</v>
      </c>
      <c r="D692" s="4">
        <v>2570</v>
      </c>
      <c r="E692" s="4">
        <v>13132</v>
      </c>
      <c r="F692" s="192"/>
      <c r="G692" s="4" t="s">
        <v>127</v>
      </c>
      <c r="H692" s="4" t="s">
        <v>4847</v>
      </c>
      <c r="I692" s="4" t="s">
        <v>49</v>
      </c>
      <c r="J692" s="4" t="s">
        <v>1746</v>
      </c>
      <c r="K692" s="4">
        <v>1</v>
      </c>
      <c r="L692" s="4">
        <v>15054</v>
      </c>
      <c r="M692" s="62"/>
      <c r="N692" s="231"/>
      <c r="P692" s="231"/>
      <c r="R692" s="231"/>
      <c r="U692"/>
      <c r="AK692" s="9"/>
      <c r="AO692" s="4" t="s">
        <v>4848</v>
      </c>
      <c r="AP692" s="4">
        <v>2570</v>
      </c>
      <c r="AQ692" s="4" t="s">
        <v>1716</v>
      </c>
      <c r="AR692" s="4" t="s">
        <v>1717</v>
      </c>
      <c r="AS692" s="4" t="s">
        <v>1740</v>
      </c>
      <c r="AT692" s="4" t="s">
        <v>1741</v>
      </c>
      <c r="AU692" s="4" t="s">
        <v>1742</v>
      </c>
      <c r="AV692" s="4" t="s">
        <v>1720</v>
      </c>
      <c r="AW692" s="4" t="s">
        <v>2698</v>
      </c>
      <c r="AX692" s="4" t="s">
        <v>2797</v>
      </c>
      <c r="AY692" s="4">
        <v>49.418900000000001</v>
      </c>
      <c r="AZ692" s="4">
        <v>-118.0517</v>
      </c>
      <c r="BA692" s="4">
        <v>655</v>
      </c>
    </row>
    <row r="693" spans="1:53" ht="14.25" customHeight="1" x14ac:dyDescent="0.2">
      <c r="A693" s="136" t="s">
        <v>422</v>
      </c>
      <c r="B693" s="4">
        <v>12</v>
      </c>
      <c r="C693" s="4" t="s">
        <v>1711</v>
      </c>
      <c r="D693" s="4">
        <v>2591</v>
      </c>
      <c r="E693" s="4">
        <v>13133</v>
      </c>
      <c r="F693" s="192"/>
      <c r="G693" s="4" t="s">
        <v>127</v>
      </c>
      <c r="H693" s="4" t="s">
        <v>4849</v>
      </c>
      <c r="I693" s="4" t="s">
        <v>49</v>
      </c>
      <c r="J693" s="4" t="s">
        <v>1746</v>
      </c>
      <c r="K693" s="4">
        <v>1</v>
      </c>
      <c r="L693" s="4">
        <v>15055</v>
      </c>
      <c r="M693" s="62"/>
      <c r="N693" s="231"/>
      <c r="P693" s="231"/>
      <c r="R693" s="231"/>
      <c r="T693" s="240"/>
      <c r="U693"/>
      <c r="AK693" s="9"/>
      <c r="AO693" s="4" t="s">
        <v>4850</v>
      </c>
      <c r="AP693" s="4">
        <v>2591</v>
      </c>
      <c r="AQ693" s="4" t="s">
        <v>1716</v>
      </c>
      <c r="AR693" s="4" t="s">
        <v>1717</v>
      </c>
      <c r="AS693" s="4" t="s">
        <v>1740</v>
      </c>
      <c r="AT693" s="4" t="s">
        <v>1741</v>
      </c>
      <c r="AU693" s="4" t="s">
        <v>1742</v>
      </c>
      <c r="AV693" s="4" t="s">
        <v>1720</v>
      </c>
      <c r="AW693" s="4" t="s">
        <v>2698</v>
      </c>
      <c r="AX693" s="4" t="s">
        <v>2902</v>
      </c>
      <c r="AY693" s="4">
        <v>49.116700000000002</v>
      </c>
      <c r="AZ693" s="4">
        <v>-118.0667</v>
      </c>
      <c r="BA693" s="4">
        <v>1093</v>
      </c>
    </row>
    <row r="694" spans="1:53" ht="14.25" customHeight="1" x14ac:dyDescent="0.2">
      <c r="A694" s="136" t="s">
        <v>422</v>
      </c>
      <c r="B694" s="4">
        <v>12</v>
      </c>
      <c r="C694" s="4" t="s">
        <v>1711</v>
      </c>
      <c r="D694" s="4">
        <v>2593</v>
      </c>
      <c r="E694" s="4">
        <v>13134</v>
      </c>
      <c r="G694" s="188" t="s">
        <v>127</v>
      </c>
      <c r="H694" s="4" t="s">
        <v>4851</v>
      </c>
      <c r="I694" s="4" t="s">
        <v>49</v>
      </c>
      <c r="J694" s="4" t="s">
        <v>1746</v>
      </c>
      <c r="K694" s="4">
        <v>1</v>
      </c>
      <c r="L694" s="4">
        <v>15056</v>
      </c>
      <c r="M694" s="62"/>
      <c r="N694" s="231"/>
      <c r="P694" s="231"/>
      <c r="R694" s="231"/>
      <c r="T694" s="240"/>
      <c r="U694"/>
      <c r="AK694" s="9"/>
      <c r="AO694" s="4" t="s">
        <v>4852</v>
      </c>
      <c r="AP694" s="4">
        <v>2593</v>
      </c>
      <c r="AQ694" s="4" t="s">
        <v>1716</v>
      </c>
      <c r="AR694" s="4" t="s">
        <v>1717</v>
      </c>
      <c r="AS694" s="4" t="s">
        <v>1740</v>
      </c>
      <c r="AT694" s="4" t="s">
        <v>1741</v>
      </c>
      <c r="AU694" s="4" t="s">
        <v>1742</v>
      </c>
      <c r="AV694" s="4" t="s">
        <v>1720</v>
      </c>
      <c r="AW694" s="4" t="s">
        <v>2698</v>
      </c>
      <c r="AY694" s="4">
        <v>50.118899999999996</v>
      </c>
      <c r="AZ694" s="4">
        <v>-116.8984</v>
      </c>
      <c r="BA694" s="4">
        <v>885</v>
      </c>
    </row>
    <row r="695" spans="1:53" ht="14.25" customHeight="1" x14ac:dyDescent="0.2">
      <c r="A695" s="136" t="s">
        <v>422</v>
      </c>
      <c r="B695" s="4">
        <v>12</v>
      </c>
      <c r="C695" s="4" t="s">
        <v>1711</v>
      </c>
      <c r="D695" s="4">
        <v>2630</v>
      </c>
      <c r="E695" s="4">
        <v>13144</v>
      </c>
      <c r="G695" s="4" t="s">
        <v>127</v>
      </c>
      <c r="H695" s="4" t="s">
        <v>4853</v>
      </c>
      <c r="I695" s="4" t="s">
        <v>49</v>
      </c>
      <c r="J695" s="4" t="s">
        <v>1746</v>
      </c>
      <c r="K695" s="4">
        <v>1</v>
      </c>
      <c r="L695" s="4">
        <v>15066</v>
      </c>
      <c r="M695" s="62"/>
      <c r="N695" s="231"/>
      <c r="P695" s="231"/>
      <c r="R695" s="231"/>
      <c r="U695"/>
      <c r="AK695" s="9"/>
      <c r="AO695" s="4" t="s">
        <v>4854</v>
      </c>
      <c r="AP695" s="4">
        <v>2630</v>
      </c>
      <c r="AQ695" s="4" t="s">
        <v>1716</v>
      </c>
      <c r="AR695" s="4" t="s">
        <v>1717</v>
      </c>
      <c r="AS695" s="4" t="s">
        <v>1740</v>
      </c>
      <c r="AT695" s="4" t="s">
        <v>1741</v>
      </c>
      <c r="AU695" s="4" t="s">
        <v>1742</v>
      </c>
      <c r="AV695" s="4" t="s">
        <v>1720</v>
      </c>
      <c r="AW695" s="4" t="s">
        <v>2698</v>
      </c>
      <c r="AX695" s="4" t="s">
        <v>2797</v>
      </c>
      <c r="AY695" s="4">
        <v>49.636800000000001</v>
      </c>
      <c r="AZ695" s="4">
        <v>-117.5189</v>
      </c>
      <c r="BA695" s="4">
        <v>820</v>
      </c>
    </row>
    <row r="696" spans="1:53" ht="14.25" customHeight="1" x14ac:dyDescent="0.2">
      <c r="A696" s="136" t="s">
        <v>422</v>
      </c>
      <c r="B696" s="4">
        <v>12</v>
      </c>
      <c r="C696" s="4" t="s">
        <v>1711</v>
      </c>
      <c r="D696" s="4">
        <v>2710</v>
      </c>
      <c r="E696" s="4">
        <v>13178</v>
      </c>
      <c r="F696" s="192"/>
      <c r="G696" s="4" t="s">
        <v>127</v>
      </c>
      <c r="H696" s="4" t="s">
        <v>4855</v>
      </c>
      <c r="I696" s="4" t="s">
        <v>49</v>
      </c>
      <c r="J696" s="4" t="s">
        <v>1746</v>
      </c>
      <c r="K696" s="4">
        <v>1</v>
      </c>
      <c r="L696" s="4">
        <v>15100</v>
      </c>
      <c r="M696" s="62"/>
      <c r="N696" s="231"/>
      <c r="P696" s="231"/>
      <c r="R696" s="231"/>
      <c r="U696"/>
      <c r="AK696" s="9"/>
      <c r="AO696" s="4" t="s">
        <v>4856</v>
      </c>
      <c r="AP696" s="4">
        <v>2710</v>
      </c>
      <c r="AQ696" s="4" t="s">
        <v>1716</v>
      </c>
      <c r="AR696" s="4" t="s">
        <v>1717</v>
      </c>
      <c r="AS696" s="4" t="s">
        <v>1740</v>
      </c>
      <c r="AT696" s="4" t="s">
        <v>1741</v>
      </c>
      <c r="AU696" s="4" t="s">
        <v>1742</v>
      </c>
      <c r="AV696" s="4" t="s">
        <v>1720</v>
      </c>
      <c r="AW696" s="4" t="s">
        <v>2698</v>
      </c>
      <c r="AX696" s="4" t="s">
        <v>2827</v>
      </c>
      <c r="AY696" s="4">
        <v>49.115699999999997</v>
      </c>
      <c r="AZ696" s="4">
        <v>-118.0775</v>
      </c>
      <c r="BA696" s="4">
        <v>1500</v>
      </c>
    </row>
    <row r="697" spans="1:53" ht="14.25" customHeight="1" x14ac:dyDescent="0.2">
      <c r="A697" s="136" t="s">
        <v>422</v>
      </c>
      <c r="B697" s="4">
        <v>12</v>
      </c>
      <c r="C697" s="4" t="s">
        <v>1711</v>
      </c>
      <c r="D697" s="4">
        <v>2750</v>
      </c>
      <c r="E697" s="4">
        <v>13179</v>
      </c>
      <c r="F697" s="192"/>
      <c r="G697" s="4" t="s">
        <v>127</v>
      </c>
      <c r="H697" s="4" t="s">
        <v>4857</v>
      </c>
      <c r="I697" s="4" t="s">
        <v>49</v>
      </c>
      <c r="J697" s="4" t="s">
        <v>1746</v>
      </c>
      <c r="K697" s="4">
        <v>1</v>
      </c>
      <c r="L697" s="4">
        <v>15101</v>
      </c>
      <c r="M697" s="62"/>
      <c r="N697" s="231"/>
      <c r="P697" s="231"/>
      <c r="R697" s="231"/>
      <c r="U697"/>
      <c r="AK697" s="9"/>
      <c r="AO697" s="4" t="s">
        <v>4858</v>
      </c>
      <c r="AP697" s="4">
        <v>2750</v>
      </c>
      <c r="AQ697" s="4" t="s">
        <v>1716</v>
      </c>
      <c r="AR697" s="4" t="s">
        <v>1717</v>
      </c>
      <c r="AS697" s="4" t="s">
        <v>1740</v>
      </c>
      <c r="AT697" s="4" t="s">
        <v>1741</v>
      </c>
      <c r="AU697" s="4" t="s">
        <v>1742</v>
      </c>
      <c r="AV697" s="4" t="s">
        <v>1720</v>
      </c>
      <c r="AW697" s="4" t="s">
        <v>2698</v>
      </c>
      <c r="AX697" s="4" t="s">
        <v>2797</v>
      </c>
      <c r="AY697" s="4">
        <v>50.052700000000002</v>
      </c>
      <c r="AZ697" s="4">
        <v>-117.80500000000001</v>
      </c>
      <c r="BA697" s="4">
        <v>1320</v>
      </c>
    </row>
    <row r="698" spans="1:53" ht="14.25" customHeight="1" x14ac:dyDescent="0.2">
      <c r="A698" s="136" t="s">
        <v>422</v>
      </c>
      <c r="B698" s="4">
        <v>12</v>
      </c>
      <c r="C698" s="4" t="s">
        <v>1711</v>
      </c>
      <c r="D698" s="4">
        <v>2770</v>
      </c>
      <c r="E698" s="4">
        <v>13180</v>
      </c>
      <c r="F698" s="192"/>
      <c r="G698" s="4" t="s">
        <v>127</v>
      </c>
      <c r="H698" s="4" t="s">
        <v>4859</v>
      </c>
      <c r="I698" s="4" t="s">
        <v>49</v>
      </c>
      <c r="J698" s="4" t="s">
        <v>1746</v>
      </c>
      <c r="K698" s="4">
        <v>1</v>
      </c>
      <c r="L698" s="4">
        <v>15102</v>
      </c>
      <c r="M698" s="62"/>
      <c r="N698" s="231"/>
      <c r="P698" s="231"/>
      <c r="R698" s="231"/>
      <c r="U698"/>
      <c r="AK698" s="9"/>
      <c r="AO698" s="4" t="s">
        <v>4860</v>
      </c>
      <c r="AP698" s="4">
        <v>2770</v>
      </c>
      <c r="AQ698" s="4" t="s">
        <v>1716</v>
      </c>
      <c r="AR698" s="4" t="s">
        <v>1717</v>
      </c>
      <c r="AS698" s="4" t="s">
        <v>1740</v>
      </c>
      <c r="AT698" s="4" t="s">
        <v>1741</v>
      </c>
      <c r="AU698" s="4" t="s">
        <v>1742</v>
      </c>
      <c r="AV698" s="4" t="s">
        <v>1720</v>
      </c>
      <c r="AW698" s="4" t="s">
        <v>2003</v>
      </c>
      <c r="AX698" s="4" t="s">
        <v>2004</v>
      </c>
      <c r="AY698" s="4">
        <v>57.333300000000001</v>
      </c>
      <c r="AZ698" s="4">
        <v>-122.0167</v>
      </c>
      <c r="BA698" s="4">
        <v>1000</v>
      </c>
    </row>
    <row r="699" spans="1:53" ht="14.25" customHeight="1" x14ac:dyDescent="0.2">
      <c r="A699" s="136" t="s">
        <v>422</v>
      </c>
      <c r="B699" s="4">
        <v>12</v>
      </c>
      <c r="C699" s="4" t="s">
        <v>1711</v>
      </c>
      <c r="D699" s="4">
        <v>2810</v>
      </c>
      <c r="E699" s="4">
        <v>13181</v>
      </c>
      <c r="F699" s="192"/>
      <c r="G699" s="4" t="s">
        <v>127</v>
      </c>
      <c r="H699" s="4" t="s">
        <v>4861</v>
      </c>
      <c r="I699" s="4" t="s">
        <v>49</v>
      </c>
      <c r="J699" s="4" t="s">
        <v>1746</v>
      </c>
      <c r="K699" s="4">
        <v>1</v>
      </c>
      <c r="L699" s="4">
        <v>15103</v>
      </c>
      <c r="M699" s="62"/>
      <c r="N699" s="231"/>
      <c r="P699" s="231"/>
      <c r="R699" s="231"/>
      <c r="U699"/>
      <c r="AK699" s="9"/>
      <c r="AO699" s="4" t="s">
        <v>4862</v>
      </c>
      <c r="AP699" s="4">
        <v>2810</v>
      </c>
      <c r="AQ699" s="4" t="s">
        <v>1716</v>
      </c>
      <c r="AR699" s="4" t="s">
        <v>1717</v>
      </c>
      <c r="AS699" s="4" t="s">
        <v>1740</v>
      </c>
      <c r="AT699" s="4" t="s">
        <v>1741</v>
      </c>
      <c r="AU699" s="4" t="s">
        <v>1742</v>
      </c>
      <c r="AV699" s="4" t="s">
        <v>1720</v>
      </c>
      <c r="AW699" s="4" t="s">
        <v>2003</v>
      </c>
      <c r="AX699" s="4" t="s">
        <v>2087</v>
      </c>
      <c r="AY699" s="4">
        <v>56.106299999999997</v>
      </c>
      <c r="AZ699" s="4">
        <v>-124.4888</v>
      </c>
      <c r="BA699" s="4">
        <v>750</v>
      </c>
    </row>
    <row r="700" spans="1:53" ht="14.25" customHeight="1" x14ac:dyDescent="0.2">
      <c r="A700" s="136" t="s">
        <v>422</v>
      </c>
      <c r="B700" s="4">
        <v>12</v>
      </c>
      <c r="C700" s="4" t="s">
        <v>1711</v>
      </c>
      <c r="D700" s="4">
        <v>2850</v>
      </c>
      <c r="E700" s="4">
        <v>13194</v>
      </c>
      <c r="G700" s="4" t="s">
        <v>127</v>
      </c>
      <c r="H700" s="4" t="s">
        <v>4863</v>
      </c>
      <c r="I700" s="4" t="s">
        <v>49</v>
      </c>
      <c r="J700" s="4" t="s">
        <v>1746</v>
      </c>
      <c r="K700" s="4">
        <v>1</v>
      </c>
      <c r="L700" s="4">
        <v>15110</v>
      </c>
      <c r="M700" s="62"/>
      <c r="N700" s="231"/>
      <c r="P700" s="231"/>
      <c r="R700" s="231"/>
      <c r="U700"/>
      <c r="AK700" s="9"/>
      <c r="AO700" s="4" t="s">
        <v>4864</v>
      </c>
      <c r="AP700" s="4">
        <v>2850</v>
      </c>
      <c r="AQ700" s="4" t="s">
        <v>1716</v>
      </c>
      <c r="AR700" s="4" t="s">
        <v>1717</v>
      </c>
      <c r="AS700" s="4" t="s">
        <v>1740</v>
      </c>
      <c r="AT700" s="4" t="s">
        <v>1741</v>
      </c>
      <c r="AU700" s="4" t="s">
        <v>1742</v>
      </c>
      <c r="AV700" s="4" t="s">
        <v>1720</v>
      </c>
      <c r="AW700" s="4" t="s">
        <v>2003</v>
      </c>
      <c r="AX700" s="4" t="s">
        <v>2099</v>
      </c>
      <c r="AY700" s="4">
        <v>55.747199999999999</v>
      </c>
      <c r="AZ700" s="4">
        <v>-125.56610000000001</v>
      </c>
      <c r="BA700" s="4">
        <v>963</v>
      </c>
    </row>
    <row r="701" spans="1:53" ht="14.25" customHeight="1" x14ac:dyDescent="0.2">
      <c r="A701" s="136" t="s">
        <v>422</v>
      </c>
      <c r="B701" s="4">
        <v>12</v>
      </c>
      <c r="C701" s="4" t="s">
        <v>1711</v>
      </c>
      <c r="D701" s="4">
        <v>2871</v>
      </c>
      <c r="E701" s="4">
        <v>13195</v>
      </c>
      <c r="F701" s="192"/>
      <c r="G701" s="4" t="s">
        <v>127</v>
      </c>
      <c r="H701" s="4" t="s">
        <v>4865</v>
      </c>
      <c r="I701" s="4" t="s">
        <v>49</v>
      </c>
      <c r="J701" s="4" t="s">
        <v>1746</v>
      </c>
      <c r="K701" s="4">
        <v>1</v>
      </c>
      <c r="L701" s="4">
        <v>15111</v>
      </c>
      <c r="M701" s="62"/>
      <c r="N701" s="231"/>
      <c r="P701" s="231"/>
      <c r="R701" s="231"/>
      <c r="U701"/>
      <c r="AK701" s="9"/>
      <c r="AO701" s="4" t="s">
        <v>4866</v>
      </c>
      <c r="AP701" s="4">
        <v>2871</v>
      </c>
      <c r="AQ701" s="4" t="s">
        <v>1716</v>
      </c>
      <c r="AR701" s="4" t="s">
        <v>1717</v>
      </c>
      <c r="AS701" s="4" t="s">
        <v>1740</v>
      </c>
      <c r="AT701" s="4" t="s">
        <v>1741</v>
      </c>
      <c r="AU701" s="4" t="s">
        <v>1742</v>
      </c>
      <c r="AV701" s="4" t="s">
        <v>1720</v>
      </c>
      <c r="AW701" s="4" t="s">
        <v>2193</v>
      </c>
      <c r="AY701" s="4">
        <v>53.238100000000003</v>
      </c>
      <c r="AZ701" s="4">
        <v>-123.535</v>
      </c>
      <c r="BA701" s="4">
        <v>840</v>
      </c>
    </row>
    <row r="702" spans="1:53" ht="14.25" customHeight="1" x14ac:dyDescent="0.2">
      <c r="A702" s="136" t="s">
        <v>422</v>
      </c>
      <c r="B702" s="4">
        <v>12</v>
      </c>
      <c r="C702" s="4" t="s">
        <v>1711</v>
      </c>
      <c r="D702" s="4">
        <v>2890</v>
      </c>
      <c r="E702" s="4">
        <v>13196</v>
      </c>
      <c r="G702" s="4" t="s">
        <v>127</v>
      </c>
      <c r="H702" s="4" t="s">
        <v>4867</v>
      </c>
      <c r="I702" s="4" t="s">
        <v>49</v>
      </c>
      <c r="J702" s="4" t="s">
        <v>1746</v>
      </c>
      <c r="K702" s="4">
        <v>1</v>
      </c>
      <c r="L702" s="4">
        <v>15112</v>
      </c>
      <c r="M702" s="62"/>
      <c r="N702" s="231"/>
      <c r="P702" s="231"/>
      <c r="R702" s="231"/>
      <c r="U702"/>
      <c r="AA702" s="231"/>
      <c r="AC702" s="240"/>
      <c r="AK702" s="9"/>
      <c r="AO702" s="4" t="s">
        <v>4868</v>
      </c>
      <c r="AP702" s="4">
        <v>2890</v>
      </c>
      <c r="AQ702" s="4" t="s">
        <v>1716</v>
      </c>
      <c r="AR702" s="4" t="s">
        <v>1717</v>
      </c>
      <c r="AS702" s="4" t="s">
        <v>1740</v>
      </c>
      <c r="AT702" s="4" t="s">
        <v>1741</v>
      </c>
      <c r="AU702" s="4" t="s">
        <v>1742</v>
      </c>
      <c r="AV702" s="4" t="s">
        <v>1720</v>
      </c>
      <c r="AW702" s="4" t="s">
        <v>2368</v>
      </c>
      <c r="AX702" s="4" t="s">
        <v>2505</v>
      </c>
      <c r="AY702" s="4">
        <v>50.649500000000003</v>
      </c>
      <c r="AZ702" s="4">
        <v>-122.4195</v>
      </c>
      <c r="BA702" s="4">
        <v>532</v>
      </c>
    </row>
    <row r="703" spans="1:53" ht="14.25" customHeight="1" x14ac:dyDescent="0.2">
      <c r="A703" s="136" t="s">
        <v>422</v>
      </c>
      <c r="B703" s="4">
        <v>12</v>
      </c>
      <c r="C703" s="4" t="s">
        <v>1711</v>
      </c>
      <c r="D703" s="4">
        <v>2910</v>
      </c>
      <c r="E703" s="4">
        <v>13197</v>
      </c>
      <c r="F703" s="192"/>
      <c r="G703" s="4" t="s">
        <v>127</v>
      </c>
      <c r="H703" s="4" t="s">
        <v>4869</v>
      </c>
      <c r="I703" s="4" t="s">
        <v>49</v>
      </c>
      <c r="J703" s="4" t="s">
        <v>1746</v>
      </c>
      <c r="K703" s="4">
        <v>1</v>
      </c>
      <c r="L703" s="4">
        <v>15113</v>
      </c>
      <c r="M703" s="62"/>
      <c r="N703" s="231"/>
      <c r="P703" s="231"/>
      <c r="R703" s="231"/>
      <c r="U703"/>
      <c r="AK703" s="9"/>
      <c r="AO703" s="4" t="s">
        <v>4870</v>
      </c>
      <c r="AP703" s="4">
        <v>2910</v>
      </c>
      <c r="AQ703" s="4" t="s">
        <v>1716</v>
      </c>
      <c r="AR703" s="4" t="s">
        <v>1717</v>
      </c>
      <c r="AS703" s="4" t="s">
        <v>1740</v>
      </c>
      <c r="AT703" s="4" t="s">
        <v>1741</v>
      </c>
      <c r="AU703" s="4" t="s">
        <v>1742</v>
      </c>
      <c r="AV703" s="4" t="s">
        <v>1720</v>
      </c>
      <c r="AW703" s="4" t="s">
        <v>2368</v>
      </c>
      <c r="AX703" s="4" t="s">
        <v>2369</v>
      </c>
      <c r="AY703" s="4">
        <v>51</v>
      </c>
      <c r="AZ703" s="4">
        <v>-119.8167</v>
      </c>
      <c r="BA703" s="4">
        <v>1541</v>
      </c>
    </row>
    <row r="704" spans="1:53" ht="14.25" customHeight="1" x14ac:dyDescent="0.2">
      <c r="A704" s="136" t="s">
        <v>422</v>
      </c>
      <c r="B704" s="4">
        <v>12</v>
      </c>
      <c r="C704" s="4" t="s">
        <v>1711</v>
      </c>
      <c r="D704" s="4">
        <v>2930</v>
      </c>
      <c r="E704" s="4">
        <v>13199</v>
      </c>
      <c r="F704" s="192"/>
      <c r="G704" s="4" t="s">
        <v>127</v>
      </c>
      <c r="H704" s="4" t="s">
        <v>4871</v>
      </c>
      <c r="I704" s="4" t="s">
        <v>49</v>
      </c>
      <c r="J704" s="4" t="s">
        <v>1746</v>
      </c>
      <c r="K704" s="4">
        <v>1</v>
      </c>
      <c r="L704" s="4">
        <v>15115</v>
      </c>
      <c r="M704" s="62"/>
      <c r="N704" s="231"/>
      <c r="P704" s="231"/>
      <c r="R704" s="231"/>
      <c r="U704"/>
      <c r="AA704" s="231"/>
      <c r="AC704" s="240"/>
      <c r="AK704" s="9"/>
      <c r="AO704" s="4" t="s">
        <v>4872</v>
      </c>
      <c r="AP704" s="4">
        <v>2930</v>
      </c>
      <c r="AQ704" s="4" t="s">
        <v>1716</v>
      </c>
      <c r="AR704" s="4" t="s">
        <v>1717</v>
      </c>
      <c r="AS704" s="4" t="s">
        <v>1740</v>
      </c>
      <c r="AT704" s="4" t="s">
        <v>1741</v>
      </c>
      <c r="AU704" s="4" t="s">
        <v>1742</v>
      </c>
      <c r="AV704" s="4" t="s">
        <v>1720</v>
      </c>
      <c r="AW704" s="4" t="s">
        <v>2368</v>
      </c>
      <c r="AX704" s="4" t="s">
        <v>2522</v>
      </c>
      <c r="AY704" s="4">
        <v>50.166699999999999</v>
      </c>
      <c r="AZ704" s="4">
        <v>-118.41670000000001</v>
      </c>
      <c r="BA704" s="4">
        <v>971</v>
      </c>
    </row>
    <row r="705" spans="1:53" ht="14.25" customHeight="1" x14ac:dyDescent="0.2">
      <c r="A705" s="136" t="s">
        <v>422</v>
      </c>
      <c r="B705" s="4">
        <v>12</v>
      </c>
      <c r="C705" s="4" t="s">
        <v>1711</v>
      </c>
      <c r="D705" s="4">
        <v>2950</v>
      </c>
      <c r="E705" s="4">
        <v>13198</v>
      </c>
      <c r="G705" s="4" t="s">
        <v>127</v>
      </c>
      <c r="H705" s="4" t="s">
        <v>4873</v>
      </c>
      <c r="I705" s="4" t="s">
        <v>49</v>
      </c>
      <c r="J705" s="4" t="s">
        <v>1746</v>
      </c>
      <c r="K705" s="4">
        <v>1</v>
      </c>
      <c r="L705" s="4">
        <v>15114</v>
      </c>
      <c r="M705" s="62"/>
      <c r="N705" s="231"/>
      <c r="P705" s="231"/>
      <c r="R705" s="231"/>
      <c r="U705"/>
      <c r="AK705" s="9"/>
      <c r="AO705" s="4" t="s">
        <v>4874</v>
      </c>
      <c r="AP705" s="4">
        <v>2950</v>
      </c>
      <c r="AQ705" s="4" t="s">
        <v>1716</v>
      </c>
      <c r="AR705" s="4" t="s">
        <v>1717</v>
      </c>
      <c r="AS705" s="4" t="s">
        <v>1740</v>
      </c>
      <c r="AT705" s="4" t="s">
        <v>1835</v>
      </c>
      <c r="AU705" s="4" t="s">
        <v>1742</v>
      </c>
      <c r="AV705" s="4" t="s">
        <v>1720</v>
      </c>
      <c r="AW705" s="4" t="s">
        <v>2368</v>
      </c>
      <c r="AX705" s="4" t="s">
        <v>2369</v>
      </c>
      <c r="AY705" s="4">
        <v>50.438600000000001</v>
      </c>
      <c r="AZ705" s="4">
        <v>-120.3661</v>
      </c>
      <c r="BA705" s="4">
        <v>1170</v>
      </c>
    </row>
    <row r="706" spans="1:53" ht="14.25" customHeight="1" x14ac:dyDescent="0.2">
      <c r="A706" s="136" t="s">
        <v>422</v>
      </c>
      <c r="B706" s="4">
        <v>12</v>
      </c>
      <c r="C706" s="4" t="s">
        <v>1711</v>
      </c>
      <c r="D706" s="4">
        <v>2970</v>
      </c>
      <c r="E706" s="4">
        <v>13201</v>
      </c>
      <c r="G706" s="4" t="s">
        <v>127</v>
      </c>
      <c r="H706" s="4" t="s">
        <v>4875</v>
      </c>
      <c r="I706" s="4" t="s">
        <v>49</v>
      </c>
      <c r="J706" s="4" t="s">
        <v>1746</v>
      </c>
      <c r="K706" s="4">
        <v>1</v>
      </c>
      <c r="L706" s="4">
        <v>15117</v>
      </c>
      <c r="M706" s="62"/>
      <c r="N706" s="231"/>
      <c r="P706" s="231"/>
      <c r="R706" s="231"/>
      <c r="U706"/>
      <c r="AK706" s="9"/>
      <c r="AO706" s="4" t="s">
        <v>4876</v>
      </c>
      <c r="AP706" s="4">
        <v>2970</v>
      </c>
      <c r="AQ706" s="4" t="s">
        <v>1716</v>
      </c>
      <c r="AR706" s="4" t="s">
        <v>1717</v>
      </c>
      <c r="AS706" s="4" t="s">
        <v>1740</v>
      </c>
      <c r="AT706" s="4" t="s">
        <v>1741</v>
      </c>
      <c r="AU706" s="4" t="s">
        <v>1742</v>
      </c>
      <c r="AV706" s="4" t="s">
        <v>1720</v>
      </c>
      <c r="AW706" s="4" t="s">
        <v>2368</v>
      </c>
      <c r="AX706" s="4" t="s">
        <v>2516</v>
      </c>
      <c r="AY706" s="4">
        <v>49.95</v>
      </c>
      <c r="AZ706" s="4">
        <v>-119.55</v>
      </c>
      <c r="BA706" s="4">
        <v>738</v>
      </c>
    </row>
    <row r="707" spans="1:53" ht="14.25" customHeight="1" x14ac:dyDescent="0.2">
      <c r="A707" s="136" t="s">
        <v>422</v>
      </c>
      <c r="B707" s="4">
        <v>12</v>
      </c>
      <c r="C707" s="4" t="s">
        <v>1711</v>
      </c>
      <c r="D707" s="4">
        <v>2990</v>
      </c>
      <c r="E707" s="4">
        <v>13200</v>
      </c>
      <c r="F707" s="192"/>
      <c r="G707" s="4" t="s">
        <v>127</v>
      </c>
      <c r="H707" s="4" t="s">
        <v>4877</v>
      </c>
      <c r="I707" s="4" t="s">
        <v>49</v>
      </c>
      <c r="J707" s="4" t="s">
        <v>1746</v>
      </c>
      <c r="K707" s="4">
        <v>1</v>
      </c>
      <c r="L707" s="4">
        <v>15116</v>
      </c>
      <c r="M707" s="62"/>
      <c r="N707" s="231"/>
      <c r="P707" s="231"/>
      <c r="R707" s="231"/>
      <c r="U707"/>
      <c r="AK707" s="9"/>
      <c r="AO707" s="9" t="s">
        <v>4878</v>
      </c>
      <c r="AP707" s="4">
        <v>2990</v>
      </c>
      <c r="AQ707" s="4" t="s">
        <v>1716</v>
      </c>
      <c r="AR707" s="4" t="s">
        <v>1717</v>
      </c>
      <c r="AS707" s="4" t="s">
        <v>1740</v>
      </c>
      <c r="AT707" s="4" t="s">
        <v>1835</v>
      </c>
      <c r="AU707" s="4" t="s">
        <v>1742</v>
      </c>
      <c r="AV707" s="4" t="s">
        <v>1720</v>
      </c>
      <c r="AW707" s="4" t="s">
        <v>2368</v>
      </c>
      <c r="AX707" s="4" t="s">
        <v>2505</v>
      </c>
      <c r="AY707" s="4">
        <v>50.879800000000003</v>
      </c>
      <c r="AZ707" s="4">
        <v>-122.2195</v>
      </c>
      <c r="BA707" s="4">
        <v>860</v>
      </c>
    </row>
    <row r="708" spans="1:53" ht="14.25" customHeight="1" x14ac:dyDescent="0.2">
      <c r="A708" s="136" t="s">
        <v>422</v>
      </c>
      <c r="B708" s="4">
        <v>12</v>
      </c>
      <c r="C708" s="4" t="s">
        <v>1711</v>
      </c>
      <c r="D708" s="4">
        <v>3010</v>
      </c>
      <c r="E708" s="4">
        <v>13202</v>
      </c>
      <c r="F708" s="192"/>
      <c r="G708" s="4" t="s">
        <v>127</v>
      </c>
      <c r="H708" s="4" t="s">
        <v>4879</v>
      </c>
      <c r="I708" s="4" t="s">
        <v>49</v>
      </c>
      <c r="J708" s="4" t="s">
        <v>1746</v>
      </c>
      <c r="K708" s="4">
        <v>1</v>
      </c>
      <c r="L708" s="4">
        <v>15118</v>
      </c>
      <c r="M708" s="62"/>
      <c r="N708" s="231"/>
      <c r="P708" s="231"/>
      <c r="R708" s="231"/>
      <c r="U708"/>
      <c r="AK708" s="9"/>
      <c r="AO708" s="4" t="s">
        <v>4880</v>
      </c>
      <c r="AP708" s="4">
        <v>3010</v>
      </c>
      <c r="AQ708" s="4" t="s">
        <v>1716</v>
      </c>
      <c r="AR708" s="4" t="s">
        <v>1717</v>
      </c>
      <c r="AS708" s="4" t="s">
        <v>1740</v>
      </c>
      <c r="AT708" s="4" t="s">
        <v>1741</v>
      </c>
      <c r="AU708" s="4" t="s">
        <v>1742</v>
      </c>
      <c r="AV708" s="4" t="s">
        <v>1720</v>
      </c>
      <c r="AW708" s="4" t="s">
        <v>2368</v>
      </c>
      <c r="AX708" s="4" t="s">
        <v>2522</v>
      </c>
      <c r="AY708" s="4">
        <v>49.868600000000001</v>
      </c>
      <c r="AZ708" s="4">
        <v>-119.6738</v>
      </c>
      <c r="BA708" s="4">
        <v>750</v>
      </c>
    </row>
    <row r="709" spans="1:53" ht="14.25" customHeight="1" x14ac:dyDescent="0.2">
      <c r="A709" s="136" t="s">
        <v>422</v>
      </c>
      <c r="B709" s="4">
        <v>12</v>
      </c>
      <c r="C709" s="4" t="s">
        <v>1711</v>
      </c>
      <c r="D709" s="4">
        <v>3030</v>
      </c>
      <c r="E709" s="4">
        <v>13203</v>
      </c>
      <c r="F709" s="192"/>
      <c r="G709" s="4" t="s">
        <v>127</v>
      </c>
      <c r="H709" s="4" t="s">
        <v>4881</v>
      </c>
      <c r="I709" s="4" t="s">
        <v>49</v>
      </c>
      <c r="J709" s="4" t="s">
        <v>1746</v>
      </c>
      <c r="K709" s="4">
        <v>1</v>
      </c>
      <c r="L709" s="4">
        <v>15119</v>
      </c>
      <c r="M709" s="62"/>
      <c r="N709" s="231"/>
      <c r="P709" s="231"/>
      <c r="R709" s="231"/>
      <c r="U709"/>
      <c r="AK709" s="9"/>
      <c r="AO709" s="4" t="s">
        <v>4882</v>
      </c>
      <c r="AP709" s="4">
        <v>3030</v>
      </c>
      <c r="AQ709" s="4" t="s">
        <v>1716</v>
      </c>
      <c r="AR709" s="4" t="s">
        <v>1717</v>
      </c>
      <c r="AS709" s="4" t="s">
        <v>1740</v>
      </c>
      <c r="AT709" s="4" t="s">
        <v>1835</v>
      </c>
      <c r="AU709" s="4" t="s">
        <v>1742</v>
      </c>
      <c r="AV709" s="4" t="s">
        <v>1720</v>
      </c>
      <c r="AW709" s="4" t="s">
        <v>2368</v>
      </c>
      <c r="AX709" s="4" t="s">
        <v>2522</v>
      </c>
      <c r="AY709" s="4">
        <v>51.001899999999999</v>
      </c>
      <c r="AZ709" s="4">
        <v>-119.3403</v>
      </c>
      <c r="BA709" s="4">
        <v>1000</v>
      </c>
    </row>
    <row r="710" spans="1:53" ht="14.25" customHeight="1" x14ac:dyDescent="0.2">
      <c r="A710" s="136" t="s">
        <v>422</v>
      </c>
      <c r="B710" s="4">
        <v>12</v>
      </c>
      <c r="C710" s="4" t="s">
        <v>1711</v>
      </c>
      <c r="D710" s="4">
        <v>3050</v>
      </c>
      <c r="E710" s="4">
        <v>13204</v>
      </c>
      <c r="G710" s="4" t="s">
        <v>127</v>
      </c>
      <c r="H710" s="4" t="s">
        <v>4883</v>
      </c>
      <c r="I710" s="4" t="s">
        <v>49</v>
      </c>
      <c r="J710" s="4" t="s">
        <v>1746</v>
      </c>
      <c r="K710" s="4">
        <v>1</v>
      </c>
      <c r="L710" s="4">
        <v>15120</v>
      </c>
      <c r="M710" s="62"/>
      <c r="N710" s="231"/>
      <c r="P710" s="231"/>
      <c r="R710" s="231"/>
      <c r="U710"/>
      <c r="AK710" s="9"/>
      <c r="AO710" s="4" t="s">
        <v>4884</v>
      </c>
      <c r="AP710" s="4">
        <v>3050</v>
      </c>
      <c r="AQ710" s="4" t="s">
        <v>1716</v>
      </c>
      <c r="AR710" s="4" t="s">
        <v>1717</v>
      </c>
      <c r="AS710" s="4" t="s">
        <v>1740</v>
      </c>
      <c r="AT710" s="4" t="s">
        <v>1741</v>
      </c>
      <c r="AU710" s="4" t="s">
        <v>1742</v>
      </c>
      <c r="AV710" s="4" t="s">
        <v>1720</v>
      </c>
      <c r="AW710" s="4" t="s">
        <v>2698</v>
      </c>
      <c r="AY710" s="4">
        <v>49.033299999999997</v>
      </c>
      <c r="AZ710" s="4">
        <v>-115.0333</v>
      </c>
      <c r="BA710" s="4">
        <v>1103</v>
      </c>
    </row>
    <row r="711" spans="1:53" ht="14.25" customHeight="1" x14ac:dyDescent="0.2">
      <c r="A711" s="136" t="s">
        <v>422</v>
      </c>
      <c r="B711" s="4">
        <v>12</v>
      </c>
      <c r="C711" s="4" t="s">
        <v>1711</v>
      </c>
      <c r="D711" s="4">
        <v>3090</v>
      </c>
      <c r="E711" s="4">
        <v>13205</v>
      </c>
      <c r="G711" s="4" t="s">
        <v>127</v>
      </c>
      <c r="H711" s="4" t="s">
        <v>4885</v>
      </c>
      <c r="I711" s="4" t="s">
        <v>49</v>
      </c>
      <c r="J711" s="4" t="s">
        <v>4886</v>
      </c>
      <c r="K711" s="4">
        <v>1</v>
      </c>
      <c r="L711" s="4">
        <v>15121</v>
      </c>
      <c r="M711" s="62"/>
      <c r="N711" s="231"/>
      <c r="P711" s="231"/>
      <c r="R711" s="231"/>
      <c r="U711"/>
      <c r="AK711" s="9"/>
      <c r="AO711" s="4" t="s">
        <v>4887</v>
      </c>
      <c r="AP711" s="4">
        <v>3090</v>
      </c>
      <c r="AQ711" s="4" t="s">
        <v>1716</v>
      </c>
      <c r="AR711" s="4" t="s">
        <v>1717</v>
      </c>
      <c r="AS711" s="4" t="s">
        <v>1740</v>
      </c>
      <c r="AT711" s="4" t="s">
        <v>1741</v>
      </c>
      <c r="AU711" s="4" t="s">
        <v>1742</v>
      </c>
      <c r="AV711" s="4" t="s">
        <v>1720</v>
      </c>
      <c r="AW711" s="4" t="s">
        <v>2368</v>
      </c>
      <c r="AX711" s="4" t="s">
        <v>2369</v>
      </c>
      <c r="AY711" s="4">
        <v>50.9619</v>
      </c>
      <c r="AZ711" s="4">
        <v>-119.6879</v>
      </c>
      <c r="BA711" s="4">
        <v>449</v>
      </c>
    </row>
    <row r="712" spans="1:53" ht="14.25" customHeight="1" x14ac:dyDescent="0.2">
      <c r="A712" s="136" t="s">
        <v>422</v>
      </c>
      <c r="B712" s="4">
        <v>12</v>
      </c>
      <c r="C712" s="4" t="s">
        <v>1711</v>
      </c>
      <c r="D712" s="4">
        <v>3130</v>
      </c>
      <c r="E712" s="4">
        <v>13206</v>
      </c>
      <c r="F712" s="192"/>
      <c r="G712" s="4" t="s">
        <v>127</v>
      </c>
      <c r="H712" s="4" t="s">
        <v>4892</v>
      </c>
      <c r="I712" s="4" t="s">
        <v>49</v>
      </c>
      <c r="J712" s="4" t="s">
        <v>1746</v>
      </c>
      <c r="K712" s="4">
        <v>1</v>
      </c>
      <c r="L712" s="4">
        <v>15122</v>
      </c>
      <c r="M712" s="62"/>
      <c r="N712" s="231"/>
      <c r="P712" s="231"/>
      <c r="R712" s="231"/>
      <c r="U712"/>
      <c r="AK712" s="9"/>
      <c r="AO712" s="9" t="s">
        <v>4893</v>
      </c>
      <c r="AP712" s="4">
        <v>3130</v>
      </c>
      <c r="AQ712" s="4" t="s">
        <v>1716</v>
      </c>
      <c r="AR712" s="4" t="s">
        <v>1717</v>
      </c>
      <c r="AS712" s="4" t="s">
        <v>1740</v>
      </c>
      <c r="AT712" s="4" t="s">
        <v>1741</v>
      </c>
      <c r="AU712" s="4" t="s">
        <v>1742</v>
      </c>
      <c r="AV712" s="4" t="s">
        <v>1720</v>
      </c>
      <c r="AW712" s="4" t="s">
        <v>2698</v>
      </c>
      <c r="AX712" s="4" t="s">
        <v>2801</v>
      </c>
      <c r="AY712" s="4">
        <v>50.534100000000002</v>
      </c>
      <c r="AZ712" s="4">
        <v>-117.0077</v>
      </c>
      <c r="BA712" s="4">
        <v>698</v>
      </c>
    </row>
    <row r="713" spans="1:53" ht="14.25" customHeight="1" x14ac:dyDescent="0.2">
      <c r="A713" s="136" t="s">
        <v>422</v>
      </c>
      <c r="B713" s="4">
        <v>12</v>
      </c>
      <c r="C713" s="4" t="s">
        <v>1707</v>
      </c>
      <c r="D713" s="4" t="s">
        <v>4948</v>
      </c>
      <c r="E713" s="4">
        <v>13135</v>
      </c>
      <c r="G713" s="188" t="s">
        <v>4949</v>
      </c>
      <c r="H713" s="4" t="s">
        <v>4950</v>
      </c>
      <c r="I713" s="4" t="s">
        <v>49</v>
      </c>
      <c r="J713" s="4" t="s">
        <v>4951</v>
      </c>
      <c r="K713" s="4">
        <v>1</v>
      </c>
      <c r="L713" s="4">
        <v>15057</v>
      </c>
      <c r="M713" s="62"/>
      <c r="N713" s="231"/>
      <c r="P713" s="231"/>
      <c r="R713" s="231"/>
      <c r="U713"/>
      <c r="AK713" s="9"/>
    </row>
    <row r="714" spans="1:53" ht="14.25" customHeight="1" x14ac:dyDescent="0.2">
      <c r="A714" s="136" t="s">
        <v>422</v>
      </c>
      <c r="B714" s="4">
        <v>12</v>
      </c>
      <c r="C714" s="4" t="s">
        <v>1707</v>
      </c>
      <c r="D714" s="4" t="s">
        <v>4952</v>
      </c>
      <c r="E714" s="4">
        <v>13136</v>
      </c>
      <c r="F714" s="192"/>
      <c r="G714" s="188" t="s">
        <v>4953</v>
      </c>
      <c r="H714" s="4" t="s">
        <v>4950</v>
      </c>
      <c r="I714" s="4" t="s">
        <v>49</v>
      </c>
      <c r="J714" s="4" t="s">
        <v>4951</v>
      </c>
      <c r="K714" s="4">
        <v>1</v>
      </c>
      <c r="L714" s="4">
        <v>15058</v>
      </c>
      <c r="M714" s="62"/>
      <c r="N714" s="231"/>
      <c r="P714" s="231"/>
      <c r="R714" s="231"/>
      <c r="U714"/>
      <c r="AK714" s="9"/>
    </row>
    <row r="715" spans="1:53" ht="14.25" customHeight="1" x14ac:dyDescent="0.2">
      <c r="A715" s="136" t="s">
        <v>422</v>
      </c>
      <c r="B715" s="4">
        <v>12</v>
      </c>
      <c r="C715" s="4" t="s">
        <v>1707</v>
      </c>
      <c r="D715" s="4" t="s">
        <v>4954</v>
      </c>
      <c r="E715" s="4">
        <v>13137</v>
      </c>
      <c r="F715" s="192"/>
      <c r="G715" s="4" t="s">
        <v>4955</v>
      </c>
      <c r="H715" s="4" t="s">
        <v>4950</v>
      </c>
      <c r="I715" s="4" t="s">
        <v>49</v>
      </c>
      <c r="J715" s="4" t="s">
        <v>4951</v>
      </c>
      <c r="K715" s="4">
        <v>1</v>
      </c>
      <c r="L715" s="4">
        <v>15059</v>
      </c>
      <c r="M715" s="6"/>
      <c r="U715"/>
      <c r="AK715" s="9"/>
    </row>
    <row r="716" spans="1:53" ht="14.25" customHeight="1" x14ac:dyDescent="0.2">
      <c r="A716" s="136" t="s">
        <v>422</v>
      </c>
      <c r="B716" s="4">
        <v>12</v>
      </c>
      <c r="C716" s="4" t="s">
        <v>1707</v>
      </c>
      <c r="D716" s="4" t="s">
        <v>4956</v>
      </c>
      <c r="E716" s="4">
        <v>13138</v>
      </c>
      <c r="G716" s="188" t="s">
        <v>4957</v>
      </c>
      <c r="H716" s="4" t="s">
        <v>4950</v>
      </c>
      <c r="I716" s="4" t="s">
        <v>49</v>
      </c>
      <c r="J716" s="4" t="s">
        <v>4951</v>
      </c>
      <c r="K716" s="4">
        <v>1</v>
      </c>
      <c r="L716" s="4">
        <v>15060</v>
      </c>
      <c r="M716" s="6"/>
      <c r="U716"/>
      <c r="AK716" s="9"/>
    </row>
    <row r="717" spans="1:53" ht="14.25" customHeight="1" x14ac:dyDescent="0.2">
      <c r="A717" s="136" t="s">
        <v>422</v>
      </c>
      <c r="B717" s="4">
        <v>12</v>
      </c>
      <c r="C717" s="4" t="s">
        <v>1707</v>
      </c>
      <c r="D717" s="4" t="s">
        <v>4958</v>
      </c>
      <c r="E717" s="4">
        <v>13139</v>
      </c>
      <c r="F717" s="192"/>
      <c r="G717" s="4" t="s">
        <v>4959</v>
      </c>
      <c r="H717" s="4" t="s">
        <v>4950</v>
      </c>
      <c r="I717" s="4" t="s">
        <v>49</v>
      </c>
      <c r="J717" s="4" t="s">
        <v>4951</v>
      </c>
      <c r="K717" s="4">
        <v>1</v>
      </c>
      <c r="L717" s="4">
        <v>15061</v>
      </c>
      <c r="M717" s="6"/>
      <c r="P717" s="192"/>
      <c r="U717"/>
      <c r="AK717" s="9"/>
    </row>
    <row r="718" spans="1:53" ht="14.25" customHeight="1" x14ac:dyDescent="0.2">
      <c r="A718" s="136" t="s">
        <v>422</v>
      </c>
      <c r="B718" s="4">
        <v>12</v>
      </c>
      <c r="C718" s="4" t="s">
        <v>1707</v>
      </c>
      <c r="D718" s="4" t="s">
        <v>4960</v>
      </c>
      <c r="E718" s="4">
        <v>13140</v>
      </c>
      <c r="G718" s="4" t="s">
        <v>4961</v>
      </c>
      <c r="H718" s="4" t="s">
        <v>4950</v>
      </c>
      <c r="I718" s="4" t="s">
        <v>49</v>
      </c>
      <c r="J718" s="4" t="s">
        <v>4951</v>
      </c>
      <c r="K718" s="4">
        <v>1</v>
      </c>
      <c r="L718" s="4">
        <v>15062</v>
      </c>
      <c r="M718" s="6"/>
      <c r="U718"/>
      <c r="AK718" s="9"/>
      <c r="AO718" s="9"/>
    </row>
    <row r="719" spans="1:53" ht="14.25" customHeight="1" x14ac:dyDescent="0.2">
      <c r="A719" s="136" t="s">
        <v>422</v>
      </c>
      <c r="B719" s="4">
        <v>12</v>
      </c>
      <c r="C719" s="4" t="s">
        <v>1707</v>
      </c>
      <c r="D719" s="4" t="s">
        <v>4962</v>
      </c>
      <c r="E719" s="4">
        <v>13141</v>
      </c>
      <c r="G719" s="4" t="s">
        <v>4963</v>
      </c>
      <c r="H719" s="4" t="s">
        <v>4950</v>
      </c>
      <c r="I719" s="4" t="s">
        <v>49</v>
      </c>
      <c r="J719" s="4" t="s">
        <v>4951</v>
      </c>
      <c r="K719" s="4">
        <v>1</v>
      </c>
      <c r="L719" s="4">
        <v>15063</v>
      </c>
      <c r="M719" s="6"/>
      <c r="U719"/>
      <c r="AK719" s="9"/>
      <c r="AO719" s="268" t="s">
        <v>4964</v>
      </c>
      <c r="AP719" s="268">
        <v>95</v>
      </c>
      <c r="AQ719" s="268" t="s">
        <v>1716</v>
      </c>
      <c r="AR719" s="268" t="s">
        <v>2441</v>
      </c>
      <c r="AS719" s="268" t="s">
        <v>1702</v>
      </c>
      <c r="AT719" s="268" t="s">
        <v>1703</v>
      </c>
      <c r="AU719" s="268" t="s">
        <v>1704</v>
      </c>
      <c r="AV719" s="268" t="s">
        <v>1702</v>
      </c>
      <c r="AW719" s="268" t="s">
        <v>1705</v>
      </c>
      <c r="AX719" s="268" t="s">
        <v>1952</v>
      </c>
      <c r="AY719" s="268">
        <v>54.2</v>
      </c>
      <c r="AZ719" s="268">
        <v>-133</v>
      </c>
      <c r="BA719" s="268">
        <v>41</v>
      </c>
    </row>
    <row r="720" spans="1:53" ht="14.25" customHeight="1" x14ac:dyDescent="0.2">
      <c r="A720" s="136" t="s">
        <v>422</v>
      </c>
      <c r="B720" s="4">
        <v>12</v>
      </c>
      <c r="C720" s="4" t="s">
        <v>1707</v>
      </c>
      <c r="D720" s="4" t="s">
        <v>4965</v>
      </c>
      <c r="E720" s="4">
        <v>13142</v>
      </c>
      <c r="G720" s="4" t="s">
        <v>4966</v>
      </c>
      <c r="H720" s="4" t="s">
        <v>4950</v>
      </c>
      <c r="I720" s="4" t="s">
        <v>49</v>
      </c>
      <c r="J720" s="4" t="s">
        <v>4951</v>
      </c>
      <c r="K720" s="4">
        <v>1</v>
      </c>
      <c r="L720" s="4">
        <v>15064</v>
      </c>
      <c r="M720" s="6"/>
      <c r="U720"/>
      <c r="AK720" s="9"/>
      <c r="AO720" s="268" t="s">
        <v>4967</v>
      </c>
      <c r="AP720" s="268">
        <v>92</v>
      </c>
      <c r="AQ720" s="268" t="s">
        <v>1716</v>
      </c>
      <c r="AR720" s="268" t="s">
        <v>2441</v>
      </c>
      <c r="AS720" s="268" t="s">
        <v>1702</v>
      </c>
      <c r="AT720" s="268" t="s">
        <v>1703</v>
      </c>
      <c r="AU720" s="268" t="s">
        <v>1704</v>
      </c>
      <c r="AV720" s="268" t="s">
        <v>1702</v>
      </c>
      <c r="AW720" s="268" t="s">
        <v>1705</v>
      </c>
      <c r="AX720" s="268" t="s">
        <v>1965</v>
      </c>
      <c r="AY720" s="268">
        <v>52.3</v>
      </c>
      <c r="AZ720" s="268">
        <v>-128.69999999999999</v>
      </c>
      <c r="BA720" s="268">
        <v>26</v>
      </c>
    </row>
    <row r="721" spans="1:72" ht="14.25" customHeight="1" x14ac:dyDescent="0.2">
      <c r="A721" s="136" t="s">
        <v>422</v>
      </c>
      <c r="B721" s="4">
        <v>9</v>
      </c>
      <c r="C721" s="4" t="s">
        <v>4969</v>
      </c>
      <c r="D721" s="4" t="s">
        <v>4995</v>
      </c>
      <c r="E721" s="4">
        <v>12946</v>
      </c>
      <c r="F721" s="49" t="s">
        <v>4996</v>
      </c>
      <c r="G721" s="4" t="s">
        <v>127</v>
      </c>
      <c r="H721" s="4" t="s">
        <v>84</v>
      </c>
      <c r="I721" s="4" t="s">
        <v>49</v>
      </c>
      <c r="K721" s="4">
        <v>1</v>
      </c>
      <c r="L721" s="4">
        <v>14878</v>
      </c>
      <c r="M721" s="6"/>
      <c r="U721"/>
      <c r="AK721" s="9"/>
      <c r="AO721" s="192"/>
      <c r="AP721" s="192"/>
      <c r="AQ721" s="192"/>
      <c r="AR721" s="192"/>
      <c r="AS721" s="192"/>
      <c r="AT721" s="192"/>
      <c r="AU721" s="192"/>
      <c r="AV721" s="192"/>
      <c r="AW721" s="192"/>
      <c r="AX721" s="192"/>
      <c r="AY721" s="192"/>
      <c r="AZ721" s="192"/>
      <c r="BA721" s="192"/>
    </row>
    <row r="722" spans="1:72" ht="14.25" customHeight="1" x14ac:dyDescent="0.2">
      <c r="A722" s="145" t="s">
        <v>422</v>
      </c>
      <c r="B722" s="4">
        <v>9</v>
      </c>
      <c r="C722" s="4" t="s">
        <v>5039</v>
      </c>
      <c r="D722" s="4" t="s">
        <v>5053</v>
      </c>
      <c r="E722" s="4">
        <v>12077</v>
      </c>
      <c r="F722" s="4" t="s">
        <v>5054</v>
      </c>
      <c r="G722" s="4" t="s">
        <v>5055</v>
      </c>
      <c r="H722" s="4" t="s">
        <v>84</v>
      </c>
      <c r="I722" s="4" t="s">
        <v>641</v>
      </c>
      <c r="K722" s="4">
        <v>1</v>
      </c>
      <c r="L722" s="4">
        <v>14133</v>
      </c>
      <c r="M722" s="6"/>
      <c r="U722"/>
      <c r="V722" s="9"/>
      <c r="W722" s="9"/>
      <c r="X722" s="9"/>
      <c r="Y722" s="9"/>
      <c r="Z722" s="70"/>
      <c r="AA722" s="9"/>
      <c r="AB722" s="11"/>
      <c r="AC722" s="9"/>
      <c r="AK722" s="9"/>
    </row>
    <row r="723" spans="1:72" ht="14.25" customHeight="1" x14ac:dyDescent="0.2">
      <c r="A723" s="136" t="s">
        <v>422</v>
      </c>
      <c r="B723" s="4">
        <v>9</v>
      </c>
      <c r="C723" s="4" t="s">
        <v>4969</v>
      </c>
      <c r="D723" s="4" t="s">
        <v>5074</v>
      </c>
      <c r="E723" s="4">
        <v>12084</v>
      </c>
      <c r="F723" s="188" t="s">
        <v>5075</v>
      </c>
      <c r="G723" s="4" t="s">
        <v>5076</v>
      </c>
      <c r="H723" s="4" t="s">
        <v>5077</v>
      </c>
      <c r="I723" s="4" t="s">
        <v>641</v>
      </c>
      <c r="J723" s="4" t="s">
        <v>5078</v>
      </c>
      <c r="K723" s="4">
        <v>1</v>
      </c>
      <c r="L723" s="4">
        <v>14140</v>
      </c>
      <c r="M723" s="6"/>
      <c r="U723"/>
      <c r="V723" s="9"/>
      <c r="W723" s="9"/>
      <c r="X723" s="9"/>
      <c r="Y723" s="9"/>
      <c r="Z723" s="70"/>
      <c r="AA723" s="9"/>
      <c r="AB723" s="11"/>
      <c r="AC723" s="9"/>
      <c r="AK723" s="9"/>
    </row>
    <row r="724" spans="1:72" ht="14.25" customHeight="1" x14ac:dyDescent="0.2">
      <c r="A724" s="136" t="s">
        <v>422</v>
      </c>
      <c r="B724" s="4">
        <v>9</v>
      </c>
      <c r="C724" s="4" t="s">
        <v>4969</v>
      </c>
      <c r="D724" s="4" t="s">
        <v>5186</v>
      </c>
      <c r="E724" s="4">
        <v>2625</v>
      </c>
      <c r="F724" s="4" t="s">
        <v>5187</v>
      </c>
      <c r="G724" s="4" t="s">
        <v>5188</v>
      </c>
      <c r="H724" s="4" t="s">
        <v>5189</v>
      </c>
      <c r="I724" s="4" t="s">
        <v>641</v>
      </c>
      <c r="J724" s="4" t="s">
        <v>5083</v>
      </c>
      <c r="K724" s="4">
        <v>1</v>
      </c>
      <c r="L724" s="4">
        <v>3028</v>
      </c>
      <c r="M724" s="6"/>
      <c r="U724"/>
      <c r="AK724" s="9"/>
    </row>
    <row r="725" spans="1:72" ht="14.25" customHeight="1" x14ac:dyDescent="0.2">
      <c r="A725" s="136" t="s">
        <v>422</v>
      </c>
      <c r="B725" s="4">
        <v>9</v>
      </c>
      <c r="C725" s="4" t="s">
        <v>4969</v>
      </c>
      <c r="D725" s="4" t="s">
        <v>5707</v>
      </c>
      <c r="E725" s="4">
        <v>12234</v>
      </c>
      <c r="F725" s="188" t="s">
        <v>5708</v>
      </c>
      <c r="G725" s="4" t="s">
        <v>5709</v>
      </c>
      <c r="H725" s="4" t="s">
        <v>5710</v>
      </c>
      <c r="I725" s="4" t="s">
        <v>641</v>
      </c>
      <c r="J725" s="4" t="s">
        <v>5711</v>
      </c>
      <c r="K725" s="4">
        <v>1</v>
      </c>
      <c r="L725" s="4">
        <v>14289</v>
      </c>
      <c r="M725" s="6"/>
      <c r="U725"/>
      <c r="AK725" s="9"/>
    </row>
    <row r="726" spans="1:72" ht="14.25" customHeight="1" x14ac:dyDescent="0.2">
      <c r="A726" s="184" t="s">
        <v>422</v>
      </c>
      <c r="B726" s="197">
        <v>9</v>
      </c>
      <c r="C726" s="197" t="s">
        <v>4969</v>
      </c>
      <c r="D726" s="197" t="s">
        <v>5841</v>
      </c>
      <c r="E726" s="197">
        <v>12437</v>
      </c>
      <c r="F726" s="84" t="s">
        <v>5842</v>
      </c>
      <c r="G726" s="197" t="s">
        <v>113</v>
      </c>
      <c r="H726" s="197" t="s">
        <v>5843</v>
      </c>
      <c r="I726" s="197" t="s">
        <v>49</v>
      </c>
      <c r="J726" s="197" t="s">
        <v>5844</v>
      </c>
      <c r="K726" s="197">
        <v>1</v>
      </c>
      <c r="L726" s="197">
        <v>14459</v>
      </c>
      <c r="M726" s="225"/>
      <c r="N726" s="197"/>
      <c r="O726" s="197"/>
      <c r="P726" s="197"/>
      <c r="Q726" s="197"/>
      <c r="R726" s="197"/>
      <c r="S726" s="197"/>
      <c r="T726" s="197"/>
      <c r="U726" s="197"/>
      <c r="V726" s="197"/>
      <c r="W726" s="197"/>
      <c r="X726" s="197"/>
      <c r="Y726" s="197"/>
      <c r="Z726" s="197"/>
      <c r="AA726" s="197"/>
      <c r="AB726" s="197"/>
      <c r="AC726" s="197"/>
      <c r="AD726" s="197"/>
      <c r="AE726" s="197"/>
      <c r="AF726" s="197"/>
      <c r="AI726" s="197"/>
      <c r="AK726" s="9"/>
    </row>
    <row r="727" spans="1:72" ht="14.25" customHeight="1" x14ac:dyDescent="0.2">
      <c r="A727" s="184" t="s">
        <v>422</v>
      </c>
      <c r="B727" s="197">
        <v>9</v>
      </c>
      <c r="C727" s="197" t="s">
        <v>4969</v>
      </c>
      <c r="D727" s="197" t="s">
        <v>5858</v>
      </c>
      <c r="E727" s="197">
        <v>12609</v>
      </c>
      <c r="F727" s="197" t="s">
        <v>1649</v>
      </c>
      <c r="G727" s="197" t="s">
        <v>113</v>
      </c>
      <c r="H727" s="197" t="s">
        <v>84</v>
      </c>
      <c r="I727" s="197" t="s">
        <v>49</v>
      </c>
      <c r="J727" s="197"/>
      <c r="K727" s="197">
        <v>1</v>
      </c>
      <c r="L727" s="197">
        <v>14631</v>
      </c>
      <c r="M727" s="308"/>
      <c r="N727" s="312"/>
      <c r="O727" s="197"/>
      <c r="P727" s="197"/>
      <c r="Q727" s="197"/>
      <c r="R727" s="312"/>
      <c r="S727" s="197"/>
      <c r="T727" s="320"/>
      <c r="U727" s="197"/>
      <c r="V727" s="197"/>
      <c r="W727" s="197"/>
      <c r="X727" s="197"/>
      <c r="Y727" s="197"/>
      <c r="Z727" s="197"/>
      <c r="AA727" s="197"/>
      <c r="AB727" s="197"/>
      <c r="AC727" s="197"/>
      <c r="AD727" s="197"/>
      <c r="AE727" s="197"/>
      <c r="AF727" s="197"/>
      <c r="AI727" s="197"/>
      <c r="AK727" s="9"/>
    </row>
    <row r="728" spans="1:72" ht="14.25" customHeight="1" x14ac:dyDescent="0.2">
      <c r="A728" s="136" t="s">
        <v>422</v>
      </c>
      <c r="B728" s="4">
        <v>9</v>
      </c>
      <c r="C728" s="4" t="s">
        <v>4969</v>
      </c>
      <c r="D728" s="4" t="s">
        <v>5975</v>
      </c>
      <c r="E728" s="4">
        <v>12945</v>
      </c>
      <c r="F728" s="9"/>
      <c r="G728" s="188" t="s">
        <v>127</v>
      </c>
      <c r="H728" s="4" t="s">
        <v>84</v>
      </c>
      <c r="I728" s="4" t="s">
        <v>49</v>
      </c>
      <c r="K728" s="4">
        <v>1</v>
      </c>
      <c r="L728" s="4">
        <v>14877</v>
      </c>
      <c r="M728" s="223"/>
      <c r="U728"/>
    </row>
    <row r="729" spans="1:72" ht="14.25" customHeight="1" x14ac:dyDescent="0.2">
      <c r="A729" s="136" t="s">
        <v>422</v>
      </c>
      <c r="B729" s="4">
        <v>14</v>
      </c>
      <c r="C729" s="4" t="s">
        <v>5992</v>
      </c>
      <c r="D729" s="4" t="s">
        <v>5993</v>
      </c>
      <c r="E729" s="4">
        <v>2518</v>
      </c>
      <c r="F729" s="188" t="s">
        <v>1680</v>
      </c>
      <c r="G729" s="4" t="s">
        <v>5994</v>
      </c>
      <c r="H729" s="4" t="s">
        <v>5995</v>
      </c>
      <c r="I729" s="4" t="s">
        <v>1664</v>
      </c>
      <c r="J729" s="4" t="s">
        <v>5996</v>
      </c>
      <c r="K729" s="4">
        <v>1</v>
      </c>
      <c r="L729" s="4">
        <v>2921</v>
      </c>
      <c r="M729" s="299"/>
      <c r="N729" s="231"/>
      <c r="R729" s="231"/>
      <c r="T729" s="240"/>
      <c r="U729"/>
    </row>
    <row r="730" spans="1:72" ht="14.25" customHeight="1" x14ac:dyDescent="0.2">
      <c r="A730" s="136" t="s">
        <v>422</v>
      </c>
      <c r="B730" s="4">
        <v>14</v>
      </c>
      <c r="C730" s="4" t="s">
        <v>5992</v>
      </c>
      <c r="D730" s="4" t="s">
        <v>5997</v>
      </c>
      <c r="E730" s="4">
        <v>2520</v>
      </c>
      <c r="F730" s="4" t="s">
        <v>5998</v>
      </c>
      <c r="G730" s="4" t="s">
        <v>5999</v>
      </c>
      <c r="H730" s="4" t="s">
        <v>6000</v>
      </c>
      <c r="I730" s="4" t="s">
        <v>1664</v>
      </c>
      <c r="J730" s="4" t="s">
        <v>5996</v>
      </c>
      <c r="K730" s="4">
        <v>1</v>
      </c>
      <c r="L730" s="4">
        <v>2923</v>
      </c>
      <c r="M730" s="223"/>
      <c r="U730"/>
    </row>
    <row r="731" spans="1:72" ht="14.25" customHeight="1" x14ac:dyDescent="0.2">
      <c r="A731" s="136" t="s">
        <v>422</v>
      </c>
      <c r="B731" s="4">
        <v>14</v>
      </c>
      <c r="C731" s="4" t="s">
        <v>5992</v>
      </c>
      <c r="D731" s="4" t="s">
        <v>6001</v>
      </c>
      <c r="E731" s="4">
        <v>2519</v>
      </c>
      <c r="F731" s="188" t="s">
        <v>1685</v>
      </c>
      <c r="G731" s="4" t="s">
        <v>6002</v>
      </c>
      <c r="H731" s="4" t="s">
        <v>6000</v>
      </c>
      <c r="I731" s="4" t="s">
        <v>1664</v>
      </c>
      <c r="J731" s="4" t="s">
        <v>5996</v>
      </c>
      <c r="K731" s="4">
        <v>1</v>
      </c>
      <c r="L731" s="4">
        <v>2922</v>
      </c>
      <c r="M731" s="299"/>
      <c r="N731" s="231"/>
      <c r="P731" s="231"/>
      <c r="R731" s="231"/>
      <c r="T731" s="240"/>
      <c r="U731"/>
    </row>
    <row r="732" spans="1:72" ht="14.25" customHeight="1" x14ac:dyDescent="0.2">
      <c r="A732" s="136" t="s">
        <v>422</v>
      </c>
      <c r="B732" s="4">
        <v>5</v>
      </c>
      <c r="C732" s="4" t="s">
        <v>6532</v>
      </c>
      <c r="D732" s="4" t="s">
        <v>6533</v>
      </c>
      <c r="E732" s="4">
        <v>13123</v>
      </c>
      <c r="F732" s="4" t="s">
        <v>6534</v>
      </c>
      <c r="G732" s="4" t="s">
        <v>127</v>
      </c>
      <c r="H732" s="4" t="s">
        <v>6535</v>
      </c>
      <c r="I732" s="4" t="s">
        <v>49</v>
      </c>
      <c r="J732" s="4" t="s">
        <v>6262</v>
      </c>
      <c r="K732" s="4">
        <v>1</v>
      </c>
      <c r="L732" s="4">
        <v>15045</v>
      </c>
      <c r="M732" s="222">
        <v>50.622897219999999</v>
      </c>
      <c r="N732" s="201">
        <v>-116.0627083</v>
      </c>
      <c r="O732" s="201">
        <v>1009</v>
      </c>
      <c r="P732" s="201" t="s">
        <v>6536</v>
      </c>
      <c r="Q732" s="201"/>
      <c r="R732" s="201" t="s">
        <v>6534</v>
      </c>
      <c r="S732" s="237" t="s">
        <v>6537</v>
      </c>
      <c r="T732" s="237"/>
      <c r="U732" s="237"/>
      <c r="V732" s="237"/>
      <c r="W732" s="237"/>
      <c r="X732" s="237"/>
      <c r="Y732" s="237"/>
      <c r="Z732" s="237"/>
      <c r="AA732" s="237"/>
      <c r="AB732" s="237"/>
      <c r="AC732" s="237"/>
      <c r="AD732" s="237"/>
      <c r="AE732" s="237"/>
      <c r="AF732" s="237"/>
      <c r="AG732" s="237"/>
      <c r="AH732" s="237"/>
      <c r="AI732" s="237"/>
      <c r="AJ732" s="237"/>
      <c r="AK732" s="237"/>
      <c r="AL732" s="237"/>
      <c r="AM732" s="237"/>
      <c r="AN732" s="237"/>
      <c r="AO732" s="237"/>
      <c r="AP732" s="237"/>
      <c r="AQ732" s="237"/>
      <c r="AR732" s="237"/>
      <c r="AS732" s="237"/>
      <c r="AT732" s="237"/>
      <c r="AU732" s="237"/>
      <c r="AV732" s="237"/>
      <c r="AW732" s="237"/>
      <c r="AX732" s="237"/>
      <c r="AY732" s="237"/>
      <c r="AZ732" s="237"/>
      <c r="BA732" s="237"/>
      <c r="BB732" s="237"/>
      <c r="BC732" s="237"/>
      <c r="BD732" s="237"/>
      <c r="BE732" s="237"/>
      <c r="BF732" s="237"/>
      <c r="BG732" s="237"/>
      <c r="BH732" s="237"/>
      <c r="BI732" s="237"/>
      <c r="BJ732" s="237"/>
      <c r="BK732" s="237"/>
      <c r="BL732" s="237"/>
      <c r="BM732" s="237"/>
      <c r="BN732" s="237"/>
      <c r="BO732" s="237"/>
      <c r="BP732" s="237"/>
      <c r="BQ732" s="237"/>
      <c r="BR732" s="237"/>
      <c r="BS732" s="237"/>
      <c r="BT732" s="237"/>
    </row>
    <row r="733" spans="1:72" ht="14.25" customHeight="1" x14ac:dyDescent="0.2">
      <c r="A733" s="136" t="s">
        <v>422</v>
      </c>
      <c r="B733" s="4">
        <v>5</v>
      </c>
      <c r="C733" s="4" t="s">
        <v>6093</v>
      </c>
      <c r="D733" s="4" t="s">
        <v>6851</v>
      </c>
      <c r="E733" s="4">
        <v>2491</v>
      </c>
      <c r="F733" s="4" t="s">
        <v>6852</v>
      </c>
      <c r="G733" s="4" t="s">
        <v>6853</v>
      </c>
      <c r="H733" s="4" t="s">
        <v>6854</v>
      </c>
      <c r="I733" s="4" t="s">
        <v>1664</v>
      </c>
      <c r="J733" s="4" t="s">
        <v>6855</v>
      </c>
      <c r="K733" s="4">
        <v>1</v>
      </c>
      <c r="L733" s="4">
        <v>2894</v>
      </c>
      <c r="M733" s="223"/>
      <c r="U733"/>
    </row>
    <row r="734" spans="1:72" ht="14.25" customHeight="1" x14ac:dyDescent="0.2">
      <c r="A734" s="136" t="s">
        <v>422</v>
      </c>
      <c r="B734" s="4">
        <v>14</v>
      </c>
      <c r="C734" s="4" t="s">
        <v>6833</v>
      </c>
      <c r="D734" s="4" t="s">
        <v>5993</v>
      </c>
      <c r="E734" s="4">
        <v>2518</v>
      </c>
      <c r="F734" s="4" t="s">
        <v>1680</v>
      </c>
      <c r="G734" s="4" t="s">
        <v>5994</v>
      </c>
      <c r="H734" s="4" t="s">
        <v>5995</v>
      </c>
      <c r="I734" s="4" t="s">
        <v>1664</v>
      </c>
      <c r="J734" s="4" t="s">
        <v>5996</v>
      </c>
      <c r="K734" s="4">
        <v>1</v>
      </c>
      <c r="L734" s="4">
        <v>2921</v>
      </c>
      <c r="M734" s="223"/>
      <c r="U734"/>
      <c r="V734" s="9"/>
      <c r="W734" s="9"/>
      <c r="X734" s="9"/>
      <c r="Y734" s="9"/>
      <c r="Z734" s="9"/>
      <c r="AA734" s="9"/>
      <c r="AB734" s="9"/>
      <c r="AC734" s="9"/>
      <c r="AD734" s="9"/>
      <c r="AE734" s="9"/>
      <c r="AF734" s="9"/>
      <c r="AG734" s="9"/>
      <c r="AH734" s="9"/>
      <c r="AI734" s="9"/>
      <c r="AJ734" s="9"/>
      <c r="AK734" s="9"/>
      <c r="AL734" s="9"/>
      <c r="AM734" s="9"/>
      <c r="AN734" s="9"/>
      <c r="AO734" s="9"/>
      <c r="AP734" s="9"/>
      <c r="AQ734" s="9"/>
      <c r="AR734" s="9"/>
      <c r="AS734" s="9"/>
      <c r="AT734" s="9"/>
      <c r="AU734" s="9"/>
      <c r="AV734" s="9"/>
      <c r="AW734" s="9"/>
      <c r="AX734" s="9"/>
      <c r="AY734" s="9"/>
      <c r="AZ734" s="9"/>
      <c r="BA734" s="9"/>
      <c r="BB734" s="9"/>
      <c r="BC734" s="9"/>
      <c r="BD734" s="9"/>
      <c r="BE734" s="9"/>
      <c r="BF734" s="9"/>
      <c r="BG734" s="9"/>
      <c r="BH734" s="9"/>
      <c r="BI734" s="9"/>
      <c r="BJ734" s="9"/>
      <c r="BK734" s="9"/>
      <c r="BL734" s="9"/>
      <c r="BM734" s="9"/>
      <c r="BN734" s="9"/>
      <c r="BO734" s="9"/>
      <c r="BP734" s="9"/>
      <c r="BQ734" s="9"/>
      <c r="BR734" s="9"/>
      <c r="BS734" s="9"/>
      <c r="BT734" s="9"/>
    </row>
    <row r="735" spans="1:72" ht="14.25" customHeight="1" x14ac:dyDescent="0.2">
      <c r="A735" s="136" t="s">
        <v>422</v>
      </c>
      <c r="B735" s="4">
        <v>14</v>
      </c>
      <c r="C735" s="4" t="s">
        <v>5992</v>
      </c>
      <c r="D735" s="4" t="s">
        <v>5997</v>
      </c>
      <c r="E735" s="4">
        <v>2520</v>
      </c>
      <c r="F735" s="188" t="s">
        <v>5998</v>
      </c>
      <c r="G735" s="4" t="s">
        <v>5999</v>
      </c>
      <c r="H735" s="4" t="s">
        <v>6000</v>
      </c>
      <c r="I735" s="4" t="s">
        <v>1664</v>
      </c>
      <c r="J735" s="4" t="s">
        <v>5996</v>
      </c>
      <c r="K735" s="4">
        <v>1</v>
      </c>
      <c r="L735" s="4">
        <v>2923</v>
      </c>
      <c r="M735" s="299"/>
      <c r="N735" s="231"/>
      <c r="P735" s="231"/>
      <c r="R735" s="231"/>
      <c r="T735" s="240"/>
      <c r="U735"/>
    </row>
    <row r="736" spans="1:72" ht="14.25" customHeight="1" x14ac:dyDescent="0.2">
      <c r="A736" s="136" t="s">
        <v>422</v>
      </c>
      <c r="B736" s="4">
        <v>14</v>
      </c>
      <c r="C736" s="201" t="s">
        <v>5992</v>
      </c>
      <c r="D736" s="4" t="s">
        <v>6001</v>
      </c>
      <c r="E736" s="4">
        <v>2519</v>
      </c>
      <c r="F736" s="4" t="s">
        <v>1685</v>
      </c>
      <c r="G736" s="188" t="s">
        <v>6002</v>
      </c>
      <c r="H736" s="4" t="s">
        <v>6000</v>
      </c>
      <c r="I736" s="4" t="s">
        <v>1664</v>
      </c>
      <c r="J736" s="4" t="s">
        <v>5996</v>
      </c>
      <c r="K736" s="4">
        <v>1</v>
      </c>
      <c r="L736" s="4">
        <v>2922</v>
      </c>
      <c r="M736" s="223"/>
      <c r="U736"/>
    </row>
    <row r="737" spans="1:72" ht="14.25" customHeight="1" x14ac:dyDescent="0.2">
      <c r="A737" s="180" t="s">
        <v>5974</v>
      </c>
      <c r="B737" s="195">
        <v>9</v>
      </c>
      <c r="C737" s="195" t="s">
        <v>4969</v>
      </c>
      <c r="D737" s="195" t="s">
        <v>5291</v>
      </c>
      <c r="E737" s="195">
        <v>12940</v>
      </c>
      <c r="F737" s="195"/>
      <c r="G737" s="87" t="s">
        <v>127</v>
      </c>
      <c r="H737" s="195" t="s">
        <v>84</v>
      </c>
      <c r="I737" s="195" t="s">
        <v>49</v>
      </c>
      <c r="J737" s="195"/>
      <c r="K737" s="195">
        <v>1</v>
      </c>
      <c r="L737" s="195">
        <v>14872</v>
      </c>
      <c r="M737" s="303"/>
      <c r="N737" s="311"/>
      <c r="O737" s="195"/>
      <c r="P737" s="195"/>
      <c r="Q737" s="195"/>
      <c r="R737" s="311"/>
      <c r="S737" s="195"/>
      <c r="T737" s="319"/>
      <c r="U737" s="195"/>
      <c r="V737" s="195"/>
      <c r="W737" s="195"/>
      <c r="X737" s="195"/>
      <c r="Y737" s="195"/>
      <c r="Z737" s="195"/>
      <c r="AA737" s="195"/>
      <c r="AB737" s="195"/>
      <c r="AC737" s="195"/>
      <c r="AD737" s="195"/>
      <c r="AE737" s="195"/>
      <c r="AF737" s="195"/>
      <c r="AG737" s="195"/>
      <c r="AH737" s="195"/>
      <c r="AI737" s="195"/>
      <c r="AJ737" s="195"/>
      <c r="AK737" s="195"/>
      <c r="AL737" s="195"/>
      <c r="AM737" s="195"/>
      <c r="AN737" s="195"/>
      <c r="AO737" s="195"/>
      <c r="AP737" s="195"/>
      <c r="AQ737" s="195"/>
      <c r="AR737" s="195"/>
      <c r="AS737" s="195"/>
      <c r="AT737" s="195"/>
      <c r="AU737" s="195"/>
      <c r="AV737" s="195"/>
      <c r="AW737" s="195"/>
      <c r="AX737" s="195"/>
      <c r="AY737" s="195"/>
      <c r="AZ737" s="195"/>
      <c r="BA737" s="195"/>
      <c r="BB737" s="195"/>
      <c r="BC737" s="195"/>
      <c r="BD737" s="195"/>
      <c r="BE737" s="195"/>
      <c r="BF737" s="195"/>
      <c r="BG737" s="195"/>
      <c r="BH737" s="195"/>
      <c r="BI737" s="195"/>
      <c r="BJ737" s="195"/>
      <c r="BK737" s="195"/>
      <c r="BL737" s="195"/>
      <c r="BM737" s="195"/>
      <c r="BN737" s="195"/>
      <c r="BO737" s="195"/>
      <c r="BP737" s="195"/>
      <c r="BQ737" s="195"/>
      <c r="BR737" s="195"/>
      <c r="BS737" s="195"/>
      <c r="BT737" s="195"/>
    </row>
    <row r="738" spans="1:72" ht="14.25" customHeight="1" x14ac:dyDescent="0.2">
      <c r="A738" s="180" t="s">
        <v>5974</v>
      </c>
      <c r="B738" s="195">
        <v>9</v>
      </c>
      <c r="C738" s="195" t="s">
        <v>4969</v>
      </c>
      <c r="D738" s="195" t="s">
        <v>5657</v>
      </c>
      <c r="E738" s="195">
        <v>12942</v>
      </c>
      <c r="F738" s="87"/>
      <c r="G738" s="195" t="s">
        <v>127</v>
      </c>
      <c r="H738" s="195" t="s">
        <v>84</v>
      </c>
      <c r="I738" s="195" t="s">
        <v>49</v>
      </c>
      <c r="J738" s="195"/>
      <c r="K738" s="195">
        <v>1</v>
      </c>
      <c r="L738" s="195">
        <v>14874</v>
      </c>
      <c r="M738" s="307"/>
      <c r="N738" s="195"/>
      <c r="O738" s="195"/>
      <c r="P738" s="195"/>
      <c r="Q738" s="195"/>
      <c r="R738" s="195"/>
      <c r="S738" s="195"/>
      <c r="T738" s="195"/>
      <c r="U738" s="195"/>
      <c r="V738" s="195"/>
      <c r="W738" s="195"/>
      <c r="X738" s="195"/>
      <c r="Y738" s="195"/>
      <c r="Z738" s="262"/>
      <c r="AA738" s="195"/>
      <c r="AB738" s="264"/>
      <c r="AC738" s="195"/>
      <c r="AD738" s="195"/>
      <c r="AE738" s="195"/>
      <c r="AF738" s="195"/>
      <c r="AG738" s="195"/>
      <c r="AH738" s="195"/>
      <c r="AI738" s="195"/>
      <c r="AJ738" s="195"/>
      <c r="AK738" s="195"/>
      <c r="AL738" s="195"/>
      <c r="AM738" s="195"/>
      <c r="AN738" s="195"/>
      <c r="AO738" s="195"/>
      <c r="AP738" s="195"/>
      <c r="AQ738" s="195"/>
      <c r="AR738" s="195"/>
      <c r="AS738" s="195"/>
      <c r="AT738" s="195"/>
      <c r="AU738" s="195"/>
      <c r="AV738" s="195"/>
      <c r="AW738" s="195"/>
      <c r="AX738" s="195"/>
      <c r="AY738" s="195"/>
      <c r="AZ738" s="195"/>
      <c r="BA738" s="195"/>
      <c r="BB738" s="195"/>
      <c r="BC738" s="195"/>
      <c r="BD738" s="195"/>
      <c r="BE738" s="195"/>
      <c r="BF738" s="195"/>
      <c r="BG738" s="195"/>
      <c r="BH738" s="195"/>
      <c r="BI738" s="195"/>
      <c r="BJ738" s="195"/>
      <c r="BK738" s="195"/>
      <c r="BL738" s="195"/>
      <c r="BM738" s="195"/>
      <c r="BN738" s="195"/>
      <c r="BO738" s="195"/>
      <c r="BP738" s="195"/>
      <c r="BQ738" s="195"/>
      <c r="BR738" s="195"/>
      <c r="BS738" s="195"/>
      <c r="BT738" s="195"/>
    </row>
    <row r="739" spans="1:72" ht="14.25" customHeight="1" x14ac:dyDescent="0.2">
      <c r="A739" s="136" t="s">
        <v>4988</v>
      </c>
      <c r="B739" s="4">
        <v>9</v>
      </c>
      <c r="C739" s="4" t="s">
        <v>4969</v>
      </c>
      <c r="D739" s="4" t="s">
        <v>4989</v>
      </c>
      <c r="E739" s="4">
        <v>12941</v>
      </c>
      <c r="F739" s="213" t="s">
        <v>4990</v>
      </c>
      <c r="G739" s="4" t="s">
        <v>127</v>
      </c>
      <c r="H739" s="4" t="s">
        <v>84</v>
      </c>
      <c r="I739" s="4" t="s">
        <v>49</v>
      </c>
      <c r="K739" s="4">
        <v>1</v>
      </c>
      <c r="L739" s="4">
        <v>14873</v>
      </c>
      <c r="M739" s="62"/>
      <c r="N739" s="231"/>
      <c r="R739" s="231"/>
      <c r="T739" s="240"/>
      <c r="U739"/>
      <c r="AK739" s="9"/>
    </row>
    <row r="740" spans="1:72" ht="14.25" customHeight="1" x14ac:dyDescent="0.2">
      <c r="A740" s="136" t="s">
        <v>5010</v>
      </c>
      <c r="B740" s="4">
        <v>9</v>
      </c>
      <c r="C740" s="4" t="s">
        <v>4969</v>
      </c>
      <c r="D740" s="4" t="s">
        <v>5011</v>
      </c>
      <c r="E740" s="4">
        <v>12944</v>
      </c>
      <c r="F740" s="49" t="s">
        <v>5012</v>
      </c>
      <c r="G740" s="4" t="s">
        <v>127</v>
      </c>
      <c r="H740" s="4" t="s">
        <v>84</v>
      </c>
      <c r="I740" s="4" t="s">
        <v>49</v>
      </c>
      <c r="K740" s="4">
        <v>1</v>
      </c>
      <c r="L740" s="4">
        <v>14876</v>
      </c>
      <c r="M740" s="6"/>
      <c r="U740"/>
      <c r="AK740" s="9"/>
      <c r="AO740" s="192"/>
      <c r="AP740" s="192"/>
      <c r="AQ740" s="192"/>
      <c r="AR740" s="192"/>
      <c r="AS740" s="192"/>
      <c r="AT740" s="192"/>
      <c r="AU740" s="192"/>
      <c r="AV740" s="192"/>
      <c r="AW740" s="192"/>
      <c r="AX740" s="192"/>
      <c r="AY740" s="192"/>
      <c r="AZ740" s="192"/>
      <c r="BA740" s="192"/>
    </row>
    <row r="741" spans="1:72" ht="14.25" customHeight="1" x14ac:dyDescent="0.2">
      <c r="A741" s="136" t="s">
        <v>5976</v>
      </c>
      <c r="B741" s="4">
        <v>9</v>
      </c>
      <c r="C741" s="4" t="s">
        <v>4969</v>
      </c>
      <c r="D741" s="4" t="s">
        <v>5799</v>
      </c>
      <c r="E741" s="4">
        <v>12943</v>
      </c>
      <c r="F741" s="203"/>
      <c r="G741" s="4" t="s">
        <v>127</v>
      </c>
      <c r="H741" s="4" t="s">
        <v>84</v>
      </c>
      <c r="I741" s="4" t="s">
        <v>49</v>
      </c>
      <c r="K741" s="4">
        <v>1</v>
      </c>
      <c r="L741" s="4">
        <v>14875</v>
      </c>
      <c r="M741" s="299"/>
      <c r="N741" s="231"/>
      <c r="R741" s="231"/>
      <c r="T741" s="240"/>
      <c r="U741"/>
    </row>
    <row r="742" spans="1:72" ht="14.25" customHeight="1" x14ac:dyDescent="0.2">
      <c r="A742" s="136" t="s">
        <v>5032</v>
      </c>
      <c r="B742" s="4">
        <v>9</v>
      </c>
      <c r="C742" s="4" t="s">
        <v>4969</v>
      </c>
      <c r="D742" s="201" t="s">
        <v>5033</v>
      </c>
      <c r="E742" s="4">
        <v>2587</v>
      </c>
      <c r="F742" s="188" t="s">
        <v>5034</v>
      </c>
      <c r="G742" s="4" t="s">
        <v>5035</v>
      </c>
      <c r="H742" s="4" t="s">
        <v>5036</v>
      </c>
      <c r="I742" s="4" t="s">
        <v>641</v>
      </c>
      <c r="J742" s="4" t="s">
        <v>5037</v>
      </c>
      <c r="K742" s="4">
        <v>1</v>
      </c>
      <c r="L742" s="4">
        <v>2990</v>
      </c>
      <c r="M742" s="6"/>
      <c r="U742"/>
      <c r="V742" s="9"/>
      <c r="W742" s="9"/>
      <c r="X742" s="9"/>
      <c r="Y742" s="9"/>
      <c r="Z742" s="70"/>
      <c r="AA742" s="9"/>
      <c r="AB742" s="11"/>
      <c r="AC742" s="9"/>
      <c r="AK742" s="9"/>
      <c r="AO742" s="192"/>
    </row>
    <row r="743" spans="1:72" ht="14.25" customHeight="1" x14ac:dyDescent="0.2">
      <c r="A743" s="136" t="s">
        <v>5032</v>
      </c>
      <c r="B743" s="4">
        <v>9</v>
      </c>
      <c r="C743" s="9" t="s">
        <v>4969</v>
      </c>
      <c r="D743" s="201" t="s">
        <v>5056</v>
      </c>
      <c r="E743" s="4">
        <v>1560</v>
      </c>
      <c r="F743" s="4" t="s">
        <v>5057</v>
      </c>
      <c r="G743" s="188" t="s">
        <v>5058</v>
      </c>
      <c r="H743" s="4" t="s">
        <v>5059</v>
      </c>
      <c r="I743" s="4" t="s">
        <v>641</v>
      </c>
      <c r="J743" s="4" t="s">
        <v>5060</v>
      </c>
      <c r="K743" s="4">
        <v>1</v>
      </c>
      <c r="L743" s="4">
        <v>1963</v>
      </c>
      <c r="M743" s="6"/>
      <c r="U743"/>
      <c r="V743" s="9"/>
      <c r="W743" s="9"/>
      <c r="X743" s="9"/>
      <c r="Y743" s="9"/>
      <c r="Z743" s="70"/>
      <c r="AA743" s="9"/>
      <c r="AB743" s="11"/>
      <c r="AC743" s="9"/>
      <c r="AK743" s="9"/>
    </row>
    <row r="744" spans="1:72" ht="14.25" customHeight="1" x14ac:dyDescent="0.2">
      <c r="A744" s="136" t="s">
        <v>5032</v>
      </c>
      <c r="B744" s="4">
        <v>9</v>
      </c>
      <c r="C744" s="4" t="s">
        <v>4969</v>
      </c>
      <c r="D744" s="201" t="s">
        <v>5065</v>
      </c>
      <c r="E744" s="4">
        <v>12083</v>
      </c>
      <c r="F744" s="4" t="s">
        <v>5066</v>
      </c>
      <c r="G744" s="188" t="s">
        <v>5067</v>
      </c>
      <c r="H744" s="4" t="s">
        <v>5068</v>
      </c>
      <c r="I744" s="4" t="s">
        <v>641</v>
      </c>
      <c r="J744" s="4" t="s">
        <v>5037</v>
      </c>
      <c r="K744" s="4">
        <v>1</v>
      </c>
      <c r="L744" s="4">
        <v>14139</v>
      </c>
      <c r="M744" s="6"/>
      <c r="U744"/>
      <c r="V744" s="9"/>
      <c r="W744" s="9"/>
      <c r="X744" s="9"/>
      <c r="Y744" s="9"/>
      <c r="Z744" s="70"/>
      <c r="AA744" s="9"/>
      <c r="AB744" s="11"/>
      <c r="AC744" s="9"/>
      <c r="AK744" s="9"/>
    </row>
    <row r="745" spans="1:72" ht="14.25" customHeight="1" x14ac:dyDescent="0.2">
      <c r="A745" s="136" t="s">
        <v>5032</v>
      </c>
      <c r="B745" s="4">
        <v>9</v>
      </c>
      <c r="C745" s="4" t="s">
        <v>4969</v>
      </c>
      <c r="D745" s="201" t="s">
        <v>5069</v>
      </c>
      <c r="E745" s="4">
        <v>2609</v>
      </c>
      <c r="F745" s="188" t="s">
        <v>5070</v>
      </c>
      <c r="G745" s="4" t="s">
        <v>5071</v>
      </c>
      <c r="H745" s="4" t="s">
        <v>5072</v>
      </c>
      <c r="I745" s="4" t="s">
        <v>641</v>
      </c>
      <c r="J745" s="4" t="s">
        <v>5073</v>
      </c>
      <c r="K745" s="4">
        <v>1</v>
      </c>
      <c r="L745" s="4">
        <v>3012</v>
      </c>
      <c r="M745" s="62"/>
      <c r="N745" s="231"/>
      <c r="O745" s="231"/>
      <c r="Q745" s="231"/>
      <c r="R745" s="231"/>
      <c r="T745" s="231"/>
      <c r="U745"/>
      <c r="V745" s="9"/>
      <c r="W745" s="9"/>
      <c r="X745" s="9"/>
      <c r="Y745" s="9"/>
      <c r="Z745" s="70"/>
      <c r="AA745" s="9"/>
      <c r="AB745" s="11"/>
      <c r="AC745" s="9"/>
      <c r="AK745" s="9"/>
    </row>
    <row r="746" spans="1:72" ht="14.25" customHeight="1" x14ac:dyDescent="0.2">
      <c r="A746" s="136" t="s">
        <v>5032</v>
      </c>
      <c r="B746" s="4">
        <v>9</v>
      </c>
      <c r="C746" s="4" t="s">
        <v>4969</v>
      </c>
      <c r="D746" s="201" t="s">
        <v>5079</v>
      </c>
      <c r="E746" s="4">
        <v>2627</v>
      </c>
      <c r="F746" s="4" t="s">
        <v>5080</v>
      </c>
      <c r="G746" s="4" t="s">
        <v>5081</v>
      </c>
      <c r="H746" s="4" t="s">
        <v>5082</v>
      </c>
      <c r="I746" s="4" t="s">
        <v>641</v>
      </c>
      <c r="J746" s="4" t="s">
        <v>5083</v>
      </c>
      <c r="K746" s="4">
        <v>1</v>
      </c>
      <c r="L746" s="4">
        <v>3030</v>
      </c>
      <c r="M746" s="6"/>
      <c r="U746"/>
      <c r="V746" s="9"/>
      <c r="W746" s="9"/>
      <c r="X746" s="9"/>
      <c r="Y746" s="9"/>
      <c r="Z746" s="70"/>
      <c r="AA746" s="9"/>
      <c r="AB746" s="11"/>
      <c r="AC746" s="9"/>
      <c r="AK746" s="9"/>
    </row>
    <row r="747" spans="1:72" ht="14.25" customHeight="1" x14ac:dyDescent="0.2">
      <c r="A747" s="136" t="s">
        <v>5032</v>
      </c>
      <c r="B747" s="4">
        <v>9</v>
      </c>
      <c r="C747" s="4" t="s">
        <v>4969</v>
      </c>
      <c r="D747" s="201" t="s">
        <v>5084</v>
      </c>
      <c r="E747" s="4">
        <v>1556</v>
      </c>
      <c r="F747" s="188" t="s">
        <v>5085</v>
      </c>
      <c r="G747" s="4" t="s">
        <v>5086</v>
      </c>
      <c r="H747" s="4" t="s">
        <v>5087</v>
      </c>
      <c r="I747" s="4" t="s">
        <v>641</v>
      </c>
      <c r="J747" s="4" t="s">
        <v>5037</v>
      </c>
      <c r="K747" s="4">
        <v>1</v>
      </c>
      <c r="L747" s="4">
        <v>1959</v>
      </c>
      <c r="M747" s="6"/>
      <c r="U747"/>
      <c r="V747" s="9"/>
      <c r="W747" s="9"/>
      <c r="X747" s="9"/>
      <c r="Y747" s="9"/>
      <c r="Z747" s="20"/>
      <c r="AA747" s="9"/>
      <c r="AB747" s="11"/>
      <c r="AC747" s="9"/>
      <c r="AK747" s="9"/>
    </row>
    <row r="748" spans="1:72" ht="14.25" customHeight="1" x14ac:dyDescent="0.2">
      <c r="A748" s="136" t="s">
        <v>5032</v>
      </c>
      <c r="B748" s="4">
        <v>9</v>
      </c>
      <c r="C748" s="9" t="s">
        <v>4969</v>
      </c>
      <c r="D748" s="201" t="s">
        <v>5107</v>
      </c>
      <c r="E748" s="4">
        <v>1562</v>
      </c>
      <c r="F748" s="4" t="s">
        <v>5108</v>
      </c>
      <c r="G748" s="4" t="s">
        <v>5109</v>
      </c>
      <c r="H748" s="4" t="s">
        <v>5110</v>
      </c>
      <c r="I748" s="4" t="s">
        <v>641</v>
      </c>
      <c r="J748" s="4" t="s">
        <v>5073</v>
      </c>
      <c r="K748" s="4">
        <v>1</v>
      </c>
      <c r="L748" s="4">
        <v>1965</v>
      </c>
      <c r="M748" s="6"/>
      <c r="P748" s="192"/>
      <c r="U748"/>
      <c r="AK748" s="9"/>
      <c r="AO748" s="192"/>
    </row>
    <row r="749" spans="1:72" ht="14.25" customHeight="1" x14ac:dyDescent="0.2">
      <c r="A749" s="136" t="s">
        <v>5032</v>
      </c>
      <c r="B749" s="4">
        <v>9</v>
      </c>
      <c r="C749" s="9" t="s">
        <v>4969</v>
      </c>
      <c r="D749" s="201" t="s">
        <v>5111</v>
      </c>
      <c r="E749" s="4">
        <v>12093</v>
      </c>
      <c r="F749" s="4" t="s">
        <v>5112</v>
      </c>
      <c r="G749" s="4" t="s">
        <v>5113</v>
      </c>
      <c r="H749" s="4" t="s">
        <v>5114</v>
      </c>
      <c r="I749" s="4" t="s">
        <v>641</v>
      </c>
      <c r="J749" s="4" t="s">
        <v>5073</v>
      </c>
      <c r="K749" s="4">
        <v>1</v>
      </c>
      <c r="L749" s="4">
        <v>14149</v>
      </c>
      <c r="M749" s="62"/>
      <c r="N749" s="231"/>
      <c r="P749" s="231"/>
      <c r="R749" s="231"/>
      <c r="T749" s="240"/>
      <c r="U749"/>
      <c r="AK749" s="9"/>
    </row>
    <row r="750" spans="1:72" ht="14.25" customHeight="1" x14ac:dyDescent="0.2">
      <c r="A750" s="136" t="s">
        <v>5032</v>
      </c>
      <c r="B750" s="4">
        <v>9</v>
      </c>
      <c r="C750" s="9" t="s">
        <v>4969</v>
      </c>
      <c r="D750" s="201" t="s">
        <v>5120</v>
      </c>
      <c r="E750" s="4">
        <v>2616</v>
      </c>
      <c r="F750" s="4" t="s">
        <v>5121</v>
      </c>
      <c r="G750" s="188" t="s">
        <v>5122</v>
      </c>
      <c r="H750" s="4" t="s">
        <v>5123</v>
      </c>
      <c r="I750" s="4" t="s">
        <v>641</v>
      </c>
      <c r="J750" s="4" t="s">
        <v>5037</v>
      </c>
      <c r="K750" s="4">
        <v>1</v>
      </c>
      <c r="L750" s="4">
        <v>3019</v>
      </c>
      <c r="M750" s="6"/>
      <c r="U750"/>
      <c r="AK750" s="9"/>
    </row>
    <row r="751" spans="1:72" ht="14.25" customHeight="1" x14ac:dyDescent="0.2">
      <c r="A751" s="136" t="s">
        <v>5032</v>
      </c>
      <c r="B751" s="4">
        <v>9</v>
      </c>
      <c r="C751" s="9" t="s">
        <v>4969</v>
      </c>
      <c r="D751" s="201" t="s">
        <v>5124</v>
      </c>
      <c r="E751" s="4">
        <v>1585</v>
      </c>
      <c r="F751" s="4" t="s">
        <v>5125</v>
      </c>
      <c r="G751" s="188" t="s">
        <v>5126</v>
      </c>
      <c r="H751" s="4" t="s">
        <v>5127</v>
      </c>
      <c r="I751" s="4" t="s">
        <v>641</v>
      </c>
      <c r="J751" s="4" t="s">
        <v>5073</v>
      </c>
      <c r="K751" s="4">
        <v>1</v>
      </c>
      <c r="L751" s="4">
        <v>1988</v>
      </c>
      <c r="M751" s="62"/>
      <c r="N751" s="231"/>
      <c r="P751" s="231"/>
      <c r="R751" s="231"/>
      <c r="T751" s="240"/>
      <c r="U751"/>
      <c r="AK751" s="9"/>
    </row>
    <row r="752" spans="1:72" ht="14.25" customHeight="1" x14ac:dyDescent="0.2">
      <c r="A752" s="136" t="s">
        <v>5032</v>
      </c>
      <c r="B752" s="4">
        <v>9</v>
      </c>
      <c r="C752" s="9" t="s">
        <v>4969</v>
      </c>
      <c r="D752" s="201" t="s">
        <v>5140</v>
      </c>
      <c r="E752" s="4">
        <v>12103</v>
      </c>
      <c r="F752" s="188" t="s">
        <v>5141</v>
      </c>
      <c r="G752" s="188" t="s">
        <v>5142</v>
      </c>
      <c r="H752" s="4" t="s">
        <v>5143</v>
      </c>
      <c r="I752" s="4" t="s">
        <v>641</v>
      </c>
      <c r="J752" s="4" t="s">
        <v>5073</v>
      </c>
      <c r="K752" s="4">
        <v>1</v>
      </c>
      <c r="L752" s="4">
        <v>14159</v>
      </c>
      <c r="M752" s="6"/>
      <c r="U752"/>
      <c r="AK752" s="9"/>
      <c r="AO752" s="192"/>
    </row>
    <row r="753" spans="1:53" ht="14.25" customHeight="1" x14ac:dyDescent="0.2">
      <c r="A753" s="136" t="s">
        <v>5032</v>
      </c>
      <c r="B753" s="4">
        <v>9</v>
      </c>
      <c r="C753" s="4" t="s">
        <v>4969</v>
      </c>
      <c r="D753" s="201" t="s">
        <v>5148</v>
      </c>
      <c r="E753" s="4">
        <v>12105</v>
      </c>
      <c r="F753" s="4" t="s">
        <v>5149</v>
      </c>
      <c r="G753" s="188" t="s">
        <v>5150</v>
      </c>
      <c r="H753" s="4" t="s">
        <v>5151</v>
      </c>
      <c r="I753" s="4" t="s">
        <v>641</v>
      </c>
      <c r="J753" s="4" t="s">
        <v>5073</v>
      </c>
      <c r="K753" s="4">
        <v>1</v>
      </c>
      <c r="L753" s="4">
        <v>14161</v>
      </c>
      <c r="M753" s="62"/>
      <c r="N753" s="231"/>
      <c r="R753" s="231"/>
      <c r="T753" s="240"/>
      <c r="U753"/>
      <c r="AK753" s="9"/>
    </row>
    <row r="754" spans="1:53" ht="14.25" customHeight="1" x14ac:dyDescent="0.2">
      <c r="A754" s="136" t="s">
        <v>5032</v>
      </c>
      <c r="B754" s="4">
        <v>9</v>
      </c>
      <c r="C754" s="4" t="s">
        <v>4969</v>
      </c>
      <c r="D754" s="201" t="s">
        <v>5152</v>
      </c>
      <c r="E754" s="4">
        <v>12427</v>
      </c>
      <c r="F754" s="4" t="s">
        <v>5153</v>
      </c>
      <c r="G754" s="188" t="s">
        <v>5154</v>
      </c>
      <c r="H754" s="4" t="s">
        <v>5155</v>
      </c>
      <c r="I754" s="4" t="s">
        <v>49</v>
      </c>
      <c r="J754" s="4" t="s">
        <v>5073</v>
      </c>
      <c r="K754" s="4">
        <v>1</v>
      </c>
      <c r="L754" s="4">
        <v>14449</v>
      </c>
      <c r="M754" s="6"/>
      <c r="U754"/>
      <c r="AK754" s="9"/>
    </row>
    <row r="755" spans="1:53" ht="14.25" customHeight="1" x14ac:dyDescent="0.2">
      <c r="A755" s="136" t="s">
        <v>5032</v>
      </c>
      <c r="B755" s="4">
        <v>9</v>
      </c>
      <c r="C755" s="4" t="s">
        <v>4969</v>
      </c>
      <c r="D755" s="201" t="s">
        <v>5156</v>
      </c>
      <c r="E755" s="4">
        <v>2608</v>
      </c>
      <c r="F755" s="4" t="s">
        <v>353</v>
      </c>
      <c r="G755" s="188" t="s">
        <v>5157</v>
      </c>
      <c r="H755" s="4" t="s">
        <v>5158</v>
      </c>
      <c r="I755" s="4" t="s">
        <v>641</v>
      </c>
      <c r="J755" s="4" t="s">
        <v>5073</v>
      </c>
      <c r="K755" s="4">
        <v>1</v>
      </c>
      <c r="L755" s="4">
        <v>3011</v>
      </c>
      <c r="M755" s="62"/>
      <c r="N755" s="231"/>
      <c r="P755" s="231"/>
      <c r="R755" s="231"/>
      <c r="T755" s="240"/>
      <c r="U755"/>
      <c r="AK755" s="9"/>
    </row>
    <row r="756" spans="1:53" ht="14.25" customHeight="1" x14ac:dyDescent="0.2">
      <c r="A756" s="136" t="s">
        <v>5032</v>
      </c>
      <c r="B756" s="4">
        <v>9</v>
      </c>
      <c r="C756" s="4" t="s">
        <v>4969</v>
      </c>
      <c r="D756" s="201" t="s">
        <v>5159</v>
      </c>
      <c r="E756" s="4">
        <v>2599</v>
      </c>
      <c r="F756" s="4" t="s">
        <v>5160</v>
      </c>
      <c r="G756" s="188" t="s">
        <v>5161</v>
      </c>
      <c r="H756" s="4" t="s">
        <v>5162</v>
      </c>
      <c r="I756" s="4" t="s">
        <v>641</v>
      </c>
      <c r="J756" s="4" t="s">
        <v>5163</v>
      </c>
      <c r="K756" s="4">
        <v>1</v>
      </c>
      <c r="L756" s="4">
        <v>3002</v>
      </c>
      <c r="M756" s="6"/>
      <c r="U756"/>
      <c r="AK756" s="9"/>
    </row>
    <row r="757" spans="1:53" ht="14.25" customHeight="1" x14ac:dyDescent="0.2">
      <c r="A757" s="136" t="s">
        <v>5032</v>
      </c>
      <c r="B757" s="4">
        <v>9</v>
      </c>
      <c r="C757" s="4" t="s">
        <v>4969</v>
      </c>
      <c r="D757" s="201" t="s">
        <v>5164</v>
      </c>
      <c r="E757" s="4">
        <v>1571</v>
      </c>
      <c r="F757" s="4" t="s">
        <v>5165</v>
      </c>
      <c r="G757" s="188" t="s">
        <v>5166</v>
      </c>
      <c r="H757" s="4" t="s">
        <v>5167</v>
      </c>
      <c r="I757" s="4" t="s">
        <v>641</v>
      </c>
      <c r="J757" s="4" t="s">
        <v>5168</v>
      </c>
      <c r="K757" s="4">
        <v>1</v>
      </c>
      <c r="L757" s="4">
        <v>1974</v>
      </c>
      <c r="M757" s="62"/>
      <c r="N757" s="231"/>
      <c r="P757" s="231"/>
      <c r="R757" s="231"/>
      <c r="T757" s="240"/>
      <c r="U757"/>
      <c r="AK757" s="9"/>
    </row>
    <row r="758" spans="1:53" ht="14.25" customHeight="1" x14ac:dyDescent="0.2">
      <c r="A758" s="136" t="s">
        <v>5032</v>
      </c>
      <c r="B758" s="4">
        <v>9</v>
      </c>
      <c r="C758" s="4" t="s">
        <v>4969</v>
      </c>
      <c r="D758" s="201" t="s">
        <v>5169</v>
      </c>
      <c r="E758" s="4">
        <v>1590</v>
      </c>
      <c r="F758" s="4" t="s">
        <v>5170</v>
      </c>
      <c r="G758" s="4" t="s">
        <v>5171</v>
      </c>
      <c r="H758" s="4" t="s">
        <v>5172</v>
      </c>
      <c r="I758" s="4" t="s">
        <v>641</v>
      </c>
      <c r="J758" s="4" t="s">
        <v>5073</v>
      </c>
      <c r="K758" s="4">
        <v>1</v>
      </c>
      <c r="L758" s="4">
        <v>1993</v>
      </c>
      <c r="M758" s="6"/>
      <c r="U758"/>
      <c r="AK758" s="9"/>
      <c r="AO758" s="192"/>
      <c r="AP758" s="192"/>
      <c r="AQ758" s="192"/>
      <c r="AR758" s="192"/>
      <c r="AS758" s="192"/>
      <c r="AT758" s="192"/>
      <c r="AU758" s="192"/>
      <c r="AV758" s="192"/>
      <c r="AW758" s="192"/>
      <c r="AX758" s="192"/>
      <c r="AY758" s="192"/>
      <c r="AZ758" s="192"/>
      <c r="BA758" s="192"/>
    </row>
    <row r="759" spans="1:53" ht="14.25" customHeight="1" x14ac:dyDescent="0.2">
      <c r="A759" s="136" t="s">
        <v>5032</v>
      </c>
      <c r="B759" s="4">
        <v>9</v>
      </c>
      <c r="C759" s="4" t="s">
        <v>4969</v>
      </c>
      <c r="D759" s="201" t="s">
        <v>5173</v>
      </c>
      <c r="E759" s="4">
        <v>12116</v>
      </c>
      <c r="F759" s="4" t="s">
        <v>5174</v>
      </c>
      <c r="G759" s="4" t="s">
        <v>5175</v>
      </c>
      <c r="H759" s="4" t="s">
        <v>5176</v>
      </c>
      <c r="I759" s="4" t="s">
        <v>641</v>
      </c>
      <c r="J759" s="4" t="s">
        <v>5177</v>
      </c>
      <c r="K759" s="4">
        <v>1</v>
      </c>
      <c r="L759" s="4">
        <v>14172</v>
      </c>
      <c r="M759" s="62"/>
      <c r="N759" s="231"/>
      <c r="P759" s="231"/>
      <c r="R759" s="231"/>
      <c r="T759" s="240"/>
      <c r="U759"/>
      <c r="AK759" s="9"/>
      <c r="AO759" s="192"/>
      <c r="AP759" s="192"/>
      <c r="AQ759" s="192"/>
      <c r="AR759" s="192"/>
      <c r="AS759" s="192"/>
      <c r="AT759" s="192"/>
      <c r="AU759" s="192"/>
      <c r="AV759" s="192"/>
      <c r="AW759" s="192"/>
      <c r="AX759" s="192"/>
      <c r="AY759" s="192"/>
      <c r="AZ759" s="192"/>
      <c r="BA759" s="192"/>
    </row>
    <row r="760" spans="1:53" ht="14.25" customHeight="1" x14ac:dyDescent="0.2">
      <c r="A760" s="136" t="s">
        <v>5032</v>
      </c>
      <c r="B760" s="4">
        <v>9</v>
      </c>
      <c r="C760" s="4" t="s">
        <v>4969</v>
      </c>
      <c r="D760" s="201" t="s">
        <v>5178</v>
      </c>
      <c r="E760" s="4">
        <v>3280</v>
      </c>
      <c r="F760" s="188" t="s">
        <v>5179</v>
      </c>
      <c r="G760" s="4" t="s">
        <v>5180</v>
      </c>
      <c r="H760" s="4" t="s">
        <v>5181</v>
      </c>
      <c r="I760" s="4" t="s">
        <v>49</v>
      </c>
      <c r="J760" s="4" t="s">
        <v>5078</v>
      </c>
      <c r="K760" s="4">
        <v>1</v>
      </c>
      <c r="L760" s="4">
        <v>4119</v>
      </c>
      <c r="M760" s="6"/>
      <c r="U760"/>
      <c r="AK760" s="9"/>
    </row>
    <row r="761" spans="1:53" ht="14.25" customHeight="1" x14ac:dyDescent="0.2">
      <c r="A761" s="136" t="s">
        <v>5032</v>
      </c>
      <c r="B761" s="4">
        <v>9</v>
      </c>
      <c r="C761" s="4" t="s">
        <v>4969</v>
      </c>
      <c r="D761" s="201" t="s">
        <v>5182</v>
      </c>
      <c r="E761" s="4">
        <v>12428</v>
      </c>
      <c r="F761" s="4" t="s">
        <v>5183</v>
      </c>
      <c r="G761" s="188" t="s">
        <v>5184</v>
      </c>
      <c r="H761" s="4" t="s">
        <v>5185</v>
      </c>
      <c r="I761" s="4" t="s">
        <v>49</v>
      </c>
      <c r="J761" s="4" t="s">
        <v>5073</v>
      </c>
      <c r="K761" s="4">
        <v>1</v>
      </c>
      <c r="L761" s="4">
        <v>14450</v>
      </c>
      <c r="M761" s="62"/>
      <c r="N761" s="231"/>
      <c r="P761" s="231"/>
      <c r="R761" s="231"/>
      <c r="T761" s="240"/>
      <c r="U761"/>
      <c r="AK761" s="9"/>
    </row>
    <row r="762" spans="1:53" ht="14.25" customHeight="1" x14ac:dyDescent="0.2">
      <c r="A762" s="136" t="s">
        <v>5032</v>
      </c>
      <c r="B762" s="4">
        <v>9</v>
      </c>
      <c r="C762" s="4" t="s">
        <v>4969</v>
      </c>
      <c r="D762" s="201" t="s">
        <v>5190</v>
      </c>
      <c r="E762" s="4">
        <v>2642</v>
      </c>
      <c r="F762" s="4" t="s">
        <v>5191</v>
      </c>
      <c r="G762" s="188" t="s">
        <v>5192</v>
      </c>
      <c r="H762" s="4" t="s">
        <v>5193</v>
      </c>
      <c r="I762" s="4" t="s">
        <v>641</v>
      </c>
      <c r="J762" s="4" t="s">
        <v>5037</v>
      </c>
      <c r="K762" s="4">
        <v>1</v>
      </c>
      <c r="L762" s="4">
        <v>3045</v>
      </c>
      <c r="M762" s="6"/>
      <c r="P762" s="192"/>
      <c r="U762"/>
      <c r="AK762" s="9"/>
    </row>
    <row r="763" spans="1:53" ht="14.25" customHeight="1" x14ac:dyDescent="0.2">
      <c r="A763" s="136" t="s">
        <v>5032</v>
      </c>
      <c r="B763" s="4">
        <v>9</v>
      </c>
      <c r="C763" s="4" t="s">
        <v>4969</v>
      </c>
      <c r="D763" s="201" t="s">
        <v>5194</v>
      </c>
      <c r="E763" s="4">
        <v>2639</v>
      </c>
      <c r="F763" s="4" t="s">
        <v>5195</v>
      </c>
      <c r="G763" s="188" t="s">
        <v>5196</v>
      </c>
      <c r="H763" s="4" t="s">
        <v>5197</v>
      </c>
      <c r="I763" s="4" t="s">
        <v>641</v>
      </c>
      <c r="J763" s="4" t="s">
        <v>5198</v>
      </c>
      <c r="K763" s="4">
        <v>1</v>
      </c>
      <c r="L763" s="4">
        <v>3042</v>
      </c>
      <c r="M763" s="62"/>
      <c r="N763" s="231"/>
      <c r="P763" s="231"/>
      <c r="R763" s="231"/>
      <c r="T763" s="240"/>
      <c r="U763"/>
      <c r="AK763" s="9"/>
    </row>
    <row r="764" spans="1:53" ht="14.25" customHeight="1" x14ac:dyDescent="0.2">
      <c r="A764" s="136" t="s">
        <v>5032</v>
      </c>
      <c r="B764" s="4">
        <v>9</v>
      </c>
      <c r="C764" s="4" t="s">
        <v>4969</v>
      </c>
      <c r="D764" s="201" t="s">
        <v>5199</v>
      </c>
      <c r="E764" s="4">
        <v>12129</v>
      </c>
      <c r="F764" s="188" t="s">
        <v>5200</v>
      </c>
      <c r="G764" s="4" t="s">
        <v>5201</v>
      </c>
      <c r="H764" s="4" t="s">
        <v>5202</v>
      </c>
      <c r="I764" s="4" t="s">
        <v>641</v>
      </c>
      <c r="J764" s="4" t="s">
        <v>5073</v>
      </c>
      <c r="K764" s="4">
        <v>1</v>
      </c>
      <c r="L764" s="4">
        <v>14185</v>
      </c>
      <c r="M764" s="6"/>
      <c r="U764"/>
      <c r="AK764" s="9"/>
    </row>
    <row r="765" spans="1:53" ht="14.25" customHeight="1" x14ac:dyDescent="0.2">
      <c r="A765" s="136" t="s">
        <v>5032</v>
      </c>
      <c r="B765" s="4">
        <v>9</v>
      </c>
      <c r="C765" s="4" t="s">
        <v>4969</v>
      </c>
      <c r="D765" s="201" t="s">
        <v>5203</v>
      </c>
      <c r="E765" s="4">
        <v>2611</v>
      </c>
      <c r="F765" s="188" t="s">
        <v>5204</v>
      </c>
      <c r="G765" s="4" t="s">
        <v>5205</v>
      </c>
      <c r="H765" s="4" t="s">
        <v>5206</v>
      </c>
      <c r="I765" s="4" t="s">
        <v>641</v>
      </c>
      <c r="J765" s="4" t="s">
        <v>5083</v>
      </c>
      <c r="K765" s="4">
        <v>1</v>
      </c>
      <c r="L765" s="4">
        <v>3014</v>
      </c>
      <c r="M765" s="62"/>
      <c r="N765" s="231"/>
      <c r="P765" s="231"/>
      <c r="R765" s="231"/>
      <c r="T765" s="240"/>
      <c r="U765"/>
      <c r="AK765" s="9"/>
    </row>
    <row r="766" spans="1:53" ht="14.25" customHeight="1" x14ac:dyDescent="0.2">
      <c r="A766" s="136" t="s">
        <v>5032</v>
      </c>
      <c r="B766" s="4">
        <v>9</v>
      </c>
      <c r="C766" s="4" t="s">
        <v>4969</v>
      </c>
      <c r="D766" s="201" t="s">
        <v>5207</v>
      </c>
      <c r="E766" s="4">
        <v>2620</v>
      </c>
      <c r="F766" s="188" t="s">
        <v>5208</v>
      </c>
      <c r="G766" s="4" t="s">
        <v>5209</v>
      </c>
      <c r="H766" s="4" t="s">
        <v>5210</v>
      </c>
      <c r="I766" s="4" t="s">
        <v>641</v>
      </c>
      <c r="J766" s="4" t="s">
        <v>4974</v>
      </c>
      <c r="K766" s="4">
        <v>1</v>
      </c>
      <c r="L766" s="4">
        <v>3023</v>
      </c>
      <c r="M766" s="6"/>
      <c r="U766"/>
      <c r="AK766" s="9"/>
    </row>
    <row r="767" spans="1:53" ht="14.25" customHeight="1" x14ac:dyDescent="0.2">
      <c r="A767" s="136" t="s">
        <v>5032</v>
      </c>
      <c r="B767" s="4">
        <v>9</v>
      </c>
      <c r="C767" s="4" t="s">
        <v>4969</v>
      </c>
      <c r="D767" s="200" t="s">
        <v>5211</v>
      </c>
      <c r="E767" s="4">
        <v>1577</v>
      </c>
      <c r="F767" s="4" t="s">
        <v>5212</v>
      </c>
      <c r="G767" s="4" t="s">
        <v>5213</v>
      </c>
      <c r="H767" s="4" t="s">
        <v>5214</v>
      </c>
      <c r="I767" s="4" t="s">
        <v>641</v>
      </c>
      <c r="J767" s="4" t="s">
        <v>5083</v>
      </c>
      <c r="K767" s="4">
        <v>1</v>
      </c>
      <c r="L767" s="4">
        <v>1980</v>
      </c>
      <c r="M767" s="62"/>
      <c r="N767" s="231"/>
      <c r="R767" s="231"/>
      <c r="T767" s="240"/>
      <c r="U767"/>
      <c r="AK767" s="9"/>
    </row>
    <row r="768" spans="1:53" ht="14.25" customHeight="1" x14ac:dyDescent="0.2">
      <c r="A768" s="136" t="s">
        <v>5032</v>
      </c>
      <c r="B768" s="4">
        <v>9</v>
      </c>
      <c r="C768" s="4" t="s">
        <v>4969</v>
      </c>
      <c r="D768" s="201" t="s">
        <v>5226</v>
      </c>
      <c r="E768" s="4">
        <v>1564</v>
      </c>
      <c r="F768" s="4" t="s">
        <v>5227</v>
      </c>
      <c r="G768" s="188" t="s">
        <v>5228</v>
      </c>
      <c r="H768" s="4" t="s">
        <v>5229</v>
      </c>
      <c r="I768" s="4" t="s">
        <v>641</v>
      </c>
      <c r="J768" s="4" t="s">
        <v>5073</v>
      </c>
      <c r="K768" s="4">
        <v>1</v>
      </c>
      <c r="L768" s="4">
        <v>1967</v>
      </c>
      <c r="M768" s="6"/>
      <c r="U768"/>
      <c r="AK768" s="9"/>
    </row>
    <row r="769" spans="1:37" ht="14.25" customHeight="1" x14ac:dyDescent="0.2">
      <c r="A769" s="136" t="s">
        <v>5032</v>
      </c>
      <c r="B769" s="4">
        <v>9</v>
      </c>
      <c r="C769" s="4" t="s">
        <v>4969</v>
      </c>
      <c r="D769" s="201" t="s">
        <v>5238</v>
      </c>
      <c r="E769" s="4">
        <v>2591</v>
      </c>
      <c r="F769" s="188" t="s">
        <v>5239</v>
      </c>
      <c r="G769" s="4" t="s">
        <v>5240</v>
      </c>
      <c r="H769" s="4" t="s">
        <v>5241</v>
      </c>
      <c r="I769" s="4" t="s">
        <v>641</v>
      </c>
      <c r="J769" s="4" t="s">
        <v>5037</v>
      </c>
      <c r="K769" s="4">
        <v>1</v>
      </c>
      <c r="L769" s="4">
        <v>2994</v>
      </c>
      <c r="M769" s="62"/>
      <c r="N769" s="231"/>
      <c r="P769" s="231"/>
      <c r="R769" s="231"/>
      <c r="T769" s="240"/>
      <c r="U769"/>
      <c r="AK769" s="9"/>
    </row>
    <row r="770" spans="1:37" ht="14.25" customHeight="1" x14ac:dyDescent="0.2">
      <c r="A770" s="136" t="s">
        <v>5032</v>
      </c>
      <c r="B770" s="4">
        <v>9</v>
      </c>
      <c r="C770" s="4" t="s">
        <v>4969</v>
      </c>
      <c r="D770" s="201" t="s">
        <v>5242</v>
      </c>
      <c r="E770" s="4">
        <v>2594</v>
      </c>
      <c r="F770" s="4" t="s">
        <v>5243</v>
      </c>
      <c r="G770" s="188" t="s">
        <v>5244</v>
      </c>
      <c r="H770" s="4" t="s">
        <v>5245</v>
      </c>
      <c r="I770" s="4" t="s">
        <v>641</v>
      </c>
      <c r="J770" s="4" t="s">
        <v>5073</v>
      </c>
      <c r="K770" s="4">
        <v>1</v>
      </c>
      <c r="L770" s="4">
        <v>2997</v>
      </c>
      <c r="M770" s="6"/>
      <c r="U770"/>
      <c r="AK770" s="9"/>
    </row>
    <row r="771" spans="1:37" ht="14.25" customHeight="1" x14ac:dyDescent="0.2">
      <c r="A771" s="136" t="s">
        <v>5032</v>
      </c>
      <c r="B771" s="4">
        <v>9</v>
      </c>
      <c r="C771" s="4" t="s">
        <v>4969</v>
      </c>
      <c r="D771" s="201" t="s">
        <v>5246</v>
      </c>
      <c r="E771" s="4">
        <v>1572</v>
      </c>
      <c r="F771" s="4" t="s">
        <v>5247</v>
      </c>
      <c r="G771" s="4" t="s">
        <v>5248</v>
      </c>
      <c r="H771" s="4" t="s">
        <v>5249</v>
      </c>
      <c r="I771" s="4" t="s">
        <v>641</v>
      </c>
      <c r="J771" s="4" t="s">
        <v>5177</v>
      </c>
      <c r="K771" s="4">
        <v>1</v>
      </c>
      <c r="L771" s="4">
        <v>1975</v>
      </c>
      <c r="M771" s="6"/>
      <c r="U771"/>
      <c r="AK771" s="9"/>
    </row>
    <row r="772" spans="1:37" ht="14.25" customHeight="1" x14ac:dyDescent="0.2">
      <c r="A772" s="136" t="s">
        <v>5032</v>
      </c>
      <c r="B772" s="4">
        <v>9</v>
      </c>
      <c r="C772" s="4" t="s">
        <v>4969</v>
      </c>
      <c r="D772" s="201" t="s">
        <v>5250</v>
      </c>
      <c r="E772" s="4">
        <v>2610</v>
      </c>
      <c r="F772" s="188" t="s">
        <v>5251</v>
      </c>
      <c r="G772" s="188" t="s">
        <v>5252</v>
      </c>
      <c r="H772" s="4" t="s">
        <v>5253</v>
      </c>
      <c r="I772" s="4" t="s">
        <v>641</v>
      </c>
      <c r="J772" s="4" t="s">
        <v>5254</v>
      </c>
      <c r="K772" s="4">
        <v>1</v>
      </c>
      <c r="L772" s="4">
        <v>3013</v>
      </c>
      <c r="M772" s="6"/>
      <c r="P772" s="192"/>
      <c r="U772"/>
      <c r="AK772" s="9"/>
    </row>
    <row r="773" spans="1:37" ht="14.25" customHeight="1" x14ac:dyDescent="0.2">
      <c r="A773" s="136" t="s">
        <v>5032</v>
      </c>
      <c r="B773" s="4">
        <v>9</v>
      </c>
      <c r="C773" s="9" t="s">
        <v>4969</v>
      </c>
      <c r="D773" s="201" t="s">
        <v>5262</v>
      </c>
      <c r="E773" s="4">
        <v>2626</v>
      </c>
      <c r="F773" s="188" t="s">
        <v>5263</v>
      </c>
      <c r="G773" s="196" t="s">
        <v>5264</v>
      </c>
      <c r="H773" s="4" t="s">
        <v>5265</v>
      </c>
      <c r="I773" s="4" t="s">
        <v>641</v>
      </c>
      <c r="J773" s="4" t="s">
        <v>5073</v>
      </c>
      <c r="K773" s="4">
        <v>1</v>
      </c>
      <c r="L773" s="4">
        <v>3029</v>
      </c>
      <c r="M773" s="6"/>
      <c r="U773"/>
      <c r="AK773" s="9"/>
    </row>
    <row r="774" spans="1:37" ht="14.25" customHeight="1" x14ac:dyDescent="0.2">
      <c r="A774" s="136" t="s">
        <v>5032</v>
      </c>
      <c r="B774" s="4">
        <v>9</v>
      </c>
      <c r="C774" s="9" t="s">
        <v>4969</v>
      </c>
      <c r="D774" s="201" t="s">
        <v>5274</v>
      </c>
      <c r="E774" s="4">
        <v>2602</v>
      </c>
      <c r="F774" s="188" t="s">
        <v>5275</v>
      </c>
      <c r="G774" s="196" t="s">
        <v>5276</v>
      </c>
      <c r="H774" s="4" t="s">
        <v>5277</v>
      </c>
      <c r="I774" s="4" t="s">
        <v>641</v>
      </c>
      <c r="J774" s="4" t="s">
        <v>5073</v>
      </c>
      <c r="K774" s="4">
        <v>1</v>
      </c>
      <c r="L774" s="4">
        <v>3005</v>
      </c>
      <c r="M774" s="6"/>
      <c r="U774"/>
      <c r="AK774" s="9"/>
    </row>
    <row r="775" spans="1:37" ht="14.25" customHeight="1" x14ac:dyDescent="0.2">
      <c r="A775" s="136" t="s">
        <v>5032</v>
      </c>
      <c r="B775" s="4">
        <v>9</v>
      </c>
      <c r="C775" s="4" t="s">
        <v>4969</v>
      </c>
      <c r="D775" s="201" t="s">
        <v>5286</v>
      </c>
      <c r="E775" s="4">
        <v>12162</v>
      </c>
      <c r="F775" s="188" t="s">
        <v>5287</v>
      </c>
      <c r="G775" s="196" t="s">
        <v>5288</v>
      </c>
      <c r="H775" s="4" t="s">
        <v>5289</v>
      </c>
      <c r="I775" s="4" t="s">
        <v>641</v>
      </c>
      <c r="J775" s="4" t="s">
        <v>5078</v>
      </c>
      <c r="K775" s="4">
        <v>1</v>
      </c>
      <c r="L775" s="4">
        <v>14218</v>
      </c>
      <c r="M775" s="6"/>
      <c r="U775"/>
      <c r="AK775" s="9"/>
    </row>
    <row r="776" spans="1:37" ht="14.25" customHeight="1" x14ac:dyDescent="0.2">
      <c r="A776" s="136" t="s">
        <v>5032</v>
      </c>
      <c r="B776" s="4">
        <v>9</v>
      </c>
      <c r="C776" s="4" t="s">
        <v>4969</v>
      </c>
      <c r="D776" s="201" t="s">
        <v>5290</v>
      </c>
      <c r="E776" s="4">
        <v>1578</v>
      </c>
      <c r="F776" s="188" t="s">
        <v>5291</v>
      </c>
      <c r="G776" s="196" t="s">
        <v>5292</v>
      </c>
      <c r="H776" s="4" t="s">
        <v>5293</v>
      </c>
      <c r="I776" s="4" t="s">
        <v>641</v>
      </c>
      <c r="J776" s="4" t="s">
        <v>5073</v>
      </c>
      <c r="K776" s="4">
        <v>1</v>
      </c>
      <c r="L776" s="4">
        <v>1981</v>
      </c>
      <c r="M776" s="6"/>
      <c r="U776"/>
      <c r="AK776" s="9"/>
    </row>
    <row r="777" spans="1:37" ht="14.25" customHeight="1" x14ac:dyDescent="0.2">
      <c r="A777" s="136" t="s">
        <v>5032</v>
      </c>
      <c r="B777" s="4">
        <v>9</v>
      </c>
      <c r="C777" s="4" t="s">
        <v>4969</v>
      </c>
      <c r="D777" s="201" t="s">
        <v>5294</v>
      </c>
      <c r="E777" s="4">
        <v>12166</v>
      </c>
      <c r="F777" s="188" t="s">
        <v>5295</v>
      </c>
      <c r="G777" s="4" t="s">
        <v>5296</v>
      </c>
      <c r="H777" s="4" t="s">
        <v>5297</v>
      </c>
      <c r="I777" s="4" t="s">
        <v>641</v>
      </c>
      <c r="J777" s="4" t="s">
        <v>5073</v>
      </c>
      <c r="K777" s="4">
        <v>1</v>
      </c>
      <c r="L777" s="4">
        <v>14222</v>
      </c>
      <c r="M777" s="6"/>
      <c r="U777"/>
      <c r="AK777" s="9"/>
    </row>
    <row r="778" spans="1:37" ht="14.25" customHeight="1" x14ac:dyDescent="0.2">
      <c r="A778" s="136" t="s">
        <v>5032</v>
      </c>
      <c r="B778" s="4">
        <v>9</v>
      </c>
      <c r="C778" s="4" t="s">
        <v>4969</v>
      </c>
      <c r="D778" s="201" t="s">
        <v>5299</v>
      </c>
      <c r="E778" s="4">
        <v>12170</v>
      </c>
      <c r="F778" s="188" t="s">
        <v>5300</v>
      </c>
      <c r="G778" s="4" t="s">
        <v>5301</v>
      </c>
      <c r="H778" s="4" t="s">
        <v>5302</v>
      </c>
      <c r="I778" s="4" t="s">
        <v>641</v>
      </c>
      <c r="J778" s="4" t="s">
        <v>5073</v>
      </c>
      <c r="K778" s="4">
        <v>1</v>
      </c>
      <c r="L778" s="4">
        <v>14226</v>
      </c>
      <c r="M778" s="6"/>
      <c r="U778"/>
      <c r="AK778" s="9"/>
    </row>
    <row r="779" spans="1:37" ht="14.25" customHeight="1" x14ac:dyDescent="0.2">
      <c r="A779" s="136" t="s">
        <v>5032</v>
      </c>
      <c r="B779" s="4">
        <v>9</v>
      </c>
      <c r="C779" s="4" t="s">
        <v>4969</v>
      </c>
      <c r="D779" s="24" t="s">
        <v>5306</v>
      </c>
      <c r="E779" s="4">
        <v>12462</v>
      </c>
      <c r="F779" s="188" t="s">
        <v>5307</v>
      </c>
      <c r="G779" s="4" t="s">
        <v>5308</v>
      </c>
      <c r="H779" s="4" t="s">
        <v>5309</v>
      </c>
      <c r="I779" s="4" t="s">
        <v>49</v>
      </c>
      <c r="J779" s="4" t="s">
        <v>5073</v>
      </c>
      <c r="K779" s="4">
        <v>1</v>
      </c>
      <c r="L779" s="4">
        <v>14484</v>
      </c>
      <c r="M779" s="6"/>
      <c r="U779"/>
      <c r="AK779" s="9"/>
    </row>
    <row r="780" spans="1:37" ht="14.25" customHeight="1" x14ac:dyDescent="0.2">
      <c r="A780" s="136" t="s">
        <v>5032</v>
      </c>
      <c r="B780" s="4">
        <v>9</v>
      </c>
      <c r="C780" s="4" t="s">
        <v>4969</v>
      </c>
      <c r="D780" s="24" t="s">
        <v>5310</v>
      </c>
      <c r="E780" s="4">
        <v>2617</v>
      </c>
      <c r="F780" s="188" t="s">
        <v>5311</v>
      </c>
      <c r="G780" s="4" t="s">
        <v>5312</v>
      </c>
      <c r="H780" s="4" t="s">
        <v>5313</v>
      </c>
      <c r="I780" s="4" t="s">
        <v>641</v>
      </c>
      <c r="J780" s="4" t="s">
        <v>5073</v>
      </c>
      <c r="K780" s="4">
        <v>1</v>
      </c>
      <c r="L780" s="4">
        <v>3020</v>
      </c>
      <c r="M780" s="6"/>
      <c r="U780"/>
      <c r="AK780" s="9"/>
    </row>
    <row r="781" spans="1:37" ht="14.25" customHeight="1" x14ac:dyDescent="0.2">
      <c r="A781" s="136" t="s">
        <v>5032</v>
      </c>
      <c r="B781" s="4">
        <v>9</v>
      </c>
      <c r="C781" s="4" t="s">
        <v>4969</v>
      </c>
      <c r="D781" s="24" t="s">
        <v>5314</v>
      </c>
      <c r="E781" s="4">
        <v>2645</v>
      </c>
      <c r="F781" s="188" t="s">
        <v>5315</v>
      </c>
      <c r="G781" s="4" t="s">
        <v>5316</v>
      </c>
      <c r="H781" s="4" t="s">
        <v>5317</v>
      </c>
      <c r="I781" s="4" t="s">
        <v>641</v>
      </c>
      <c r="J781" s="4" t="s">
        <v>5037</v>
      </c>
      <c r="K781" s="4">
        <v>1</v>
      </c>
      <c r="L781" s="4">
        <v>3048</v>
      </c>
      <c r="M781" s="6"/>
      <c r="U781"/>
      <c r="AK781" s="9"/>
    </row>
    <row r="782" spans="1:37" ht="14.25" customHeight="1" x14ac:dyDescent="0.2">
      <c r="A782" s="136" t="s">
        <v>5032</v>
      </c>
      <c r="B782" s="4">
        <v>9</v>
      </c>
      <c r="C782" s="4" t="s">
        <v>4969</v>
      </c>
      <c r="D782" s="201" t="s">
        <v>5318</v>
      </c>
      <c r="E782" s="4">
        <v>12176</v>
      </c>
      <c r="F782" s="188" t="s">
        <v>5319</v>
      </c>
      <c r="G782" s="4" t="s">
        <v>5320</v>
      </c>
      <c r="H782" s="4" t="s">
        <v>5321</v>
      </c>
      <c r="I782" s="4" t="s">
        <v>641</v>
      </c>
      <c r="J782" s="4" t="s">
        <v>5037</v>
      </c>
      <c r="K782" s="4">
        <v>1</v>
      </c>
      <c r="L782" s="4">
        <v>14232</v>
      </c>
      <c r="M782" s="6"/>
      <c r="U782"/>
      <c r="AK782" s="9"/>
    </row>
    <row r="783" spans="1:37" ht="14.25" customHeight="1" x14ac:dyDescent="0.2">
      <c r="A783" s="136" t="s">
        <v>5032</v>
      </c>
      <c r="B783" s="4">
        <v>9</v>
      </c>
      <c r="C783" s="4" t="s">
        <v>4969</v>
      </c>
      <c r="D783" s="201" t="s">
        <v>5322</v>
      </c>
      <c r="E783" s="4">
        <v>12177</v>
      </c>
      <c r="F783" s="188" t="s">
        <v>5323</v>
      </c>
      <c r="G783" s="4" t="s">
        <v>5324</v>
      </c>
      <c r="H783" s="4" t="s">
        <v>5325</v>
      </c>
      <c r="I783" s="4" t="s">
        <v>641</v>
      </c>
      <c r="J783" s="4" t="s">
        <v>5037</v>
      </c>
      <c r="K783" s="4">
        <v>1</v>
      </c>
      <c r="L783" s="4">
        <v>14233</v>
      </c>
      <c r="M783" s="6"/>
      <c r="U783"/>
      <c r="AK783" s="9"/>
    </row>
    <row r="784" spans="1:37" ht="14.25" customHeight="1" x14ac:dyDescent="0.2">
      <c r="A784" s="136" t="s">
        <v>5032</v>
      </c>
      <c r="B784" s="4">
        <v>9</v>
      </c>
      <c r="C784" s="4" t="s">
        <v>4969</v>
      </c>
      <c r="D784" s="201" t="s">
        <v>5326</v>
      </c>
      <c r="E784" s="4">
        <v>1592</v>
      </c>
      <c r="F784" s="188" t="s">
        <v>5323</v>
      </c>
      <c r="G784" s="4" t="s">
        <v>5327</v>
      </c>
      <c r="H784" s="4" t="s">
        <v>5328</v>
      </c>
      <c r="I784" s="4" t="s">
        <v>641</v>
      </c>
      <c r="J784" s="4" t="s">
        <v>5037</v>
      </c>
      <c r="K784" s="4">
        <v>1</v>
      </c>
      <c r="L784" s="4">
        <v>1995</v>
      </c>
      <c r="M784" s="6"/>
      <c r="U784"/>
      <c r="AK784" s="9"/>
    </row>
    <row r="785" spans="1:53" ht="14.25" customHeight="1" x14ac:dyDescent="0.2">
      <c r="A785" s="136" t="s">
        <v>5032</v>
      </c>
      <c r="B785" s="4">
        <v>9</v>
      </c>
      <c r="C785" s="4" t="s">
        <v>4969</v>
      </c>
      <c r="D785" s="201" t="s">
        <v>5329</v>
      </c>
      <c r="E785" s="4">
        <v>12182</v>
      </c>
      <c r="F785" s="188" t="s">
        <v>5330</v>
      </c>
      <c r="G785" s="4" t="s">
        <v>5331</v>
      </c>
      <c r="H785" s="4" t="s">
        <v>5332</v>
      </c>
      <c r="I785" s="4" t="s">
        <v>641</v>
      </c>
      <c r="J785" s="4" t="s">
        <v>5037</v>
      </c>
      <c r="K785" s="4">
        <v>1</v>
      </c>
      <c r="L785" s="4">
        <v>14238</v>
      </c>
      <c r="M785" s="6"/>
      <c r="U785"/>
      <c r="AK785" s="9"/>
    </row>
    <row r="786" spans="1:53" ht="14.25" customHeight="1" x14ac:dyDescent="0.2">
      <c r="A786" s="136" t="s">
        <v>5032</v>
      </c>
      <c r="B786" s="4">
        <v>9</v>
      </c>
      <c r="C786" s="4" t="s">
        <v>4969</v>
      </c>
      <c r="D786" s="201" t="s">
        <v>5333</v>
      </c>
      <c r="E786" s="4">
        <v>12185</v>
      </c>
      <c r="F786" s="188" t="s">
        <v>5334</v>
      </c>
      <c r="G786" s="4" t="s">
        <v>5335</v>
      </c>
      <c r="H786" s="4" t="s">
        <v>5325</v>
      </c>
      <c r="I786" s="4" t="s">
        <v>641</v>
      </c>
      <c r="J786" s="4" t="s">
        <v>5073</v>
      </c>
      <c r="K786" s="4">
        <v>1</v>
      </c>
      <c r="L786" s="4">
        <v>14241</v>
      </c>
      <c r="M786" s="6"/>
      <c r="U786"/>
      <c r="AK786" s="9"/>
    </row>
    <row r="787" spans="1:53" ht="14.25" customHeight="1" x14ac:dyDescent="0.2">
      <c r="A787" s="136" t="s">
        <v>5032</v>
      </c>
      <c r="B787" s="4">
        <v>9</v>
      </c>
      <c r="C787" s="4" t="s">
        <v>4969</v>
      </c>
      <c r="D787" s="201" t="s">
        <v>5340</v>
      </c>
      <c r="E787" s="4">
        <v>12186</v>
      </c>
      <c r="F787" s="188" t="s">
        <v>5341</v>
      </c>
      <c r="G787" s="4" t="s">
        <v>5342</v>
      </c>
      <c r="H787" s="4" t="s">
        <v>5343</v>
      </c>
      <c r="I787" s="4" t="s">
        <v>641</v>
      </c>
      <c r="J787" s="4" t="s">
        <v>5037</v>
      </c>
      <c r="K787" s="4">
        <v>1</v>
      </c>
      <c r="L787" s="4">
        <v>14242</v>
      </c>
      <c r="M787" s="6"/>
      <c r="U787"/>
      <c r="AK787" s="9"/>
    </row>
    <row r="788" spans="1:53" ht="14.25" customHeight="1" x14ac:dyDescent="0.2">
      <c r="A788" s="136" t="s">
        <v>5032</v>
      </c>
      <c r="B788" s="4">
        <v>9</v>
      </c>
      <c r="C788" s="4" t="s">
        <v>4969</v>
      </c>
      <c r="D788" s="201" t="s">
        <v>5344</v>
      </c>
      <c r="E788" s="4">
        <v>1579</v>
      </c>
      <c r="F788" s="188" t="s">
        <v>5345</v>
      </c>
      <c r="G788" s="4" t="s">
        <v>5346</v>
      </c>
      <c r="H788" s="4" t="s">
        <v>5347</v>
      </c>
      <c r="I788" s="4" t="s">
        <v>641</v>
      </c>
      <c r="J788" s="4" t="s">
        <v>5073</v>
      </c>
      <c r="K788" s="4">
        <v>1</v>
      </c>
      <c r="L788" s="4">
        <v>1982</v>
      </c>
      <c r="M788" s="6"/>
      <c r="U788"/>
      <c r="AK788" s="9"/>
    </row>
    <row r="789" spans="1:53" ht="14.25" customHeight="1" x14ac:dyDescent="0.2">
      <c r="A789" s="136" t="s">
        <v>5032</v>
      </c>
      <c r="B789" s="4">
        <v>9</v>
      </c>
      <c r="C789" s="4" t="s">
        <v>4969</v>
      </c>
      <c r="D789" s="201" t="s">
        <v>5348</v>
      </c>
      <c r="E789" s="4">
        <v>1561</v>
      </c>
      <c r="F789" s="188" t="s">
        <v>5349</v>
      </c>
      <c r="G789" s="4" t="s">
        <v>5350</v>
      </c>
      <c r="H789" s="4" t="s">
        <v>5351</v>
      </c>
      <c r="I789" s="4" t="s">
        <v>641</v>
      </c>
      <c r="J789" s="4" t="s">
        <v>5073</v>
      </c>
      <c r="K789" s="4">
        <v>1</v>
      </c>
      <c r="L789" s="4">
        <v>1964</v>
      </c>
      <c r="M789" s="6"/>
      <c r="U789"/>
      <c r="AK789" s="9"/>
    </row>
    <row r="790" spans="1:53" ht="14.25" customHeight="1" x14ac:dyDescent="0.2">
      <c r="A790" s="136" t="s">
        <v>5032</v>
      </c>
      <c r="B790" s="4">
        <v>9</v>
      </c>
      <c r="C790" s="4" t="s">
        <v>4969</v>
      </c>
      <c r="D790" s="201" t="s">
        <v>5352</v>
      </c>
      <c r="E790" s="4">
        <v>2643</v>
      </c>
      <c r="F790" s="188" t="s">
        <v>5353</v>
      </c>
      <c r="G790" s="4" t="s">
        <v>5354</v>
      </c>
      <c r="H790" s="4" t="s">
        <v>5355</v>
      </c>
      <c r="I790" s="4" t="s">
        <v>641</v>
      </c>
      <c r="J790" s="4" t="s">
        <v>5163</v>
      </c>
      <c r="K790" s="4">
        <v>1</v>
      </c>
      <c r="L790" s="4">
        <v>3046</v>
      </c>
      <c r="M790" s="6"/>
      <c r="U790"/>
      <c r="AK790" s="9"/>
    </row>
    <row r="791" spans="1:53" ht="14.25" customHeight="1" x14ac:dyDescent="0.2">
      <c r="A791" s="136" t="s">
        <v>5032</v>
      </c>
      <c r="B791" s="4">
        <v>9</v>
      </c>
      <c r="C791" s="4" t="s">
        <v>4969</v>
      </c>
      <c r="D791" s="201" t="s">
        <v>5356</v>
      </c>
      <c r="E791" s="4">
        <v>2631</v>
      </c>
      <c r="F791" s="188" t="s">
        <v>5357</v>
      </c>
      <c r="G791" s="4" t="s">
        <v>5358</v>
      </c>
      <c r="H791" s="4" t="s">
        <v>5359</v>
      </c>
      <c r="I791" s="4" t="s">
        <v>641</v>
      </c>
      <c r="J791" s="4" t="s">
        <v>5037</v>
      </c>
      <c r="K791" s="4">
        <v>1</v>
      </c>
      <c r="L791" s="4">
        <v>3034</v>
      </c>
      <c r="M791" s="6"/>
      <c r="U791"/>
      <c r="AK791" s="9"/>
    </row>
    <row r="792" spans="1:53" ht="14.25" customHeight="1" x14ac:dyDescent="0.2">
      <c r="A792" s="136" t="s">
        <v>5032</v>
      </c>
      <c r="B792" s="4">
        <v>9</v>
      </c>
      <c r="C792" s="4" t="s">
        <v>4969</v>
      </c>
      <c r="D792" s="201" t="s">
        <v>5360</v>
      </c>
      <c r="E792" s="4">
        <v>2629</v>
      </c>
      <c r="F792" s="188" t="s">
        <v>5361</v>
      </c>
      <c r="G792" s="4" t="s">
        <v>5362</v>
      </c>
      <c r="H792" s="4" t="s">
        <v>5363</v>
      </c>
      <c r="I792" s="4" t="s">
        <v>641</v>
      </c>
      <c r="J792" s="4" t="s">
        <v>5073</v>
      </c>
      <c r="K792" s="4">
        <v>1</v>
      </c>
      <c r="L792" s="4">
        <v>3032</v>
      </c>
      <c r="M792" s="6"/>
      <c r="U792"/>
      <c r="AK792" s="9"/>
    </row>
    <row r="793" spans="1:53" ht="14.25" customHeight="1" x14ac:dyDescent="0.2">
      <c r="A793" s="136" t="s">
        <v>5032</v>
      </c>
      <c r="B793" s="4">
        <v>9</v>
      </c>
      <c r="C793" s="9" t="s">
        <v>4969</v>
      </c>
      <c r="D793" s="201" t="s">
        <v>5372</v>
      </c>
      <c r="E793" s="4">
        <v>2584</v>
      </c>
      <c r="F793" s="4" t="s">
        <v>5373</v>
      </c>
      <c r="G793" s="196" t="s">
        <v>5374</v>
      </c>
      <c r="H793" s="4" t="s">
        <v>5375</v>
      </c>
      <c r="I793" s="4" t="s">
        <v>641</v>
      </c>
      <c r="J793" s="4" t="s">
        <v>5037</v>
      </c>
      <c r="K793" s="4">
        <v>1</v>
      </c>
      <c r="L793" s="4">
        <v>2987</v>
      </c>
      <c r="M793" s="6"/>
      <c r="U793"/>
      <c r="AK793" s="9"/>
      <c r="AO793" s="192"/>
      <c r="AP793" s="192"/>
      <c r="AQ793" s="192"/>
      <c r="AR793" s="192"/>
      <c r="AS793" s="192"/>
      <c r="AT793" s="192"/>
      <c r="AU793" s="192"/>
      <c r="AV793" s="192"/>
      <c r="AW793" s="192"/>
      <c r="AX793" s="192"/>
      <c r="AY793" s="192"/>
      <c r="AZ793" s="192"/>
      <c r="BA793" s="192"/>
    </row>
    <row r="794" spans="1:53" ht="14.25" customHeight="1" x14ac:dyDescent="0.2">
      <c r="A794" s="136" t="s">
        <v>5032</v>
      </c>
      <c r="B794" s="4">
        <v>9</v>
      </c>
      <c r="C794" s="9" t="s">
        <v>4969</v>
      </c>
      <c r="D794" s="201" t="s">
        <v>5385</v>
      </c>
      <c r="E794" s="4">
        <v>1566</v>
      </c>
      <c r="F794" s="188" t="s">
        <v>5386</v>
      </c>
      <c r="G794" s="4" t="s">
        <v>5387</v>
      </c>
      <c r="H794" s="4" t="s">
        <v>5388</v>
      </c>
      <c r="I794" s="4" t="s">
        <v>641</v>
      </c>
      <c r="J794" s="4" t="s">
        <v>5073</v>
      </c>
      <c r="K794" s="4">
        <v>1</v>
      </c>
      <c r="L794" s="4">
        <v>1969</v>
      </c>
      <c r="M794" s="6"/>
      <c r="U794"/>
      <c r="AK794" s="9"/>
    </row>
    <row r="795" spans="1:53" ht="14.25" customHeight="1" x14ac:dyDescent="0.2">
      <c r="A795" s="136" t="s">
        <v>5032</v>
      </c>
      <c r="B795" s="4">
        <v>9</v>
      </c>
      <c r="C795" s="9" t="s">
        <v>4969</v>
      </c>
      <c r="D795" s="201" t="s">
        <v>5630</v>
      </c>
      <c r="E795" s="4">
        <v>2607</v>
      </c>
      <c r="F795" s="188" t="s">
        <v>5631</v>
      </c>
      <c r="G795" s="4" t="s">
        <v>5632</v>
      </c>
      <c r="H795" s="4" t="s">
        <v>5633</v>
      </c>
      <c r="I795" s="4" t="s">
        <v>641</v>
      </c>
      <c r="J795" s="4" t="s">
        <v>5048</v>
      </c>
      <c r="K795" s="4">
        <v>1</v>
      </c>
      <c r="L795" s="4">
        <v>3010</v>
      </c>
      <c r="M795" s="6"/>
      <c r="U795"/>
      <c r="AK795" s="9"/>
    </row>
    <row r="796" spans="1:53" ht="14.25" customHeight="1" x14ac:dyDescent="0.2">
      <c r="A796" s="136" t="s">
        <v>5032</v>
      </c>
      <c r="B796" s="4">
        <v>9</v>
      </c>
      <c r="C796" s="9" t="s">
        <v>4969</v>
      </c>
      <c r="D796" s="201" t="s">
        <v>5634</v>
      </c>
      <c r="E796" s="4">
        <v>2621</v>
      </c>
      <c r="F796" s="188" t="s">
        <v>5635</v>
      </c>
      <c r="G796" s="4" t="s">
        <v>5636</v>
      </c>
      <c r="H796" s="4" t="s">
        <v>5637</v>
      </c>
      <c r="I796" s="4" t="s">
        <v>641</v>
      </c>
      <c r="J796" s="4" t="s">
        <v>5073</v>
      </c>
      <c r="K796" s="4">
        <v>1</v>
      </c>
      <c r="L796" s="4">
        <v>3024</v>
      </c>
      <c r="M796" s="6"/>
      <c r="U796"/>
      <c r="AK796" s="9"/>
    </row>
    <row r="797" spans="1:53" ht="14.25" customHeight="1" x14ac:dyDescent="0.2">
      <c r="A797" s="136" t="s">
        <v>5032</v>
      </c>
      <c r="B797" s="4">
        <v>9</v>
      </c>
      <c r="C797" s="9" t="s">
        <v>4969</v>
      </c>
      <c r="D797" s="201" t="s">
        <v>5656</v>
      </c>
      <c r="E797" s="4">
        <v>2622</v>
      </c>
      <c r="F797" s="188" t="s">
        <v>5657</v>
      </c>
      <c r="G797" s="196" t="s">
        <v>5658</v>
      </c>
      <c r="H797" s="4" t="s">
        <v>5659</v>
      </c>
      <c r="I797" s="4" t="s">
        <v>641</v>
      </c>
      <c r="J797" s="4" t="s">
        <v>5177</v>
      </c>
      <c r="K797" s="4">
        <v>1</v>
      </c>
      <c r="L797" s="4">
        <v>3025</v>
      </c>
      <c r="M797" s="6"/>
      <c r="U797"/>
      <c r="AK797" s="9"/>
      <c r="AO797" s="9"/>
    </row>
    <row r="798" spans="1:53" ht="14.25" customHeight="1" x14ac:dyDescent="0.2">
      <c r="A798" s="136" t="s">
        <v>5032</v>
      </c>
      <c r="B798" s="4">
        <v>9</v>
      </c>
      <c r="C798" s="9" t="s">
        <v>4969</v>
      </c>
      <c r="D798" s="201" t="s">
        <v>5660</v>
      </c>
      <c r="E798" s="4">
        <v>2624</v>
      </c>
      <c r="F798" s="188" t="s">
        <v>5661</v>
      </c>
      <c r="G798" s="4" t="s">
        <v>5662</v>
      </c>
      <c r="H798" s="4" t="s">
        <v>5663</v>
      </c>
      <c r="I798" s="4" t="s">
        <v>641</v>
      </c>
      <c r="J798" s="4" t="s">
        <v>5083</v>
      </c>
      <c r="K798" s="4">
        <v>1</v>
      </c>
      <c r="L798" s="4">
        <v>3027</v>
      </c>
      <c r="M798" s="6"/>
      <c r="U798"/>
      <c r="AK798" s="9"/>
      <c r="AO798" s="9"/>
    </row>
    <row r="799" spans="1:53" ht="14.25" customHeight="1" x14ac:dyDescent="0.2">
      <c r="A799" s="136" t="s">
        <v>5032</v>
      </c>
      <c r="B799" s="4">
        <v>9</v>
      </c>
      <c r="C799" s="9" t="s">
        <v>4969</v>
      </c>
      <c r="D799" s="200" t="s">
        <v>5668</v>
      </c>
      <c r="E799" s="4">
        <v>2586</v>
      </c>
      <c r="F799" s="188" t="s">
        <v>5669</v>
      </c>
      <c r="G799" s="4" t="s">
        <v>5670</v>
      </c>
      <c r="H799" s="4" t="s">
        <v>5671</v>
      </c>
      <c r="I799" s="4" t="s">
        <v>641</v>
      </c>
      <c r="J799" s="4" t="s">
        <v>5073</v>
      </c>
      <c r="K799" s="4">
        <v>1</v>
      </c>
      <c r="L799" s="4">
        <v>2989</v>
      </c>
      <c r="M799" s="6"/>
      <c r="U799"/>
      <c r="AK799" s="9"/>
    </row>
    <row r="800" spans="1:53" ht="14.25" customHeight="1" x14ac:dyDescent="0.2">
      <c r="A800" s="136" t="s">
        <v>5032</v>
      </c>
      <c r="B800" s="4">
        <v>9</v>
      </c>
      <c r="C800" s="9" t="s">
        <v>4969</v>
      </c>
      <c r="D800" s="201" t="s">
        <v>5672</v>
      </c>
      <c r="E800" s="4">
        <v>2598</v>
      </c>
      <c r="F800" s="188" t="s">
        <v>5673</v>
      </c>
      <c r="G800" s="4" t="s">
        <v>5674</v>
      </c>
      <c r="H800" s="4" t="s">
        <v>5671</v>
      </c>
      <c r="I800" s="4" t="s">
        <v>641</v>
      </c>
      <c r="J800" s="4" t="s">
        <v>5073</v>
      </c>
      <c r="K800" s="4">
        <v>1</v>
      </c>
      <c r="L800" s="4">
        <v>3001</v>
      </c>
      <c r="M800" s="6"/>
      <c r="U800"/>
      <c r="AK800" s="9"/>
      <c r="AO800" s="9"/>
    </row>
    <row r="801" spans="1:53" ht="14.25" customHeight="1" x14ac:dyDescent="0.2">
      <c r="A801" s="136" t="s">
        <v>5032</v>
      </c>
      <c r="B801" s="4">
        <v>9</v>
      </c>
      <c r="C801" s="9" t="s">
        <v>4969</v>
      </c>
      <c r="D801" s="201" t="s">
        <v>5683</v>
      </c>
      <c r="E801" s="4">
        <v>12223</v>
      </c>
      <c r="F801" s="188" t="s">
        <v>5684</v>
      </c>
      <c r="G801" s="4" t="s">
        <v>5685</v>
      </c>
      <c r="H801" s="4" t="s">
        <v>5686</v>
      </c>
      <c r="I801" s="4" t="s">
        <v>641</v>
      </c>
      <c r="J801" s="4" t="s">
        <v>5073</v>
      </c>
      <c r="K801" s="4">
        <v>1</v>
      </c>
      <c r="L801" s="4">
        <v>14278</v>
      </c>
      <c r="M801" s="6"/>
      <c r="U801"/>
      <c r="AK801" s="9"/>
    </row>
    <row r="802" spans="1:53" ht="14.25" customHeight="1" x14ac:dyDescent="0.2">
      <c r="A802" s="136" t="s">
        <v>5032</v>
      </c>
      <c r="B802" s="4">
        <v>9</v>
      </c>
      <c r="C802" s="9" t="s">
        <v>4969</v>
      </c>
      <c r="D802" s="201" t="s">
        <v>5687</v>
      </c>
      <c r="E802" s="4">
        <v>2635</v>
      </c>
      <c r="F802" s="188" t="s">
        <v>5688</v>
      </c>
      <c r="G802" s="4" t="s">
        <v>5689</v>
      </c>
      <c r="H802" s="4" t="s">
        <v>5690</v>
      </c>
      <c r="I802" s="4" t="s">
        <v>641</v>
      </c>
      <c r="J802" s="4" t="s">
        <v>5048</v>
      </c>
      <c r="K802" s="4">
        <v>1</v>
      </c>
      <c r="L802" s="4">
        <v>3038</v>
      </c>
      <c r="M802" s="6"/>
      <c r="U802"/>
      <c r="AK802" s="9"/>
      <c r="AO802" s="9"/>
    </row>
    <row r="803" spans="1:53" ht="14.25" customHeight="1" x14ac:dyDescent="0.2">
      <c r="A803" s="136" t="s">
        <v>5032</v>
      </c>
      <c r="B803" s="4">
        <v>9</v>
      </c>
      <c r="C803" s="9" t="s">
        <v>4969</v>
      </c>
      <c r="D803" s="201" t="s">
        <v>5691</v>
      </c>
      <c r="E803" s="4">
        <v>1583</v>
      </c>
      <c r="F803" s="188" t="s">
        <v>5692</v>
      </c>
      <c r="G803" s="4" t="s">
        <v>5693</v>
      </c>
      <c r="H803" s="4" t="s">
        <v>5694</v>
      </c>
      <c r="I803" s="4" t="s">
        <v>641</v>
      </c>
      <c r="J803" s="4" t="s">
        <v>5037</v>
      </c>
      <c r="K803" s="4">
        <v>1</v>
      </c>
      <c r="L803" s="4">
        <v>1986</v>
      </c>
      <c r="M803" s="6"/>
      <c r="U803"/>
      <c r="AK803" s="9"/>
    </row>
    <row r="804" spans="1:53" ht="14.25" customHeight="1" x14ac:dyDescent="0.2">
      <c r="A804" s="136" t="s">
        <v>5032</v>
      </c>
      <c r="B804" s="4">
        <v>9</v>
      </c>
      <c r="C804" s="203" t="s">
        <v>4969</v>
      </c>
      <c r="D804" s="8" t="s">
        <v>5695</v>
      </c>
      <c r="E804" s="4">
        <v>2638</v>
      </c>
      <c r="F804" s="188" t="s">
        <v>5696</v>
      </c>
      <c r="G804" s="188" t="s">
        <v>5697</v>
      </c>
      <c r="H804" s="4" t="s">
        <v>5698</v>
      </c>
      <c r="I804" s="4" t="s">
        <v>641</v>
      </c>
      <c r="J804" s="4" t="s">
        <v>5083</v>
      </c>
      <c r="K804" s="4">
        <v>1</v>
      </c>
      <c r="L804" s="4">
        <v>3041</v>
      </c>
      <c r="M804" s="6"/>
      <c r="U804"/>
      <c r="AK804" s="9"/>
      <c r="AO804" s="192"/>
      <c r="AP804" s="192"/>
      <c r="AQ804" s="192"/>
      <c r="AR804" s="192"/>
      <c r="AS804" s="192"/>
      <c r="AT804" s="192"/>
      <c r="AU804" s="192"/>
      <c r="AV804" s="192"/>
      <c r="AW804" s="192"/>
      <c r="AX804" s="192"/>
      <c r="AY804" s="192"/>
      <c r="AZ804" s="192"/>
      <c r="BA804" s="192"/>
    </row>
    <row r="805" spans="1:53" ht="14.25" customHeight="1" x14ac:dyDescent="0.2">
      <c r="A805" s="136" t="s">
        <v>5032</v>
      </c>
      <c r="B805" s="4">
        <v>9</v>
      </c>
      <c r="C805" s="203" t="s">
        <v>4969</v>
      </c>
      <c r="D805" s="8" t="s">
        <v>5699</v>
      </c>
      <c r="E805" s="4">
        <v>3278</v>
      </c>
      <c r="F805" s="188" t="s">
        <v>5700</v>
      </c>
      <c r="G805" s="188" t="s">
        <v>5701</v>
      </c>
      <c r="H805" s="4" t="s">
        <v>5702</v>
      </c>
      <c r="I805" s="4" t="s">
        <v>49</v>
      </c>
      <c r="J805" s="4" t="s">
        <v>5037</v>
      </c>
      <c r="K805" s="4">
        <v>1</v>
      </c>
      <c r="L805" s="4">
        <v>4117</v>
      </c>
      <c r="M805" s="6"/>
      <c r="U805"/>
      <c r="AK805" s="9"/>
      <c r="AO805" s="192"/>
      <c r="AP805" s="192"/>
      <c r="AQ805" s="192"/>
      <c r="AR805" s="192"/>
      <c r="AS805" s="192"/>
      <c r="AT805" s="192"/>
      <c r="AU805" s="192"/>
      <c r="AV805" s="192"/>
      <c r="AW805" s="192"/>
      <c r="AX805" s="192"/>
      <c r="AY805" s="192"/>
      <c r="AZ805" s="192"/>
      <c r="BA805" s="192"/>
    </row>
    <row r="806" spans="1:53" ht="14.25" customHeight="1" x14ac:dyDescent="0.2">
      <c r="A806" s="136" t="s">
        <v>5032</v>
      </c>
      <c r="B806" s="4">
        <v>9</v>
      </c>
      <c r="C806" s="188" t="s">
        <v>4969</v>
      </c>
      <c r="D806" s="8" t="s">
        <v>5712</v>
      </c>
      <c r="E806" s="4">
        <v>12238</v>
      </c>
      <c r="F806" s="188" t="s">
        <v>5713</v>
      </c>
      <c r="G806" s="188" t="s">
        <v>5714</v>
      </c>
      <c r="H806" s="4" t="s">
        <v>5715</v>
      </c>
      <c r="I806" s="4" t="s">
        <v>641</v>
      </c>
      <c r="J806" s="4" t="s">
        <v>5073</v>
      </c>
      <c r="K806" s="4">
        <v>1</v>
      </c>
      <c r="L806" s="4">
        <v>14293</v>
      </c>
      <c r="M806" s="6"/>
      <c r="U806"/>
      <c r="AK806" s="9"/>
      <c r="AO806" s="203"/>
      <c r="AP806" s="192"/>
      <c r="AQ806" s="192"/>
      <c r="AR806" s="192"/>
      <c r="AS806" s="192"/>
      <c r="AT806" s="192"/>
      <c r="AU806" s="192"/>
      <c r="AV806" s="192"/>
      <c r="AW806" s="192"/>
      <c r="AX806" s="192"/>
      <c r="AY806" s="192"/>
      <c r="AZ806" s="192"/>
      <c r="BA806" s="192"/>
    </row>
    <row r="807" spans="1:53" ht="14.25" customHeight="1" x14ac:dyDescent="0.2">
      <c r="A807" s="136" t="s">
        <v>5032</v>
      </c>
      <c r="B807" s="4">
        <v>9</v>
      </c>
      <c r="C807" s="4" t="s">
        <v>4969</v>
      </c>
      <c r="D807" s="201" t="s">
        <v>5716</v>
      </c>
      <c r="E807" s="4">
        <v>1587</v>
      </c>
      <c r="F807" s="188" t="s">
        <v>5717</v>
      </c>
      <c r="G807" s="4" t="s">
        <v>5718</v>
      </c>
      <c r="H807" s="4" t="s">
        <v>5719</v>
      </c>
      <c r="I807" s="4" t="s">
        <v>641</v>
      </c>
      <c r="J807" s="4" t="s">
        <v>5073</v>
      </c>
      <c r="K807" s="4">
        <v>1</v>
      </c>
      <c r="L807" s="4">
        <v>1990</v>
      </c>
      <c r="M807" s="6"/>
      <c r="U807"/>
      <c r="AK807" s="9"/>
    </row>
    <row r="808" spans="1:53" ht="14.25" customHeight="1" x14ac:dyDescent="0.2">
      <c r="A808" s="136" t="s">
        <v>5032</v>
      </c>
      <c r="B808" s="4">
        <v>9</v>
      </c>
      <c r="C808" s="4" t="s">
        <v>4969</v>
      </c>
      <c r="D808" s="201" t="s">
        <v>5720</v>
      </c>
      <c r="E808" s="4">
        <v>12248</v>
      </c>
      <c r="F808" s="188" t="s">
        <v>5721</v>
      </c>
      <c r="G808" s="4" t="s">
        <v>5722</v>
      </c>
      <c r="H808" s="4" t="s">
        <v>5723</v>
      </c>
      <c r="I808" s="4" t="s">
        <v>641</v>
      </c>
      <c r="J808" s="4" t="s">
        <v>5073</v>
      </c>
      <c r="K808" s="4">
        <v>1</v>
      </c>
      <c r="L808" s="4">
        <v>14303</v>
      </c>
      <c r="M808" s="6"/>
      <c r="U808"/>
      <c r="AK808" s="9"/>
      <c r="AO808" s="9"/>
    </row>
    <row r="809" spans="1:53" ht="14.25" customHeight="1" x14ac:dyDescent="0.2">
      <c r="A809" s="136" t="s">
        <v>5032</v>
      </c>
      <c r="B809" s="4">
        <v>9</v>
      </c>
      <c r="C809" s="4" t="s">
        <v>4969</v>
      </c>
      <c r="D809" s="201" t="s">
        <v>5724</v>
      </c>
      <c r="E809" s="4">
        <v>1569</v>
      </c>
      <c r="F809" s="188" t="s">
        <v>5725</v>
      </c>
      <c r="G809" s="4" t="s">
        <v>5726</v>
      </c>
      <c r="H809" s="4" t="s">
        <v>5727</v>
      </c>
      <c r="I809" s="4" t="s">
        <v>641</v>
      </c>
      <c r="J809" s="4" t="s">
        <v>5048</v>
      </c>
      <c r="K809" s="4">
        <v>1</v>
      </c>
      <c r="L809" s="4">
        <v>1972</v>
      </c>
      <c r="M809" s="6"/>
      <c r="U809"/>
      <c r="AK809" s="9"/>
    </row>
    <row r="810" spans="1:53" ht="14.25" customHeight="1" x14ac:dyDescent="0.2">
      <c r="A810" s="136" t="s">
        <v>5032</v>
      </c>
      <c r="B810" s="4">
        <v>9</v>
      </c>
      <c r="C810" s="4" t="s">
        <v>4969</v>
      </c>
      <c r="D810" s="201" t="s">
        <v>5733</v>
      </c>
      <c r="E810" s="4">
        <v>2595</v>
      </c>
      <c r="F810" s="188" t="s">
        <v>5734</v>
      </c>
      <c r="G810" s="4" t="s">
        <v>5735</v>
      </c>
      <c r="H810" s="4" t="s">
        <v>5736</v>
      </c>
      <c r="I810" s="4" t="s">
        <v>641</v>
      </c>
      <c r="J810" s="4" t="s">
        <v>5083</v>
      </c>
      <c r="K810" s="4">
        <v>1</v>
      </c>
      <c r="L810" s="4">
        <v>2998</v>
      </c>
      <c r="M810" s="6"/>
      <c r="U810"/>
      <c r="AK810" s="9"/>
      <c r="AO810" s="9"/>
    </row>
    <row r="811" spans="1:53" ht="14.25" customHeight="1" x14ac:dyDescent="0.2">
      <c r="A811" s="136" t="s">
        <v>5032</v>
      </c>
      <c r="B811" s="4">
        <v>9</v>
      </c>
      <c r="C811" s="4" t="s">
        <v>4969</v>
      </c>
      <c r="D811" s="201" t="s">
        <v>5737</v>
      </c>
      <c r="E811" s="4">
        <v>2597</v>
      </c>
      <c r="F811" s="188" t="s">
        <v>5738</v>
      </c>
      <c r="G811" s="196" t="s">
        <v>5739</v>
      </c>
      <c r="H811" s="4" t="s">
        <v>5740</v>
      </c>
      <c r="I811" s="4" t="s">
        <v>641</v>
      </c>
      <c r="J811" s="4" t="s">
        <v>5048</v>
      </c>
      <c r="K811" s="4">
        <v>1</v>
      </c>
      <c r="L811" s="4">
        <v>3000</v>
      </c>
      <c r="M811" s="6"/>
      <c r="U811"/>
      <c r="AK811" s="9"/>
      <c r="AO811" s="9"/>
    </row>
    <row r="812" spans="1:53" ht="14.25" customHeight="1" x14ac:dyDescent="0.2">
      <c r="A812" s="136" t="s">
        <v>5032</v>
      </c>
      <c r="B812" s="4">
        <v>9</v>
      </c>
      <c r="C812" s="4" t="s">
        <v>4969</v>
      </c>
      <c r="D812" s="201" t="s">
        <v>5741</v>
      </c>
      <c r="E812" s="4">
        <v>1568</v>
      </c>
      <c r="F812" s="188" t="s">
        <v>5742</v>
      </c>
      <c r="G812" s="196" t="s">
        <v>5743</v>
      </c>
      <c r="H812" s="4" t="s">
        <v>5744</v>
      </c>
      <c r="I812" s="4" t="s">
        <v>641</v>
      </c>
      <c r="J812" s="4" t="s">
        <v>5048</v>
      </c>
      <c r="K812" s="4">
        <v>1</v>
      </c>
      <c r="L812" s="4">
        <v>1971</v>
      </c>
      <c r="M812" s="6"/>
      <c r="U812"/>
      <c r="AK812" s="9"/>
      <c r="AO812" s="9"/>
    </row>
    <row r="813" spans="1:53" ht="14.25" customHeight="1" x14ac:dyDescent="0.2">
      <c r="A813" s="136" t="s">
        <v>5032</v>
      </c>
      <c r="B813" s="4">
        <v>9</v>
      </c>
      <c r="C813" s="4" t="s">
        <v>4969</v>
      </c>
      <c r="D813" s="201" t="s">
        <v>5751</v>
      </c>
      <c r="E813" s="4">
        <v>2605</v>
      </c>
      <c r="F813" s="188" t="s">
        <v>5752</v>
      </c>
      <c r="G813" s="4" t="s">
        <v>5753</v>
      </c>
      <c r="H813" s="4" t="s">
        <v>5754</v>
      </c>
      <c r="I813" s="4" t="s">
        <v>641</v>
      </c>
      <c r="J813" s="4" t="s">
        <v>5037</v>
      </c>
      <c r="K813" s="4">
        <v>1</v>
      </c>
      <c r="L813" s="4">
        <v>3008</v>
      </c>
      <c r="M813" s="6"/>
      <c r="U813"/>
      <c r="AK813" s="9"/>
    </row>
    <row r="814" spans="1:53" ht="14.25" customHeight="1" x14ac:dyDescent="0.2">
      <c r="A814" s="136" t="s">
        <v>5032</v>
      </c>
      <c r="B814" s="4">
        <v>9</v>
      </c>
      <c r="C814" s="4" t="s">
        <v>4969</v>
      </c>
      <c r="D814" s="200" t="s">
        <v>5755</v>
      </c>
      <c r="E814" s="4">
        <v>12254</v>
      </c>
      <c r="F814" s="188" t="s">
        <v>5756</v>
      </c>
      <c r="G814" s="196" t="s">
        <v>5757</v>
      </c>
      <c r="H814" s="4" t="s">
        <v>5325</v>
      </c>
      <c r="I814" s="4" t="s">
        <v>641</v>
      </c>
      <c r="J814" s="4" t="s">
        <v>5073</v>
      </c>
      <c r="K814" s="4">
        <v>1</v>
      </c>
      <c r="L814" s="4">
        <v>14309</v>
      </c>
      <c r="M814" s="6"/>
      <c r="U814"/>
      <c r="AK814" s="9"/>
    </row>
    <row r="815" spans="1:53" ht="14.25" customHeight="1" x14ac:dyDescent="0.2">
      <c r="A815" s="136" t="s">
        <v>5032</v>
      </c>
      <c r="B815" s="4">
        <v>9</v>
      </c>
      <c r="C815" s="4" t="s">
        <v>4969</v>
      </c>
      <c r="D815" s="201" t="s">
        <v>5762</v>
      </c>
      <c r="E815" s="4">
        <v>2600</v>
      </c>
      <c r="F815" s="188" t="s">
        <v>5763</v>
      </c>
      <c r="G815" s="196" t="s">
        <v>5764</v>
      </c>
      <c r="H815" s="4" t="s">
        <v>5765</v>
      </c>
      <c r="I815" s="4" t="s">
        <v>641</v>
      </c>
      <c r="J815" s="4" t="s">
        <v>5083</v>
      </c>
      <c r="K815" s="4">
        <v>1</v>
      </c>
      <c r="L815" s="4">
        <v>3003</v>
      </c>
      <c r="M815" s="6"/>
      <c r="U815"/>
      <c r="AK815" s="9"/>
    </row>
    <row r="816" spans="1:53" ht="14.25" customHeight="1" x14ac:dyDescent="0.2">
      <c r="A816" s="136" t="s">
        <v>5032</v>
      </c>
      <c r="B816" s="4">
        <v>9</v>
      </c>
      <c r="C816" s="4" t="s">
        <v>4969</v>
      </c>
      <c r="D816" s="201" t="s">
        <v>5766</v>
      </c>
      <c r="E816" s="4">
        <v>1567</v>
      </c>
      <c r="F816" s="188" t="s">
        <v>5767</v>
      </c>
      <c r="G816" s="196" t="s">
        <v>5768</v>
      </c>
      <c r="H816" s="4" t="s">
        <v>5769</v>
      </c>
      <c r="I816" s="4" t="s">
        <v>641</v>
      </c>
      <c r="J816" s="4" t="s">
        <v>5048</v>
      </c>
      <c r="K816" s="4">
        <v>1</v>
      </c>
      <c r="L816" s="4">
        <v>1970</v>
      </c>
      <c r="M816" s="6"/>
      <c r="U816"/>
      <c r="AK816" s="9"/>
      <c r="AO816" s="9"/>
    </row>
    <row r="817" spans="1:41" ht="14.25" customHeight="1" x14ac:dyDescent="0.2">
      <c r="A817" s="136" t="s">
        <v>5032</v>
      </c>
      <c r="B817" s="4">
        <v>9</v>
      </c>
      <c r="C817" s="4" t="s">
        <v>4969</v>
      </c>
      <c r="D817" s="201" t="s">
        <v>5770</v>
      </c>
      <c r="E817" s="4">
        <v>2636</v>
      </c>
      <c r="F817" s="188" t="s">
        <v>5771</v>
      </c>
      <c r="G817" s="196" t="s">
        <v>5772</v>
      </c>
      <c r="H817" s="4" t="s">
        <v>5773</v>
      </c>
      <c r="I817" s="4" t="s">
        <v>641</v>
      </c>
      <c r="J817" s="4" t="s">
        <v>5048</v>
      </c>
      <c r="K817" s="4">
        <v>1</v>
      </c>
      <c r="L817" s="4">
        <v>3039</v>
      </c>
      <c r="M817" s="6"/>
      <c r="U817"/>
      <c r="AK817" s="9"/>
    </row>
    <row r="818" spans="1:41" ht="14.25" customHeight="1" x14ac:dyDescent="0.2">
      <c r="A818" s="136" t="s">
        <v>5032</v>
      </c>
      <c r="B818" s="4">
        <v>9</v>
      </c>
      <c r="C818" s="4" t="s">
        <v>4969</v>
      </c>
      <c r="D818" s="201" t="s">
        <v>5782</v>
      </c>
      <c r="E818" s="4">
        <v>1586</v>
      </c>
      <c r="F818" s="188" t="s">
        <v>5783</v>
      </c>
      <c r="G818" s="4" t="s">
        <v>5784</v>
      </c>
      <c r="H818" s="4" t="s">
        <v>5785</v>
      </c>
      <c r="I818" s="4" t="s">
        <v>641</v>
      </c>
      <c r="J818" s="4" t="s">
        <v>5048</v>
      </c>
      <c r="K818" s="4">
        <v>1</v>
      </c>
      <c r="L818" s="4">
        <v>1989</v>
      </c>
      <c r="M818" s="6"/>
      <c r="U818"/>
      <c r="AK818" s="9"/>
    </row>
    <row r="819" spans="1:41" ht="14.25" customHeight="1" x14ac:dyDescent="0.2">
      <c r="A819" s="136" t="s">
        <v>5032</v>
      </c>
      <c r="B819" s="4">
        <v>9</v>
      </c>
      <c r="C819" s="4" t="s">
        <v>4969</v>
      </c>
      <c r="D819" s="201" t="s">
        <v>5786</v>
      </c>
      <c r="E819" s="4">
        <v>1582</v>
      </c>
      <c r="F819" s="188" t="s">
        <v>5787</v>
      </c>
      <c r="G819" s="4" t="s">
        <v>5788</v>
      </c>
      <c r="H819" s="4" t="s">
        <v>5789</v>
      </c>
      <c r="I819" s="4" t="s">
        <v>641</v>
      </c>
      <c r="J819" s="4" t="s">
        <v>5198</v>
      </c>
      <c r="K819" s="4">
        <v>1</v>
      </c>
      <c r="L819" s="4">
        <v>1985</v>
      </c>
      <c r="M819" s="6"/>
      <c r="U819"/>
      <c r="AK819" s="9"/>
      <c r="AO819" s="9"/>
    </row>
    <row r="820" spans="1:41" ht="14.25" customHeight="1" x14ac:dyDescent="0.2">
      <c r="A820" s="136" t="s">
        <v>5032</v>
      </c>
      <c r="B820" s="4">
        <v>9</v>
      </c>
      <c r="C820" s="4" t="s">
        <v>4969</v>
      </c>
      <c r="D820" s="201" t="s">
        <v>5798</v>
      </c>
      <c r="E820" s="4">
        <v>2612</v>
      </c>
      <c r="F820" s="188" t="s">
        <v>5799</v>
      </c>
      <c r="G820" s="4" t="s">
        <v>5800</v>
      </c>
      <c r="H820" s="4" t="s">
        <v>5801</v>
      </c>
      <c r="I820" s="4" t="s">
        <v>641</v>
      </c>
      <c r="J820" s="4" t="s">
        <v>5073</v>
      </c>
      <c r="K820" s="4">
        <v>1</v>
      </c>
      <c r="L820" s="4">
        <v>3015</v>
      </c>
      <c r="M820" s="6"/>
      <c r="U820"/>
      <c r="AK820" s="9"/>
    </row>
    <row r="821" spans="1:41" ht="14.25" customHeight="1" x14ac:dyDescent="0.2">
      <c r="A821" s="136" t="s">
        <v>5032</v>
      </c>
      <c r="B821" s="4">
        <v>9</v>
      </c>
      <c r="C821" s="4" t="s">
        <v>4969</v>
      </c>
      <c r="D821" s="201" t="s">
        <v>5806</v>
      </c>
      <c r="E821" s="4">
        <v>1559</v>
      </c>
      <c r="F821" s="188" t="s">
        <v>5807</v>
      </c>
      <c r="G821" s="4" t="s">
        <v>5808</v>
      </c>
      <c r="H821" s="4" t="s">
        <v>5809</v>
      </c>
      <c r="I821" s="4" t="s">
        <v>641</v>
      </c>
      <c r="J821" s="4" t="s">
        <v>5073</v>
      </c>
      <c r="K821" s="4">
        <v>1</v>
      </c>
      <c r="L821" s="4">
        <v>1962</v>
      </c>
      <c r="M821" s="6"/>
      <c r="U821"/>
      <c r="AK821" s="9"/>
    </row>
    <row r="822" spans="1:41" ht="14.25" customHeight="1" x14ac:dyDescent="0.2">
      <c r="A822" s="136" t="s">
        <v>5032</v>
      </c>
      <c r="B822" s="4">
        <v>9</v>
      </c>
      <c r="C822" s="4" t="s">
        <v>4969</v>
      </c>
      <c r="D822" s="201" t="s">
        <v>5812</v>
      </c>
      <c r="E822" s="4">
        <v>1576</v>
      </c>
      <c r="F822" s="188" t="s">
        <v>5813</v>
      </c>
      <c r="G822" s="4" t="s">
        <v>5814</v>
      </c>
      <c r="H822" s="4" t="s">
        <v>5815</v>
      </c>
      <c r="I822" s="4" t="s">
        <v>641</v>
      </c>
      <c r="J822" s="4" t="s">
        <v>5048</v>
      </c>
      <c r="K822" s="4">
        <v>1</v>
      </c>
      <c r="L822" s="4">
        <v>1979</v>
      </c>
      <c r="M822" s="6"/>
      <c r="U822"/>
      <c r="AK822" s="9"/>
      <c r="AO822" s="9"/>
    </row>
    <row r="823" spans="1:41" ht="14.25" customHeight="1" x14ac:dyDescent="0.2">
      <c r="A823" s="136" t="s">
        <v>5032</v>
      </c>
      <c r="B823" s="4">
        <v>9</v>
      </c>
      <c r="C823" s="4" t="s">
        <v>4969</v>
      </c>
      <c r="D823" s="201" t="s">
        <v>5816</v>
      </c>
      <c r="E823" s="4">
        <v>1575</v>
      </c>
      <c r="F823" s="188" t="s">
        <v>5817</v>
      </c>
      <c r="G823" s="4" t="s">
        <v>5818</v>
      </c>
      <c r="H823" s="4" t="s">
        <v>5819</v>
      </c>
      <c r="I823" s="4" t="s">
        <v>641</v>
      </c>
      <c r="J823" s="4" t="s">
        <v>5083</v>
      </c>
      <c r="K823" s="4">
        <v>1</v>
      </c>
      <c r="L823" s="4">
        <v>1978</v>
      </c>
      <c r="M823" s="6"/>
      <c r="U823"/>
      <c r="AK823" s="9"/>
    </row>
    <row r="824" spans="1:41" ht="14.25" customHeight="1" x14ac:dyDescent="0.2">
      <c r="A824" s="136" t="s">
        <v>5032</v>
      </c>
      <c r="B824" s="4">
        <v>9</v>
      </c>
      <c r="C824" s="4" t="s">
        <v>4969</v>
      </c>
      <c r="D824" s="24" t="s">
        <v>5820</v>
      </c>
      <c r="E824" s="4">
        <v>2593</v>
      </c>
      <c r="F824" s="188" t="s">
        <v>5821</v>
      </c>
      <c r="G824" s="4" t="s">
        <v>5822</v>
      </c>
      <c r="H824" s="4" t="s">
        <v>5823</v>
      </c>
      <c r="I824" s="4" t="s">
        <v>641</v>
      </c>
      <c r="J824" s="4" t="s">
        <v>5037</v>
      </c>
      <c r="K824" s="4">
        <v>1</v>
      </c>
      <c r="L824" s="4">
        <v>2996</v>
      </c>
      <c r="M824" s="6"/>
      <c r="U824"/>
      <c r="AK824" s="9"/>
      <c r="AO824" s="9"/>
    </row>
    <row r="825" spans="1:41" ht="14.25" customHeight="1" x14ac:dyDescent="0.2">
      <c r="A825" s="136" t="s">
        <v>5032</v>
      </c>
      <c r="B825" s="4">
        <v>9</v>
      </c>
      <c r="C825" s="4" t="s">
        <v>4969</v>
      </c>
      <c r="D825" s="201" t="s">
        <v>5829</v>
      </c>
      <c r="E825" s="4">
        <v>12441</v>
      </c>
      <c r="F825" s="188" t="s">
        <v>5830</v>
      </c>
      <c r="G825" s="4" t="s">
        <v>5831</v>
      </c>
      <c r="H825" s="4" t="s">
        <v>5832</v>
      </c>
      <c r="I825" s="4" t="s">
        <v>49</v>
      </c>
      <c r="J825" s="4" t="s">
        <v>5073</v>
      </c>
      <c r="K825" s="4">
        <v>1</v>
      </c>
      <c r="L825" s="4">
        <v>14463</v>
      </c>
      <c r="M825" s="6"/>
      <c r="U825"/>
      <c r="AK825" s="9"/>
      <c r="AO825" s="9"/>
    </row>
    <row r="826" spans="1:41" ht="14.25" customHeight="1" x14ac:dyDescent="0.2">
      <c r="A826" s="136" t="s">
        <v>5032</v>
      </c>
      <c r="B826" s="4">
        <v>9</v>
      </c>
      <c r="C826" s="4" t="s">
        <v>4969</v>
      </c>
      <c r="D826" s="201" t="s">
        <v>5833</v>
      </c>
      <c r="E826" s="4">
        <v>12283</v>
      </c>
      <c r="F826" s="188" t="s">
        <v>5834</v>
      </c>
      <c r="G826" s="4" t="s">
        <v>5835</v>
      </c>
      <c r="H826" s="4" t="s">
        <v>5836</v>
      </c>
      <c r="I826" s="4" t="s">
        <v>641</v>
      </c>
      <c r="J826" s="4" t="s">
        <v>5073</v>
      </c>
      <c r="K826" s="4">
        <v>1</v>
      </c>
      <c r="L826" s="4">
        <v>14338</v>
      </c>
      <c r="M826" s="6"/>
      <c r="U826"/>
      <c r="AK826" s="9"/>
      <c r="AO826" s="9"/>
    </row>
    <row r="827" spans="1:41" ht="14.25" customHeight="1" x14ac:dyDescent="0.2">
      <c r="A827" s="136" t="s">
        <v>5032</v>
      </c>
      <c r="B827" s="4">
        <v>9</v>
      </c>
      <c r="C827" s="4" t="s">
        <v>4969</v>
      </c>
      <c r="D827" s="201" t="s">
        <v>5863</v>
      </c>
      <c r="E827" s="4">
        <v>2646</v>
      </c>
      <c r="F827" s="188" t="s">
        <v>5864</v>
      </c>
      <c r="G827" s="4" t="s">
        <v>5865</v>
      </c>
      <c r="H827" s="4" t="s">
        <v>5866</v>
      </c>
      <c r="I827" s="4" t="s">
        <v>641</v>
      </c>
      <c r="J827" s="4" t="s">
        <v>5073</v>
      </c>
      <c r="K827" s="4">
        <v>1</v>
      </c>
      <c r="L827" s="4">
        <v>3049</v>
      </c>
      <c r="M827" s="6"/>
      <c r="U827"/>
      <c r="AK827" s="9"/>
    </row>
    <row r="828" spans="1:41" ht="14.25" customHeight="1" x14ac:dyDescent="0.2">
      <c r="A828" s="136" t="s">
        <v>5032</v>
      </c>
      <c r="B828" s="4">
        <v>9</v>
      </c>
      <c r="C828" s="4" t="s">
        <v>4969</v>
      </c>
      <c r="D828" s="201" t="s">
        <v>5867</v>
      </c>
      <c r="E828" s="4">
        <v>12285</v>
      </c>
      <c r="F828" s="188" t="s">
        <v>5868</v>
      </c>
      <c r="G828" s="4" t="s">
        <v>5869</v>
      </c>
      <c r="H828" s="4" t="s">
        <v>5870</v>
      </c>
      <c r="I828" s="4" t="s">
        <v>641</v>
      </c>
      <c r="J828" s="4" t="s">
        <v>5073</v>
      </c>
      <c r="K828" s="4">
        <v>1</v>
      </c>
      <c r="L828" s="4">
        <v>14340</v>
      </c>
      <c r="M828" s="6"/>
      <c r="U828"/>
      <c r="AK828" s="9"/>
    </row>
    <row r="829" spans="1:41" ht="14.25" customHeight="1" x14ac:dyDescent="0.2">
      <c r="A829" s="136" t="s">
        <v>5032</v>
      </c>
      <c r="B829" s="4">
        <v>9</v>
      </c>
      <c r="C829" s="4" t="s">
        <v>4969</v>
      </c>
      <c r="D829" s="201" t="s">
        <v>5886</v>
      </c>
      <c r="E829" s="4">
        <v>12293</v>
      </c>
      <c r="F829" s="188" t="s">
        <v>5887</v>
      </c>
      <c r="G829" s="4" t="s">
        <v>5888</v>
      </c>
      <c r="H829" s="4" t="s">
        <v>5889</v>
      </c>
      <c r="I829" s="4" t="s">
        <v>641</v>
      </c>
      <c r="J829" s="4" t="s">
        <v>5078</v>
      </c>
      <c r="K829" s="4">
        <v>1</v>
      </c>
      <c r="L829" s="4">
        <v>14348</v>
      </c>
      <c r="M829" s="6"/>
      <c r="U829"/>
      <c r="AK829" s="9"/>
    </row>
    <row r="830" spans="1:41" ht="14.25" customHeight="1" x14ac:dyDescent="0.2">
      <c r="A830" s="136" t="s">
        <v>5032</v>
      </c>
      <c r="B830" s="4">
        <v>9</v>
      </c>
      <c r="C830" s="4" t="s">
        <v>4969</v>
      </c>
      <c r="D830" s="201" t="s">
        <v>5890</v>
      </c>
      <c r="E830" s="4">
        <v>2596</v>
      </c>
      <c r="F830" s="188" t="s">
        <v>5891</v>
      </c>
      <c r="G830" s="4" t="s">
        <v>5892</v>
      </c>
      <c r="H830" s="4" t="s">
        <v>5893</v>
      </c>
      <c r="I830" s="4" t="s">
        <v>641</v>
      </c>
      <c r="J830" s="4" t="s">
        <v>5073</v>
      </c>
      <c r="K830" s="4">
        <v>1</v>
      </c>
      <c r="L830" s="4">
        <v>2999</v>
      </c>
      <c r="M830" s="6"/>
      <c r="U830"/>
      <c r="AK830" s="9"/>
      <c r="AO830" s="9"/>
    </row>
    <row r="831" spans="1:41" ht="14.25" customHeight="1" x14ac:dyDescent="0.2">
      <c r="A831" s="136" t="s">
        <v>5032</v>
      </c>
      <c r="B831" s="4">
        <v>9</v>
      </c>
      <c r="C831" s="4" t="s">
        <v>4969</v>
      </c>
      <c r="D831" s="200" t="s">
        <v>5894</v>
      </c>
      <c r="E831" s="4">
        <v>2614</v>
      </c>
      <c r="F831" s="188" t="s">
        <v>5895</v>
      </c>
      <c r="G831" s="4" t="s">
        <v>5896</v>
      </c>
      <c r="H831" s="4" t="s">
        <v>5897</v>
      </c>
      <c r="I831" s="4" t="s">
        <v>641</v>
      </c>
      <c r="J831" s="4" t="s">
        <v>5073</v>
      </c>
      <c r="K831" s="4">
        <v>1</v>
      </c>
      <c r="L831" s="4">
        <v>3017</v>
      </c>
      <c r="M831" s="6"/>
      <c r="U831"/>
      <c r="AK831" s="9"/>
      <c r="AO831" s="9"/>
    </row>
    <row r="832" spans="1:41" ht="14.25" customHeight="1" x14ac:dyDescent="0.2">
      <c r="A832" s="136" t="s">
        <v>5032</v>
      </c>
      <c r="B832" s="4">
        <v>9</v>
      </c>
      <c r="C832" s="4" t="s">
        <v>4969</v>
      </c>
      <c r="D832" s="201" t="s">
        <v>5898</v>
      </c>
      <c r="E832" s="4">
        <v>1557</v>
      </c>
      <c r="F832" s="188" t="s">
        <v>5899</v>
      </c>
      <c r="G832" s="4" t="s">
        <v>5900</v>
      </c>
      <c r="H832" s="4" t="s">
        <v>5901</v>
      </c>
      <c r="I832" s="4" t="s">
        <v>641</v>
      </c>
      <c r="J832" s="4" t="s">
        <v>5073</v>
      </c>
      <c r="K832" s="4">
        <v>1</v>
      </c>
      <c r="L832" s="4">
        <v>1960</v>
      </c>
      <c r="M832" s="6"/>
      <c r="U832"/>
      <c r="AK832" s="9"/>
    </row>
    <row r="833" spans="1:41" ht="14.25" customHeight="1" x14ac:dyDescent="0.2">
      <c r="A833" s="136" t="s">
        <v>5032</v>
      </c>
      <c r="B833" s="4">
        <v>9</v>
      </c>
      <c r="C833" s="4" t="s">
        <v>4969</v>
      </c>
      <c r="D833" s="201" t="s">
        <v>5902</v>
      </c>
      <c r="E833" s="4">
        <v>1558</v>
      </c>
      <c r="F833" s="188" t="s">
        <v>5903</v>
      </c>
      <c r="G833" s="4" t="s">
        <v>5904</v>
      </c>
      <c r="H833" s="4" t="s">
        <v>5905</v>
      </c>
      <c r="I833" s="4" t="s">
        <v>641</v>
      </c>
      <c r="J833" s="4" t="s">
        <v>5163</v>
      </c>
      <c r="K833" s="4">
        <v>1</v>
      </c>
      <c r="L833" s="4">
        <v>1961</v>
      </c>
      <c r="M833" s="6"/>
      <c r="U833"/>
      <c r="AK833" s="9"/>
    </row>
    <row r="834" spans="1:41" ht="14.25" customHeight="1" x14ac:dyDescent="0.2">
      <c r="A834" s="136" t="s">
        <v>5032</v>
      </c>
      <c r="B834" s="4">
        <v>9</v>
      </c>
      <c r="C834" s="4" t="s">
        <v>4969</v>
      </c>
      <c r="D834" s="201" t="s">
        <v>5906</v>
      </c>
      <c r="E834" s="4">
        <v>12297</v>
      </c>
      <c r="F834" s="188" t="s">
        <v>5907</v>
      </c>
      <c r="G834" s="4" t="s">
        <v>5908</v>
      </c>
      <c r="H834" s="4" t="s">
        <v>5909</v>
      </c>
      <c r="I834" s="4" t="s">
        <v>641</v>
      </c>
      <c r="J834" s="4" t="s">
        <v>5073</v>
      </c>
      <c r="K834" s="4">
        <v>1</v>
      </c>
      <c r="L834" s="4">
        <v>14352</v>
      </c>
      <c r="M834" s="6"/>
      <c r="U834"/>
      <c r="AK834" s="9"/>
      <c r="AO834" s="9"/>
    </row>
    <row r="835" spans="1:41" ht="14.25" customHeight="1" x14ac:dyDescent="0.2">
      <c r="A835" s="136" t="s">
        <v>5032</v>
      </c>
      <c r="B835" s="4">
        <v>9</v>
      </c>
      <c r="C835" s="4" t="s">
        <v>4969</v>
      </c>
      <c r="D835" s="200" t="s">
        <v>5915</v>
      </c>
      <c r="E835" s="4">
        <v>12300</v>
      </c>
      <c r="F835" s="188" t="s">
        <v>5916</v>
      </c>
      <c r="G835" s="4" t="s">
        <v>5917</v>
      </c>
      <c r="H835" s="4" t="s">
        <v>5325</v>
      </c>
      <c r="I835" s="4" t="s">
        <v>641</v>
      </c>
      <c r="J835" s="4" t="s">
        <v>5073</v>
      </c>
      <c r="K835" s="4">
        <v>1</v>
      </c>
      <c r="L835" s="4">
        <v>14355</v>
      </c>
      <c r="M835" s="223"/>
      <c r="U835"/>
    </row>
    <row r="836" spans="1:41" ht="14.25" customHeight="1" x14ac:dyDescent="0.2">
      <c r="A836" s="136" t="s">
        <v>5032</v>
      </c>
      <c r="B836" s="4">
        <v>9</v>
      </c>
      <c r="C836" s="4" t="s">
        <v>4969</v>
      </c>
      <c r="D836" s="201" t="s">
        <v>5922</v>
      </c>
      <c r="E836" s="4">
        <v>12309</v>
      </c>
      <c r="F836" s="188" t="s">
        <v>5923</v>
      </c>
      <c r="G836" s="4" t="s">
        <v>5924</v>
      </c>
      <c r="H836" s="4" t="s">
        <v>5925</v>
      </c>
      <c r="I836" s="4" t="s">
        <v>641</v>
      </c>
      <c r="J836" s="4" t="s">
        <v>5078</v>
      </c>
      <c r="K836" s="4">
        <v>1</v>
      </c>
      <c r="L836" s="4">
        <v>14364</v>
      </c>
      <c r="M836" s="223"/>
      <c r="U836"/>
    </row>
    <row r="837" spans="1:41" ht="14.25" customHeight="1" x14ac:dyDescent="0.2">
      <c r="A837" s="136" t="s">
        <v>5032</v>
      </c>
      <c r="B837" s="4">
        <v>9</v>
      </c>
      <c r="C837" s="4" t="s">
        <v>4969</v>
      </c>
      <c r="D837" s="201" t="s">
        <v>5939</v>
      </c>
      <c r="E837" s="4">
        <v>1563</v>
      </c>
      <c r="F837" s="188" t="s">
        <v>5940</v>
      </c>
      <c r="G837" s="4" t="s">
        <v>5941</v>
      </c>
      <c r="H837" s="4" t="s">
        <v>5942</v>
      </c>
      <c r="I837" s="4" t="s">
        <v>641</v>
      </c>
      <c r="J837" s="4" t="s">
        <v>5073</v>
      </c>
      <c r="K837" s="4">
        <v>1</v>
      </c>
      <c r="L837" s="4">
        <v>1966</v>
      </c>
      <c r="M837" s="223"/>
      <c r="U837"/>
    </row>
    <row r="838" spans="1:41" ht="14.25" customHeight="1" x14ac:dyDescent="0.2">
      <c r="A838" s="136" t="s">
        <v>5032</v>
      </c>
      <c r="B838" s="4">
        <v>9</v>
      </c>
      <c r="C838" s="4" t="s">
        <v>4969</v>
      </c>
      <c r="D838" s="201" t="s">
        <v>5943</v>
      </c>
      <c r="E838" s="4">
        <v>2619</v>
      </c>
      <c r="F838" s="188" t="s">
        <v>5944</v>
      </c>
      <c r="G838" s="4" t="s">
        <v>5945</v>
      </c>
      <c r="H838" s="4" t="s">
        <v>5946</v>
      </c>
      <c r="I838" s="4" t="s">
        <v>641</v>
      </c>
      <c r="J838" s="4" t="s">
        <v>5073</v>
      </c>
      <c r="K838" s="4">
        <v>1</v>
      </c>
      <c r="L838" s="4">
        <v>3022</v>
      </c>
      <c r="M838" s="223"/>
      <c r="U838"/>
    </row>
    <row r="839" spans="1:41" ht="14.25" customHeight="1" x14ac:dyDescent="0.2">
      <c r="A839" s="136" t="s">
        <v>5032</v>
      </c>
      <c r="B839" s="4">
        <v>9</v>
      </c>
      <c r="C839" s="4" t="s">
        <v>4969</v>
      </c>
      <c r="D839" s="201" t="s">
        <v>5947</v>
      </c>
      <c r="E839" s="4">
        <v>2648</v>
      </c>
      <c r="F839" s="188" t="s">
        <v>5948</v>
      </c>
      <c r="G839" s="4" t="s">
        <v>5949</v>
      </c>
      <c r="H839" s="4" t="s">
        <v>5950</v>
      </c>
      <c r="I839" s="4" t="s">
        <v>641</v>
      </c>
      <c r="J839" s="4" t="s">
        <v>5198</v>
      </c>
      <c r="K839" s="4">
        <v>1</v>
      </c>
      <c r="L839" s="4">
        <v>3051</v>
      </c>
      <c r="M839" s="223"/>
      <c r="U839"/>
    </row>
    <row r="840" spans="1:41" ht="14.25" customHeight="1" x14ac:dyDescent="0.2">
      <c r="A840" s="136" t="s">
        <v>5032</v>
      </c>
      <c r="B840" s="4">
        <v>9</v>
      </c>
      <c r="C840" s="4" t="s">
        <v>4969</v>
      </c>
      <c r="D840" s="201" t="s">
        <v>5951</v>
      </c>
      <c r="E840" s="4">
        <v>1593</v>
      </c>
      <c r="F840" s="188" t="s">
        <v>5952</v>
      </c>
      <c r="G840" s="4" t="s">
        <v>5953</v>
      </c>
      <c r="H840" s="4" t="s">
        <v>5954</v>
      </c>
      <c r="I840" s="4" t="s">
        <v>641</v>
      </c>
      <c r="J840" s="4" t="s">
        <v>5198</v>
      </c>
      <c r="K840" s="4">
        <v>1</v>
      </c>
      <c r="L840" s="4">
        <v>1996</v>
      </c>
      <c r="M840" s="223"/>
      <c r="U840"/>
    </row>
    <row r="841" spans="1:41" ht="14.25" customHeight="1" x14ac:dyDescent="0.2">
      <c r="A841" s="136" t="s">
        <v>5032</v>
      </c>
      <c r="B841" s="4">
        <v>9</v>
      </c>
      <c r="C841" s="4" t="s">
        <v>4969</v>
      </c>
      <c r="D841" s="201" t="s">
        <v>5955</v>
      </c>
      <c r="E841" s="4">
        <v>1589</v>
      </c>
      <c r="F841" s="188" t="s">
        <v>5956</v>
      </c>
      <c r="G841" s="4" t="s">
        <v>5957</v>
      </c>
      <c r="H841" s="4" t="s">
        <v>5958</v>
      </c>
      <c r="I841" s="4" t="s">
        <v>641</v>
      </c>
      <c r="J841" s="4" t="s">
        <v>5198</v>
      </c>
      <c r="K841" s="4">
        <v>1</v>
      </c>
      <c r="L841" s="4">
        <v>1992</v>
      </c>
      <c r="M841" s="223"/>
      <c r="U841"/>
    </row>
    <row r="842" spans="1:41" ht="14.25" customHeight="1" x14ac:dyDescent="0.2">
      <c r="A842" s="136" t="s">
        <v>5032</v>
      </c>
      <c r="B842" s="4">
        <v>9</v>
      </c>
      <c r="C842" s="4" t="s">
        <v>4969</v>
      </c>
      <c r="D842" s="201" t="s">
        <v>5963</v>
      </c>
      <c r="E842" s="4">
        <v>2585</v>
      </c>
      <c r="F842" s="188" t="s">
        <v>5964</v>
      </c>
      <c r="G842" s="4" t="s">
        <v>5965</v>
      </c>
      <c r="H842" s="4" t="s">
        <v>5966</v>
      </c>
      <c r="I842" s="4" t="s">
        <v>641</v>
      </c>
      <c r="J842" s="4" t="s">
        <v>5048</v>
      </c>
      <c r="K842" s="4">
        <v>1</v>
      </c>
      <c r="L842" s="4">
        <v>2988</v>
      </c>
      <c r="M842" s="223"/>
      <c r="U842"/>
    </row>
    <row r="843" spans="1:41" ht="14.25" customHeight="1" x14ac:dyDescent="0.2">
      <c r="A843" s="136" t="s">
        <v>5032</v>
      </c>
      <c r="B843" s="4">
        <v>9</v>
      </c>
      <c r="C843" s="4" t="s">
        <v>4969</v>
      </c>
      <c r="D843" s="201" t="s">
        <v>5967</v>
      </c>
      <c r="E843" s="4">
        <v>2604</v>
      </c>
      <c r="F843" s="4" t="s">
        <v>5968</v>
      </c>
      <c r="G843" s="188" t="s">
        <v>5969</v>
      </c>
      <c r="H843" s="4" t="s">
        <v>5970</v>
      </c>
      <c r="I843" s="4" t="s">
        <v>641</v>
      </c>
      <c r="J843" s="4" t="s">
        <v>5198</v>
      </c>
      <c r="K843" s="4">
        <v>1</v>
      </c>
      <c r="L843" s="4">
        <v>3007</v>
      </c>
      <c r="M843" s="223"/>
      <c r="U843"/>
    </row>
    <row r="844" spans="1:41" ht="14.25" customHeight="1" x14ac:dyDescent="0.2">
      <c r="A844" s="136" t="s">
        <v>5032</v>
      </c>
      <c r="B844" s="4">
        <v>9</v>
      </c>
      <c r="C844" s="4" t="s">
        <v>4969</v>
      </c>
      <c r="D844" s="200" t="s">
        <v>5971</v>
      </c>
      <c r="E844" s="4">
        <v>12324</v>
      </c>
      <c r="F844" s="188" t="s">
        <v>5972</v>
      </c>
      <c r="G844" s="4" t="s">
        <v>5973</v>
      </c>
      <c r="H844" s="4" t="s">
        <v>5655</v>
      </c>
      <c r="I844" s="4" t="s">
        <v>641</v>
      </c>
      <c r="J844" s="4" t="s">
        <v>5073</v>
      </c>
      <c r="K844" s="4">
        <v>1</v>
      </c>
      <c r="L844" s="4">
        <v>14379</v>
      </c>
      <c r="M844" s="223"/>
      <c r="U844"/>
    </row>
    <row r="845" spans="1:41" ht="14.25" customHeight="1" x14ac:dyDescent="0.2">
      <c r="A845" s="136" t="s">
        <v>5728</v>
      </c>
      <c r="B845" s="4">
        <v>9</v>
      </c>
      <c r="C845" s="9" t="s">
        <v>4969</v>
      </c>
      <c r="D845" s="201" t="s">
        <v>5381</v>
      </c>
      <c r="E845" s="4">
        <v>1573</v>
      </c>
      <c r="F845" s="188" t="s">
        <v>5382</v>
      </c>
      <c r="G845" s="201" t="s">
        <v>5383</v>
      </c>
      <c r="H845" s="4" t="s">
        <v>5384</v>
      </c>
      <c r="I845" s="4" t="s">
        <v>641</v>
      </c>
      <c r="J845" s="4" t="s">
        <v>5083</v>
      </c>
      <c r="K845" s="4">
        <v>1</v>
      </c>
      <c r="L845" s="4">
        <v>1976</v>
      </c>
      <c r="M845" s="6"/>
      <c r="U845"/>
      <c r="AK845" s="9"/>
    </row>
    <row r="846" spans="1:41" ht="14.25" customHeight="1" x14ac:dyDescent="0.2">
      <c r="A846" s="136" t="s">
        <v>5728</v>
      </c>
      <c r="B846" s="4">
        <v>9</v>
      </c>
      <c r="C846" s="4" t="s">
        <v>4969</v>
      </c>
      <c r="D846" s="201" t="s">
        <v>5729</v>
      </c>
      <c r="E846" s="4">
        <v>2603</v>
      </c>
      <c r="F846" s="188" t="s">
        <v>5730</v>
      </c>
      <c r="G846" s="201" t="s">
        <v>5731</v>
      </c>
      <c r="H846" s="4" t="s">
        <v>5732</v>
      </c>
      <c r="I846" s="4" t="s">
        <v>641</v>
      </c>
      <c r="J846" s="4" t="s">
        <v>5073</v>
      </c>
      <c r="K846" s="4">
        <v>1</v>
      </c>
      <c r="L846" s="4">
        <v>3006</v>
      </c>
      <c r="M846" s="6"/>
      <c r="U846"/>
      <c r="AK846" s="9"/>
    </row>
    <row r="847" spans="1:41" ht="14.25" customHeight="1" x14ac:dyDescent="0.2">
      <c r="A847" s="136" t="s">
        <v>5728</v>
      </c>
      <c r="B847" s="4">
        <v>9</v>
      </c>
      <c r="C847" s="4" t="s">
        <v>4969</v>
      </c>
      <c r="D847" s="201" t="s">
        <v>5746</v>
      </c>
      <c r="E847" s="4">
        <v>3282</v>
      </c>
      <c r="F847" s="188" t="s">
        <v>5747</v>
      </c>
      <c r="G847" s="201" t="s">
        <v>5748</v>
      </c>
      <c r="H847" s="4" t="s">
        <v>5749</v>
      </c>
      <c r="I847" s="4" t="s">
        <v>49</v>
      </c>
      <c r="J847" s="4" t="s">
        <v>5750</v>
      </c>
      <c r="K847" s="4">
        <v>1</v>
      </c>
      <c r="L847" s="4">
        <v>4121</v>
      </c>
      <c r="M847" s="6"/>
      <c r="U847"/>
      <c r="AK847" s="9"/>
      <c r="AO847" s="9"/>
    </row>
    <row r="848" spans="1:41" ht="14.25" customHeight="1" x14ac:dyDescent="0.2">
      <c r="A848" s="136" t="s">
        <v>5728</v>
      </c>
      <c r="B848" s="4">
        <v>9</v>
      </c>
      <c r="C848" s="4" t="s">
        <v>4969</v>
      </c>
      <c r="D848" s="201" t="s">
        <v>5774</v>
      </c>
      <c r="E848" s="4">
        <v>2649</v>
      </c>
      <c r="F848" s="188" t="s">
        <v>5775</v>
      </c>
      <c r="G848" s="201" t="s">
        <v>5776</v>
      </c>
      <c r="H848" s="4" t="s">
        <v>5777</v>
      </c>
      <c r="I848" s="4" t="s">
        <v>641</v>
      </c>
      <c r="J848" s="4" t="s">
        <v>5037</v>
      </c>
      <c r="K848" s="4">
        <v>1</v>
      </c>
      <c r="L848" s="4">
        <v>3052</v>
      </c>
      <c r="M848" s="6"/>
      <c r="U848"/>
      <c r="AK848" s="9"/>
    </row>
    <row r="849" spans="1:41" ht="14.25" customHeight="1" x14ac:dyDescent="0.2">
      <c r="A849" s="136" t="s">
        <v>5115</v>
      </c>
      <c r="B849" s="4">
        <v>9</v>
      </c>
      <c r="C849" s="9" t="s">
        <v>4969</v>
      </c>
      <c r="D849" s="201" t="s">
        <v>5116</v>
      </c>
      <c r="E849" s="4">
        <v>2615</v>
      </c>
      <c r="F849" s="188" t="s">
        <v>5117</v>
      </c>
      <c r="G849" s="4" t="s">
        <v>5118</v>
      </c>
      <c r="H849" s="4" t="s">
        <v>5119</v>
      </c>
      <c r="I849" s="4" t="s">
        <v>641</v>
      </c>
      <c r="J849" s="4" t="s">
        <v>5048</v>
      </c>
      <c r="K849" s="4">
        <v>1</v>
      </c>
      <c r="L849" s="4">
        <v>3018</v>
      </c>
      <c r="M849" s="6"/>
      <c r="U849"/>
      <c r="AK849" s="9"/>
    </row>
    <row r="850" spans="1:41" ht="14.25" customHeight="1" x14ac:dyDescent="0.2">
      <c r="A850" s="136" t="s">
        <v>4968</v>
      </c>
      <c r="B850" s="4">
        <v>9</v>
      </c>
      <c r="C850" s="4" t="s">
        <v>4969</v>
      </c>
      <c r="D850" s="201" t="s">
        <v>4970</v>
      </c>
      <c r="E850" s="4">
        <v>13010</v>
      </c>
      <c r="F850" s="10" t="s">
        <v>4971</v>
      </c>
      <c r="G850" s="4" t="s">
        <v>4972</v>
      </c>
      <c r="H850" s="4" t="s">
        <v>4973</v>
      </c>
      <c r="I850" s="4" t="s">
        <v>49</v>
      </c>
      <c r="J850" s="4" t="s">
        <v>4974</v>
      </c>
      <c r="K850" s="4">
        <v>1</v>
      </c>
      <c r="L850" s="4">
        <v>14942</v>
      </c>
      <c r="M850" s="6"/>
      <c r="U850"/>
      <c r="V850" s="9"/>
      <c r="W850" s="9"/>
      <c r="X850" s="9"/>
      <c r="Y850" s="9"/>
      <c r="Z850" s="70"/>
      <c r="AA850" s="9"/>
      <c r="AB850" s="11"/>
      <c r="AC850" s="9"/>
      <c r="AK850" s="9"/>
    </row>
    <row r="851" spans="1:41" ht="14.25" customHeight="1" x14ac:dyDescent="0.2">
      <c r="A851" s="136" t="s">
        <v>4968</v>
      </c>
      <c r="B851" s="4">
        <v>9</v>
      </c>
      <c r="C851" s="4" t="s">
        <v>4969</v>
      </c>
      <c r="D851" s="201" t="s">
        <v>4975</v>
      </c>
      <c r="E851" s="4">
        <v>12947</v>
      </c>
      <c r="F851" s="10" t="s">
        <v>4976</v>
      </c>
      <c r="G851" s="4" t="s">
        <v>4977</v>
      </c>
      <c r="H851" s="4" t="s">
        <v>4978</v>
      </c>
      <c r="I851" s="4" t="s">
        <v>49</v>
      </c>
      <c r="J851" s="4" t="s">
        <v>4979</v>
      </c>
      <c r="K851" s="4">
        <v>1</v>
      </c>
      <c r="L851" s="4">
        <v>14879</v>
      </c>
      <c r="M851" s="6"/>
      <c r="U851"/>
      <c r="V851" s="9"/>
      <c r="W851" s="9"/>
      <c r="X851" s="9"/>
      <c r="Y851" s="9"/>
      <c r="Z851" s="70"/>
      <c r="AA851" s="9"/>
      <c r="AB851" s="11"/>
      <c r="AC851" s="9"/>
      <c r="AK851" s="9"/>
    </row>
    <row r="852" spans="1:41" ht="14.25" customHeight="1" x14ac:dyDescent="0.2">
      <c r="A852" s="136" t="s">
        <v>4968</v>
      </c>
      <c r="B852" s="4">
        <v>9</v>
      </c>
      <c r="C852" s="4" t="s">
        <v>4969</v>
      </c>
      <c r="D852" s="201" t="s">
        <v>5778</v>
      </c>
      <c r="E852" s="4">
        <v>12257</v>
      </c>
      <c r="F852" s="8" t="s">
        <v>5779</v>
      </c>
      <c r="G852" s="4" t="s">
        <v>5780</v>
      </c>
      <c r="H852" s="4" t="s">
        <v>5781</v>
      </c>
      <c r="I852" s="4" t="s">
        <v>641</v>
      </c>
      <c r="J852" s="4" t="s">
        <v>5073</v>
      </c>
      <c r="K852" s="4">
        <v>1</v>
      </c>
      <c r="L852" s="4">
        <v>14312</v>
      </c>
      <c r="M852" s="6"/>
      <c r="U852"/>
      <c r="AK852" s="9"/>
      <c r="AO852" s="9"/>
    </row>
    <row r="853" spans="1:41" ht="14.25" customHeight="1" x14ac:dyDescent="0.2">
      <c r="A853" s="136" t="s">
        <v>4968</v>
      </c>
      <c r="B853" s="4">
        <v>9</v>
      </c>
      <c r="C853" s="4" t="s">
        <v>4969</v>
      </c>
      <c r="D853" s="201" t="s">
        <v>5930</v>
      </c>
      <c r="E853" s="4">
        <v>12310</v>
      </c>
      <c r="F853" s="8" t="s">
        <v>5931</v>
      </c>
      <c r="G853" s="4" t="s">
        <v>5932</v>
      </c>
      <c r="H853" s="4" t="s">
        <v>5325</v>
      </c>
      <c r="I853" s="4" t="s">
        <v>641</v>
      </c>
      <c r="J853" s="4" t="s">
        <v>5073</v>
      </c>
      <c r="K853" s="4">
        <v>1</v>
      </c>
      <c r="L853" s="4">
        <v>14365</v>
      </c>
      <c r="M853" s="223"/>
      <c r="U853"/>
    </row>
    <row r="854" spans="1:41" ht="14.25" customHeight="1" x14ac:dyDescent="0.2">
      <c r="A854" s="136" t="s">
        <v>4968</v>
      </c>
      <c r="B854" s="4">
        <v>9</v>
      </c>
      <c r="C854" s="4" t="s">
        <v>4969</v>
      </c>
      <c r="D854" s="200" t="s">
        <v>5959</v>
      </c>
      <c r="E854" s="4">
        <v>1565</v>
      </c>
      <c r="F854" s="8" t="s">
        <v>5960</v>
      </c>
      <c r="G854" s="4" t="s">
        <v>5961</v>
      </c>
      <c r="H854" s="4" t="s">
        <v>5962</v>
      </c>
      <c r="I854" s="4" t="s">
        <v>641</v>
      </c>
      <c r="J854" s="4" t="s">
        <v>5073</v>
      </c>
      <c r="K854" s="4">
        <v>1</v>
      </c>
      <c r="L854" s="4">
        <v>1968</v>
      </c>
      <c r="M854" s="223"/>
      <c r="U854"/>
    </row>
    <row r="855" spans="1:41" ht="14.25" customHeight="1" x14ac:dyDescent="0.2">
      <c r="A855" s="136" t="s">
        <v>4984</v>
      </c>
      <c r="B855" s="4">
        <v>9</v>
      </c>
      <c r="C855" s="4" t="s">
        <v>4969</v>
      </c>
      <c r="D855" s="201" t="s">
        <v>4985</v>
      </c>
      <c r="E855" s="4">
        <v>12950</v>
      </c>
      <c r="F855" s="10" t="s">
        <v>4986</v>
      </c>
      <c r="G855" s="201" t="s">
        <v>4987</v>
      </c>
      <c r="H855" s="4" t="s">
        <v>4978</v>
      </c>
      <c r="I855" s="4" t="s">
        <v>49</v>
      </c>
      <c r="J855" s="4" t="s">
        <v>4974</v>
      </c>
      <c r="K855" s="4">
        <v>1</v>
      </c>
      <c r="L855" s="4">
        <v>14882</v>
      </c>
      <c r="M855" s="6"/>
      <c r="U855"/>
      <c r="V855" s="9"/>
      <c r="W855" s="9"/>
      <c r="X855" s="9"/>
      <c r="Y855" s="9"/>
      <c r="Z855" s="70"/>
      <c r="AA855" s="9"/>
      <c r="AB855" s="11"/>
      <c r="AC855" s="9"/>
      <c r="AK855" s="9"/>
    </row>
    <row r="856" spans="1:41" ht="14.25" customHeight="1" x14ac:dyDescent="0.2">
      <c r="A856" s="136" t="s">
        <v>4984</v>
      </c>
      <c r="B856" s="4">
        <v>9</v>
      </c>
      <c r="C856" s="4" t="s">
        <v>4969</v>
      </c>
      <c r="D856" s="201" t="s">
        <v>4991</v>
      </c>
      <c r="E856" s="4">
        <v>13025</v>
      </c>
      <c r="F856" s="10" t="s">
        <v>4992</v>
      </c>
      <c r="G856" s="201" t="s">
        <v>4993</v>
      </c>
      <c r="H856" s="4" t="s">
        <v>4994</v>
      </c>
      <c r="I856" s="4" t="s">
        <v>49</v>
      </c>
      <c r="J856" s="4" t="s">
        <v>4979</v>
      </c>
      <c r="K856" s="4">
        <v>1</v>
      </c>
      <c r="L856" s="4">
        <v>14957</v>
      </c>
      <c r="M856" s="6"/>
      <c r="U856"/>
      <c r="V856" s="9"/>
      <c r="W856" s="9"/>
      <c r="X856" s="9"/>
      <c r="Y856" s="9"/>
      <c r="Z856" s="70"/>
      <c r="AA856" s="9"/>
      <c r="AB856" s="11"/>
      <c r="AC856" s="9"/>
      <c r="AK856" s="9"/>
    </row>
    <row r="857" spans="1:41" ht="14.25" customHeight="1" x14ac:dyDescent="0.2">
      <c r="A857" s="136" t="s">
        <v>4984</v>
      </c>
      <c r="B857" s="4">
        <v>9</v>
      </c>
      <c r="C857" s="4" t="s">
        <v>4969</v>
      </c>
      <c r="D857" s="201" t="s">
        <v>5006</v>
      </c>
      <c r="E857" s="4">
        <v>13006</v>
      </c>
      <c r="F857" s="10" t="s">
        <v>5007</v>
      </c>
      <c r="G857" s="201" t="s">
        <v>5008</v>
      </c>
      <c r="H857" s="4" t="s">
        <v>5009</v>
      </c>
      <c r="I857" s="4" t="s">
        <v>49</v>
      </c>
      <c r="J857" s="4" t="s">
        <v>4979</v>
      </c>
      <c r="K857" s="4">
        <v>1</v>
      </c>
      <c r="L857" s="4">
        <v>14938</v>
      </c>
      <c r="M857" s="6"/>
      <c r="U857"/>
      <c r="V857" s="9"/>
      <c r="W857" s="9"/>
      <c r="X857" s="9"/>
      <c r="Y857" s="9"/>
      <c r="Z857" s="70"/>
      <c r="AA857" s="9"/>
      <c r="AB857" s="11"/>
      <c r="AC857" s="9"/>
      <c r="AK857" s="9"/>
    </row>
    <row r="858" spans="1:41" ht="14.25" customHeight="1" x14ac:dyDescent="0.2">
      <c r="A858" s="136" t="s">
        <v>4984</v>
      </c>
      <c r="B858" s="4">
        <v>9</v>
      </c>
      <c r="C858" s="4" t="s">
        <v>4969</v>
      </c>
      <c r="D858" s="24" t="s">
        <v>5013</v>
      </c>
      <c r="E858" s="4">
        <v>13005</v>
      </c>
      <c r="F858" s="10" t="s">
        <v>5014</v>
      </c>
      <c r="G858" s="201" t="s">
        <v>5015</v>
      </c>
      <c r="H858" s="4" t="s">
        <v>5016</v>
      </c>
      <c r="I858" s="4" t="s">
        <v>49</v>
      </c>
      <c r="J858" s="4" t="s">
        <v>4979</v>
      </c>
      <c r="K858" s="4">
        <v>1</v>
      </c>
      <c r="L858" s="4">
        <v>14937</v>
      </c>
      <c r="M858" s="6"/>
      <c r="U858"/>
      <c r="V858" s="9"/>
      <c r="W858" s="9"/>
      <c r="X858" s="9"/>
      <c r="Y858" s="224"/>
      <c r="Z858" s="70"/>
      <c r="AA858" s="9"/>
      <c r="AB858" s="11"/>
      <c r="AC858" s="9"/>
      <c r="AK858" s="9"/>
    </row>
    <row r="859" spans="1:41" ht="14.25" customHeight="1" x14ac:dyDescent="0.2">
      <c r="A859" s="136" t="s">
        <v>4984</v>
      </c>
      <c r="B859" s="4">
        <v>9</v>
      </c>
      <c r="C859" s="4" t="s">
        <v>4969</v>
      </c>
      <c r="D859" s="200" t="s">
        <v>5017</v>
      </c>
      <c r="E859" s="4">
        <v>12948</v>
      </c>
      <c r="F859" s="10" t="s">
        <v>5018</v>
      </c>
      <c r="G859" s="294" t="s">
        <v>5019</v>
      </c>
      <c r="H859" s="4" t="s">
        <v>4978</v>
      </c>
      <c r="I859" s="4" t="s">
        <v>49</v>
      </c>
      <c r="J859" s="4" t="s">
        <v>4979</v>
      </c>
      <c r="K859" s="4">
        <v>1</v>
      </c>
      <c r="L859" s="4">
        <v>14880</v>
      </c>
      <c r="M859" s="6"/>
      <c r="U859"/>
      <c r="V859" s="9"/>
      <c r="W859" s="9"/>
      <c r="X859" s="9"/>
      <c r="Y859" s="9"/>
      <c r="Z859" s="70"/>
      <c r="AA859" s="9"/>
      <c r="AB859" s="11"/>
      <c r="AC859" s="9"/>
      <c r="AK859" s="9"/>
    </row>
    <row r="860" spans="1:41" ht="14.25" customHeight="1" x14ac:dyDescent="0.2">
      <c r="A860" s="136" t="s">
        <v>4984</v>
      </c>
      <c r="B860" s="4">
        <v>9</v>
      </c>
      <c r="C860" s="4" t="s">
        <v>4969</v>
      </c>
      <c r="D860" s="201" t="s">
        <v>5020</v>
      </c>
      <c r="E860" s="4">
        <v>13087</v>
      </c>
      <c r="F860" s="10" t="s">
        <v>5021</v>
      </c>
      <c r="G860" s="201" t="s">
        <v>5022</v>
      </c>
      <c r="H860" s="4" t="s">
        <v>5023</v>
      </c>
      <c r="I860" s="4" t="s">
        <v>49</v>
      </c>
      <c r="J860" s="4" t="s">
        <v>4979</v>
      </c>
      <c r="K860" s="4">
        <v>1</v>
      </c>
      <c r="L860" s="4">
        <v>15009</v>
      </c>
      <c r="M860" s="6"/>
      <c r="U860"/>
      <c r="V860" s="9"/>
      <c r="W860" s="9"/>
      <c r="X860" s="9"/>
      <c r="Y860" s="9"/>
      <c r="Z860" s="70"/>
      <c r="AA860" s="9"/>
      <c r="AB860" s="11"/>
      <c r="AC860" s="9"/>
      <c r="AK860" s="9"/>
    </row>
    <row r="861" spans="1:41" ht="14.25" customHeight="1" x14ac:dyDescent="0.2">
      <c r="A861" s="136" t="s">
        <v>4984</v>
      </c>
      <c r="B861" s="4">
        <v>9</v>
      </c>
      <c r="C861" s="4" t="s">
        <v>4969</v>
      </c>
      <c r="D861" s="201" t="s">
        <v>5024</v>
      </c>
      <c r="E861" s="4">
        <v>13088</v>
      </c>
      <c r="F861" s="10" t="s">
        <v>5025</v>
      </c>
      <c r="G861" s="201" t="s">
        <v>5026</v>
      </c>
      <c r="H861" s="4" t="s">
        <v>5027</v>
      </c>
      <c r="I861" s="4" t="s">
        <v>49</v>
      </c>
      <c r="J861" s="4" t="s">
        <v>4979</v>
      </c>
      <c r="K861" s="4">
        <v>1</v>
      </c>
      <c r="L861" s="4">
        <v>15010</v>
      </c>
      <c r="M861" s="6"/>
      <c r="U861"/>
      <c r="V861" s="9"/>
      <c r="W861" s="9"/>
      <c r="X861" s="9"/>
      <c r="Y861" s="9"/>
      <c r="Z861" s="70"/>
      <c r="AA861" s="9"/>
      <c r="AB861" s="11"/>
      <c r="AC861" s="9"/>
      <c r="AK861" s="9"/>
    </row>
    <row r="862" spans="1:41" ht="14.25" customHeight="1" x14ac:dyDescent="0.2">
      <c r="A862" s="136" t="s">
        <v>4984</v>
      </c>
      <c r="B862" s="4">
        <v>9</v>
      </c>
      <c r="C862" s="4" t="s">
        <v>4969</v>
      </c>
      <c r="D862" s="201" t="s">
        <v>5028</v>
      </c>
      <c r="E862" s="4">
        <v>13037</v>
      </c>
      <c r="F862" s="10" t="s">
        <v>5029</v>
      </c>
      <c r="G862" s="201" t="s">
        <v>5030</v>
      </c>
      <c r="H862" s="4" t="s">
        <v>5031</v>
      </c>
      <c r="I862" s="4" t="s">
        <v>49</v>
      </c>
      <c r="J862" s="4" t="s">
        <v>4979</v>
      </c>
      <c r="K862" s="4">
        <v>1</v>
      </c>
      <c r="L862" s="4">
        <v>14969</v>
      </c>
      <c r="M862" s="6"/>
      <c r="U862"/>
      <c r="V862" s="9"/>
      <c r="W862" s="9"/>
      <c r="X862" s="9"/>
      <c r="Y862" s="9"/>
      <c r="Z862" s="70"/>
      <c r="AA862" s="9"/>
      <c r="AB862" s="11"/>
      <c r="AC862" s="9"/>
      <c r="AK862" s="9"/>
    </row>
    <row r="863" spans="1:41" ht="14.25" customHeight="1" x14ac:dyDescent="0.2">
      <c r="A863" s="136" t="s">
        <v>4984</v>
      </c>
      <c r="B863" s="4">
        <v>9</v>
      </c>
      <c r="C863" s="201" t="s">
        <v>5039</v>
      </c>
      <c r="D863" s="200" t="s">
        <v>5652</v>
      </c>
      <c r="E863" s="4">
        <v>12208</v>
      </c>
      <c r="F863" s="8" t="s">
        <v>5653</v>
      </c>
      <c r="G863" s="201" t="s">
        <v>5654</v>
      </c>
      <c r="H863" s="4" t="s">
        <v>5655</v>
      </c>
      <c r="I863" s="4" t="s">
        <v>641</v>
      </c>
      <c r="J863" s="4" t="s">
        <v>4974</v>
      </c>
      <c r="K863" s="4">
        <v>1</v>
      </c>
      <c r="L863" s="4">
        <v>14263</v>
      </c>
      <c r="M863" s="6"/>
      <c r="U863"/>
      <c r="AK863" s="9"/>
    </row>
    <row r="864" spans="1:41" ht="14.25" customHeight="1" x14ac:dyDescent="0.2">
      <c r="A864" s="136" t="s">
        <v>4984</v>
      </c>
      <c r="B864" s="4">
        <v>9</v>
      </c>
      <c r="C864" s="4" t="s">
        <v>4969</v>
      </c>
      <c r="D864" s="201" t="s">
        <v>5854</v>
      </c>
      <c r="E864" s="4">
        <v>12454</v>
      </c>
      <c r="F864" s="8" t="s">
        <v>5855</v>
      </c>
      <c r="G864" s="36" t="s">
        <v>5856</v>
      </c>
      <c r="H864" s="4" t="s">
        <v>5857</v>
      </c>
      <c r="I864" s="4" t="s">
        <v>49</v>
      </c>
      <c r="J864" s="4" t="s">
        <v>5073</v>
      </c>
      <c r="K864" s="4">
        <v>1</v>
      </c>
      <c r="L864" s="4">
        <v>14476</v>
      </c>
      <c r="M864" s="6"/>
      <c r="U864"/>
      <c r="AK864" s="9"/>
    </row>
    <row r="865" spans="1:72" ht="14.25" customHeight="1" x14ac:dyDescent="0.2">
      <c r="A865" s="145" t="s">
        <v>88</v>
      </c>
      <c r="B865" s="4">
        <v>36</v>
      </c>
      <c r="C865" s="4" t="s">
        <v>44</v>
      </c>
      <c r="D865" s="4" t="s">
        <v>89</v>
      </c>
      <c r="E865" s="4">
        <v>12617</v>
      </c>
      <c r="F865" s="188" t="s">
        <v>90</v>
      </c>
      <c r="G865" s="201" t="s">
        <v>91</v>
      </c>
      <c r="H865" s="4" t="s">
        <v>92</v>
      </c>
      <c r="I865" s="4" t="s">
        <v>49</v>
      </c>
      <c r="J865" s="4" t="s">
        <v>78</v>
      </c>
      <c r="K865" s="4">
        <v>1</v>
      </c>
      <c r="L865" s="4">
        <v>14639</v>
      </c>
      <c r="M865" s="193">
        <v>48.516159999999999</v>
      </c>
      <c r="N865" s="4">
        <v>-123.764438</v>
      </c>
      <c r="O865" s="4" t="s">
        <v>51</v>
      </c>
      <c r="P865" s="4" t="s">
        <v>89</v>
      </c>
      <c r="Q865" s="4">
        <v>3</v>
      </c>
      <c r="R865" s="4" t="s">
        <v>90</v>
      </c>
      <c r="S865" s="4" t="s">
        <v>44</v>
      </c>
      <c r="T865" s="4">
        <v>512</v>
      </c>
      <c r="U865"/>
      <c r="V865" s="4" t="s">
        <v>93</v>
      </c>
      <c r="W865" s="4">
        <v>43048</v>
      </c>
      <c r="X865" s="4" t="s">
        <v>53</v>
      </c>
      <c r="Y865" s="4" t="s">
        <v>54</v>
      </c>
      <c r="AA865" s="4" t="s">
        <v>55</v>
      </c>
      <c r="AB865" s="4" t="s">
        <v>56</v>
      </c>
      <c r="AC865" s="4" t="s">
        <v>94</v>
      </c>
      <c r="AD865" s="4" t="s">
        <v>58</v>
      </c>
      <c r="AH865" s="4" t="s">
        <v>59</v>
      </c>
    </row>
    <row r="866" spans="1:72" ht="14.25" customHeight="1" x14ac:dyDescent="0.2">
      <c r="A866" s="145" t="s">
        <v>88</v>
      </c>
      <c r="B866" s="4">
        <v>2</v>
      </c>
      <c r="C866" s="4" t="s">
        <v>637</v>
      </c>
      <c r="D866" s="4">
        <v>14096</v>
      </c>
      <c r="E866" s="4">
        <v>12998</v>
      </c>
      <c r="F866" s="188" t="s">
        <v>718</v>
      </c>
      <c r="G866" s="36" t="s">
        <v>719</v>
      </c>
      <c r="H866" s="4" t="s">
        <v>720</v>
      </c>
      <c r="I866" s="4" t="s">
        <v>49</v>
      </c>
      <c r="J866" s="4" t="s">
        <v>721</v>
      </c>
      <c r="K866" s="4">
        <v>1</v>
      </c>
      <c r="L866" s="4">
        <v>14930</v>
      </c>
      <c r="M866" s="222">
        <v>49.16187</v>
      </c>
      <c r="N866" s="201">
        <v>-122.94392000000001</v>
      </c>
      <c r="O866" s="201" t="s">
        <v>183</v>
      </c>
      <c r="P866" s="201">
        <v>14094</v>
      </c>
      <c r="Q866" s="201"/>
      <c r="R866" s="201" t="s">
        <v>722</v>
      </c>
      <c r="S866" s="201"/>
      <c r="T866" s="201"/>
      <c r="U866" s="201">
        <v>130</v>
      </c>
      <c r="Z866" s="201"/>
      <c r="AA866" s="201" t="s">
        <v>723</v>
      </c>
    </row>
    <row r="867" spans="1:72" ht="14.25" customHeight="1" x14ac:dyDescent="0.2">
      <c r="A867" s="145" t="s">
        <v>88</v>
      </c>
      <c r="B867" s="4">
        <v>2</v>
      </c>
      <c r="C867" s="4" t="s">
        <v>637</v>
      </c>
      <c r="D867" s="4">
        <v>14097</v>
      </c>
      <c r="E867" s="4">
        <v>12999</v>
      </c>
      <c r="F867" s="188" t="s">
        <v>724</v>
      </c>
      <c r="G867" s="201" t="s">
        <v>725</v>
      </c>
      <c r="H867" s="4" t="s">
        <v>720</v>
      </c>
      <c r="I867" s="4" t="s">
        <v>49</v>
      </c>
      <c r="J867" s="4" t="s">
        <v>726</v>
      </c>
      <c r="K867" s="4">
        <v>1</v>
      </c>
      <c r="L867" s="4">
        <v>14931</v>
      </c>
      <c r="M867" s="222">
        <v>49.161799999999999</v>
      </c>
      <c r="N867" s="201">
        <v>-122.94391</v>
      </c>
      <c r="O867" s="201" t="s">
        <v>183</v>
      </c>
      <c r="P867" s="201">
        <v>14095</v>
      </c>
      <c r="Q867" s="201"/>
      <c r="R867" s="201" t="s">
        <v>727</v>
      </c>
      <c r="S867" s="201"/>
      <c r="T867" s="201"/>
      <c r="U867" s="201">
        <v>80</v>
      </c>
      <c r="Z867" s="201"/>
      <c r="AA867" s="201" t="s">
        <v>728</v>
      </c>
    </row>
    <row r="868" spans="1:72" ht="14.25" customHeight="1" x14ac:dyDescent="0.2">
      <c r="A868" s="145" t="s">
        <v>912</v>
      </c>
      <c r="B868" s="4">
        <v>2</v>
      </c>
      <c r="C868" s="4" t="s">
        <v>637</v>
      </c>
      <c r="D868" s="4">
        <v>26224</v>
      </c>
      <c r="E868" s="4">
        <v>2733</v>
      </c>
      <c r="F868" s="188" t="s">
        <v>913</v>
      </c>
      <c r="G868" s="201" t="s">
        <v>914</v>
      </c>
      <c r="H868" s="4" t="s">
        <v>915</v>
      </c>
      <c r="I868" s="4" t="s">
        <v>641</v>
      </c>
      <c r="J868" s="4" t="s">
        <v>755</v>
      </c>
      <c r="K868" s="4">
        <v>1</v>
      </c>
      <c r="L868" s="4">
        <v>3476</v>
      </c>
      <c r="M868" s="222">
        <v>50.379779999999997</v>
      </c>
      <c r="N868" s="201">
        <v>-122.47403</v>
      </c>
      <c r="O868" s="9" t="s">
        <v>142</v>
      </c>
      <c r="P868" s="9">
        <v>26224</v>
      </c>
      <c r="Q868" s="20">
        <v>5</v>
      </c>
      <c r="R868" s="9" t="s">
        <v>913</v>
      </c>
      <c r="S868" s="11" t="s">
        <v>916</v>
      </c>
      <c r="T868" s="9" t="s">
        <v>644</v>
      </c>
      <c r="U868" s="201">
        <v>1250</v>
      </c>
      <c r="Z868" s="9"/>
      <c r="AA868" s="9" t="s">
        <v>917</v>
      </c>
      <c r="AB868" s="9"/>
      <c r="AC868" s="9"/>
      <c r="AD868" s="9"/>
      <c r="AE868" s="9"/>
      <c r="AF868" s="9"/>
      <c r="AG868" s="9"/>
      <c r="AH868" s="9"/>
      <c r="AI868" s="9"/>
    </row>
    <row r="869" spans="1:72" ht="14.25" customHeight="1" x14ac:dyDescent="0.2">
      <c r="A869" s="145" t="s">
        <v>88</v>
      </c>
      <c r="B869" s="4">
        <v>2</v>
      </c>
      <c r="C869" s="4" t="s">
        <v>637</v>
      </c>
      <c r="D869" s="4">
        <v>28071</v>
      </c>
      <c r="E869" s="4">
        <v>12469</v>
      </c>
      <c r="F869" s="188" t="s">
        <v>931</v>
      </c>
      <c r="G869" s="201" t="s">
        <v>932</v>
      </c>
      <c r="H869" s="4" t="s">
        <v>709</v>
      </c>
      <c r="I869" s="4" t="s">
        <v>49</v>
      </c>
      <c r="J869" s="4" t="s">
        <v>933</v>
      </c>
      <c r="K869" s="4">
        <v>1</v>
      </c>
      <c r="L869" s="4">
        <v>14491</v>
      </c>
      <c r="M869" s="6">
        <v>51.146929999999998</v>
      </c>
      <c r="N869" s="9">
        <v>-121.50162</v>
      </c>
      <c r="O869" s="9" t="s">
        <v>148</v>
      </c>
      <c r="P869" s="9">
        <v>28071</v>
      </c>
      <c r="Q869" s="20">
        <v>4</v>
      </c>
      <c r="R869" s="9" t="s">
        <v>931</v>
      </c>
      <c r="S869" s="11" t="s">
        <v>934</v>
      </c>
      <c r="T869" s="9" t="s">
        <v>644</v>
      </c>
      <c r="U869" s="9">
        <v>1049</v>
      </c>
      <c r="Z869" s="9"/>
      <c r="AA869" s="9" t="s">
        <v>935</v>
      </c>
      <c r="AB869" s="9"/>
      <c r="AC869" s="9"/>
      <c r="AD869" s="9"/>
      <c r="AE869" s="9"/>
      <c r="AF869" s="9"/>
      <c r="AG869" s="9"/>
      <c r="AH869" s="9"/>
      <c r="AI869" s="9"/>
    </row>
    <row r="870" spans="1:72" ht="14.25" customHeight="1" x14ac:dyDescent="0.2">
      <c r="A870" s="145" t="s">
        <v>88</v>
      </c>
      <c r="B870" s="4">
        <v>2</v>
      </c>
      <c r="C870" s="4" t="s">
        <v>637</v>
      </c>
      <c r="D870" s="4">
        <v>28072</v>
      </c>
      <c r="E870" s="4">
        <v>12510</v>
      </c>
      <c r="F870" s="188" t="s">
        <v>936</v>
      </c>
      <c r="G870" s="201" t="s">
        <v>937</v>
      </c>
      <c r="H870" s="4" t="s">
        <v>938</v>
      </c>
      <c r="I870" s="4" t="s">
        <v>49</v>
      </c>
      <c r="J870" s="4" t="s">
        <v>939</v>
      </c>
      <c r="K870" s="4">
        <v>1</v>
      </c>
      <c r="L870" s="4">
        <v>14532</v>
      </c>
      <c r="M870" s="222">
        <v>51.192869999999999</v>
      </c>
      <c r="N870" s="201">
        <v>-121.5295</v>
      </c>
      <c r="O870" s="201"/>
      <c r="P870" s="201">
        <v>28072</v>
      </c>
      <c r="Q870" s="201"/>
      <c r="R870" s="201" t="s">
        <v>936</v>
      </c>
      <c r="S870" s="201"/>
      <c r="T870" s="201"/>
      <c r="U870" s="201">
        <v>1093</v>
      </c>
      <c r="Z870" s="201"/>
      <c r="AA870" s="201" t="s">
        <v>940</v>
      </c>
    </row>
    <row r="871" spans="1:72" ht="14.25" customHeight="1" x14ac:dyDescent="0.2">
      <c r="A871" s="145" t="s">
        <v>88</v>
      </c>
      <c r="B871" s="4">
        <v>2</v>
      </c>
      <c r="C871" s="4" t="s">
        <v>637</v>
      </c>
      <c r="D871" s="4">
        <v>33099</v>
      </c>
      <c r="E871" s="4">
        <v>2761</v>
      </c>
      <c r="F871" s="188" t="s">
        <v>997</v>
      </c>
      <c r="G871" s="201" t="s">
        <v>998</v>
      </c>
      <c r="H871" s="4" t="s">
        <v>999</v>
      </c>
      <c r="I871" s="4" t="s">
        <v>641</v>
      </c>
      <c r="J871" s="4" t="s">
        <v>642</v>
      </c>
      <c r="K871" s="4">
        <v>1</v>
      </c>
      <c r="L871" s="4">
        <v>3504</v>
      </c>
      <c r="M871" s="6">
        <v>49.757779999999997</v>
      </c>
      <c r="N871" s="9">
        <v>-119.12639</v>
      </c>
      <c r="O871" s="9" t="s">
        <v>142</v>
      </c>
      <c r="P871" s="9">
        <v>33099</v>
      </c>
      <c r="Q871" s="20">
        <v>4</v>
      </c>
      <c r="R871" s="9" t="s">
        <v>997</v>
      </c>
      <c r="S871" s="11" t="s">
        <v>1000</v>
      </c>
      <c r="T871" s="9" t="s">
        <v>644</v>
      </c>
      <c r="U871" s="9">
        <v>1200</v>
      </c>
      <c r="Z871" s="9"/>
      <c r="AA871" s="9" t="s">
        <v>1001</v>
      </c>
      <c r="AB871" s="9"/>
      <c r="AC871" s="9"/>
      <c r="AD871" s="9"/>
      <c r="AE871" s="9"/>
      <c r="AF871" s="9"/>
      <c r="AG871" s="9"/>
      <c r="AH871" s="9"/>
      <c r="AI871" s="9"/>
    </row>
    <row r="872" spans="1:72" ht="14.25" customHeight="1" x14ac:dyDescent="0.2">
      <c r="A872" s="145" t="s">
        <v>88</v>
      </c>
      <c r="B872" s="4">
        <v>2</v>
      </c>
      <c r="C872" s="4" t="s">
        <v>637</v>
      </c>
      <c r="D872" s="4">
        <v>34126</v>
      </c>
      <c r="E872" s="4">
        <v>2771</v>
      </c>
      <c r="F872" s="188" t="s">
        <v>1016</v>
      </c>
      <c r="G872" s="201" t="s">
        <v>1017</v>
      </c>
      <c r="H872" s="4" t="s">
        <v>1018</v>
      </c>
      <c r="I872" s="4" t="s">
        <v>641</v>
      </c>
      <c r="J872" s="4" t="s">
        <v>755</v>
      </c>
      <c r="K872" s="4">
        <v>1</v>
      </c>
      <c r="L872" s="4">
        <v>3514</v>
      </c>
      <c r="M872" s="6">
        <v>50.046309999999998</v>
      </c>
      <c r="N872" s="9">
        <v>-117.17914</v>
      </c>
      <c r="O872" s="9" t="s">
        <v>170</v>
      </c>
      <c r="P872" s="9">
        <v>34126</v>
      </c>
      <c r="Q872" s="20">
        <v>2</v>
      </c>
      <c r="R872" s="9" t="s">
        <v>1016</v>
      </c>
      <c r="S872" s="11" t="s">
        <v>1019</v>
      </c>
      <c r="T872" s="9" t="s">
        <v>644</v>
      </c>
      <c r="U872" s="201">
        <v>1080</v>
      </c>
      <c r="Z872" s="9" t="s">
        <v>645</v>
      </c>
      <c r="AA872" s="9" t="s">
        <v>1020</v>
      </c>
      <c r="AB872" s="9"/>
      <c r="AC872" s="21"/>
      <c r="AD872" s="9"/>
      <c r="AE872" s="9"/>
      <c r="AF872" s="9"/>
      <c r="AG872" s="9"/>
      <c r="AH872" s="9"/>
      <c r="AI872" s="9"/>
    </row>
    <row r="873" spans="1:72" ht="14.25" customHeight="1" x14ac:dyDescent="0.2">
      <c r="A873" s="145" t="s">
        <v>88</v>
      </c>
      <c r="B873" s="4">
        <v>2</v>
      </c>
      <c r="C873" s="4" t="s">
        <v>637</v>
      </c>
      <c r="D873" s="4">
        <v>36125</v>
      </c>
      <c r="E873" s="4">
        <v>13027</v>
      </c>
      <c r="F873" s="203" t="s">
        <v>1078</v>
      </c>
      <c r="G873" s="201" t="s">
        <v>1079</v>
      </c>
      <c r="H873" s="4" t="s">
        <v>775</v>
      </c>
      <c r="I873" s="4" t="s">
        <v>49</v>
      </c>
      <c r="J873" s="4" t="s">
        <v>1080</v>
      </c>
      <c r="K873" s="4">
        <v>1</v>
      </c>
      <c r="L873" s="4">
        <v>14959</v>
      </c>
      <c r="M873" s="6">
        <v>49.372540000000001</v>
      </c>
      <c r="N873" s="9">
        <v>-115.04689</v>
      </c>
      <c r="O873" s="9" t="s">
        <v>170</v>
      </c>
      <c r="P873" s="9">
        <v>36125</v>
      </c>
      <c r="Q873" s="20">
        <v>7</v>
      </c>
      <c r="R873" s="9" t="s">
        <v>1078</v>
      </c>
      <c r="S873" s="11" t="s">
        <v>1081</v>
      </c>
      <c r="T873" s="9" t="s">
        <v>644</v>
      </c>
      <c r="U873" s="9">
        <v>1998</v>
      </c>
      <c r="V873" s="9"/>
      <c r="W873" s="9"/>
      <c r="X873" s="9"/>
      <c r="Y873" s="9"/>
      <c r="Z873" s="9"/>
      <c r="AA873" s="9" t="s">
        <v>1082</v>
      </c>
      <c r="AB873" s="9"/>
      <c r="AC873" s="9"/>
      <c r="AD873" s="9"/>
      <c r="AE873" s="9"/>
      <c r="AF873" s="9"/>
      <c r="AG873" s="9"/>
      <c r="AH873" s="9"/>
      <c r="AI873" s="9"/>
      <c r="AJ873" s="9"/>
      <c r="AK873" s="9"/>
      <c r="AL873" s="9"/>
      <c r="AM873" s="9"/>
      <c r="AN873" s="9"/>
      <c r="AO873" s="9"/>
      <c r="AP873" s="9"/>
      <c r="AQ873" s="9"/>
      <c r="AR873" s="9"/>
      <c r="AS873" s="9"/>
      <c r="AT873" s="9"/>
      <c r="AU873" s="9"/>
      <c r="AV873" s="9"/>
      <c r="AW873" s="9"/>
      <c r="AX873" s="9"/>
      <c r="AY873" s="9"/>
      <c r="AZ873" s="9"/>
      <c r="BA873" s="9"/>
      <c r="BB873" s="9"/>
      <c r="BC873" s="9"/>
      <c r="BD873" s="9"/>
      <c r="BE873" s="9"/>
      <c r="BF873" s="9"/>
      <c r="BG873" s="9"/>
      <c r="BH873" s="9"/>
      <c r="BI873" s="9"/>
      <c r="BJ873" s="9"/>
      <c r="BK873" s="9"/>
      <c r="BL873" s="9"/>
      <c r="BM873" s="9"/>
      <c r="BN873" s="9"/>
      <c r="BO873" s="9"/>
      <c r="BP873" s="9"/>
      <c r="BQ873" s="9"/>
      <c r="BR873" s="9"/>
      <c r="BS873" s="9"/>
      <c r="BT873" s="9"/>
    </row>
    <row r="874" spans="1:72" ht="14.25" customHeight="1" x14ac:dyDescent="0.2">
      <c r="A874" s="145" t="s">
        <v>912</v>
      </c>
      <c r="B874" s="4">
        <v>2</v>
      </c>
      <c r="C874" s="4" t="s">
        <v>637</v>
      </c>
      <c r="D874" s="4">
        <v>37126</v>
      </c>
      <c r="E874" s="4">
        <v>2800</v>
      </c>
      <c r="F874" s="203" t="s">
        <v>1138</v>
      </c>
      <c r="G874" s="201" t="s">
        <v>1139</v>
      </c>
      <c r="H874" s="4" t="s">
        <v>1140</v>
      </c>
      <c r="I874" s="4" t="s">
        <v>641</v>
      </c>
      <c r="J874" s="4" t="s">
        <v>642</v>
      </c>
      <c r="K874" s="4">
        <v>1</v>
      </c>
      <c r="L874" s="4">
        <v>3543</v>
      </c>
      <c r="M874" s="6">
        <v>51.274830000000001</v>
      </c>
      <c r="N874" s="9">
        <v>-116.76653</v>
      </c>
      <c r="O874" s="9" t="s">
        <v>170</v>
      </c>
      <c r="P874" s="9">
        <v>37126</v>
      </c>
      <c r="Q874" s="20">
        <v>3</v>
      </c>
      <c r="R874" s="9" t="s">
        <v>1138</v>
      </c>
      <c r="S874" s="11" t="s">
        <v>1141</v>
      </c>
      <c r="T874" s="9" t="s">
        <v>644</v>
      </c>
      <c r="U874" s="9">
        <v>1140</v>
      </c>
      <c r="V874" s="9"/>
      <c r="W874" s="9"/>
      <c r="X874" s="9"/>
      <c r="Y874" s="9"/>
      <c r="Z874" s="9" t="s">
        <v>645</v>
      </c>
      <c r="AA874" s="9" t="s">
        <v>1142</v>
      </c>
      <c r="AB874" s="9"/>
      <c r="AC874" s="21"/>
      <c r="AD874" s="9"/>
      <c r="AE874" s="9"/>
      <c r="AF874" s="9"/>
      <c r="AG874" s="9"/>
      <c r="AH874" s="9"/>
      <c r="AI874" s="9"/>
      <c r="AJ874" s="9"/>
      <c r="AK874" s="9"/>
      <c r="AL874" s="9"/>
      <c r="AM874" s="9"/>
      <c r="AN874" s="9"/>
      <c r="AO874" s="9"/>
      <c r="AP874" s="9"/>
      <c r="AQ874" s="9"/>
      <c r="AR874" s="9"/>
      <c r="AS874" s="9"/>
      <c r="AT874" s="9"/>
      <c r="AU874" s="9"/>
      <c r="AV874" s="9"/>
      <c r="AW874" s="9"/>
      <c r="AX874" s="9"/>
      <c r="AY874" s="9"/>
      <c r="AZ874" s="9"/>
      <c r="BA874" s="9"/>
      <c r="BB874" s="9"/>
      <c r="BC874" s="9"/>
      <c r="BD874" s="9"/>
      <c r="BE874" s="9"/>
      <c r="BF874" s="9"/>
      <c r="BG874" s="9"/>
      <c r="BH874" s="9"/>
      <c r="BI874" s="9"/>
      <c r="BJ874" s="9"/>
      <c r="BK874" s="9"/>
      <c r="BL874" s="9"/>
      <c r="BM874" s="9"/>
      <c r="BN874" s="9"/>
      <c r="BO874" s="9"/>
      <c r="BP874" s="9"/>
      <c r="BQ874" s="9"/>
      <c r="BR874" s="9"/>
      <c r="BS874" s="9"/>
      <c r="BT874" s="9"/>
    </row>
    <row r="875" spans="1:72" ht="14.25" customHeight="1" x14ac:dyDescent="0.2">
      <c r="A875" s="145" t="s">
        <v>88</v>
      </c>
      <c r="B875" s="4">
        <v>2</v>
      </c>
      <c r="C875" s="4" t="s">
        <v>637</v>
      </c>
      <c r="D875" s="4">
        <v>37192</v>
      </c>
      <c r="E875" s="4">
        <v>12988</v>
      </c>
      <c r="F875" s="188" t="s">
        <v>1147</v>
      </c>
      <c r="G875" s="201" t="s">
        <v>1148</v>
      </c>
      <c r="H875" s="4" t="s">
        <v>1149</v>
      </c>
      <c r="I875" s="4" t="s">
        <v>49</v>
      </c>
      <c r="J875" s="4" t="s">
        <v>793</v>
      </c>
      <c r="K875" s="4">
        <v>1</v>
      </c>
      <c r="L875" s="4">
        <v>14920</v>
      </c>
      <c r="M875" s="6">
        <v>51.027320000000003</v>
      </c>
      <c r="N875" s="9">
        <v>-116.53516</v>
      </c>
      <c r="O875" s="9" t="s">
        <v>170</v>
      </c>
      <c r="P875" s="9">
        <v>37192</v>
      </c>
      <c r="Q875" s="20">
        <v>1</v>
      </c>
      <c r="R875" s="9" t="s">
        <v>1150</v>
      </c>
      <c r="S875" s="11" t="s">
        <v>1147</v>
      </c>
      <c r="T875" s="9" t="s">
        <v>644</v>
      </c>
      <c r="U875" s="9">
        <v>797</v>
      </c>
      <c r="Z875" s="9"/>
      <c r="AA875" s="9" t="s">
        <v>1151</v>
      </c>
      <c r="AB875" s="9"/>
      <c r="AC875" s="9"/>
      <c r="AD875" s="9"/>
      <c r="AE875" s="9"/>
      <c r="AF875" s="9"/>
      <c r="AG875" s="9"/>
      <c r="AH875" s="9"/>
      <c r="AI875" s="9"/>
    </row>
    <row r="876" spans="1:72" ht="14.25" customHeight="1" x14ac:dyDescent="0.2">
      <c r="A876" s="145" t="s">
        <v>88</v>
      </c>
      <c r="B876" s="4">
        <v>2</v>
      </c>
      <c r="C876" s="4" t="s">
        <v>637</v>
      </c>
      <c r="D876" s="4">
        <v>37223</v>
      </c>
      <c r="E876" s="4">
        <v>12997</v>
      </c>
      <c r="F876" s="188" t="s">
        <v>1164</v>
      </c>
      <c r="G876" s="201" t="s">
        <v>1165</v>
      </c>
      <c r="H876" s="4" t="s">
        <v>720</v>
      </c>
      <c r="I876" s="4" t="s">
        <v>49</v>
      </c>
      <c r="J876" s="4" t="s">
        <v>1080</v>
      </c>
      <c r="K876" s="4">
        <v>1</v>
      </c>
      <c r="L876" s="4">
        <v>14929</v>
      </c>
      <c r="M876" s="6">
        <v>50.430480000000003</v>
      </c>
      <c r="N876" s="9">
        <v>-116.31959999999999</v>
      </c>
      <c r="P876" s="9">
        <v>37223</v>
      </c>
      <c r="R876" s="9" t="s">
        <v>1166</v>
      </c>
      <c r="U876" s="9">
        <v>2250</v>
      </c>
      <c r="AA876" s="9" t="s">
        <v>1167</v>
      </c>
    </row>
    <row r="877" spans="1:72" ht="14.25" customHeight="1" x14ac:dyDescent="0.2">
      <c r="A877" s="145" t="s">
        <v>88</v>
      </c>
      <c r="B877" s="4">
        <v>2</v>
      </c>
      <c r="C877" s="4" t="s">
        <v>637</v>
      </c>
      <c r="D877" s="4">
        <v>38227</v>
      </c>
      <c r="E877" s="4">
        <v>2812</v>
      </c>
      <c r="F877" s="203" t="s">
        <v>1199</v>
      </c>
      <c r="G877" s="201" t="s">
        <v>7849</v>
      </c>
      <c r="H877" s="4" t="s">
        <v>1201</v>
      </c>
      <c r="I877" s="4" t="s">
        <v>641</v>
      </c>
      <c r="J877" s="4" t="s">
        <v>755</v>
      </c>
      <c r="K877" s="4">
        <v>1</v>
      </c>
      <c r="L877" s="4">
        <v>3555</v>
      </c>
      <c r="M877" s="6">
        <v>51.188079999999999</v>
      </c>
      <c r="N877" s="9">
        <v>-117.75615999999999</v>
      </c>
      <c r="O877" s="9" t="s">
        <v>170</v>
      </c>
      <c r="P877" s="9">
        <v>38227</v>
      </c>
      <c r="Q877" s="20">
        <v>1</v>
      </c>
      <c r="R877" s="9" t="s">
        <v>1199</v>
      </c>
      <c r="S877" s="11" t="s">
        <v>1202</v>
      </c>
      <c r="T877" s="9" t="s">
        <v>644</v>
      </c>
      <c r="U877" s="9">
        <v>999</v>
      </c>
      <c r="V877" s="9"/>
      <c r="W877" s="9"/>
      <c r="X877" s="9"/>
      <c r="Y877" s="9"/>
      <c r="Z877" s="9"/>
      <c r="AA877" s="9" t="s">
        <v>1203</v>
      </c>
      <c r="AB877" s="9"/>
      <c r="AC877" s="9"/>
      <c r="AD877" s="9"/>
      <c r="AE877" s="9"/>
      <c r="AF877" s="9"/>
      <c r="AG877" s="9"/>
      <c r="AH877" s="9"/>
      <c r="AI877" s="9"/>
      <c r="AJ877" s="9"/>
      <c r="AK877" s="9"/>
      <c r="AL877" s="9"/>
      <c r="AM877" s="9"/>
      <c r="AN877" s="9"/>
      <c r="AO877" s="9"/>
      <c r="AP877" s="9"/>
      <c r="AQ877" s="9"/>
      <c r="AR877" s="9"/>
      <c r="AS877" s="9"/>
      <c r="AT877" s="9"/>
      <c r="AU877" s="9"/>
      <c r="AV877" s="9"/>
      <c r="AW877" s="9"/>
      <c r="AX877" s="9"/>
      <c r="AY877" s="9"/>
      <c r="AZ877" s="9"/>
      <c r="BA877" s="9"/>
      <c r="BB877" s="9"/>
      <c r="BC877" s="9"/>
      <c r="BD877" s="9"/>
      <c r="BE877" s="9"/>
      <c r="BF877" s="9"/>
      <c r="BG877" s="9"/>
      <c r="BH877" s="9"/>
      <c r="BI877" s="9"/>
      <c r="BJ877" s="9"/>
      <c r="BK877" s="9"/>
      <c r="BL877" s="9"/>
      <c r="BM877" s="9"/>
      <c r="BN877" s="9"/>
      <c r="BO877" s="9"/>
      <c r="BP877" s="9"/>
      <c r="BQ877" s="9"/>
      <c r="BR877" s="9"/>
      <c r="BS877" s="9"/>
      <c r="BT877" s="9"/>
    </row>
    <row r="878" spans="1:72" ht="14.25" customHeight="1" x14ac:dyDescent="0.2">
      <c r="A878" s="145" t="s">
        <v>88</v>
      </c>
      <c r="B878" s="4">
        <v>2</v>
      </c>
      <c r="C878" s="4" t="s">
        <v>637</v>
      </c>
      <c r="D878" s="4">
        <v>38491</v>
      </c>
      <c r="E878" s="4">
        <v>12989</v>
      </c>
      <c r="F878" s="188" t="s">
        <v>1248</v>
      </c>
      <c r="G878" s="201" t="s">
        <v>1249</v>
      </c>
      <c r="H878" s="4" t="s">
        <v>1149</v>
      </c>
      <c r="I878" s="4" t="s">
        <v>49</v>
      </c>
      <c r="J878" s="4" t="s">
        <v>793</v>
      </c>
      <c r="K878" s="4">
        <v>1</v>
      </c>
      <c r="L878" s="4">
        <v>14921</v>
      </c>
      <c r="M878" s="193">
        <v>50.80856</v>
      </c>
      <c r="N878" s="4">
        <v>-118.06795</v>
      </c>
      <c r="O878" s="4" t="s">
        <v>170</v>
      </c>
      <c r="P878" s="4">
        <v>38491</v>
      </c>
      <c r="Q878" s="4">
        <v>1</v>
      </c>
      <c r="R878" s="4" t="s">
        <v>1250</v>
      </c>
      <c r="S878" s="4" t="s">
        <v>1248</v>
      </c>
      <c r="T878" s="4" t="s">
        <v>644</v>
      </c>
      <c r="U878" s="201">
        <v>700</v>
      </c>
      <c r="AA878" s="4" t="s">
        <v>1251</v>
      </c>
    </row>
    <row r="879" spans="1:72" ht="14.25" customHeight="1" x14ac:dyDescent="0.2">
      <c r="A879" s="145" t="s">
        <v>88</v>
      </c>
      <c r="B879" s="4">
        <v>2</v>
      </c>
      <c r="C879" s="4" t="s">
        <v>637</v>
      </c>
      <c r="D879" s="4">
        <v>39291</v>
      </c>
      <c r="E879" s="4">
        <v>12990</v>
      </c>
      <c r="F879" s="188" t="s">
        <v>1278</v>
      </c>
      <c r="G879" s="201" t="s">
        <v>1279</v>
      </c>
      <c r="H879" s="4" t="s">
        <v>1149</v>
      </c>
      <c r="I879" s="4" t="s">
        <v>49</v>
      </c>
      <c r="J879" s="4" t="s">
        <v>793</v>
      </c>
      <c r="K879" s="4">
        <v>1</v>
      </c>
      <c r="L879" s="4">
        <v>14922</v>
      </c>
      <c r="M879" s="6">
        <v>49.10933</v>
      </c>
      <c r="N879" s="9">
        <v>-116.16947</v>
      </c>
      <c r="O879" s="9" t="s">
        <v>170</v>
      </c>
      <c r="P879" s="9">
        <v>39291</v>
      </c>
      <c r="Q879" s="20">
        <v>1</v>
      </c>
      <c r="R879" s="9" t="s">
        <v>1280</v>
      </c>
      <c r="S879" s="11" t="s">
        <v>1278</v>
      </c>
      <c r="T879" s="9" t="s">
        <v>644</v>
      </c>
      <c r="U879" s="9">
        <v>893</v>
      </c>
      <c r="V879" s="9"/>
      <c r="W879" s="9"/>
      <c r="X879" s="9"/>
      <c r="Y879" s="9"/>
      <c r="Z879" s="9"/>
      <c r="AA879" s="9" t="s">
        <v>1281</v>
      </c>
      <c r="AB879" s="9"/>
      <c r="AC879" s="9"/>
      <c r="AD879" s="9"/>
      <c r="AE879" s="9"/>
      <c r="AF879" s="9"/>
      <c r="AG879" s="9"/>
      <c r="AH879" s="9"/>
      <c r="AI879" s="9"/>
      <c r="AJ879" s="9"/>
      <c r="AK879" s="9"/>
      <c r="AL879" s="9"/>
      <c r="AM879" s="9"/>
      <c r="AN879" s="9"/>
      <c r="AO879" s="9"/>
      <c r="AP879" s="9"/>
      <c r="AQ879" s="9"/>
      <c r="AR879" s="9"/>
      <c r="AS879" s="9"/>
      <c r="AT879" s="9"/>
      <c r="AU879" s="9"/>
      <c r="AV879" s="9"/>
      <c r="AW879" s="9"/>
      <c r="AX879" s="9"/>
      <c r="AY879" s="9"/>
      <c r="AZ879" s="9"/>
      <c r="BA879" s="9"/>
      <c r="BB879" s="9"/>
      <c r="BC879" s="9"/>
      <c r="BD879" s="9"/>
      <c r="BE879" s="9"/>
      <c r="BF879" s="9"/>
      <c r="BG879" s="9"/>
      <c r="BH879" s="9"/>
      <c r="BI879" s="9"/>
      <c r="BJ879" s="9"/>
      <c r="BK879" s="9"/>
      <c r="BL879" s="9"/>
      <c r="BM879" s="9"/>
      <c r="BN879" s="9"/>
      <c r="BO879" s="9"/>
      <c r="BP879" s="9"/>
      <c r="BQ879" s="9"/>
      <c r="BR879" s="9"/>
      <c r="BS879" s="9"/>
      <c r="BT879" s="9"/>
    </row>
    <row r="880" spans="1:72" ht="14.25" customHeight="1" x14ac:dyDescent="0.2">
      <c r="A880" s="145" t="s">
        <v>88</v>
      </c>
      <c r="B880" s="4">
        <v>2</v>
      </c>
      <c r="C880" s="4" t="s">
        <v>637</v>
      </c>
      <c r="D880" s="4">
        <v>41091</v>
      </c>
      <c r="E880" s="4">
        <v>2834</v>
      </c>
      <c r="F880" s="188" t="s">
        <v>1282</v>
      </c>
      <c r="G880" s="201" t="s">
        <v>1283</v>
      </c>
      <c r="H880" s="4" t="s">
        <v>1284</v>
      </c>
      <c r="I880" s="4" t="s">
        <v>641</v>
      </c>
      <c r="J880" s="4" t="s">
        <v>642</v>
      </c>
      <c r="K880" s="4">
        <v>1</v>
      </c>
      <c r="L880" s="4">
        <v>3577</v>
      </c>
      <c r="M880" s="222">
        <v>53.439880000000002</v>
      </c>
      <c r="N880" s="201">
        <v>-120.50709000000001</v>
      </c>
      <c r="O880" s="4" t="s">
        <v>170</v>
      </c>
      <c r="P880" s="4">
        <v>41091</v>
      </c>
      <c r="Q880" s="4">
        <v>1</v>
      </c>
      <c r="R880" s="4" t="s">
        <v>1282</v>
      </c>
      <c r="S880" s="4" t="s">
        <v>1285</v>
      </c>
      <c r="T880" s="4" t="s">
        <v>644</v>
      </c>
      <c r="U880" s="201">
        <v>895</v>
      </c>
      <c r="AA880" s="4" t="s">
        <v>1286</v>
      </c>
    </row>
    <row r="881" spans="1:72" ht="14.25" customHeight="1" x14ac:dyDescent="0.2">
      <c r="A881" s="145" t="s">
        <v>912</v>
      </c>
      <c r="B881" s="4">
        <v>2</v>
      </c>
      <c r="C881" s="4" t="s">
        <v>637</v>
      </c>
      <c r="D881" s="4">
        <v>42122</v>
      </c>
      <c r="E881" s="4">
        <v>12485</v>
      </c>
      <c r="F881" s="203" t="s">
        <v>1322</v>
      </c>
      <c r="G881" s="201" t="s">
        <v>1323</v>
      </c>
      <c r="H881" s="4" t="s">
        <v>709</v>
      </c>
      <c r="I881" s="4" t="s">
        <v>49</v>
      </c>
      <c r="J881" s="4" t="s">
        <v>896</v>
      </c>
      <c r="K881" s="4">
        <v>1</v>
      </c>
      <c r="L881" s="4">
        <v>14507</v>
      </c>
      <c r="M881" s="6">
        <v>53.154339999999998</v>
      </c>
      <c r="N881" s="9">
        <v>-121.50458999999999</v>
      </c>
      <c r="O881" s="9" t="s">
        <v>170</v>
      </c>
      <c r="P881" s="9">
        <v>42122</v>
      </c>
      <c r="Q881" s="20">
        <v>3</v>
      </c>
      <c r="R881" s="9" t="s">
        <v>1322</v>
      </c>
      <c r="S881" s="11" t="s">
        <v>1324</v>
      </c>
      <c r="T881" s="9" t="s">
        <v>644</v>
      </c>
      <c r="U881" s="9">
        <v>1199</v>
      </c>
      <c r="V881" s="9"/>
      <c r="W881" s="9"/>
      <c r="X881" s="9"/>
      <c r="Y881" s="9"/>
      <c r="Z881" s="9"/>
      <c r="AA881" s="9" t="s">
        <v>1325</v>
      </c>
      <c r="AB881" s="9"/>
      <c r="AC881" s="9"/>
      <c r="AD881" s="9"/>
      <c r="AE881" s="9"/>
      <c r="AF881" s="9"/>
      <c r="AG881" s="9"/>
      <c r="AH881" s="9"/>
      <c r="AI881" s="9"/>
      <c r="AJ881" s="9"/>
      <c r="AK881" s="9"/>
      <c r="AL881" s="9"/>
      <c r="AM881" s="9"/>
      <c r="AN881" s="9"/>
      <c r="AO881" s="9"/>
      <c r="AP881" s="9"/>
      <c r="AQ881" s="9"/>
      <c r="AR881" s="9"/>
      <c r="AS881" s="9"/>
      <c r="AT881" s="9"/>
      <c r="AU881" s="9"/>
      <c r="AV881" s="9"/>
      <c r="AW881" s="9"/>
      <c r="AX881" s="9"/>
      <c r="AY881" s="9"/>
      <c r="AZ881" s="9"/>
      <c r="BA881" s="9"/>
      <c r="BB881" s="9"/>
      <c r="BC881" s="9"/>
      <c r="BD881" s="9"/>
      <c r="BE881" s="9"/>
      <c r="BF881" s="9"/>
      <c r="BG881" s="9"/>
      <c r="BH881" s="9"/>
      <c r="BI881" s="9"/>
      <c r="BJ881" s="9"/>
      <c r="BK881" s="9"/>
      <c r="BL881" s="9"/>
      <c r="BM881" s="9"/>
      <c r="BN881" s="9"/>
      <c r="BO881" s="9"/>
      <c r="BP881" s="9"/>
      <c r="BQ881" s="9"/>
      <c r="BR881" s="9"/>
      <c r="BS881" s="9"/>
      <c r="BT881" s="9"/>
    </row>
    <row r="882" spans="1:72" ht="14.25" customHeight="1" x14ac:dyDescent="0.2">
      <c r="A882" s="145" t="s">
        <v>88</v>
      </c>
      <c r="B882" s="4">
        <v>2</v>
      </c>
      <c r="C882" s="4" t="s">
        <v>637</v>
      </c>
      <c r="D882" s="4">
        <v>43092</v>
      </c>
      <c r="E882" s="4">
        <v>12486</v>
      </c>
      <c r="F882" s="203" t="s">
        <v>1331</v>
      </c>
      <c r="G882" s="201" t="s">
        <v>1332</v>
      </c>
      <c r="H882" s="4" t="s">
        <v>709</v>
      </c>
      <c r="I882" s="4" t="s">
        <v>49</v>
      </c>
      <c r="J882" s="4" t="s">
        <v>799</v>
      </c>
      <c r="K882" s="4">
        <v>1</v>
      </c>
      <c r="L882" s="4">
        <v>14508</v>
      </c>
      <c r="M882" s="222">
        <v>55.485799999999998</v>
      </c>
      <c r="N882" s="201">
        <v>-120.03095</v>
      </c>
      <c r="O882" s="9"/>
      <c r="P882" s="201">
        <v>43092</v>
      </c>
      <c r="Q882" s="9"/>
      <c r="R882" s="201" t="s">
        <v>1331</v>
      </c>
      <c r="S882" s="9"/>
      <c r="T882" s="9"/>
      <c r="U882" s="201">
        <v>755</v>
      </c>
      <c r="V882" s="9"/>
      <c r="W882" s="9"/>
      <c r="X882" s="9"/>
      <c r="Y882" s="9"/>
      <c r="Z882" s="9"/>
      <c r="AA882" s="201" t="s">
        <v>1333</v>
      </c>
      <c r="AB882" s="9"/>
      <c r="AC882" s="9"/>
      <c r="AD882" s="9"/>
      <c r="AE882" s="9"/>
      <c r="AF882" s="9"/>
      <c r="AG882" s="9"/>
      <c r="AH882" s="9"/>
      <c r="AI882" s="9"/>
      <c r="AJ882" s="9"/>
      <c r="AK882" s="9"/>
      <c r="AL882" s="9"/>
      <c r="AM882" s="9"/>
      <c r="AN882" s="9"/>
      <c r="AO882" s="9"/>
      <c r="AP882" s="9"/>
      <c r="AQ882" s="9"/>
      <c r="AR882" s="9"/>
      <c r="AS882" s="9"/>
      <c r="AT882" s="9"/>
      <c r="AU882" s="9"/>
      <c r="AV882" s="9"/>
      <c r="AW882" s="9"/>
      <c r="AX882" s="9"/>
      <c r="AY882" s="9"/>
      <c r="AZ882" s="9"/>
      <c r="BA882" s="9"/>
      <c r="BB882" s="9"/>
      <c r="BC882" s="9"/>
      <c r="BD882" s="9"/>
      <c r="BE882" s="9"/>
      <c r="BF882" s="9"/>
      <c r="BG882" s="9"/>
      <c r="BH882" s="9"/>
      <c r="BI882" s="9"/>
      <c r="BJ882" s="9"/>
      <c r="BK882" s="9"/>
      <c r="BL882" s="9"/>
      <c r="BM882" s="9"/>
      <c r="BN882" s="9"/>
      <c r="BO882" s="9"/>
      <c r="BP882" s="9"/>
      <c r="BQ882" s="9"/>
      <c r="BR882" s="9"/>
      <c r="BS882" s="9"/>
      <c r="BT882" s="9"/>
    </row>
    <row r="883" spans="1:72" ht="14.25" customHeight="1" x14ac:dyDescent="0.2">
      <c r="A883" s="145" t="s">
        <v>88</v>
      </c>
      <c r="B883" s="4">
        <v>2</v>
      </c>
      <c r="C883" s="4" t="s">
        <v>637</v>
      </c>
      <c r="D883" s="4">
        <v>44091</v>
      </c>
      <c r="E883" s="4">
        <v>2854</v>
      </c>
      <c r="F883" s="188" t="s">
        <v>1342</v>
      </c>
      <c r="G883" s="201" t="s">
        <v>1343</v>
      </c>
      <c r="H883" s="4" t="s">
        <v>1344</v>
      </c>
      <c r="I883" s="4" t="s">
        <v>641</v>
      </c>
      <c r="J883" s="4" t="s">
        <v>642</v>
      </c>
      <c r="K883" s="4">
        <v>1</v>
      </c>
      <c r="L883" s="4">
        <v>3597</v>
      </c>
      <c r="M883" s="6">
        <v>56.541110000000003</v>
      </c>
      <c r="N883" s="9">
        <v>-121.25264</v>
      </c>
      <c r="O883" s="9" t="s">
        <v>153</v>
      </c>
      <c r="P883" s="9">
        <v>44091</v>
      </c>
      <c r="Q883" s="20">
        <v>6</v>
      </c>
      <c r="R883" s="9" t="s">
        <v>1342</v>
      </c>
      <c r="S883" s="11" t="s">
        <v>1345</v>
      </c>
      <c r="T883" s="9" t="s">
        <v>644</v>
      </c>
      <c r="U883" s="9">
        <v>850</v>
      </c>
      <c r="Z883" s="9" t="s">
        <v>645</v>
      </c>
      <c r="AA883" s="9" t="s">
        <v>1346</v>
      </c>
      <c r="AB883" s="9"/>
      <c r="AC883" s="21"/>
      <c r="AD883" s="9"/>
      <c r="AE883" s="9"/>
      <c r="AF883" s="9"/>
      <c r="AG883" s="9"/>
      <c r="AH883" s="9"/>
      <c r="AI883" s="9"/>
    </row>
    <row r="884" spans="1:72" ht="14.25" customHeight="1" x14ac:dyDescent="0.2">
      <c r="A884" s="145" t="s">
        <v>88</v>
      </c>
      <c r="B884" s="4">
        <v>2</v>
      </c>
      <c r="C884" s="4" t="s">
        <v>637</v>
      </c>
      <c r="D884" s="4">
        <v>47092</v>
      </c>
      <c r="E884" s="4">
        <v>2870</v>
      </c>
      <c r="F884" s="188" t="s">
        <v>1388</v>
      </c>
      <c r="G884" s="201" t="s">
        <v>1389</v>
      </c>
      <c r="H884" s="4" t="s">
        <v>1390</v>
      </c>
      <c r="I884" s="4" t="s">
        <v>641</v>
      </c>
      <c r="J884" s="4" t="s">
        <v>642</v>
      </c>
      <c r="K884" s="4">
        <v>1</v>
      </c>
      <c r="L884" s="4">
        <v>3613</v>
      </c>
      <c r="M884" s="6">
        <v>51.96181</v>
      </c>
      <c r="N884" s="9">
        <v>-121.79313999999999</v>
      </c>
      <c r="O884" s="9" t="s">
        <v>148</v>
      </c>
      <c r="P884" s="9">
        <v>47092</v>
      </c>
      <c r="Q884" s="20">
        <v>1</v>
      </c>
      <c r="R884" s="9" t="s">
        <v>1388</v>
      </c>
      <c r="S884" s="11" t="s">
        <v>1391</v>
      </c>
      <c r="T884" s="9" t="s">
        <v>644</v>
      </c>
      <c r="U884" s="9">
        <v>730</v>
      </c>
      <c r="Z884" s="9" t="s">
        <v>645</v>
      </c>
      <c r="AA884" s="9" t="s">
        <v>1392</v>
      </c>
      <c r="AB884" s="9"/>
      <c r="AC884" s="21"/>
      <c r="AD884" s="9"/>
      <c r="AE884" s="9"/>
      <c r="AF884" s="9"/>
      <c r="AG884" s="9"/>
      <c r="AH884" s="9"/>
      <c r="AI884" s="9"/>
    </row>
    <row r="885" spans="1:72" ht="14.25" customHeight="1" x14ac:dyDescent="0.2">
      <c r="A885" s="145" t="s">
        <v>88</v>
      </c>
      <c r="B885" s="4">
        <v>2</v>
      </c>
      <c r="C885" s="4" t="s">
        <v>637</v>
      </c>
      <c r="D885" s="208">
        <v>51124</v>
      </c>
      <c r="E885" s="4">
        <v>2889</v>
      </c>
      <c r="F885" s="188" t="s">
        <v>1425</v>
      </c>
      <c r="G885" s="201" t="s">
        <v>1426</v>
      </c>
      <c r="H885" s="4" t="s">
        <v>1427</v>
      </c>
      <c r="I885" s="4" t="s">
        <v>641</v>
      </c>
      <c r="J885" s="4" t="s">
        <v>662</v>
      </c>
      <c r="K885" s="4">
        <v>1</v>
      </c>
      <c r="L885" s="4">
        <v>3632</v>
      </c>
      <c r="M885" s="6">
        <v>56.12</v>
      </c>
      <c r="N885" s="9">
        <v>-129.52642</v>
      </c>
      <c r="O885" s="9" t="s">
        <v>51</v>
      </c>
      <c r="P885" s="9">
        <v>51124</v>
      </c>
      <c r="Q885" s="20">
        <v>7</v>
      </c>
      <c r="R885" s="9" t="s">
        <v>1425</v>
      </c>
      <c r="S885" s="11" t="s">
        <v>1428</v>
      </c>
      <c r="T885" s="9" t="s">
        <v>644</v>
      </c>
      <c r="U885" s="9">
        <v>1490</v>
      </c>
      <c r="Z885" s="9"/>
      <c r="AA885" s="9" t="s">
        <v>1429</v>
      </c>
      <c r="AB885" s="9"/>
      <c r="AC885" s="9"/>
      <c r="AD885" s="9"/>
      <c r="AE885" s="9"/>
      <c r="AF885" s="9"/>
      <c r="AG885" s="9"/>
      <c r="AH885" s="9"/>
      <c r="AI885" s="9"/>
    </row>
    <row r="886" spans="1:72" ht="14.25" customHeight="1" x14ac:dyDescent="0.2">
      <c r="A886" s="145" t="s">
        <v>88</v>
      </c>
      <c r="B886" s="4">
        <v>2</v>
      </c>
      <c r="C886" s="4" t="s">
        <v>637</v>
      </c>
      <c r="D886" s="4">
        <v>51126</v>
      </c>
      <c r="E886" s="4">
        <v>2891</v>
      </c>
      <c r="F886" s="188" t="s">
        <v>1435</v>
      </c>
      <c r="G886" s="201" t="s">
        <v>7850</v>
      </c>
      <c r="H886" s="4" t="s">
        <v>1437</v>
      </c>
      <c r="I886" s="4" t="s">
        <v>641</v>
      </c>
      <c r="J886" s="4" t="s">
        <v>1438</v>
      </c>
      <c r="K886" s="4">
        <v>1</v>
      </c>
      <c r="L886" s="4">
        <v>3634</v>
      </c>
      <c r="M886" s="6">
        <v>56.099870000000003</v>
      </c>
      <c r="N886" s="9">
        <v>-129.51218</v>
      </c>
      <c r="O886" s="9" t="s">
        <v>51</v>
      </c>
      <c r="P886" s="9">
        <v>51126</v>
      </c>
      <c r="Q886" s="20">
        <v>3</v>
      </c>
      <c r="R886" s="9" t="s">
        <v>1435</v>
      </c>
      <c r="S886" s="11" t="s">
        <v>1439</v>
      </c>
      <c r="T886" s="9" t="s">
        <v>644</v>
      </c>
      <c r="U886" s="9">
        <v>370</v>
      </c>
      <c r="Z886" s="9" t="s">
        <v>645</v>
      </c>
      <c r="AA886" s="9" t="s">
        <v>1440</v>
      </c>
      <c r="AB886" s="9"/>
      <c r="AC886" s="21"/>
      <c r="AD886" s="9"/>
      <c r="AE886" s="9"/>
      <c r="AF886" s="9"/>
      <c r="AG886" s="9"/>
      <c r="AH886" s="9"/>
      <c r="AI886" s="9"/>
    </row>
    <row r="887" spans="1:72" ht="14.25" customHeight="1" x14ac:dyDescent="0.2">
      <c r="A887" s="145" t="s">
        <v>88</v>
      </c>
      <c r="B887" s="4">
        <v>2</v>
      </c>
      <c r="C887" s="4" t="s">
        <v>637</v>
      </c>
      <c r="D887" s="4">
        <v>52325</v>
      </c>
      <c r="E887" s="4">
        <v>2905</v>
      </c>
      <c r="F887" s="188" t="s">
        <v>1495</v>
      </c>
      <c r="G887" s="201" t="s">
        <v>1496</v>
      </c>
      <c r="H887" s="4" t="s">
        <v>1497</v>
      </c>
      <c r="I887" s="4" t="s">
        <v>641</v>
      </c>
      <c r="J887" s="4" t="s">
        <v>1224</v>
      </c>
      <c r="K887" s="4">
        <v>1</v>
      </c>
      <c r="L887" s="4">
        <v>3648</v>
      </c>
      <c r="M887" s="6">
        <v>54.303609999999999</v>
      </c>
      <c r="N887" s="9">
        <v>-129.41833</v>
      </c>
      <c r="O887" s="9" t="s">
        <v>51</v>
      </c>
      <c r="P887" s="9">
        <v>52325</v>
      </c>
      <c r="Q887" s="20">
        <v>4</v>
      </c>
      <c r="R887" s="9" t="s">
        <v>1495</v>
      </c>
      <c r="S887" s="11" t="s">
        <v>1498</v>
      </c>
      <c r="T887" s="9" t="s">
        <v>644</v>
      </c>
      <c r="U887" s="9">
        <v>730</v>
      </c>
      <c r="Z887" s="9"/>
      <c r="AA887" s="9" t="s">
        <v>1499</v>
      </c>
      <c r="AB887" s="9"/>
      <c r="AC887" s="9"/>
      <c r="AD887" s="9"/>
      <c r="AE887" s="9"/>
      <c r="AF887" s="9"/>
      <c r="AG887" s="9"/>
      <c r="AH887" s="9"/>
      <c r="AI887" s="9"/>
    </row>
    <row r="888" spans="1:72" ht="14.25" customHeight="1" x14ac:dyDescent="0.2">
      <c r="A888" s="145" t="s">
        <v>88</v>
      </c>
      <c r="B888" s="4">
        <v>2</v>
      </c>
      <c r="C888" s="4" t="s">
        <v>637</v>
      </c>
      <c r="D888" s="4">
        <v>52326</v>
      </c>
      <c r="E888" s="4">
        <v>2906</v>
      </c>
      <c r="F888" s="188" t="s">
        <v>1500</v>
      </c>
      <c r="G888" s="201" t="s">
        <v>1501</v>
      </c>
      <c r="H888" s="4" t="s">
        <v>1502</v>
      </c>
      <c r="I888" s="4" t="s">
        <v>641</v>
      </c>
      <c r="J888" s="4" t="s">
        <v>755</v>
      </c>
      <c r="K888" s="4">
        <v>1</v>
      </c>
      <c r="L888" s="4">
        <v>3649</v>
      </c>
      <c r="M888" s="222">
        <v>54.313549999999999</v>
      </c>
      <c r="N888" s="201">
        <v>-129.35075000000001</v>
      </c>
      <c r="O888" s="4" t="s">
        <v>51</v>
      </c>
      <c r="P888" s="4">
        <v>52326</v>
      </c>
      <c r="Q888" s="4">
        <v>1</v>
      </c>
      <c r="R888" s="4" t="s">
        <v>1500</v>
      </c>
      <c r="S888" s="4" t="s">
        <v>1503</v>
      </c>
      <c r="T888" s="4" t="s">
        <v>644</v>
      </c>
      <c r="U888" s="4">
        <v>12</v>
      </c>
      <c r="Z888" s="4" t="s">
        <v>645</v>
      </c>
      <c r="AA888" s="4" t="s">
        <v>1504</v>
      </c>
    </row>
    <row r="889" spans="1:72" ht="14.25" customHeight="1" x14ac:dyDescent="0.2">
      <c r="A889" s="145" t="s">
        <v>88</v>
      </c>
      <c r="B889" s="4">
        <v>2</v>
      </c>
      <c r="C889" s="4" t="s">
        <v>637</v>
      </c>
      <c r="D889" s="4">
        <v>52327</v>
      </c>
      <c r="E889" s="4">
        <v>2907</v>
      </c>
      <c r="F889" s="188" t="s">
        <v>1505</v>
      </c>
      <c r="G889" s="36" t="s">
        <v>1506</v>
      </c>
      <c r="H889" s="4" t="s">
        <v>1507</v>
      </c>
      <c r="I889" s="4" t="s">
        <v>641</v>
      </c>
      <c r="J889" s="4" t="s">
        <v>1137</v>
      </c>
      <c r="K889" s="4">
        <v>1</v>
      </c>
      <c r="L889" s="4">
        <v>3650</v>
      </c>
      <c r="M889" s="6"/>
      <c r="N889" s="9"/>
      <c r="O889" s="9"/>
      <c r="P889" s="9"/>
      <c r="Q889" s="20"/>
      <c r="R889" s="9"/>
      <c r="S889" s="11"/>
      <c r="T889" s="9"/>
      <c r="U889" s="9"/>
      <c r="Z889" s="9"/>
      <c r="AA889" s="9"/>
      <c r="AB889" s="9"/>
      <c r="AC889" s="21"/>
      <c r="AD889" s="9"/>
      <c r="AE889" s="9"/>
      <c r="AF889" s="9"/>
      <c r="AG889" s="9"/>
      <c r="AH889" s="9"/>
      <c r="AI889" s="9"/>
    </row>
    <row r="890" spans="1:72" ht="14.25" customHeight="1" x14ac:dyDescent="0.2">
      <c r="A890" s="145" t="s">
        <v>88</v>
      </c>
      <c r="B890" s="4">
        <v>2</v>
      </c>
      <c r="C890" s="4" t="s">
        <v>637</v>
      </c>
      <c r="D890" s="4">
        <v>52401</v>
      </c>
      <c r="E890" s="4">
        <v>2908</v>
      </c>
      <c r="F890" s="188" t="s">
        <v>1512</v>
      </c>
      <c r="G890" s="201" t="s">
        <v>1513</v>
      </c>
      <c r="H890" s="4" t="s">
        <v>1514</v>
      </c>
      <c r="I890" s="4" t="s">
        <v>641</v>
      </c>
      <c r="J890" s="4" t="s">
        <v>1515</v>
      </c>
      <c r="K890" s="4">
        <v>1</v>
      </c>
      <c r="L890" s="4">
        <v>3651</v>
      </c>
      <c r="M890" s="6">
        <v>54.486710000000002</v>
      </c>
      <c r="N890" s="9">
        <v>-128.95366999999999</v>
      </c>
      <c r="O890" s="9" t="s">
        <v>51</v>
      </c>
      <c r="P890" s="9">
        <v>52401</v>
      </c>
      <c r="Q890" s="20">
        <v>4</v>
      </c>
      <c r="R890" s="9" t="s">
        <v>1512</v>
      </c>
      <c r="S890" s="11" t="s">
        <v>1516</v>
      </c>
      <c r="T890" s="9" t="s">
        <v>644</v>
      </c>
      <c r="U890" s="9">
        <v>742</v>
      </c>
      <c r="Z890" s="9" t="s">
        <v>645</v>
      </c>
      <c r="AA890" s="9" t="s">
        <v>1517</v>
      </c>
      <c r="AB890" s="9"/>
      <c r="AC890" s="21"/>
      <c r="AD890" s="9"/>
      <c r="AE890" s="9"/>
      <c r="AF890" s="9"/>
      <c r="AG890" s="9"/>
      <c r="AH890" s="9"/>
      <c r="AI890" s="9"/>
    </row>
    <row r="891" spans="1:72" ht="14.25" customHeight="1" x14ac:dyDescent="0.2">
      <c r="A891" s="145" t="s">
        <v>88</v>
      </c>
      <c r="B891" s="4">
        <v>2</v>
      </c>
      <c r="C891" s="4" t="s">
        <v>637</v>
      </c>
      <c r="D891" s="4">
        <v>53129</v>
      </c>
      <c r="E891" s="4">
        <v>12492</v>
      </c>
      <c r="F891" s="203" t="s">
        <v>1573</v>
      </c>
      <c r="G891" s="201" t="s">
        <v>1574</v>
      </c>
      <c r="H891" s="4" t="s">
        <v>1575</v>
      </c>
      <c r="I891" s="4" t="s">
        <v>49</v>
      </c>
      <c r="J891" s="4" t="s">
        <v>1576</v>
      </c>
      <c r="K891" s="4">
        <v>1</v>
      </c>
      <c r="L891" s="4">
        <v>14514</v>
      </c>
      <c r="M891" s="6">
        <v>58.434249999999999</v>
      </c>
      <c r="N891" s="9">
        <v>-129.98616999999999</v>
      </c>
      <c r="O891" s="9" t="s">
        <v>1577</v>
      </c>
      <c r="P891" s="9">
        <v>53129</v>
      </c>
      <c r="Q891" s="20">
        <v>2</v>
      </c>
      <c r="R891" s="9" t="s">
        <v>1573</v>
      </c>
      <c r="S891" s="11" t="s">
        <v>1578</v>
      </c>
      <c r="T891" s="9" t="s">
        <v>644</v>
      </c>
      <c r="U891" s="9">
        <v>814</v>
      </c>
      <c r="W891" s="9"/>
      <c r="X891" s="9"/>
      <c r="Y891" s="9"/>
      <c r="Z891" s="9"/>
      <c r="AA891" s="9" t="s">
        <v>1579</v>
      </c>
      <c r="AB891" s="9"/>
      <c r="AC891" s="9"/>
      <c r="AD891" s="9"/>
      <c r="AE891" s="9"/>
      <c r="AF891" s="9"/>
      <c r="AG891" s="9"/>
      <c r="AH891" s="9"/>
      <c r="AI891" s="9"/>
      <c r="AJ891" s="9"/>
      <c r="AK891" s="9"/>
      <c r="AL891" s="9"/>
      <c r="AM891" s="9"/>
      <c r="AN891" s="9"/>
      <c r="AO891" s="9"/>
      <c r="AP891" s="9"/>
      <c r="AQ891" s="9"/>
      <c r="AR891" s="9"/>
      <c r="AS891" s="9"/>
      <c r="AT891" s="9"/>
      <c r="AU891" s="9"/>
      <c r="AV891" s="9"/>
      <c r="AW891" s="9"/>
      <c r="AX891" s="9"/>
      <c r="AY891" s="9"/>
      <c r="AZ891" s="9"/>
      <c r="BA891" s="9"/>
      <c r="BB891" s="9"/>
      <c r="BC891" s="9"/>
      <c r="BD891" s="9"/>
      <c r="BE891" s="9"/>
      <c r="BF891" s="9"/>
      <c r="BG891" s="9"/>
      <c r="BH891" s="9"/>
      <c r="BI891" s="9"/>
      <c r="BJ891" s="9"/>
      <c r="BK891" s="9"/>
      <c r="BL891" s="9"/>
      <c r="BM891" s="9"/>
      <c r="BN891" s="9"/>
      <c r="BO891" s="9"/>
      <c r="BP891" s="9"/>
      <c r="BQ891" s="9"/>
      <c r="BR891" s="9"/>
      <c r="BS891" s="9"/>
      <c r="BT891" s="9"/>
    </row>
    <row r="892" spans="1:72" ht="14.25" customHeight="1" x14ac:dyDescent="0.2">
      <c r="A892" s="145" t="s">
        <v>912</v>
      </c>
      <c r="B892" s="4">
        <v>2</v>
      </c>
      <c r="C892" s="4" t="s">
        <v>637</v>
      </c>
      <c r="D892" s="4">
        <v>64091</v>
      </c>
      <c r="E892" s="4">
        <v>2954</v>
      </c>
      <c r="F892" s="188" t="s">
        <v>1634</v>
      </c>
      <c r="G892" s="201" t="s">
        <v>1635</v>
      </c>
      <c r="H892" s="4" t="s">
        <v>1636</v>
      </c>
      <c r="I892" s="4" t="s">
        <v>641</v>
      </c>
      <c r="J892" s="4" t="s">
        <v>642</v>
      </c>
      <c r="K892" s="4">
        <v>1</v>
      </c>
      <c r="L892" s="4">
        <v>3697</v>
      </c>
      <c r="M892" s="6">
        <v>50.282359999999997</v>
      </c>
      <c r="N892" s="9">
        <v>-126.35527999999999</v>
      </c>
      <c r="O892" s="9" t="s">
        <v>51</v>
      </c>
      <c r="P892" s="9">
        <v>64091</v>
      </c>
      <c r="Q892" s="20">
        <v>3</v>
      </c>
      <c r="R892" s="9" t="s">
        <v>1634</v>
      </c>
      <c r="S892" s="11" t="s">
        <v>1637</v>
      </c>
      <c r="T892" s="9" t="s">
        <v>644</v>
      </c>
      <c r="U892" s="9">
        <v>436</v>
      </c>
      <c r="V892" s="9"/>
      <c r="W892" s="9"/>
      <c r="X892" s="9"/>
      <c r="Y892" s="9"/>
      <c r="Z892" s="9" t="s">
        <v>645</v>
      </c>
      <c r="AA892" s="9" t="s">
        <v>1638</v>
      </c>
      <c r="AB892" s="9"/>
      <c r="AC892" s="21"/>
      <c r="AD892" s="9"/>
      <c r="AE892" s="9"/>
      <c r="AF892" s="9"/>
      <c r="AG892" s="9"/>
      <c r="AH892" s="9"/>
      <c r="AI892" s="9"/>
      <c r="AJ892" s="9"/>
      <c r="AK892" s="9"/>
      <c r="AL892" s="9"/>
      <c r="AM892" s="9"/>
      <c r="AN892" s="9"/>
      <c r="AO892" s="9"/>
      <c r="AP892" s="9"/>
      <c r="AQ892" s="9"/>
      <c r="AR892" s="9"/>
      <c r="AS892" s="9"/>
      <c r="AT892" s="9"/>
      <c r="AU892" s="9"/>
      <c r="AV892" s="9"/>
      <c r="AW892" s="9"/>
      <c r="AX892" s="9"/>
      <c r="AY892" s="9"/>
      <c r="AZ892" s="9"/>
      <c r="BA892" s="9"/>
      <c r="BB892" s="9"/>
      <c r="BC892" s="9"/>
      <c r="BD892" s="9"/>
      <c r="BE892" s="9"/>
      <c r="BF892" s="9"/>
      <c r="BG892" s="9"/>
      <c r="BH892" s="9"/>
      <c r="BI892" s="9"/>
      <c r="BJ892" s="9"/>
      <c r="BK892" s="9"/>
      <c r="BL892" s="9"/>
      <c r="BM892" s="9"/>
      <c r="BN892" s="9"/>
      <c r="BO892" s="9"/>
      <c r="BP892" s="9"/>
      <c r="BQ892" s="9"/>
      <c r="BR892" s="9"/>
      <c r="BS892" s="9"/>
      <c r="BT892" s="9"/>
    </row>
    <row r="893" spans="1:72" ht="14.25" customHeight="1" x14ac:dyDescent="0.2">
      <c r="A893" s="145" t="s">
        <v>88</v>
      </c>
      <c r="B893" s="4">
        <v>2</v>
      </c>
      <c r="C893" s="4" t="s">
        <v>637</v>
      </c>
      <c r="D893" s="4">
        <v>64092</v>
      </c>
      <c r="E893" s="4">
        <v>12991</v>
      </c>
      <c r="F893" s="188" t="s">
        <v>1639</v>
      </c>
      <c r="G893" s="201" t="s">
        <v>1640</v>
      </c>
      <c r="H893" s="4" t="s">
        <v>1149</v>
      </c>
      <c r="I893" s="4" t="s">
        <v>49</v>
      </c>
      <c r="J893" s="4" t="s">
        <v>793</v>
      </c>
      <c r="K893" s="4">
        <v>1</v>
      </c>
      <c r="L893" s="4">
        <v>14923</v>
      </c>
      <c r="M893" s="6">
        <v>50.171860000000002</v>
      </c>
      <c r="N893" s="9">
        <v>-125.47920000000001</v>
      </c>
      <c r="O893" s="9" t="s">
        <v>183</v>
      </c>
      <c r="P893" s="9">
        <v>64092</v>
      </c>
      <c r="Q893" s="20">
        <v>5</v>
      </c>
      <c r="R893" s="9" t="s">
        <v>1641</v>
      </c>
      <c r="S893" s="11" t="s">
        <v>1639</v>
      </c>
      <c r="T893" s="9" t="s">
        <v>644</v>
      </c>
      <c r="U893" s="9">
        <v>300</v>
      </c>
      <c r="Z893" s="9"/>
      <c r="AA893" s="9" t="s">
        <v>1642</v>
      </c>
      <c r="AB893" s="9"/>
      <c r="AC893" s="9"/>
      <c r="AD893" s="9"/>
      <c r="AE893" s="9"/>
      <c r="AF893" s="9"/>
      <c r="AG893" s="9"/>
      <c r="AH893" s="9"/>
      <c r="AI893" s="9"/>
    </row>
    <row r="894" spans="1:72" ht="14.25" customHeight="1" x14ac:dyDescent="0.2">
      <c r="A894" s="145" t="s">
        <v>1658</v>
      </c>
      <c r="B894" s="4">
        <v>6</v>
      </c>
      <c r="C894" s="4" t="s">
        <v>1659</v>
      </c>
      <c r="D894" s="4" t="s">
        <v>1660</v>
      </c>
      <c r="E894" s="4">
        <v>2422</v>
      </c>
      <c r="F894" s="188" t="s">
        <v>1661</v>
      </c>
      <c r="G894" s="201" t="s">
        <v>7846</v>
      </c>
      <c r="H894" s="4" t="s">
        <v>1663</v>
      </c>
      <c r="I894" s="4" t="s">
        <v>1664</v>
      </c>
      <c r="J894" s="4" t="s">
        <v>1665</v>
      </c>
      <c r="M894" s="6">
        <v>53.580300000000001</v>
      </c>
      <c r="N894" s="9">
        <v>-124.94605</v>
      </c>
      <c r="O894" s="9" t="s">
        <v>148</v>
      </c>
      <c r="P894" s="201" t="s">
        <v>1666</v>
      </c>
      <c r="Q894" s="4">
        <v>2</v>
      </c>
      <c r="R894" s="4" t="s">
        <v>1661</v>
      </c>
      <c r="S894" s="4" t="str">
        <f>UPPER(R894)</f>
        <v>KENNEY DAM</v>
      </c>
      <c r="T894" s="4" t="s">
        <v>1659</v>
      </c>
      <c r="U894" s="4">
        <v>858</v>
      </c>
    </row>
    <row r="895" spans="1:72" ht="14.25" customHeight="1" x14ac:dyDescent="0.2">
      <c r="A895" s="145" t="s">
        <v>1658</v>
      </c>
      <c r="B895" s="4">
        <v>6</v>
      </c>
      <c r="C895" s="4" t="s">
        <v>1659</v>
      </c>
      <c r="D895" s="4" t="s">
        <v>1667</v>
      </c>
      <c r="E895" s="4">
        <v>2423</v>
      </c>
      <c r="F895" s="9" t="s">
        <v>1668</v>
      </c>
      <c r="G895" s="8" t="s">
        <v>1669</v>
      </c>
      <c r="H895" s="4" t="s">
        <v>1670</v>
      </c>
      <c r="I895" s="4" t="s">
        <v>1664</v>
      </c>
      <c r="J895" s="4" t="s">
        <v>1671</v>
      </c>
      <c r="M895" s="6">
        <v>53.23395</v>
      </c>
      <c r="N895" s="9">
        <v>-126.1132667</v>
      </c>
      <c r="O895" s="9" t="s">
        <v>148</v>
      </c>
      <c r="P895" s="201" t="s">
        <v>1672</v>
      </c>
      <c r="Q895" s="9">
        <v>2</v>
      </c>
      <c r="R895" s="9" t="s">
        <v>1668</v>
      </c>
      <c r="S895" s="9" t="str">
        <f>UPPER(R895)</f>
        <v>EUTSUK</v>
      </c>
      <c r="T895" s="9" t="s">
        <v>1659</v>
      </c>
      <c r="U895" s="9">
        <v>863</v>
      </c>
      <c r="V895" s="9"/>
      <c r="W895" s="9"/>
      <c r="X895" s="9"/>
      <c r="Y895" s="9"/>
      <c r="Z895" s="9"/>
      <c r="AA895" s="9"/>
      <c r="AB895" s="9"/>
      <c r="AC895" s="9"/>
      <c r="AD895" s="9"/>
      <c r="AE895" s="9"/>
      <c r="AF895" s="9"/>
      <c r="AG895" s="9"/>
      <c r="AH895" s="9"/>
      <c r="AI895" s="9"/>
      <c r="AJ895" s="9"/>
      <c r="AK895" s="9"/>
      <c r="AL895" s="9"/>
      <c r="AM895" s="9"/>
      <c r="AN895" s="9"/>
      <c r="AO895" s="9"/>
      <c r="AP895" s="9"/>
      <c r="AQ895" s="9"/>
      <c r="AR895" s="9"/>
      <c r="AS895" s="9"/>
      <c r="AT895" s="9"/>
      <c r="AU895" s="9"/>
      <c r="AV895" s="9"/>
      <c r="AW895" s="9"/>
      <c r="AX895" s="9"/>
      <c r="AY895" s="9"/>
      <c r="AZ895" s="9"/>
      <c r="BA895" s="9"/>
      <c r="BB895" s="9"/>
      <c r="BC895" s="9"/>
      <c r="BD895" s="9"/>
      <c r="BE895" s="9"/>
      <c r="BF895" s="9"/>
      <c r="BG895" s="9"/>
      <c r="BH895" s="9"/>
      <c r="BI895" s="9"/>
      <c r="BJ895" s="9"/>
      <c r="BK895" s="9"/>
      <c r="BL895" s="9"/>
      <c r="BM895" s="9"/>
      <c r="BN895" s="9"/>
      <c r="BO895" s="9"/>
      <c r="BP895" s="9"/>
      <c r="BQ895" s="9"/>
      <c r="BR895" s="9"/>
      <c r="BS895" s="9"/>
      <c r="BT895" s="9"/>
    </row>
    <row r="896" spans="1:72" ht="14.25" customHeight="1" x14ac:dyDescent="0.2">
      <c r="A896" s="145" t="s">
        <v>1658</v>
      </c>
      <c r="B896" s="4">
        <v>6</v>
      </c>
      <c r="C896" s="4" t="s">
        <v>1659</v>
      </c>
      <c r="D896" s="4" t="s">
        <v>1673</v>
      </c>
      <c r="E896" s="4">
        <v>2424</v>
      </c>
      <c r="F896" s="188" t="s">
        <v>1674</v>
      </c>
      <c r="G896" s="201" t="s">
        <v>1675</v>
      </c>
      <c r="H896" s="4" t="s">
        <v>1676</v>
      </c>
      <c r="I896" s="4" t="s">
        <v>1664</v>
      </c>
      <c r="J896" s="4" t="s">
        <v>1677</v>
      </c>
      <c r="M896" s="222">
        <v>53.617100000000001</v>
      </c>
      <c r="N896" s="201">
        <v>-127.696397</v>
      </c>
      <c r="O896" s="9" t="s">
        <v>148</v>
      </c>
      <c r="P896" s="201" t="s">
        <v>1678</v>
      </c>
      <c r="Q896" s="4">
        <v>2</v>
      </c>
      <c r="R896" s="4" t="s">
        <v>1674</v>
      </c>
      <c r="S896" s="4" t="str">
        <f>UPPER(R896)</f>
        <v>TAHTSA INTAKE</v>
      </c>
      <c r="T896" s="4" t="s">
        <v>1659</v>
      </c>
      <c r="U896" s="4">
        <v>880</v>
      </c>
    </row>
    <row r="897" spans="1:53" ht="14.25" customHeight="1" x14ac:dyDescent="0.2">
      <c r="A897" s="136" t="s">
        <v>88</v>
      </c>
      <c r="B897" s="4">
        <v>12</v>
      </c>
      <c r="C897" s="4" t="s">
        <v>1711</v>
      </c>
      <c r="D897" s="4">
        <v>11</v>
      </c>
      <c r="E897" s="4">
        <v>1611</v>
      </c>
      <c r="F897" s="188" t="s">
        <v>1733</v>
      </c>
      <c r="G897" s="200" t="s">
        <v>1734</v>
      </c>
      <c r="H897" s="4" t="s">
        <v>1735</v>
      </c>
      <c r="I897" s="4" t="s">
        <v>641</v>
      </c>
      <c r="J897" s="4" t="s">
        <v>1736</v>
      </c>
      <c r="K897" s="4">
        <v>1</v>
      </c>
      <c r="L897" s="4">
        <v>2014</v>
      </c>
      <c r="M897" s="6">
        <v>48.927570000000003</v>
      </c>
      <c r="N897" s="9">
        <v>-124.6469</v>
      </c>
      <c r="O897" s="9" t="s">
        <v>51</v>
      </c>
      <c r="P897" s="224">
        <v>11</v>
      </c>
      <c r="Q897" s="4">
        <v>4</v>
      </c>
      <c r="R897" s="4" t="s">
        <v>1733</v>
      </c>
      <c r="S897" s="4" t="s">
        <v>1737</v>
      </c>
      <c r="T897" s="4">
        <v>680</v>
      </c>
      <c r="U897"/>
      <c r="W897" s="4">
        <v>31048</v>
      </c>
      <c r="X897" s="4" t="s">
        <v>1738</v>
      </c>
      <c r="AO897" s="224" t="s">
        <v>1733</v>
      </c>
      <c r="AP897" s="224">
        <v>11</v>
      </c>
      <c r="AQ897" s="224" t="s">
        <v>1716</v>
      </c>
      <c r="AR897" s="224" t="s">
        <v>1739</v>
      </c>
      <c r="AS897" s="224" t="s">
        <v>1740</v>
      </c>
      <c r="AT897" s="224" t="s">
        <v>1741</v>
      </c>
      <c r="AU897" s="224" t="s">
        <v>1742</v>
      </c>
      <c r="AV897" s="224" t="s">
        <v>1720</v>
      </c>
      <c r="AW897" s="224" t="s">
        <v>1705</v>
      </c>
      <c r="AX897" s="224" t="s">
        <v>1706</v>
      </c>
      <c r="AY897" s="224">
        <v>48.927599999999998</v>
      </c>
      <c r="AZ897" s="224">
        <v>-124.6469</v>
      </c>
      <c r="BA897" s="224">
        <v>671</v>
      </c>
    </row>
    <row r="898" spans="1:53" ht="14.25" customHeight="1" x14ac:dyDescent="0.2">
      <c r="A898" s="136" t="s">
        <v>88</v>
      </c>
      <c r="B898" s="4">
        <v>12</v>
      </c>
      <c r="C898" s="4" t="s">
        <v>1711</v>
      </c>
      <c r="D898" s="4">
        <v>19</v>
      </c>
      <c r="E898" s="4">
        <v>1618</v>
      </c>
      <c r="F898" s="188" t="s">
        <v>1763</v>
      </c>
      <c r="G898" s="200" t="s">
        <v>1764</v>
      </c>
      <c r="H898" s="4" t="s">
        <v>1765</v>
      </c>
      <c r="I898" s="4" t="s">
        <v>641</v>
      </c>
      <c r="J898" s="4" t="s">
        <v>1736</v>
      </c>
      <c r="K898" s="4">
        <v>1</v>
      </c>
      <c r="L898" s="4">
        <v>2021</v>
      </c>
      <c r="M898" s="6">
        <v>50.048630000000003</v>
      </c>
      <c r="N898" s="9">
        <v>-125.78867</v>
      </c>
      <c r="O898" s="9" t="s">
        <v>183</v>
      </c>
      <c r="P898" s="224">
        <v>19</v>
      </c>
      <c r="Q898" s="4">
        <v>6</v>
      </c>
      <c r="R898" s="4" t="s">
        <v>1763</v>
      </c>
      <c r="S898" s="4" t="s">
        <v>1737</v>
      </c>
      <c r="T898" s="4">
        <v>438</v>
      </c>
      <c r="U898"/>
      <c r="W898" s="4">
        <v>25569</v>
      </c>
      <c r="X898" s="4" t="s">
        <v>1738</v>
      </c>
      <c r="AO898" s="224" t="s">
        <v>1763</v>
      </c>
      <c r="AP898" s="224">
        <v>19</v>
      </c>
      <c r="AQ898" s="224" t="s">
        <v>1716</v>
      </c>
      <c r="AR898" s="224" t="s">
        <v>1739</v>
      </c>
      <c r="AS898" s="224" t="s">
        <v>1740</v>
      </c>
      <c r="AT898" s="224" t="s">
        <v>1741</v>
      </c>
      <c r="AU898" s="224" t="s">
        <v>1742</v>
      </c>
      <c r="AV898" s="224" t="s">
        <v>1720</v>
      </c>
      <c r="AW898" s="224" t="s">
        <v>1705</v>
      </c>
      <c r="AX898" s="224" t="s">
        <v>1723</v>
      </c>
      <c r="AY898" s="224">
        <v>50.0486</v>
      </c>
      <c r="AZ898" s="224">
        <v>-125.78870000000001</v>
      </c>
      <c r="BA898" s="224">
        <v>435</v>
      </c>
    </row>
    <row r="899" spans="1:53" ht="14.25" customHeight="1" x14ac:dyDescent="0.2">
      <c r="A899" s="136" t="s">
        <v>88</v>
      </c>
      <c r="B899" s="4">
        <v>12</v>
      </c>
      <c r="C899" s="4" t="s">
        <v>1711</v>
      </c>
      <c r="D899" s="4">
        <v>21</v>
      </c>
      <c r="E899" s="4">
        <v>1620</v>
      </c>
      <c r="F899" s="188" t="s">
        <v>1768</v>
      </c>
      <c r="G899" s="200" t="s">
        <v>1769</v>
      </c>
      <c r="H899" s="4" t="s">
        <v>1770</v>
      </c>
      <c r="I899" s="4" t="s">
        <v>641</v>
      </c>
      <c r="J899" s="4" t="s">
        <v>1736</v>
      </c>
      <c r="K899" s="4">
        <v>1</v>
      </c>
      <c r="L899" s="4">
        <v>2023</v>
      </c>
      <c r="M899" s="6">
        <v>50.213120000000004</v>
      </c>
      <c r="N899" s="9">
        <v>-126.60705</v>
      </c>
      <c r="O899" s="9" t="s">
        <v>51</v>
      </c>
      <c r="P899" s="224">
        <v>21</v>
      </c>
      <c r="Q899" s="4">
        <v>2</v>
      </c>
      <c r="R899" s="4" t="s">
        <v>1768</v>
      </c>
      <c r="S899" s="4" t="s">
        <v>1737</v>
      </c>
      <c r="T899" s="4">
        <v>156</v>
      </c>
      <c r="U899" s="4" t="s">
        <v>645</v>
      </c>
      <c r="V899" s="4" t="s">
        <v>1771</v>
      </c>
      <c r="W899" s="4">
        <v>25569</v>
      </c>
      <c r="X899" s="4" t="s">
        <v>1738</v>
      </c>
      <c r="AO899" s="224" t="s">
        <v>1768</v>
      </c>
      <c r="AP899" s="224">
        <v>21</v>
      </c>
      <c r="AQ899" s="224" t="s">
        <v>1716</v>
      </c>
      <c r="AR899" s="224" t="s">
        <v>1739</v>
      </c>
      <c r="AS899" s="224" t="s">
        <v>1740</v>
      </c>
      <c r="AT899" s="224" t="s">
        <v>1741</v>
      </c>
      <c r="AU899" s="224" t="s">
        <v>1772</v>
      </c>
      <c r="AV899" s="224" t="s">
        <v>1720</v>
      </c>
      <c r="AW899" s="224" t="s">
        <v>1705</v>
      </c>
      <c r="AX899" s="224" t="s">
        <v>1710</v>
      </c>
      <c r="AY899" s="224">
        <v>50.213200000000001</v>
      </c>
      <c r="AZ899" s="224">
        <v>-126.6071</v>
      </c>
      <c r="BA899" s="224">
        <v>151</v>
      </c>
    </row>
    <row r="900" spans="1:53" ht="14.25" customHeight="1" x14ac:dyDescent="0.2">
      <c r="A900" s="136" t="s">
        <v>88</v>
      </c>
      <c r="B900" s="4">
        <v>12</v>
      </c>
      <c r="C900" s="4" t="s">
        <v>1711</v>
      </c>
      <c r="D900" s="4">
        <v>37</v>
      </c>
      <c r="E900" s="4">
        <v>1632</v>
      </c>
      <c r="F900" s="188" t="s">
        <v>1810</v>
      </c>
      <c r="G900" s="200" t="s">
        <v>1811</v>
      </c>
      <c r="H900" s="4" t="s">
        <v>1812</v>
      </c>
      <c r="I900" s="4" t="s">
        <v>641</v>
      </c>
      <c r="J900" s="4" t="s">
        <v>1736</v>
      </c>
      <c r="K900" s="4">
        <v>1</v>
      </c>
      <c r="L900" s="4">
        <v>2035</v>
      </c>
      <c r="M900" s="6">
        <v>49.377479999999998</v>
      </c>
      <c r="N900" s="9">
        <v>-124.93326999999999</v>
      </c>
      <c r="O900" s="9" t="s">
        <v>183</v>
      </c>
      <c r="P900" s="224">
        <v>37</v>
      </c>
      <c r="Q900" s="4">
        <v>3</v>
      </c>
      <c r="R900" s="4" t="s">
        <v>1810</v>
      </c>
      <c r="S900" s="4" t="s">
        <v>1737</v>
      </c>
      <c r="T900" s="4">
        <v>100</v>
      </c>
      <c r="U900" s="4" t="s">
        <v>645</v>
      </c>
      <c r="V900" s="4" t="s">
        <v>1813</v>
      </c>
      <c r="W900" s="4">
        <v>31778</v>
      </c>
      <c r="X900" s="4" t="s">
        <v>1738</v>
      </c>
      <c r="AO900" s="224" t="s">
        <v>1810</v>
      </c>
      <c r="AP900" s="224">
        <v>37</v>
      </c>
      <c r="AQ900" s="224" t="s">
        <v>1716</v>
      </c>
      <c r="AR900" s="224" t="s">
        <v>1739</v>
      </c>
      <c r="AS900" s="224" t="s">
        <v>1740</v>
      </c>
      <c r="AT900" s="224" t="s">
        <v>1741</v>
      </c>
      <c r="AU900" s="224" t="s">
        <v>1742</v>
      </c>
      <c r="AV900" s="224" t="s">
        <v>1720</v>
      </c>
      <c r="AW900" s="224" t="s">
        <v>1705</v>
      </c>
      <c r="AX900" s="224" t="s">
        <v>1706</v>
      </c>
      <c r="AY900" s="224">
        <v>49.377600000000001</v>
      </c>
      <c r="AZ900" s="224">
        <v>-124.9337</v>
      </c>
      <c r="BA900" s="224">
        <v>121</v>
      </c>
    </row>
    <row r="901" spans="1:53" ht="14.25" customHeight="1" x14ac:dyDescent="0.2">
      <c r="A901" s="136" t="s">
        <v>88</v>
      </c>
      <c r="B901" s="4">
        <v>12</v>
      </c>
      <c r="C901" s="4" t="s">
        <v>1711</v>
      </c>
      <c r="D901" s="4">
        <v>45</v>
      </c>
      <c r="E901" s="4">
        <v>1637</v>
      </c>
      <c r="F901" s="188" t="s">
        <v>1826</v>
      </c>
      <c r="G901" s="200" t="s">
        <v>1827</v>
      </c>
      <c r="H901" s="4" t="s">
        <v>1828</v>
      </c>
      <c r="I901" s="4" t="s">
        <v>641</v>
      </c>
      <c r="J901" s="4" t="s">
        <v>1829</v>
      </c>
      <c r="K901" s="4">
        <v>1</v>
      </c>
      <c r="L901" s="4">
        <v>2040</v>
      </c>
      <c r="M901" s="6">
        <v>48.773949999999999</v>
      </c>
      <c r="N901" s="9">
        <v>-123.4735</v>
      </c>
      <c r="O901" s="9" t="s">
        <v>183</v>
      </c>
      <c r="P901" s="224">
        <v>45</v>
      </c>
      <c r="Q901" s="4">
        <v>1</v>
      </c>
      <c r="R901" s="4" t="s">
        <v>1826</v>
      </c>
      <c r="S901" s="4" t="s">
        <v>1737</v>
      </c>
      <c r="T901" s="4">
        <v>15</v>
      </c>
      <c r="U901" s="4" t="s">
        <v>645</v>
      </c>
      <c r="V901" s="4" t="s">
        <v>1830</v>
      </c>
      <c r="W901" s="4">
        <v>36892</v>
      </c>
      <c r="X901" s="4" t="s">
        <v>1738</v>
      </c>
      <c r="AO901" s="4" t="s">
        <v>1826</v>
      </c>
      <c r="AP901" s="4">
        <v>45</v>
      </c>
      <c r="AQ901" s="4" t="s">
        <v>1716</v>
      </c>
      <c r="AR901" s="4" t="s">
        <v>1739</v>
      </c>
      <c r="AS901" s="4" t="s">
        <v>1740</v>
      </c>
      <c r="AT901" s="4" t="s">
        <v>1741</v>
      </c>
      <c r="AU901" s="4" t="s">
        <v>1742</v>
      </c>
      <c r="AV901" s="4" t="s">
        <v>1720</v>
      </c>
      <c r="AW901" s="4" t="s">
        <v>1705</v>
      </c>
      <c r="AX901" s="4" t="s">
        <v>1747</v>
      </c>
      <c r="AY901" s="4">
        <v>48.7729</v>
      </c>
      <c r="AZ901" s="4">
        <v>-123.47450000000001</v>
      </c>
      <c r="BA901" s="4">
        <v>15</v>
      </c>
    </row>
    <row r="902" spans="1:53" ht="14.25" customHeight="1" x14ac:dyDescent="0.2">
      <c r="A902" s="136" t="s">
        <v>88</v>
      </c>
      <c r="B902" s="4">
        <v>12</v>
      </c>
      <c r="C902" s="4" t="s">
        <v>1711</v>
      </c>
      <c r="D902" s="4">
        <v>56</v>
      </c>
      <c r="E902" s="4">
        <v>1646</v>
      </c>
      <c r="F902" s="188" t="s">
        <v>1862</v>
      </c>
      <c r="G902" s="36" t="s">
        <v>1863</v>
      </c>
      <c r="H902" s="4" t="s">
        <v>1864</v>
      </c>
      <c r="I902" s="4" t="s">
        <v>641</v>
      </c>
      <c r="J902" s="4" t="s">
        <v>1865</v>
      </c>
      <c r="K902" s="4">
        <v>1</v>
      </c>
      <c r="L902" s="4">
        <v>2049</v>
      </c>
      <c r="M902" s="6">
        <v>49.436819999999997</v>
      </c>
      <c r="N902" s="9">
        <v>-124.70223</v>
      </c>
      <c r="O902" s="9" t="s">
        <v>183</v>
      </c>
      <c r="P902" s="224">
        <v>56</v>
      </c>
      <c r="Q902" s="20">
        <v>3</v>
      </c>
      <c r="R902" s="9" t="s">
        <v>1862</v>
      </c>
      <c r="S902" s="9" t="s">
        <v>1737</v>
      </c>
      <c r="T902" s="9">
        <v>112</v>
      </c>
      <c r="U902" s="9"/>
      <c r="V902" s="9"/>
      <c r="W902" s="21">
        <v>31048</v>
      </c>
      <c r="X902" s="9" t="s">
        <v>1738</v>
      </c>
      <c r="AO902" s="4" t="s">
        <v>1862</v>
      </c>
      <c r="AP902" s="4">
        <v>56</v>
      </c>
      <c r="AQ902" s="4" t="s">
        <v>1700</v>
      </c>
      <c r="AR902" s="4" t="s">
        <v>1739</v>
      </c>
      <c r="AS902" s="4" t="s">
        <v>1740</v>
      </c>
      <c r="AT902" s="4" t="s">
        <v>1741</v>
      </c>
      <c r="AU902" s="4" t="s">
        <v>1772</v>
      </c>
      <c r="AV902" s="4" t="s">
        <v>1720</v>
      </c>
      <c r="AW902" s="4" t="s">
        <v>1705</v>
      </c>
      <c r="AX902" s="4" t="s">
        <v>1706</v>
      </c>
      <c r="AY902" s="4">
        <v>49.436799999999998</v>
      </c>
      <c r="AZ902" s="4">
        <v>-124.7022</v>
      </c>
      <c r="BA902" s="201" t="s">
        <v>1866</v>
      </c>
    </row>
    <row r="903" spans="1:53" ht="14.25" customHeight="1" x14ac:dyDescent="0.2">
      <c r="A903" s="136" t="s">
        <v>88</v>
      </c>
      <c r="B903" s="4">
        <v>12</v>
      </c>
      <c r="C903" s="4" t="s">
        <v>1711</v>
      </c>
      <c r="D903" s="4">
        <v>59</v>
      </c>
      <c r="E903" s="4">
        <v>1648</v>
      </c>
      <c r="F903" s="188" t="s">
        <v>1870</v>
      </c>
      <c r="G903" s="36" t="s">
        <v>1871</v>
      </c>
      <c r="H903" s="4" t="s">
        <v>1872</v>
      </c>
      <c r="I903" s="4" t="s">
        <v>641</v>
      </c>
      <c r="J903" s="4" t="s">
        <v>1865</v>
      </c>
      <c r="K903" s="4">
        <v>1</v>
      </c>
      <c r="L903" s="4">
        <v>2051</v>
      </c>
      <c r="M903" s="6">
        <v>49.047620000000002</v>
      </c>
      <c r="N903" s="9">
        <v>-123.87473</v>
      </c>
      <c r="O903" s="9" t="s">
        <v>183</v>
      </c>
      <c r="P903" s="9">
        <v>59</v>
      </c>
      <c r="Q903" s="20">
        <v>1</v>
      </c>
      <c r="R903" s="9" t="s">
        <v>1870</v>
      </c>
      <c r="S903" s="9" t="s">
        <v>1737</v>
      </c>
      <c r="T903" s="9">
        <v>30</v>
      </c>
      <c r="U903" s="9" t="s">
        <v>645</v>
      </c>
      <c r="V903" s="9" t="s">
        <v>1813</v>
      </c>
      <c r="W903" s="21">
        <v>32509</v>
      </c>
      <c r="X903" s="9" t="s">
        <v>1738</v>
      </c>
      <c r="AO903" s="4" t="s">
        <v>1870</v>
      </c>
      <c r="AP903" s="4">
        <v>59</v>
      </c>
      <c r="AQ903" s="4" t="s">
        <v>1700</v>
      </c>
      <c r="AR903" s="4" t="s">
        <v>1739</v>
      </c>
      <c r="AS903" s="4" t="s">
        <v>1740</v>
      </c>
      <c r="AT903" s="4" t="s">
        <v>1741</v>
      </c>
      <c r="AU903" s="4" t="s">
        <v>1772</v>
      </c>
      <c r="AV903" s="4" t="s">
        <v>1720</v>
      </c>
      <c r="AW903" s="4" t="s">
        <v>1705</v>
      </c>
      <c r="AX903" s="4" t="s">
        <v>1706</v>
      </c>
      <c r="AY903" s="4">
        <v>49.047600000000003</v>
      </c>
      <c r="AZ903" s="4">
        <v>-123.8747</v>
      </c>
      <c r="BA903" s="4">
        <v>31</v>
      </c>
    </row>
    <row r="904" spans="1:53" ht="14.25" customHeight="1" x14ac:dyDescent="0.2">
      <c r="A904" s="136" t="s">
        <v>88</v>
      </c>
      <c r="B904" s="4">
        <v>12</v>
      </c>
      <c r="C904" s="4" t="s">
        <v>1711</v>
      </c>
      <c r="D904" s="4">
        <v>67</v>
      </c>
      <c r="E904" s="4">
        <v>1653</v>
      </c>
      <c r="F904" s="188" t="s">
        <v>1888</v>
      </c>
      <c r="G904" s="201" t="s">
        <v>1889</v>
      </c>
      <c r="H904" s="4" t="s">
        <v>1890</v>
      </c>
      <c r="I904" s="4" t="s">
        <v>641</v>
      </c>
      <c r="J904" s="4" t="s">
        <v>1891</v>
      </c>
      <c r="K904" s="4">
        <v>1</v>
      </c>
      <c r="L904" s="4">
        <v>2056</v>
      </c>
      <c r="M904" s="6">
        <v>49.380600000000001</v>
      </c>
      <c r="N904" s="9">
        <v>-121.52597</v>
      </c>
      <c r="O904" s="9" t="s">
        <v>51</v>
      </c>
      <c r="P904" s="9">
        <v>67</v>
      </c>
      <c r="Q904" s="20">
        <v>1</v>
      </c>
      <c r="R904" s="9" t="s">
        <v>1888</v>
      </c>
      <c r="S904" s="9" t="s">
        <v>1737</v>
      </c>
      <c r="T904" s="9">
        <v>38</v>
      </c>
      <c r="U904" s="9" t="s">
        <v>645</v>
      </c>
      <c r="V904" s="9"/>
      <c r="W904" s="21">
        <v>37257</v>
      </c>
      <c r="X904" s="9" t="s">
        <v>1738</v>
      </c>
      <c r="AO904" s="4" t="s">
        <v>1888</v>
      </c>
      <c r="AP904" s="4">
        <v>67</v>
      </c>
      <c r="AQ904" s="4" t="s">
        <v>1700</v>
      </c>
      <c r="AR904" s="4" t="s">
        <v>1739</v>
      </c>
      <c r="AS904" s="4" t="s">
        <v>1740</v>
      </c>
      <c r="AT904" s="4" t="s">
        <v>1741</v>
      </c>
      <c r="AU904" s="4" t="s">
        <v>1772</v>
      </c>
      <c r="AV904" s="4" t="s">
        <v>1720</v>
      </c>
      <c r="AW904" s="4" t="s">
        <v>1705</v>
      </c>
      <c r="AX904" s="4" t="s">
        <v>1883</v>
      </c>
      <c r="AY904" s="4">
        <v>49.380600000000001</v>
      </c>
      <c r="AZ904" s="4">
        <v>-121.52589999999999</v>
      </c>
      <c r="BA904" s="4">
        <v>42</v>
      </c>
    </row>
    <row r="905" spans="1:53" ht="14.25" customHeight="1" x14ac:dyDescent="0.2">
      <c r="A905" s="136" t="s">
        <v>88</v>
      </c>
      <c r="B905" s="4">
        <v>12</v>
      </c>
      <c r="C905" s="4" t="s">
        <v>1711</v>
      </c>
      <c r="D905" s="4">
        <v>71</v>
      </c>
      <c r="E905" s="4">
        <v>1655</v>
      </c>
      <c r="F905" s="16" t="s">
        <v>1898</v>
      </c>
      <c r="G905" s="36" t="s">
        <v>1899</v>
      </c>
      <c r="H905" s="4" t="s">
        <v>1900</v>
      </c>
      <c r="I905" s="4" t="s">
        <v>1664</v>
      </c>
      <c r="J905" s="4" t="s">
        <v>1715</v>
      </c>
      <c r="K905" s="4">
        <v>1</v>
      </c>
      <c r="L905" s="4">
        <v>2058</v>
      </c>
      <c r="M905" s="223"/>
      <c r="U905"/>
      <c r="AO905" s="4" t="s">
        <v>1898</v>
      </c>
      <c r="AP905" s="4">
        <v>71</v>
      </c>
      <c r="AQ905" s="4" t="s">
        <v>1716</v>
      </c>
      <c r="AR905" s="4" t="s">
        <v>1717</v>
      </c>
      <c r="AS905" s="4" t="s">
        <v>1718</v>
      </c>
      <c r="AT905" s="4" t="s">
        <v>1719</v>
      </c>
      <c r="AU905" s="4" t="s">
        <v>1703</v>
      </c>
      <c r="AV905" s="4" t="s">
        <v>1720</v>
      </c>
      <c r="AW905" s="4" t="s">
        <v>1705</v>
      </c>
      <c r="AX905" s="4" t="s">
        <v>1879</v>
      </c>
      <c r="AY905" s="4">
        <v>50.2</v>
      </c>
      <c r="AZ905" s="4">
        <v>-122.5</v>
      </c>
      <c r="BA905" s="4">
        <v>2</v>
      </c>
    </row>
    <row r="906" spans="1:53" ht="14.25" customHeight="1" x14ac:dyDescent="0.2">
      <c r="A906" s="136" t="s">
        <v>88</v>
      </c>
      <c r="B906" s="4">
        <v>12</v>
      </c>
      <c r="C906" s="4" t="s">
        <v>1711</v>
      </c>
      <c r="D906" s="4">
        <v>72</v>
      </c>
      <c r="E906" s="4">
        <v>1656</v>
      </c>
      <c r="F906" s="188" t="s">
        <v>1901</v>
      </c>
      <c r="G906" s="36" t="s">
        <v>1902</v>
      </c>
      <c r="H906" s="4" t="s">
        <v>1903</v>
      </c>
      <c r="I906" s="4" t="s">
        <v>641</v>
      </c>
      <c r="J906" s="4" t="s">
        <v>1865</v>
      </c>
      <c r="K906" s="4">
        <v>1</v>
      </c>
      <c r="L906" s="4">
        <v>2059</v>
      </c>
      <c r="M906" s="6">
        <v>49.264499999999998</v>
      </c>
      <c r="N906" s="9">
        <v>-122.57328</v>
      </c>
      <c r="O906" s="9" t="s">
        <v>183</v>
      </c>
      <c r="P906" s="9">
        <v>72</v>
      </c>
      <c r="Q906" s="20">
        <v>4</v>
      </c>
      <c r="R906" s="9" t="s">
        <v>1901</v>
      </c>
      <c r="S906" s="9" t="s">
        <v>1737</v>
      </c>
      <c r="T906" s="201" t="s">
        <v>1904</v>
      </c>
      <c r="U906" s="9" t="s">
        <v>645</v>
      </c>
      <c r="V906" s="9"/>
      <c r="W906" s="21">
        <v>29587</v>
      </c>
      <c r="X906" s="9" t="s">
        <v>1738</v>
      </c>
      <c r="AO906" s="4" t="s">
        <v>1901</v>
      </c>
      <c r="AP906" s="4">
        <v>72</v>
      </c>
      <c r="AQ906" s="4" t="s">
        <v>1700</v>
      </c>
      <c r="AR906" s="4" t="s">
        <v>1739</v>
      </c>
      <c r="AS906" s="4" t="s">
        <v>1740</v>
      </c>
      <c r="AT906" s="4" t="s">
        <v>1741</v>
      </c>
      <c r="AU906" s="4" t="s">
        <v>1772</v>
      </c>
      <c r="AV906" s="4" t="s">
        <v>1720</v>
      </c>
      <c r="AW906" s="4" t="s">
        <v>1705</v>
      </c>
      <c r="AX906" s="4" t="s">
        <v>1883</v>
      </c>
      <c r="AY906" s="4">
        <v>49.264499999999998</v>
      </c>
      <c r="AZ906" s="4">
        <v>-122.5732</v>
      </c>
      <c r="BA906" s="4">
        <v>146</v>
      </c>
    </row>
    <row r="907" spans="1:53" ht="14.25" customHeight="1" x14ac:dyDescent="0.2">
      <c r="A907" s="136" t="s">
        <v>88</v>
      </c>
      <c r="B907" s="4">
        <v>12</v>
      </c>
      <c r="C907" s="4" t="s">
        <v>1711</v>
      </c>
      <c r="D907" s="4">
        <v>75</v>
      </c>
      <c r="E907" s="4">
        <v>1659</v>
      </c>
      <c r="F907" s="188" t="s">
        <v>1913</v>
      </c>
      <c r="G907" s="201" t="s">
        <v>7851</v>
      </c>
      <c r="H907" s="4" t="s">
        <v>1915</v>
      </c>
      <c r="I907" s="4" t="s">
        <v>641</v>
      </c>
      <c r="J907" s="4" t="s">
        <v>1736</v>
      </c>
      <c r="K907" s="4">
        <v>1</v>
      </c>
      <c r="L907" s="4">
        <v>2062</v>
      </c>
      <c r="M907" s="6">
        <v>50.567999999999998</v>
      </c>
      <c r="N907" s="9">
        <v>-124.07299999999999</v>
      </c>
      <c r="O907" s="9" t="s">
        <v>51</v>
      </c>
      <c r="P907" s="9">
        <v>75</v>
      </c>
      <c r="Q907" s="20">
        <v>1</v>
      </c>
      <c r="R907" s="9" t="s">
        <v>1913</v>
      </c>
      <c r="S907" s="9" t="s">
        <v>1737</v>
      </c>
      <c r="T907" s="9">
        <v>10</v>
      </c>
      <c r="U907" s="9"/>
      <c r="V907" s="9"/>
      <c r="W907" s="21">
        <v>35796</v>
      </c>
      <c r="X907" s="9" t="s">
        <v>1738</v>
      </c>
      <c r="AO907" s="4" t="s">
        <v>1913</v>
      </c>
      <c r="AP907" s="4">
        <v>75</v>
      </c>
      <c r="AQ907" s="4" t="s">
        <v>1716</v>
      </c>
      <c r="AR907" s="4" t="s">
        <v>1739</v>
      </c>
      <c r="AS907" s="4" t="s">
        <v>1740</v>
      </c>
      <c r="AT907" s="4" t="s">
        <v>1741</v>
      </c>
      <c r="AU907" s="4" t="s">
        <v>1742</v>
      </c>
      <c r="AV907" s="4" t="s">
        <v>1720</v>
      </c>
      <c r="AW907" s="4" t="s">
        <v>1705</v>
      </c>
      <c r="AX907" s="4" t="s">
        <v>1837</v>
      </c>
      <c r="AY907" s="4">
        <v>50.571100000000001</v>
      </c>
      <c r="AZ907" s="4">
        <v>-124.07769999999999</v>
      </c>
      <c r="BA907" s="4">
        <v>49</v>
      </c>
    </row>
    <row r="908" spans="1:53" ht="14.25" customHeight="1" x14ac:dyDescent="0.2">
      <c r="A908" s="136" t="s">
        <v>88</v>
      </c>
      <c r="B908" s="4">
        <v>12</v>
      </c>
      <c r="C908" s="4" t="s">
        <v>1711</v>
      </c>
      <c r="D908" s="4">
        <v>82</v>
      </c>
      <c r="E908" s="4">
        <v>1665</v>
      </c>
      <c r="F908" s="188" t="s">
        <v>1927</v>
      </c>
      <c r="G908" s="36" t="s">
        <v>1928</v>
      </c>
      <c r="H908" s="4" t="s">
        <v>1929</v>
      </c>
      <c r="I908" s="4" t="s">
        <v>641</v>
      </c>
      <c r="J908" s="4" t="s">
        <v>1736</v>
      </c>
      <c r="K908" s="4">
        <v>1</v>
      </c>
      <c r="L908" s="4">
        <v>2068</v>
      </c>
      <c r="M908" s="6">
        <v>51.189079999999997</v>
      </c>
      <c r="N908" s="9">
        <v>-125.02807</v>
      </c>
      <c r="O908" s="9" t="s">
        <v>51</v>
      </c>
      <c r="P908" s="9">
        <v>82</v>
      </c>
      <c r="Q908" s="20">
        <v>2</v>
      </c>
      <c r="R908" s="9" t="s">
        <v>1927</v>
      </c>
      <c r="S908" s="9" t="s">
        <v>1737</v>
      </c>
      <c r="T908" s="9">
        <v>126</v>
      </c>
      <c r="U908" s="9"/>
      <c r="V908" s="9"/>
      <c r="W908" s="21">
        <v>29952</v>
      </c>
      <c r="X908" s="9" t="s">
        <v>1738</v>
      </c>
      <c r="AO908" s="4" t="s">
        <v>1927</v>
      </c>
      <c r="AP908" s="4">
        <v>82</v>
      </c>
      <c r="AQ908" s="4" t="s">
        <v>1716</v>
      </c>
      <c r="AR908" s="4" t="s">
        <v>1701</v>
      </c>
      <c r="AS908" s="4" t="s">
        <v>1740</v>
      </c>
      <c r="AT908" s="4" t="s">
        <v>1741</v>
      </c>
      <c r="AU908" s="4" t="s">
        <v>1742</v>
      </c>
      <c r="AV908" s="4" t="s">
        <v>1720</v>
      </c>
      <c r="AW908" s="4" t="s">
        <v>1705</v>
      </c>
      <c r="AX908" s="4" t="s">
        <v>1837</v>
      </c>
      <c r="AY908" s="4">
        <v>51.189100000000003</v>
      </c>
      <c r="AZ908" s="4">
        <v>-125.02809999999999</v>
      </c>
      <c r="BA908" s="4">
        <v>122</v>
      </c>
    </row>
    <row r="909" spans="1:53" ht="14.25" customHeight="1" x14ac:dyDescent="0.2">
      <c r="A909" s="136" t="s">
        <v>88</v>
      </c>
      <c r="B909" s="4">
        <v>12</v>
      </c>
      <c r="C909" s="4" t="s">
        <v>1711</v>
      </c>
      <c r="D909" s="4">
        <v>86</v>
      </c>
      <c r="E909" s="4">
        <v>1668</v>
      </c>
      <c r="F909" s="16" t="s">
        <v>1938</v>
      </c>
      <c r="G909" s="201" t="s">
        <v>1939</v>
      </c>
      <c r="H909" s="4" t="s">
        <v>1940</v>
      </c>
      <c r="I909" s="4" t="s">
        <v>1664</v>
      </c>
      <c r="J909" s="4" t="s">
        <v>1715</v>
      </c>
      <c r="K909" s="4">
        <v>1</v>
      </c>
      <c r="L909" s="4">
        <v>2071</v>
      </c>
      <c r="M909" s="223"/>
      <c r="U909"/>
      <c r="AO909" s="4" t="s">
        <v>1938</v>
      </c>
      <c r="AP909" s="4">
        <v>86</v>
      </c>
      <c r="AQ909" s="4" t="s">
        <v>1716</v>
      </c>
      <c r="AR909" s="4" t="s">
        <v>1717</v>
      </c>
      <c r="AS909" s="4" t="s">
        <v>1718</v>
      </c>
      <c r="AT909" s="4" t="s">
        <v>1719</v>
      </c>
      <c r="AU909" s="4" t="s">
        <v>1703</v>
      </c>
      <c r="AV909" s="4" t="s">
        <v>1720</v>
      </c>
      <c r="AW909" s="4" t="s">
        <v>1705</v>
      </c>
      <c r="AX909" s="4" t="s">
        <v>1837</v>
      </c>
      <c r="AY909" s="4">
        <v>50.6</v>
      </c>
      <c r="AZ909" s="4">
        <v>-124.7</v>
      </c>
      <c r="BA909" s="4">
        <v>6</v>
      </c>
    </row>
    <row r="910" spans="1:53" ht="14.25" customHeight="1" x14ac:dyDescent="0.2">
      <c r="A910" s="136" t="s">
        <v>88</v>
      </c>
      <c r="B910" s="4">
        <v>12</v>
      </c>
      <c r="C910" s="4" t="s">
        <v>1711</v>
      </c>
      <c r="D910" s="4">
        <v>93</v>
      </c>
      <c r="E910" s="4">
        <v>1671</v>
      </c>
      <c r="F910" s="188" t="s">
        <v>1953</v>
      </c>
      <c r="G910" s="36" t="s">
        <v>1954</v>
      </c>
      <c r="H910" s="4" t="s">
        <v>1955</v>
      </c>
      <c r="I910" s="4" t="s">
        <v>641</v>
      </c>
      <c r="J910" s="4" t="s">
        <v>1865</v>
      </c>
      <c r="K910" s="4">
        <v>1</v>
      </c>
      <c r="L910" s="4">
        <v>2074</v>
      </c>
      <c r="M910" s="6">
        <v>53.253227780000003</v>
      </c>
      <c r="N910" s="9">
        <v>-131.88437500000001</v>
      </c>
      <c r="O910" s="9" t="s">
        <v>51</v>
      </c>
      <c r="P910" s="9">
        <v>93</v>
      </c>
      <c r="Q910" s="20">
        <v>1</v>
      </c>
      <c r="R910" s="9" t="s">
        <v>1953</v>
      </c>
      <c r="S910" s="9" t="s">
        <v>1737</v>
      </c>
      <c r="T910" s="9">
        <v>17</v>
      </c>
      <c r="U910" s="9" t="s">
        <v>645</v>
      </c>
      <c r="V910" s="9"/>
      <c r="W910" s="21">
        <v>31413</v>
      </c>
      <c r="X910" s="9" t="s">
        <v>1738</v>
      </c>
      <c r="AO910" s="4" t="s">
        <v>1953</v>
      </c>
      <c r="AP910" s="4">
        <v>93</v>
      </c>
      <c r="AQ910" s="4" t="s">
        <v>1700</v>
      </c>
      <c r="AR910" s="4" t="s">
        <v>1739</v>
      </c>
      <c r="AS910" s="4" t="s">
        <v>1740</v>
      </c>
      <c r="AT910" s="4" t="s">
        <v>1835</v>
      </c>
      <c r="AU910" s="4" t="s">
        <v>1772</v>
      </c>
      <c r="AV910" s="4" t="s">
        <v>1720</v>
      </c>
      <c r="AW910" s="4" t="s">
        <v>1705</v>
      </c>
      <c r="AX910" s="4" t="s">
        <v>1883</v>
      </c>
      <c r="AY910" s="4">
        <v>53.2532</v>
      </c>
      <c r="AZ910" s="4">
        <v>-132.1156</v>
      </c>
      <c r="BA910" s="4">
        <v>21</v>
      </c>
    </row>
    <row r="911" spans="1:53" ht="14.25" customHeight="1" x14ac:dyDescent="0.2">
      <c r="A911" s="136" t="s">
        <v>88</v>
      </c>
      <c r="B911" s="4">
        <v>12</v>
      </c>
      <c r="C911" s="4" t="s">
        <v>1711</v>
      </c>
      <c r="D911" s="4">
        <v>105</v>
      </c>
      <c r="E911" s="4">
        <v>1677</v>
      </c>
      <c r="F911" s="188" t="s">
        <v>1483</v>
      </c>
      <c r="G911" s="36" t="s">
        <v>1977</v>
      </c>
      <c r="H911" s="4" t="s">
        <v>1978</v>
      </c>
      <c r="I911" s="4" t="s">
        <v>641</v>
      </c>
      <c r="J911" s="4" t="s">
        <v>1865</v>
      </c>
      <c r="K911" s="4">
        <v>1</v>
      </c>
      <c r="L911" s="4">
        <v>2080</v>
      </c>
      <c r="M911" s="6">
        <v>54.916930000000001</v>
      </c>
      <c r="N911" s="9">
        <v>-128.85964999999999</v>
      </c>
      <c r="O911" s="9" t="s">
        <v>51</v>
      </c>
      <c r="P911" s="9">
        <v>105</v>
      </c>
      <c r="Q911" s="20">
        <v>2</v>
      </c>
      <c r="R911" s="9" t="s">
        <v>1483</v>
      </c>
      <c r="S911" s="9" t="s">
        <v>1737</v>
      </c>
      <c r="T911" s="9">
        <v>239</v>
      </c>
      <c r="U911" s="9"/>
      <c r="V911" s="9"/>
      <c r="W911" s="21">
        <v>32874</v>
      </c>
      <c r="X911" s="9" t="s">
        <v>1738</v>
      </c>
      <c r="AO911" s="4" t="s">
        <v>1483</v>
      </c>
      <c r="AP911" s="4">
        <v>105</v>
      </c>
      <c r="AQ911" s="4" t="s">
        <v>1716</v>
      </c>
      <c r="AR911" s="4" t="s">
        <v>1739</v>
      </c>
      <c r="AS911" s="4" t="s">
        <v>1740</v>
      </c>
      <c r="AT911" s="4" t="s">
        <v>1741</v>
      </c>
      <c r="AU911" s="4" t="s">
        <v>1742</v>
      </c>
      <c r="AV911" s="4" t="s">
        <v>1720</v>
      </c>
      <c r="AW911" s="4" t="s">
        <v>1947</v>
      </c>
      <c r="AX911" s="4" t="s">
        <v>1973</v>
      </c>
      <c r="AY911" s="4">
        <v>54.916800000000002</v>
      </c>
      <c r="AZ911" s="4">
        <v>-128.8597</v>
      </c>
      <c r="BA911" s="4">
        <v>239</v>
      </c>
    </row>
    <row r="912" spans="1:53" ht="14.25" customHeight="1" x14ac:dyDescent="0.2">
      <c r="A912" s="136" t="s">
        <v>88</v>
      </c>
      <c r="B912" s="4">
        <v>12</v>
      </c>
      <c r="C912" s="4" t="s">
        <v>1711</v>
      </c>
      <c r="D912" s="4">
        <v>106</v>
      </c>
      <c r="E912" s="4">
        <v>1678</v>
      </c>
      <c r="F912" s="188" t="s">
        <v>1979</v>
      </c>
      <c r="G912" s="201" t="s">
        <v>1980</v>
      </c>
      <c r="H912" s="4" t="s">
        <v>1981</v>
      </c>
      <c r="I912" s="4" t="s">
        <v>641</v>
      </c>
      <c r="J912" s="4" t="s">
        <v>1736</v>
      </c>
      <c r="K912" s="4">
        <v>1</v>
      </c>
      <c r="L912" s="4">
        <v>2081</v>
      </c>
      <c r="M912" s="6">
        <v>54.169400000000003</v>
      </c>
      <c r="N912" s="9">
        <v>-128.57579999999999</v>
      </c>
      <c r="O912" s="9" t="s">
        <v>51</v>
      </c>
      <c r="P912" s="9">
        <v>106</v>
      </c>
      <c r="Q912" s="20">
        <v>1</v>
      </c>
      <c r="R912" s="9" t="s">
        <v>1979</v>
      </c>
      <c r="S912" s="9" t="s">
        <v>1737</v>
      </c>
      <c r="T912" s="9">
        <v>75</v>
      </c>
      <c r="U912" s="9" t="s">
        <v>645</v>
      </c>
      <c r="V912" s="9" t="s">
        <v>1830</v>
      </c>
      <c r="W912" s="21">
        <v>34700</v>
      </c>
      <c r="X912" s="9" t="s">
        <v>1738</v>
      </c>
      <c r="AO912" s="4" t="s">
        <v>1979</v>
      </c>
      <c r="AP912" s="4">
        <v>106</v>
      </c>
      <c r="AQ912" s="4" t="s">
        <v>1716</v>
      </c>
      <c r="AR912" s="4" t="s">
        <v>1739</v>
      </c>
      <c r="AS912" s="4" t="s">
        <v>1740</v>
      </c>
      <c r="AT912" s="4" t="s">
        <v>1741</v>
      </c>
      <c r="AU912" s="4" t="s">
        <v>1742</v>
      </c>
      <c r="AV912" s="4" t="s">
        <v>1720</v>
      </c>
      <c r="AW912" s="4" t="s">
        <v>1947</v>
      </c>
      <c r="AX912" s="4" t="s">
        <v>1973</v>
      </c>
      <c r="AY912" s="4">
        <v>54.169600000000003</v>
      </c>
      <c r="AZ912" s="4">
        <v>-128.57589999999999</v>
      </c>
      <c r="BA912" s="4">
        <v>55</v>
      </c>
    </row>
    <row r="913" spans="1:53" ht="14.25" customHeight="1" x14ac:dyDescent="0.2">
      <c r="A913" s="136" t="s">
        <v>88</v>
      </c>
      <c r="B913" s="4">
        <v>12</v>
      </c>
      <c r="C913" s="4" t="s">
        <v>1711</v>
      </c>
      <c r="D913" s="4">
        <v>108</v>
      </c>
      <c r="E913" s="4">
        <v>1679</v>
      </c>
      <c r="F913" s="188" t="s">
        <v>1982</v>
      </c>
      <c r="G913" s="201" t="s">
        <v>1983</v>
      </c>
      <c r="H913" s="4" t="s">
        <v>1984</v>
      </c>
      <c r="I913" s="4" t="s">
        <v>641</v>
      </c>
      <c r="J913" s="4" t="s">
        <v>1736</v>
      </c>
      <c r="K913" s="4">
        <v>1</v>
      </c>
      <c r="L913" s="4">
        <v>2082</v>
      </c>
      <c r="M913" s="6">
        <v>58.4</v>
      </c>
      <c r="N913" s="9">
        <v>-130</v>
      </c>
      <c r="O913" s="9" t="s">
        <v>1577</v>
      </c>
      <c r="P913" s="9">
        <v>108</v>
      </c>
      <c r="Q913" s="20">
        <v>1</v>
      </c>
      <c r="R913" s="9" t="s">
        <v>1985</v>
      </c>
      <c r="S913" s="9" t="s">
        <v>1737</v>
      </c>
      <c r="T913" s="9">
        <v>800</v>
      </c>
      <c r="U913" s="9"/>
      <c r="V913" s="9" t="s">
        <v>1830</v>
      </c>
      <c r="W913" s="21">
        <v>35065</v>
      </c>
      <c r="X913" s="9" t="s">
        <v>1738</v>
      </c>
      <c r="AO913" s="4" t="s">
        <v>1985</v>
      </c>
      <c r="AP913" s="4">
        <v>108</v>
      </c>
      <c r="AQ913" s="4" t="s">
        <v>1716</v>
      </c>
      <c r="AR913" s="4" t="s">
        <v>1739</v>
      </c>
      <c r="AS913" s="4" t="s">
        <v>1740</v>
      </c>
      <c r="AT913" s="4" t="s">
        <v>1741</v>
      </c>
      <c r="AU913" s="4" t="s">
        <v>1742</v>
      </c>
      <c r="AV913" s="4" t="s">
        <v>1720</v>
      </c>
      <c r="AW913" s="4" t="s">
        <v>1947</v>
      </c>
      <c r="AX913" s="4" t="s">
        <v>1986</v>
      </c>
      <c r="AY913" s="4">
        <v>58.425800000000002</v>
      </c>
      <c r="AZ913" s="4">
        <v>-130.0187</v>
      </c>
      <c r="BA913" s="4">
        <v>797</v>
      </c>
    </row>
    <row r="914" spans="1:53" ht="14.25" customHeight="1" x14ac:dyDescent="0.2">
      <c r="A914" s="136" t="s">
        <v>88</v>
      </c>
      <c r="B914" s="4">
        <v>12</v>
      </c>
      <c r="C914" s="4" t="s">
        <v>1711</v>
      </c>
      <c r="D914" s="4">
        <v>110</v>
      </c>
      <c r="E914" s="4">
        <v>1680</v>
      </c>
      <c r="F914" s="188" t="s">
        <v>1987</v>
      </c>
      <c r="G914" s="201" t="s">
        <v>1988</v>
      </c>
      <c r="H914" s="4" t="s">
        <v>1989</v>
      </c>
      <c r="I914" s="4" t="s">
        <v>641</v>
      </c>
      <c r="J914" s="4" t="s">
        <v>1736</v>
      </c>
      <c r="K914" s="4">
        <v>1</v>
      </c>
      <c r="L914" s="4">
        <v>2083</v>
      </c>
      <c r="M914" s="6">
        <v>57.91413</v>
      </c>
      <c r="N914" s="9">
        <v>-131.17115000000001</v>
      </c>
      <c r="O914" s="9" t="s">
        <v>1577</v>
      </c>
      <c r="P914" s="9">
        <v>110</v>
      </c>
      <c r="Q914" s="20">
        <v>1</v>
      </c>
      <c r="R914" s="9" t="s">
        <v>1987</v>
      </c>
      <c r="S914" s="9" t="s">
        <v>1737</v>
      </c>
      <c r="T914" s="9">
        <v>382</v>
      </c>
      <c r="U914" s="9" t="s">
        <v>645</v>
      </c>
      <c r="V914" s="9" t="s">
        <v>1830</v>
      </c>
      <c r="W914" s="21">
        <v>28491</v>
      </c>
      <c r="X914" s="9" t="s">
        <v>1738</v>
      </c>
      <c r="AO914" s="4" t="s">
        <v>1987</v>
      </c>
      <c r="AP914" s="4">
        <v>110</v>
      </c>
      <c r="AQ914" s="4" t="s">
        <v>1716</v>
      </c>
      <c r="AR914" s="4" t="s">
        <v>1739</v>
      </c>
      <c r="AS914" s="4" t="s">
        <v>1740</v>
      </c>
      <c r="AT914" s="4" t="s">
        <v>1741</v>
      </c>
      <c r="AU914" s="4" t="s">
        <v>1742</v>
      </c>
      <c r="AV914" s="4" t="s">
        <v>1720</v>
      </c>
      <c r="AW914" s="4" t="s">
        <v>1947</v>
      </c>
      <c r="AX914" s="4" t="s">
        <v>1986</v>
      </c>
      <c r="AY914" s="4">
        <v>57.914099999999998</v>
      </c>
      <c r="AZ914" s="4">
        <v>-131.1711</v>
      </c>
      <c r="BA914" s="4">
        <v>382</v>
      </c>
    </row>
    <row r="915" spans="1:53" ht="14.25" customHeight="1" x14ac:dyDescent="0.2">
      <c r="A915" s="136" t="s">
        <v>88</v>
      </c>
      <c r="B915" s="4">
        <v>12</v>
      </c>
      <c r="C915" s="4" t="s">
        <v>1711</v>
      </c>
      <c r="D915" s="4">
        <v>111</v>
      </c>
      <c r="E915" s="4">
        <v>1681</v>
      </c>
      <c r="F915" s="188" t="s">
        <v>1990</v>
      </c>
      <c r="G915" s="201" t="s">
        <v>7852</v>
      </c>
      <c r="H915" s="4" t="s">
        <v>1992</v>
      </c>
      <c r="I915" s="4" t="s">
        <v>641</v>
      </c>
      <c r="J915" s="4" t="s">
        <v>1736</v>
      </c>
      <c r="K915" s="4">
        <v>1</v>
      </c>
      <c r="L915" s="4">
        <v>2084</v>
      </c>
      <c r="M915" s="6">
        <v>59.583329999999997</v>
      </c>
      <c r="N915" s="9">
        <v>-133.66667000000001</v>
      </c>
      <c r="O915" s="9" t="s">
        <v>1577</v>
      </c>
      <c r="P915" s="224">
        <v>111</v>
      </c>
      <c r="Q915" s="20">
        <v>1</v>
      </c>
      <c r="R915" s="9" t="s">
        <v>1990</v>
      </c>
      <c r="S915" s="9" t="s">
        <v>1737</v>
      </c>
      <c r="T915" s="9">
        <v>729</v>
      </c>
      <c r="U915" s="9" t="s">
        <v>645</v>
      </c>
      <c r="V915" s="9" t="s">
        <v>1830</v>
      </c>
      <c r="W915" s="21">
        <v>28126</v>
      </c>
      <c r="X915" s="9" t="s">
        <v>1738</v>
      </c>
      <c r="AO915" s="4" t="s">
        <v>1990</v>
      </c>
      <c r="AP915" s="4">
        <v>111</v>
      </c>
      <c r="AQ915" s="4" t="s">
        <v>1716</v>
      </c>
      <c r="AR915" s="4" t="s">
        <v>1739</v>
      </c>
      <c r="AS915" s="4" t="s">
        <v>1740</v>
      </c>
      <c r="AT915" s="4" t="s">
        <v>1741</v>
      </c>
      <c r="AU915" s="4" t="s">
        <v>1742</v>
      </c>
      <c r="AV915" s="4" t="s">
        <v>1720</v>
      </c>
      <c r="AW915" s="4" t="s">
        <v>1947</v>
      </c>
      <c r="AX915" s="4" t="s">
        <v>1986</v>
      </c>
      <c r="AY915" s="4">
        <v>59.584499999999998</v>
      </c>
      <c r="AZ915" s="4">
        <v>-133.6643</v>
      </c>
      <c r="BA915" s="4">
        <v>719</v>
      </c>
    </row>
    <row r="916" spans="1:53" ht="14.25" customHeight="1" x14ac:dyDescent="0.2">
      <c r="A916" s="136" t="s">
        <v>88</v>
      </c>
      <c r="B916" s="4">
        <v>12</v>
      </c>
      <c r="C916" s="4" t="s">
        <v>1711</v>
      </c>
      <c r="D916" s="4">
        <v>112</v>
      </c>
      <c r="E916" s="4">
        <v>1682</v>
      </c>
      <c r="F916" s="188" t="s">
        <v>1993</v>
      </c>
      <c r="G916" s="201" t="s">
        <v>1994</v>
      </c>
      <c r="H916" s="4" t="s">
        <v>1995</v>
      </c>
      <c r="I916" s="4" t="s">
        <v>641</v>
      </c>
      <c r="J916" s="4" t="s">
        <v>1736</v>
      </c>
      <c r="K916" s="4">
        <v>1</v>
      </c>
      <c r="L916" s="4">
        <v>2085</v>
      </c>
      <c r="M916" s="6">
        <v>57.856670000000001</v>
      </c>
      <c r="N916" s="9">
        <v>-130.00833</v>
      </c>
      <c r="O916" s="9" t="s">
        <v>1577</v>
      </c>
      <c r="P916" s="9">
        <v>112</v>
      </c>
      <c r="Q916" s="20">
        <v>2</v>
      </c>
      <c r="R916" s="9" t="s">
        <v>1993</v>
      </c>
      <c r="S916" s="9" t="s">
        <v>1737</v>
      </c>
      <c r="T916" s="9">
        <v>890</v>
      </c>
      <c r="U916" s="9" t="s">
        <v>645</v>
      </c>
      <c r="V916" s="9" t="s">
        <v>1830</v>
      </c>
      <c r="W916" s="21">
        <v>28856</v>
      </c>
      <c r="X916" s="9" t="s">
        <v>1738</v>
      </c>
      <c r="AO916" s="4" t="s">
        <v>1993</v>
      </c>
      <c r="AP916" s="4">
        <v>112</v>
      </c>
      <c r="AQ916" s="4" t="s">
        <v>1716</v>
      </c>
      <c r="AR916" s="4" t="s">
        <v>1739</v>
      </c>
      <c r="AS916" s="4" t="s">
        <v>1740</v>
      </c>
      <c r="AT916" s="4" t="s">
        <v>1741</v>
      </c>
      <c r="AU916" s="4" t="s">
        <v>1742</v>
      </c>
      <c r="AV916" s="4" t="s">
        <v>1720</v>
      </c>
      <c r="AW916" s="4" t="s">
        <v>1947</v>
      </c>
      <c r="AX916" s="4" t="s">
        <v>1986</v>
      </c>
      <c r="AY916" s="4">
        <v>57.861699999999999</v>
      </c>
      <c r="AZ916" s="4">
        <v>-130.0181</v>
      </c>
      <c r="BA916" s="4">
        <v>857</v>
      </c>
    </row>
    <row r="917" spans="1:53" ht="14.25" customHeight="1" x14ac:dyDescent="0.2">
      <c r="A917" s="136" t="s">
        <v>88</v>
      </c>
      <c r="B917" s="4">
        <v>12</v>
      </c>
      <c r="C917" s="4" t="s">
        <v>1711</v>
      </c>
      <c r="D917" s="4">
        <v>117</v>
      </c>
      <c r="E917" s="4">
        <v>1685</v>
      </c>
      <c r="F917" s="188" t="s">
        <v>2005</v>
      </c>
      <c r="G917" s="201" t="s">
        <v>2006</v>
      </c>
      <c r="H917" s="4" t="s">
        <v>2007</v>
      </c>
      <c r="I917" s="4" t="s">
        <v>641</v>
      </c>
      <c r="J917" s="4" t="s">
        <v>1865</v>
      </c>
      <c r="K917" s="4">
        <v>1</v>
      </c>
      <c r="L917" s="4">
        <v>2088</v>
      </c>
      <c r="M917" s="6">
        <v>58.83811</v>
      </c>
      <c r="N917" s="9">
        <v>-121.39666</v>
      </c>
      <c r="O917" s="9" t="s">
        <v>2008</v>
      </c>
      <c r="P917" s="9">
        <v>117</v>
      </c>
      <c r="Q917" s="20">
        <v>5</v>
      </c>
      <c r="R917" s="9" t="s">
        <v>2005</v>
      </c>
      <c r="S917" s="9" t="s">
        <v>1737</v>
      </c>
      <c r="T917" s="9">
        <v>584</v>
      </c>
      <c r="U917" s="9" t="s">
        <v>645</v>
      </c>
      <c r="V917" s="9"/>
      <c r="W917" s="21">
        <v>29587</v>
      </c>
      <c r="X917" s="9" t="s">
        <v>1738</v>
      </c>
      <c r="AO917" s="4" t="s">
        <v>2005</v>
      </c>
      <c r="AP917" s="4">
        <v>117</v>
      </c>
      <c r="AQ917" s="4" t="s">
        <v>1716</v>
      </c>
      <c r="AR917" s="4" t="s">
        <v>1739</v>
      </c>
      <c r="AS917" s="4" t="s">
        <v>1740</v>
      </c>
      <c r="AT917" s="4" t="s">
        <v>1741</v>
      </c>
      <c r="AU917" s="4" t="s">
        <v>1959</v>
      </c>
      <c r="AV917" s="4" t="s">
        <v>1720</v>
      </c>
      <c r="AW917" s="4" t="s">
        <v>2003</v>
      </c>
      <c r="AX917" s="4" t="s">
        <v>2009</v>
      </c>
      <c r="AY917" s="4">
        <v>58.838099999999997</v>
      </c>
      <c r="AZ917" s="4">
        <v>-121.3967</v>
      </c>
      <c r="BA917" s="4">
        <v>573</v>
      </c>
    </row>
    <row r="918" spans="1:53" ht="14.25" customHeight="1" x14ac:dyDescent="0.2">
      <c r="A918" s="136" t="s">
        <v>88</v>
      </c>
      <c r="B918" s="4">
        <v>12</v>
      </c>
      <c r="C918" s="4" t="s">
        <v>1711</v>
      </c>
      <c r="D918" s="4">
        <v>118</v>
      </c>
      <c r="E918" s="4">
        <v>1686</v>
      </c>
      <c r="F918" s="188" t="s">
        <v>2010</v>
      </c>
      <c r="G918" s="201" t="s">
        <v>2011</v>
      </c>
      <c r="H918" s="4" t="s">
        <v>2012</v>
      </c>
      <c r="I918" s="4" t="s">
        <v>641</v>
      </c>
      <c r="J918" s="4" t="s">
        <v>1736</v>
      </c>
      <c r="K918" s="4">
        <v>1</v>
      </c>
      <c r="L918" s="4">
        <v>2089</v>
      </c>
      <c r="M918" s="6">
        <v>59.420999999999999</v>
      </c>
      <c r="N918" s="9">
        <v>-120.78892</v>
      </c>
      <c r="O918" s="9" t="s">
        <v>2008</v>
      </c>
      <c r="P918" s="9">
        <v>118</v>
      </c>
      <c r="Q918" s="20">
        <v>6</v>
      </c>
      <c r="R918" s="9" t="s">
        <v>2010</v>
      </c>
      <c r="S918" s="9" t="s">
        <v>1737</v>
      </c>
      <c r="T918" s="9">
        <v>598</v>
      </c>
      <c r="U918" s="9" t="s">
        <v>645</v>
      </c>
      <c r="V918" s="9"/>
      <c r="W918" s="21">
        <v>30317</v>
      </c>
      <c r="X918" s="9" t="s">
        <v>1738</v>
      </c>
      <c r="AO918" s="4" t="s">
        <v>2010</v>
      </c>
      <c r="AP918" s="4">
        <v>118</v>
      </c>
      <c r="AQ918" s="4" t="s">
        <v>1716</v>
      </c>
      <c r="AR918" s="4" t="s">
        <v>1739</v>
      </c>
      <c r="AS918" s="4" t="s">
        <v>1740</v>
      </c>
      <c r="AT918" s="4" t="s">
        <v>1741</v>
      </c>
      <c r="AU918" s="4" t="s">
        <v>1742</v>
      </c>
      <c r="AV918" s="4" t="s">
        <v>1720</v>
      </c>
      <c r="AW918" s="4" t="s">
        <v>2003</v>
      </c>
      <c r="AX918" s="4" t="s">
        <v>2009</v>
      </c>
      <c r="AY918" s="4">
        <v>59.421100000000003</v>
      </c>
      <c r="AZ918" s="4">
        <v>-120.7889</v>
      </c>
      <c r="BA918" s="4">
        <v>588</v>
      </c>
    </row>
    <row r="919" spans="1:53" ht="14.25" customHeight="1" x14ac:dyDescent="0.2">
      <c r="A919" s="136" t="s">
        <v>88</v>
      </c>
      <c r="B919" s="4">
        <v>12</v>
      </c>
      <c r="C919" s="4" t="s">
        <v>1711</v>
      </c>
      <c r="D919" s="4">
        <v>119</v>
      </c>
      <c r="E919" s="4">
        <v>1687</v>
      </c>
      <c r="F919" s="188" t="s">
        <v>2013</v>
      </c>
      <c r="G919" s="201" t="s">
        <v>2014</v>
      </c>
      <c r="H919" s="4" t="s">
        <v>2015</v>
      </c>
      <c r="I919" s="4" t="s">
        <v>641</v>
      </c>
      <c r="J919" s="4" t="s">
        <v>1865</v>
      </c>
      <c r="K919" s="4">
        <v>1</v>
      </c>
      <c r="L919" s="4">
        <v>2090</v>
      </c>
      <c r="M919" s="6">
        <v>59.617280000000001</v>
      </c>
      <c r="N919" s="9">
        <v>-124.09851</v>
      </c>
      <c r="O919" s="9" t="s">
        <v>2008</v>
      </c>
      <c r="P919" s="9">
        <v>119</v>
      </c>
      <c r="Q919" s="20">
        <v>6</v>
      </c>
      <c r="R919" s="9" t="s">
        <v>2013</v>
      </c>
      <c r="S919" s="9" t="s">
        <v>1737</v>
      </c>
      <c r="T919" s="9">
        <v>604</v>
      </c>
      <c r="U919" s="9"/>
      <c r="V919" s="9"/>
      <c r="W919" s="21">
        <v>31413</v>
      </c>
      <c r="X919" s="9" t="s">
        <v>1738</v>
      </c>
      <c r="AO919" s="4" t="s">
        <v>2013</v>
      </c>
      <c r="AP919" s="4">
        <v>119</v>
      </c>
      <c r="AQ919" s="4" t="s">
        <v>1716</v>
      </c>
      <c r="AR919" s="4" t="s">
        <v>1739</v>
      </c>
      <c r="AS919" s="4" t="s">
        <v>1740</v>
      </c>
      <c r="AT919" s="4" t="s">
        <v>1741</v>
      </c>
      <c r="AU919" s="4" t="s">
        <v>1742</v>
      </c>
      <c r="AV919" s="4" t="s">
        <v>1720</v>
      </c>
      <c r="AW919" s="4" t="s">
        <v>2003</v>
      </c>
      <c r="AX919" s="4" t="s">
        <v>2009</v>
      </c>
      <c r="AY919" s="4">
        <v>59.6173</v>
      </c>
      <c r="AZ919" s="4">
        <v>-124.0985</v>
      </c>
      <c r="BA919" s="4">
        <v>660</v>
      </c>
    </row>
    <row r="920" spans="1:53" ht="14.25" customHeight="1" x14ac:dyDescent="0.2">
      <c r="A920" s="136" t="s">
        <v>88</v>
      </c>
      <c r="B920" s="4">
        <v>12</v>
      </c>
      <c r="C920" s="4" t="s">
        <v>1711</v>
      </c>
      <c r="D920" s="4">
        <v>120</v>
      </c>
      <c r="E920" s="4">
        <v>1688</v>
      </c>
      <c r="F920" s="188" t="s">
        <v>2016</v>
      </c>
      <c r="G920" s="36" t="s">
        <v>2017</v>
      </c>
      <c r="H920" s="4" t="s">
        <v>2018</v>
      </c>
      <c r="I920" s="4" t="s">
        <v>641</v>
      </c>
      <c r="J920" s="4" t="s">
        <v>1865</v>
      </c>
      <c r="K920" s="4">
        <v>1</v>
      </c>
      <c r="L920" s="4">
        <v>2091</v>
      </c>
      <c r="M920" s="6">
        <v>57.496780000000001</v>
      </c>
      <c r="N920" s="9">
        <v>-121.29695</v>
      </c>
      <c r="O920" s="9" t="s">
        <v>153</v>
      </c>
      <c r="P920" s="9">
        <v>120</v>
      </c>
      <c r="Q920" s="20">
        <v>6</v>
      </c>
      <c r="R920" s="9" t="s">
        <v>2016</v>
      </c>
      <c r="S920" s="9" t="s">
        <v>1737</v>
      </c>
      <c r="T920" s="9">
        <v>835</v>
      </c>
      <c r="U920" s="9"/>
      <c r="V920" s="9"/>
      <c r="W920" s="21">
        <v>31413</v>
      </c>
      <c r="X920" s="9" t="s">
        <v>1738</v>
      </c>
      <c r="AO920" s="4" t="s">
        <v>2016</v>
      </c>
      <c r="AP920" s="4">
        <v>120</v>
      </c>
      <c r="AQ920" s="4" t="s">
        <v>1716</v>
      </c>
      <c r="AR920" s="4" t="s">
        <v>1739</v>
      </c>
      <c r="AS920" s="4" t="s">
        <v>1740</v>
      </c>
      <c r="AT920" s="4" t="s">
        <v>1741</v>
      </c>
      <c r="AU920" s="4" t="s">
        <v>1742</v>
      </c>
      <c r="AV920" s="4" t="s">
        <v>1720</v>
      </c>
      <c r="AW920" s="4" t="s">
        <v>2003</v>
      </c>
      <c r="AX920" s="4" t="s">
        <v>2004</v>
      </c>
      <c r="AY920" s="4">
        <v>57.374499999999998</v>
      </c>
      <c r="AZ920" s="4">
        <v>-121.40689999999999</v>
      </c>
      <c r="BA920" s="4">
        <v>835</v>
      </c>
    </row>
    <row r="921" spans="1:53" ht="14.25" customHeight="1" x14ac:dyDescent="0.2">
      <c r="A921" s="136" t="s">
        <v>88</v>
      </c>
      <c r="B921" s="4">
        <v>12</v>
      </c>
      <c r="C921" s="4" t="s">
        <v>1711</v>
      </c>
      <c r="D921" s="4">
        <v>129</v>
      </c>
      <c r="E921" s="4">
        <v>1696</v>
      </c>
      <c r="F921" s="188" t="s">
        <v>2047</v>
      </c>
      <c r="G921" s="36" t="s">
        <v>2048</v>
      </c>
      <c r="H921" s="4" t="s">
        <v>2049</v>
      </c>
      <c r="I921" s="4" t="s">
        <v>641</v>
      </c>
      <c r="J921" s="4" t="s">
        <v>1736</v>
      </c>
      <c r="K921" s="4">
        <v>1</v>
      </c>
      <c r="L921" s="4">
        <v>2099</v>
      </c>
      <c r="M921" s="193">
        <v>57.076529999999998</v>
      </c>
      <c r="N921" s="4">
        <v>-122.55906</v>
      </c>
      <c r="O921" s="4" t="s">
        <v>2008</v>
      </c>
      <c r="P921" s="4">
        <v>129</v>
      </c>
      <c r="Q921" s="4">
        <v>8</v>
      </c>
      <c r="R921" s="4" t="s">
        <v>2050</v>
      </c>
      <c r="S921" s="4" t="s">
        <v>1737</v>
      </c>
      <c r="T921" s="4">
        <v>989</v>
      </c>
      <c r="U921"/>
      <c r="W921" s="4">
        <v>30317</v>
      </c>
      <c r="X921" s="4" t="s">
        <v>1738</v>
      </c>
      <c r="AO921" s="4" t="s">
        <v>2050</v>
      </c>
      <c r="AP921" s="4">
        <v>129</v>
      </c>
      <c r="AQ921" s="4" t="s">
        <v>1716</v>
      </c>
      <c r="AR921" s="4" t="s">
        <v>1739</v>
      </c>
      <c r="AS921" s="4" t="s">
        <v>1740</v>
      </c>
      <c r="AT921" s="4" t="s">
        <v>1741</v>
      </c>
      <c r="AU921" s="4" t="s">
        <v>1742</v>
      </c>
      <c r="AV921" s="4" t="s">
        <v>1720</v>
      </c>
      <c r="AW921" s="4" t="s">
        <v>2003</v>
      </c>
      <c r="AX921" s="4" t="s">
        <v>2004</v>
      </c>
      <c r="AY921" s="4">
        <v>57.087400000000002</v>
      </c>
      <c r="AZ921" s="4">
        <v>-122.5912</v>
      </c>
      <c r="BA921" s="4">
        <v>989</v>
      </c>
    </row>
    <row r="922" spans="1:53" ht="14.25" customHeight="1" x14ac:dyDescent="0.2">
      <c r="A922" s="136" t="s">
        <v>88</v>
      </c>
      <c r="B922" s="4">
        <v>12</v>
      </c>
      <c r="C922" s="4" t="s">
        <v>1711</v>
      </c>
      <c r="D922" s="4">
        <v>131</v>
      </c>
      <c r="E922" s="4">
        <v>1698</v>
      </c>
      <c r="F922" s="188" t="s">
        <v>2054</v>
      </c>
      <c r="G922" s="36" t="s">
        <v>2055</v>
      </c>
      <c r="H922" s="4" t="s">
        <v>2056</v>
      </c>
      <c r="I922" s="4" t="s">
        <v>641</v>
      </c>
      <c r="J922" s="4" t="s">
        <v>1865</v>
      </c>
      <c r="K922" s="4">
        <v>1</v>
      </c>
      <c r="L922" s="4">
        <v>2101</v>
      </c>
      <c r="M922" s="193">
        <v>57.884250000000002</v>
      </c>
      <c r="N922" s="4">
        <v>-123.6163</v>
      </c>
      <c r="O922" s="4" t="s">
        <v>2008</v>
      </c>
      <c r="P922" s="4">
        <v>131</v>
      </c>
      <c r="Q922" s="4">
        <v>7</v>
      </c>
      <c r="R922" s="4" t="s">
        <v>2054</v>
      </c>
      <c r="S922" s="4" t="s">
        <v>1737</v>
      </c>
      <c r="T922" s="4">
        <v>780</v>
      </c>
      <c r="U922"/>
      <c r="W922" s="4">
        <v>30317</v>
      </c>
      <c r="X922" s="4" t="s">
        <v>1738</v>
      </c>
      <c r="AO922" s="4" t="s">
        <v>2054</v>
      </c>
      <c r="AP922" s="4">
        <v>131</v>
      </c>
      <c r="AQ922" s="4" t="s">
        <v>1716</v>
      </c>
      <c r="AR922" s="4" t="s">
        <v>1739</v>
      </c>
      <c r="AS922" s="4" t="s">
        <v>1740</v>
      </c>
      <c r="AT922" s="4" t="s">
        <v>1741</v>
      </c>
      <c r="AU922" s="4" t="s">
        <v>1742</v>
      </c>
      <c r="AV922" s="4" t="s">
        <v>1720</v>
      </c>
      <c r="AW922" s="4" t="s">
        <v>2003</v>
      </c>
      <c r="AX922" s="4" t="s">
        <v>2009</v>
      </c>
      <c r="AY922" s="4">
        <v>57.8842</v>
      </c>
      <c r="AZ922" s="4">
        <v>-123.6164</v>
      </c>
      <c r="BA922" s="4">
        <v>769</v>
      </c>
    </row>
    <row r="923" spans="1:53" ht="14.25" customHeight="1" x14ac:dyDescent="0.2">
      <c r="A923" s="136" t="s">
        <v>88</v>
      </c>
      <c r="B923" s="4">
        <v>12</v>
      </c>
      <c r="C923" s="4" t="s">
        <v>1711</v>
      </c>
      <c r="D923" s="4">
        <v>136</v>
      </c>
      <c r="E923" s="4">
        <v>1703</v>
      </c>
      <c r="F923" s="188" t="s">
        <v>2069</v>
      </c>
      <c r="G923" s="201" t="s">
        <v>2070</v>
      </c>
      <c r="H923" s="4" t="s">
        <v>2071</v>
      </c>
      <c r="I923" s="4" t="s">
        <v>641</v>
      </c>
      <c r="J923" s="4" t="s">
        <v>1865</v>
      </c>
      <c r="K923" s="4">
        <v>1</v>
      </c>
      <c r="L923" s="4">
        <v>2106</v>
      </c>
      <c r="M923" s="193">
        <v>56.718499999999999</v>
      </c>
      <c r="N923" s="4">
        <v>-121.76542999999999</v>
      </c>
      <c r="O923" s="4" t="s">
        <v>153</v>
      </c>
      <c r="P923" s="4">
        <v>136</v>
      </c>
      <c r="Q923" s="4">
        <v>8</v>
      </c>
      <c r="R923" s="4" t="s">
        <v>2069</v>
      </c>
      <c r="S923" s="4" t="s">
        <v>1737</v>
      </c>
      <c r="T923" s="4">
        <v>967</v>
      </c>
      <c r="U923" s="4" t="s">
        <v>645</v>
      </c>
      <c r="V923" s="4" t="s">
        <v>1813</v>
      </c>
      <c r="W923" s="4">
        <v>32874</v>
      </c>
      <c r="X923" s="4" t="s">
        <v>1738</v>
      </c>
      <c r="AO923" s="4" t="s">
        <v>2069</v>
      </c>
      <c r="AP923" s="4">
        <v>136</v>
      </c>
      <c r="AQ923" s="4" t="s">
        <v>1700</v>
      </c>
      <c r="AR923" s="4" t="s">
        <v>1739</v>
      </c>
      <c r="AS923" s="4" t="s">
        <v>1740</v>
      </c>
      <c r="AT923" s="4" t="s">
        <v>1835</v>
      </c>
      <c r="AU923" s="4" t="s">
        <v>1772</v>
      </c>
      <c r="AV923" s="4" t="s">
        <v>1720</v>
      </c>
      <c r="AW923" s="4" t="s">
        <v>2003</v>
      </c>
      <c r="AX923" s="4" t="s">
        <v>2004</v>
      </c>
      <c r="AY923" s="4">
        <v>56.718400000000003</v>
      </c>
      <c r="AZ923" s="4">
        <v>-121.7654</v>
      </c>
      <c r="BA923" s="4">
        <v>958</v>
      </c>
    </row>
    <row r="924" spans="1:53" ht="14.25" customHeight="1" x14ac:dyDescent="0.2">
      <c r="A924" s="136" t="s">
        <v>88</v>
      </c>
      <c r="B924" s="4">
        <v>12</v>
      </c>
      <c r="C924" s="4" t="s">
        <v>1711</v>
      </c>
      <c r="D924" s="4">
        <v>140</v>
      </c>
      <c r="E924" s="4">
        <v>1707</v>
      </c>
      <c r="F924" s="188" t="s">
        <v>2081</v>
      </c>
      <c r="G924" s="201" t="s">
        <v>2082</v>
      </c>
      <c r="H924" s="4" t="s">
        <v>2083</v>
      </c>
      <c r="I924" s="4" t="s">
        <v>641</v>
      </c>
      <c r="J924" s="4" t="s">
        <v>1736</v>
      </c>
      <c r="K924" s="4">
        <v>1</v>
      </c>
      <c r="L924" s="4">
        <v>2110</v>
      </c>
      <c r="M924" s="193">
        <v>55.524979999999999</v>
      </c>
      <c r="N924" s="4">
        <v>-122.5171</v>
      </c>
      <c r="O924" s="4" t="s">
        <v>1290</v>
      </c>
      <c r="P924" s="4">
        <v>140</v>
      </c>
      <c r="Q924" s="4">
        <v>1</v>
      </c>
      <c r="R924" s="4" t="s">
        <v>2081</v>
      </c>
      <c r="S924" s="4" t="s">
        <v>1737</v>
      </c>
      <c r="T924" s="4">
        <v>757</v>
      </c>
      <c r="U924" s="4" t="s">
        <v>645</v>
      </c>
      <c r="W924" s="4">
        <v>32143</v>
      </c>
      <c r="X924" s="4" t="s">
        <v>1738</v>
      </c>
      <c r="AO924" s="4" t="s">
        <v>2081</v>
      </c>
      <c r="AP924" s="4">
        <v>140</v>
      </c>
      <c r="AQ924" s="4" t="s">
        <v>1716</v>
      </c>
      <c r="AR924" s="4" t="s">
        <v>1739</v>
      </c>
      <c r="AS924" s="4" t="s">
        <v>1740</v>
      </c>
      <c r="AT924" s="4" t="s">
        <v>1741</v>
      </c>
      <c r="AU924" s="4" t="s">
        <v>1742</v>
      </c>
      <c r="AV924" s="4" t="s">
        <v>1720</v>
      </c>
      <c r="AW924" s="4" t="s">
        <v>2003</v>
      </c>
      <c r="AX924" s="4" t="s">
        <v>2024</v>
      </c>
      <c r="AY924" s="4">
        <v>55.524999999999999</v>
      </c>
      <c r="AZ924" s="4">
        <v>-122.5172</v>
      </c>
      <c r="BA924" s="4">
        <v>747</v>
      </c>
    </row>
    <row r="925" spans="1:53" ht="14.25" customHeight="1" x14ac:dyDescent="0.2">
      <c r="A925" s="136" t="s">
        <v>88</v>
      </c>
      <c r="B925" s="4">
        <v>12</v>
      </c>
      <c r="C925" s="4" t="s">
        <v>1711</v>
      </c>
      <c r="D925" s="4">
        <v>144</v>
      </c>
      <c r="E925" s="4">
        <v>1709</v>
      </c>
      <c r="F925" s="188" t="s">
        <v>2088</v>
      </c>
      <c r="G925" s="201" t="s">
        <v>2089</v>
      </c>
      <c r="H925" s="4" t="s">
        <v>2090</v>
      </c>
      <c r="I925" s="4" t="s">
        <v>641</v>
      </c>
      <c r="J925" s="4" t="s">
        <v>1865</v>
      </c>
      <c r="K925" s="4">
        <v>1</v>
      </c>
      <c r="L925" s="4">
        <v>2112</v>
      </c>
      <c r="M925" s="193">
        <v>54.716169999999998</v>
      </c>
      <c r="N925" s="4">
        <v>-122.27417</v>
      </c>
      <c r="O925" s="4" t="s">
        <v>1290</v>
      </c>
      <c r="P925" s="4">
        <v>144</v>
      </c>
      <c r="Q925" s="4">
        <v>1</v>
      </c>
      <c r="R925" s="4" t="s">
        <v>2088</v>
      </c>
      <c r="S925" s="4" t="s">
        <v>1737</v>
      </c>
      <c r="T925" s="4">
        <v>760</v>
      </c>
      <c r="U925"/>
      <c r="W925" s="4">
        <v>31778</v>
      </c>
      <c r="X925" s="4" t="s">
        <v>1738</v>
      </c>
      <c r="AO925" s="4" t="s">
        <v>2088</v>
      </c>
      <c r="AP925" s="4">
        <v>144</v>
      </c>
      <c r="AQ925" s="4" t="s">
        <v>1700</v>
      </c>
      <c r="AR925" s="4" t="s">
        <v>1739</v>
      </c>
      <c r="AS925" s="4" t="s">
        <v>1740</v>
      </c>
      <c r="AT925" s="4" t="s">
        <v>1835</v>
      </c>
      <c r="AU925" s="4" t="s">
        <v>1959</v>
      </c>
      <c r="AV925" s="4" t="s">
        <v>1720</v>
      </c>
      <c r="AW925" s="4" t="s">
        <v>2003</v>
      </c>
      <c r="AX925" s="4" t="s">
        <v>2091</v>
      </c>
      <c r="AY925" s="4">
        <v>54.715800000000002</v>
      </c>
      <c r="AZ925" s="4">
        <v>-122.2747</v>
      </c>
      <c r="BA925" s="4">
        <v>775</v>
      </c>
    </row>
    <row r="926" spans="1:53" ht="14.25" customHeight="1" x14ac:dyDescent="0.2">
      <c r="A926" s="136" t="s">
        <v>88</v>
      </c>
      <c r="B926" s="9">
        <v>12</v>
      </c>
      <c r="C926" s="4" t="s">
        <v>1711</v>
      </c>
      <c r="D926" s="4">
        <v>146</v>
      </c>
      <c r="E926" s="4">
        <v>1711</v>
      </c>
      <c r="F926" s="188" t="s">
        <v>2096</v>
      </c>
      <c r="G926" s="201" t="s">
        <v>2097</v>
      </c>
      <c r="H926" s="4" t="s">
        <v>2098</v>
      </c>
      <c r="I926" s="4" t="s">
        <v>641</v>
      </c>
      <c r="J926" s="4" t="s">
        <v>1736</v>
      </c>
      <c r="K926" s="4">
        <v>1</v>
      </c>
      <c r="L926" s="4">
        <v>2114</v>
      </c>
      <c r="M926" s="193">
        <v>54.394080000000002</v>
      </c>
      <c r="N926" s="4">
        <v>-124.26097</v>
      </c>
      <c r="O926" s="4" t="s">
        <v>1290</v>
      </c>
      <c r="P926" s="4">
        <v>146</v>
      </c>
      <c r="Q926" s="4">
        <v>1</v>
      </c>
      <c r="R926" s="4" t="s">
        <v>2096</v>
      </c>
      <c r="S926" s="4" t="s">
        <v>1737</v>
      </c>
      <c r="T926" s="4">
        <v>750</v>
      </c>
      <c r="U926"/>
      <c r="W926" s="4">
        <v>28856</v>
      </c>
      <c r="X926" s="4" t="s">
        <v>1738</v>
      </c>
      <c r="Y926" s="9"/>
      <c r="AO926" s="4" t="s">
        <v>2096</v>
      </c>
      <c r="AP926" s="4">
        <v>146</v>
      </c>
      <c r="AQ926" s="4" t="s">
        <v>1700</v>
      </c>
      <c r="AR926" s="4" t="s">
        <v>1739</v>
      </c>
      <c r="AS926" s="4" t="s">
        <v>1740</v>
      </c>
      <c r="AT926" s="4" t="s">
        <v>1741</v>
      </c>
      <c r="AU926" s="4" t="s">
        <v>1772</v>
      </c>
      <c r="AV926" s="4" t="s">
        <v>1720</v>
      </c>
      <c r="AW926" s="4" t="s">
        <v>2003</v>
      </c>
      <c r="AX926" s="4" t="s">
        <v>2099</v>
      </c>
      <c r="AY926" s="4">
        <v>54.394199999999998</v>
      </c>
      <c r="AZ926" s="4">
        <v>-124.2611</v>
      </c>
      <c r="BA926" s="4">
        <v>720</v>
      </c>
    </row>
    <row r="927" spans="1:53" ht="14.25" customHeight="1" x14ac:dyDescent="0.2">
      <c r="A927" s="136" t="s">
        <v>88</v>
      </c>
      <c r="B927" s="9">
        <v>12</v>
      </c>
      <c r="C927" s="4" t="s">
        <v>1711</v>
      </c>
      <c r="D927" s="4">
        <v>148</v>
      </c>
      <c r="E927" s="4">
        <v>1713</v>
      </c>
      <c r="F927" s="188" t="s">
        <v>2103</v>
      </c>
      <c r="G927" s="201" t="s">
        <v>2104</v>
      </c>
      <c r="H927" s="4" t="s">
        <v>2083</v>
      </c>
      <c r="I927" s="4" t="s">
        <v>641</v>
      </c>
      <c r="J927" s="4" t="s">
        <v>1736</v>
      </c>
      <c r="K927" s="4">
        <v>1</v>
      </c>
      <c r="L927" s="4">
        <v>2116</v>
      </c>
      <c r="M927" s="193">
        <v>56.318779999999997</v>
      </c>
      <c r="N927" s="4">
        <v>-125.36797</v>
      </c>
      <c r="O927" s="4" t="s">
        <v>1290</v>
      </c>
      <c r="P927" s="4">
        <v>148</v>
      </c>
      <c r="Q927" s="4">
        <v>5</v>
      </c>
      <c r="R927" s="4" t="s">
        <v>2103</v>
      </c>
      <c r="S927" s="4" t="s">
        <v>1737</v>
      </c>
      <c r="T927" s="4">
        <v>1126</v>
      </c>
      <c r="U927"/>
      <c r="W927" s="4">
        <v>29221</v>
      </c>
      <c r="X927" s="4" t="s">
        <v>1738</v>
      </c>
      <c r="Y927" s="9"/>
      <c r="AO927" s="4" t="s">
        <v>2103</v>
      </c>
      <c r="AP927" s="4">
        <v>148</v>
      </c>
      <c r="AQ927" s="4" t="s">
        <v>1716</v>
      </c>
      <c r="AR927" s="4" t="s">
        <v>1739</v>
      </c>
      <c r="AS927" s="4" t="s">
        <v>1740</v>
      </c>
      <c r="AT927" s="4" t="s">
        <v>1741</v>
      </c>
      <c r="AU927" s="4" t="s">
        <v>1742</v>
      </c>
      <c r="AV927" s="4" t="s">
        <v>1720</v>
      </c>
      <c r="AW927" s="4" t="s">
        <v>2003</v>
      </c>
      <c r="AX927" s="4" t="s">
        <v>2087</v>
      </c>
      <c r="AY927" s="4">
        <v>56.318800000000003</v>
      </c>
      <c r="AZ927" s="4">
        <v>-125.36799999999999</v>
      </c>
      <c r="BA927" s="4">
        <v>1126</v>
      </c>
    </row>
    <row r="928" spans="1:53" ht="14.25" customHeight="1" x14ac:dyDescent="0.2">
      <c r="A928" s="136" t="s">
        <v>88</v>
      </c>
      <c r="B928" s="9">
        <v>12</v>
      </c>
      <c r="C928" s="4" t="s">
        <v>1711</v>
      </c>
      <c r="D928" s="4">
        <v>149</v>
      </c>
      <c r="E928" s="4">
        <v>1714</v>
      </c>
      <c r="F928" s="188" t="s">
        <v>2105</v>
      </c>
      <c r="G928" s="36" t="s">
        <v>2106</v>
      </c>
      <c r="H928" s="4" t="s">
        <v>2107</v>
      </c>
      <c r="I928" s="4" t="s">
        <v>641</v>
      </c>
      <c r="J928" s="4" t="s">
        <v>1736</v>
      </c>
      <c r="K928" s="4">
        <v>1</v>
      </c>
      <c r="L928" s="4">
        <v>2117</v>
      </c>
      <c r="M928" s="193">
        <v>54.509219999999999</v>
      </c>
      <c r="N928" s="4">
        <v>-122.69103</v>
      </c>
      <c r="O928" s="4" t="s">
        <v>1290</v>
      </c>
      <c r="P928" s="4">
        <v>149</v>
      </c>
      <c r="Q928" s="4">
        <v>1</v>
      </c>
      <c r="R928" s="4" t="s">
        <v>2105</v>
      </c>
      <c r="S928" s="4" t="s">
        <v>1737</v>
      </c>
      <c r="T928" s="4">
        <v>739</v>
      </c>
      <c r="U928"/>
      <c r="W928" s="4">
        <v>29221</v>
      </c>
      <c r="X928" s="4" t="s">
        <v>1738</v>
      </c>
      <c r="Y928" s="9"/>
      <c r="AO928" s="4" t="s">
        <v>2105</v>
      </c>
      <c r="AP928" s="4">
        <v>149</v>
      </c>
      <c r="AQ928" s="4" t="s">
        <v>1700</v>
      </c>
      <c r="AR928" s="4" t="s">
        <v>1739</v>
      </c>
      <c r="AS928" s="4" t="s">
        <v>1740</v>
      </c>
      <c r="AT928" s="4" t="s">
        <v>1741</v>
      </c>
      <c r="AU928" s="4" t="s">
        <v>1959</v>
      </c>
      <c r="AV928" s="4" t="s">
        <v>1720</v>
      </c>
      <c r="AW928" s="4" t="s">
        <v>2003</v>
      </c>
      <c r="AX928" s="4" t="s">
        <v>2091</v>
      </c>
      <c r="AY928" s="4">
        <v>54.482399999999998</v>
      </c>
      <c r="AZ928" s="4">
        <v>-122.6829</v>
      </c>
      <c r="BA928" s="4">
        <v>715</v>
      </c>
    </row>
    <row r="929" spans="1:53" ht="14.25" customHeight="1" x14ac:dyDescent="0.2">
      <c r="A929" s="136" t="s">
        <v>88</v>
      </c>
      <c r="B929" s="9">
        <v>12</v>
      </c>
      <c r="C929" s="4" t="s">
        <v>1711</v>
      </c>
      <c r="D929" s="4">
        <v>152</v>
      </c>
      <c r="E929" s="4">
        <v>1717</v>
      </c>
      <c r="F929" s="188" t="s">
        <v>2114</v>
      </c>
      <c r="G929" s="201" t="s">
        <v>2115</v>
      </c>
      <c r="H929" s="4" t="s">
        <v>2116</v>
      </c>
      <c r="I929" s="4" t="s">
        <v>641</v>
      </c>
      <c r="J929" s="4" t="s">
        <v>1865</v>
      </c>
      <c r="K929" s="4">
        <v>1</v>
      </c>
      <c r="L929" s="4">
        <v>2120</v>
      </c>
      <c r="M929" s="6">
        <v>57.851750000000003</v>
      </c>
      <c r="N929" s="9">
        <v>-126.11676</v>
      </c>
      <c r="O929" s="9" t="s">
        <v>1577</v>
      </c>
      <c r="P929" s="9">
        <v>152</v>
      </c>
      <c r="Q929" s="20">
        <v>2</v>
      </c>
      <c r="R929" s="9" t="s">
        <v>2114</v>
      </c>
      <c r="S929" s="9" t="s">
        <v>1737</v>
      </c>
      <c r="T929" s="9">
        <v>985</v>
      </c>
      <c r="U929" s="9" t="s">
        <v>645</v>
      </c>
      <c r="V929" s="9"/>
      <c r="W929" s="21">
        <v>32143</v>
      </c>
      <c r="X929" s="9" t="s">
        <v>1738</v>
      </c>
      <c r="Y929" s="9"/>
      <c r="AO929" s="4" t="s">
        <v>2114</v>
      </c>
      <c r="AP929" s="4">
        <v>152</v>
      </c>
      <c r="AQ929" s="4" t="s">
        <v>1716</v>
      </c>
      <c r="AR929" s="4" t="s">
        <v>1739</v>
      </c>
      <c r="AS929" s="4" t="s">
        <v>1740</v>
      </c>
      <c r="AT929" s="4" t="s">
        <v>1835</v>
      </c>
      <c r="AU929" s="4" t="s">
        <v>1742</v>
      </c>
      <c r="AV929" s="4" t="s">
        <v>1720</v>
      </c>
      <c r="AW929" s="4" t="s">
        <v>2003</v>
      </c>
      <c r="AX929" s="4" t="s">
        <v>2087</v>
      </c>
      <c r="AY929" s="4">
        <v>57.851700000000001</v>
      </c>
      <c r="AZ929" s="4">
        <v>-126.1168</v>
      </c>
      <c r="BA929" s="4">
        <v>968</v>
      </c>
    </row>
    <row r="930" spans="1:53" ht="14.25" customHeight="1" x14ac:dyDescent="0.2">
      <c r="A930" s="136" t="s">
        <v>88</v>
      </c>
      <c r="B930" s="9">
        <v>12</v>
      </c>
      <c r="C930" s="4" t="s">
        <v>1711</v>
      </c>
      <c r="D930" s="4">
        <v>153</v>
      </c>
      <c r="E930" s="4">
        <v>1718</v>
      </c>
      <c r="F930" s="188" t="s">
        <v>2117</v>
      </c>
      <c r="G930" s="201" t="s">
        <v>7853</v>
      </c>
      <c r="H930" s="4" t="s">
        <v>2119</v>
      </c>
      <c r="I930" s="4" t="s">
        <v>641</v>
      </c>
      <c r="J930" s="4" t="s">
        <v>1865</v>
      </c>
      <c r="K930" s="4">
        <v>1</v>
      </c>
      <c r="L930" s="4">
        <v>2121</v>
      </c>
      <c r="M930" s="6">
        <v>54.725529999999999</v>
      </c>
      <c r="N930" s="9">
        <v>-123.07867</v>
      </c>
      <c r="O930" s="9" t="s">
        <v>1290</v>
      </c>
      <c r="P930" s="9">
        <v>153</v>
      </c>
      <c r="Q930" s="20">
        <v>3</v>
      </c>
      <c r="R930" s="9" t="s">
        <v>2117</v>
      </c>
      <c r="S930" s="9" t="s">
        <v>1737</v>
      </c>
      <c r="T930" s="9">
        <v>915</v>
      </c>
      <c r="U930" s="9"/>
      <c r="V930" s="9"/>
      <c r="W930" s="21">
        <v>32874</v>
      </c>
      <c r="X930" s="9" t="s">
        <v>1738</v>
      </c>
      <c r="Y930" s="9"/>
      <c r="AO930" s="4" t="s">
        <v>2117</v>
      </c>
      <c r="AP930" s="4">
        <v>153</v>
      </c>
      <c r="AQ930" s="4" t="s">
        <v>1700</v>
      </c>
      <c r="AR930" s="4" t="s">
        <v>1739</v>
      </c>
      <c r="AS930" s="4" t="s">
        <v>1740</v>
      </c>
      <c r="AT930" s="4" t="s">
        <v>1835</v>
      </c>
      <c r="AU930" s="4" t="s">
        <v>1959</v>
      </c>
      <c r="AV930" s="4" t="s">
        <v>1720</v>
      </c>
      <c r="AW930" s="4" t="s">
        <v>2003</v>
      </c>
      <c r="AX930" s="4" t="s">
        <v>2091</v>
      </c>
      <c r="AY930" s="4">
        <v>54.744199999999999</v>
      </c>
      <c r="AZ930" s="4">
        <v>-123.0187</v>
      </c>
      <c r="BA930" s="4">
        <v>867</v>
      </c>
    </row>
    <row r="931" spans="1:53" ht="14.25" customHeight="1" x14ac:dyDescent="0.2">
      <c r="A931" s="136" t="s">
        <v>88</v>
      </c>
      <c r="B931" s="9">
        <v>12</v>
      </c>
      <c r="C931" s="4" t="s">
        <v>1711</v>
      </c>
      <c r="D931" s="4">
        <v>154</v>
      </c>
      <c r="E931" s="4">
        <v>1719</v>
      </c>
      <c r="F931" s="188" t="s">
        <v>2120</v>
      </c>
      <c r="G931" s="201" t="s">
        <v>2121</v>
      </c>
      <c r="H931" s="4" t="s">
        <v>2122</v>
      </c>
      <c r="I931" s="4" t="s">
        <v>641</v>
      </c>
      <c r="J931" s="4" t="s">
        <v>1736</v>
      </c>
      <c r="K931" s="4">
        <v>1</v>
      </c>
      <c r="L931" s="4">
        <v>2122</v>
      </c>
      <c r="M931" s="6">
        <v>55.023029999999999</v>
      </c>
      <c r="N931" s="9">
        <v>-124.26661</v>
      </c>
      <c r="O931" s="9" t="s">
        <v>1290</v>
      </c>
      <c r="P931" s="9">
        <v>154</v>
      </c>
      <c r="Q931" s="20">
        <v>4</v>
      </c>
      <c r="R931" s="9" t="s">
        <v>2120</v>
      </c>
      <c r="S931" s="9" t="s">
        <v>1737</v>
      </c>
      <c r="T931" s="9">
        <v>1030</v>
      </c>
      <c r="U931" s="9"/>
      <c r="V931" s="9"/>
      <c r="W931" s="21">
        <v>33970</v>
      </c>
      <c r="X931" s="9" t="s">
        <v>1738</v>
      </c>
      <c r="Y931" s="9"/>
      <c r="AO931" s="4" t="s">
        <v>2120</v>
      </c>
      <c r="AP931" s="4">
        <v>154</v>
      </c>
      <c r="AQ931" s="4" t="s">
        <v>1716</v>
      </c>
      <c r="AR931" s="4" t="s">
        <v>1739</v>
      </c>
      <c r="AS931" s="4" t="s">
        <v>1740</v>
      </c>
      <c r="AT931" s="4" t="s">
        <v>1741</v>
      </c>
      <c r="AU931" s="4" t="s">
        <v>1742</v>
      </c>
      <c r="AV931" s="4" t="s">
        <v>1720</v>
      </c>
      <c r="AW931" s="4" t="s">
        <v>2003</v>
      </c>
      <c r="AX931" s="4" t="s">
        <v>2099</v>
      </c>
      <c r="AY931" s="4">
        <v>55.023000000000003</v>
      </c>
      <c r="AZ931" s="4">
        <v>-124.2666</v>
      </c>
      <c r="BA931" s="4">
        <v>1041</v>
      </c>
    </row>
    <row r="932" spans="1:53" ht="14.25" customHeight="1" x14ac:dyDescent="0.2">
      <c r="A932" s="136" t="s">
        <v>88</v>
      </c>
      <c r="B932" s="9">
        <v>12</v>
      </c>
      <c r="C932" s="4" t="s">
        <v>1711</v>
      </c>
      <c r="D932" s="4">
        <v>155</v>
      </c>
      <c r="E932" s="4">
        <v>1720</v>
      </c>
      <c r="F932" s="188" t="s">
        <v>2123</v>
      </c>
      <c r="G932" s="201" t="s">
        <v>2124</v>
      </c>
      <c r="H932" s="4" t="s">
        <v>2125</v>
      </c>
      <c r="I932" s="4" t="s">
        <v>641</v>
      </c>
      <c r="J932" s="4" t="s">
        <v>1736</v>
      </c>
      <c r="K932" s="4">
        <v>1</v>
      </c>
      <c r="L932" s="4">
        <v>2123</v>
      </c>
      <c r="M932" s="6">
        <v>55.322110000000002</v>
      </c>
      <c r="N932" s="9">
        <v>-123.09317</v>
      </c>
      <c r="O932" s="9" t="s">
        <v>1290</v>
      </c>
      <c r="P932" s="9">
        <v>155</v>
      </c>
      <c r="Q932" s="20">
        <v>1</v>
      </c>
      <c r="R932" s="9" t="s">
        <v>2123</v>
      </c>
      <c r="S932" s="9" t="s">
        <v>1737</v>
      </c>
      <c r="T932" s="9">
        <v>690</v>
      </c>
      <c r="U932" s="9"/>
      <c r="V932" s="9"/>
      <c r="W932" s="21">
        <v>34335</v>
      </c>
      <c r="X932" s="9" t="s">
        <v>1738</v>
      </c>
      <c r="Y932" s="9"/>
      <c r="AO932" s="4" t="s">
        <v>2123</v>
      </c>
      <c r="AP932" s="4">
        <v>155</v>
      </c>
      <c r="AQ932" s="4" t="s">
        <v>1700</v>
      </c>
      <c r="AR932" s="4" t="s">
        <v>1739</v>
      </c>
      <c r="AS932" s="4" t="s">
        <v>1740</v>
      </c>
      <c r="AT932" s="4" t="s">
        <v>1835</v>
      </c>
      <c r="AU932" s="4" t="s">
        <v>1772</v>
      </c>
      <c r="AV932" s="4" t="s">
        <v>1720</v>
      </c>
      <c r="AW932" s="4" t="s">
        <v>2003</v>
      </c>
      <c r="AX932" s="4" t="s">
        <v>2087</v>
      </c>
      <c r="AY932" s="4">
        <v>55.2864</v>
      </c>
      <c r="AZ932" s="4">
        <v>-123.1358</v>
      </c>
      <c r="BA932" s="4">
        <v>697</v>
      </c>
    </row>
    <row r="933" spans="1:53" ht="14.25" customHeight="1" x14ac:dyDescent="0.2">
      <c r="A933" s="136" t="s">
        <v>88</v>
      </c>
      <c r="B933" s="9">
        <v>12</v>
      </c>
      <c r="C933" s="4" t="s">
        <v>1711</v>
      </c>
      <c r="D933" s="4">
        <v>156</v>
      </c>
      <c r="E933" s="4">
        <v>1721</v>
      </c>
      <c r="F933" s="188" t="s">
        <v>2126</v>
      </c>
      <c r="G933" s="201" t="s">
        <v>2127</v>
      </c>
      <c r="H933" s="4" t="s">
        <v>2128</v>
      </c>
      <c r="I933" s="4" t="s">
        <v>641</v>
      </c>
      <c r="J933" s="4" t="s">
        <v>1736</v>
      </c>
      <c r="K933" s="4">
        <v>1</v>
      </c>
      <c r="L933" s="4">
        <v>2124</v>
      </c>
      <c r="M933" s="6">
        <v>56.32873</v>
      </c>
      <c r="N933" s="9">
        <v>-127.03425</v>
      </c>
      <c r="O933" s="9" t="s">
        <v>1290</v>
      </c>
      <c r="P933" s="9">
        <v>156</v>
      </c>
      <c r="Q933" s="20">
        <v>3</v>
      </c>
      <c r="R933" s="9" t="s">
        <v>2126</v>
      </c>
      <c r="S933" s="9" t="s">
        <v>1737</v>
      </c>
      <c r="T933" s="9">
        <v>871</v>
      </c>
      <c r="U933" s="9"/>
      <c r="V933" s="9"/>
      <c r="W933" s="21">
        <v>32509</v>
      </c>
      <c r="X933" s="9" t="s">
        <v>1738</v>
      </c>
      <c r="Y933" s="9"/>
      <c r="AO933" s="4" t="s">
        <v>2126</v>
      </c>
      <c r="AP933" s="4">
        <v>156</v>
      </c>
      <c r="AQ933" s="4" t="s">
        <v>1716</v>
      </c>
      <c r="AR933" s="4" t="s">
        <v>1739</v>
      </c>
      <c r="AS933" s="4" t="s">
        <v>1740</v>
      </c>
      <c r="AT933" s="4" t="s">
        <v>1741</v>
      </c>
      <c r="AU933" s="4" t="s">
        <v>1742</v>
      </c>
      <c r="AV933" s="4" t="s">
        <v>1720</v>
      </c>
      <c r="AW933" s="4" t="s">
        <v>2003</v>
      </c>
      <c r="AX933" s="4" t="s">
        <v>2099</v>
      </c>
      <c r="AY933" s="4">
        <v>56.328800000000001</v>
      </c>
      <c r="AZ933" s="4">
        <v>-127.0339</v>
      </c>
      <c r="BA933" s="4">
        <v>819</v>
      </c>
    </row>
    <row r="934" spans="1:53" ht="14.25" customHeight="1" x14ac:dyDescent="0.2">
      <c r="A934" s="136" t="s">
        <v>88</v>
      </c>
      <c r="B934" s="9">
        <v>12</v>
      </c>
      <c r="C934" s="4" t="s">
        <v>1711</v>
      </c>
      <c r="D934" s="4">
        <v>159</v>
      </c>
      <c r="E934" s="4">
        <v>1723</v>
      </c>
      <c r="F934" s="188" t="s">
        <v>2140</v>
      </c>
      <c r="G934" s="201" t="s">
        <v>2141</v>
      </c>
      <c r="H934" s="4" t="s">
        <v>2142</v>
      </c>
      <c r="I934" s="4" t="s">
        <v>641</v>
      </c>
      <c r="J934" s="4" t="s">
        <v>1736</v>
      </c>
      <c r="K934" s="4">
        <v>1</v>
      </c>
      <c r="L934" s="4">
        <v>2126</v>
      </c>
      <c r="M934" s="6">
        <v>54.154629999999997</v>
      </c>
      <c r="N934" s="9">
        <v>-123.75413</v>
      </c>
      <c r="O934" s="9" t="s">
        <v>1290</v>
      </c>
      <c r="P934" s="9">
        <v>159</v>
      </c>
      <c r="Q934" s="20">
        <v>2</v>
      </c>
      <c r="R934" s="9" t="s">
        <v>2140</v>
      </c>
      <c r="S934" s="9" t="s">
        <v>1737</v>
      </c>
      <c r="T934" s="9">
        <v>850</v>
      </c>
      <c r="U934" s="9"/>
      <c r="V934" s="9"/>
      <c r="W934" s="21">
        <v>26299</v>
      </c>
      <c r="X934" s="9" t="s">
        <v>1738</v>
      </c>
      <c r="Y934" s="9"/>
      <c r="AO934" s="4" t="s">
        <v>2140</v>
      </c>
      <c r="AP934" s="4">
        <v>159</v>
      </c>
      <c r="AQ934" s="4" t="s">
        <v>1700</v>
      </c>
      <c r="AR934" s="4" t="s">
        <v>1739</v>
      </c>
      <c r="AS934" s="4" t="s">
        <v>1740</v>
      </c>
      <c r="AT934" s="4" t="s">
        <v>1741</v>
      </c>
      <c r="AU934" s="4" t="s">
        <v>1959</v>
      </c>
      <c r="AV934" s="4" t="s">
        <v>1720</v>
      </c>
      <c r="AW934" s="4" t="s">
        <v>2003</v>
      </c>
      <c r="AX934" s="4" t="s">
        <v>2139</v>
      </c>
      <c r="AY934" s="4">
        <v>54.154600000000002</v>
      </c>
      <c r="AZ934" s="4">
        <v>-123.7542</v>
      </c>
      <c r="BA934" s="4">
        <v>836</v>
      </c>
    </row>
    <row r="935" spans="1:53" ht="14.25" customHeight="1" x14ac:dyDescent="0.2">
      <c r="A935" s="136" t="s">
        <v>88</v>
      </c>
      <c r="B935" s="9">
        <v>12</v>
      </c>
      <c r="C935" s="4" t="s">
        <v>1711</v>
      </c>
      <c r="D935" s="4">
        <v>162</v>
      </c>
      <c r="E935" s="4">
        <v>1725</v>
      </c>
      <c r="F935" s="188" t="s">
        <v>2149</v>
      </c>
      <c r="G935" s="201" t="s">
        <v>2150</v>
      </c>
      <c r="H935" s="4" t="s">
        <v>2151</v>
      </c>
      <c r="I935" s="4" t="s">
        <v>641</v>
      </c>
      <c r="J935" s="4" t="s">
        <v>1865</v>
      </c>
      <c r="K935" s="4">
        <v>1</v>
      </c>
      <c r="L935" s="4">
        <v>2128</v>
      </c>
      <c r="M935" s="6">
        <v>54.411670000000001</v>
      </c>
      <c r="N935" s="9">
        <v>-126.62667</v>
      </c>
      <c r="O935" s="9" t="s">
        <v>148</v>
      </c>
      <c r="P935" s="9">
        <v>162</v>
      </c>
      <c r="Q935" s="20">
        <v>1</v>
      </c>
      <c r="R935" s="9" t="s">
        <v>2149</v>
      </c>
      <c r="S935" s="9" t="s">
        <v>1737</v>
      </c>
      <c r="T935" s="9">
        <v>608</v>
      </c>
      <c r="U935" s="9"/>
      <c r="V935" s="9"/>
      <c r="W935" s="21">
        <v>27030</v>
      </c>
      <c r="X935" s="9" t="s">
        <v>1738</v>
      </c>
      <c r="Y935" s="9"/>
      <c r="AO935" s="4" t="s">
        <v>2152</v>
      </c>
      <c r="AP935" s="4">
        <v>162</v>
      </c>
      <c r="AQ935" s="4" t="s">
        <v>1700</v>
      </c>
      <c r="AR935" s="4" t="s">
        <v>1739</v>
      </c>
      <c r="AS935" s="4" t="s">
        <v>1740</v>
      </c>
      <c r="AT935" s="4" t="s">
        <v>1741</v>
      </c>
      <c r="AU935" s="4" t="s">
        <v>1772</v>
      </c>
      <c r="AV935" s="4" t="s">
        <v>1720</v>
      </c>
      <c r="AW935" s="4" t="s">
        <v>1947</v>
      </c>
      <c r="AX935" s="4" t="s">
        <v>2153</v>
      </c>
      <c r="AY935" s="4">
        <v>54.393900000000002</v>
      </c>
      <c r="AZ935" s="4">
        <v>-126.61750000000001</v>
      </c>
      <c r="BA935" s="4">
        <v>619</v>
      </c>
    </row>
    <row r="936" spans="1:53" ht="14.25" customHeight="1" x14ac:dyDescent="0.2">
      <c r="A936" s="136" t="s">
        <v>88</v>
      </c>
      <c r="B936" s="9">
        <v>12</v>
      </c>
      <c r="C936" s="4" t="s">
        <v>1711</v>
      </c>
      <c r="D936" s="4">
        <v>163</v>
      </c>
      <c r="E936" s="4">
        <v>1726</v>
      </c>
      <c r="F936" s="188" t="s">
        <v>2154</v>
      </c>
      <c r="G936" s="201" t="s">
        <v>2155</v>
      </c>
      <c r="H936" s="4" t="s">
        <v>2156</v>
      </c>
      <c r="I936" s="4" t="s">
        <v>641</v>
      </c>
      <c r="J936" s="4" t="s">
        <v>1736</v>
      </c>
      <c r="K936" s="4">
        <v>1</v>
      </c>
      <c r="L936" s="4">
        <v>2129</v>
      </c>
      <c r="M936" s="6">
        <v>55.688220000000001</v>
      </c>
      <c r="N936" s="9">
        <v>-126.05261</v>
      </c>
      <c r="O936" s="9" t="s">
        <v>1290</v>
      </c>
      <c r="P936" s="9">
        <v>163</v>
      </c>
      <c r="Q936" s="20">
        <v>4</v>
      </c>
      <c r="R936" s="9" t="s">
        <v>2154</v>
      </c>
      <c r="S936" s="9" t="s">
        <v>1737</v>
      </c>
      <c r="T936" s="9">
        <v>990</v>
      </c>
      <c r="U936" s="9"/>
      <c r="V936" s="9"/>
      <c r="W936" s="21">
        <v>28856</v>
      </c>
      <c r="X936" s="9" t="s">
        <v>1738</v>
      </c>
      <c r="Y936" s="9"/>
      <c r="AO936" s="4" t="s">
        <v>2154</v>
      </c>
      <c r="AP936" s="4">
        <v>163</v>
      </c>
      <c r="AQ936" s="4" t="s">
        <v>1716</v>
      </c>
      <c r="AR936" s="4" t="s">
        <v>1739</v>
      </c>
      <c r="AS936" s="4" t="s">
        <v>1740</v>
      </c>
      <c r="AT936" s="4" t="s">
        <v>1741</v>
      </c>
      <c r="AU936" s="4" t="s">
        <v>1742</v>
      </c>
      <c r="AV936" s="4" t="s">
        <v>1720</v>
      </c>
      <c r="AW936" s="4" t="s">
        <v>2003</v>
      </c>
      <c r="AX936" s="4" t="s">
        <v>2099</v>
      </c>
      <c r="AY936" s="4">
        <v>55.688099999999999</v>
      </c>
      <c r="AZ936" s="4">
        <v>-126.05249999999999</v>
      </c>
      <c r="BA936" s="4">
        <v>981</v>
      </c>
    </row>
    <row r="937" spans="1:53" ht="14.25" customHeight="1" x14ac:dyDescent="0.2">
      <c r="A937" s="136" t="s">
        <v>88</v>
      </c>
      <c r="B937" s="9">
        <v>12</v>
      </c>
      <c r="C937" s="4" t="s">
        <v>1711</v>
      </c>
      <c r="D937" s="4">
        <v>165</v>
      </c>
      <c r="E937" s="4">
        <v>1728</v>
      </c>
      <c r="F937" s="188" t="s">
        <v>2163</v>
      </c>
      <c r="G937" s="201" t="s">
        <v>2164</v>
      </c>
      <c r="H937" s="4" t="s">
        <v>2165</v>
      </c>
      <c r="I937" s="4" t="s">
        <v>641</v>
      </c>
      <c r="J937" s="4" t="s">
        <v>1865</v>
      </c>
      <c r="K937" s="4">
        <v>1</v>
      </c>
      <c r="L937" s="4">
        <v>2131</v>
      </c>
      <c r="M937" s="6">
        <v>53.071460000000002</v>
      </c>
      <c r="N937" s="9">
        <v>-125.41215</v>
      </c>
      <c r="O937" s="9" t="s">
        <v>148</v>
      </c>
      <c r="P937" s="9">
        <v>165</v>
      </c>
      <c r="Q937" s="20">
        <v>4</v>
      </c>
      <c r="R937" s="9" t="s">
        <v>2163</v>
      </c>
      <c r="S937" s="9" t="s">
        <v>1737</v>
      </c>
      <c r="T937" s="9">
        <v>1109</v>
      </c>
      <c r="U937" s="9"/>
      <c r="V937" s="9" t="s">
        <v>2166</v>
      </c>
      <c r="W937" s="21">
        <v>29221</v>
      </c>
      <c r="X937" s="9" t="s">
        <v>1738</v>
      </c>
      <c r="Y937" s="9"/>
      <c r="AO937" s="4" t="s">
        <v>2163</v>
      </c>
      <c r="AP937" s="4">
        <v>165</v>
      </c>
      <c r="AQ937" s="4" t="s">
        <v>1700</v>
      </c>
      <c r="AR937" s="4" t="s">
        <v>1739</v>
      </c>
      <c r="AS937" s="4" t="s">
        <v>1740</v>
      </c>
      <c r="AT937" s="4" t="s">
        <v>1835</v>
      </c>
      <c r="AU937" s="4" t="s">
        <v>1959</v>
      </c>
      <c r="AV937" s="4" t="s">
        <v>1720</v>
      </c>
      <c r="AW937" s="4" t="s">
        <v>2003</v>
      </c>
      <c r="AX937" s="4" t="s">
        <v>2139</v>
      </c>
      <c r="AY937" s="4">
        <v>53.0715</v>
      </c>
      <c r="AZ937" s="4">
        <v>-125.4121</v>
      </c>
      <c r="BA937" s="4">
        <v>1094</v>
      </c>
    </row>
    <row r="938" spans="1:53" ht="14.25" customHeight="1" x14ac:dyDescent="0.2">
      <c r="A938" s="136" t="s">
        <v>88</v>
      </c>
      <c r="B938" s="9">
        <v>12</v>
      </c>
      <c r="C938" s="4" t="s">
        <v>1711</v>
      </c>
      <c r="D938" s="4">
        <v>166</v>
      </c>
      <c r="E938" s="4">
        <v>1729</v>
      </c>
      <c r="F938" s="188" t="s">
        <v>2167</v>
      </c>
      <c r="G938" s="201" t="s">
        <v>2168</v>
      </c>
      <c r="H938" s="4" t="s">
        <v>2169</v>
      </c>
      <c r="I938" s="4" t="s">
        <v>641</v>
      </c>
      <c r="J938" s="4" t="s">
        <v>1865</v>
      </c>
      <c r="K938" s="4">
        <v>1</v>
      </c>
      <c r="L938" s="4">
        <v>2132</v>
      </c>
      <c r="M938" s="6">
        <v>53.383049999999997</v>
      </c>
      <c r="N938" s="9">
        <v>-124.51208</v>
      </c>
      <c r="O938" s="9" t="s">
        <v>148</v>
      </c>
      <c r="P938" s="9">
        <v>166</v>
      </c>
      <c r="Q938" s="20">
        <v>5</v>
      </c>
      <c r="R938" s="9" t="s">
        <v>2167</v>
      </c>
      <c r="S938" s="9" t="s">
        <v>1737</v>
      </c>
      <c r="T938" s="9">
        <v>1137</v>
      </c>
      <c r="U938" s="9"/>
      <c r="V938" s="9" t="s">
        <v>2147</v>
      </c>
      <c r="W938" s="21">
        <v>29952</v>
      </c>
      <c r="X938" s="9" t="s">
        <v>1738</v>
      </c>
      <c r="Y938" s="9"/>
      <c r="AO938" s="4" t="s">
        <v>2167</v>
      </c>
      <c r="AP938" s="4">
        <v>166</v>
      </c>
      <c r="AQ938" s="4" t="s">
        <v>1716</v>
      </c>
      <c r="AR938" s="4" t="s">
        <v>1739</v>
      </c>
      <c r="AS938" s="4" t="s">
        <v>1740</v>
      </c>
      <c r="AT938" s="4" t="s">
        <v>1741</v>
      </c>
      <c r="AU938" s="4" t="s">
        <v>1742</v>
      </c>
      <c r="AV938" s="4" t="s">
        <v>1720</v>
      </c>
      <c r="AW938" s="4" t="s">
        <v>2003</v>
      </c>
      <c r="AX938" s="4" t="s">
        <v>2139</v>
      </c>
      <c r="AY938" s="4">
        <v>53.383000000000003</v>
      </c>
      <c r="AZ938" s="4">
        <v>-124.5121</v>
      </c>
      <c r="BA938" s="4">
        <v>1125</v>
      </c>
    </row>
    <row r="939" spans="1:53" ht="14.25" customHeight="1" x14ac:dyDescent="0.2">
      <c r="A939" s="136" t="s">
        <v>88</v>
      </c>
      <c r="B939" s="9">
        <v>12</v>
      </c>
      <c r="C939" s="4" t="s">
        <v>1711</v>
      </c>
      <c r="D939" s="4">
        <v>167</v>
      </c>
      <c r="E939" s="4">
        <v>1730</v>
      </c>
      <c r="F939" s="188" t="s">
        <v>2170</v>
      </c>
      <c r="G939" s="201" t="s">
        <v>2171</v>
      </c>
      <c r="H939" s="4" t="s">
        <v>2172</v>
      </c>
      <c r="I939" s="4" t="s">
        <v>641</v>
      </c>
      <c r="J939" s="4" t="s">
        <v>1736</v>
      </c>
      <c r="K939" s="4">
        <v>1</v>
      </c>
      <c r="L939" s="4">
        <v>2133</v>
      </c>
      <c r="M939" s="6">
        <v>54.361890000000002</v>
      </c>
      <c r="N939" s="9">
        <v>-125.52531</v>
      </c>
      <c r="O939" s="9" t="s">
        <v>1290</v>
      </c>
      <c r="P939" s="224">
        <v>167</v>
      </c>
      <c r="Q939" s="20">
        <v>3</v>
      </c>
      <c r="R939" s="9" t="s">
        <v>2170</v>
      </c>
      <c r="S939" s="9" t="s">
        <v>1737</v>
      </c>
      <c r="T939" s="9">
        <v>918</v>
      </c>
      <c r="U939" s="9"/>
      <c r="V939" s="9"/>
      <c r="W939" s="21">
        <v>30682</v>
      </c>
      <c r="X939" s="9" t="s">
        <v>1738</v>
      </c>
      <c r="Y939" s="9"/>
      <c r="AO939" s="4" t="s">
        <v>2170</v>
      </c>
      <c r="AP939" s="4">
        <v>167</v>
      </c>
      <c r="AQ939" s="4" t="s">
        <v>1716</v>
      </c>
      <c r="AR939" s="4" t="s">
        <v>1739</v>
      </c>
      <c r="AS939" s="4" t="s">
        <v>1740</v>
      </c>
      <c r="AT939" s="4" t="s">
        <v>1741</v>
      </c>
      <c r="AU939" s="4" t="s">
        <v>1742</v>
      </c>
      <c r="AV939" s="4" t="s">
        <v>1720</v>
      </c>
      <c r="AW939" s="4" t="s">
        <v>1947</v>
      </c>
      <c r="AX939" s="4" t="s">
        <v>2148</v>
      </c>
      <c r="AY939" s="4">
        <v>54.361899999999999</v>
      </c>
      <c r="AZ939" s="4">
        <v>-125.5253</v>
      </c>
      <c r="BA939" s="4">
        <v>927</v>
      </c>
    </row>
    <row r="940" spans="1:53" ht="14.25" customHeight="1" x14ac:dyDescent="0.2">
      <c r="A940" s="136" t="s">
        <v>88</v>
      </c>
      <c r="B940" s="9">
        <v>12</v>
      </c>
      <c r="C940" s="4" t="s">
        <v>1711</v>
      </c>
      <c r="D940" s="4">
        <v>169</v>
      </c>
      <c r="E940" s="4">
        <v>1732</v>
      </c>
      <c r="F940" s="188" t="s">
        <v>2176</v>
      </c>
      <c r="G940" s="201" t="s">
        <v>2177</v>
      </c>
      <c r="H940" s="4" t="s">
        <v>2178</v>
      </c>
      <c r="I940" s="4" t="s">
        <v>641</v>
      </c>
      <c r="J940" s="4" t="s">
        <v>1865</v>
      </c>
      <c r="K940" s="4">
        <v>1</v>
      </c>
      <c r="L940" s="4">
        <v>2135</v>
      </c>
      <c r="M940" s="6">
        <v>55.033329999999999</v>
      </c>
      <c r="N940" s="9">
        <v>-126.8</v>
      </c>
      <c r="O940" s="9" t="s">
        <v>1290</v>
      </c>
      <c r="P940" s="9">
        <v>169</v>
      </c>
      <c r="Q940" s="20">
        <v>3</v>
      </c>
      <c r="R940" s="9" t="s">
        <v>2176</v>
      </c>
      <c r="S940" s="9" t="s">
        <v>1737</v>
      </c>
      <c r="T940" s="9">
        <v>900</v>
      </c>
      <c r="U940" s="9"/>
      <c r="V940" s="9"/>
      <c r="W940" s="21">
        <v>31413</v>
      </c>
      <c r="X940" s="9" t="s">
        <v>1738</v>
      </c>
      <c r="Y940" s="9"/>
      <c r="AO940" s="4" t="s">
        <v>2176</v>
      </c>
      <c r="AP940" s="4">
        <v>169</v>
      </c>
      <c r="AQ940" s="4" t="s">
        <v>1700</v>
      </c>
      <c r="AR940" s="4" t="s">
        <v>1739</v>
      </c>
      <c r="AS940" s="4" t="s">
        <v>1740</v>
      </c>
      <c r="AT940" s="4" t="s">
        <v>1741</v>
      </c>
      <c r="AU940" s="4" t="s">
        <v>1959</v>
      </c>
      <c r="AV940" s="4" t="s">
        <v>1720</v>
      </c>
      <c r="AW940" s="4" t="s">
        <v>1947</v>
      </c>
      <c r="AX940" s="4" t="s">
        <v>2133</v>
      </c>
      <c r="AY940" s="4">
        <v>55.033999999999999</v>
      </c>
      <c r="AZ940" s="4">
        <v>-126.7996</v>
      </c>
      <c r="BA940" s="4">
        <v>900</v>
      </c>
    </row>
    <row r="941" spans="1:53" ht="14.25" customHeight="1" x14ac:dyDescent="0.2">
      <c r="A941" s="136" t="s">
        <v>88</v>
      </c>
      <c r="B941" s="9">
        <v>12</v>
      </c>
      <c r="C941" s="4" t="s">
        <v>1711</v>
      </c>
      <c r="D941" s="4">
        <v>170</v>
      </c>
      <c r="E941" s="4">
        <v>1733</v>
      </c>
      <c r="F941" s="188" t="s">
        <v>2179</v>
      </c>
      <c r="G941" s="201" t="s">
        <v>2180</v>
      </c>
      <c r="H941" s="4" t="s">
        <v>2145</v>
      </c>
      <c r="I941" s="4" t="s">
        <v>641</v>
      </c>
      <c r="J941" s="4" t="s">
        <v>1865</v>
      </c>
      <c r="K941" s="4">
        <v>1</v>
      </c>
      <c r="L941" s="4">
        <v>2136</v>
      </c>
      <c r="M941" s="6">
        <v>53.501669999999997</v>
      </c>
      <c r="N941" s="9">
        <v>-125.77167</v>
      </c>
      <c r="O941" s="9" t="s">
        <v>148</v>
      </c>
      <c r="P941" s="224">
        <v>170</v>
      </c>
      <c r="Q941" s="20">
        <v>4</v>
      </c>
      <c r="R941" s="9" t="s">
        <v>2179</v>
      </c>
      <c r="S941" s="9" t="s">
        <v>1737</v>
      </c>
      <c r="T941" s="9">
        <v>1089</v>
      </c>
      <c r="U941" s="9" t="s">
        <v>645</v>
      </c>
      <c r="V941" s="9" t="s">
        <v>2166</v>
      </c>
      <c r="W941" s="21">
        <v>31413</v>
      </c>
      <c r="X941" s="9" t="s">
        <v>1738</v>
      </c>
      <c r="Y941" s="9"/>
      <c r="AO941" s="4" t="s">
        <v>2179</v>
      </c>
      <c r="AP941" s="4">
        <v>170</v>
      </c>
      <c r="AQ941" s="4" t="s">
        <v>1716</v>
      </c>
      <c r="AR941" s="4" t="s">
        <v>1739</v>
      </c>
      <c r="AS941" s="4" t="s">
        <v>1740</v>
      </c>
      <c r="AT941" s="4" t="s">
        <v>1741</v>
      </c>
      <c r="AU941" s="4" t="s">
        <v>1742</v>
      </c>
      <c r="AV941" s="4" t="s">
        <v>1720</v>
      </c>
      <c r="AW941" s="4" t="s">
        <v>1947</v>
      </c>
      <c r="AX941" s="4" t="s">
        <v>2148</v>
      </c>
      <c r="AY941" s="4">
        <v>53.502499999999998</v>
      </c>
      <c r="AZ941" s="4">
        <v>-125.77930000000001</v>
      </c>
      <c r="BA941" s="4">
        <v>1086</v>
      </c>
    </row>
    <row r="942" spans="1:53" ht="14.25" customHeight="1" x14ac:dyDescent="0.2">
      <c r="A942" s="136" t="s">
        <v>88</v>
      </c>
      <c r="B942" s="9">
        <v>12</v>
      </c>
      <c r="C942" s="4" t="s">
        <v>1711</v>
      </c>
      <c r="D942" s="4">
        <v>171</v>
      </c>
      <c r="E942" s="4">
        <v>1734</v>
      </c>
      <c r="F942" s="188" t="s">
        <v>2181</v>
      </c>
      <c r="G942" s="201" t="s">
        <v>2182</v>
      </c>
      <c r="H942" s="4" t="s">
        <v>2156</v>
      </c>
      <c r="I942" s="4" t="s">
        <v>641</v>
      </c>
      <c r="J942" s="4" t="s">
        <v>1865</v>
      </c>
      <c r="K942" s="4">
        <v>1</v>
      </c>
      <c r="L942" s="4">
        <v>2137</v>
      </c>
      <c r="M942" s="6">
        <v>55.081829999999997</v>
      </c>
      <c r="N942" s="9">
        <v>-125.4774</v>
      </c>
      <c r="O942" s="9" t="s">
        <v>1290</v>
      </c>
      <c r="P942" s="9">
        <v>171</v>
      </c>
      <c r="Q942" s="20">
        <v>3</v>
      </c>
      <c r="R942" s="9" t="s">
        <v>2181</v>
      </c>
      <c r="S942" s="9" t="s">
        <v>1737</v>
      </c>
      <c r="T942" s="9">
        <v>915</v>
      </c>
      <c r="U942" s="9"/>
      <c r="V942" s="9"/>
      <c r="W942" s="21">
        <v>32509</v>
      </c>
      <c r="X942" s="9" t="s">
        <v>1738</v>
      </c>
      <c r="Y942" s="9"/>
      <c r="AO942" s="4" t="s">
        <v>2181</v>
      </c>
      <c r="AP942" s="4">
        <v>171</v>
      </c>
      <c r="AQ942" s="4" t="s">
        <v>1716</v>
      </c>
      <c r="AR942" s="4" t="s">
        <v>1739</v>
      </c>
      <c r="AS942" s="4" t="s">
        <v>1740</v>
      </c>
      <c r="AT942" s="4" t="s">
        <v>1741</v>
      </c>
      <c r="AU942" s="4" t="s">
        <v>1742</v>
      </c>
      <c r="AV942" s="4" t="s">
        <v>1720</v>
      </c>
      <c r="AW942" s="4" t="s">
        <v>2003</v>
      </c>
      <c r="AX942" s="4" t="s">
        <v>2099</v>
      </c>
      <c r="AY942" s="4">
        <v>55.081699999999998</v>
      </c>
      <c r="AZ942" s="4">
        <v>-125.4773</v>
      </c>
      <c r="BA942" s="4">
        <v>909</v>
      </c>
    </row>
    <row r="943" spans="1:53" ht="14.25" customHeight="1" x14ac:dyDescent="0.2">
      <c r="A943" s="136" t="s">
        <v>88</v>
      </c>
      <c r="B943" s="9">
        <v>12</v>
      </c>
      <c r="C943" s="4" t="s">
        <v>1711</v>
      </c>
      <c r="D943" s="4">
        <v>172</v>
      </c>
      <c r="E943" s="4">
        <v>1735</v>
      </c>
      <c r="F943" s="188" t="s">
        <v>2183</v>
      </c>
      <c r="G943" s="36" t="s">
        <v>2184</v>
      </c>
      <c r="H943" s="4" t="s">
        <v>2185</v>
      </c>
      <c r="I943" s="4" t="s">
        <v>641</v>
      </c>
      <c r="J943" s="4" t="s">
        <v>1736</v>
      </c>
      <c r="K943" s="4">
        <v>1</v>
      </c>
      <c r="L943" s="4">
        <v>2138</v>
      </c>
      <c r="M943" s="6">
        <v>55.553330000000003</v>
      </c>
      <c r="N943" s="9">
        <v>-126.57832999999999</v>
      </c>
      <c r="O943" s="9" t="s">
        <v>1290</v>
      </c>
      <c r="P943" s="9">
        <v>172</v>
      </c>
      <c r="Q943" s="20">
        <v>4</v>
      </c>
      <c r="R943" s="9" t="s">
        <v>2183</v>
      </c>
      <c r="S943" s="9" t="s">
        <v>1737</v>
      </c>
      <c r="T943" s="9">
        <v>978</v>
      </c>
      <c r="U943" s="9"/>
      <c r="V943" s="9"/>
      <c r="W943" s="21">
        <v>31413</v>
      </c>
      <c r="X943" s="9" t="s">
        <v>1738</v>
      </c>
      <c r="Y943" s="9"/>
      <c r="AO943" s="4" t="s">
        <v>2183</v>
      </c>
      <c r="AP943" s="4">
        <v>172</v>
      </c>
      <c r="AQ943" s="4" t="s">
        <v>1700</v>
      </c>
      <c r="AR943" s="4" t="s">
        <v>1739</v>
      </c>
      <c r="AS943" s="4" t="s">
        <v>1740</v>
      </c>
      <c r="AT943" s="4" t="s">
        <v>1835</v>
      </c>
      <c r="AU943" s="4" t="s">
        <v>1959</v>
      </c>
      <c r="AV943" s="4" t="s">
        <v>1720</v>
      </c>
      <c r="AW943" s="4" t="s">
        <v>1947</v>
      </c>
      <c r="AX943" s="4" t="s">
        <v>2133</v>
      </c>
      <c r="AY943" s="4">
        <v>55.537999999999997</v>
      </c>
      <c r="AZ943" s="4">
        <v>-126.5775</v>
      </c>
      <c r="BA943" s="4">
        <v>969</v>
      </c>
    </row>
    <row r="944" spans="1:53" ht="14.25" customHeight="1" x14ac:dyDescent="0.2">
      <c r="A944" s="136" t="s">
        <v>88</v>
      </c>
      <c r="B944" s="9">
        <v>12</v>
      </c>
      <c r="C944" s="4" t="s">
        <v>1711</v>
      </c>
      <c r="D944" s="4">
        <v>173</v>
      </c>
      <c r="E944" s="4">
        <v>1736</v>
      </c>
      <c r="F944" s="188" t="s">
        <v>2186</v>
      </c>
      <c r="G944" s="36" t="s">
        <v>2187</v>
      </c>
      <c r="H944" s="4" t="s">
        <v>2188</v>
      </c>
      <c r="I944" s="4" t="s">
        <v>641</v>
      </c>
      <c r="J944" s="4" t="s">
        <v>1865</v>
      </c>
      <c r="K944" s="4">
        <v>1</v>
      </c>
      <c r="L944" s="4">
        <v>2139</v>
      </c>
      <c r="M944" s="6">
        <v>55.136670000000002</v>
      </c>
      <c r="N944" s="9">
        <v>-126.21167</v>
      </c>
      <c r="O944" s="9" t="s">
        <v>1290</v>
      </c>
      <c r="P944" s="9">
        <v>173</v>
      </c>
      <c r="Q944" s="20">
        <v>3</v>
      </c>
      <c r="R944" s="9" t="s">
        <v>2186</v>
      </c>
      <c r="S944" s="9" t="s">
        <v>1737</v>
      </c>
      <c r="T944" s="9">
        <v>951</v>
      </c>
      <c r="U944" s="9"/>
      <c r="V944" s="9" t="s">
        <v>2189</v>
      </c>
      <c r="W944" s="21">
        <v>31413</v>
      </c>
      <c r="X944" s="9" t="s">
        <v>1738</v>
      </c>
      <c r="Y944" s="9"/>
      <c r="AO944" s="4" t="s">
        <v>2186</v>
      </c>
      <c r="AP944" s="4">
        <v>173</v>
      </c>
      <c r="AQ944" s="4" t="s">
        <v>1700</v>
      </c>
      <c r="AR944" s="4" t="s">
        <v>1739</v>
      </c>
      <c r="AS944" s="4" t="s">
        <v>1740</v>
      </c>
      <c r="AT944" s="4" t="s">
        <v>1835</v>
      </c>
      <c r="AU944" s="4" t="s">
        <v>1959</v>
      </c>
      <c r="AV944" s="4" t="s">
        <v>1720</v>
      </c>
      <c r="AW944" s="4" t="s">
        <v>1947</v>
      </c>
      <c r="AX944" s="4" t="s">
        <v>2153</v>
      </c>
      <c r="AY944" s="4">
        <v>55.134999999999998</v>
      </c>
      <c r="AZ944" s="4">
        <v>-126.2073</v>
      </c>
      <c r="BA944" s="4">
        <v>951</v>
      </c>
    </row>
    <row r="945" spans="1:53" ht="14.25" customHeight="1" x14ac:dyDescent="0.2">
      <c r="A945" s="136" t="s">
        <v>88</v>
      </c>
      <c r="B945" s="9">
        <v>12</v>
      </c>
      <c r="C945" s="4" t="s">
        <v>1711</v>
      </c>
      <c r="D945" s="4">
        <v>178</v>
      </c>
      <c r="E945" s="4">
        <v>1741</v>
      </c>
      <c r="F945" s="188" t="s">
        <v>2204</v>
      </c>
      <c r="G945" s="201" t="s">
        <v>2205</v>
      </c>
      <c r="H945" s="4" t="s">
        <v>2206</v>
      </c>
      <c r="I945" s="4" t="s">
        <v>641</v>
      </c>
      <c r="J945" s="4" t="s">
        <v>1865</v>
      </c>
      <c r="K945" s="4">
        <v>1</v>
      </c>
      <c r="L945" s="4">
        <v>2144</v>
      </c>
      <c r="M945" s="6">
        <v>53.986669999999997</v>
      </c>
      <c r="N945" s="9">
        <v>-126.52167</v>
      </c>
      <c r="O945" s="9" t="s">
        <v>148</v>
      </c>
      <c r="P945" s="9">
        <v>178</v>
      </c>
      <c r="Q945" s="20">
        <v>1</v>
      </c>
      <c r="R945" s="9" t="s">
        <v>2204</v>
      </c>
      <c r="S945" s="9" t="s">
        <v>1737</v>
      </c>
      <c r="T945" s="9">
        <v>747</v>
      </c>
      <c r="U945" s="9"/>
      <c r="V945" s="9" t="s">
        <v>2207</v>
      </c>
      <c r="W945" s="21">
        <v>30682</v>
      </c>
      <c r="X945" s="4" t="s">
        <v>1738</v>
      </c>
      <c r="Y945" s="9"/>
      <c r="AO945" s="4" t="s">
        <v>2204</v>
      </c>
      <c r="AP945" s="4">
        <v>178</v>
      </c>
      <c r="AQ945" s="4" t="s">
        <v>1716</v>
      </c>
      <c r="AR945" s="4" t="s">
        <v>1739</v>
      </c>
      <c r="AS945" s="4" t="s">
        <v>1740</v>
      </c>
      <c r="AT945" s="4" t="s">
        <v>1741</v>
      </c>
      <c r="AU945" s="4" t="s">
        <v>1959</v>
      </c>
      <c r="AV945" s="4" t="s">
        <v>1720</v>
      </c>
      <c r="AW945" s="4" t="s">
        <v>1947</v>
      </c>
      <c r="AX945" s="4" t="s">
        <v>2153</v>
      </c>
      <c r="AY945" s="4">
        <v>53.986800000000002</v>
      </c>
      <c r="AZ945" s="4">
        <v>-126.51739999999999</v>
      </c>
      <c r="BA945" s="4">
        <v>747</v>
      </c>
    </row>
    <row r="946" spans="1:53" ht="14.25" customHeight="1" x14ac:dyDescent="0.2">
      <c r="A946" s="136" t="s">
        <v>88</v>
      </c>
      <c r="B946" s="9">
        <v>12</v>
      </c>
      <c r="C946" s="4" t="s">
        <v>1711</v>
      </c>
      <c r="D946" s="4">
        <v>180</v>
      </c>
      <c r="E946" s="4">
        <v>1743</v>
      </c>
      <c r="F946" s="188" t="s">
        <v>2211</v>
      </c>
      <c r="G946" s="201" t="s">
        <v>2212</v>
      </c>
      <c r="H946" s="4" t="s">
        <v>2213</v>
      </c>
      <c r="I946" s="4" t="s">
        <v>641</v>
      </c>
      <c r="J946" s="4" t="s">
        <v>1736</v>
      </c>
      <c r="K946" s="4">
        <v>1</v>
      </c>
      <c r="L946" s="4">
        <v>2146</v>
      </c>
      <c r="M946" s="6">
        <v>54.074719999999999</v>
      </c>
      <c r="N946" s="9">
        <v>-127.39942000000001</v>
      </c>
      <c r="O946" s="9" t="s">
        <v>148</v>
      </c>
      <c r="P946" s="9">
        <v>180</v>
      </c>
      <c r="Q946" s="20">
        <v>1</v>
      </c>
      <c r="R946" s="9" t="s">
        <v>2211</v>
      </c>
      <c r="S946" s="9" t="s">
        <v>1737</v>
      </c>
      <c r="T946" s="9">
        <v>810</v>
      </c>
      <c r="U946" s="9"/>
      <c r="V946" s="9"/>
      <c r="W946" s="21">
        <v>32874</v>
      </c>
      <c r="X946" s="4" t="s">
        <v>1738</v>
      </c>
      <c r="Y946" s="9"/>
      <c r="AO946" s="4" t="s">
        <v>2211</v>
      </c>
      <c r="AP946" s="4">
        <v>180</v>
      </c>
      <c r="AQ946" s="4" t="s">
        <v>1716</v>
      </c>
      <c r="AR946" s="4" t="s">
        <v>1739</v>
      </c>
      <c r="AS946" s="4" t="s">
        <v>1740</v>
      </c>
      <c r="AT946" s="4" t="s">
        <v>1741</v>
      </c>
      <c r="AU946" s="4" t="s">
        <v>1742</v>
      </c>
      <c r="AV946" s="4" t="s">
        <v>1720</v>
      </c>
      <c r="AW946" s="4" t="s">
        <v>1947</v>
      </c>
      <c r="AX946" s="4" t="s">
        <v>2153</v>
      </c>
      <c r="AY946" s="4">
        <v>54.0747</v>
      </c>
      <c r="AZ946" s="4">
        <v>-127.3994</v>
      </c>
      <c r="BA946" s="4">
        <v>810</v>
      </c>
    </row>
    <row r="947" spans="1:53" ht="14.25" customHeight="1" x14ac:dyDescent="0.2">
      <c r="A947" s="136" t="s">
        <v>88</v>
      </c>
      <c r="B947" s="9">
        <v>12</v>
      </c>
      <c r="C947" s="4" t="s">
        <v>1711</v>
      </c>
      <c r="D947" s="4">
        <v>181</v>
      </c>
      <c r="E947" s="4">
        <v>1744</v>
      </c>
      <c r="F947" s="188" t="s">
        <v>2214</v>
      </c>
      <c r="G947" s="36" t="s">
        <v>2215</v>
      </c>
      <c r="H947" s="4" t="s">
        <v>2216</v>
      </c>
      <c r="I947" s="4" t="s">
        <v>641</v>
      </c>
      <c r="J947" s="4" t="s">
        <v>1865</v>
      </c>
      <c r="K947" s="4">
        <v>1</v>
      </c>
      <c r="L947" s="4">
        <v>2147</v>
      </c>
      <c r="M947" s="6">
        <v>54.259099999999997</v>
      </c>
      <c r="N947" s="9">
        <v>-125.7598</v>
      </c>
      <c r="O947" s="9" t="s">
        <v>148</v>
      </c>
      <c r="P947" s="9">
        <v>181</v>
      </c>
      <c r="Q947" s="20">
        <v>1</v>
      </c>
      <c r="R947" s="9" t="s">
        <v>2214</v>
      </c>
      <c r="S947" s="9" t="s">
        <v>1737</v>
      </c>
      <c r="T947" s="9">
        <v>830</v>
      </c>
      <c r="U947" s="9"/>
      <c r="V947" s="9"/>
      <c r="W947" s="21">
        <v>33970</v>
      </c>
      <c r="X947" s="4" t="s">
        <v>1738</v>
      </c>
      <c r="Y947" s="9"/>
      <c r="AO947" s="4" t="s">
        <v>2214</v>
      </c>
      <c r="AP947" s="4">
        <v>181</v>
      </c>
      <c r="AQ947" s="4" t="s">
        <v>1700</v>
      </c>
      <c r="AR947" s="4" t="s">
        <v>1739</v>
      </c>
      <c r="AS947" s="4" t="s">
        <v>1740</v>
      </c>
      <c r="AT947" s="4" t="s">
        <v>1741</v>
      </c>
      <c r="AU947" s="4" t="s">
        <v>1772</v>
      </c>
      <c r="AV947" s="4" t="s">
        <v>1720</v>
      </c>
      <c r="AW947" s="4" t="s">
        <v>1947</v>
      </c>
      <c r="AX947" s="4" t="s">
        <v>2148</v>
      </c>
      <c r="AY947" s="4">
        <v>54.259099999999997</v>
      </c>
      <c r="AZ947" s="4">
        <v>-125.7598</v>
      </c>
      <c r="BA947" s="4">
        <v>824</v>
      </c>
    </row>
    <row r="948" spans="1:53" ht="14.25" customHeight="1" x14ac:dyDescent="0.2">
      <c r="A948" s="136" t="s">
        <v>88</v>
      </c>
      <c r="B948" s="9">
        <v>12</v>
      </c>
      <c r="C948" s="4" t="s">
        <v>1711</v>
      </c>
      <c r="D948" s="4">
        <v>182</v>
      </c>
      <c r="E948" s="4">
        <v>1745</v>
      </c>
      <c r="F948" s="188" t="s">
        <v>2217</v>
      </c>
      <c r="G948" s="201" t="s">
        <v>2218</v>
      </c>
      <c r="H948" s="4" t="s">
        <v>2219</v>
      </c>
      <c r="I948" s="4" t="s">
        <v>641</v>
      </c>
      <c r="J948" s="4" t="s">
        <v>1736</v>
      </c>
      <c r="K948" s="4">
        <v>1</v>
      </c>
      <c r="L948" s="4">
        <v>2148</v>
      </c>
      <c r="M948" s="6">
        <v>54.801000000000002</v>
      </c>
      <c r="N948" s="9">
        <v>-126.94833</v>
      </c>
      <c r="O948" s="9" t="s">
        <v>148</v>
      </c>
      <c r="P948" s="9">
        <v>182</v>
      </c>
      <c r="Q948" s="20">
        <v>1</v>
      </c>
      <c r="R948" s="9" t="s">
        <v>2217</v>
      </c>
      <c r="S948" s="9" t="s">
        <v>1737</v>
      </c>
      <c r="T948" s="9">
        <v>844</v>
      </c>
      <c r="U948" s="9"/>
      <c r="V948" s="9"/>
      <c r="W948" s="21">
        <v>33970</v>
      </c>
      <c r="X948" s="4" t="s">
        <v>1738</v>
      </c>
      <c r="Y948" s="9"/>
      <c r="AO948" s="4" t="s">
        <v>2217</v>
      </c>
      <c r="AP948" s="4">
        <v>182</v>
      </c>
      <c r="AQ948" s="4" t="s">
        <v>1716</v>
      </c>
      <c r="AR948" s="4" t="s">
        <v>1739</v>
      </c>
      <c r="AS948" s="4" t="s">
        <v>1740</v>
      </c>
      <c r="AT948" s="4" t="s">
        <v>1741</v>
      </c>
      <c r="AU948" s="4" t="s">
        <v>1742</v>
      </c>
      <c r="AV948" s="4" t="s">
        <v>1720</v>
      </c>
      <c r="AW948" s="4" t="s">
        <v>1947</v>
      </c>
      <c r="AX948" s="4" t="s">
        <v>2133</v>
      </c>
      <c r="AY948" s="4">
        <v>54.801299999999998</v>
      </c>
      <c r="AZ948" s="4">
        <v>-126.94840000000001</v>
      </c>
      <c r="BA948" s="4">
        <v>855</v>
      </c>
    </row>
    <row r="949" spans="1:53" ht="14.25" customHeight="1" x14ac:dyDescent="0.2">
      <c r="A949" s="136" t="s">
        <v>88</v>
      </c>
      <c r="B949" s="9">
        <v>12</v>
      </c>
      <c r="C949" s="4" t="s">
        <v>1711</v>
      </c>
      <c r="D949" s="4">
        <v>187</v>
      </c>
      <c r="E949" s="4">
        <v>1748</v>
      </c>
      <c r="F949" s="188" t="s">
        <v>2229</v>
      </c>
      <c r="G949" s="201" t="s">
        <v>2230</v>
      </c>
      <c r="H949" s="4" t="s">
        <v>2231</v>
      </c>
      <c r="I949" s="4" t="s">
        <v>641</v>
      </c>
      <c r="J949" s="4" t="s">
        <v>1736</v>
      </c>
      <c r="K949" s="4">
        <v>1</v>
      </c>
      <c r="L949" s="4">
        <v>2151</v>
      </c>
      <c r="M949" s="6">
        <v>53.411279999999998</v>
      </c>
      <c r="N949" s="9">
        <v>-122.59575</v>
      </c>
      <c r="O949" s="9" t="s">
        <v>148</v>
      </c>
      <c r="P949" s="9">
        <v>187</v>
      </c>
      <c r="Q949" s="20">
        <v>1</v>
      </c>
      <c r="R949" s="9" t="s">
        <v>2229</v>
      </c>
      <c r="S949" s="9" t="s">
        <v>1737</v>
      </c>
      <c r="T949" s="9">
        <v>615</v>
      </c>
      <c r="U949" s="9"/>
      <c r="V949" s="9"/>
      <c r="W949" s="21">
        <v>27760</v>
      </c>
      <c r="X949" s="9" t="s">
        <v>1738</v>
      </c>
      <c r="Y949" s="9"/>
      <c r="AO949" s="4" t="s">
        <v>2229</v>
      </c>
      <c r="AP949" s="4">
        <v>187</v>
      </c>
      <c r="AQ949" s="4" t="s">
        <v>1700</v>
      </c>
      <c r="AR949" s="4" t="s">
        <v>1739</v>
      </c>
      <c r="AS949" s="4" t="s">
        <v>1740</v>
      </c>
      <c r="AT949" s="4" t="s">
        <v>1741</v>
      </c>
      <c r="AU949" s="4" t="s">
        <v>1772</v>
      </c>
      <c r="AV949" s="4" t="s">
        <v>1720</v>
      </c>
      <c r="AW949" s="4" t="s">
        <v>2003</v>
      </c>
      <c r="AX949" s="4" t="s">
        <v>2091</v>
      </c>
      <c r="AY949" s="4">
        <v>53.4114</v>
      </c>
      <c r="AZ949" s="4">
        <v>-122.59610000000001</v>
      </c>
      <c r="BA949" s="4">
        <v>640</v>
      </c>
    </row>
    <row r="950" spans="1:53" ht="14.25" customHeight="1" x14ac:dyDescent="0.2">
      <c r="A950" s="136" t="s">
        <v>88</v>
      </c>
      <c r="B950" s="9">
        <v>12</v>
      </c>
      <c r="C950" s="4" t="s">
        <v>1711</v>
      </c>
      <c r="D950" s="4">
        <v>189</v>
      </c>
      <c r="E950" s="4">
        <v>1750</v>
      </c>
      <c r="F950" s="188" t="s">
        <v>2235</v>
      </c>
      <c r="G950" s="201" t="s">
        <v>2236</v>
      </c>
      <c r="H950" s="4" t="s">
        <v>2237</v>
      </c>
      <c r="I950" s="4" t="s">
        <v>641</v>
      </c>
      <c r="J950" s="4" t="s">
        <v>1865</v>
      </c>
      <c r="K950" s="4">
        <v>1</v>
      </c>
      <c r="L950" s="4">
        <v>2153</v>
      </c>
      <c r="M950" s="6">
        <v>53.493780000000001</v>
      </c>
      <c r="N950" s="9">
        <v>-123.60878</v>
      </c>
      <c r="O950" s="9" t="s">
        <v>148</v>
      </c>
      <c r="P950" s="9">
        <v>189</v>
      </c>
      <c r="Q950" s="20">
        <v>1</v>
      </c>
      <c r="R950" s="9" t="s">
        <v>2235</v>
      </c>
      <c r="S950" s="9" t="s">
        <v>1737</v>
      </c>
      <c r="T950" s="9">
        <v>814</v>
      </c>
      <c r="U950" s="9"/>
      <c r="V950" s="9"/>
      <c r="W950" s="21">
        <v>31413</v>
      </c>
      <c r="X950" s="9" t="s">
        <v>1738</v>
      </c>
      <c r="Y950" s="9"/>
      <c r="AO950" s="4" t="s">
        <v>2235</v>
      </c>
      <c r="AP950" s="4">
        <v>189</v>
      </c>
      <c r="AQ950" s="4" t="s">
        <v>1700</v>
      </c>
      <c r="AR950" s="4" t="s">
        <v>1739</v>
      </c>
      <c r="AS950" s="4" t="s">
        <v>1740</v>
      </c>
      <c r="AT950" s="4" t="s">
        <v>1741</v>
      </c>
      <c r="AU950" s="4" t="s">
        <v>1959</v>
      </c>
      <c r="AV950" s="4" t="s">
        <v>1720</v>
      </c>
      <c r="AW950" s="4" t="s">
        <v>2003</v>
      </c>
      <c r="AX950" s="4" t="s">
        <v>2091</v>
      </c>
      <c r="AY950" s="4">
        <v>53.493699999999997</v>
      </c>
      <c r="AZ950" s="4">
        <v>-123.6088</v>
      </c>
      <c r="BA950" s="4">
        <v>807</v>
      </c>
    </row>
    <row r="951" spans="1:53" ht="14.25" customHeight="1" x14ac:dyDescent="0.2">
      <c r="A951" s="136" t="s">
        <v>88</v>
      </c>
      <c r="B951" s="9">
        <v>12</v>
      </c>
      <c r="C951" s="4" t="s">
        <v>1711</v>
      </c>
      <c r="D951" s="4">
        <v>190</v>
      </c>
      <c r="E951" s="4">
        <v>1751</v>
      </c>
      <c r="F951" s="188" t="s">
        <v>2238</v>
      </c>
      <c r="G951" s="201" t="s">
        <v>2239</v>
      </c>
      <c r="H951" s="4" t="s">
        <v>2240</v>
      </c>
      <c r="I951" s="4" t="s">
        <v>641</v>
      </c>
      <c r="J951" s="4" t="s">
        <v>1865</v>
      </c>
      <c r="K951" s="4">
        <v>1</v>
      </c>
      <c r="L951" s="4">
        <v>2154</v>
      </c>
      <c r="M951" s="6">
        <v>53.525939999999999</v>
      </c>
      <c r="N951" s="9">
        <v>-122.10550000000001</v>
      </c>
      <c r="O951" s="9" t="s">
        <v>170</v>
      </c>
      <c r="P951" s="9">
        <v>190</v>
      </c>
      <c r="Q951" s="20">
        <v>2</v>
      </c>
      <c r="R951" s="9" t="s">
        <v>2238</v>
      </c>
      <c r="S951" s="9" t="s">
        <v>1737</v>
      </c>
      <c r="T951" s="9">
        <v>997</v>
      </c>
      <c r="U951" s="9"/>
      <c r="V951" s="9"/>
      <c r="W951" s="21">
        <v>32143</v>
      </c>
      <c r="X951" s="9" t="s">
        <v>1738</v>
      </c>
      <c r="Y951" s="9"/>
      <c r="AO951" s="4" t="s">
        <v>2238</v>
      </c>
      <c r="AP951" s="4">
        <v>190</v>
      </c>
      <c r="AQ951" s="4" t="s">
        <v>1700</v>
      </c>
      <c r="AR951" s="4" t="s">
        <v>1739</v>
      </c>
      <c r="AS951" s="4" t="s">
        <v>1740</v>
      </c>
      <c r="AT951" s="4" t="s">
        <v>1741</v>
      </c>
      <c r="AU951" s="4" t="s">
        <v>1959</v>
      </c>
      <c r="AV951" s="4" t="s">
        <v>1720</v>
      </c>
      <c r="AW951" s="4" t="s">
        <v>2003</v>
      </c>
      <c r="AX951" s="4" t="s">
        <v>2091</v>
      </c>
      <c r="AY951" s="4">
        <v>53.526400000000002</v>
      </c>
      <c r="AZ951" s="4">
        <v>-122.10639999999999</v>
      </c>
      <c r="BA951" s="4">
        <v>979</v>
      </c>
    </row>
    <row r="952" spans="1:53" ht="14.25" customHeight="1" x14ac:dyDescent="0.2">
      <c r="A952" s="136" t="s">
        <v>88</v>
      </c>
      <c r="B952" s="9">
        <v>12</v>
      </c>
      <c r="C952" s="4" t="s">
        <v>1711</v>
      </c>
      <c r="D952" s="4">
        <v>193</v>
      </c>
      <c r="E952" s="4">
        <v>1754</v>
      </c>
      <c r="F952" s="188" t="s">
        <v>2248</v>
      </c>
      <c r="G952" s="201" t="s">
        <v>2249</v>
      </c>
      <c r="H952" s="4" t="s">
        <v>2250</v>
      </c>
      <c r="I952" s="4" t="s">
        <v>641</v>
      </c>
      <c r="J952" s="4" t="s">
        <v>1865</v>
      </c>
      <c r="K952" s="4">
        <v>1</v>
      </c>
      <c r="L952" s="4">
        <v>2157</v>
      </c>
      <c r="M952" s="6">
        <v>53.463140000000003</v>
      </c>
      <c r="N952" s="9">
        <v>-121.56032999999999</v>
      </c>
      <c r="O952" s="9" t="s">
        <v>170</v>
      </c>
      <c r="P952" s="9">
        <v>193</v>
      </c>
      <c r="Q952" s="20">
        <v>2</v>
      </c>
      <c r="R952" s="9" t="s">
        <v>2248</v>
      </c>
      <c r="S952" s="9" t="s">
        <v>1737</v>
      </c>
      <c r="T952" s="9">
        <v>945</v>
      </c>
      <c r="U952" s="9"/>
      <c r="V952" s="9"/>
      <c r="W952" s="21">
        <v>31413</v>
      </c>
      <c r="X952" s="9" t="s">
        <v>1738</v>
      </c>
      <c r="Y952" s="9"/>
      <c r="AO952" s="4" t="s">
        <v>2248</v>
      </c>
      <c r="AP952" s="4">
        <v>193</v>
      </c>
      <c r="AQ952" s="4" t="s">
        <v>1700</v>
      </c>
      <c r="AR952" s="4" t="s">
        <v>1739</v>
      </c>
      <c r="AS952" s="4" t="s">
        <v>1740</v>
      </c>
      <c r="AT952" s="4" t="s">
        <v>1741</v>
      </c>
      <c r="AU952" s="4" t="s">
        <v>1959</v>
      </c>
      <c r="AV952" s="4" t="s">
        <v>1720</v>
      </c>
      <c r="AW952" s="4" t="s">
        <v>2003</v>
      </c>
      <c r="AX952" s="4" t="s">
        <v>2091</v>
      </c>
      <c r="AY952" s="4">
        <v>53.463000000000001</v>
      </c>
      <c r="AZ952" s="4">
        <v>-121.5603</v>
      </c>
      <c r="BA952" s="4">
        <v>927</v>
      </c>
    </row>
    <row r="953" spans="1:53" ht="14.25" customHeight="1" x14ac:dyDescent="0.2">
      <c r="A953" s="136" t="s">
        <v>88</v>
      </c>
      <c r="B953" s="9">
        <v>12</v>
      </c>
      <c r="C953" s="4" t="s">
        <v>1711</v>
      </c>
      <c r="D953" s="4">
        <v>195</v>
      </c>
      <c r="E953" s="4">
        <v>1756</v>
      </c>
      <c r="F953" s="188" t="s">
        <v>2259</v>
      </c>
      <c r="G953" s="201" t="s">
        <v>2260</v>
      </c>
      <c r="H953" s="4" t="s">
        <v>2261</v>
      </c>
      <c r="I953" s="4" t="s">
        <v>641</v>
      </c>
      <c r="J953" s="4" t="s">
        <v>1865</v>
      </c>
      <c r="K953" s="4">
        <v>1</v>
      </c>
      <c r="L953" s="4">
        <v>2159</v>
      </c>
      <c r="M953" s="6">
        <v>53.294829999999997</v>
      </c>
      <c r="N953" s="9">
        <v>-120.15278000000001</v>
      </c>
      <c r="O953" s="9" t="s">
        <v>170</v>
      </c>
      <c r="P953" s="9">
        <v>195</v>
      </c>
      <c r="Q953" s="20">
        <v>1</v>
      </c>
      <c r="R953" s="9" t="s">
        <v>2262</v>
      </c>
      <c r="S953" s="9" t="s">
        <v>1737</v>
      </c>
      <c r="T953" s="9">
        <v>716</v>
      </c>
      <c r="U953" s="9" t="s">
        <v>645</v>
      </c>
      <c r="V953" s="9" t="s">
        <v>1813</v>
      </c>
      <c r="W953" s="21">
        <v>29221</v>
      </c>
      <c r="X953" s="9" t="s">
        <v>1738</v>
      </c>
      <c r="Y953" s="9"/>
      <c r="AO953" s="4" t="s">
        <v>2259</v>
      </c>
      <c r="AP953" s="4">
        <v>195</v>
      </c>
      <c r="AQ953" s="4" t="s">
        <v>1700</v>
      </c>
      <c r="AR953" s="4" t="s">
        <v>1739</v>
      </c>
      <c r="AS953" s="4" t="s">
        <v>1740</v>
      </c>
      <c r="AT953" s="4" t="s">
        <v>1741</v>
      </c>
      <c r="AU953" s="4" t="s">
        <v>1772</v>
      </c>
      <c r="AV953" s="4" t="s">
        <v>1720</v>
      </c>
      <c r="AW953" s="4" t="s">
        <v>2003</v>
      </c>
      <c r="AX953" s="4" t="s">
        <v>2258</v>
      </c>
      <c r="AY953" s="4">
        <v>53.294800000000002</v>
      </c>
      <c r="AZ953" s="4">
        <v>-120.15300000000001</v>
      </c>
      <c r="BA953" s="4">
        <v>714</v>
      </c>
    </row>
    <row r="954" spans="1:53" ht="14.25" customHeight="1" x14ac:dyDescent="0.2">
      <c r="A954" s="136" t="s">
        <v>88</v>
      </c>
      <c r="B954" s="9">
        <v>12</v>
      </c>
      <c r="C954" s="4" t="s">
        <v>1711</v>
      </c>
      <c r="D954" s="4">
        <v>199</v>
      </c>
      <c r="E954" s="4">
        <v>1759</v>
      </c>
      <c r="F954" s="188" t="s">
        <v>2267</v>
      </c>
      <c r="G954" s="201" t="s">
        <v>2268</v>
      </c>
      <c r="H954" s="4" t="s">
        <v>2269</v>
      </c>
      <c r="I954" s="4" t="s">
        <v>641</v>
      </c>
      <c r="J954" s="4" t="s">
        <v>1736</v>
      </c>
      <c r="K954" s="4">
        <v>1</v>
      </c>
      <c r="L954" s="4">
        <v>2162</v>
      </c>
      <c r="M954" s="6">
        <v>53.576439999999998</v>
      </c>
      <c r="N954" s="9">
        <v>-120.85844</v>
      </c>
      <c r="O954" s="9" t="s">
        <v>170</v>
      </c>
      <c r="P954" s="9">
        <v>199</v>
      </c>
      <c r="Q954" s="20">
        <v>1</v>
      </c>
      <c r="R954" s="9" t="s">
        <v>2267</v>
      </c>
      <c r="S954" s="9" t="s">
        <v>1737</v>
      </c>
      <c r="T954" s="9">
        <v>866</v>
      </c>
      <c r="U954" s="9"/>
      <c r="V954" s="9"/>
      <c r="W954" s="21">
        <v>31413</v>
      </c>
      <c r="X954" s="9" t="s">
        <v>1738</v>
      </c>
      <c r="Y954" s="9"/>
      <c r="AO954" s="4" t="s">
        <v>2267</v>
      </c>
      <c r="AP954" s="4">
        <v>199</v>
      </c>
      <c r="AQ954" s="4" t="s">
        <v>1716</v>
      </c>
      <c r="AR954" s="4" t="s">
        <v>1739</v>
      </c>
      <c r="AS954" s="4" t="s">
        <v>1740</v>
      </c>
      <c r="AT954" s="4" t="s">
        <v>1741</v>
      </c>
      <c r="AU954" s="4" t="s">
        <v>1742</v>
      </c>
      <c r="AV954" s="4" t="s">
        <v>1720</v>
      </c>
      <c r="AW954" s="4" t="s">
        <v>2003</v>
      </c>
      <c r="AX954" s="4" t="s">
        <v>2091</v>
      </c>
      <c r="AY954" s="4">
        <v>53.5764</v>
      </c>
      <c r="AZ954" s="4">
        <v>-120.85850000000001</v>
      </c>
      <c r="BA954" s="4">
        <v>871</v>
      </c>
    </row>
    <row r="955" spans="1:53" ht="14.25" customHeight="1" x14ac:dyDescent="0.2">
      <c r="A955" s="136" t="s">
        <v>88</v>
      </c>
      <c r="B955" s="9">
        <v>12</v>
      </c>
      <c r="C955" s="4" t="s">
        <v>1711</v>
      </c>
      <c r="D955" s="4">
        <v>200</v>
      </c>
      <c r="E955" s="4">
        <v>1760</v>
      </c>
      <c r="F955" s="188" t="s">
        <v>2270</v>
      </c>
      <c r="G955" s="201" t="s">
        <v>2271</v>
      </c>
      <c r="H955" s="4" t="s">
        <v>2272</v>
      </c>
      <c r="I955" s="4" t="s">
        <v>641</v>
      </c>
      <c r="J955" s="4" t="s">
        <v>1865</v>
      </c>
      <c r="K955" s="4">
        <v>1</v>
      </c>
      <c r="L955" s="4">
        <v>2163</v>
      </c>
      <c r="M955" s="6">
        <v>52.788049999999998</v>
      </c>
      <c r="N955" s="9">
        <v>-119.31480999999999</v>
      </c>
      <c r="O955" s="9" t="s">
        <v>170</v>
      </c>
      <c r="P955" s="9">
        <v>200</v>
      </c>
      <c r="Q955" s="20">
        <v>3</v>
      </c>
      <c r="R955" s="9" t="s">
        <v>2270</v>
      </c>
      <c r="S955" s="9" t="s">
        <v>1737</v>
      </c>
      <c r="T955" s="9">
        <v>1195</v>
      </c>
      <c r="U955" s="9"/>
      <c r="V955" s="9"/>
      <c r="W955" s="21">
        <v>31413</v>
      </c>
      <c r="X955" s="9" t="s">
        <v>1738</v>
      </c>
      <c r="Y955" s="9"/>
      <c r="AO955" s="4" t="s">
        <v>2270</v>
      </c>
      <c r="AP955" s="4">
        <v>200</v>
      </c>
      <c r="AQ955" s="4" t="s">
        <v>1700</v>
      </c>
      <c r="AR955" s="4" t="s">
        <v>1739</v>
      </c>
      <c r="AS955" s="4" t="s">
        <v>1740</v>
      </c>
      <c r="AT955" s="4" t="s">
        <v>1741</v>
      </c>
      <c r="AU955" s="4" t="s">
        <v>1959</v>
      </c>
      <c r="AV955" s="4" t="s">
        <v>1720</v>
      </c>
      <c r="AW955" s="4" t="s">
        <v>2003</v>
      </c>
      <c r="AX955" s="4" t="s">
        <v>2258</v>
      </c>
      <c r="AY955" s="4">
        <v>52.7883</v>
      </c>
      <c r="AZ955" s="4">
        <v>-119.3147</v>
      </c>
      <c r="BA955" s="4">
        <v>1163</v>
      </c>
    </row>
    <row r="956" spans="1:53" ht="14.25" customHeight="1" x14ac:dyDescent="0.2">
      <c r="A956" s="136" t="s">
        <v>88</v>
      </c>
      <c r="B956" s="9">
        <v>12</v>
      </c>
      <c r="C956" s="4" t="s">
        <v>1711</v>
      </c>
      <c r="D956" s="4">
        <v>209</v>
      </c>
      <c r="E956" s="4">
        <v>1766</v>
      </c>
      <c r="F956" s="188" t="s">
        <v>2299</v>
      </c>
      <c r="G956" s="201" t="s">
        <v>2300</v>
      </c>
      <c r="H956" s="4" t="s">
        <v>2301</v>
      </c>
      <c r="I956" s="4" t="s">
        <v>641</v>
      </c>
      <c r="J956" s="4" t="s">
        <v>1736</v>
      </c>
      <c r="K956" s="4">
        <v>1</v>
      </c>
      <c r="L956" s="4">
        <v>2169</v>
      </c>
      <c r="M956" s="6">
        <v>52.083770000000001</v>
      </c>
      <c r="N956" s="9">
        <v>-123.27327</v>
      </c>
      <c r="O956" s="9" t="s">
        <v>148</v>
      </c>
      <c r="P956" s="9">
        <v>209</v>
      </c>
      <c r="Q956" s="20">
        <v>1</v>
      </c>
      <c r="R956" s="9" t="s">
        <v>2299</v>
      </c>
      <c r="S956" s="9" t="s">
        <v>1737</v>
      </c>
      <c r="T956" s="4">
        <v>791</v>
      </c>
      <c r="U956" s="4" t="s">
        <v>645</v>
      </c>
      <c r="V956" s="4" t="s">
        <v>1830</v>
      </c>
      <c r="W956" s="4">
        <v>29221</v>
      </c>
      <c r="X956" s="4" t="s">
        <v>1738</v>
      </c>
      <c r="Y956" s="9"/>
      <c r="AO956" s="4" t="s">
        <v>2299</v>
      </c>
      <c r="AP956" s="4">
        <v>209</v>
      </c>
      <c r="AQ956" s="4" t="s">
        <v>1716</v>
      </c>
      <c r="AR956" s="4" t="s">
        <v>1739</v>
      </c>
      <c r="AS956" s="4" t="s">
        <v>1740</v>
      </c>
      <c r="AT956" s="4" t="s">
        <v>1741</v>
      </c>
      <c r="AU956" s="4" t="s">
        <v>1742</v>
      </c>
      <c r="AV956" s="4" t="s">
        <v>1720</v>
      </c>
      <c r="AW956" s="4" t="s">
        <v>2193</v>
      </c>
      <c r="AX956" s="4" t="s">
        <v>2283</v>
      </c>
      <c r="AY956" s="4">
        <v>52.083799999999997</v>
      </c>
      <c r="AZ956" s="4">
        <v>-123.27330000000001</v>
      </c>
      <c r="BA956" s="4">
        <v>791</v>
      </c>
    </row>
    <row r="957" spans="1:53" ht="14.25" customHeight="1" x14ac:dyDescent="0.2">
      <c r="A957" s="136" t="s">
        <v>88</v>
      </c>
      <c r="B957" s="9">
        <v>12</v>
      </c>
      <c r="C957" s="4" t="s">
        <v>1711</v>
      </c>
      <c r="D957" s="4">
        <v>210</v>
      </c>
      <c r="E957" s="4">
        <v>1767</v>
      </c>
      <c r="F957" s="188" t="s">
        <v>2302</v>
      </c>
      <c r="G957" s="201" t="s">
        <v>2303</v>
      </c>
      <c r="H957" s="4" t="s">
        <v>2304</v>
      </c>
      <c r="I957" s="4" t="s">
        <v>641</v>
      </c>
      <c r="J957" s="4" t="s">
        <v>1865</v>
      </c>
      <c r="K957" s="4">
        <v>1</v>
      </c>
      <c r="L957" s="4">
        <v>2170</v>
      </c>
      <c r="M957" s="6">
        <v>51.96</v>
      </c>
      <c r="N957" s="9">
        <v>-122.51</v>
      </c>
      <c r="O957" s="9" t="s">
        <v>148</v>
      </c>
      <c r="P957" s="9">
        <v>210</v>
      </c>
      <c r="Q957" s="20">
        <v>2</v>
      </c>
      <c r="R957" s="9" t="s">
        <v>2302</v>
      </c>
      <c r="S957" s="9" t="s">
        <v>1737</v>
      </c>
      <c r="T957" s="4">
        <v>884</v>
      </c>
      <c r="U957"/>
      <c r="W957" s="4">
        <v>29221</v>
      </c>
      <c r="X957" s="4" t="s">
        <v>1738</v>
      </c>
      <c r="Y957" s="9"/>
      <c r="AO957" s="4" t="s">
        <v>2302</v>
      </c>
      <c r="AP957" s="4">
        <v>210</v>
      </c>
      <c r="AQ957" s="4" t="s">
        <v>1700</v>
      </c>
      <c r="AR957" s="4" t="s">
        <v>1739</v>
      </c>
      <c r="AS957" s="4" t="s">
        <v>1740</v>
      </c>
      <c r="AT957" s="4" t="s">
        <v>1741</v>
      </c>
      <c r="AU957" s="4" t="s">
        <v>1959</v>
      </c>
      <c r="AV957" s="4" t="s">
        <v>1720</v>
      </c>
      <c r="AW957" s="4" t="s">
        <v>2193</v>
      </c>
      <c r="AX957" s="4" t="s">
        <v>2291</v>
      </c>
      <c r="AY957" s="4">
        <v>51.959400000000002</v>
      </c>
      <c r="AZ957" s="4">
        <v>-122.5042</v>
      </c>
      <c r="BA957" s="4">
        <v>929</v>
      </c>
    </row>
    <row r="958" spans="1:53" ht="14.25" customHeight="1" x14ac:dyDescent="0.2">
      <c r="A958" s="136" t="s">
        <v>88</v>
      </c>
      <c r="B958" s="9">
        <v>12</v>
      </c>
      <c r="C958" s="4" t="s">
        <v>1711</v>
      </c>
      <c r="D958" s="4">
        <v>225</v>
      </c>
      <c r="E958" s="4">
        <v>1782</v>
      </c>
      <c r="F958" s="188" t="s">
        <v>2348</v>
      </c>
      <c r="G958" s="201" t="s">
        <v>2349</v>
      </c>
      <c r="H958" s="4" t="s">
        <v>2350</v>
      </c>
      <c r="I958" s="4" t="s">
        <v>641</v>
      </c>
      <c r="J958" s="4" t="s">
        <v>1736</v>
      </c>
      <c r="K958" s="4">
        <v>1</v>
      </c>
      <c r="L958" s="4">
        <v>2185</v>
      </c>
      <c r="M958" s="6">
        <v>52.049720000000001</v>
      </c>
      <c r="N958" s="9">
        <v>-121.87383</v>
      </c>
      <c r="O958" s="9" t="s">
        <v>148</v>
      </c>
      <c r="P958" s="9">
        <v>225</v>
      </c>
      <c r="Q958" s="20">
        <v>1</v>
      </c>
      <c r="R958" s="9" t="s">
        <v>2348</v>
      </c>
      <c r="S958" s="9" t="s">
        <v>1737</v>
      </c>
      <c r="T958" s="9">
        <v>821</v>
      </c>
      <c r="U958" s="9"/>
      <c r="V958" s="9"/>
      <c r="W958" s="21">
        <v>33239</v>
      </c>
      <c r="X958" s="9" t="s">
        <v>1738</v>
      </c>
      <c r="Y958" s="9"/>
      <c r="AO958" s="4" t="s">
        <v>2348</v>
      </c>
      <c r="AP958" s="4">
        <v>225</v>
      </c>
      <c r="AQ958" s="4" t="s">
        <v>1700</v>
      </c>
      <c r="AR958" s="4" t="s">
        <v>1739</v>
      </c>
      <c r="AS958" s="4" t="s">
        <v>1740</v>
      </c>
      <c r="AT958" s="4" t="s">
        <v>1741</v>
      </c>
      <c r="AU958" s="4" t="s">
        <v>1959</v>
      </c>
      <c r="AV958" s="4" t="s">
        <v>1720</v>
      </c>
      <c r="AW958" s="4" t="s">
        <v>2193</v>
      </c>
      <c r="AX958" s="4" t="s">
        <v>2291</v>
      </c>
      <c r="AY958" s="4">
        <v>52.049700000000001</v>
      </c>
      <c r="AZ958" s="4">
        <v>-121.8738</v>
      </c>
      <c r="BA958" s="4">
        <v>821</v>
      </c>
    </row>
    <row r="959" spans="1:53" ht="14.25" customHeight="1" x14ac:dyDescent="0.2">
      <c r="A959" s="136" t="s">
        <v>88</v>
      </c>
      <c r="B959" s="9">
        <v>12</v>
      </c>
      <c r="C959" s="4" t="s">
        <v>1711</v>
      </c>
      <c r="D959" s="4">
        <v>230</v>
      </c>
      <c r="E959" s="4">
        <v>1786</v>
      </c>
      <c r="F959" s="188" t="s">
        <v>2362</v>
      </c>
      <c r="G959" s="201" t="s">
        <v>2363</v>
      </c>
      <c r="H959" s="4" t="s">
        <v>2364</v>
      </c>
      <c r="I959" s="4" t="s">
        <v>641</v>
      </c>
      <c r="J959" s="4" t="s">
        <v>1736</v>
      </c>
      <c r="K959" s="4">
        <v>1</v>
      </c>
      <c r="L959" s="4">
        <v>2189</v>
      </c>
      <c r="M959" s="193">
        <v>52.33</v>
      </c>
      <c r="N959" s="4">
        <v>-121.39667</v>
      </c>
      <c r="O959" s="4" t="s">
        <v>148</v>
      </c>
      <c r="P959" s="4">
        <v>230</v>
      </c>
      <c r="Q959" s="4">
        <v>1</v>
      </c>
      <c r="R959" s="4" t="s">
        <v>2362</v>
      </c>
      <c r="S959" s="4" t="s">
        <v>1737</v>
      </c>
      <c r="T959" s="4">
        <v>701</v>
      </c>
      <c r="U959" s="4" t="s">
        <v>645</v>
      </c>
      <c r="V959" s="4" t="s">
        <v>1830</v>
      </c>
      <c r="W959" s="4">
        <v>25934</v>
      </c>
      <c r="X959" s="4" t="s">
        <v>1738</v>
      </c>
      <c r="Y959" s="9"/>
      <c r="AO959" s="4" t="s">
        <v>2362</v>
      </c>
      <c r="AP959" s="4">
        <v>230</v>
      </c>
      <c r="AQ959" s="4" t="s">
        <v>1716</v>
      </c>
      <c r="AR959" s="4" t="s">
        <v>1739</v>
      </c>
      <c r="AS959" s="4" t="s">
        <v>1740</v>
      </c>
      <c r="AT959" s="4" t="s">
        <v>1741</v>
      </c>
      <c r="AU959" s="4" t="s">
        <v>1742</v>
      </c>
      <c r="AV959" s="4" t="s">
        <v>1720</v>
      </c>
      <c r="AW959" s="4" t="s">
        <v>2193</v>
      </c>
      <c r="AX959" s="4" t="s">
        <v>2356</v>
      </c>
      <c r="AY959" s="4">
        <v>52.327800000000003</v>
      </c>
      <c r="AZ959" s="4">
        <v>-121.39830000000001</v>
      </c>
      <c r="BA959" s="4">
        <v>701</v>
      </c>
    </row>
    <row r="960" spans="1:53" ht="14.25" customHeight="1" x14ac:dyDescent="0.2">
      <c r="A960" s="136" t="s">
        <v>88</v>
      </c>
      <c r="B960" s="9">
        <v>12</v>
      </c>
      <c r="C960" s="4" t="s">
        <v>1711</v>
      </c>
      <c r="D960" s="4">
        <v>232</v>
      </c>
      <c r="E960" s="4">
        <v>1788</v>
      </c>
      <c r="F960" s="188" t="s">
        <v>2370</v>
      </c>
      <c r="G960" s="201" t="s">
        <v>7854</v>
      </c>
      <c r="H960" s="4" t="s">
        <v>2372</v>
      </c>
      <c r="I960" s="4" t="s">
        <v>641</v>
      </c>
      <c r="J960" s="4" t="s">
        <v>1865</v>
      </c>
      <c r="K960" s="4">
        <v>1</v>
      </c>
      <c r="L960" s="4">
        <v>2191</v>
      </c>
      <c r="M960" s="193">
        <v>51.723779999999998</v>
      </c>
      <c r="N960" s="4">
        <v>-120.38993000000001</v>
      </c>
      <c r="O960" s="4" t="s">
        <v>148</v>
      </c>
      <c r="P960" s="4">
        <v>232</v>
      </c>
      <c r="Q960" s="4">
        <v>5</v>
      </c>
      <c r="R960" s="4" t="s">
        <v>2370</v>
      </c>
      <c r="S960" s="4" t="s">
        <v>1737</v>
      </c>
      <c r="T960" s="4">
        <v>1124</v>
      </c>
      <c r="U960"/>
      <c r="W960" s="4">
        <v>28856</v>
      </c>
      <c r="X960" s="4" t="s">
        <v>1738</v>
      </c>
      <c r="Y960" s="9"/>
      <c r="AO960" s="4" t="s">
        <v>2370</v>
      </c>
      <c r="AP960" s="4">
        <v>232</v>
      </c>
      <c r="AQ960" s="4" t="s">
        <v>1700</v>
      </c>
      <c r="AR960" s="4" t="s">
        <v>1739</v>
      </c>
      <c r="AS960" s="4" t="s">
        <v>1740</v>
      </c>
      <c r="AT960" s="4" t="s">
        <v>1835</v>
      </c>
      <c r="AU960" s="4" t="s">
        <v>1959</v>
      </c>
      <c r="AV960" s="4" t="s">
        <v>1720</v>
      </c>
      <c r="AW960" s="4" t="s">
        <v>2368</v>
      </c>
      <c r="AX960" s="4" t="s">
        <v>2369</v>
      </c>
      <c r="AY960" s="4">
        <v>51.723799999999997</v>
      </c>
      <c r="AZ960" s="4">
        <v>-120.3899</v>
      </c>
      <c r="BA960" s="4">
        <v>1122</v>
      </c>
    </row>
    <row r="961" spans="1:53" ht="14.25" customHeight="1" x14ac:dyDescent="0.2">
      <c r="A961" s="136" t="s">
        <v>88</v>
      </c>
      <c r="B961" s="9">
        <v>12</v>
      </c>
      <c r="C961" s="4" t="s">
        <v>1711</v>
      </c>
      <c r="D961" s="4">
        <v>243</v>
      </c>
      <c r="E961" s="4">
        <v>1798</v>
      </c>
      <c r="F961" s="188" t="s">
        <v>2402</v>
      </c>
      <c r="G961" s="201" t="s">
        <v>2403</v>
      </c>
      <c r="H961" s="4" t="s">
        <v>2404</v>
      </c>
      <c r="I961" s="4" t="s">
        <v>641</v>
      </c>
      <c r="J961" s="4" t="s">
        <v>1865</v>
      </c>
      <c r="K961" s="4">
        <v>1</v>
      </c>
      <c r="L961" s="4">
        <v>2201</v>
      </c>
      <c r="M961" s="193">
        <v>51.253129999999999</v>
      </c>
      <c r="N961" s="4">
        <v>-119.88168</v>
      </c>
      <c r="O961" s="4" t="s">
        <v>170</v>
      </c>
      <c r="P961" s="4">
        <v>243</v>
      </c>
      <c r="Q961" s="4">
        <v>1</v>
      </c>
      <c r="R961" s="4" t="s">
        <v>2402</v>
      </c>
      <c r="S961" s="4" t="s">
        <v>1737</v>
      </c>
      <c r="T961" s="4">
        <v>631</v>
      </c>
      <c r="U961" s="4" t="s">
        <v>645</v>
      </c>
      <c r="W961" s="4">
        <v>28491</v>
      </c>
      <c r="X961" s="4" t="s">
        <v>1738</v>
      </c>
      <c r="Y961" s="9"/>
      <c r="AO961" s="4" t="s">
        <v>2402</v>
      </c>
      <c r="AP961" s="4">
        <v>243</v>
      </c>
      <c r="AQ961" s="4" t="s">
        <v>1716</v>
      </c>
      <c r="AR961" s="4" t="s">
        <v>1739</v>
      </c>
      <c r="AS961" s="4" t="s">
        <v>1740</v>
      </c>
      <c r="AT961" s="4" t="s">
        <v>1741</v>
      </c>
      <c r="AU961" s="4" t="s">
        <v>1742</v>
      </c>
      <c r="AV961" s="4" t="s">
        <v>1720</v>
      </c>
      <c r="AW961" s="4" t="s">
        <v>2368</v>
      </c>
      <c r="AX961" s="4" t="s">
        <v>2369</v>
      </c>
      <c r="AY961" s="4">
        <v>51.253100000000003</v>
      </c>
      <c r="AZ961" s="4">
        <v>-119.8817</v>
      </c>
      <c r="BA961" s="4">
        <v>631</v>
      </c>
    </row>
    <row r="962" spans="1:53" ht="14.25" customHeight="1" x14ac:dyDescent="0.2">
      <c r="A962" s="136" t="s">
        <v>88</v>
      </c>
      <c r="B962" s="9">
        <v>12</v>
      </c>
      <c r="C962" s="4" t="s">
        <v>1711</v>
      </c>
      <c r="D962" s="4">
        <v>244</v>
      </c>
      <c r="E962" s="4">
        <v>1799</v>
      </c>
      <c r="F962" s="188" t="s">
        <v>2405</v>
      </c>
      <c r="G962" s="201" t="s">
        <v>7855</v>
      </c>
      <c r="H962" s="4" t="s">
        <v>2407</v>
      </c>
      <c r="I962" s="4" t="s">
        <v>641</v>
      </c>
      <c r="J962" s="4" t="s">
        <v>1865</v>
      </c>
      <c r="K962" s="4">
        <v>1</v>
      </c>
      <c r="L962" s="4">
        <v>2202</v>
      </c>
      <c r="M962" s="193">
        <v>51.67</v>
      </c>
      <c r="N962" s="4">
        <v>-120.65</v>
      </c>
      <c r="O962" s="4" t="s">
        <v>148</v>
      </c>
      <c r="P962" s="4">
        <v>244</v>
      </c>
      <c r="Q962" s="4">
        <v>8</v>
      </c>
      <c r="R962" s="4" t="s">
        <v>2405</v>
      </c>
      <c r="S962" s="4" t="s">
        <v>1737</v>
      </c>
      <c r="T962" s="4">
        <v>1580</v>
      </c>
      <c r="U962"/>
      <c r="W962" s="4">
        <v>33604</v>
      </c>
      <c r="X962" s="4" t="s">
        <v>1738</v>
      </c>
      <c r="Y962" s="9"/>
      <c r="AO962" s="4" t="s">
        <v>2405</v>
      </c>
      <c r="AP962" s="4">
        <v>244</v>
      </c>
      <c r="AQ962" s="4" t="s">
        <v>1716</v>
      </c>
      <c r="AR962" s="4" t="s">
        <v>1739</v>
      </c>
      <c r="AS962" s="4" t="s">
        <v>1740</v>
      </c>
      <c r="AT962" s="4" t="s">
        <v>1741</v>
      </c>
      <c r="AU962" s="4" t="s">
        <v>1742</v>
      </c>
      <c r="AV962" s="4" t="s">
        <v>1720</v>
      </c>
      <c r="AW962" s="4" t="s">
        <v>2193</v>
      </c>
      <c r="AX962" s="4" t="s">
        <v>2287</v>
      </c>
      <c r="AY962" s="4">
        <v>51.663899999999998</v>
      </c>
      <c r="AZ962" s="4">
        <v>-120.6579</v>
      </c>
      <c r="BA962" s="4">
        <v>1377</v>
      </c>
    </row>
    <row r="963" spans="1:53" ht="14.25" customHeight="1" x14ac:dyDescent="0.2">
      <c r="A963" s="136" t="s">
        <v>88</v>
      </c>
      <c r="B963" s="9">
        <v>12</v>
      </c>
      <c r="C963" s="4" t="s">
        <v>1711</v>
      </c>
      <c r="D963" s="4">
        <v>253</v>
      </c>
      <c r="E963" s="4">
        <v>1807</v>
      </c>
      <c r="F963" s="188" t="s">
        <v>2428</v>
      </c>
      <c r="G963" s="201" t="s">
        <v>2429</v>
      </c>
      <c r="H963" s="4" t="s">
        <v>2430</v>
      </c>
      <c r="I963" s="4" t="s">
        <v>641</v>
      </c>
      <c r="J963" s="4" t="s">
        <v>1865</v>
      </c>
      <c r="K963" s="4">
        <v>1</v>
      </c>
      <c r="L963" s="4">
        <v>2210</v>
      </c>
      <c r="M963" s="193">
        <v>50.887880000000003</v>
      </c>
      <c r="N963" s="4">
        <v>-119.83832</v>
      </c>
      <c r="O963" s="4" t="s">
        <v>142</v>
      </c>
      <c r="P963" s="4">
        <v>253</v>
      </c>
      <c r="Q963" s="4">
        <v>6</v>
      </c>
      <c r="R963" s="4" t="s">
        <v>2428</v>
      </c>
      <c r="S963" s="4" t="s">
        <v>1737</v>
      </c>
      <c r="T963" s="4">
        <v>1543</v>
      </c>
      <c r="U963"/>
      <c r="W963" s="4">
        <v>31778</v>
      </c>
      <c r="X963" s="4" t="s">
        <v>1738</v>
      </c>
      <c r="Y963" s="9"/>
      <c r="AO963" s="4" t="s">
        <v>2428</v>
      </c>
      <c r="AP963" s="4">
        <v>253</v>
      </c>
      <c r="AQ963" s="4" t="s">
        <v>1716</v>
      </c>
      <c r="AR963" s="4" t="s">
        <v>1739</v>
      </c>
      <c r="AS963" s="4" t="s">
        <v>1740</v>
      </c>
      <c r="AT963" s="4" t="s">
        <v>1741</v>
      </c>
      <c r="AU963" s="4" t="s">
        <v>1742</v>
      </c>
      <c r="AV963" s="4" t="s">
        <v>1720</v>
      </c>
      <c r="AW963" s="4" t="s">
        <v>2368</v>
      </c>
      <c r="AX963" s="4" t="s">
        <v>2369</v>
      </c>
      <c r="AY963" s="4">
        <v>50.887900000000002</v>
      </c>
      <c r="AZ963" s="4">
        <v>-119.8383</v>
      </c>
      <c r="BA963" s="4">
        <v>1543</v>
      </c>
    </row>
    <row r="964" spans="1:53" ht="14.25" customHeight="1" x14ac:dyDescent="0.2">
      <c r="A964" s="136" t="s">
        <v>88</v>
      </c>
      <c r="B964" s="9">
        <v>12</v>
      </c>
      <c r="C964" s="4" t="s">
        <v>1711</v>
      </c>
      <c r="D964" s="4">
        <v>257</v>
      </c>
      <c r="E964" s="4">
        <v>1810</v>
      </c>
      <c r="F964" s="188" t="s">
        <v>2437</v>
      </c>
      <c r="G964" s="201" t="s">
        <v>2438</v>
      </c>
      <c r="H964" s="4" t="s">
        <v>2439</v>
      </c>
      <c r="I964" s="4" t="s">
        <v>641</v>
      </c>
      <c r="J964" s="4" t="s">
        <v>1715</v>
      </c>
      <c r="K964" s="4">
        <v>1</v>
      </c>
      <c r="L964" s="4">
        <v>2213</v>
      </c>
      <c r="M964" s="6"/>
      <c r="N964" s="9"/>
      <c r="O964" s="9"/>
      <c r="P964" s="9"/>
      <c r="Q964" s="20"/>
      <c r="R964" s="9"/>
      <c r="S964" s="9"/>
      <c r="T964" s="9"/>
      <c r="U964" s="9"/>
      <c r="V964" s="9"/>
      <c r="W964" s="21"/>
      <c r="X964" s="9"/>
      <c r="Y964" s="9"/>
      <c r="AO964" s="4" t="s">
        <v>2440</v>
      </c>
      <c r="AP964" s="4">
        <v>257</v>
      </c>
      <c r="AQ964" s="4" t="s">
        <v>1716</v>
      </c>
      <c r="AR964" s="4" t="s">
        <v>2441</v>
      </c>
      <c r="AS964" s="4" t="s">
        <v>2257</v>
      </c>
      <c r="AT964" s="4" t="s">
        <v>2442</v>
      </c>
      <c r="AU964" s="4" t="s">
        <v>2443</v>
      </c>
      <c r="AV964" s="4" t="s">
        <v>1720</v>
      </c>
      <c r="AW964" s="4" t="s">
        <v>2368</v>
      </c>
      <c r="AY964" s="4">
        <v>52.1205</v>
      </c>
      <c r="AZ964" s="4">
        <v>-119.29810000000001</v>
      </c>
      <c r="BA964" s="4">
        <v>696</v>
      </c>
    </row>
    <row r="965" spans="1:53" ht="14.25" customHeight="1" x14ac:dyDescent="0.2">
      <c r="A965" s="136" t="s">
        <v>88</v>
      </c>
      <c r="B965" s="4">
        <v>12</v>
      </c>
      <c r="C965" s="4" t="s">
        <v>1711</v>
      </c>
      <c r="D965" s="4">
        <v>266</v>
      </c>
      <c r="E965" s="4">
        <v>1819</v>
      </c>
      <c r="F965" s="188" t="s">
        <v>2467</v>
      </c>
      <c r="G965" s="201" t="s">
        <v>7856</v>
      </c>
      <c r="H965" s="4" t="s">
        <v>2469</v>
      </c>
      <c r="I965" s="4" t="s">
        <v>641</v>
      </c>
      <c r="J965" s="4" t="s">
        <v>1865</v>
      </c>
      <c r="K965" s="4">
        <v>1</v>
      </c>
      <c r="L965" s="4">
        <v>2222</v>
      </c>
      <c r="M965" s="193">
        <v>52.34263</v>
      </c>
      <c r="N965" s="4">
        <v>-120.24375000000001</v>
      </c>
      <c r="O965" s="4" t="s">
        <v>170</v>
      </c>
      <c r="P965" s="4">
        <v>266</v>
      </c>
      <c r="Q965" s="4">
        <v>2</v>
      </c>
      <c r="R965" s="4" t="s">
        <v>2467</v>
      </c>
      <c r="S965" s="4" t="s">
        <v>1737</v>
      </c>
      <c r="T965" s="4">
        <v>959</v>
      </c>
      <c r="U965"/>
      <c r="W965" s="4">
        <v>34335</v>
      </c>
      <c r="X965" s="4" t="s">
        <v>1738</v>
      </c>
      <c r="AO965" s="4" t="s">
        <v>2467</v>
      </c>
      <c r="AP965" s="4">
        <v>266</v>
      </c>
      <c r="AQ965" s="4" t="s">
        <v>1716</v>
      </c>
      <c r="AR965" s="4" t="s">
        <v>1739</v>
      </c>
      <c r="AS965" s="4" t="s">
        <v>1740</v>
      </c>
      <c r="AT965" s="4" t="s">
        <v>1741</v>
      </c>
      <c r="AU965" s="4" t="s">
        <v>1742</v>
      </c>
      <c r="AV965" s="4" t="s">
        <v>1720</v>
      </c>
      <c r="AW965" s="4" t="s">
        <v>2368</v>
      </c>
      <c r="AX965" s="4" t="s">
        <v>2369</v>
      </c>
      <c r="AY965" s="4">
        <v>52.342500000000001</v>
      </c>
      <c r="AZ965" s="4">
        <v>-120.24339999999999</v>
      </c>
      <c r="BA965" s="4">
        <v>958</v>
      </c>
    </row>
    <row r="966" spans="1:53" ht="14.25" customHeight="1" x14ac:dyDescent="0.2">
      <c r="A966" s="136" t="s">
        <v>88</v>
      </c>
      <c r="B966" s="4">
        <v>12</v>
      </c>
      <c r="C966" s="4" t="s">
        <v>1711</v>
      </c>
      <c r="D966" s="4">
        <v>267</v>
      </c>
      <c r="E966" s="4">
        <v>1820</v>
      </c>
      <c r="F966" s="188" t="s">
        <v>2470</v>
      </c>
      <c r="G966" s="201" t="s">
        <v>2471</v>
      </c>
      <c r="H966" s="4" t="s">
        <v>2472</v>
      </c>
      <c r="I966" s="4" t="s">
        <v>641</v>
      </c>
      <c r="J966" s="4" t="s">
        <v>1865</v>
      </c>
      <c r="K966" s="4">
        <v>1</v>
      </c>
      <c r="L966" s="4">
        <v>2223</v>
      </c>
      <c r="M966" s="193">
        <v>51.978769999999997</v>
      </c>
      <c r="N966" s="4">
        <v>-119.41338</v>
      </c>
      <c r="O966" s="4" t="s">
        <v>170</v>
      </c>
      <c r="P966" s="4">
        <v>267</v>
      </c>
      <c r="Q966" s="4">
        <v>4</v>
      </c>
      <c r="R966" s="4" t="s">
        <v>2470</v>
      </c>
      <c r="S966" s="4" t="s">
        <v>1737</v>
      </c>
      <c r="T966" s="4">
        <v>1478</v>
      </c>
      <c r="U966"/>
      <c r="W966" s="4">
        <v>33239</v>
      </c>
      <c r="X966" s="4" t="s">
        <v>1738</v>
      </c>
      <c r="AO966" s="4" t="s">
        <v>2470</v>
      </c>
      <c r="AP966" s="4">
        <v>267</v>
      </c>
      <c r="AQ966" s="4" t="s">
        <v>1716</v>
      </c>
      <c r="AR966" s="4" t="s">
        <v>1739</v>
      </c>
      <c r="AS966" s="4" t="s">
        <v>1740</v>
      </c>
      <c r="AT966" s="4" t="s">
        <v>1741</v>
      </c>
      <c r="AU966" s="4" t="s">
        <v>1742</v>
      </c>
      <c r="AV966" s="4" t="s">
        <v>1720</v>
      </c>
      <c r="AW966" s="4" t="s">
        <v>2368</v>
      </c>
      <c r="AX966" s="4" t="s">
        <v>2369</v>
      </c>
      <c r="AY966" s="4">
        <v>51.9788</v>
      </c>
      <c r="AZ966" s="4">
        <v>-119.4134</v>
      </c>
      <c r="BA966" s="4">
        <v>1469</v>
      </c>
    </row>
    <row r="967" spans="1:53" ht="14.25" customHeight="1" x14ac:dyDescent="0.2">
      <c r="A967" s="136" t="s">
        <v>88</v>
      </c>
      <c r="B967" s="4">
        <v>12</v>
      </c>
      <c r="C967" s="4" t="s">
        <v>1711</v>
      </c>
      <c r="D967" s="4">
        <v>270</v>
      </c>
      <c r="E967" s="4">
        <v>1823</v>
      </c>
      <c r="F967" s="188" t="s">
        <v>2479</v>
      </c>
      <c r="G967" s="201" t="s">
        <v>2480</v>
      </c>
      <c r="H967" s="4" t="s">
        <v>2481</v>
      </c>
      <c r="I967" s="4" t="s">
        <v>641</v>
      </c>
      <c r="J967" s="4" t="s">
        <v>1865</v>
      </c>
      <c r="K967" s="4">
        <v>1</v>
      </c>
      <c r="L967" s="4">
        <v>2226</v>
      </c>
      <c r="M967" s="4">
        <v>52.452599999999997</v>
      </c>
      <c r="N967" s="4">
        <v>-119.17533</v>
      </c>
      <c r="O967" s="4" t="s">
        <v>170</v>
      </c>
      <c r="P967" s="4">
        <v>270</v>
      </c>
      <c r="Q967" s="4">
        <v>6</v>
      </c>
      <c r="R967" s="4" t="s">
        <v>2479</v>
      </c>
      <c r="S967" s="4" t="s">
        <v>1737</v>
      </c>
      <c r="T967" s="4">
        <v>1873</v>
      </c>
      <c r="U967" s="4" t="s">
        <v>645</v>
      </c>
      <c r="W967" s="4">
        <v>35065</v>
      </c>
      <c r="X967" s="4" t="s">
        <v>1738</v>
      </c>
      <c r="AO967" s="4" t="s">
        <v>2479</v>
      </c>
      <c r="AP967" s="4">
        <v>270</v>
      </c>
      <c r="AQ967" s="4" t="s">
        <v>1716</v>
      </c>
      <c r="AR967" s="4" t="s">
        <v>1739</v>
      </c>
      <c r="AS967" s="4" t="s">
        <v>1740</v>
      </c>
      <c r="AT967" s="4" t="s">
        <v>1835</v>
      </c>
      <c r="AU967" s="4" t="s">
        <v>1959</v>
      </c>
      <c r="AV967" s="4" t="s">
        <v>1720</v>
      </c>
      <c r="AW967" s="4" t="s">
        <v>2003</v>
      </c>
      <c r="AX967" s="4" t="s">
        <v>2258</v>
      </c>
      <c r="AY967" s="4">
        <v>52.452599999999997</v>
      </c>
      <c r="AZ967" s="4">
        <v>-119.17529999999999</v>
      </c>
      <c r="BA967" s="4">
        <v>1873</v>
      </c>
    </row>
    <row r="968" spans="1:53" ht="14.25" customHeight="1" x14ac:dyDescent="0.2">
      <c r="A968" s="136" t="s">
        <v>88</v>
      </c>
      <c r="B968" s="4">
        <v>12</v>
      </c>
      <c r="C968" s="4" t="s">
        <v>1711</v>
      </c>
      <c r="D968" s="4">
        <v>279</v>
      </c>
      <c r="E968" s="4">
        <v>1829</v>
      </c>
      <c r="F968" s="188" t="s">
        <v>2499</v>
      </c>
      <c r="G968" s="201" t="s">
        <v>2500</v>
      </c>
      <c r="H968" s="4" t="s">
        <v>2501</v>
      </c>
      <c r="I968" s="4" t="s">
        <v>641</v>
      </c>
      <c r="J968" s="4" t="s">
        <v>1736</v>
      </c>
      <c r="K968" s="4">
        <v>1</v>
      </c>
      <c r="L968" s="4">
        <v>2232</v>
      </c>
      <c r="M968" s="6">
        <v>49.715150000000001</v>
      </c>
      <c r="N968" s="4">
        <v>-120.86605</v>
      </c>
      <c r="O968" s="4" t="s">
        <v>142</v>
      </c>
      <c r="P968" s="4">
        <v>279</v>
      </c>
      <c r="Q968" s="4">
        <v>5</v>
      </c>
      <c r="R968" s="4" t="s">
        <v>2499</v>
      </c>
      <c r="S968" s="4" t="s">
        <v>1737</v>
      </c>
      <c r="T968" s="4">
        <v>1407</v>
      </c>
      <c r="U968"/>
      <c r="W968" s="4">
        <v>28126</v>
      </c>
      <c r="X968" s="4" t="s">
        <v>1738</v>
      </c>
      <c r="AK968" s="9"/>
      <c r="AO968" s="4" t="s">
        <v>2499</v>
      </c>
      <c r="AP968" s="4">
        <v>279</v>
      </c>
      <c r="AQ968" s="4" t="s">
        <v>1700</v>
      </c>
      <c r="AR968" s="4" t="s">
        <v>1739</v>
      </c>
      <c r="AS968" s="4" t="s">
        <v>1740</v>
      </c>
      <c r="AT968" s="4" t="s">
        <v>1741</v>
      </c>
      <c r="AU968" s="4" t="s">
        <v>1959</v>
      </c>
      <c r="AV968" s="4" t="s">
        <v>1720</v>
      </c>
      <c r="AW968" s="4" t="s">
        <v>2368</v>
      </c>
      <c r="AX968" s="4" t="s">
        <v>2492</v>
      </c>
      <c r="AY968" s="4">
        <v>49.715200000000003</v>
      </c>
      <c r="AZ968" s="4">
        <v>-120.866</v>
      </c>
      <c r="BA968" s="4">
        <v>1407</v>
      </c>
    </row>
    <row r="969" spans="1:53" ht="14.25" customHeight="1" x14ac:dyDescent="0.2">
      <c r="A969" s="136" t="s">
        <v>88</v>
      </c>
      <c r="B969" s="4">
        <v>12</v>
      </c>
      <c r="C969" s="4" t="s">
        <v>1711</v>
      </c>
      <c r="D969" s="4">
        <v>280</v>
      </c>
      <c r="E969" s="4">
        <v>1830</v>
      </c>
      <c r="F969" s="188" t="s">
        <v>2502</v>
      </c>
      <c r="G969" s="201" t="s">
        <v>2503</v>
      </c>
      <c r="H969" s="4" t="s">
        <v>2504</v>
      </c>
      <c r="I969" s="4" t="s">
        <v>641</v>
      </c>
      <c r="J969" s="4" t="s">
        <v>1736</v>
      </c>
      <c r="K969" s="4">
        <v>1</v>
      </c>
      <c r="L969" s="4">
        <v>2233</v>
      </c>
      <c r="M969" s="6">
        <v>50.672020000000003</v>
      </c>
      <c r="N969" s="4">
        <v>-121.88818000000001</v>
      </c>
      <c r="O969" s="4" t="s">
        <v>142</v>
      </c>
      <c r="P969" s="4">
        <v>280</v>
      </c>
      <c r="Q969" s="4">
        <v>1</v>
      </c>
      <c r="R969" s="4" t="s">
        <v>2502</v>
      </c>
      <c r="S969" s="4" t="s">
        <v>1737</v>
      </c>
      <c r="T969" s="4">
        <v>408</v>
      </c>
      <c r="U969" s="4" t="s">
        <v>645</v>
      </c>
      <c r="V969" s="4" t="s">
        <v>1830</v>
      </c>
      <c r="W969" s="4">
        <v>28126</v>
      </c>
      <c r="X969" s="4" t="s">
        <v>1738</v>
      </c>
      <c r="AK969" s="7"/>
      <c r="AO969" s="4" t="s">
        <v>2502</v>
      </c>
      <c r="AP969" s="4">
        <v>280</v>
      </c>
      <c r="AQ969" s="4" t="s">
        <v>1700</v>
      </c>
      <c r="AR969" s="4" t="s">
        <v>1739</v>
      </c>
      <c r="AS969" s="4" t="s">
        <v>1740</v>
      </c>
      <c r="AT969" s="4" t="s">
        <v>1741</v>
      </c>
      <c r="AU969" s="4" t="s">
        <v>1772</v>
      </c>
      <c r="AV969" s="4" t="s">
        <v>1720</v>
      </c>
      <c r="AW969" s="4" t="s">
        <v>2368</v>
      </c>
      <c r="AX969" s="4" t="s">
        <v>2505</v>
      </c>
      <c r="AY969" s="4">
        <v>50.671999999999997</v>
      </c>
      <c r="AZ969" s="4">
        <v>-121.8882</v>
      </c>
      <c r="BA969" s="4">
        <v>408</v>
      </c>
    </row>
    <row r="970" spans="1:53" ht="14.25" customHeight="1" x14ac:dyDescent="0.2">
      <c r="A970" s="136" t="s">
        <v>88</v>
      </c>
      <c r="B970" s="4">
        <v>12</v>
      </c>
      <c r="C970" s="4" t="s">
        <v>1711</v>
      </c>
      <c r="D970" s="4">
        <v>281</v>
      </c>
      <c r="E970" s="4">
        <v>1831</v>
      </c>
      <c r="F970" s="188" t="s">
        <v>2506</v>
      </c>
      <c r="G970" s="201" t="s">
        <v>7857</v>
      </c>
      <c r="H970" s="4" t="s">
        <v>2508</v>
      </c>
      <c r="I970" s="4" t="s">
        <v>641</v>
      </c>
      <c r="J970" s="4" t="s">
        <v>1715</v>
      </c>
      <c r="K970" s="4">
        <v>1</v>
      </c>
      <c r="L970" s="4">
        <v>2234</v>
      </c>
      <c r="M970" s="6"/>
      <c r="U970"/>
      <c r="AK970" s="7"/>
      <c r="AO970" s="4" t="s">
        <v>2509</v>
      </c>
      <c r="AP970" s="4">
        <v>281</v>
      </c>
      <c r="AQ970" s="4" t="s">
        <v>1716</v>
      </c>
      <c r="AR970" s="4" t="s">
        <v>1717</v>
      </c>
      <c r="AS970" s="4" t="s">
        <v>1718</v>
      </c>
      <c r="AT970" s="4" t="s">
        <v>1841</v>
      </c>
      <c r="AU970" s="4" t="s">
        <v>1959</v>
      </c>
      <c r="AV970" s="4" t="s">
        <v>1720</v>
      </c>
      <c r="AW970" s="4" t="s">
        <v>2368</v>
      </c>
      <c r="AX970" s="4" t="s">
        <v>2505</v>
      </c>
      <c r="AY970" s="4">
        <v>50.4</v>
      </c>
      <c r="AZ970" s="4">
        <v>-121.5698</v>
      </c>
      <c r="BA970" s="4">
        <v>1586</v>
      </c>
    </row>
    <row r="971" spans="1:53" ht="14.25" customHeight="1" x14ac:dyDescent="0.2">
      <c r="A971" s="136" t="s">
        <v>88</v>
      </c>
      <c r="B971" s="4">
        <v>12</v>
      </c>
      <c r="C971" s="4" t="s">
        <v>1711</v>
      </c>
      <c r="D971" s="4">
        <v>283</v>
      </c>
      <c r="E971" s="4">
        <v>1833</v>
      </c>
      <c r="F971" s="188" t="s">
        <v>2513</v>
      </c>
      <c r="G971" s="201" t="s">
        <v>2514</v>
      </c>
      <c r="H971" s="4" t="s">
        <v>2515</v>
      </c>
      <c r="I971" s="4" t="s">
        <v>641</v>
      </c>
      <c r="J971" s="4" t="s">
        <v>1865</v>
      </c>
      <c r="K971" s="4">
        <v>1</v>
      </c>
      <c r="L971" s="4">
        <v>2236</v>
      </c>
      <c r="M971" s="6">
        <v>49.86842</v>
      </c>
      <c r="N971" s="4">
        <v>-119.99252</v>
      </c>
      <c r="O971" s="4" t="s">
        <v>142</v>
      </c>
      <c r="P971" s="4">
        <v>283</v>
      </c>
      <c r="Q971" s="4">
        <v>6</v>
      </c>
      <c r="R971" s="4" t="s">
        <v>2513</v>
      </c>
      <c r="S971" s="4" t="s">
        <v>1737</v>
      </c>
      <c r="T971" s="4">
        <v>1476</v>
      </c>
      <c r="U971"/>
      <c r="W971" s="4">
        <v>28126</v>
      </c>
      <c r="X971" s="4" t="s">
        <v>1738</v>
      </c>
      <c r="AK971" s="7"/>
      <c r="AO971" s="4" t="s">
        <v>2513</v>
      </c>
      <c r="AP971" s="4">
        <v>283</v>
      </c>
      <c r="AQ971" s="4" t="s">
        <v>1700</v>
      </c>
      <c r="AR971" s="4" t="s">
        <v>1739</v>
      </c>
      <c r="AS971" s="4" t="s">
        <v>1740</v>
      </c>
      <c r="AT971" s="4" t="s">
        <v>1835</v>
      </c>
      <c r="AU971" s="4" t="s">
        <v>1959</v>
      </c>
      <c r="AV971" s="4" t="s">
        <v>1720</v>
      </c>
      <c r="AW971" s="4" t="s">
        <v>2368</v>
      </c>
      <c r="AX971" s="4" t="s">
        <v>2516</v>
      </c>
      <c r="AY971" s="4">
        <v>49.868400000000001</v>
      </c>
      <c r="AZ971" s="4">
        <v>-119.99250000000001</v>
      </c>
      <c r="BA971" s="4">
        <v>1463</v>
      </c>
    </row>
    <row r="972" spans="1:53" ht="14.25" customHeight="1" x14ac:dyDescent="0.2">
      <c r="A972" s="136" t="s">
        <v>88</v>
      </c>
      <c r="B972" s="4">
        <v>12</v>
      </c>
      <c r="C972" s="4" t="s">
        <v>1711</v>
      </c>
      <c r="D972" s="4">
        <v>286</v>
      </c>
      <c r="E972" s="4">
        <v>1836</v>
      </c>
      <c r="F972" s="188" t="s">
        <v>2523</v>
      </c>
      <c r="G972" s="201" t="s">
        <v>2524</v>
      </c>
      <c r="H972" s="4" t="s">
        <v>2525</v>
      </c>
      <c r="I972" s="4" t="s">
        <v>641</v>
      </c>
      <c r="J972" s="4" t="s">
        <v>1736</v>
      </c>
      <c r="K972" s="4">
        <v>1</v>
      </c>
      <c r="L972" s="4">
        <v>2239</v>
      </c>
      <c r="M972" s="6">
        <v>50.803330000000003</v>
      </c>
      <c r="N972" s="4">
        <v>-119.63</v>
      </c>
      <c r="O972" s="4" t="s">
        <v>142</v>
      </c>
      <c r="P972" s="4">
        <v>286</v>
      </c>
      <c r="Q972" s="4">
        <v>1</v>
      </c>
      <c r="R972" s="4" t="s">
        <v>2523</v>
      </c>
      <c r="S972" s="4" t="s">
        <v>1737</v>
      </c>
      <c r="T972" s="4">
        <v>640</v>
      </c>
      <c r="U972" s="4" t="s">
        <v>645</v>
      </c>
      <c r="W972" s="4">
        <v>28126</v>
      </c>
      <c r="X972" s="4" t="s">
        <v>1738</v>
      </c>
      <c r="AK972" s="7"/>
      <c r="AO972" s="4" t="s">
        <v>2523</v>
      </c>
      <c r="AP972" s="4">
        <v>286</v>
      </c>
      <c r="AQ972" s="4" t="s">
        <v>1700</v>
      </c>
      <c r="AR972" s="4" t="s">
        <v>1739</v>
      </c>
      <c r="AS972" s="4" t="s">
        <v>1740</v>
      </c>
      <c r="AT972" s="4" t="s">
        <v>1741</v>
      </c>
      <c r="AU972" s="4" t="s">
        <v>1772</v>
      </c>
      <c r="AV972" s="4" t="s">
        <v>1720</v>
      </c>
      <c r="AW972" s="4" t="s">
        <v>2368</v>
      </c>
      <c r="AX972" s="4" t="s">
        <v>2522</v>
      </c>
      <c r="AY972" s="4">
        <v>50.803600000000003</v>
      </c>
      <c r="AZ972" s="4">
        <v>-119.6307</v>
      </c>
      <c r="BA972" s="4">
        <v>660</v>
      </c>
    </row>
    <row r="973" spans="1:53" ht="14.25" customHeight="1" x14ac:dyDescent="0.2">
      <c r="A973" s="136" t="s">
        <v>88</v>
      </c>
      <c r="B973" s="4">
        <v>12</v>
      </c>
      <c r="C973" s="4" t="s">
        <v>1711</v>
      </c>
      <c r="D973" s="4">
        <v>291</v>
      </c>
      <c r="E973" s="4">
        <v>1841</v>
      </c>
      <c r="F973" s="188" t="s">
        <v>2538</v>
      </c>
      <c r="G973" s="201" t="s">
        <v>2539</v>
      </c>
      <c r="H973" s="4" t="s">
        <v>2540</v>
      </c>
      <c r="I973" s="4" t="s">
        <v>641</v>
      </c>
      <c r="J973" s="4" t="s">
        <v>1736</v>
      </c>
      <c r="K973" s="4">
        <v>1</v>
      </c>
      <c r="L973" s="4">
        <v>2244</v>
      </c>
      <c r="M973" s="6">
        <v>50.270449999999997</v>
      </c>
      <c r="N973" s="4">
        <v>-120.28830000000001</v>
      </c>
      <c r="O973" s="4" t="s">
        <v>142</v>
      </c>
      <c r="P973" s="4">
        <v>291</v>
      </c>
      <c r="Q973" s="4">
        <v>5</v>
      </c>
      <c r="R973" s="4" t="s">
        <v>2538</v>
      </c>
      <c r="S973" s="4" t="s">
        <v>1737</v>
      </c>
      <c r="T973" s="4">
        <v>1381</v>
      </c>
      <c r="U973"/>
      <c r="W973" s="4">
        <v>28491</v>
      </c>
      <c r="X973" s="4" t="s">
        <v>1738</v>
      </c>
      <c r="AK973" s="260"/>
      <c r="AO973" s="4" t="s">
        <v>2538</v>
      </c>
      <c r="AP973" s="4">
        <v>291</v>
      </c>
      <c r="AQ973" s="4" t="s">
        <v>1700</v>
      </c>
      <c r="AR973" s="4" t="s">
        <v>1739</v>
      </c>
      <c r="AS973" s="4" t="s">
        <v>1740</v>
      </c>
      <c r="AT973" s="4" t="s">
        <v>1741</v>
      </c>
      <c r="AU973" s="4" t="s">
        <v>1959</v>
      </c>
      <c r="AV973" s="4" t="s">
        <v>1720</v>
      </c>
      <c r="AW973" s="4" t="s">
        <v>2368</v>
      </c>
      <c r="AX973" s="4" t="s">
        <v>2492</v>
      </c>
      <c r="AY973" s="4">
        <v>50.270400000000002</v>
      </c>
      <c r="AZ973" s="4">
        <v>-120.28830000000001</v>
      </c>
      <c r="BA973" s="4">
        <v>1372</v>
      </c>
    </row>
    <row r="974" spans="1:53" ht="14.25" customHeight="1" x14ac:dyDescent="0.2">
      <c r="A974" s="136" t="s">
        <v>88</v>
      </c>
      <c r="B974" s="4">
        <v>12</v>
      </c>
      <c r="C974" s="4" t="s">
        <v>1711</v>
      </c>
      <c r="D974" s="4">
        <v>294</v>
      </c>
      <c r="E974" s="4">
        <v>1844</v>
      </c>
      <c r="F974" s="188" t="s">
        <v>2549</v>
      </c>
      <c r="G974" s="201" t="s">
        <v>2550</v>
      </c>
      <c r="H974" s="4" t="s">
        <v>2551</v>
      </c>
      <c r="I974" s="4" t="s">
        <v>641</v>
      </c>
      <c r="J974" s="4" t="s">
        <v>1736</v>
      </c>
      <c r="K974" s="4">
        <v>1</v>
      </c>
      <c r="L974" s="4">
        <v>2247</v>
      </c>
      <c r="M974" s="6"/>
      <c r="N974" s="9"/>
      <c r="O974" s="9"/>
      <c r="P974" s="9"/>
      <c r="Q974" s="20"/>
      <c r="R974" s="9"/>
      <c r="S974" s="9"/>
      <c r="T974" s="9"/>
      <c r="U974" s="9"/>
      <c r="V974" s="9"/>
      <c r="W974" s="21"/>
      <c r="X974" s="9"/>
      <c r="AK974" s="260"/>
      <c r="AO974" s="237" t="s">
        <v>2552</v>
      </c>
      <c r="AP974" s="4">
        <v>294</v>
      </c>
      <c r="AQ974" s="4" t="s">
        <v>1716</v>
      </c>
      <c r="AR974" s="4" t="s">
        <v>1717</v>
      </c>
      <c r="AS974" s="4" t="s">
        <v>2257</v>
      </c>
      <c r="AT974" s="4" t="s">
        <v>1835</v>
      </c>
      <c r="AU974" s="4" t="s">
        <v>2043</v>
      </c>
      <c r="AV974" s="4" t="s">
        <v>1720</v>
      </c>
      <c r="AW974" s="4" t="s">
        <v>2368</v>
      </c>
      <c r="AX974" s="4" t="s">
        <v>2492</v>
      </c>
      <c r="AY974" s="4">
        <v>50.087400000000002</v>
      </c>
      <c r="AZ974" s="4">
        <v>-120.7457</v>
      </c>
      <c r="BA974" s="4">
        <v>640</v>
      </c>
    </row>
    <row r="975" spans="1:53" ht="14.25" customHeight="1" x14ac:dyDescent="0.2">
      <c r="A975" s="136" t="s">
        <v>88</v>
      </c>
      <c r="B975" s="4">
        <v>12</v>
      </c>
      <c r="C975" s="4" t="s">
        <v>1711</v>
      </c>
      <c r="D975" s="4">
        <v>297</v>
      </c>
      <c r="E975" s="4">
        <v>1847</v>
      </c>
      <c r="F975" s="188" t="s">
        <v>2559</v>
      </c>
      <c r="G975" s="201" t="s">
        <v>2560</v>
      </c>
      <c r="H975" s="4" t="s">
        <v>2561</v>
      </c>
      <c r="I975" s="4" t="s">
        <v>641</v>
      </c>
      <c r="J975" s="4" t="s">
        <v>1715</v>
      </c>
      <c r="K975" s="4">
        <v>1</v>
      </c>
      <c r="L975" s="4">
        <v>2250</v>
      </c>
      <c r="M975" s="6"/>
      <c r="N975" s="9"/>
      <c r="O975" s="9"/>
      <c r="P975" s="9"/>
      <c r="Q975" s="20"/>
      <c r="R975" s="9"/>
      <c r="S975" s="9"/>
      <c r="T975" s="9"/>
      <c r="U975" s="9"/>
      <c r="V975" s="9"/>
      <c r="W975" s="58"/>
      <c r="X975" s="9"/>
      <c r="AK975" s="260"/>
      <c r="AO975" s="4" t="s">
        <v>2562</v>
      </c>
      <c r="AP975" s="4">
        <v>297</v>
      </c>
      <c r="AQ975" s="4" t="s">
        <v>1716</v>
      </c>
      <c r="AR975" s="4" t="s">
        <v>1717</v>
      </c>
      <c r="AS975" s="4" t="s">
        <v>1718</v>
      </c>
      <c r="AT975" s="4" t="s">
        <v>1841</v>
      </c>
      <c r="AU975" s="4" t="s">
        <v>1959</v>
      </c>
      <c r="AV975" s="4" t="s">
        <v>1720</v>
      </c>
      <c r="AW975" s="4" t="s">
        <v>2368</v>
      </c>
      <c r="AX975" s="4" t="s">
        <v>2505</v>
      </c>
      <c r="AY975" s="4">
        <v>50.247500000000002</v>
      </c>
      <c r="AZ975" s="4">
        <v>-121.56480000000001</v>
      </c>
      <c r="BA975" s="4">
        <v>290</v>
      </c>
    </row>
    <row r="976" spans="1:53" ht="14.25" customHeight="1" x14ac:dyDescent="0.2">
      <c r="A976" s="136" t="s">
        <v>88</v>
      </c>
      <c r="B976" s="4">
        <v>12</v>
      </c>
      <c r="C976" s="4" t="s">
        <v>1711</v>
      </c>
      <c r="D976" s="4">
        <v>298</v>
      </c>
      <c r="E976" s="4">
        <v>1848</v>
      </c>
      <c r="F976" s="188" t="s">
        <v>2563</v>
      </c>
      <c r="G976" s="201" t="s">
        <v>2564</v>
      </c>
      <c r="H976" s="4" t="s">
        <v>2565</v>
      </c>
      <c r="I976" s="4" t="s">
        <v>641</v>
      </c>
      <c r="J976" s="4" t="s">
        <v>1865</v>
      </c>
      <c r="K976" s="4">
        <v>1</v>
      </c>
      <c r="L976" s="4">
        <v>2251</v>
      </c>
      <c r="M976" s="6">
        <v>50.206670000000003</v>
      </c>
      <c r="N976" s="9">
        <v>-119.48</v>
      </c>
      <c r="O976" s="9" t="s">
        <v>142</v>
      </c>
      <c r="P976" s="9">
        <v>298</v>
      </c>
      <c r="Q976" s="20">
        <v>1</v>
      </c>
      <c r="R976" s="9" t="s">
        <v>2563</v>
      </c>
      <c r="S976" s="9" t="s">
        <v>1737</v>
      </c>
      <c r="T976" s="9">
        <v>670</v>
      </c>
      <c r="U976" s="9"/>
      <c r="V976" s="9"/>
      <c r="W976" s="21">
        <v>32509</v>
      </c>
      <c r="X976" s="9" t="s">
        <v>1738</v>
      </c>
      <c r="AK976" s="260"/>
      <c r="AO976" s="4" t="s">
        <v>2563</v>
      </c>
      <c r="AP976" s="4">
        <v>298</v>
      </c>
      <c r="AQ976" s="4" t="s">
        <v>1700</v>
      </c>
      <c r="AR976" s="4" t="s">
        <v>1739</v>
      </c>
      <c r="AS976" s="4" t="s">
        <v>1740</v>
      </c>
      <c r="AT976" s="4" t="s">
        <v>1741</v>
      </c>
      <c r="AU976" s="4" t="s">
        <v>1959</v>
      </c>
      <c r="AV976" s="4" t="s">
        <v>1720</v>
      </c>
      <c r="AW976" s="4" t="s">
        <v>2368</v>
      </c>
      <c r="AX976" s="4" t="s">
        <v>2522</v>
      </c>
      <c r="AY976" s="4">
        <v>50.206200000000003</v>
      </c>
      <c r="AZ976" s="4">
        <v>-119.4804</v>
      </c>
      <c r="BA976" s="4">
        <v>526</v>
      </c>
    </row>
    <row r="977" spans="1:53" ht="14.25" customHeight="1" x14ac:dyDescent="0.2">
      <c r="A977" s="136" t="s">
        <v>88</v>
      </c>
      <c r="B977" s="4">
        <v>12</v>
      </c>
      <c r="C977" s="4" t="s">
        <v>1711</v>
      </c>
      <c r="D977" s="4">
        <v>301</v>
      </c>
      <c r="E977" s="4">
        <v>1851</v>
      </c>
      <c r="F977" s="188" t="s">
        <v>2571</v>
      </c>
      <c r="G977" s="201" t="s">
        <v>2572</v>
      </c>
      <c r="H977" s="4" t="s">
        <v>2573</v>
      </c>
      <c r="I977" s="4" t="s">
        <v>641</v>
      </c>
      <c r="J977" s="4" t="s">
        <v>1891</v>
      </c>
      <c r="K977" s="4">
        <v>1</v>
      </c>
      <c r="L977" s="4">
        <v>2254</v>
      </c>
      <c r="M977" s="62">
        <v>50.305929999999996</v>
      </c>
      <c r="N977" s="34">
        <v>-122.72878</v>
      </c>
      <c r="O977" s="9" t="s">
        <v>51</v>
      </c>
      <c r="P977" s="34">
        <v>301</v>
      </c>
      <c r="Q977" s="20">
        <v>2</v>
      </c>
      <c r="R977" s="9" t="s">
        <v>2571</v>
      </c>
      <c r="S977" s="9" t="s">
        <v>1737</v>
      </c>
      <c r="T977" s="9">
        <v>204</v>
      </c>
      <c r="U977" s="9"/>
      <c r="V977" s="9"/>
      <c r="W977" s="21">
        <v>36892</v>
      </c>
      <c r="X977" s="9" t="s">
        <v>1738</v>
      </c>
      <c r="AK977" s="260"/>
      <c r="AO977" s="4" t="s">
        <v>2571</v>
      </c>
      <c r="AP977" s="4">
        <v>301</v>
      </c>
      <c r="AQ977" s="4" t="s">
        <v>1700</v>
      </c>
      <c r="AR977" s="4" t="s">
        <v>1739</v>
      </c>
      <c r="AS977" s="4" t="s">
        <v>1740</v>
      </c>
      <c r="AT977" s="4" t="s">
        <v>1741</v>
      </c>
      <c r="AU977" s="4" t="s">
        <v>1772</v>
      </c>
      <c r="AV977" s="4" t="s">
        <v>1720</v>
      </c>
      <c r="AW977" s="4" t="s">
        <v>1705</v>
      </c>
      <c r="AX977" s="4" t="s">
        <v>1879</v>
      </c>
      <c r="AY977" s="4">
        <v>50.305900000000001</v>
      </c>
      <c r="AZ977" s="4">
        <v>-122.7287</v>
      </c>
      <c r="BA977" s="4">
        <v>203</v>
      </c>
    </row>
    <row r="978" spans="1:53" ht="14.25" customHeight="1" x14ac:dyDescent="0.2">
      <c r="A978" s="136" t="s">
        <v>88</v>
      </c>
      <c r="B978" s="4">
        <v>12</v>
      </c>
      <c r="C978" s="4" t="s">
        <v>1711</v>
      </c>
      <c r="D978" s="4">
        <v>302</v>
      </c>
      <c r="E978" s="4">
        <v>1852</v>
      </c>
      <c r="F978" s="188" t="s">
        <v>2574</v>
      </c>
      <c r="G978" s="201" t="s">
        <v>2575</v>
      </c>
      <c r="H978" s="4" t="s">
        <v>2576</v>
      </c>
      <c r="I978" s="4" t="s">
        <v>641</v>
      </c>
      <c r="J978" s="4" t="s">
        <v>1736</v>
      </c>
      <c r="K978" s="4">
        <v>1</v>
      </c>
      <c r="L978" s="4">
        <v>2255</v>
      </c>
      <c r="M978" s="6">
        <v>49.94811</v>
      </c>
      <c r="N978" s="9">
        <v>-120.62107</v>
      </c>
      <c r="O978" s="9" t="s">
        <v>142</v>
      </c>
      <c r="P978" s="224">
        <v>302</v>
      </c>
      <c r="Q978" s="20">
        <v>3</v>
      </c>
      <c r="R978" s="9" t="s">
        <v>2574</v>
      </c>
      <c r="S978" s="9" t="s">
        <v>1737</v>
      </c>
      <c r="T978" s="9">
        <v>1065</v>
      </c>
      <c r="U978" s="9"/>
      <c r="V978" s="9"/>
      <c r="W978" s="21">
        <v>35796</v>
      </c>
      <c r="X978" s="9" t="s">
        <v>1738</v>
      </c>
      <c r="AK978" s="260"/>
      <c r="AO978" s="4" t="s">
        <v>2574</v>
      </c>
      <c r="AP978" s="4">
        <v>302</v>
      </c>
      <c r="AQ978" s="4" t="s">
        <v>1700</v>
      </c>
      <c r="AR978" s="4" t="s">
        <v>1739</v>
      </c>
      <c r="AS978" s="4" t="s">
        <v>1740</v>
      </c>
      <c r="AT978" s="4" t="s">
        <v>1835</v>
      </c>
      <c r="AU978" s="4" t="s">
        <v>1772</v>
      </c>
      <c r="AV978" s="4" t="s">
        <v>1720</v>
      </c>
      <c r="AW978" s="4" t="s">
        <v>2368</v>
      </c>
      <c r="AX978" s="4" t="s">
        <v>2492</v>
      </c>
      <c r="AY978" s="4">
        <v>49.948099999999997</v>
      </c>
      <c r="AZ978" s="4">
        <v>-120.6211</v>
      </c>
      <c r="BA978" s="4">
        <v>1065</v>
      </c>
    </row>
    <row r="979" spans="1:53" ht="14.25" customHeight="1" x14ac:dyDescent="0.2">
      <c r="A979" s="136" t="s">
        <v>88</v>
      </c>
      <c r="B979" s="4">
        <v>12</v>
      </c>
      <c r="C979" s="4" t="s">
        <v>1711</v>
      </c>
      <c r="D979" s="4">
        <v>316</v>
      </c>
      <c r="E979" s="4">
        <v>1866</v>
      </c>
      <c r="F979" s="188" t="s">
        <v>2619</v>
      </c>
      <c r="G979" s="201" t="s">
        <v>2620</v>
      </c>
      <c r="H979" s="4" t="s">
        <v>2621</v>
      </c>
      <c r="I979" s="4" t="s">
        <v>641</v>
      </c>
      <c r="J979" s="4" t="s">
        <v>1829</v>
      </c>
      <c r="K979" s="4">
        <v>1</v>
      </c>
      <c r="L979" s="4">
        <v>2269</v>
      </c>
      <c r="M979" s="6">
        <v>49.901780000000002</v>
      </c>
      <c r="N979" s="9">
        <v>-122.02070000000001</v>
      </c>
      <c r="O979" s="4" t="s">
        <v>51</v>
      </c>
      <c r="P979" s="4">
        <v>316</v>
      </c>
      <c r="Q979" s="4">
        <v>7</v>
      </c>
      <c r="R979" s="9" t="s">
        <v>2619</v>
      </c>
      <c r="S979" s="4" t="s">
        <v>1737</v>
      </c>
      <c r="T979" s="9">
        <v>1400</v>
      </c>
      <c r="U979"/>
      <c r="W979" s="4">
        <v>36892</v>
      </c>
      <c r="X979" s="4" t="s">
        <v>1738</v>
      </c>
      <c r="AK979" s="260"/>
      <c r="AO979" s="4" t="s">
        <v>2619</v>
      </c>
      <c r="AP979" s="4">
        <v>316</v>
      </c>
      <c r="AQ979" s="4" t="s">
        <v>1716</v>
      </c>
      <c r="AR979" s="4" t="s">
        <v>1739</v>
      </c>
      <c r="AS979" s="4" t="s">
        <v>1740</v>
      </c>
      <c r="AT979" s="4" t="s">
        <v>1741</v>
      </c>
      <c r="AU979" s="4" t="s">
        <v>1742</v>
      </c>
      <c r="AV979" s="4" t="s">
        <v>1720</v>
      </c>
      <c r="AW979" s="4" t="s">
        <v>1705</v>
      </c>
      <c r="AX979" s="4" t="s">
        <v>1883</v>
      </c>
      <c r="AY979" s="4">
        <v>49.901800000000001</v>
      </c>
      <c r="AZ979" s="4">
        <v>-122.0209</v>
      </c>
      <c r="BA979" s="4">
        <v>551</v>
      </c>
    </row>
    <row r="980" spans="1:53" ht="14.25" customHeight="1" x14ac:dyDescent="0.2">
      <c r="A980" s="136" t="s">
        <v>88</v>
      </c>
      <c r="B980" s="4">
        <v>12</v>
      </c>
      <c r="C980" s="4" t="s">
        <v>1711</v>
      </c>
      <c r="D980" s="4">
        <v>317</v>
      </c>
      <c r="E980" s="4">
        <v>1867</v>
      </c>
      <c r="F980" s="188" t="s">
        <v>770</v>
      </c>
      <c r="G980" s="201" t="s">
        <v>2622</v>
      </c>
      <c r="H980" s="4" t="s">
        <v>2623</v>
      </c>
      <c r="I980" s="4" t="s">
        <v>641</v>
      </c>
      <c r="J980" s="4" t="s">
        <v>1736</v>
      </c>
      <c r="K980" s="4">
        <v>1</v>
      </c>
      <c r="L980" s="4">
        <v>2270</v>
      </c>
      <c r="M980" s="6">
        <v>49.0623</v>
      </c>
      <c r="N980" s="9">
        <v>-120.76739999999999</v>
      </c>
      <c r="O980" s="4" t="s">
        <v>142</v>
      </c>
      <c r="P980" s="9">
        <v>317</v>
      </c>
      <c r="Q980" s="4">
        <v>4</v>
      </c>
      <c r="R980" s="9" t="s">
        <v>770</v>
      </c>
      <c r="S980" s="4" t="s">
        <v>1737</v>
      </c>
      <c r="T980" s="9">
        <v>1215</v>
      </c>
      <c r="U980"/>
      <c r="W980" s="4">
        <v>31778</v>
      </c>
      <c r="X980" s="4" t="s">
        <v>1738</v>
      </c>
      <c r="AK980" s="260"/>
      <c r="AO980" s="4" t="s">
        <v>770</v>
      </c>
      <c r="AP980" s="4">
        <v>317</v>
      </c>
      <c r="AQ980" s="4" t="s">
        <v>1716</v>
      </c>
      <c r="AR980" s="4" t="s">
        <v>1739</v>
      </c>
      <c r="AS980" s="4" t="s">
        <v>1740</v>
      </c>
      <c r="AT980" s="4" t="s">
        <v>1741</v>
      </c>
      <c r="AU980" s="4" t="s">
        <v>1742</v>
      </c>
      <c r="AV980" s="4" t="s">
        <v>1720</v>
      </c>
      <c r="AW980" s="4" t="s">
        <v>1705</v>
      </c>
      <c r="AX980" s="4" t="s">
        <v>1883</v>
      </c>
      <c r="AY980" s="4">
        <v>49.0625</v>
      </c>
      <c r="AZ980" s="4">
        <v>-120.7668</v>
      </c>
      <c r="BA980" s="4">
        <v>1174</v>
      </c>
    </row>
    <row r="981" spans="1:53" ht="14.25" customHeight="1" x14ac:dyDescent="0.2">
      <c r="A981" s="136" t="s">
        <v>88</v>
      </c>
      <c r="B981" s="4">
        <v>12</v>
      </c>
      <c r="C981" s="4" t="s">
        <v>1711</v>
      </c>
      <c r="D981" s="4">
        <v>321</v>
      </c>
      <c r="E981" s="4">
        <v>1870</v>
      </c>
      <c r="F981" s="188" t="s">
        <v>2630</v>
      </c>
      <c r="G981" s="201" t="s">
        <v>2631</v>
      </c>
      <c r="H981" s="4" t="s">
        <v>2632</v>
      </c>
      <c r="I981" s="4" t="s">
        <v>641</v>
      </c>
      <c r="J981" s="4" t="s">
        <v>1865</v>
      </c>
      <c r="K981" s="4">
        <v>1</v>
      </c>
      <c r="L981" s="4">
        <v>2273</v>
      </c>
      <c r="M981" s="6">
        <v>50.611249999999998</v>
      </c>
      <c r="N981" s="4">
        <v>-120.64155</v>
      </c>
      <c r="O981" s="4" t="s">
        <v>142</v>
      </c>
      <c r="P981" s="4">
        <v>321</v>
      </c>
      <c r="Q981" s="4">
        <v>8</v>
      </c>
      <c r="R981" s="4" t="s">
        <v>2633</v>
      </c>
      <c r="S981" s="4" t="s">
        <v>1737</v>
      </c>
      <c r="T981" s="4">
        <v>1780</v>
      </c>
      <c r="U981"/>
      <c r="W981" s="4">
        <v>32509</v>
      </c>
      <c r="X981" s="4" t="s">
        <v>1738</v>
      </c>
      <c r="AK981" s="260"/>
      <c r="AO981" s="237" t="s">
        <v>2633</v>
      </c>
      <c r="AP981" s="4">
        <v>321</v>
      </c>
      <c r="AQ981" s="4" t="s">
        <v>1700</v>
      </c>
      <c r="AR981" s="4" t="s">
        <v>1701</v>
      </c>
      <c r="AS981" s="4" t="s">
        <v>1740</v>
      </c>
      <c r="AT981" s="4" t="s">
        <v>1741</v>
      </c>
      <c r="AU981" s="4" t="s">
        <v>2043</v>
      </c>
      <c r="AV981" s="4" t="s">
        <v>1720</v>
      </c>
      <c r="AW981" s="4" t="s">
        <v>2368</v>
      </c>
      <c r="AX981" s="4" t="s">
        <v>2369</v>
      </c>
      <c r="AY981" s="4">
        <v>50.611199999999997</v>
      </c>
      <c r="AZ981" s="4">
        <v>-120.64149999999999</v>
      </c>
      <c r="BA981" s="4">
        <v>1780</v>
      </c>
    </row>
    <row r="982" spans="1:53" ht="14.25" customHeight="1" x14ac:dyDescent="0.2">
      <c r="A982" s="136" t="s">
        <v>88</v>
      </c>
      <c r="B982" s="4">
        <v>12</v>
      </c>
      <c r="C982" s="4" t="s">
        <v>1711</v>
      </c>
      <c r="D982" s="4">
        <v>322</v>
      </c>
      <c r="E982" s="4">
        <v>1871</v>
      </c>
      <c r="F982" s="188" t="s">
        <v>2634</v>
      </c>
      <c r="G982" s="201" t="s">
        <v>2635</v>
      </c>
      <c r="H982" s="4" t="s">
        <v>2636</v>
      </c>
      <c r="I982" s="4" t="s">
        <v>641</v>
      </c>
      <c r="J982" s="4" t="s">
        <v>1736</v>
      </c>
      <c r="K982" s="4">
        <v>1</v>
      </c>
      <c r="L982" s="4">
        <v>2274</v>
      </c>
      <c r="M982" s="6">
        <v>50.67333</v>
      </c>
      <c r="N982" s="9">
        <v>-120.48166999999999</v>
      </c>
      <c r="O982" s="4" t="s">
        <v>142</v>
      </c>
      <c r="P982" s="9">
        <v>322</v>
      </c>
      <c r="Q982" s="4">
        <v>2</v>
      </c>
      <c r="R982" s="9" t="s">
        <v>2634</v>
      </c>
      <c r="S982" s="4" t="s">
        <v>1737</v>
      </c>
      <c r="T982" s="9">
        <v>780</v>
      </c>
      <c r="U982" s="4" t="s">
        <v>645</v>
      </c>
      <c r="V982" s="4" t="s">
        <v>1830</v>
      </c>
      <c r="W982" s="4">
        <v>32143</v>
      </c>
      <c r="X982" s="4" t="s">
        <v>1738</v>
      </c>
      <c r="AK982" s="260"/>
      <c r="AO982" s="4" t="s">
        <v>2634</v>
      </c>
      <c r="AP982" s="4">
        <v>322</v>
      </c>
      <c r="AQ982" s="4" t="s">
        <v>1700</v>
      </c>
      <c r="AR982" s="4" t="s">
        <v>1739</v>
      </c>
      <c r="AS982" s="4" t="s">
        <v>1740</v>
      </c>
      <c r="AT982" s="4" t="s">
        <v>1741</v>
      </c>
      <c r="AU982" s="4" t="s">
        <v>1772</v>
      </c>
      <c r="AV982" s="4" t="s">
        <v>1720</v>
      </c>
      <c r="AW982" s="4" t="s">
        <v>2368</v>
      </c>
      <c r="AX982" s="4" t="s">
        <v>2369</v>
      </c>
      <c r="AY982" s="4">
        <v>50.672699999999999</v>
      </c>
      <c r="AZ982" s="4">
        <v>-120.48220000000001</v>
      </c>
      <c r="BA982" s="4">
        <v>693</v>
      </c>
    </row>
    <row r="983" spans="1:53" ht="14.25" customHeight="1" x14ac:dyDescent="0.2">
      <c r="A983" s="136" t="s">
        <v>88</v>
      </c>
      <c r="B983" s="4">
        <v>12</v>
      </c>
      <c r="C983" s="4" t="s">
        <v>1711</v>
      </c>
      <c r="D983" s="4">
        <v>326</v>
      </c>
      <c r="E983" s="4">
        <v>1875</v>
      </c>
      <c r="F983" s="188" t="s">
        <v>2648</v>
      </c>
      <c r="G983" s="201" t="s">
        <v>2649</v>
      </c>
      <c r="H983" s="4" t="s">
        <v>2650</v>
      </c>
      <c r="I983" s="4" t="s">
        <v>641</v>
      </c>
      <c r="J983" s="4" t="s">
        <v>1865</v>
      </c>
      <c r="K983" s="4">
        <v>1</v>
      </c>
      <c r="L983" s="4">
        <v>2278</v>
      </c>
      <c r="M983" s="6">
        <v>50.503999999999998</v>
      </c>
      <c r="N983" s="9">
        <v>-120.67400000000001</v>
      </c>
      <c r="O983" s="4" t="s">
        <v>142</v>
      </c>
      <c r="P983" s="9">
        <v>326</v>
      </c>
      <c r="Q983" s="4">
        <v>6</v>
      </c>
      <c r="R983" s="9" t="s">
        <v>2648</v>
      </c>
      <c r="S983" s="4" t="s">
        <v>1737</v>
      </c>
      <c r="T983" s="9">
        <v>1440</v>
      </c>
      <c r="U983" s="4" t="s">
        <v>645</v>
      </c>
      <c r="W983" s="4">
        <v>36161</v>
      </c>
      <c r="X983" s="4" t="s">
        <v>1738</v>
      </c>
      <c r="AK983" s="260"/>
      <c r="AO983" s="4" t="s">
        <v>2648</v>
      </c>
      <c r="AP983" s="4">
        <v>326</v>
      </c>
      <c r="AQ983" s="4" t="s">
        <v>1700</v>
      </c>
      <c r="AR983" s="4" t="s">
        <v>1739</v>
      </c>
      <c r="AS983" s="4" t="s">
        <v>1740</v>
      </c>
      <c r="AT983" s="4" t="s">
        <v>1835</v>
      </c>
      <c r="AU983" s="4" t="s">
        <v>1959</v>
      </c>
      <c r="AV983" s="4" t="s">
        <v>1720</v>
      </c>
      <c r="AW983" s="4" t="s">
        <v>2368</v>
      </c>
      <c r="AX983" s="4" t="s">
        <v>2369</v>
      </c>
      <c r="AY983" s="4">
        <v>50.503999999999998</v>
      </c>
      <c r="AZ983" s="4">
        <v>-120.67400000000001</v>
      </c>
      <c r="BA983" s="4">
        <v>1488</v>
      </c>
    </row>
    <row r="984" spans="1:53" ht="14.25" customHeight="1" x14ac:dyDescent="0.2">
      <c r="A984" s="136" t="s">
        <v>88</v>
      </c>
      <c r="B984" s="4">
        <v>12</v>
      </c>
      <c r="C984" s="4" t="s">
        <v>1711</v>
      </c>
      <c r="D984" s="4">
        <v>328</v>
      </c>
      <c r="E984" s="4">
        <v>1876</v>
      </c>
      <c r="F984" s="188" t="s">
        <v>2651</v>
      </c>
      <c r="G984" s="201" t="s">
        <v>2652</v>
      </c>
      <c r="H984" s="4" t="s">
        <v>2653</v>
      </c>
      <c r="I984" s="4" t="s">
        <v>641</v>
      </c>
      <c r="J984" s="4" t="s">
        <v>1736</v>
      </c>
      <c r="K984" s="4">
        <v>1</v>
      </c>
      <c r="L984" s="4">
        <v>2279</v>
      </c>
      <c r="M984" s="6">
        <v>49.518329999999999</v>
      </c>
      <c r="N984" s="9">
        <v>-119.55333</v>
      </c>
      <c r="O984" s="9" t="s">
        <v>142</v>
      </c>
      <c r="P984" s="9">
        <v>328</v>
      </c>
      <c r="Q984" s="20">
        <v>1</v>
      </c>
      <c r="R984" s="9" t="s">
        <v>2651</v>
      </c>
      <c r="S984" s="9" t="s">
        <v>1737</v>
      </c>
      <c r="T984" s="9">
        <v>427</v>
      </c>
      <c r="U984" s="9" t="s">
        <v>645</v>
      </c>
      <c r="V984" s="9"/>
      <c r="W984" s="21">
        <v>25569</v>
      </c>
      <c r="X984" s="9" t="s">
        <v>1738</v>
      </c>
      <c r="AK984" s="260"/>
      <c r="AO984" s="4" t="s">
        <v>2651</v>
      </c>
      <c r="AP984" s="4">
        <v>328</v>
      </c>
      <c r="AQ984" s="4" t="s">
        <v>1700</v>
      </c>
      <c r="AR984" s="4" t="s">
        <v>1739</v>
      </c>
      <c r="AS984" s="4" t="s">
        <v>1740</v>
      </c>
      <c r="AT984" s="4" t="s">
        <v>1741</v>
      </c>
      <c r="AU984" s="4" t="s">
        <v>1772</v>
      </c>
      <c r="AV984" s="4" t="s">
        <v>1720</v>
      </c>
      <c r="AW984" s="4" t="s">
        <v>2368</v>
      </c>
      <c r="AX984" s="4" t="s">
        <v>2516</v>
      </c>
      <c r="AY984" s="4">
        <v>49.517699999999998</v>
      </c>
      <c r="AZ984" s="4">
        <v>-119.55289999999999</v>
      </c>
      <c r="BA984" s="4">
        <v>492</v>
      </c>
    </row>
    <row r="985" spans="1:53" ht="14.25" customHeight="1" x14ac:dyDescent="0.2">
      <c r="A985" s="136" t="s">
        <v>88</v>
      </c>
      <c r="B985" s="4">
        <v>12</v>
      </c>
      <c r="C985" s="4" t="s">
        <v>1711</v>
      </c>
      <c r="D985" s="4">
        <v>334</v>
      </c>
      <c r="E985" s="4">
        <v>1882</v>
      </c>
      <c r="F985" s="188" t="s">
        <v>2669</v>
      </c>
      <c r="G985" s="201" t="s">
        <v>2670</v>
      </c>
      <c r="H985" s="4" t="s">
        <v>2671</v>
      </c>
      <c r="I985" s="4" t="s">
        <v>641</v>
      </c>
      <c r="J985" s="4" t="s">
        <v>1865</v>
      </c>
      <c r="K985" s="4">
        <v>1</v>
      </c>
      <c r="L985" s="4">
        <v>2285</v>
      </c>
      <c r="M985" s="6">
        <v>49.148330000000001</v>
      </c>
      <c r="N985" s="9">
        <v>-119.41500000000001</v>
      </c>
      <c r="O985" s="9" t="s">
        <v>142</v>
      </c>
      <c r="P985" s="9">
        <v>334</v>
      </c>
      <c r="Q985" s="20">
        <v>3</v>
      </c>
      <c r="R985" s="9" t="s">
        <v>2669</v>
      </c>
      <c r="S985" s="9" t="s">
        <v>1737</v>
      </c>
      <c r="T985" s="9">
        <v>1067</v>
      </c>
      <c r="U985" s="9"/>
      <c r="V985" s="9"/>
      <c r="W985" s="21">
        <v>30682</v>
      </c>
      <c r="X985" s="9" t="s">
        <v>1738</v>
      </c>
      <c r="AK985" s="260"/>
      <c r="AO985" s="4" t="s">
        <v>2669</v>
      </c>
      <c r="AP985" s="4">
        <v>334</v>
      </c>
      <c r="AQ985" s="4" t="s">
        <v>1700</v>
      </c>
      <c r="AR985" s="4" t="s">
        <v>1739</v>
      </c>
      <c r="AS985" s="4" t="s">
        <v>1740</v>
      </c>
      <c r="AT985" s="4" t="s">
        <v>1741</v>
      </c>
      <c r="AU985" s="4" t="s">
        <v>1772</v>
      </c>
      <c r="AV985" s="4" t="s">
        <v>1720</v>
      </c>
      <c r="AW985" s="4" t="s">
        <v>2368</v>
      </c>
      <c r="AX985" s="4" t="s">
        <v>2516</v>
      </c>
      <c r="AY985" s="4">
        <v>49.148299999999999</v>
      </c>
      <c r="AZ985" s="4">
        <v>-119.41500000000001</v>
      </c>
      <c r="BA985" s="4">
        <v>1023</v>
      </c>
    </row>
    <row r="986" spans="1:53" ht="14.25" customHeight="1" x14ac:dyDescent="0.2">
      <c r="A986" s="136" t="s">
        <v>88</v>
      </c>
      <c r="B986" s="4">
        <v>12</v>
      </c>
      <c r="C986" s="4" t="s">
        <v>1711</v>
      </c>
      <c r="D986" s="4">
        <v>362</v>
      </c>
      <c r="E986" s="4">
        <v>1907</v>
      </c>
      <c r="F986" s="188" t="s">
        <v>2751</v>
      </c>
      <c r="G986" s="201" t="s">
        <v>2752</v>
      </c>
      <c r="H986" s="4" t="s">
        <v>2753</v>
      </c>
      <c r="I986" s="4" t="s">
        <v>641</v>
      </c>
      <c r="J986" s="4" t="s">
        <v>1736</v>
      </c>
      <c r="K986" s="4">
        <v>1</v>
      </c>
      <c r="L986" s="4">
        <v>2310</v>
      </c>
      <c r="M986" s="6">
        <v>50.351669999999999</v>
      </c>
      <c r="N986" s="4">
        <v>-118.77333</v>
      </c>
      <c r="O986" s="4" t="s">
        <v>170</v>
      </c>
      <c r="P986" s="4">
        <v>362</v>
      </c>
      <c r="Q986" s="4">
        <v>1</v>
      </c>
      <c r="R986" s="4" t="s">
        <v>2754</v>
      </c>
      <c r="S986" s="4" t="s">
        <v>1737</v>
      </c>
      <c r="T986" s="4">
        <v>488</v>
      </c>
      <c r="U986" s="4" t="s">
        <v>645</v>
      </c>
      <c r="W986" s="4">
        <v>31778</v>
      </c>
      <c r="X986" s="4" t="s">
        <v>1738</v>
      </c>
      <c r="AK986" s="260"/>
      <c r="AO986" s="4" t="s">
        <v>2754</v>
      </c>
      <c r="AP986" s="4">
        <v>362</v>
      </c>
      <c r="AQ986" s="4" t="s">
        <v>1700</v>
      </c>
      <c r="AR986" s="4" t="s">
        <v>1739</v>
      </c>
      <c r="AS986" s="4" t="s">
        <v>1740</v>
      </c>
      <c r="AT986" s="4" t="s">
        <v>1741</v>
      </c>
      <c r="AU986" s="4" t="s">
        <v>1959</v>
      </c>
      <c r="AV986" s="4" t="s">
        <v>1720</v>
      </c>
      <c r="AW986" s="4" t="s">
        <v>2368</v>
      </c>
      <c r="AX986" s="4" t="s">
        <v>2522</v>
      </c>
      <c r="AY986" s="4">
        <v>50.351399999999998</v>
      </c>
      <c r="AZ986" s="4">
        <v>-118.7735</v>
      </c>
      <c r="BA986" s="4">
        <v>562</v>
      </c>
    </row>
    <row r="987" spans="1:53" ht="14.25" customHeight="1" x14ac:dyDescent="0.2">
      <c r="A987" s="136" t="s">
        <v>88</v>
      </c>
      <c r="B987" s="4">
        <v>12</v>
      </c>
      <c r="C987" s="4" t="s">
        <v>1711</v>
      </c>
      <c r="D987" s="4">
        <v>366</v>
      </c>
      <c r="E987" s="4">
        <v>1911</v>
      </c>
      <c r="F987" s="188" t="s">
        <v>2765</v>
      </c>
      <c r="G987" s="201" t="s">
        <v>2766</v>
      </c>
      <c r="H987" s="4" t="s">
        <v>2767</v>
      </c>
      <c r="I987" s="4" t="s">
        <v>641</v>
      </c>
      <c r="J987" s="4" t="s">
        <v>1865</v>
      </c>
      <c r="K987" s="4">
        <v>1</v>
      </c>
      <c r="L987" s="4">
        <v>2314</v>
      </c>
      <c r="M987" s="6">
        <v>51.065330000000003</v>
      </c>
      <c r="N987" s="9">
        <v>-116.785</v>
      </c>
      <c r="O987" s="4" t="s">
        <v>170</v>
      </c>
      <c r="P987" s="9">
        <v>366</v>
      </c>
      <c r="Q987" s="4">
        <v>3</v>
      </c>
      <c r="R987" s="9" t="s">
        <v>2765</v>
      </c>
      <c r="S987" s="4" t="s">
        <v>1737</v>
      </c>
      <c r="T987" s="9">
        <v>1300</v>
      </c>
      <c r="U987"/>
      <c r="W987" s="4">
        <v>32509</v>
      </c>
      <c r="X987" s="4" t="s">
        <v>1738</v>
      </c>
      <c r="AK987" s="260"/>
      <c r="AO987" s="4" t="s">
        <v>2765</v>
      </c>
      <c r="AP987" s="4">
        <v>366</v>
      </c>
      <c r="AQ987" s="4" t="s">
        <v>1700</v>
      </c>
      <c r="AR987" s="4" t="s">
        <v>1739</v>
      </c>
      <c r="AS987" s="4" t="s">
        <v>1740</v>
      </c>
      <c r="AT987" s="4" t="s">
        <v>1741</v>
      </c>
      <c r="AU987" s="4" t="s">
        <v>1959</v>
      </c>
      <c r="AV987" s="4" t="s">
        <v>1720</v>
      </c>
      <c r="AW987" s="4" t="s">
        <v>2698</v>
      </c>
      <c r="AX987" s="4" t="s">
        <v>2768</v>
      </c>
      <c r="AY987" s="4">
        <v>51.065300000000001</v>
      </c>
      <c r="AZ987" s="4">
        <v>-116.785</v>
      </c>
      <c r="BA987" s="4">
        <v>1354</v>
      </c>
    </row>
    <row r="988" spans="1:53" ht="14.25" customHeight="1" x14ac:dyDescent="0.2">
      <c r="A988" s="136" t="s">
        <v>88</v>
      </c>
      <c r="B988" s="4">
        <v>12</v>
      </c>
      <c r="C988" s="4" t="s">
        <v>1711</v>
      </c>
      <c r="D988" s="4">
        <v>387</v>
      </c>
      <c r="E988" s="4">
        <v>1930</v>
      </c>
      <c r="F988" s="188" t="s">
        <v>693</v>
      </c>
      <c r="G988" s="201" t="s">
        <v>2828</v>
      </c>
      <c r="H988" s="4" t="s">
        <v>2829</v>
      </c>
      <c r="I988" s="4" t="s">
        <v>641</v>
      </c>
      <c r="J988" s="4" t="s">
        <v>1865</v>
      </c>
      <c r="K988" s="4">
        <v>1</v>
      </c>
      <c r="L988" s="4">
        <v>2333</v>
      </c>
      <c r="M988" s="6">
        <v>50.62133</v>
      </c>
      <c r="N988" s="9">
        <v>-117.4645</v>
      </c>
      <c r="O988" s="9" t="s">
        <v>170</v>
      </c>
      <c r="P988" s="9">
        <v>387</v>
      </c>
      <c r="Q988" s="20">
        <v>2</v>
      </c>
      <c r="R988" s="9" t="s">
        <v>693</v>
      </c>
      <c r="S988" s="9" t="s">
        <v>1737</v>
      </c>
      <c r="T988" s="9">
        <v>991</v>
      </c>
      <c r="U988" s="9"/>
      <c r="V988" s="9"/>
      <c r="W988" s="21">
        <v>31778</v>
      </c>
      <c r="X988" s="9" t="s">
        <v>1738</v>
      </c>
      <c r="AK988" s="260"/>
      <c r="AO988" s="196" t="s">
        <v>693</v>
      </c>
      <c r="AP988" s="4">
        <v>387</v>
      </c>
      <c r="AQ988" s="4" t="s">
        <v>1716</v>
      </c>
      <c r="AR988" s="4" t="s">
        <v>1739</v>
      </c>
      <c r="AS988" s="4" t="s">
        <v>1740</v>
      </c>
      <c r="AT988" s="4" t="s">
        <v>1741</v>
      </c>
      <c r="AU988" s="4" t="s">
        <v>1742</v>
      </c>
      <c r="AV988" s="4" t="s">
        <v>1720</v>
      </c>
      <c r="AW988" s="4" t="s">
        <v>2698</v>
      </c>
      <c r="AX988" s="4" t="s">
        <v>2797</v>
      </c>
      <c r="AY988" s="4">
        <v>50.6053</v>
      </c>
      <c r="AZ988" s="4">
        <v>-117.4272</v>
      </c>
      <c r="BA988" s="4">
        <v>991</v>
      </c>
    </row>
    <row r="989" spans="1:53" ht="14.25" customHeight="1" x14ac:dyDescent="0.2">
      <c r="A989" s="136" t="s">
        <v>88</v>
      </c>
      <c r="B989" s="4">
        <v>12</v>
      </c>
      <c r="C989" s="4" t="s">
        <v>1711</v>
      </c>
      <c r="D989" s="4">
        <v>390</v>
      </c>
      <c r="E989" s="4">
        <v>1933</v>
      </c>
      <c r="F989" s="188" t="s">
        <v>2837</v>
      </c>
      <c r="G989" s="201" t="s">
        <v>2838</v>
      </c>
      <c r="H989" s="4" t="s">
        <v>2839</v>
      </c>
      <c r="I989" s="4" t="s">
        <v>641</v>
      </c>
      <c r="J989" s="4" t="s">
        <v>1736</v>
      </c>
      <c r="K989" s="4">
        <v>1</v>
      </c>
      <c r="L989" s="4">
        <v>2336</v>
      </c>
      <c r="M989" s="6">
        <v>49.457000000000001</v>
      </c>
      <c r="N989" s="9">
        <v>-119.08833</v>
      </c>
      <c r="O989" s="9" t="s">
        <v>142</v>
      </c>
      <c r="P989" s="9">
        <v>390</v>
      </c>
      <c r="Q989" s="20">
        <v>2</v>
      </c>
      <c r="R989" s="9" t="s">
        <v>2837</v>
      </c>
      <c r="S989" s="9" t="s">
        <v>1737</v>
      </c>
      <c r="T989" s="9">
        <v>807</v>
      </c>
      <c r="U989" s="9" t="s">
        <v>645</v>
      </c>
      <c r="V989" s="9"/>
      <c r="W989" s="21">
        <v>25569</v>
      </c>
      <c r="X989" s="9" t="s">
        <v>1738</v>
      </c>
      <c r="AK989" s="260"/>
      <c r="AO989" s="4" t="s">
        <v>2837</v>
      </c>
      <c r="AP989" s="4">
        <v>390</v>
      </c>
      <c r="AQ989" s="4" t="s">
        <v>1700</v>
      </c>
      <c r="AR989" s="4" t="s">
        <v>1739</v>
      </c>
      <c r="AS989" s="4" t="s">
        <v>1740</v>
      </c>
      <c r="AT989" s="4" t="s">
        <v>1741</v>
      </c>
      <c r="AU989" s="4" t="s">
        <v>1772</v>
      </c>
      <c r="AV989" s="4" t="s">
        <v>1720</v>
      </c>
      <c r="AW989" s="4" t="s">
        <v>2698</v>
      </c>
      <c r="AX989" s="4" t="s">
        <v>2827</v>
      </c>
      <c r="AY989" s="4">
        <v>49.456400000000002</v>
      </c>
      <c r="AZ989" s="4">
        <v>-119.0886</v>
      </c>
      <c r="BA989" s="4">
        <v>807</v>
      </c>
    </row>
    <row r="990" spans="1:53" ht="14.25" customHeight="1" x14ac:dyDescent="0.2">
      <c r="A990" s="136" t="s">
        <v>88</v>
      </c>
      <c r="B990" s="4">
        <v>12</v>
      </c>
      <c r="C990" s="4" t="s">
        <v>1711</v>
      </c>
      <c r="D990" s="4">
        <v>402</v>
      </c>
      <c r="E990" s="4">
        <v>1944</v>
      </c>
      <c r="F990" s="188" t="s">
        <v>2872</v>
      </c>
      <c r="G990" s="201" t="s">
        <v>2873</v>
      </c>
      <c r="H990" s="4" t="s">
        <v>2750</v>
      </c>
      <c r="I990" s="4" t="s">
        <v>641</v>
      </c>
      <c r="J990" s="4" t="s">
        <v>1865</v>
      </c>
      <c r="K990" s="4">
        <v>1</v>
      </c>
      <c r="L990" s="4">
        <v>2347</v>
      </c>
      <c r="M990" s="6">
        <v>49.050559999999997</v>
      </c>
      <c r="N990" s="9">
        <v>-117.41388999999999</v>
      </c>
      <c r="O990" s="9" t="s">
        <v>170</v>
      </c>
      <c r="P990" s="9">
        <v>402</v>
      </c>
      <c r="Q990" s="20">
        <v>1</v>
      </c>
      <c r="R990" s="9" t="s">
        <v>2872</v>
      </c>
      <c r="S990" s="9" t="s">
        <v>1737</v>
      </c>
      <c r="T990" s="9">
        <v>725</v>
      </c>
      <c r="U990" s="9"/>
      <c r="V990" s="9"/>
      <c r="W990" s="21">
        <v>31413</v>
      </c>
      <c r="X990" s="9" t="s">
        <v>1738</v>
      </c>
      <c r="AK990" s="260"/>
      <c r="AO990" s="4" t="s">
        <v>2872</v>
      </c>
      <c r="AP990" s="4">
        <v>402</v>
      </c>
      <c r="AQ990" s="4" t="s">
        <v>1716</v>
      </c>
      <c r="AR990" s="4" t="s">
        <v>1739</v>
      </c>
      <c r="AS990" s="4" t="s">
        <v>1740</v>
      </c>
      <c r="AT990" s="4" t="s">
        <v>1741</v>
      </c>
      <c r="AU990" s="4" t="s">
        <v>1742</v>
      </c>
      <c r="AV990" s="4" t="s">
        <v>1720</v>
      </c>
      <c r="AW990" s="4" t="s">
        <v>2698</v>
      </c>
      <c r="AX990" s="4" t="s">
        <v>2797</v>
      </c>
      <c r="AY990" s="4">
        <v>49.050600000000003</v>
      </c>
      <c r="AZ990" s="4">
        <v>-117.4139</v>
      </c>
      <c r="BA990" s="4">
        <v>725</v>
      </c>
    </row>
    <row r="991" spans="1:53" ht="14.25" customHeight="1" x14ac:dyDescent="0.2">
      <c r="A991" s="136" t="s">
        <v>88</v>
      </c>
      <c r="B991" s="4">
        <v>12</v>
      </c>
      <c r="C991" s="4" t="s">
        <v>1711</v>
      </c>
      <c r="D991" s="4">
        <v>411</v>
      </c>
      <c r="E991" s="4">
        <v>1952</v>
      </c>
      <c r="F991" s="188" t="s">
        <v>2896</v>
      </c>
      <c r="G991" s="201" t="s">
        <v>2897</v>
      </c>
      <c r="H991" s="4" t="s">
        <v>2898</v>
      </c>
      <c r="I991" s="4" t="s">
        <v>641</v>
      </c>
      <c r="J991" s="4" t="s">
        <v>1736</v>
      </c>
      <c r="K991" s="4">
        <v>1</v>
      </c>
      <c r="L991" s="4">
        <v>2355</v>
      </c>
      <c r="M991" s="6">
        <v>50.494610000000002</v>
      </c>
      <c r="N991" s="9">
        <v>-115.66643999999999</v>
      </c>
      <c r="O991" s="9" t="s">
        <v>170</v>
      </c>
      <c r="P991" s="9">
        <v>411</v>
      </c>
      <c r="Q991" s="20">
        <v>2</v>
      </c>
      <c r="R991" s="9" t="s">
        <v>2896</v>
      </c>
      <c r="S991" s="9" t="s">
        <v>1737</v>
      </c>
      <c r="T991" s="9">
        <v>1100</v>
      </c>
      <c r="U991" s="9"/>
      <c r="V991" s="9"/>
      <c r="W991" s="21">
        <v>26665</v>
      </c>
      <c r="X991" s="9" t="s">
        <v>1738</v>
      </c>
      <c r="AK991" s="260"/>
      <c r="AO991" s="4" t="s">
        <v>2896</v>
      </c>
      <c r="AP991" s="4">
        <v>411</v>
      </c>
      <c r="AQ991" s="4" t="s">
        <v>1716</v>
      </c>
      <c r="AR991" s="4" t="s">
        <v>1739</v>
      </c>
      <c r="AS991" s="4" t="s">
        <v>1740</v>
      </c>
      <c r="AT991" s="4" t="s">
        <v>1741</v>
      </c>
      <c r="AU991" s="4" t="s">
        <v>1742</v>
      </c>
      <c r="AV991" s="4" t="s">
        <v>1720</v>
      </c>
      <c r="AW991" s="4" t="s">
        <v>2698</v>
      </c>
      <c r="AX991" s="4" t="s">
        <v>2768</v>
      </c>
      <c r="AY991" s="4">
        <v>50.494599999999998</v>
      </c>
      <c r="AZ991" s="4">
        <v>-115.6664</v>
      </c>
      <c r="BA991" s="4">
        <v>1100</v>
      </c>
    </row>
    <row r="992" spans="1:53" ht="14.25" customHeight="1" x14ac:dyDescent="0.2">
      <c r="A992" s="136" t="s">
        <v>88</v>
      </c>
      <c r="B992" s="4">
        <v>12</v>
      </c>
      <c r="C992" s="4" t="s">
        <v>1711</v>
      </c>
      <c r="D992" s="4">
        <v>412</v>
      </c>
      <c r="E992" s="4">
        <v>1953</v>
      </c>
      <c r="F992" s="188" t="s">
        <v>2899</v>
      </c>
      <c r="G992" s="201" t="s">
        <v>2900</v>
      </c>
      <c r="H992" s="4" t="s">
        <v>2901</v>
      </c>
      <c r="I992" s="4" t="s">
        <v>641</v>
      </c>
      <c r="J992" s="4" t="s">
        <v>1865</v>
      </c>
      <c r="K992" s="4">
        <v>1</v>
      </c>
      <c r="L992" s="4">
        <v>2356</v>
      </c>
      <c r="M992" s="6">
        <v>49.287669999999999</v>
      </c>
      <c r="N992" s="9">
        <v>-115.15456</v>
      </c>
      <c r="O992" s="9" t="s">
        <v>170</v>
      </c>
      <c r="P992" s="9">
        <v>412</v>
      </c>
      <c r="Q992" s="20">
        <v>1</v>
      </c>
      <c r="R992" s="9" t="s">
        <v>2899</v>
      </c>
      <c r="S992" s="9" t="s">
        <v>1737</v>
      </c>
      <c r="T992" s="9">
        <v>775</v>
      </c>
      <c r="U992" s="9"/>
      <c r="V992" s="9"/>
      <c r="W992" s="21">
        <v>35431</v>
      </c>
      <c r="X992" s="9" t="s">
        <v>1738</v>
      </c>
      <c r="AK992" s="260"/>
      <c r="AO992" s="188" t="s">
        <v>2899</v>
      </c>
      <c r="AP992" s="4">
        <v>412</v>
      </c>
      <c r="AQ992" s="4" t="s">
        <v>1700</v>
      </c>
      <c r="AR992" s="4" t="s">
        <v>1739</v>
      </c>
      <c r="AS992" s="4" t="s">
        <v>1740</v>
      </c>
      <c r="AT992" s="4" t="s">
        <v>1741</v>
      </c>
      <c r="AU992" s="4" t="s">
        <v>1959</v>
      </c>
      <c r="AV992" s="4" t="s">
        <v>1720</v>
      </c>
      <c r="AW992" s="4" t="s">
        <v>2698</v>
      </c>
      <c r="AX992" s="4" t="s">
        <v>2902</v>
      </c>
      <c r="AY992" s="4">
        <v>49.287599999999998</v>
      </c>
      <c r="AZ992" s="4">
        <v>-115.1545</v>
      </c>
      <c r="BA992" s="4">
        <v>876</v>
      </c>
    </row>
    <row r="993" spans="1:53" ht="14.25" customHeight="1" x14ac:dyDescent="0.2">
      <c r="A993" s="136" t="s">
        <v>88</v>
      </c>
      <c r="B993" s="4">
        <v>12</v>
      </c>
      <c r="C993" s="4" t="s">
        <v>1711</v>
      </c>
      <c r="D993" s="4">
        <v>418</v>
      </c>
      <c r="E993" s="4">
        <v>1958</v>
      </c>
      <c r="F993" s="188" t="s">
        <v>2917</v>
      </c>
      <c r="G993" s="201" t="s">
        <v>2918</v>
      </c>
      <c r="H993" s="4" t="s">
        <v>2919</v>
      </c>
      <c r="I993" s="4" t="s">
        <v>641</v>
      </c>
      <c r="J993" s="4" t="s">
        <v>1865</v>
      </c>
      <c r="K993" s="4">
        <v>1</v>
      </c>
      <c r="L993" s="4">
        <v>2361</v>
      </c>
      <c r="M993" s="6">
        <v>49.079129999999999</v>
      </c>
      <c r="N993" s="9">
        <v>-114.53734</v>
      </c>
      <c r="O993" s="9" t="s">
        <v>170</v>
      </c>
      <c r="P993" s="9">
        <v>418</v>
      </c>
      <c r="Q993" s="20">
        <v>3</v>
      </c>
      <c r="R993" s="9" t="s">
        <v>2917</v>
      </c>
      <c r="S993" s="9" t="s">
        <v>1737</v>
      </c>
      <c r="T993" s="9">
        <v>1311</v>
      </c>
      <c r="U993" s="9"/>
      <c r="V993" s="9"/>
      <c r="W993" s="21">
        <v>31413</v>
      </c>
      <c r="X993" s="9" t="s">
        <v>1738</v>
      </c>
      <c r="AK993" s="260"/>
      <c r="AO993" s="196" t="s">
        <v>2917</v>
      </c>
      <c r="AP993" s="4">
        <v>418</v>
      </c>
      <c r="AQ993" s="4" t="s">
        <v>1716</v>
      </c>
      <c r="AR993" s="4" t="s">
        <v>1739</v>
      </c>
      <c r="AS993" s="4" t="s">
        <v>1740</v>
      </c>
      <c r="AT993" s="4" t="s">
        <v>1741</v>
      </c>
      <c r="AU993" s="4" t="s">
        <v>1742</v>
      </c>
      <c r="AV993" s="4" t="s">
        <v>1720</v>
      </c>
      <c r="AW993" s="4" t="s">
        <v>2698</v>
      </c>
      <c r="AX993" s="4" t="s">
        <v>2902</v>
      </c>
      <c r="AY993" s="4">
        <v>49.079099999999997</v>
      </c>
      <c r="AZ993" s="4">
        <v>-114.5373</v>
      </c>
      <c r="BA993" s="4">
        <v>1311</v>
      </c>
    </row>
    <row r="994" spans="1:53" ht="14.25" customHeight="1" x14ac:dyDescent="0.2">
      <c r="A994" s="136" t="s">
        <v>88</v>
      </c>
      <c r="B994" s="4">
        <v>12</v>
      </c>
      <c r="C994" s="4" t="s">
        <v>1711</v>
      </c>
      <c r="D994" s="4">
        <v>419</v>
      </c>
      <c r="E994" s="4">
        <v>1959</v>
      </c>
      <c r="F994" s="188" t="s">
        <v>2920</v>
      </c>
      <c r="G994" s="201" t="s">
        <v>2921</v>
      </c>
      <c r="H994" s="4" t="s">
        <v>2839</v>
      </c>
      <c r="I994" s="4" t="s">
        <v>641</v>
      </c>
      <c r="J994" s="4" t="s">
        <v>1865</v>
      </c>
      <c r="K994" s="4">
        <v>1</v>
      </c>
      <c r="L994" s="4">
        <v>2362</v>
      </c>
      <c r="M994" s="6">
        <v>49.921999999999997</v>
      </c>
      <c r="N994" s="9">
        <v>-115.73667</v>
      </c>
      <c r="O994" s="9" t="s">
        <v>170</v>
      </c>
      <c r="P994" s="9">
        <v>419</v>
      </c>
      <c r="Q994" s="20">
        <v>1</v>
      </c>
      <c r="R994" s="9" t="s">
        <v>2920</v>
      </c>
      <c r="S994" s="9" t="s">
        <v>1737</v>
      </c>
      <c r="T994" s="9">
        <v>853</v>
      </c>
      <c r="U994" s="9" t="s">
        <v>645</v>
      </c>
      <c r="V994" s="9"/>
      <c r="W994" s="21">
        <v>31413</v>
      </c>
      <c r="X994" s="9" t="s">
        <v>1738</v>
      </c>
      <c r="AK994" s="260"/>
      <c r="AO994" s="4" t="s">
        <v>2920</v>
      </c>
      <c r="AP994" s="4">
        <v>419</v>
      </c>
      <c r="AQ994" s="4" t="s">
        <v>1700</v>
      </c>
      <c r="AR994" s="4" t="s">
        <v>1739</v>
      </c>
      <c r="AS994" s="4" t="s">
        <v>1740</v>
      </c>
      <c r="AT994" s="4" t="s">
        <v>1741</v>
      </c>
      <c r="AU994" s="4" t="s">
        <v>1959</v>
      </c>
      <c r="AV994" s="4" t="s">
        <v>1720</v>
      </c>
      <c r="AW994" s="4" t="s">
        <v>2698</v>
      </c>
      <c r="AX994" s="4" t="s">
        <v>2768</v>
      </c>
      <c r="AY994" s="4">
        <v>49.944400000000002</v>
      </c>
      <c r="AZ994" s="4">
        <v>-115.75830000000001</v>
      </c>
      <c r="BA994" s="4">
        <v>853</v>
      </c>
    </row>
    <row r="995" spans="1:53" ht="14.25" customHeight="1" x14ac:dyDescent="0.2">
      <c r="A995" s="136" t="s">
        <v>88</v>
      </c>
      <c r="B995" s="4">
        <v>12</v>
      </c>
      <c r="C995" s="4" t="s">
        <v>1711</v>
      </c>
      <c r="D995" s="4">
        <v>426</v>
      </c>
      <c r="E995" s="4">
        <v>1965</v>
      </c>
      <c r="F995" s="188" t="s">
        <v>2937</v>
      </c>
      <c r="G995" s="201" t="s">
        <v>2938</v>
      </c>
      <c r="H995" s="4" t="s">
        <v>2939</v>
      </c>
      <c r="I995" s="4" t="s">
        <v>641</v>
      </c>
      <c r="J995" s="4" t="s">
        <v>1891</v>
      </c>
      <c r="K995" s="4">
        <v>1</v>
      </c>
      <c r="L995" s="4">
        <v>2368</v>
      </c>
      <c r="M995" s="6">
        <v>49.667299999999997</v>
      </c>
      <c r="N995" s="9">
        <v>-115.848</v>
      </c>
      <c r="O995" s="9" t="s">
        <v>170</v>
      </c>
      <c r="P995" s="9">
        <v>426</v>
      </c>
      <c r="Q995" s="20">
        <v>2</v>
      </c>
      <c r="R995" s="9" t="s">
        <v>2937</v>
      </c>
      <c r="S995" s="9" t="s">
        <v>1737</v>
      </c>
      <c r="T995" s="9">
        <v>996</v>
      </c>
      <c r="U995" s="9"/>
      <c r="V995" s="9"/>
      <c r="W995" s="21">
        <v>36892</v>
      </c>
      <c r="X995" s="9" t="s">
        <v>1738</v>
      </c>
      <c r="AK995" s="260"/>
      <c r="AO995" s="4" t="s">
        <v>2940</v>
      </c>
      <c r="AP995" s="4">
        <v>426</v>
      </c>
      <c r="AQ995" s="4" t="s">
        <v>1700</v>
      </c>
      <c r="AR995" s="4" t="s">
        <v>1739</v>
      </c>
      <c r="AS995" s="4" t="s">
        <v>1740</v>
      </c>
      <c r="AT995" s="4" t="s">
        <v>1741</v>
      </c>
      <c r="AU995" s="4" t="s">
        <v>1959</v>
      </c>
      <c r="AV995" s="4" t="s">
        <v>1720</v>
      </c>
      <c r="AW995" s="4" t="s">
        <v>2698</v>
      </c>
      <c r="AX995" s="4" t="s">
        <v>2902</v>
      </c>
      <c r="AY995" s="4">
        <v>49.667299999999997</v>
      </c>
      <c r="AZ995" s="4">
        <v>-115.84829999999999</v>
      </c>
      <c r="BA995" s="4">
        <v>996</v>
      </c>
    </row>
    <row r="996" spans="1:53" ht="14.25" customHeight="1" x14ac:dyDescent="0.2">
      <c r="A996" s="136" t="s">
        <v>88</v>
      </c>
      <c r="B996" s="4">
        <v>12</v>
      </c>
      <c r="C996" s="4" t="s">
        <v>1711</v>
      </c>
      <c r="D996" s="4">
        <v>427</v>
      </c>
      <c r="E996" s="4">
        <v>1966</v>
      </c>
      <c r="F996" s="188" t="s">
        <v>2941</v>
      </c>
      <c r="G996" s="201" t="s">
        <v>7858</v>
      </c>
      <c r="H996" s="4" t="s">
        <v>2943</v>
      </c>
      <c r="I996" s="4" t="s">
        <v>641</v>
      </c>
      <c r="J996" s="4" t="s">
        <v>1736</v>
      </c>
      <c r="K996" s="4">
        <v>1</v>
      </c>
      <c r="L996" s="4">
        <v>2369</v>
      </c>
      <c r="M996" s="6">
        <v>55.288330000000002</v>
      </c>
      <c r="N996" s="9">
        <v>-128.99332999999999</v>
      </c>
      <c r="O996" s="9" t="s">
        <v>51</v>
      </c>
      <c r="P996" s="9">
        <v>427</v>
      </c>
      <c r="Q996" s="20">
        <v>2</v>
      </c>
      <c r="R996" s="9" t="s">
        <v>2941</v>
      </c>
      <c r="S996" s="9" t="s">
        <v>1737</v>
      </c>
      <c r="T996" s="9">
        <v>191</v>
      </c>
      <c r="U996" s="9"/>
      <c r="V996" s="9"/>
      <c r="W996" s="21">
        <v>25569</v>
      </c>
      <c r="X996" s="9" t="s">
        <v>1738</v>
      </c>
      <c r="AK996" s="260"/>
      <c r="AO996" s="196" t="s">
        <v>2941</v>
      </c>
      <c r="AP996" s="4">
        <v>427</v>
      </c>
      <c r="AQ996" s="4" t="s">
        <v>1716</v>
      </c>
      <c r="AR996" s="4" t="s">
        <v>1739</v>
      </c>
      <c r="AS996" s="4" t="s">
        <v>1740</v>
      </c>
      <c r="AT996" s="4" t="s">
        <v>1741</v>
      </c>
      <c r="AU996" s="4" t="s">
        <v>1742</v>
      </c>
      <c r="AV996" s="4" t="s">
        <v>1720</v>
      </c>
      <c r="AW996" s="4" t="s">
        <v>1947</v>
      </c>
      <c r="AX996" s="4" t="s">
        <v>1973</v>
      </c>
      <c r="AY996" s="4">
        <v>55.288600000000002</v>
      </c>
      <c r="AZ996" s="4">
        <v>-128.9984</v>
      </c>
      <c r="BA996" s="4">
        <v>176</v>
      </c>
    </row>
    <row r="997" spans="1:53" ht="14.25" customHeight="1" x14ac:dyDescent="0.2">
      <c r="A997" s="136" t="s">
        <v>88</v>
      </c>
      <c r="B997" s="4">
        <v>12</v>
      </c>
      <c r="C997" s="4" t="s">
        <v>1711</v>
      </c>
      <c r="D997" s="4">
        <v>429</v>
      </c>
      <c r="E997" s="4">
        <v>1968</v>
      </c>
      <c r="F997" s="188" t="s">
        <v>2949</v>
      </c>
      <c r="G997" s="201" t="s">
        <v>2950</v>
      </c>
      <c r="H997" s="4" t="s">
        <v>2591</v>
      </c>
      <c r="I997" s="4" t="s">
        <v>641</v>
      </c>
      <c r="J997" s="4" t="s">
        <v>1736</v>
      </c>
      <c r="K997" s="4">
        <v>1</v>
      </c>
      <c r="L997" s="4">
        <v>2371</v>
      </c>
      <c r="M997" s="6">
        <v>55.026670000000003</v>
      </c>
      <c r="N997" s="9">
        <v>-128.31333000000001</v>
      </c>
      <c r="O997" s="9" t="s">
        <v>51</v>
      </c>
      <c r="P997" s="9">
        <v>429</v>
      </c>
      <c r="Q997" s="20">
        <v>2</v>
      </c>
      <c r="R997" s="9" t="s">
        <v>2949</v>
      </c>
      <c r="S997" s="9" t="s">
        <v>1737</v>
      </c>
      <c r="T997" s="9">
        <v>274</v>
      </c>
      <c r="U997" s="9" t="s">
        <v>645</v>
      </c>
      <c r="V997" s="9" t="s">
        <v>1830</v>
      </c>
      <c r="W997" s="21">
        <v>29952</v>
      </c>
      <c r="X997" s="9" t="s">
        <v>1738</v>
      </c>
      <c r="AK997" s="260"/>
      <c r="AO997" s="4" t="s">
        <v>2949</v>
      </c>
      <c r="AP997" s="4">
        <v>429</v>
      </c>
      <c r="AQ997" s="4" t="s">
        <v>1716</v>
      </c>
      <c r="AR997" s="4" t="s">
        <v>1739</v>
      </c>
      <c r="AS997" s="4" t="s">
        <v>1740</v>
      </c>
      <c r="AT997" s="4" t="s">
        <v>1741</v>
      </c>
      <c r="AU997" s="4" t="s">
        <v>1742</v>
      </c>
      <c r="AV997" s="4" t="s">
        <v>1720</v>
      </c>
      <c r="AW997" s="4" t="s">
        <v>1947</v>
      </c>
      <c r="AX997" s="4" t="s">
        <v>2948</v>
      </c>
      <c r="AY997" s="4">
        <v>55.030099999999997</v>
      </c>
      <c r="AZ997" s="4">
        <v>-128.3115</v>
      </c>
      <c r="BA997" s="4">
        <v>174</v>
      </c>
    </row>
    <row r="998" spans="1:53" ht="14.25" customHeight="1" x14ac:dyDescent="0.2">
      <c r="A998" s="136" t="s">
        <v>88</v>
      </c>
      <c r="B998" s="4">
        <v>12</v>
      </c>
      <c r="C998" s="4" t="s">
        <v>1711</v>
      </c>
      <c r="D998" s="4">
        <v>430</v>
      </c>
      <c r="E998" s="4">
        <v>1969</v>
      </c>
      <c r="F998" s="188" t="s">
        <v>2951</v>
      </c>
      <c r="G998" s="201" t="s">
        <v>2952</v>
      </c>
      <c r="H998" s="4" t="s">
        <v>2953</v>
      </c>
      <c r="I998" s="4" t="s">
        <v>641</v>
      </c>
      <c r="J998" s="4" t="s">
        <v>1736</v>
      </c>
      <c r="K998" s="4">
        <v>1</v>
      </c>
      <c r="L998" s="4">
        <v>2372</v>
      </c>
      <c r="M998" s="6">
        <v>56.012729999999998</v>
      </c>
      <c r="N998" s="4">
        <v>-129.09980999999999</v>
      </c>
      <c r="O998" s="4" t="s">
        <v>51</v>
      </c>
      <c r="P998" s="4">
        <v>430</v>
      </c>
      <c r="Q998" s="4">
        <v>2</v>
      </c>
      <c r="R998" s="4" t="s">
        <v>2951</v>
      </c>
      <c r="S998" s="4" t="s">
        <v>1737</v>
      </c>
      <c r="T998" s="4">
        <v>296</v>
      </c>
      <c r="U998" s="4" t="s">
        <v>645</v>
      </c>
      <c r="W998" s="4">
        <v>30317</v>
      </c>
      <c r="X998" s="4" t="s">
        <v>1738</v>
      </c>
      <c r="AK998" s="260"/>
      <c r="AO998" s="4" t="s">
        <v>2951</v>
      </c>
      <c r="AP998" s="4">
        <v>430</v>
      </c>
      <c r="AQ998" s="4" t="s">
        <v>1716</v>
      </c>
      <c r="AR998" s="4" t="s">
        <v>1739</v>
      </c>
      <c r="AS998" s="4" t="s">
        <v>1740</v>
      </c>
      <c r="AT998" s="4" t="s">
        <v>1741</v>
      </c>
      <c r="AU998" s="4" t="s">
        <v>1742</v>
      </c>
      <c r="AV998" s="4" t="s">
        <v>1720</v>
      </c>
      <c r="AW998" s="4" t="s">
        <v>1947</v>
      </c>
      <c r="AX998" s="4" t="s">
        <v>1973</v>
      </c>
      <c r="AY998" s="4">
        <v>56.012700000000002</v>
      </c>
      <c r="AZ998" s="4">
        <v>-129.09979999999999</v>
      </c>
      <c r="BA998" s="4">
        <v>296</v>
      </c>
    </row>
    <row r="999" spans="1:53" ht="14.25" customHeight="1" x14ac:dyDescent="0.2">
      <c r="A999" s="136" t="s">
        <v>88</v>
      </c>
      <c r="B999" s="4">
        <v>12</v>
      </c>
      <c r="C999" s="4" t="s">
        <v>1711</v>
      </c>
      <c r="D999" s="4">
        <v>431</v>
      </c>
      <c r="E999" s="4">
        <v>1970</v>
      </c>
      <c r="F999" s="188" t="s">
        <v>2954</v>
      </c>
      <c r="G999" s="201" t="s">
        <v>7859</v>
      </c>
      <c r="H999" s="4" t="s">
        <v>2956</v>
      </c>
      <c r="I999" s="4" t="s">
        <v>641</v>
      </c>
      <c r="J999" s="4" t="s">
        <v>1865</v>
      </c>
      <c r="K999" s="4">
        <v>1</v>
      </c>
      <c r="L999" s="4">
        <v>2373</v>
      </c>
      <c r="M999" s="6">
        <v>55.6</v>
      </c>
      <c r="N999" s="9">
        <v>-128.04167000000001</v>
      </c>
      <c r="O999" s="4" t="s">
        <v>51</v>
      </c>
      <c r="P999" s="9">
        <v>431</v>
      </c>
      <c r="Q999" s="4">
        <v>3</v>
      </c>
      <c r="R999" s="9" t="s">
        <v>2954</v>
      </c>
      <c r="S999" s="4" t="s">
        <v>1737</v>
      </c>
      <c r="T999" s="9">
        <v>410</v>
      </c>
      <c r="U999"/>
      <c r="W999" s="4">
        <v>31413</v>
      </c>
      <c r="X999" s="4" t="s">
        <v>1738</v>
      </c>
      <c r="AK999" s="260"/>
      <c r="AO999" s="4" t="s">
        <v>2954</v>
      </c>
      <c r="AP999" s="4">
        <v>431</v>
      </c>
      <c r="AQ999" s="4" t="s">
        <v>1716</v>
      </c>
      <c r="AR999" s="4" t="s">
        <v>1739</v>
      </c>
      <c r="AS999" s="4" t="s">
        <v>1740</v>
      </c>
      <c r="AT999" s="4" t="s">
        <v>1741</v>
      </c>
      <c r="AU999" s="4" t="s">
        <v>1742</v>
      </c>
      <c r="AV999" s="4" t="s">
        <v>1720</v>
      </c>
      <c r="AW999" s="4" t="s">
        <v>1947</v>
      </c>
      <c r="AX999" s="4" t="s">
        <v>2948</v>
      </c>
      <c r="AY999" s="4">
        <v>55.601500000000001</v>
      </c>
      <c r="AZ999" s="4">
        <v>-128.0478</v>
      </c>
      <c r="BA999" s="4">
        <v>410</v>
      </c>
    </row>
    <row r="1000" spans="1:53" ht="14.25" customHeight="1" x14ac:dyDescent="0.2">
      <c r="A1000" s="136" t="s">
        <v>88</v>
      </c>
      <c r="B1000" s="4">
        <v>12</v>
      </c>
      <c r="C1000" s="4" t="s">
        <v>1711</v>
      </c>
      <c r="D1000" s="4">
        <v>432</v>
      </c>
      <c r="E1000" s="4">
        <v>1971</v>
      </c>
      <c r="F1000" s="188" t="s">
        <v>2957</v>
      </c>
      <c r="G1000" s="201" t="s">
        <v>7860</v>
      </c>
      <c r="H1000" s="4" t="s">
        <v>2959</v>
      </c>
      <c r="I1000" s="4" t="s">
        <v>641</v>
      </c>
      <c r="J1000" s="4" t="s">
        <v>1865</v>
      </c>
      <c r="K1000" s="4">
        <v>1</v>
      </c>
      <c r="L1000" s="4">
        <v>2374</v>
      </c>
      <c r="M1000" s="6">
        <v>56.348489999999998</v>
      </c>
      <c r="N1000" s="4">
        <v>-129.29283000000001</v>
      </c>
      <c r="O1000" s="4" t="s">
        <v>51</v>
      </c>
      <c r="P1000" s="4">
        <v>432</v>
      </c>
      <c r="Q1000" s="4">
        <v>3</v>
      </c>
      <c r="R1000" s="4" t="s">
        <v>2957</v>
      </c>
      <c r="S1000" s="4" t="s">
        <v>1737</v>
      </c>
      <c r="T1000" s="4">
        <v>388</v>
      </c>
      <c r="U1000" s="4" t="s">
        <v>645</v>
      </c>
      <c r="W1000" s="4">
        <v>31413</v>
      </c>
      <c r="X1000" s="4" t="s">
        <v>1738</v>
      </c>
      <c r="AK1000" s="260"/>
      <c r="AO1000" s="4" t="s">
        <v>2957</v>
      </c>
      <c r="AP1000" s="4">
        <v>432</v>
      </c>
      <c r="AQ1000" s="4" t="s">
        <v>1716</v>
      </c>
      <c r="AR1000" s="4" t="s">
        <v>1739</v>
      </c>
      <c r="AS1000" s="4" t="s">
        <v>1740</v>
      </c>
      <c r="AT1000" s="4" t="s">
        <v>1741</v>
      </c>
      <c r="AU1000" s="4" t="s">
        <v>1742</v>
      </c>
      <c r="AV1000" s="4" t="s">
        <v>1720</v>
      </c>
      <c r="AW1000" s="4" t="s">
        <v>1947</v>
      </c>
      <c r="AX1000" s="4" t="s">
        <v>1973</v>
      </c>
      <c r="AY1000" s="4">
        <v>56.348599999999998</v>
      </c>
      <c r="AZ1000" s="4">
        <v>-129.2928</v>
      </c>
      <c r="BA1000" s="4">
        <v>391</v>
      </c>
    </row>
    <row r="1001" spans="1:53" ht="14.25" customHeight="1" x14ac:dyDescent="0.2">
      <c r="A1001" s="136" t="s">
        <v>88</v>
      </c>
      <c r="B1001" s="4">
        <v>12</v>
      </c>
      <c r="C1001" s="4" t="s">
        <v>1711</v>
      </c>
      <c r="D1001" s="4">
        <v>433</v>
      </c>
      <c r="E1001" s="4">
        <v>1972</v>
      </c>
      <c r="F1001" s="188" t="s">
        <v>2960</v>
      </c>
      <c r="G1001" s="201" t="s">
        <v>7861</v>
      </c>
      <c r="H1001" s="4" t="s">
        <v>2962</v>
      </c>
      <c r="I1001" s="4" t="s">
        <v>641</v>
      </c>
      <c r="J1001" s="4" t="s">
        <v>1865</v>
      </c>
      <c r="K1001" s="4">
        <v>1</v>
      </c>
      <c r="L1001" s="4">
        <v>2375</v>
      </c>
      <c r="M1001" s="6">
        <v>55.57667</v>
      </c>
      <c r="N1001" s="9">
        <v>-128.70500000000001</v>
      </c>
      <c r="O1001" s="4" t="s">
        <v>51</v>
      </c>
      <c r="P1001" s="9">
        <v>433</v>
      </c>
      <c r="Q1001" s="4">
        <v>3</v>
      </c>
      <c r="R1001" s="9" t="s">
        <v>2960</v>
      </c>
      <c r="S1001" s="4" t="s">
        <v>1737</v>
      </c>
      <c r="T1001" s="9">
        <v>500</v>
      </c>
      <c r="U1001"/>
      <c r="W1001" s="4">
        <v>34700</v>
      </c>
      <c r="X1001" s="4" t="s">
        <v>1738</v>
      </c>
      <c r="AK1001" s="260"/>
      <c r="AO1001" s="4" t="s">
        <v>2960</v>
      </c>
      <c r="AP1001" s="4">
        <v>433</v>
      </c>
      <c r="AQ1001" s="4" t="s">
        <v>1716</v>
      </c>
      <c r="AR1001" s="4" t="s">
        <v>1739</v>
      </c>
      <c r="AS1001" s="4" t="s">
        <v>1740</v>
      </c>
      <c r="AT1001" s="4" t="s">
        <v>1741</v>
      </c>
      <c r="AU1001" s="4" t="s">
        <v>1742</v>
      </c>
      <c r="AV1001" s="4" t="s">
        <v>1720</v>
      </c>
      <c r="AW1001" s="4" t="s">
        <v>1947</v>
      </c>
      <c r="AX1001" s="4" t="s">
        <v>2948</v>
      </c>
      <c r="AY1001" s="4">
        <v>55.576799999999999</v>
      </c>
      <c r="AZ1001" s="4">
        <v>-128.70480000000001</v>
      </c>
      <c r="BA1001" s="4">
        <v>496</v>
      </c>
    </row>
    <row r="1002" spans="1:53" ht="14.25" customHeight="1" x14ac:dyDescent="0.2">
      <c r="A1002" s="136" t="s">
        <v>88</v>
      </c>
      <c r="B1002" s="4">
        <v>12</v>
      </c>
      <c r="C1002" s="4" t="s">
        <v>1711</v>
      </c>
      <c r="D1002" s="4">
        <v>437</v>
      </c>
      <c r="E1002" s="4">
        <v>1974</v>
      </c>
      <c r="F1002" s="188" t="s">
        <v>2970</v>
      </c>
      <c r="G1002" s="201" t="s">
        <v>2971</v>
      </c>
      <c r="H1002" s="4" t="s">
        <v>2972</v>
      </c>
      <c r="I1002" s="4" t="s">
        <v>641</v>
      </c>
      <c r="J1002" s="4" t="s">
        <v>1736</v>
      </c>
      <c r="K1002" s="4">
        <v>1</v>
      </c>
      <c r="L1002" s="4">
        <v>2377</v>
      </c>
      <c r="M1002" s="6">
        <v>55.295760000000001</v>
      </c>
      <c r="N1002" s="9">
        <v>-120.48605999999999</v>
      </c>
      <c r="O1002" s="9" t="s">
        <v>153</v>
      </c>
      <c r="P1002" s="9">
        <v>437</v>
      </c>
      <c r="Q1002" s="20">
        <v>8</v>
      </c>
      <c r="R1002" s="9" t="s">
        <v>2970</v>
      </c>
      <c r="S1002" s="9" t="s">
        <v>1737</v>
      </c>
      <c r="T1002" s="9">
        <v>988</v>
      </c>
      <c r="U1002" s="9" t="s">
        <v>645</v>
      </c>
      <c r="V1002" s="9" t="s">
        <v>1830</v>
      </c>
      <c r="W1002" s="21">
        <v>33970</v>
      </c>
      <c r="X1002" s="9" t="s">
        <v>1738</v>
      </c>
      <c r="AK1002" s="260"/>
      <c r="AO1002" s="4" t="s">
        <v>2970</v>
      </c>
      <c r="AP1002" s="4">
        <v>437</v>
      </c>
      <c r="AQ1002" s="4" t="s">
        <v>1700</v>
      </c>
      <c r="AR1002" s="4" t="s">
        <v>1739</v>
      </c>
      <c r="AS1002" s="4" t="s">
        <v>1740</v>
      </c>
      <c r="AT1002" s="4" t="s">
        <v>1835</v>
      </c>
      <c r="AU1002" s="4" t="s">
        <v>1959</v>
      </c>
      <c r="AV1002" s="4" t="s">
        <v>1720</v>
      </c>
      <c r="AW1002" s="4" t="s">
        <v>2003</v>
      </c>
      <c r="AX1002" s="4" t="s">
        <v>2024</v>
      </c>
      <c r="AY1002" s="4">
        <v>55.2956</v>
      </c>
      <c r="AZ1002" s="4">
        <v>-120.485</v>
      </c>
      <c r="BA1002" s="4">
        <v>977</v>
      </c>
    </row>
    <row r="1003" spans="1:53" ht="14.25" customHeight="1" x14ac:dyDescent="0.2">
      <c r="A1003" s="136" t="s">
        <v>88</v>
      </c>
      <c r="B1003" s="4">
        <v>12</v>
      </c>
      <c r="C1003" s="4" t="s">
        <v>1711</v>
      </c>
      <c r="D1003" s="4">
        <v>438</v>
      </c>
      <c r="E1003" s="4">
        <v>1975</v>
      </c>
      <c r="F1003" s="188" t="s">
        <v>2973</v>
      </c>
      <c r="G1003" s="201" t="s">
        <v>2974</v>
      </c>
      <c r="H1003" s="4" t="s">
        <v>2975</v>
      </c>
      <c r="I1003" s="4" t="s">
        <v>641</v>
      </c>
      <c r="J1003" s="4" t="s">
        <v>1736</v>
      </c>
      <c r="K1003" s="4">
        <v>1</v>
      </c>
      <c r="L1003" s="4">
        <v>2378</v>
      </c>
      <c r="M1003" s="6">
        <v>59.333689999999997</v>
      </c>
      <c r="N1003" s="9">
        <v>-125.51139000000001</v>
      </c>
      <c r="O1003" s="9" t="s">
        <v>1577</v>
      </c>
      <c r="P1003" s="224">
        <v>438</v>
      </c>
      <c r="Q1003" s="20">
        <v>1</v>
      </c>
      <c r="R1003" s="9" t="s">
        <v>2973</v>
      </c>
      <c r="S1003" s="9" t="s">
        <v>1737</v>
      </c>
      <c r="T1003" s="9">
        <v>437</v>
      </c>
      <c r="U1003" s="9"/>
      <c r="V1003" s="9"/>
      <c r="W1003" s="21">
        <v>26665</v>
      </c>
      <c r="X1003" s="9" t="s">
        <v>1738</v>
      </c>
      <c r="AK1003" s="260"/>
      <c r="AO1003" s="4" t="s">
        <v>2973</v>
      </c>
      <c r="AP1003" s="4">
        <v>438</v>
      </c>
      <c r="AQ1003" s="4" t="s">
        <v>1716</v>
      </c>
      <c r="AR1003" s="4" t="s">
        <v>1739</v>
      </c>
      <c r="AS1003" s="4" t="s">
        <v>1740</v>
      </c>
      <c r="AT1003" s="4" t="s">
        <v>1741</v>
      </c>
      <c r="AU1003" s="4" t="s">
        <v>1742</v>
      </c>
      <c r="AV1003" s="4" t="s">
        <v>1720</v>
      </c>
      <c r="AW1003" s="4" t="s">
        <v>2003</v>
      </c>
      <c r="AX1003" s="4" t="s">
        <v>2009</v>
      </c>
      <c r="AY1003" s="4">
        <v>59.333599999999997</v>
      </c>
      <c r="AZ1003" s="4">
        <v>-125.51139999999999</v>
      </c>
      <c r="BA1003" s="4">
        <v>437</v>
      </c>
    </row>
    <row r="1004" spans="1:53" ht="14.25" customHeight="1" x14ac:dyDescent="0.2">
      <c r="A1004" s="136" t="s">
        <v>88</v>
      </c>
      <c r="B1004" s="4">
        <v>12</v>
      </c>
      <c r="C1004" s="4" t="s">
        <v>1711</v>
      </c>
      <c r="D1004" s="4">
        <v>445</v>
      </c>
      <c r="E1004" s="4">
        <v>1981</v>
      </c>
      <c r="F1004" s="188" t="s">
        <v>2991</v>
      </c>
      <c r="G1004" s="201" t="s">
        <v>2992</v>
      </c>
      <c r="H1004" s="4" t="s">
        <v>2993</v>
      </c>
      <c r="I1004" s="4" t="s">
        <v>641</v>
      </c>
      <c r="J1004" s="4" t="s">
        <v>1865</v>
      </c>
      <c r="K1004" s="4">
        <v>1</v>
      </c>
      <c r="L1004" s="4">
        <v>2384</v>
      </c>
      <c r="M1004" s="6">
        <v>59.36833</v>
      </c>
      <c r="N1004" s="9">
        <v>-129.11000000000001</v>
      </c>
      <c r="O1004" s="9" t="s">
        <v>1577</v>
      </c>
      <c r="P1004" s="9">
        <v>445</v>
      </c>
      <c r="Q1004" s="20">
        <v>1</v>
      </c>
      <c r="R1004" s="9" t="s">
        <v>2991</v>
      </c>
      <c r="S1004" s="9" t="s">
        <v>1737</v>
      </c>
      <c r="T1004" s="9">
        <v>730</v>
      </c>
      <c r="U1004" s="9"/>
      <c r="V1004" s="9"/>
      <c r="W1004" s="21">
        <v>31048</v>
      </c>
      <c r="X1004" s="9" t="s">
        <v>1738</v>
      </c>
      <c r="AK1004" s="260"/>
      <c r="AO1004" s="4" t="s">
        <v>2991</v>
      </c>
      <c r="AP1004" s="4">
        <v>445</v>
      </c>
      <c r="AQ1004" s="4" t="s">
        <v>1716</v>
      </c>
      <c r="AR1004" s="4" t="s">
        <v>1739</v>
      </c>
      <c r="AS1004" s="4" t="s">
        <v>1740</v>
      </c>
      <c r="AT1004" s="4" t="s">
        <v>1741</v>
      </c>
      <c r="AU1004" s="4" t="s">
        <v>1742</v>
      </c>
      <c r="AV1004" s="4" t="s">
        <v>1720</v>
      </c>
      <c r="AW1004" s="4" t="s">
        <v>1947</v>
      </c>
      <c r="AX1004" s="4" t="s">
        <v>1986</v>
      </c>
      <c r="AY1004" s="4">
        <v>59.3673</v>
      </c>
      <c r="AZ1004" s="4">
        <v>-129.11099999999999</v>
      </c>
      <c r="BA1004" s="4">
        <v>742</v>
      </c>
    </row>
    <row r="1005" spans="1:53" ht="14.25" customHeight="1" x14ac:dyDescent="0.2">
      <c r="A1005" s="136" t="s">
        <v>88</v>
      </c>
      <c r="B1005" s="4">
        <v>12</v>
      </c>
      <c r="C1005" s="4" t="s">
        <v>1711</v>
      </c>
      <c r="D1005" s="4">
        <v>599</v>
      </c>
      <c r="E1005" s="4">
        <v>2055</v>
      </c>
      <c r="F1005" s="188" t="s">
        <v>3242</v>
      </c>
      <c r="G1005" s="201" t="s">
        <v>3243</v>
      </c>
      <c r="H1005" s="4" t="s">
        <v>3244</v>
      </c>
      <c r="I1005" s="4" t="s">
        <v>641</v>
      </c>
      <c r="J1005" s="4" t="s">
        <v>1736</v>
      </c>
      <c r="K1005" s="4">
        <v>1</v>
      </c>
      <c r="L1005" s="4">
        <v>2458</v>
      </c>
      <c r="M1005" s="6">
        <v>58.841470000000001</v>
      </c>
      <c r="N1005" s="4">
        <v>-122.57375</v>
      </c>
      <c r="O1005" s="4" t="s">
        <v>2008</v>
      </c>
      <c r="P1005" s="4">
        <v>599</v>
      </c>
      <c r="Q1005" s="4">
        <v>1</v>
      </c>
      <c r="R1005" s="4" t="s">
        <v>3242</v>
      </c>
      <c r="S1005" s="4" t="s">
        <v>1737</v>
      </c>
      <c r="T1005" s="4">
        <v>382</v>
      </c>
      <c r="U1005"/>
      <c r="W1005" s="4">
        <v>36161</v>
      </c>
      <c r="X1005" s="4" t="s">
        <v>1738</v>
      </c>
      <c r="AK1005" s="260"/>
      <c r="AO1005" s="4" t="s">
        <v>3242</v>
      </c>
      <c r="AP1005" s="4">
        <v>599</v>
      </c>
      <c r="AQ1005" s="4" t="s">
        <v>1700</v>
      </c>
      <c r="AR1005" s="4" t="s">
        <v>1739</v>
      </c>
      <c r="AS1005" s="4" t="s">
        <v>1740</v>
      </c>
      <c r="AT1005" s="4" t="s">
        <v>1741</v>
      </c>
      <c r="AU1005" s="4" t="s">
        <v>1959</v>
      </c>
      <c r="AV1005" s="4" t="s">
        <v>1720</v>
      </c>
      <c r="AW1005" s="4" t="s">
        <v>2003</v>
      </c>
      <c r="AX1005" s="4" t="s">
        <v>2009</v>
      </c>
      <c r="AY1005" s="4">
        <v>58.841799999999999</v>
      </c>
      <c r="AZ1005" s="4">
        <v>-122.5736</v>
      </c>
      <c r="BA1005" s="4">
        <v>375</v>
      </c>
    </row>
    <row r="1006" spans="1:53" ht="14.25" customHeight="1" x14ac:dyDescent="0.2">
      <c r="A1006" s="136" t="s">
        <v>88</v>
      </c>
      <c r="B1006" s="4">
        <v>12</v>
      </c>
      <c r="C1006" s="4" t="s">
        <v>1711</v>
      </c>
      <c r="D1006" s="4">
        <v>654</v>
      </c>
      <c r="E1006" s="4">
        <v>2107</v>
      </c>
      <c r="F1006" s="188" t="s">
        <v>2276</v>
      </c>
      <c r="G1006" s="201" t="s">
        <v>3393</v>
      </c>
      <c r="H1006" s="4" t="s">
        <v>3394</v>
      </c>
      <c r="I1006" s="4" t="s">
        <v>641</v>
      </c>
      <c r="J1006" s="4" t="s">
        <v>1736</v>
      </c>
      <c r="K1006" s="4">
        <v>1</v>
      </c>
      <c r="L1006" s="4">
        <v>2510</v>
      </c>
      <c r="M1006" s="6"/>
      <c r="N1006" s="9"/>
      <c r="U1006"/>
      <c r="AK1006" s="260"/>
      <c r="AO1006" s="4" t="s">
        <v>2276</v>
      </c>
      <c r="AP1006" s="4">
        <v>654</v>
      </c>
      <c r="AQ1006" s="4" t="s">
        <v>1700</v>
      </c>
      <c r="AR1006" s="4" t="s">
        <v>1739</v>
      </c>
      <c r="AS1006" s="4" t="s">
        <v>1740</v>
      </c>
      <c r="AT1006" s="4" t="s">
        <v>1741</v>
      </c>
      <c r="AU1006" s="4" t="s">
        <v>1959</v>
      </c>
      <c r="AV1006" s="4" t="s">
        <v>1720</v>
      </c>
      <c r="AW1006" s="4" t="s">
        <v>2003</v>
      </c>
      <c r="AX1006" s="4" t="s">
        <v>2139</v>
      </c>
      <c r="AY1006" s="4">
        <v>53.936199999999999</v>
      </c>
      <c r="AZ1006" s="4">
        <v>-124.7765</v>
      </c>
      <c r="BA1006" s="4">
        <v>961</v>
      </c>
    </row>
    <row r="1007" spans="1:53" ht="14.25" customHeight="1" x14ac:dyDescent="0.2">
      <c r="A1007" s="136" t="s">
        <v>88</v>
      </c>
      <c r="B1007" s="4">
        <v>12</v>
      </c>
      <c r="C1007" s="4" t="s">
        <v>1711</v>
      </c>
      <c r="D1007" s="4">
        <v>788</v>
      </c>
      <c r="E1007" s="4">
        <v>2235</v>
      </c>
      <c r="F1007" s="188" t="s">
        <v>3760</v>
      </c>
      <c r="G1007" s="204" t="s">
        <v>3761</v>
      </c>
      <c r="H1007" s="4" t="s">
        <v>3762</v>
      </c>
      <c r="I1007" s="4" t="s">
        <v>641</v>
      </c>
      <c r="J1007" s="4" t="s">
        <v>1891</v>
      </c>
      <c r="K1007" s="4">
        <v>1</v>
      </c>
      <c r="L1007" s="4">
        <v>2638</v>
      </c>
      <c r="M1007" s="6">
        <v>50.0867</v>
      </c>
      <c r="N1007" s="9">
        <v>-114.8997</v>
      </c>
      <c r="O1007" s="9" t="s">
        <v>170</v>
      </c>
      <c r="P1007" s="9">
        <v>788</v>
      </c>
      <c r="Q1007" s="20">
        <v>5</v>
      </c>
      <c r="R1007" s="9" t="s">
        <v>3760</v>
      </c>
      <c r="S1007" s="9" t="s">
        <v>1737</v>
      </c>
      <c r="T1007" s="9">
        <v>1647</v>
      </c>
      <c r="U1007" s="9"/>
      <c r="V1007" s="9"/>
      <c r="W1007" s="21">
        <v>36892</v>
      </c>
      <c r="X1007" s="9" t="s">
        <v>1738</v>
      </c>
      <c r="AK1007" s="7"/>
      <c r="AO1007" s="196" t="s">
        <v>3760</v>
      </c>
      <c r="AP1007" s="4">
        <v>788</v>
      </c>
      <c r="AQ1007" s="4" t="s">
        <v>1700</v>
      </c>
      <c r="AR1007" s="4" t="s">
        <v>1739</v>
      </c>
      <c r="AS1007" s="4" t="s">
        <v>1740</v>
      </c>
      <c r="AT1007" s="4" t="s">
        <v>1741</v>
      </c>
      <c r="AU1007" s="4" t="s">
        <v>1959</v>
      </c>
      <c r="AV1007" s="4" t="s">
        <v>1720</v>
      </c>
      <c r="AW1007" s="4" t="s">
        <v>2698</v>
      </c>
      <c r="AX1007" s="4" t="s">
        <v>2902</v>
      </c>
      <c r="AY1007" s="4">
        <v>50.082000000000001</v>
      </c>
      <c r="AZ1007" s="4">
        <v>-114.9004</v>
      </c>
      <c r="BA1007" s="4">
        <v>1647</v>
      </c>
    </row>
    <row r="1008" spans="1:53" ht="14.25" customHeight="1" x14ac:dyDescent="0.2">
      <c r="A1008" s="136" t="s">
        <v>88</v>
      </c>
      <c r="B1008" s="4">
        <v>12</v>
      </c>
      <c r="C1008" s="4" t="s">
        <v>1711</v>
      </c>
      <c r="D1008" s="4">
        <v>790</v>
      </c>
      <c r="E1008" s="4">
        <v>2237</v>
      </c>
      <c r="F1008" s="188" t="s">
        <v>3768</v>
      </c>
      <c r="G1008" s="201" t="s">
        <v>3769</v>
      </c>
      <c r="H1008" s="4" t="s">
        <v>3770</v>
      </c>
      <c r="I1008" s="4" t="s">
        <v>641</v>
      </c>
      <c r="J1008" s="4" t="s">
        <v>1865</v>
      </c>
      <c r="K1008" s="4">
        <v>1</v>
      </c>
      <c r="L1008" s="4">
        <v>2640</v>
      </c>
      <c r="M1008" s="6">
        <v>50.185000000000002</v>
      </c>
      <c r="N1008" s="9">
        <v>-115.26600000000001</v>
      </c>
      <c r="O1008" s="9" t="s">
        <v>170</v>
      </c>
      <c r="P1008" s="9">
        <v>790</v>
      </c>
      <c r="Q1008" s="20">
        <v>4</v>
      </c>
      <c r="R1008" s="9" t="s">
        <v>3768</v>
      </c>
      <c r="S1008" s="9" t="s">
        <v>1737</v>
      </c>
      <c r="T1008" s="9">
        <v>1357</v>
      </c>
      <c r="U1008" s="9"/>
      <c r="V1008" s="9"/>
      <c r="W1008" s="21">
        <v>32509</v>
      </c>
      <c r="AK1008" s="7"/>
      <c r="AO1008" s="4" t="s">
        <v>3768</v>
      </c>
      <c r="AP1008" s="4">
        <v>790</v>
      </c>
      <c r="AQ1008" s="4" t="s">
        <v>1716</v>
      </c>
      <c r="AR1008" s="4" t="s">
        <v>1739</v>
      </c>
      <c r="AS1008" s="4" t="s">
        <v>1740</v>
      </c>
      <c r="AT1008" s="4" t="s">
        <v>1741</v>
      </c>
      <c r="AU1008" s="4" t="s">
        <v>1742</v>
      </c>
      <c r="AV1008" s="4" t="s">
        <v>1720</v>
      </c>
      <c r="AW1008" s="4" t="s">
        <v>2698</v>
      </c>
      <c r="AX1008" s="4" t="s">
        <v>2768</v>
      </c>
      <c r="AY1008" s="4">
        <v>50.185000000000002</v>
      </c>
      <c r="AZ1008" s="4">
        <v>-115.2676</v>
      </c>
      <c r="BA1008" s="4">
        <v>1357</v>
      </c>
    </row>
    <row r="1009" spans="1:53" ht="14.25" customHeight="1" x14ac:dyDescent="0.2">
      <c r="A1009" s="136" t="s">
        <v>88</v>
      </c>
      <c r="B1009" s="4">
        <v>12</v>
      </c>
      <c r="C1009" s="4" t="s">
        <v>1711</v>
      </c>
      <c r="D1009" s="4">
        <v>793</v>
      </c>
      <c r="E1009" s="4">
        <v>2240</v>
      </c>
      <c r="F1009" s="188" t="s">
        <v>3777</v>
      </c>
      <c r="G1009" s="201" t="s">
        <v>3778</v>
      </c>
      <c r="H1009" s="4" t="s">
        <v>3779</v>
      </c>
      <c r="I1009" s="4" t="s">
        <v>641</v>
      </c>
      <c r="J1009" s="4" t="s">
        <v>1829</v>
      </c>
      <c r="K1009" s="4">
        <v>1</v>
      </c>
      <c r="L1009" s="4">
        <v>2643</v>
      </c>
      <c r="M1009" s="6">
        <v>51.176699999999997</v>
      </c>
      <c r="N1009" s="9">
        <v>-117.2303</v>
      </c>
      <c r="O1009" s="4" t="s">
        <v>170</v>
      </c>
      <c r="P1009" s="4">
        <v>793</v>
      </c>
      <c r="Q1009" s="4">
        <v>4</v>
      </c>
      <c r="R1009" s="9" t="s">
        <v>3780</v>
      </c>
      <c r="S1009" s="4" t="s">
        <v>1737</v>
      </c>
      <c r="T1009" s="9">
        <v>1518</v>
      </c>
      <c r="U1009"/>
      <c r="W1009" s="9">
        <v>36892</v>
      </c>
      <c r="X1009" s="4" t="s">
        <v>1738</v>
      </c>
      <c r="AK1009" s="7"/>
      <c r="AO1009" s="4" t="s">
        <v>3781</v>
      </c>
      <c r="AP1009" s="4">
        <v>793</v>
      </c>
      <c r="AQ1009" s="4" t="s">
        <v>1716</v>
      </c>
      <c r="AR1009" s="4" t="s">
        <v>1717</v>
      </c>
      <c r="AS1009" s="4" t="s">
        <v>1718</v>
      </c>
      <c r="AT1009" s="4" t="s">
        <v>1835</v>
      </c>
      <c r="AU1009" s="4" t="s">
        <v>1836</v>
      </c>
      <c r="AV1009" s="4" t="s">
        <v>1720</v>
      </c>
      <c r="AW1009" s="4" t="s">
        <v>2698</v>
      </c>
      <c r="AX1009" s="4" t="s">
        <v>2768</v>
      </c>
      <c r="AY1009" s="4">
        <v>51.176400000000001</v>
      </c>
      <c r="AZ1009" s="4">
        <v>-117.2317</v>
      </c>
      <c r="BA1009" s="4">
        <v>1518</v>
      </c>
    </row>
    <row r="1010" spans="1:53" ht="14.25" customHeight="1" x14ac:dyDescent="0.2">
      <c r="A1010" s="136" t="s">
        <v>88</v>
      </c>
      <c r="B1010" s="4">
        <v>12</v>
      </c>
      <c r="C1010" s="4" t="s">
        <v>1711</v>
      </c>
      <c r="D1010" s="4">
        <v>882</v>
      </c>
      <c r="E1010" s="4">
        <v>2294</v>
      </c>
      <c r="F1010" s="188" t="s">
        <v>3945</v>
      </c>
      <c r="G1010" s="201" t="s">
        <v>3946</v>
      </c>
      <c r="H1010" s="4" t="s">
        <v>3947</v>
      </c>
      <c r="I1010" s="4" t="s">
        <v>641</v>
      </c>
      <c r="J1010" s="4" t="s">
        <v>1891</v>
      </c>
      <c r="K1010" s="4">
        <v>1</v>
      </c>
      <c r="L1010" s="4">
        <v>2697</v>
      </c>
      <c r="M1010" s="6">
        <v>50.86347</v>
      </c>
      <c r="N1010" s="4">
        <v>-119.00285</v>
      </c>
      <c r="O1010" s="4" t="s">
        <v>170</v>
      </c>
      <c r="P1010" s="4">
        <v>882</v>
      </c>
      <c r="Q1010" s="4">
        <v>2</v>
      </c>
      <c r="R1010" s="4" t="s">
        <v>3945</v>
      </c>
      <c r="S1010" s="4" t="s">
        <v>1737</v>
      </c>
      <c r="T1010" s="4">
        <v>1115</v>
      </c>
      <c r="U1010" s="4" t="s">
        <v>645</v>
      </c>
      <c r="W1010" s="4">
        <v>38253</v>
      </c>
      <c r="X1010" s="4" t="s">
        <v>1738</v>
      </c>
      <c r="AK1010" s="7"/>
      <c r="AO1010" s="4" t="s">
        <v>3945</v>
      </c>
      <c r="AP1010" s="4">
        <v>882</v>
      </c>
      <c r="AQ1010" s="4" t="s">
        <v>1700</v>
      </c>
      <c r="AR1010" s="4" t="s">
        <v>1739</v>
      </c>
      <c r="AS1010" s="4" t="s">
        <v>1740</v>
      </c>
      <c r="AT1010" s="4" t="s">
        <v>1741</v>
      </c>
      <c r="AU1010" s="4" t="s">
        <v>1959</v>
      </c>
      <c r="AV1010" s="4" t="s">
        <v>1720</v>
      </c>
      <c r="AW1010" s="4" t="s">
        <v>2368</v>
      </c>
      <c r="AX1010" s="4" t="s">
        <v>2522</v>
      </c>
      <c r="AY1010" s="4">
        <v>50.863500000000002</v>
      </c>
      <c r="AZ1010" s="4">
        <v>-119.00279999999999</v>
      </c>
      <c r="BA1010" s="4">
        <v>1115</v>
      </c>
    </row>
    <row r="1011" spans="1:53" ht="14.25" customHeight="1" x14ac:dyDescent="0.2">
      <c r="A1011" s="136" t="s">
        <v>88</v>
      </c>
      <c r="B1011" s="4">
        <v>12</v>
      </c>
      <c r="C1011" s="4" t="s">
        <v>1711</v>
      </c>
      <c r="D1011" s="4">
        <v>886</v>
      </c>
      <c r="E1011" s="4">
        <v>2295</v>
      </c>
      <c r="F1011" s="188" t="s">
        <v>3948</v>
      </c>
      <c r="G1011" s="201" t="s">
        <v>3949</v>
      </c>
      <c r="H1011" s="4" t="s">
        <v>3950</v>
      </c>
      <c r="I1011" s="4" t="s">
        <v>641</v>
      </c>
      <c r="J1011" s="4" t="s">
        <v>1891</v>
      </c>
      <c r="K1011" s="4">
        <v>1</v>
      </c>
      <c r="L1011" s="4">
        <v>2698</v>
      </c>
      <c r="M1011" s="62">
        <v>49.667299999999997</v>
      </c>
      <c r="N1011" s="236">
        <v>-115.2144</v>
      </c>
      <c r="O1011" s="4" t="s">
        <v>170</v>
      </c>
      <c r="P1011" s="236">
        <v>886</v>
      </c>
      <c r="Q1011" s="4">
        <v>2</v>
      </c>
      <c r="R1011" s="236" t="s">
        <v>3948</v>
      </c>
      <c r="S1011" s="4" t="s">
        <v>1737</v>
      </c>
      <c r="T1011" s="251">
        <v>1051</v>
      </c>
      <c r="U1011"/>
      <c r="W1011" s="236">
        <v>38288</v>
      </c>
      <c r="X1011" s="4" t="s">
        <v>1738</v>
      </c>
      <c r="AK1011" s="7"/>
      <c r="AO1011" s="4" t="s">
        <v>3948</v>
      </c>
      <c r="AP1011" s="4">
        <v>886</v>
      </c>
      <c r="AQ1011" s="4" t="s">
        <v>1716</v>
      </c>
      <c r="AR1011" s="4" t="s">
        <v>1739</v>
      </c>
      <c r="AS1011" s="4" t="s">
        <v>1740</v>
      </c>
      <c r="AT1011" s="4" t="s">
        <v>1741</v>
      </c>
      <c r="AU1011" s="4" t="s">
        <v>1742</v>
      </c>
      <c r="AV1011" s="4" t="s">
        <v>1720</v>
      </c>
      <c r="AW1011" s="4" t="s">
        <v>2698</v>
      </c>
      <c r="AX1011" s="4" t="s">
        <v>2902</v>
      </c>
      <c r="AY1011" s="4">
        <v>49.667299999999997</v>
      </c>
      <c r="AZ1011" s="4">
        <v>-115.2144</v>
      </c>
      <c r="BA1011" s="4">
        <v>1063</v>
      </c>
    </row>
    <row r="1012" spans="1:53" ht="14.25" customHeight="1" x14ac:dyDescent="0.2">
      <c r="A1012" s="136" t="s">
        <v>88</v>
      </c>
      <c r="B1012" s="4">
        <v>12</v>
      </c>
      <c r="C1012" s="4" t="s">
        <v>1711</v>
      </c>
      <c r="D1012" s="4">
        <v>910</v>
      </c>
      <c r="E1012" s="4">
        <v>2301</v>
      </c>
      <c r="F1012" s="188" t="s">
        <v>3969</v>
      </c>
      <c r="G1012" s="201" t="s">
        <v>3970</v>
      </c>
      <c r="H1012" s="4" t="s">
        <v>3971</v>
      </c>
      <c r="I1012" s="4" t="s">
        <v>641</v>
      </c>
      <c r="J1012" s="4" t="s">
        <v>1746</v>
      </c>
      <c r="K1012" s="4">
        <v>1</v>
      </c>
      <c r="L1012" s="4">
        <v>2704</v>
      </c>
      <c r="M1012" s="6"/>
      <c r="U1012"/>
      <c r="AK1012" s="7"/>
      <c r="AO1012" s="4" t="s">
        <v>3972</v>
      </c>
      <c r="AP1012" s="4">
        <v>910</v>
      </c>
      <c r="AQ1012" s="4" t="s">
        <v>1716</v>
      </c>
      <c r="AR1012" s="4" t="s">
        <v>1717</v>
      </c>
      <c r="AS1012" s="4" t="s">
        <v>1718</v>
      </c>
      <c r="AT1012" s="4" t="s">
        <v>1719</v>
      </c>
      <c r="AU1012" s="4" t="s">
        <v>1959</v>
      </c>
      <c r="AV1012" s="4" t="s">
        <v>1720</v>
      </c>
      <c r="AW1012" s="4" t="s">
        <v>2368</v>
      </c>
      <c r="AX1012" s="4" t="s">
        <v>2505</v>
      </c>
      <c r="AY1012" s="4">
        <v>50.827300000000001</v>
      </c>
      <c r="AZ1012" s="4">
        <v>-122.3369</v>
      </c>
      <c r="BA1012" s="4">
        <v>2017</v>
      </c>
    </row>
    <row r="1013" spans="1:53" ht="14.25" customHeight="1" x14ac:dyDescent="0.2">
      <c r="A1013" s="136" t="s">
        <v>88</v>
      </c>
      <c r="B1013" s="4">
        <v>12</v>
      </c>
      <c r="C1013" s="4" t="s">
        <v>1711</v>
      </c>
      <c r="D1013" s="4">
        <v>944</v>
      </c>
      <c r="E1013" s="4">
        <v>2321</v>
      </c>
      <c r="F1013" s="188" t="s">
        <v>4042</v>
      </c>
      <c r="G1013" s="201" t="s">
        <v>4043</v>
      </c>
      <c r="H1013" s="4" t="s">
        <v>4044</v>
      </c>
      <c r="I1013" s="4" t="s">
        <v>641</v>
      </c>
      <c r="J1013" s="4" t="s">
        <v>1829</v>
      </c>
      <c r="K1013" s="4">
        <v>1</v>
      </c>
      <c r="L1013" s="4">
        <v>2724</v>
      </c>
      <c r="M1013" s="6">
        <v>48.571109999999997</v>
      </c>
      <c r="N1013" s="9">
        <v>-124.20056</v>
      </c>
      <c r="O1013" s="9" t="s">
        <v>51</v>
      </c>
      <c r="P1013" s="9">
        <v>944</v>
      </c>
      <c r="Q1013" s="20">
        <v>2</v>
      </c>
      <c r="R1013" s="9" t="s">
        <v>4042</v>
      </c>
      <c r="S1013" s="9" t="s">
        <v>4045</v>
      </c>
      <c r="T1013" s="9">
        <v>296</v>
      </c>
      <c r="U1013" s="9"/>
      <c r="V1013" s="9"/>
      <c r="W1013" s="66">
        <v>38923</v>
      </c>
      <c r="X1013" s="9" t="s">
        <v>1738</v>
      </c>
      <c r="AK1013" s="7"/>
      <c r="AO1013" s="4" t="s">
        <v>4042</v>
      </c>
      <c r="AP1013" s="4">
        <v>944</v>
      </c>
      <c r="AQ1013" s="4" t="s">
        <v>1716</v>
      </c>
      <c r="AR1013" s="4" t="s">
        <v>1739</v>
      </c>
      <c r="AS1013" s="4" t="s">
        <v>1740</v>
      </c>
      <c r="AT1013" s="4" t="s">
        <v>1741</v>
      </c>
      <c r="AU1013" s="4" t="s">
        <v>1742</v>
      </c>
      <c r="AV1013" s="4" t="s">
        <v>1720</v>
      </c>
      <c r="AW1013" s="4" t="s">
        <v>1705</v>
      </c>
      <c r="AX1013" s="4" t="s">
        <v>1747</v>
      </c>
      <c r="AY1013" s="4">
        <v>48.571300000000001</v>
      </c>
      <c r="AZ1013" s="4">
        <v>-124.2</v>
      </c>
      <c r="BA1013" s="4">
        <v>294</v>
      </c>
    </row>
    <row r="1014" spans="1:53" ht="14.25" customHeight="1" x14ac:dyDescent="0.2">
      <c r="A1014" s="136" t="s">
        <v>88</v>
      </c>
      <c r="B1014" s="4">
        <v>12</v>
      </c>
      <c r="C1014" s="4" t="s">
        <v>1711</v>
      </c>
      <c r="D1014" s="4">
        <v>945</v>
      </c>
      <c r="E1014" s="4">
        <v>2322</v>
      </c>
      <c r="F1014" s="188" t="s">
        <v>4046</v>
      </c>
      <c r="G1014" s="201" t="s">
        <v>4047</v>
      </c>
      <c r="H1014" s="4" t="s">
        <v>4048</v>
      </c>
      <c r="I1014" s="4" t="s">
        <v>641</v>
      </c>
      <c r="J1014" s="4" t="s">
        <v>1829</v>
      </c>
      <c r="K1014" s="4">
        <v>1</v>
      </c>
      <c r="L1014" s="4">
        <v>2725</v>
      </c>
      <c r="M1014" s="62">
        <v>50.370130000000003</v>
      </c>
      <c r="N1014" s="34">
        <v>-126.43393</v>
      </c>
      <c r="O1014" s="9" t="s">
        <v>51</v>
      </c>
      <c r="P1014" s="34">
        <v>945</v>
      </c>
      <c r="Q1014" s="20">
        <v>3</v>
      </c>
      <c r="R1014" s="34" t="s">
        <v>4046</v>
      </c>
      <c r="S1014" s="9" t="s">
        <v>4045</v>
      </c>
      <c r="T1014" s="35">
        <v>515</v>
      </c>
      <c r="U1014" s="9"/>
      <c r="V1014" s="9"/>
      <c r="W1014" s="21">
        <v>38938</v>
      </c>
      <c r="X1014" s="9" t="s">
        <v>1738</v>
      </c>
      <c r="AK1014" s="7"/>
      <c r="AO1014" s="4" t="s">
        <v>4046</v>
      </c>
      <c r="AP1014" s="4">
        <v>945</v>
      </c>
      <c r="AQ1014" s="4" t="s">
        <v>1716</v>
      </c>
      <c r="AR1014" s="4" t="s">
        <v>1739</v>
      </c>
      <c r="AS1014" s="4" t="s">
        <v>1740</v>
      </c>
      <c r="AT1014" s="4" t="s">
        <v>1741</v>
      </c>
      <c r="AU1014" s="4" t="s">
        <v>1742</v>
      </c>
      <c r="AV1014" s="4" t="s">
        <v>1720</v>
      </c>
      <c r="AW1014" s="4" t="s">
        <v>1705</v>
      </c>
      <c r="AX1014" s="4" t="s">
        <v>1723</v>
      </c>
      <c r="AY1014" s="4">
        <v>50.370100000000001</v>
      </c>
      <c r="AZ1014" s="4">
        <v>-126.43389999999999</v>
      </c>
      <c r="BA1014" s="4">
        <v>515</v>
      </c>
    </row>
    <row r="1015" spans="1:53" ht="14.25" customHeight="1" x14ac:dyDescent="0.2">
      <c r="A1015" s="136" t="s">
        <v>88</v>
      </c>
      <c r="B1015" s="4">
        <v>12</v>
      </c>
      <c r="C1015" s="4" t="s">
        <v>1711</v>
      </c>
      <c r="D1015" s="4">
        <v>977</v>
      </c>
      <c r="E1015" s="4">
        <v>2330</v>
      </c>
      <c r="F1015" s="188" t="s">
        <v>4009</v>
      </c>
      <c r="G1015" s="201" t="s">
        <v>4079</v>
      </c>
      <c r="H1015" s="4" t="s">
        <v>4080</v>
      </c>
      <c r="I1015" s="4" t="s">
        <v>641</v>
      </c>
      <c r="J1015" s="4" t="s">
        <v>1829</v>
      </c>
      <c r="K1015" s="4">
        <v>1</v>
      </c>
      <c r="L1015" s="4">
        <v>2733</v>
      </c>
      <c r="M1015" s="6">
        <v>49.655099999999997</v>
      </c>
      <c r="N1015" s="9">
        <v>-121.35807</v>
      </c>
      <c r="O1015" s="9" t="s">
        <v>51</v>
      </c>
      <c r="P1015" s="224">
        <v>977</v>
      </c>
      <c r="Q1015" s="20">
        <v>4</v>
      </c>
      <c r="R1015" s="9" t="s">
        <v>4009</v>
      </c>
      <c r="S1015" s="9" t="s">
        <v>1737</v>
      </c>
      <c r="T1015" s="9">
        <v>630</v>
      </c>
      <c r="U1015" s="9"/>
      <c r="V1015" s="9"/>
      <c r="W1015" s="21">
        <v>39219</v>
      </c>
      <c r="X1015" s="9" t="s">
        <v>1738</v>
      </c>
      <c r="AK1015" s="7"/>
      <c r="AO1015" s="4" t="s">
        <v>4009</v>
      </c>
      <c r="AP1015" s="4">
        <v>977</v>
      </c>
      <c r="AQ1015" s="4" t="s">
        <v>1716</v>
      </c>
      <c r="AR1015" s="4" t="s">
        <v>1739</v>
      </c>
      <c r="AS1015" s="4" t="s">
        <v>1740</v>
      </c>
      <c r="AT1015" s="4" t="s">
        <v>1741</v>
      </c>
      <c r="AU1015" s="4" t="s">
        <v>1742</v>
      </c>
      <c r="AV1015" s="4" t="s">
        <v>1720</v>
      </c>
      <c r="AW1015" s="4" t="s">
        <v>1705</v>
      </c>
      <c r="AX1015" s="4" t="s">
        <v>1883</v>
      </c>
      <c r="AY1015" s="4">
        <v>49.655099999999997</v>
      </c>
      <c r="AZ1015" s="4">
        <v>-121.35760000000001</v>
      </c>
      <c r="BA1015" s="4">
        <v>655</v>
      </c>
    </row>
    <row r="1016" spans="1:53" ht="14.25" customHeight="1" x14ac:dyDescent="0.2">
      <c r="A1016" s="136" t="s">
        <v>88</v>
      </c>
      <c r="B1016" s="4">
        <v>12</v>
      </c>
      <c r="C1016" s="4" t="s">
        <v>1711</v>
      </c>
      <c r="D1016" s="4">
        <v>994</v>
      </c>
      <c r="E1016" s="4">
        <v>2337</v>
      </c>
      <c r="F1016" s="16" t="s">
        <v>4101</v>
      </c>
      <c r="G1016" s="201" t="s">
        <v>4102</v>
      </c>
      <c r="H1016" s="4" t="s">
        <v>4103</v>
      </c>
      <c r="I1016" s="4" t="s">
        <v>641</v>
      </c>
      <c r="J1016" s="4" t="s">
        <v>1746</v>
      </c>
      <c r="K1016" s="4">
        <v>1</v>
      </c>
      <c r="L1016" s="4">
        <v>2740</v>
      </c>
      <c r="M1016" s="62"/>
      <c r="N1016" s="231"/>
      <c r="R1016" s="231"/>
      <c r="T1016" s="240"/>
      <c r="U1016"/>
      <c r="W1016" s="231"/>
      <c r="AK1016" s="7"/>
      <c r="AO1016" s="4" t="s">
        <v>4101</v>
      </c>
      <c r="AP1016" s="4">
        <v>994</v>
      </c>
      <c r="AQ1016" s="4" t="s">
        <v>1716</v>
      </c>
      <c r="AR1016" s="4" t="s">
        <v>1717</v>
      </c>
      <c r="AS1016" s="4" t="s">
        <v>1718</v>
      </c>
      <c r="AT1016" s="4" t="s">
        <v>1835</v>
      </c>
      <c r="AU1016" s="4" t="s">
        <v>1836</v>
      </c>
      <c r="AV1016" s="4" t="s">
        <v>1720</v>
      </c>
      <c r="AW1016" s="4" t="s">
        <v>2698</v>
      </c>
      <c r="AX1016" s="4" t="s">
        <v>2797</v>
      </c>
      <c r="AY1016" s="4">
        <v>50.545400000000001</v>
      </c>
      <c r="AZ1016" s="4">
        <v>-117.854</v>
      </c>
      <c r="BA1016" s="4">
        <v>1619</v>
      </c>
    </row>
    <row r="1017" spans="1:53" ht="14.25" customHeight="1" x14ac:dyDescent="0.2">
      <c r="A1017" s="136" t="s">
        <v>88</v>
      </c>
      <c r="B1017" s="4">
        <v>12</v>
      </c>
      <c r="C1017" s="4" t="s">
        <v>1711</v>
      </c>
      <c r="D1017" s="4">
        <v>995</v>
      </c>
      <c r="E1017" s="4">
        <v>2338</v>
      </c>
      <c r="F1017" s="188" t="s">
        <v>4104</v>
      </c>
      <c r="G1017" s="201" t="s">
        <v>4105</v>
      </c>
      <c r="H1017" s="4" t="s">
        <v>4106</v>
      </c>
      <c r="I1017" s="4" t="s">
        <v>641</v>
      </c>
      <c r="J1017" s="4" t="s">
        <v>1829</v>
      </c>
      <c r="K1017" s="4">
        <v>1</v>
      </c>
      <c r="L1017" s="4">
        <v>2741</v>
      </c>
      <c r="M1017" s="62">
        <v>50.132420000000003</v>
      </c>
      <c r="N1017" s="34">
        <v>-126.92823</v>
      </c>
      <c r="O1017" s="9" t="s">
        <v>51</v>
      </c>
      <c r="P1017" s="9">
        <v>995</v>
      </c>
      <c r="Q1017" s="20">
        <v>2</v>
      </c>
      <c r="R1017" s="34" t="s">
        <v>4104</v>
      </c>
      <c r="S1017" s="9" t="s">
        <v>4045</v>
      </c>
      <c r="T1017" s="35">
        <v>130</v>
      </c>
      <c r="U1017" s="9" t="s">
        <v>645</v>
      </c>
      <c r="V1017" s="9" t="s">
        <v>1771</v>
      </c>
      <c r="W1017" s="66">
        <v>39316</v>
      </c>
      <c r="X1017" s="9" t="s">
        <v>1738</v>
      </c>
      <c r="AK1017" s="7"/>
      <c r="AO1017" s="4" t="s">
        <v>4104</v>
      </c>
      <c r="AP1017" s="4">
        <v>995</v>
      </c>
      <c r="AQ1017" s="4" t="s">
        <v>1716</v>
      </c>
      <c r="AR1017" s="4" t="s">
        <v>1739</v>
      </c>
      <c r="AS1017" s="4" t="s">
        <v>1740</v>
      </c>
      <c r="AT1017" s="4" t="s">
        <v>1741</v>
      </c>
      <c r="AU1017" s="4" t="s">
        <v>1742</v>
      </c>
      <c r="AV1017" s="4" t="s">
        <v>1720</v>
      </c>
      <c r="AW1017" s="4" t="s">
        <v>1705</v>
      </c>
      <c r="AX1017" s="4" t="s">
        <v>1723</v>
      </c>
      <c r="AY1017" s="4">
        <v>50.132399999999997</v>
      </c>
      <c r="AZ1017" s="4">
        <v>-126.9282</v>
      </c>
      <c r="BA1017" s="4">
        <v>120</v>
      </c>
    </row>
    <row r="1018" spans="1:53" ht="14.25" customHeight="1" x14ac:dyDescent="0.2">
      <c r="A1018" s="136" t="s">
        <v>88</v>
      </c>
      <c r="B1018" s="4">
        <v>12</v>
      </c>
      <c r="C1018" s="4" t="s">
        <v>1711</v>
      </c>
      <c r="D1018" s="4">
        <v>1002</v>
      </c>
      <c r="E1018" s="4">
        <v>2339</v>
      </c>
      <c r="F1018" s="188" t="s">
        <v>4107</v>
      </c>
      <c r="G1018" s="201" t="s">
        <v>4108</v>
      </c>
      <c r="H1018" s="4" t="s">
        <v>4109</v>
      </c>
      <c r="I1018" s="4" t="s">
        <v>641</v>
      </c>
      <c r="J1018" s="4" t="s">
        <v>1829</v>
      </c>
      <c r="K1018" s="4">
        <v>1</v>
      </c>
      <c r="L1018" s="4">
        <v>2742</v>
      </c>
      <c r="M1018" s="6">
        <v>49.428049999999999</v>
      </c>
      <c r="N1018" s="9">
        <v>-123.56484</v>
      </c>
      <c r="O1018" s="9" t="s">
        <v>183</v>
      </c>
      <c r="P1018" s="9">
        <v>1002</v>
      </c>
      <c r="Q1018" s="20">
        <v>6</v>
      </c>
      <c r="R1018" s="9" t="s">
        <v>4107</v>
      </c>
      <c r="S1018" s="9" t="s">
        <v>4045</v>
      </c>
      <c r="T1018" s="9">
        <v>593</v>
      </c>
      <c r="U1018" s="9" t="s">
        <v>645</v>
      </c>
      <c r="V1018" s="9"/>
      <c r="W1018" s="66">
        <v>39359</v>
      </c>
      <c r="X1018" s="9" t="s">
        <v>1738</v>
      </c>
      <c r="AK1018" s="7"/>
      <c r="AO1018" s="4" t="s">
        <v>4107</v>
      </c>
      <c r="AP1018" s="4">
        <v>1002</v>
      </c>
      <c r="AQ1018" s="4" t="s">
        <v>1716</v>
      </c>
      <c r="AR1018" s="4" t="s">
        <v>1739</v>
      </c>
      <c r="AS1018" s="4" t="s">
        <v>1740</v>
      </c>
      <c r="AT1018" s="4" t="s">
        <v>1741</v>
      </c>
      <c r="AU1018" s="4" t="s">
        <v>1742</v>
      </c>
      <c r="AV1018" s="4" t="s">
        <v>1720</v>
      </c>
      <c r="AW1018" s="4" t="s">
        <v>1705</v>
      </c>
      <c r="AX1018" s="4" t="s">
        <v>1837</v>
      </c>
      <c r="AY1018" s="4">
        <v>49.427999999999997</v>
      </c>
      <c r="AZ1018" s="4">
        <v>-123.56489999999999</v>
      </c>
      <c r="BA1018" s="4">
        <v>615</v>
      </c>
    </row>
    <row r="1019" spans="1:53" ht="14.25" customHeight="1" x14ac:dyDescent="0.2">
      <c r="A1019" s="136" t="s">
        <v>88</v>
      </c>
      <c r="B1019" s="4">
        <v>12</v>
      </c>
      <c r="C1019" s="4" t="s">
        <v>1711</v>
      </c>
      <c r="D1019" s="4">
        <v>1024</v>
      </c>
      <c r="E1019" s="4">
        <v>2349</v>
      </c>
      <c r="F1019" s="188" t="s">
        <v>4144</v>
      </c>
      <c r="G1019" s="201" t="s">
        <v>4145</v>
      </c>
      <c r="H1019" s="4" t="s">
        <v>4146</v>
      </c>
      <c r="I1019" s="4" t="s">
        <v>641</v>
      </c>
      <c r="J1019" s="4" t="s">
        <v>1891</v>
      </c>
      <c r="K1019" s="4">
        <v>1</v>
      </c>
      <c r="L1019" s="4">
        <v>2752</v>
      </c>
      <c r="M1019" s="62">
        <v>50.438690000000001</v>
      </c>
      <c r="N1019" s="236">
        <v>-121.5515</v>
      </c>
      <c r="O1019" s="4" t="s">
        <v>142</v>
      </c>
      <c r="P1019" s="4">
        <v>1024</v>
      </c>
      <c r="Q1019" s="4">
        <v>6</v>
      </c>
      <c r="R1019" s="236" t="s">
        <v>4144</v>
      </c>
      <c r="S1019" s="4" t="s">
        <v>1737</v>
      </c>
      <c r="T1019" s="251">
        <v>1557</v>
      </c>
      <c r="U1019"/>
      <c r="W1019" s="236">
        <v>39640</v>
      </c>
      <c r="X1019" s="4" t="s">
        <v>1738</v>
      </c>
      <c r="AK1019" s="7"/>
      <c r="AO1019" s="4" t="s">
        <v>4144</v>
      </c>
      <c r="AP1019" s="4">
        <v>1024</v>
      </c>
      <c r="AQ1019" s="4" t="s">
        <v>1716</v>
      </c>
      <c r="AR1019" s="4" t="s">
        <v>1739</v>
      </c>
      <c r="AS1019" s="4" t="s">
        <v>1740</v>
      </c>
      <c r="AT1019" s="4" t="s">
        <v>1741</v>
      </c>
      <c r="AU1019" s="4" t="s">
        <v>1742</v>
      </c>
      <c r="AV1019" s="4" t="s">
        <v>1720</v>
      </c>
      <c r="AW1019" s="4" t="s">
        <v>2368</v>
      </c>
      <c r="AX1019" s="4" t="s">
        <v>2505</v>
      </c>
      <c r="AY1019" s="4">
        <v>50.438699999999997</v>
      </c>
      <c r="AZ1019" s="4">
        <v>-121.5515</v>
      </c>
      <c r="BA1019" s="4">
        <v>1557</v>
      </c>
    </row>
    <row r="1020" spans="1:53" ht="14.25" customHeight="1" x14ac:dyDescent="0.2">
      <c r="A1020" s="136" t="s">
        <v>88</v>
      </c>
      <c r="B1020" s="4">
        <v>12</v>
      </c>
      <c r="C1020" s="4" t="s">
        <v>1711</v>
      </c>
      <c r="D1020" s="4">
        <v>1025</v>
      </c>
      <c r="E1020" s="4">
        <v>2350</v>
      </c>
      <c r="F1020" s="4" t="s">
        <v>4147</v>
      </c>
      <c r="G1020" s="8" t="s">
        <v>4148</v>
      </c>
      <c r="H1020" s="4" t="s">
        <v>4149</v>
      </c>
      <c r="I1020" s="4" t="s">
        <v>641</v>
      </c>
      <c r="J1020" s="4" t="s">
        <v>1829</v>
      </c>
      <c r="K1020" s="4">
        <v>1</v>
      </c>
      <c r="L1020" s="4">
        <v>2753</v>
      </c>
      <c r="M1020" s="62">
        <v>50.103479999999998</v>
      </c>
      <c r="N1020" s="236">
        <v>-124.61373</v>
      </c>
      <c r="O1020" s="4" t="s">
        <v>51</v>
      </c>
      <c r="P1020" s="4">
        <v>1025</v>
      </c>
      <c r="Q1020" s="4">
        <v>1</v>
      </c>
      <c r="R1020" s="236" t="s">
        <v>4147</v>
      </c>
      <c r="S1020" s="4" t="s">
        <v>4045</v>
      </c>
      <c r="T1020" s="251">
        <v>91</v>
      </c>
      <c r="U1020"/>
      <c r="W1020" s="4">
        <v>39646</v>
      </c>
      <c r="X1020" s="4" t="s">
        <v>1738</v>
      </c>
      <c r="AK1020" s="7"/>
      <c r="AO1020" s="4" t="s">
        <v>4147</v>
      </c>
      <c r="AP1020" s="4">
        <v>1025</v>
      </c>
      <c r="AQ1020" s="4" t="s">
        <v>1716</v>
      </c>
      <c r="AR1020" s="4" t="s">
        <v>1739</v>
      </c>
      <c r="AS1020" s="4" t="s">
        <v>1740</v>
      </c>
      <c r="AT1020" s="4" t="s">
        <v>1741</v>
      </c>
      <c r="AU1020" s="4" t="s">
        <v>1742</v>
      </c>
      <c r="AV1020" s="4" t="s">
        <v>1720</v>
      </c>
      <c r="AW1020" s="4" t="s">
        <v>1705</v>
      </c>
      <c r="AX1020" s="4" t="s">
        <v>1837</v>
      </c>
      <c r="AY1020" s="4">
        <v>50.103499999999997</v>
      </c>
      <c r="AZ1020" s="4">
        <v>-124.6146</v>
      </c>
      <c r="BA1020" s="4">
        <v>103</v>
      </c>
    </row>
    <row r="1021" spans="1:53" ht="14.25" customHeight="1" x14ac:dyDescent="0.2">
      <c r="A1021" s="136" t="s">
        <v>88</v>
      </c>
      <c r="B1021" s="4">
        <v>12</v>
      </c>
      <c r="C1021" s="4" t="s">
        <v>1711</v>
      </c>
      <c r="D1021" s="4">
        <v>1027</v>
      </c>
      <c r="E1021" s="4">
        <v>2351</v>
      </c>
      <c r="F1021" s="16" t="s">
        <v>4150</v>
      </c>
      <c r="G1021" s="201" t="s">
        <v>4151</v>
      </c>
      <c r="H1021" s="4" t="s">
        <v>4152</v>
      </c>
      <c r="I1021" s="4" t="s">
        <v>641</v>
      </c>
      <c r="J1021" s="4" t="s">
        <v>1746</v>
      </c>
      <c r="K1021" s="4">
        <v>1</v>
      </c>
      <c r="L1021" s="4">
        <v>2754</v>
      </c>
      <c r="M1021" s="6"/>
      <c r="U1021"/>
      <c r="W1021" s="231"/>
      <c r="AK1021" s="7"/>
      <c r="AO1021" s="4" t="s">
        <v>4150</v>
      </c>
      <c r="AP1021" s="4">
        <v>1027</v>
      </c>
      <c r="AQ1021" s="4" t="s">
        <v>1716</v>
      </c>
      <c r="AR1021" s="4" t="s">
        <v>1717</v>
      </c>
      <c r="AS1021" s="4" t="s">
        <v>1718</v>
      </c>
      <c r="AT1021" s="4" t="s">
        <v>2161</v>
      </c>
      <c r="AU1021" s="4" t="s">
        <v>2162</v>
      </c>
      <c r="AV1021" s="4" t="s">
        <v>1720</v>
      </c>
      <c r="AW1021" s="4" t="s">
        <v>1705</v>
      </c>
      <c r="AX1021" s="4" t="s">
        <v>1837</v>
      </c>
      <c r="AY1021" s="4">
        <v>50.4026</v>
      </c>
      <c r="AZ1021" s="4">
        <v>-124.4122</v>
      </c>
      <c r="BA1021" s="4">
        <v>856</v>
      </c>
    </row>
    <row r="1022" spans="1:53" ht="14.25" customHeight="1" x14ac:dyDescent="0.2">
      <c r="A1022" s="136" t="s">
        <v>88</v>
      </c>
      <c r="B1022" s="4">
        <v>12</v>
      </c>
      <c r="C1022" s="4" t="s">
        <v>1711</v>
      </c>
      <c r="D1022" s="4">
        <v>1028</v>
      </c>
      <c r="E1022" s="4">
        <v>2352</v>
      </c>
      <c r="F1022" s="211" t="s">
        <v>4153</v>
      </c>
      <c r="G1022" s="8" t="s">
        <v>4154</v>
      </c>
      <c r="H1022" s="4" t="s">
        <v>4155</v>
      </c>
      <c r="I1022" s="4" t="s">
        <v>641</v>
      </c>
      <c r="J1022" s="4" t="s">
        <v>1746</v>
      </c>
      <c r="K1022" s="4">
        <v>1</v>
      </c>
      <c r="L1022" s="4">
        <v>2755</v>
      </c>
      <c r="M1022" s="6"/>
      <c r="U1022"/>
      <c r="AK1022" s="7"/>
      <c r="AO1022" s="4" t="s">
        <v>4153</v>
      </c>
      <c r="AP1022" s="4">
        <v>1028</v>
      </c>
      <c r="AQ1022" s="4" t="s">
        <v>1716</v>
      </c>
      <c r="AR1022" s="4" t="s">
        <v>1717</v>
      </c>
      <c r="AS1022" s="4" t="s">
        <v>1718</v>
      </c>
      <c r="AT1022" s="4" t="s">
        <v>2161</v>
      </c>
      <c r="AU1022" s="4" t="s">
        <v>2162</v>
      </c>
      <c r="AV1022" s="4" t="s">
        <v>1720</v>
      </c>
      <c r="AW1022" s="4" t="s">
        <v>1705</v>
      </c>
      <c r="AX1022" s="4" t="s">
        <v>1837</v>
      </c>
      <c r="AY1022" s="4">
        <v>50.657200000000003</v>
      </c>
      <c r="AZ1022" s="4">
        <v>-124.1143</v>
      </c>
      <c r="BA1022" s="4">
        <v>644</v>
      </c>
    </row>
    <row r="1023" spans="1:53" ht="14.25" customHeight="1" x14ac:dyDescent="0.2">
      <c r="A1023" s="136" t="s">
        <v>88</v>
      </c>
      <c r="B1023" s="4">
        <v>12</v>
      </c>
      <c r="C1023" s="4" t="s">
        <v>1711</v>
      </c>
      <c r="D1023" s="4">
        <v>1029</v>
      </c>
      <c r="E1023" s="4">
        <v>2353</v>
      </c>
      <c r="F1023" s="4" t="s">
        <v>4156</v>
      </c>
      <c r="G1023" s="201" t="s">
        <v>4157</v>
      </c>
      <c r="H1023" s="4" t="s">
        <v>4158</v>
      </c>
      <c r="I1023" s="4" t="s">
        <v>641</v>
      </c>
      <c r="J1023" s="4" t="s">
        <v>1891</v>
      </c>
      <c r="K1023" s="4">
        <v>1</v>
      </c>
      <c r="L1023" s="4">
        <v>2756</v>
      </c>
      <c r="M1023" s="6">
        <v>50.910890000000002</v>
      </c>
      <c r="N1023" s="4">
        <v>-122.68889</v>
      </c>
      <c r="O1023" s="4" t="s">
        <v>142</v>
      </c>
      <c r="P1023" s="4">
        <v>1029</v>
      </c>
      <c r="Q1023" s="4">
        <v>2</v>
      </c>
      <c r="R1023" s="4" t="s">
        <v>4156</v>
      </c>
      <c r="S1023" s="4" t="s">
        <v>1737</v>
      </c>
      <c r="T1023" s="4">
        <v>865</v>
      </c>
      <c r="U1023" s="4" t="s">
        <v>645</v>
      </c>
      <c r="W1023" s="4">
        <v>39667</v>
      </c>
      <c r="X1023" s="4" t="s">
        <v>1738</v>
      </c>
      <c r="AK1023" s="7"/>
      <c r="AO1023" s="4" t="s">
        <v>4156</v>
      </c>
      <c r="AP1023" s="4">
        <v>1029</v>
      </c>
      <c r="AQ1023" s="4" t="s">
        <v>1716</v>
      </c>
      <c r="AR1023" s="4" t="s">
        <v>1739</v>
      </c>
      <c r="AS1023" s="4" t="s">
        <v>1740</v>
      </c>
      <c r="AT1023" s="4" t="s">
        <v>1741</v>
      </c>
      <c r="AU1023" s="4" t="s">
        <v>1742</v>
      </c>
      <c r="AV1023" s="4" t="s">
        <v>1720</v>
      </c>
      <c r="AW1023" s="4" t="s">
        <v>2368</v>
      </c>
      <c r="AX1023" s="4" t="s">
        <v>2505</v>
      </c>
      <c r="AY1023" s="4">
        <v>50.910899999999998</v>
      </c>
      <c r="AZ1023" s="4">
        <v>-122.6889</v>
      </c>
      <c r="BA1023" s="4">
        <v>875</v>
      </c>
    </row>
    <row r="1024" spans="1:53" ht="14.25" customHeight="1" x14ac:dyDescent="0.2">
      <c r="A1024" s="136" t="s">
        <v>88</v>
      </c>
      <c r="B1024" s="4">
        <v>12</v>
      </c>
      <c r="C1024" s="4" t="s">
        <v>1711</v>
      </c>
      <c r="D1024" s="4">
        <v>1032</v>
      </c>
      <c r="E1024" s="4">
        <v>2355</v>
      </c>
      <c r="F1024" s="16" t="s">
        <v>4163</v>
      </c>
      <c r="G1024" s="201" t="s">
        <v>4164</v>
      </c>
      <c r="H1024" s="4" t="s">
        <v>4165</v>
      </c>
      <c r="I1024" s="4" t="s">
        <v>641</v>
      </c>
      <c r="J1024" s="4" t="s">
        <v>1746</v>
      </c>
      <c r="K1024" s="4">
        <v>1</v>
      </c>
      <c r="L1024" s="4">
        <v>2758</v>
      </c>
      <c r="M1024" s="62"/>
      <c r="N1024" s="231"/>
      <c r="R1024" s="231"/>
      <c r="T1024" s="240"/>
      <c r="U1024"/>
      <c r="AK1024" s="7"/>
      <c r="AO1024" s="4" t="s">
        <v>4163</v>
      </c>
      <c r="AP1024" s="4">
        <v>1032</v>
      </c>
      <c r="AQ1024" s="4" t="s">
        <v>1716</v>
      </c>
      <c r="AR1024" s="4" t="s">
        <v>1717</v>
      </c>
      <c r="AS1024" s="4" t="s">
        <v>1740</v>
      </c>
      <c r="AT1024" s="4" t="s">
        <v>1835</v>
      </c>
      <c r="AU1024" s="4" t="s">
        <v>1742</v>
      </c>
      <c r="AV1024" s="4" t="s">
        <v>1720</v>
      </c>
      <c r="AW1024" s="4" t="s">
        <v>1705</v>
      </c>
      <c r="AX1024" s="4" t="s">
        <v>1837</v>
      </c>
      <c r="AY1024" s="4">
        <v>50.6479</v>
      </c>
      <c r="AZ1024" s="4">
        <v>-123.8832</v>
      </c>
      <c r="BA1024" s="4">
        <v>731</v>
      </c>
    </row>
    <row r="1025" spans="1:53" ht="14.25" customHeight="1" x14ac:dyDescent="0.2">
      <c r="A1025" s="136" t="s">
        <v>88</v>
      </c>
      <c r="B1025" s="4">
        <v>12</v>
      </c>
      <c r="C1025" s="4" t="s">
        <v>1711</v>
      </c>
      <c r="D1025" s="4">
        <v>1037</v>
      </c>
      <c r="E1025" s="4">
        <v>2356</v>
      </c>
      <c r="F1025" s="211" t="s">
        <v>4166</v>
      </c>
      <c r="G1025" s="8" t="s">
        <v>7862</v>
      </c>
      <c r="H1025" s="4" t="s">
        <v>4168</v>
      </c>
      <c r="I1025" s="4" t="s">
        <v>641</v>
      </c>
      <c r="J1025" s="4" t="s">
        <v>1746</v>
      </c>
      <c r="K1025" s="4">
        <v>1</v>
      </c>
      <c r="L1025" s="4">
        <v>2759</v>
      </c>
      <c r="M1025" s="62"/>
      <c r="N1025" s="231"/>
      <c r="R1025" s="231"/>
      <c r="T1025" s="240"/>
      <c r="U1025"/>
      <c r="W1025" s="231"/>
      <c r="AK1025" s="7"/>
      <c r="AO1025" s="4" t="s">
        <v>4166</v>
      </c>
      <c r="AP1025" s="4">
        <v>1037</v>
      </c>
      <c r="AQ1025" s="4" t="s">
        <v>1716</v>
      </c>
      <c r="AR1025" s="4" t="s">
        <v>1717</v>
      </c>
      <c r="AS1025" s="4" t="s">
        <v>1718</v>
      </c>
      <c r="AT1025" s="4" t="s">
        <v>1835</v>
      </c>
      <c r="AU1025" s="4" t="s">
        <v>1836</v>
      </c>
      <c r="AV1025" s="4" t="s">
        <v>1720</v>
      </c>
      <c r="AW1025" s="4" t="s">
        <v>1705</v>
      </c>
      <c r="AX1025" s="4" t="s">
        <v>1883</v>
      </c>
      <c r="AY1025" s="4">
        <v>49.271299999999997</v>
      </c>
      <c r="AZ1025" s="4">
        <v>-121.7808</v>
      </c>
      <c r="BA1025" s="4">
        <v>19</v>
      </c>
    </row>
    <row r="1026" spans="1:53" ht="14.25" customHeight="1" x14ac:dyDescent="0.2">
      <c r="A1026" s="136" t="s">
        <v>88</v>
      </c>
      <c r="B1026" s="4">
        <v>12</v>
      </c>
      <c r="C1026" s="4" t="s">
        <v>1711</v>
      </c>
      <c r="D1026" s="4">
        <v>1040</v>
      </c>
      <c r="E1026" s="4">
        <v>2359</v>
      </c>
      <c r="F1026" s="188" t="s">
        <v>4175</v>
      </c>
      <c r="G1026" s="201" t="s">
        <v>4176</v>
      </c>
      <c r="H1026" s="4" t="s">
        <v>4177</v>
      </c>
      <c r="I1026" s="4" t="s">
        <v>641</v>
      </c>
      <c r="J1026" s="4" t="s">
        <v>1829</v>
      </c>
      <c r="K1026" s="4">
        <v>1</v>
      </c>
      <c r="L1026" s="4">
        <v>2762</v>
      </c>
      <c r="M1026" s="62">
        <v>49.691000000000003</v>
      </c>
      <c r="N1026" s="236">
        <v>-121.85962000000001</v>
      </c>
      <c r="O1026" s="4" t="s">
        <v>51</v>
      </c>
      <c r="P1026" s="4">
        <v>1040</v>
      </c>
      <c r="Q1026" s="4">
        <v>4</v>
      </c>
      <c r="R1026" s="236" t="s">
        <v>4175</v>
      </c>
      <c r="S1026" s="4" t="s">
        <v>1737</v>
      </c>
      <c r="T1026" s="251">
        <v>561</v>
      </c>
      <c r="U1026" s="4" t="s">
        <v>645</v>
      </c>
      <c r="W1026" s="236">
        <v>39959</v>
      </c>
      <c r="X1026" s="4" t="s">
        <v>1738</v>
      </c>
      <c r="AK1026" s="7"/>
      <c r="AO1026" s="4" t="s">
        <v>4175</v>
      </c>
      <c r="AP1026" s="4">
        <v>1040</v>
      </c>
      <c r="AQ1026" s="4" t="s">
        <v>1716</v>
      </c>
      <c r="AR1026" s="4" t="s">
        <v>1739</v>
      </c>
      <c r="AS1026" s="4" t="s">
        <v>1740</v>
      </c>
      <c r="AT1026" s="4" t="s">
        <v>1741</v>
      </c>
      <c r="AU1026" s="4" t="s">
        <v>1742</v>
      </c>
      <c r="AV1026" s="4" t="s">
        <v>1720</v>
      </c>
      <c r="AW1026" s="4" t="s">
        <v>1705</v>
      </c>
      <c r="AX1026" s="4" t="s">
        <v>1883</v>
      </c>
      <c r="AY1026" s="4">
        <v>49.723399999999998</v>
      </c>
      <c r="AZ1026" s="4">
        <v>-121.8366</v>
      </c>
      <c r="BA1026" s="4">
        <v>570</v>
      </c>
    </row>
    <row r="1027" spans="1:53" ht="14.25" customHeight="1" x14ac:dyDescent="0.2">
      <c r="A1027" s="136" t="s">
        <v>88</v>
      </c>
      <c r="B1027" s="4">
        <v>12</v>
      </c>
      <c r="C1027" s="4" t="s">
        <v>1711</v>
      </c>
      <c r="D1027" s="4">
        <v>1045</v>
      </c>
      <c r="E1027" s="4">
        <v>2362</v>
      </c>
      <c r="F1027" s="188" t="s">
        <v>4184</v>
      </c>
      <c r="G1027" s="219" t="s">
        <v>4185</v>
      </c>
      <c r="H1027" s="4" t="s">
        <v>4186</v>
      </c>
      <c r="I1027" s="4" t="s">
        <v>641</v>
      </c>
      <c r="J1027" s="4" t="s">
        <v>1891</v>
      </c>
      <c r="K1027" s="4">
        <v>1</v>
      </c>
      <c r="L1027" s="4">
        <v>2765</v>
      </c>
      <c r="M1027" s="62">
        <v>56.558329999999998</v>
      </c>
      <c r="N1027" s="236">
        <v>-120.38194</v>
      </c>
      <c r="O1027" s="4" t="s">
        <v>153</v>
      </c>
      <c r="P1027" s="4">
        <v>1045</v>
      </c>
      <c r="Q1027" s="4">
        <v>2</v>
      </c>
      <c r="R1027" s="236" t="s">
        <v>4184</v>
      </c>
      <c r="S1027" s="4" t="s">
        <v>1737</v>
      </c>
      <c r="T1027" s="251">
        <v>700</v>
      </c>
      <c r="U1027"/>
      <c r="W1027" s="236">
        <v>39993</v>
      </c>
      <c r="X1027" s="4" t="s">
        <v>1738</v>
      </c>
      <c r="AK1027" s="7"/>
      <c r="AO1027" s="4" t="s">
        <v>4184</v>
      </c>
      <c r="AP1027" s="4">
        <v>1045</v>
      </c>
      <c r="AQ1027" s="4" t="s">
        <v>1716</v>
      </c>
      <c r="AR1027" s="4" t="s">
        <v>1739</v>
      </c>
      <c r="AS1027" s="4" t="s">
        <v>1740</v>
      </c>
      <c r="AT1027" s="4" t="s">
        <v>1741</v>
      </c>
      <c r="AU1027" s="4" t="s">
        <v>1742</v>
      </c>
      <c r="AV1027" s="4" t="s">
        <v>1720</v>
      </c>
      <c r="AW1027" s="4" t="s">
        <v>2003</v>
      </c>
      <c r="AX1027" s="4" t="s">
        <v>2004</v>
      </c>
      <c r="AY1027" s="4">
        <v>56.555300000000003</v>
      </c>
      <c r="AZ1027" s="4">
        <v>-120.3952</v>
      </c>
      <c r="BA1027" s="4">
        <v>700</v>
      </c>
    </row>
    <row r="1028" spans="1:53" ht="14.25" customHeight="1" x14ac:dyDescent="0.2">
      <c r="A1028" s="136" t="s">
        <v>88</v>
      </c>
      <c r="B1028" s="4">
        <v>12</v>
      </c>
      <c r="C1028" s="4" t="s">
        <v>1711</v>
      </c>
      <c r="D1028" s="4">
        <v>1055</v>
      </c>
      <c r="E1028" s="4">
        <v>2369</v>
      </c>
      <c r="F1028" s="188" t="s">
        <v>4205</v>
      </c>
      <c r="G1028" s="201" t="s">
        <v>4206</v>
      </c>
      <c r="H1028" s="4" t="s">
        <v>4207</v>
      </c>
      <c r="I1028" s="4" t="s">
        <v>641</v>
      </c>
      <c r="J1028" s="4" t="s">
        <v>1829</v>
      </c>
      <c r="K1028" s="4">
        <v>1</v>
      </c>
      <c r="L1028" s="4">
        <v>2772</v>
      </c>
      <c r="M1028" s="6">
        <v>50.351300000000002</v>
      </c>
      <c r="N1028" s="4">
        <v>-121.65495</v>
      </c>
      <c r="O1028" s="4" t="s">
        <v>142</v>
      </c>
      <c r="P1028" s="4">
        <v>1055</v>
      </c>
      <c r="Q1028" s="4">
        <v>1</v>
      </c>
      <c r="R1028" s="4" t="s">
        <v>4205</v>
      </c>
      <c r="S1028" s="4" t="s">
        <v>1737</v>
      </c>
      <c r="T1028" s="4">
        <v>424</v>
      </c>
      <c r="U1028"/>
      <c r="W1028" s="4">
        <v>40107</v>
      </c>
      <c r="X1028" s="4" t="s">
        <v>1738</v>
      </c>
      <c r="AK1028" s="7"/>
      <c r="AO1028" s="4" t="s">
        <v>4205</v>
      </c>
      <c r="AP1028" s="4">
        <v>1055</v>
      </c>
      <c r="AQ1028" s="4" t="s">
        <v>1716</v>
      </c>
      <c r="AR1028" s="4" t="s">
        <v>1739</v>
      </c>
      <c r="AS1028" s="4" t="s">
        <v>1740</v>
      </c>
      <c r="AT1028" s="4" t="s">
        <v>1741</v>
      </c>
      <c r="AU1028" s="4" t="s">
        <v>1742</v>
      </c>
      <c r="AV1028" s="4" t="s">
        <v>1720</v>
      </c>
      <c r="AW1028" s="4" t="s">
        <v>2368</v>
      </c>
      <c r="AX1028" s="4" t="s">
        <v>2505</v>
      </c>
      <c r="AY1028" s="4">
        <v>50.351100000000002</v>
      </c>
      <c r="AZ1028" s="4">
        <v>-121.6549</v>
      </c>
      <c r="BA1028" s="4">
        <v>424</v>
      </c>
    </row>
    <row r="1029" spans="1:53" ht="14.25" customHeight="1" x14ac:dyDescent="0.2">
      <c r="A1029" s="136" t="s">
        <v>88</v>
      </c>
      <c r="B1029" s="4">
        <v>12</v>
      </c>
      <c r="C1029" s="4" t="s">
        <v>1711</v>
      </c>
      <c r="D1029" s="4">
        <v>1056</v>
      </c>
      <c r="E1029" s="4">
        <v>3300</v>
      </c>
      <c r="F1029" s="188" t="s">
        <v>4208</v>
      </c>
      <c r="G1029" s="201" t="s">
        <v>4209</v>
      </c>
      <c r="H1029" s="4" t="s">
        <v>4210</v>
      </c>
      <c r="I1029" s="4" t="s">
        <v>49</v>
      </c>
      <c r="J1029" s="4" t="s">
        <v>1829</v>
      </c>
      <c r="K1029" s="4">
        <v>1</v>
      </c>
      <c r="L1029" s="4">
        <v>4139</v>
      </c>
      <c r="M1029" s="62">
        <v>50.270919999999997</v>
      </c>
      <c r="N1029" s="236">
        <v>-125.1309</v>
      </c>
      <c r="O1029" s="4" t="s">
        <v>51</v>
      </c>
      <c r="P1029" s="236">
        <v>1056</v>
      </c>
      <c r="Q1029" s="4">
        <v>2</v>
      </c>
      <c r="R1029" s="236" t="s">
        <v>4208</v>
      </c>
      <c r="S1029" s="4" t="s">
        <v>4045</v>
      </c>
      <c r="T1029" s="251">
        <v>132</v>
      </c>
      <c r="U1029"/>
      <c r="W1029" s="4">
        <v>40247</v>
      </c>
      <c r="X1029" s="4" t="s">
        <v>1738</v>
      </c>
      <c r="AK1029" s="7"/>
      <c r="AO1029" s="4" t="s">
        <v>4208</v>
      </c>
      <c r="AP1029" s="4">
        <v>1056</v>
      </c>
      <c r="AQ1029" s="4" t="s">
        <v>1716</v>
      </c>
      <c r="AR1029" s="4" t="s">
        <v>1739</v>
      </c>
      <c r="AS1029" s="4" t="s">
        <v>1740</v>
      </c>
      <c r="AT1029" s="4" t="s">
        <v>1741</v>
      </c>
      <c r="AU1029" s="4" t="s">
        <v>1742</v>
      </c>
      <c r="AV1029" s="4" t="s">
        <v>1720</v>
      </c>
      <c r="AW1029" s="4" t="s">
        <v>1705</v>
      </c>
      <c r="AX1029" s="4" t="s">
        <v>1837</v>
      </c>
      <c r="AY1029" s="4">
        <v>50.270899999999997</v>
      </c>
      <c r="AZ1029" s="4">
        <v>-125.1309</v>
      </c>
      <c r="BA1029" s="4">
        <v>140</v>
      </c>
    </row>
    <row r="1030" spans="1:53" ht="14.25" customHeight="1" x14ac:dyDescent="0.2">
      <c r="A1030" s="136" t="s">
        <v>88</v>
      </c>
      <c r="B1030" s="4">
        <v>12</v>
      </c>
      <c r="C1030" s="4" t="s">
        <v>1711</v>
      </c>
      <c r="D1030" s="4">
        <v>1066</v>
      </c>
      <c r="E1030" s="4">
        <v>3301</v>
      </c>
      <c r="F1030" s="188" t="s">
        <v>4211</v>
      </c>
      <c r="G1030" s="201" t="s">
        <v>4212</v>
      </c>
      <c r="H1030" s="4" t="s">
        <v>4213</v>
      </c>
      <c r="I1030" s="4" t="s">
        <v>49</v>
      </c>
      <c r="J1030" s="4" t="s">
        <v>1829</v>
      </c>
      <c r="K1030" s="4">
        <v>1</v>
      </c>
      <c r="L1030" s="4">
        <v>4140</v>
      </c>
      <c r="M1030" s="62">
        <v>49.585500000000003</v>
      </c>
      <c r="N1030" s="236">
        <v>-123.38722</v>
      </c>
      <c r="O1030" s="4" t="s">
        <v>51</v>
      </c>
      <c r="P1030" s="236">
        <v>1066</v>
      </c>
      <c r="Q1030" s="4">
        <v>2</v>
      </c>
      <c r="R1030" s="236" t="s">
        <v>4211</v>
      </c>
      <c r="S1030" s="4" t="s">
        <v>4045</v>
      </c>
      <c r="T1030" s="251">
        <v>154</v>
      </c>
      <c r="U1030"/>
      <c r="W1030" s="4">
        <v>40284</v>
      </c>
      <c r="X1030" s="4" t="s">
        <v>1738</v>
      </c>
      <c r="AK1030" s="7"/>
      <c r="AO1030" s="4" t="s">
        <v>4211</v>
      </c>
      <c r="AP1030" s="4">
        <v>1066</v>
      </c>
      <c r="AQ1030" s="4" t="s">
        <v>1716</v>
      </c>
      <c r="AR1030" s="4" t="s">
        <v>1739</v>
      </c>
      <c r="AS1030" s="4" t="s">
        <v>1740</v>
      </c>
      <c r="AT1030" s="4" t="s">
        <v>1741</v>
      </c>
      <c r="AU1030" s="4" t="s">
        <v>1742</v>
      </c>
      <c r="AV1030" s="4" t="s">
        <v>1720</v>
      </c>
      <c r="AW1030" s="4" t="s">
        <v>1705</v>
      </c>
      <c r="AX1030" s="4" t="s">
        <v>1837</v>
      </c>
      <c r="AY1030" s="4">
        <v>49.585500000000003</v>
      </c>
      <c r="AZ1030" s="4">
        <v>-123.3873</v>
      </c>
      <c r="BA1030" s="4">
        <v>140</v>
      </c>
    </row>
    <row r="1031" spans="1:53" ht="14.25" customHeight="1" x14ac:dyDescent="0.2">
      <c r="A1031" s="136" t="s">
        <v>88</v>
      </c>
      <c r="B1031" s="4">
        <v>12</v>
      </c>
      <c r="C1031" s="4" t="s">
        <v>1711</v>
      </c>
      <c r="D1031" s="4">
        <v>1075</v>
      </c>
      <c r="E1031" s="4">
        <v>10983</v>
      </c>
      <c r="F1031" s="188" t="s">
        <v>4214</v>
      </c>
      <c r="G1031" s="201" t="s">
        <v>4215</v>
      </c>
      <c r="H1031" s="4" t="s">
        <v>4216</v>
      </c>
      <c r="I1031" s="4" t="s">
        <v>49</v>
      </c>
      <c r="J1031" s="4" t="s">
        <v>1891</v>
      </c>
      <c r="K1031" s="4">
        <v>1</v>
      </c>
      <c r="L1031" s="4">
        <v>13141</v>
      </c>
      <c r="M1031" s="62">
        <v>49.046939999999999</v>
      </c>
      <c r="N1031" s="236">
        <v>-115.22528</v>
      </c>
      <c r="O1031" s="4" t="s">
        <v>170</v>
      </c>
      <c r="P1031" s="236">
        <v>1075</v>
      </c>
      <c r="Q1031" s="4">
        <v>1</v>
      </c>
      <c r="R1031" s="236" t="s">
        <v>4214</v>
      </c>
      <c r="S1031" s="4" t="s">
        <v>1737</v>
      </c>
      <c r="T1031" s="251">
        <v>804</v>
      </c>
      <c r="U1031"/>
      <c r="W1031" s="236">
        <v>40339</v>
      </c>
      <c r="X1031" s="4" t="s">
        <v>1738</v>
      </c>
      <c r="AK1031" s="7"/>
      <c r="AO1031" s="4" t="s">
        <v>4214</v>
      </c>
      <c r="AP1031" s="4">
        <v>1075</v>
      </c>
      <c r="AQ1031" s="4" t="s">
        <v>1700</v>
      </c>
      <c r="AR1031" s="4" t="s">
        <v>1739</v>
      </c>
      <c r="AS1031" s="4" t="s">
        <v>1740</v>
      </c>
      <c r="AT1031" s="4" t="s">
        <v>1741</v>
      </c>
      <c r="AU1031" s="4" t="s">
        <v>1959</v>
      </c>
      <c r="AV1031" s="4" t="s">
        <v>1720</v>
      </c>
      <c r="AW1031" s="4" t="s">
        <v>2698</v>
      </c>
      <c r="AX1031" s="4" t="s">
        <v>2902</v>
      </c>
      <c r="AY1031" s="4">
        <v>49.046900000000001</v>
      </c>
      <c r="AZ1031" s="4">
        <v>-115.2253</v>
      </c>
      <c r="BA1031" s="4">
        <v>804</v>
      </c>
    </row>
    <row r="1032" spans="1:53" ht="14.25" customHeight="1" x14ac:dyDescent="0.2">
      <c r="A1032" s="136" t="s">
        <v>88</v>
      </c>
      <c r="B1032" s="4">
        <v>12</v>
      </c>
      <c r="C1032" s="4" t="s">
        <v>1711</v>
      </c>
      <c r="D1032" s="4">
        <v>1082</v>
      </c>
      <c r="E1032" s="4">
        <v>10978</v>
      </c>
      <c r="F1032" s="188" t="s">
        <v>4217</v>
      </c>
      <c r="G1032" s="201" t="s">
        <v>4218</v>
      </c>
      <c r="H1032" s="4" t="s">
        <v>4219</v>
      </c>
      <c r="I1032" s="4" t="s">
        <v>49</v>
      </c>
      <c r="J1032" s="4" t="s">
        <v>1829</v>
      </c>
      <c r="K1032" s="4">
        <v>1</v>
      </c>
      <c r="L1032" s="4">
        <v>13142</v>
      </c>
      <c r="M1032" s="62">
        <v>51.211109999999998</v>
      </c>
      <c r="N1032" s="236">
        <v>-120.41197</v>
      </c>
      <c r="O1032" s="4" t="s">
        <v>142</v>
      </c>
      <c r="P1032" s="236">
        <v>1082</v>
      </c>
      <c r="Q1032" s="4">
        <v>5</v>
      </c>
      <c r="R1032" s="236" t="s">
        <v>4217</v>
      </c>
      <c r="S1032" s="4" t="s">
        <v>1737</v>
      </c>
      <c r="T1032" s="251">
        <v>1315</v>
      </c>
      <c r="U1032"/>
      <c r="W1032" s="236">
        <v>40367</v>
      </c>
      <c r="X1032" s="4" t="s">
        <v>1738</v>
      </c>
      <c r="AK1032" s="7"/>
      <c r="AO1032" s="196" t="s">
        <v>4217</v>
      </c>
      <c r="AP1032" s="4">
        <v>1082</v>
      </c>
      <c r="AQ1032" s="4" t="s">
        <v>1700</v>
      </c>
      <c r="AR1032" s="4" t="s">
        <v>1739</v>
      </c>
      <c r="AS1032" s="4" t="s">
        <v>1740</v>
      </c>
      <c r="AT1032" s="4" t="s">
        <v>1835</v>
      </c>
      <c r="AU1032" s="4" t="s">
        <v>1959</v>
      </c>
      <c r="AV1032" s="4" t="s">
        <v>1720</v>
      </c>
      <c r="AW1032" s="4" t="s">
        <v>2368</v>
      </c>
      <c r="AX1032" s="4" t="s">
        <v>2369</v>
      </c>
      <c r="AY1032" s="4">
        <v>51.211199999999998</v>
      </c>
      <c r="AZ1032" s="4">
        <v>-120.41200000000001</v>
      </c>
      <c r="BA1032" s="4">
        <v>1311</v>
      </c>
    </row>
    <row r="1033" spans="1:53" ht="14.25" customHeight="1" x14ac:dyDescent="0.2">
      <c r="A1033" s="136" t="s">
        <v>88</v>
      </c>
      <c r="B1033" s="4">
        <v>12</v>
      </c>
      <c r="C1033" s="4" t="s">
        <v>1711</v>
      </c>
      <c r="D1033" s="4">
        <v>1083</v>
      </c>
      <c r="E1033" s="4">
        <v>3302</v>
      </c>
      <c r="F1033" s="188" t="s">
        <v>4220</v>
      </c>
      <c r="G1033" s="201" t="s">
        <v>4221</v>
      </c>
      <c r="H1033" s="4" t="s">
        <v>4222</v>
      </c>
      <c r="I1033" s="4" t="s">
        <v>49</v>
      </c>
      <c r="J1033" s="4" t="s">
        <v>1891</v>
      </c>
      <c r="K1033" s="4">
        <v>1</v>
      </c>
      <c r="L1033" s="4">
        <v>4141</v>
      </c>
      <c r="M1033" s="62">
        <v>50.619720000000001</v>
      </c>
      <c r="N1033" s="236">
        <v>-123.41</v>
      </c>
      <c r="O1033" s="4" t="s">
        <v>51</v>
      </c>
      <c r="P1033" s="236">
        <v>1083</v>
      </c>
      <c r="Q1033" s="4">
        <v>4</v>
      </c>
      <c r="R1033" s="236" t="s">
        <v>4220</v>
      </c>
      <c r="S1033" s="4" t="s">
        <v>1737</v>
      </c>
      <c r="T1033" s="251">
        <v>545</v>
      </c>
      <c r="U1033" s="4" t="s">
        <v>645</v>
      </c>
      <c r="W1033" s="236">
        <v>40373</v>
      </c>
      <c r="X1033" s="4" t="s">
        <v>1738</v>
      </c>
      <c r="AK1033" s="7"/>
      <c r="AO1033" s="4" t="s">
        <v>4220</v>
      </c>
      <c r="AP1033" s="4">
        <v>1083</v>
      </c>
      <c r="AQ1033" s="4" t="s">
        <v>1716</v>
      </c>
      <c r="AR1033" s="4" t="s">
        <v>1739</v>
      </c>
      <c r="AS1033" s="4" t="s">
        <v>1740</v>
      </c>
      <c r="AT1033" s="4" t="s">
        <v>1741</v>
      </c>
      <c r="AU1033" s="4" t="s">
        <v>1742</v>
      </c>
      <c r="AV1033" s="4" t="s">
        <v>1720</v>
      </c>
      <c r="AW1033" s="4" t="s">
        <v>1705</v>
      </c>
      <c r="AX1033" s="4" t="s">
        <v>1879</v>
      </c>
      <c r="AY1033" s="4">
        <v>50.62</v>
      </c>
      <c r="AZ1033" s="4">
        <v>-123.4101</v>
      </c>
      <c r="BA1033" s="4">
        <v>549</v>
      </c>
    </row>
    <row r="1034" spans="1:53" ht="14.25" customHeight="1" x14ac:dyDescent="0.2">
      <c r="A1034" s="136" t="s">
        <v>88</v>
      </c>
      <c r="B1034" s="4">
        <v>12</v>
      </c>
      <c r="C1034" s="4" t="s">
        <v>1711</v>
      </c>
      <c r="D1034" s="4">
        <v>1093</v>
      </c>
      <c r="E1034" s="4">
        <v>10980</v>
      </c>
      <c r="F1034" s="188" t="s">
        <v>4226</v>
      </c>
      <c r="G1034" s="201" t="s">
        <v>4227</v>
      </c>
      <c r="H1034" s="4" t="s">
        <v>4228</v>
      </c>
      <c r="I1034" s="4" t="s">
        <v>49</v>
      </c>
      <c r="J1034" s="4" t="s">
        <v>1891</v>
      </c>
      <c r="K1034" s="4">
        <v>1</v>
      </c>
      <c r="L1034" s="4">
        <v>13144</v>
      </c>
      <c r="M1034" s="62">
        <v>50.027230000000003</v>
      </c>
      <c r="N1034" s="236">
        <v>-125.29401</v>
      </c>
      <c r="O1034" s="4" t="s">
        <v>183</v>
      </c>
      <c r="P1034" s="236">
        <v>1093</v>
      </c>
      <c r="Q1034" s="4">
        <v>3</v>
      </c>
      <c r="R1034" s="236" t="s">
        <v>4226</v>
      </c>
      <c r="S1034" s="4" t="s">
        <v>1737</v>
      </c>
      <c r="T1034" s="251">
        <v>100</v>
      </c>
      <c r="U1034"/>
      <c r="W1034" s="236">
        <v>40457</v>
      </c>
      <c r="X1034" s="4" t="s">
        <v>1738</v>
      </c>
      <c r="AK1034" s="7"/>
      <c r="AO1034" s="4" t="s">
        <v>4229</v>
      </c>
      <c r="AP1034" s="4">
        <v>1093</v>
      </c>
      <c r="AQ1034" s="4" t="s">
        <v>1700</v>
      </c>
      <c r="AR1034" s="4" t="s">
        <v>1739</v>
      </c>
      <c r="AS1034" s="4" t="s">
        <v>1740</v>
      </c>
      <c r="AT1034" s="4" t="s">
        <v>1741</v>
      </c>
      <c r="AU1034" s="4" t="s">
        <v>1772</v>
      </c>
      <c r="AV1034" s="4" t="s">
        <v>1720</v>
      </c>
      <c r="AW1034" s="4" t="s">
        <v>1705</v>
      </c>
      <c r="AX1034" s="4" t="s">
        <v>1723</v>
      </c>
      <c r="AY1034" s="4">
        <v>50.026699999999998</v>
      </c>
      <c r="AZ1034" s="4">
        <v>-125.2929</v>
      </c>
      <c r="BA1034" s="4">
        <v>68</v>
      </c>
    </row>
    <row r="1035" spans="1:53" ht="14.25" customHeight="1" x14ac:dyDescent="0.2">
      <c r="A1035" s="136" t="s">
        <v>88</v>
      </c>
      <c r="B1035" s="4">
        <v>12</v>
      </c>
      <c r="C1035" s="4" t="s">
        <v>1711</v>
      </c>
      <c r="D1035" s="4">
        <v>1108</v>
      </c>
      <c r="E1035" s="4">
        <v>10986</v>
      </c>
      <c r="F1035" s="188" t="s">
        <v>4236</v>
      </c>
      <c r="G1035" s="219" t="s">
        <v>4237</v>
      </c>
      <c r="H1035" s="4" t="s">
        <v>4238</v>
      </c>
      <c r="I1035" s="4" t="s">
        <v>49</v>
      </c>
      <c r="J1035" s="4" t="s">
        <v>1891</v>
      </c>
      <c r="K1035" s="4">
        <v>1</v>
      </c>
      <c r="L1035" s="4">
        <v>13145</v>
      </c>
      <c r="M1035" s="62">
        <v>52.122250000000001</v>
      </c>
      <c r="N1035" s="236">
        <v>-119.29349999999999</v>
      </c>
      <c r="O1035" s="4" t="s">
        <v>170</v>
      </c>
      <c r="P1035" s="236">
        <v>1108</v>
      </c>
      <c r="Q1035" s="4">
        <v>1</v>
      </c>
      <c r="R1035" s="236" t="s">
        <v>4236</v>
      </c>
      <c r="S1035" s="4" t="s">
        <v>1737</v>
      </c>
      <c r="T1035" s="251">
        <v>695</v>
      </c>
      <c r="U1035" s="4" t="s">
        <v>645</v>
      </c>
      <c r="W1035" s="4">
        <v>33970</v>
      </c>
      <c r="X1035" s="4" t="s">
        <v>1738</v>
      </c>
      <c r="AK1035" s="7"/>
      <c r="AO1035" s="4" t="s">
        <v>4236</v>
      </c>
      <c r="AP1035" s="4">
        <v>1108</v>
      </c>
      <c r="AQ1035" s="4" t="s">
        <v>1700</v>
      </c>
      <c r="AR1035" s="4" t="s">
        <v>1739</v>
      </c>
      <c r="AS1035" s="4" t="s">
        <v>1740</v>
      </c>
      <c r="AT1035" s="4" t="s">
        <v>1741</v>
      </c>
      <c r="AU1035" s="4" t="s">
        <v>1959</v>
      </c>
      <c r="AV1035" s="4" t="s">
        <v>1720</v>
      </c>
      <c r="AW1035" s="4" t="s">
        <v>2003</v>
      </c>
      <c r="AX1035" s="4" t="s">
        <v>2258</v>
      </c>
      <c r="AY1035" s="4">
        <v>52.122300000000003</v>
      </c>
      <c r="AZ1035" s="4">
        <v>-119.2936</v>
      </c>
      <c r="BA1035" s="4">
        <v>684</v>
      </c>
    </row>
    <row r="1036" spans="1:53" ht="14.25" customHeight="1" x14ac:dyDescent="0.2">
      <c r="A1036" s="136" t="s">
        <v>88</v>
      </c>
      <c r="B1036" s="4">
        <v>12</v>
      </c>
      <c r="C1036" s="4" t="s">
        <v>1711</v>
      </c>
      <c r="D1036" s="4">
        <v>1144</v>
      </c>
      <c r="E1036" s="4">
        <v>10985</v>
      </c>
      <c r="F1036" s="188" t="s">
        <v>4261</v>
      </c>
      <c r="G1036" s="219" t="s">
        <v>4262</v>
      </c>
      <c r="H1036" s="4" t="s">
        <v>4263</v>
      </c>
      <c r="I1036" s="4" t="s">
        <v>49</v>
      </c>
      <c r="J1036" s="4" t="s">
        <v>1829</v>
      </c>
      <c r="K1036" s="4">
        <v>1</v>
      </c>
      <c r="L1036" s="4">
        <v>13149</v>
      </c>
      <c r="M1036" s="62">
        <v>49.104027799999997</v>
      </c>
      <c r="N1036" s="236">
        <v>-121.6375278</v>
      </c>
      <c r="O1036" s="4" t="s">
        <v>51</v>
      </c>
      <c r="P1036" s="236">
        <v>1144</v>
      </c>
      <c r="Q1036" s="4">
        <v>2</v>
      </c>
      <c r="R1036" s="236" t="s">
        <v>4261</v>
      </c>
      <c r="S1036" s="4" t="s">
        <v>1737</v>
      </c>
      <c r="T1036" s="251">
        <v>247</v>
      </c>
      <c r="U1036" s="4" t="s">
        <v>645</v>
      </c>
      <c r="V1036" s="4" t="s">
        <v>1830</v>
      </c>
      <c r="W1036" s="236">
        <v>41143</v>
      </c>
      <c r="X1036" s="4" t="s">
        <v>1738</v>
      </c>
      <c r="AK1036" s="7"/>
      <c r="AO1036" s="4" t="s">
        <v>4261</v>
      </c>
      <c r="AP1036" s="4">
        <v>1144</v>
      </c>
      <c r="AQ1036" s="4" t="s">
        <v>1716</v>
      </c>
      <c r="AR1036" s="4" t="s">
        <v>1739</v>
      </c>
      <c r="AS1036" s="4" t="s">
        <v>1740</v>
      </c>
      <c r="AT1036" s="4" t="s">
        <v>1741</v>
      </c>
      <c r="AU1036" s="4" t="s">
        <v>1742</v>
      </c>
      <c r="AV1036" s="4" t="s">
        <v>1720</v>
      </c>
      <c r="AW1036" s="4" t="s">
        <v>1705</v>
      </c>
      <c r="AX1036" s="4" t="s">
        <v>1883</v>
      </c>
      <c r="AY1036" s="4">
        <v>49.103900000000003</v>
      </c>
      <c r="AZ1036" s="4">
        <v>-121.63760000000001</v>
      </c>
      <c r="BA1036" s="4">
        <v>372</v>
      </c>
    </row>
    <row r="1037" spans="1:53" ht="14.25" customHeight="1" x14ac:dyDescent="0.2">
      <c r="A1037" s="136" t="s">
        <v>88</v>
      </c>
      <c r="B1037" s="4">
        <v>12</v>
      </c>
      <c r="C1037" s="4" t="s">
        <v>1711</v>
      </c>
      <c r="D1037" s="4">
        <v>1165</v>
      </c>
      <c r="E1037" s="4">
        <v>10989</v>
      </c>
      <c r="F1037" s="188" t="s">
        <v>4273</v>
      </c>
      <c r="G1037" s="201" t="s">
        <v>4274</v>
      </c>
      <c r="H1037" s="4" t="s">
        <v>4275</v>
      </c>
      <c r="I1037" s="4" t="s">
        <v>49</v>
      </c>
      <c r="J1037" s="4" t="s">
        <v>1829</v>
      </c>
      <c r="K1037" s="4">
        <v>1</v>
      </c>
      <c r="L1037" s="4">
        <v>13154</v>
      </c>
      <c r="M1037" s="62">
        <v>54.16957</v>
      </c>
      <c r="N1037" s="236">
        <v>-121.65168</v>
      </c>
      <c r="O1037" s="4" t="s">
        <v>1290</v>
      </c>
      <c r="P1037" s="236">
        <v>1165</v>
      </c>
      <c r="Q1037" s="4">
        <v>2</v>
      </c>
      <c r="R1037" s="236" t="s">
        <v>4273</v>
      </c>
      <c r="S1037" s="4" t="s">
        <v>1737</v>
      </c>
      <c r="T1037" s="251">
        <v>798</v>
      </c>
      <c r="U1037"/>
      <c r="W1037" s="236">
        <v>41582</v>
      </c>
      <c r="X1037" s="4" t="s">
        <v>1738</v>
      </c>
      <c r="AK1037" s="7"/>
      <c r="AO1037" s="4" t="s">
        <v>4273</v>
      </c>
      <c r="AP1037" s="4">
        <v>1165</v>
      </c>
      <c r="AQ1037" s="4" t="s">
        <v>1700</v>
      </c>
      <c r="AR1037" s="4" t="s">
        <v>1739</v>
      </c>
      <c r="AS1037" s="4" t="s">
        <v>1740</v>
      </c>
      <c r="AT1037" s="4" t="s">
        <v>1741</v>
      </c>
      <c r="AU1037" s="4" t="s">
        <v>1959</v>
      </c>
      <c r="AV1037" s="4" t="s">
        <v>1720</v>
      </c>
      <c r="AW1037" s="4" t="s">
        <v>2003</v>
      </c>
      <c r="AX1037" s="4" t="s">
        <v>2091</v>
      </c>
      <c r="AY1037" s="4">
        <v>54.1693</v>
      </c>
      <c r="AZ1037" s="4">
        <v>-121.6519</v>
      </c>
      <c r="BA1037" s="4">
        <v>799</v>
      </c>
    </row>
    <row r="1038" spans="1:53" ht="14.25" customHeight="1" x14ac:dyDescent="0.2">
      <c r="A1038" s="136" t="s">
        <v>88</v>
      </c>
      <c r="B1038" s="4">
        <v>12</v>
      </c>
      <c r="C1038" s="4" t="s">
        <v>1711</v>
      </c>
      <c r="D1038" s="4">
        <v>1176</v>
      </c>
      <c r="E1038" s="4">
        <v>10997</v>
      </c>
      <c r="F1038" s="188" t="s">
        <v>4295</v>
      </c>
      <c r="G1038" s="201" t="s">
        <v>4296</v>
      </c>
      <c r="H1038" s="4" t="s">
        <v>4297</v>
      </c>
      <c r="I1038" s="4" t="s">
        <v>49</v>
      </c>
      <c r="J1038" s="4" t="s">
        <v>1891</v>
      </c>
      <c r="K1038" s="4">
        <v>1</v>
      </c>
      <c r="L1038" s="4">
        <v>13163</v>
      </c>
      <c r="M1038" s="62">
        <v>51.313079999999999</v>
      </c>
      <c r="N1038" s="236">
        <v>-119.3925</v>
      </c>
      <c r="O1038" s="4" t="s">
        <v>142</v>
      </c>
      <c r="P1038" s="236">
        <v>1176</v>
      </c>
      <c r="Q1038" s="4">
        <v>2</v>
      </c>
      <c r="R1038" s="236" t="s">
        <v>4295</v>
      </c>
      <c r="S1038" s="4" t="s">
        <v>1737</v>
      </c>
      <c r="T1038" s="251">
        <v>884</v>
      </c>
      <c r="U1038"/>
      <c r="X1038" s="4" t="s">
        <v>1738</v>
      </c>
      <c r="AK1038" s="7"/>
      <c r="AO1038" s="4" t="s">
        <v>4295</v>
      </c>
      <c r="AP1038" s="4">
        <v>1176</v>
      </c>
      <c r="AQ1038" s="4" t="s">
        <v>1716</v>
      </c>
      <c r="AR1038" s="4" t="s">
        <v>1739</v>
      </c>
      <c r="AS1038" s="4" t="s">
        <v>1740</v>
      </c>
      <c r="AT1038" s="4" t="s">
        <v>1741</v>
      </c>
      <c r="AU1038" s="4" t="s">
        <v>1742</v>
      </c>
      <c r="AV1038" s="4" t="s">
        <v>1720</v>
      </c>
      <c r="AW1038" s="4" t="s">
        <v>2368</v>
      </c>
      <c r="AX1038" s="4" t="s">
        <v>2369</v>
      </c>
      <c r="AY1038" s="4">
        <v>51.3127</v>
      </c>
      <c r="AZ1038" s="4">
        <v>-119.3926</v>
      </c>
      <c r="BA1038" s="4">
        <v>884</v>
      </c>
    </row>
    <row r="1039" spans="1:53" ht="14.25" customHeight="1" x14ac:dyDescent="0.2">
      <c r="A1039" s="136" t="s">
        <v>88</v>
      </c>
      <c r="B1039" s="4">
        <v>12</v>
      </c>
      <c r="C1039" s="4" t="s">
        <v>1711</v>
      </c>
      <c r="D1039" s="4">
        <v>1218</v>
      </c>
      <c r="E1039" s="4">
        <v>11419</v>
      </c>
      <c r="F1039" s="188" t="s">
        <v>4384</v>
      </c>
      <c r="G1039" s="201" t="s">
        <v>4385</v>
      </c>
      <c r="H1039" s="4" t="s">
        <v>4386</v>
      </c>
      <c r="I1039" s="4" t="s">
        <v>49</v>
      </c>
      <c r="J1039" s="4" t="s">
        <v>1829</v>
      </c>
      <c r="K1039" s="4">
        <v>1</v>
      </c>
      <c r="L1039" s="4">
        <v>13480</v>
      </c>
      <c r="M1039" s="62">
        <v>49.818060000000003</v>
      </c>
      <c r="N1039" s="236">
        <v>-124.44944</v>
      </c>
      <c r="O1039" s="4" t="s">
        <v>183</v>
      </c>
      <c r="P1039" s="236">
        <v>1218</v>
      </c>
      <c r="Q1039" s="4">
        <v>3</v>
      </c>
      <c r="R1039" s="236" t="s">
        <v>4384</v>
      </c>
      <c r="S1039" s="4" t="s">
        <v>1737</v>
      </c>
      <c r="T1039" s="251">
        <v>100</v>
      </c>
      <c r="U1039"/>
      <c r="W1039" s="236">
        <v>42178</v>
      </c>
      <c r="X1039" s="4" t="s">
        <v>1738</v>
      </c>
      <c r="AK1039" s="7"/>
      <c r="AO1039" s="4" t="s">
        <v>4384</v>
      </c>
      <c r="AP1039" s="4">
        <v>1218</v>
      </c>
      <c r="AQ1039" s="4" t="s">
        <v>1716</v>
      </c>
      <c r="AR1039" s="4" t="s">
        <v>1739</v>
      </c>
      <c r="AS1039" s="4" t="s">
        <v>1740</v>
      </c>
      <c r="AT1039" s="4" t="s">
        <v>1741</v>
      </c>
      <c r="AU1039" s="4" t="s">
        <v>1742</v>
      </c>
      <c r="AV1039" s="4" t="s">
        <v>1720</v>
      </c>
      <c r="AW1039" s="4" t="s">
        <v>1705</v>
      </c>
      <c r="AX1039" s="4" t="s">
        <v>1837</v>
      </c>
      <c r="AY1039" s="4">
        <v>49.817999999999998</v>
      </c>
      <c r="AZ1039" s="4">
        <v>-124.4499</v>
      </c>
      <c r="BA1039" s="4">
        <v>160</v>
      </c>
    </row>
    <row r="1040" spans="1:53" ht="14.25" customHeight="1" x14ac:dyDescent="0.2">
      <c r="A1040" s="136" t="s">
        <v>88</v>
      </c>
      <c r="B1040" s="4">
        <v>12</v>
      </c>
      <c r="C1040" s="4" t="s">
        <v>1711</v>
      </c>
      <c r="D1040" s="4">
        <v>1270</v>
      </c>
      <c r="E1040" s="4">
        <v>12029</v>
      </c>
      <c r="F1040" s="188" t="s">
        <v>4504</v>
      </c>
      <c r="G1040" s="201" t="s">
        <v>4505</v>
      </c>
      <c r="H1040" s="4" t="s">
        <v>4506</v>
      </c>
      <c r="I1040" s="4" t="s">
        <v>49</v>
      </c>
      <c r="J1040" s="4" t="s">
        <v>1891</v>
      </c>
      <c r="K1040" s="4">
        <v>1</v>
      </c>
      <c r="L1040" s="4">
        <v>14086</v>
      </c>
      <c r="M1040" s="62">
        <v>59.892800000000001</v>
      </c>
      <c r="N1040" s="34">
        <v>-129.09333000000001</v>
      </c>
      <c r="O1040" s="9" t="s">
        <v>1577</v>
      </c>
      <c r="P1040" s="34">
        <v>1270</v>
      </c>
      <c r="Q1040" s="20">
        <v>2</v>
      </c>
      <c r="R1040" s="34" t="s">
        <v>4504</v>
      </c>
      <c r="S1040" s="9" t="s">
        <v>1737</v>
      </c>
      <c r="T1040" s="35">
        <v>866</v>
      </c>
      <c r="U1040" s="9"/>
      <c r="V1040" s="9"/>
      <c r="W1040" s="34"/>
      <c r="X1040" s="9" t="s">
        <v>1738</v>
      </c>
      <c r="AK1040" s="7"/>
      <c r="AO1040" s="4" t="s">
        <v>4504</v>
      </c>
      <c r="AP1040" s="4">
        <v>1270</v>
      </c>
      <c r="AQ1040" s="4" t="s">
        <v>1716</v>
      </c>
      <c r="AR1040" s="4" t="s">
        <v>1739</v>
      </c>
      <c r="AS1040" s="4" t="s">
        <v>1740</v>
      </c>
      <c r="AT1040" s="4" t="s">
        <v>1741</v>
      </c>
      <c r="AU1040" s="4" t="s">
        <v>1742</v>
      </c>
      <c r="AV1040" s="4" t="s">
        <v>1720</v>
      </c>
      <c r="AW1040" s="4" t="s">
        <v>1947</v>
      </c>
      <c r="AX1040" s="4" t="s">
        <v>1986</v>
      </c>
      <c r="AY1040" s="4">
        <v>59.892899999999997</v>
      </c>
      <c r="AZ1040" s="4">
        <v>-129.09389999999999</v>
      </c>
      <c r="BA1040" s="4">
        <v>866</v>
      </c>
    </row>
    <row r="1041" spans="1:72" ht="14.25" customHeight="1" x14ac:dyDescent="0.2">
      <c r="A1041" s="136" t="s">
        <v>88</v>
      </c>
      <c r="B1041" s="4">
        <v>12</v>
      </c>
      <c r="C1041" s="4" t="s">
        <v>1711</v>
      </c>
      <c r="D1041" s="4">
        <v>1283</v>
      </c>
      <c r="E1041" s="4">
        <v>12044</v>
      </c>
      <c r="F1041" s="188" t="s">
        <v>4540</v>
      </c>
      <c r="G1041" s="201" t="s">
        <v>4541</v>
      </c>
      <c r="H1041" s="4" t="s">
        <v>4542</v>
      </c>
      <c r="I1041" s="4" t="s">
        <v>49</v>
      </c>
      <c r="J1041" s="4" t="s">
        <v>1891</v>
      </c>
      <c r="K1041" s="4">
        <v>1</v>
      </c>
      <c r="L1041" s="4">
        <v>14101</v>
      </c>
      <c r="M1041" s="62">
        <v>50.082505599999998</v>
      </c>
      <c r="N1041" s="236">
        <v>-123.04127219999999</v>
      </c>
      <c r="O1041" s="4" t="s">
        <v>51</v>
      </c>
      <c r="P1041" s="236">
        <v>1283</v>
      </c>
      <c r="Q1041" s="4">
        <v>4</v>
      </c>
      <c r="R1041" s="236" t="s">
        <v>4540</v>
      </c>
      <c r="S1041" s="4" t="s">
        <v>1737</v>
      </c>
      <c r="T1041" s="251">
        <v>595</v>
      </c>
      <c r="U1041"/>
      <c r="X1041" s="4" t="s">
        <v>1738</v>
      </c>
      <c r="AK1041" s="7"/>
      <c r="AO1041" s="4" t="s">
        <v>4540</v>
      </c>
      <c r="AP1041" s="4">
        <v>1283</v>
      </c>
      <c r="AQ1041" s="4" t="s">
        <v>1700</v>
      </c>
      <c r="AR1041" s="4" t="s">
        <v>1739</v>
      </c>
      <c r="AS1041" s="4" t="s">
        <v>1740</v>
      </c>
      <c r="AT1041" s="4" t="s">
        <v>1741</v>
      </c>
      <c r="AU1041" s="4" t="s">
        <v>1742</v>
      </c>
      <c r="AV1041" s="4" t="s">
        <v>1720</v>
      </c>
      <c r="AW1041" s="4" t="s">
        <v>1705</v>
      </c>
      <c r="AX1041" s="4" t="s">
        <v>1879</v>
      </c>
      <c r="AY1041" s="4">
        <v>50.083500000000001</v>
      </c>
      <c r="AZ1041" s="4">
        <v>-123.0475</v>
      </c>
      <c r="BA1041" s="4">
        <v>592</v>
      </c>
    </row>
    <row r="1042" spans="1:72" ht="14.25" customHeight="1" x14ac:dyDescent="0.2">
      <c r="A1042" s="136" t="s">
        <v>88</v>
      </c>
      <c r="B1042" s="4">
        <v>12</v>
      </c>
      <c r="C1042" s="4" t="s">
        <v>1711</v>
      </c>
      <c r="D1042" s="4">
        <v>1289</v>
      </c>
      <c r="E1042" s="4">
        <v>12048</v>
      </c>
      <c r="F1042" s="16" t="s">
        <v>4549</v>
      </c>
      <c r="G1042" s="201" t="s">
        <v>4550</v>
      </c>
      <c r="H1042" s="4" t="s">
        <v>4551</v>
      </c>
      <c r="I1042" s="4" t="s">
        <v>49</v>
      </c>
      <c r="J1042" s="4" t="s">
        <v>1746</v>
      </c>
      <c r="K1042" s="4">
        <v>1</v>
      </c>
      <c r="L1042" s="4">
        <v>14105</v>
      </c>
      <c r="M1042" s="62"/>
      <c r="N1042" s="231"/>
      <c r="P1042" s="231"/>
      <c r="R1042" s="231"/>
      <c r="T1042" s="240"/>
      <c r="U1042"/>
      <c r="W1042" s="231"/>
      <c r="AK1042" s="7"/>
      <c r="AO1042" s="267" t="s">
        <v>4549</v>
      </c>
      <c r="AP1042" s="4">
        <v>1289</v>
      </c>
      <c r="AQ1042" s="4" t="s">
        <v>1716</v>
      </c>
      <c r="AR1042" s="4" t="s">
        <v>1717</v>
      </c>
      <c r="AS1042" s="4" t="s">
        <v>1718</v>
      </c>
      <c r="AT1042" s="4" t="s">
        <v>1835</v>
      </c>
      <c r="AU1042" s="4" t="s">
        <v>1836</v>
      </c>
      <c r="AV1042" s="4" t="s">
        <v>1720</v>
      </c>
      <c r="AW1042" s="4" t="s">
        <v>2698</v>
      </c>
      <c r="AX1042" s="4" t="s">
        <v>2801</v>
      </c>
      <c r="AY1042" s="4">
        <v>49.694600000000001</v>
      </c>
      <c r="AZ1042" s="4">
        <v>-116.6974</v>
      </c>
      <c r="BA1042" s="4">
        <v>1170</v>
      </c>
    </row>
    <row r="1043" spans="1:72" ht="14.25" customHeight="1" x14ac:dyDescent="0.2">
      <c r="A1043" s="136" t="s">
        <v>88</v>
      </c>
      <c r="B1043" s="4">
        <v>12</v>
      </c>
      <c r="C1043" s="4" t="s">
        <v>1711</v>
      </c>
      <c r="D1043" s="4">
        <v>1323</v>
      </c>
      <c r="E1043" s="4">
        <v>12336</v>
      </c>
      <c r="F1043" s="188" t="s">
        <v>4613</v>
      </c>
      <c r="G1043" s="201" t="s">
        <v>4614</v>
      </c>
      <c r="H1043" s="4" t="s">
        <v>4615</v>
      </c>
      <c r="I1043" s="4" t="s">
        <v>49</v>
      </c>
      <c r="J1043" s="4" t="s">
        <v>1891</v>
      </c>
      <c r="K1043" s="4">
        <v>1</v>
      </c>
      <c r="L1043" s="4">
        <v>14392</v>
      </c>
      <c r="M1043" s="62">
        <v>50.690555600000003</v>
      </c>
      <c r="N1043" s="236">
        <v>-119.1761111</v>
      </c>
      <c r="O1043" s="4" t="s">
        <v>142</v>
      </c>
      <c r="P1043" s="236">
        <v>1323</v>
      </c>
      <c r="Q1043" s="4">
        <v>2</v>
      </c>
      <c r="R1043" s="236" t="s">
        <v>4613</v>
      </c>
      <c r="S1043" s="4" t="s">
        <v>1737</v>
      </c>
      <c r="T1043" s="251">
        <v>892</v>
      </c>
      <c r="U1043"/>
      <c r="W1043" s="236">
        <v>43831</v>
      </c>
      <c r="X1043" s="4" t="s">
        <v>1738</v>
      </c>
      <c r="AK1043" s="7"/>
      <c r="AO1043" s="4" t="s">
        <v>4613</v>
      </c>
      <c r="AP1043" s="4">
        <v>1323</v>
      </c>
      <c r="AQ1043" s="4" t="s">
        <v>1700</v>
      </c>
      <c r="AR1043" s="4" t="s">
        <v>1739</v>
      </c>
      <c r="AS1043" s="4" t="s">
        <v>1740</v>
      </c>
      <c r="AT1043" s="4" t="s">
        <v>1741</v>
      </c>
      <c r="AU1043" s="4" t="s">
        <v>1959</v>
      </c>
      <c r="AV1043" s="4" t="s">
        <v>1720</v>
      </c>
      <c r="AW1043" s="4" t="s">
        <v>2368</v>
      </c>
      <c r="AX1043" s="4" t="s">
        <v>2522</v>
      </c>
      <c r="AY1043" s="4">
        <v>50.690600000000003</v>
      </c>
      <c r="AZ1043" s="4">
        <v>-119.17610000000001</v>
      </c>
      <c r="BA1043" s="4">
        <v>904</v>
      </c>
    </row>
    <row r="1044" spans="1:72" ht="14.25" customHeight="1" x14ac:dyDescent="0.2">
      <c r="A1044" s="136" t="s">
        <v>88</v>
      </c>
      <c r="B1044" s="4">
        <v>12</v>
      </c>
      <c r="C1044" s="4" t="s">
        <v>1711</v>
      </c>
      <c r="D1044" s="4">
        <v>1332</v>
      </c>
      <c r="E1044" s="4">
        <v>12338</v>
      </c>
      <c r="F1044" s="188" t="s">
        <v>4627</v>
      </c>
      <c r="G1044" s="201" t="s">
        <v>4628</v>
      </c>
      <c r="H1044" s="4" t="s">
        <v>4621</v>
      </c>
      <c r="I1044" s="4" t="s">
        <v>49</v>
      </c>
      <c r="J1044" s="4" t="s">
        <v>1891</v>
      </c>
      <c r="K1044" s="4">
        <v>1</v>
      </c>
      <c r="L1044" s="4">
        <v>14395</v>
      </c>
      <c r="M1044" s="62">
        <v>49.27</v>
      </c>
      <c r="N1044" s="236">
        <v>-119.22027780000001</v>
      </c>
      <c r="O1044" s="4" t="s">
        <v>142</v>
      </c>
      <c r="P1044" s="236">
        <v>1332</v>
      </c>
      <c r="Q1044" s="4">
        <v>6</v>
      </c>
      <c r="R1044" s="236" t="s">
        <v>4627</v>
      </c>
      <c r="S1044" s="4" t="s">
        <v>1737</v>
      </c>
      <c r="T1044" s="251">
        <v>1520</v>
      </c>
      <c r="U1044"/>
      <c r="W1044" s="236">
        <v>43831</v>
      </c>
      <c r="X1044" s="4" t="s">
        <v>1738</v>
      </c>
      <c r="AK1044" s="7"/>
      <c r="AO1044" s="4" t="s">
        <v>4627</v>
      </c>
      <c r="AP1044" s="4">
        <v>1332</v>
      </c>
      <c r="AQ1044" s="4" t="s">
        <v>1716</v>
      </c>
      <c r="AR1044" s="4" t="s">
        <v>1739</v>
      </c>
      <c r="AS1044" s="4" t="s">
        <v>1740</v>
      </c>
      <c r="AT1044" s="4" t="s">
        <v>1835</v>
      </c>
      <c r="AU1044" s="4" t="s">
        <v>1704</v>
      </c>
      <c r="AV1044" s="4" t="s">
        <v>1720</v>
      </c>
      <c r="AW1044" s="4" t="s">
        <v>2368</v>
      </c>
      <c r="AX1044" s="4" t="s">
        <v>2516</v>
      </c>
      <c r="AY1044" s="4">
        <v>49.27</v>
      </c>
      <c r="AZ1044" s="4">
        <v>-119.22029999999999</v>
      </c>
      <c r="BA1044" s="4">
        <v>1534</v>
      </c>
    </row>
    <row r="1045" spans="1:72" ht="14.25" customHeight="1" x14ac:dyDescent="0.2">
      <c r="A1045" s="136" t="s">
        <v>88</v>
      </c>
      <c r="B1045" s="4">
        <v>12</v>
      </c>
      <c r="C1045" s="4" t="s">
        <v>1711</v>
      </c>
      <c r="D1045" s="4">
        <v>1345</v>
      </c>
      <c r="E1045" s="4">
        <v>12455</v>
      </c>
      <c r="F1045" s="188" t="s">
        <v>4660</v>
      </c>
      <c r="G1045" s="204" t="s">
        <v>4661</v>
      </c>
      <c r="H1045" s="4" t="s">
        <v>4662</v>
      </c>
      <c r="I1045" s="4" t="s">
        <v>49</v>
      </c>
      <c r="J1045" s="4" t="s">
        <v>1829</v>
      </c>
      <c r="K1045" s="4">
        <v>1</v>
      </c>
      <c r="L1045" s="4">
        <v>14477</v>
      </c>
      <c r="M1045" s="62">
        <v>55.307222199999998</v>
      </c>
      <c r="N1045" s="236">
        <v>-125.3666667</v>
      </c>
      <c r="O1045" s="4" t="s">
        <v>1290</v>
      </c>
      <c r="P1045" s="236">
        <v>1345</v>
      </c>
      <c r="Q1045" s="4">
        <v>1</v>
      </c>
      <c r="R1045" s="236" t="s">
        <v>4660</v>
      </c>
      <c r="S1045" s="4" t="s">
        <v>1737</v>
      </c>
      <c r="T1045" s="251">
        <v>600</v>
      </c>
      <c r="U1045"/>
      <c r="W1045" s="4">
        <v>43831</v>
      </c>
      <c r="X1045" s="4" t="s">
        <v>1738</v>
      </c>
      <c r="AK1045" s="7"/>
      <c r="AO1045" s="4" t="s">
        <v>4660</v>
      </c>
      <c r="AP1045" s="4">
        <v>1345</v>
      </c>
      <c r="AQ1045" s="4" t="s">
        <v>1716</v>
      </c>
      <c r="AR1045" s="4" t="s">
        <v>1739</v>
      </c>
      <c r="AS1045" s="4" t="s">
        <v>1740</v>
      </c>
      <c r="AT1045" s="4" t="s">
        <v>1741</v>
      </c>
      <c r="AU1045" s="4" t="s">
        <v>1742</v>
      </c>
      <c r="AV1045" s="4" t="s">
        <v>1720</v>
      </c>
      <c r="AW1045" s="4" t="s">
        <v>2003</v>
      </c>
      <c r="AX1045" s="4" t="s">
        <v>2099</v>
      </c>
      <c r="AY1045" s="4">
        <v>55.314399999999999</v>
      </c>
      <c r="AZ1045" s="4">
        <v>-125.3484</v>
      </c>
      <c r="BA1045" s="4">
        <v>996</v>
      </c>
    </row>
    <row r="1046" spans="1:72" ht="14.25" customHeight="1" x14ac:dyDescent="0.2">
      <c r="A1046" s="136" t="s">
        <v>88</v>
      </c>
      <c r="B1046" s="4">
        <v>12</v>
      </c>
      <c r="C1046" s="4" t="s">
        <v>1711</v>
      </c>
      <c r="D1046" s="4">
        <v>1358</v>
      </c>
      <c r="E1046" s="4">
        <v>12450</v>
      </c>
      <c r="F1046" s="16" t="s">
        <v>4686</v>
      </c>
      <c r="G1046" s="201" t="s">
        <v>4687</v>
      </c>
      <c r="H1046" s="4" t="s">
        <v>4688</v>
      </c>
      <c r="I1046" s="4" t="s">
        <v>49</v>
      </c>
      <c r="J1046" s="4" t="s">
        <v>1746</v>
      </c>
      <c r="K1046" s="4">
        <v>1</v>
      </c>
      <c r="L1046" s="4">
        <v>14472</v>
      </c>
      <c r="M1046" s="6"/>
      <c r="U1046"/>
      <c r="AK1046" s="7"/>
      <c r="AO1046" s="4" t="s">
        <v>4686</v>
      </c>
      <c r="AP1046" s="4">
        <v>1358</v>
      </c>
      <c r="AQ1046" s="4" t="s">
        <v>1716</v>
      </c>
      <c r="AR1046" s="4" t="s">
        <v>1717</v>
      </c>
      <c r="AS1046" s="4" t="s">
        <v>1718</v>
      </c>
      <c r="AT1046" s="4" t="s">
        <v>1835</v>
      </c>
      <c r="AU1046" s="4" t="s">
        <v>1836</v>
      </c>
      <c r="AV1046" s="4" t="s">
        <v>1720</v>
      </c>
      <c r="AW1046" s="4" t="s">
        <v>1947</v>
      </c>
      <c r="AX1046" s="4" t="s">
        <v>2948</v>
      </c>
      <c r="AY1046" s="4">
        <v>55.374699999999997</v>
      </c>
      <c r="AZ1046" s="4">
        <v>-127.7889</v>
      </c>
      <c r="BA1046" s="4">
        <v>680</v>
      </c>
    </row>
    <row r="1047" spans="1:72" ht="14.25" customHeight="1" x14ac:dyDescent="0.2">
      <c r="A1047" s="136" t="s">
        <v>88</v>
      </c>
      <c r="B1047" s="4">
        <v>12</v>
      </c>
      <c r="C1047" s="4" t="s">
        <v>1711</v>
      </c>
      <c r="D1047" s="4">
        <v>1362</v>
      </c>
      <c r="E1047" s="4">
        <v>12453</v>
      </c>
      <c r="F1047" s="188" t="s">
        <v>4691</v>
      </c>
      <c r="G1047" s="201" t="s">
        <v>4692</v>
      </c>
      <c r="H1047" s="4" t="s">
        <v>4693</v>
      </c>
      <c r="I1047" s="4" t="s">
        <v>49</v>
      </c>
      <c r="J1047" s="4" t="s">
        <v>1746</v>
      </c>
      <c r="K1047" s="4">
        <v>1</v>
      </c>
      <c r="L1047" s="4">
        <v>14475</v>
      </c>
      <c r="M1047" s="6">
        <v>49.610199999999999</v>
      </c>
      <c r="N1047" s="9">
        <v>-126.03270000000001</v>
      </c>
      <c r="O1047" s="9" t="s">
        <v>51</v>
      </c>
      <c r="P1047" s="9">
        <v>1362</v>
      </c>
      <c r="Q1047" s="20">
        <v>1</v>
      </c>
      <c r="R1047" s="9" t="s">
        <v>4691</v>
      </c>
      <c r="S1047" s="9" t="s">
        <v>4045</v>
      </c>
      <c r="T1047" s="9">
        <v>71</v>
      </c>
      <c r="U1047" s="9"/>
      <c r="V1047" s="9"/>
      <c r="W1047" s="21">
        <v>43648</v>
      </c>
      <c r="X1047" s="9" t="s">
        <v>1738</v>
      </c>
      <c r="AK1047" s="7"/>
      <c r="AO1047" s="4" t="s">
        <v>4691</v>
      </c>
      <c r="AP1047" s="4">
        <v>1362</v>
      </c>
      <c r="AQ1047" s="4" t="s">
        <v>1716</v>
      </c>
      <c r="AR1047" s="4" t="s">
        <v>1739</v>
      </c>
      <c r="AS1047" s="4" t="s">
        <v>1740</v>
      </c>
      <c r="AT1047" s="4" t="s">
        <v>1741</v>
      </c>
      <c r="AU1047" s="4" t="s">
        <v>1742</v>
      </c>
      <c r="AV1047" s="4" t="s">
        <v>1720</v>
      </c>
      <c r="AW1047" s="4" t="s">
        <v>1705</v>
      </c>
      <c r="AX1047" s="4" t="s">
        <v>1723</v>
      </c>
      <c r="AY1047" s="4">
        <v>49.610199999999999</v>
      </c>
      <c r="AZ1047" s="4">
        <v>-126.03270000000001</v>
      </c>
      <c r="BA1047" s="4">
        <v>71</v>
      </c>
    </row>
    <row r="1048" spans="1:72" ht="14.25" customHeight="1" x14ac:dyDescent="0.2">
      <c r="A1048" s="136" t="s">
        <v>88</v>
      </c>
      <c r="B1048" s="4">
        <v>12</v>
      </c>
      <c r="C1048" s="4" t="s">
        <v>1711</v>
      </c>
      <c r="D1048" s="4">
        <v>1375</v>
      </c>
      <c r="E1048" s="4">
        <v>12452</v>
      </c>
      <c r="F1048" s="188" t="s">
        <v>4694</v>
      </c>
      <c r="G1048" s="201" t="s">
        <v>7848</v>
      </c>
      <c r="H1048" s="4" t="s">
        <v>4696</v>
      </c>
      <c r="I1048" s="4" t="s">
        <v>49</v>
      </c>
      <c r="J1048" s="4" t="s">
        <v>1891</v>
      </c>
      <c r="K1048" s="4">
        <v>1</v>
      </c>
      <c r="L1048" s="4">
        <v>14474</v>
      </c>
      <c r="M1048" s="6">
        <v>49.874444400000002</v>
      </c>
      <c r="N1048" s="9">
        <v>-122.2811111</v>
      </c>
      <c r="O1048" s="9" t="s">
        <v>51</v>
      </c>
      <c r="P1048" s="9">
        <v>1375</v>
      </c>
      <c r="Q1048" s="20">
        <v>2</v>
      </c>
      <c r="R1048" s="9" t="s">
        <v>4694</v>
      </c>
      <c r="S1048" s="9" t="s">
        <v>1737</v>
      </c>
      <c r="T1048" s="9">
        <v>305</v>
      </c>
      <c r="U1048" s="9"/>
      <c r="V1048" s="9"/>
      <c r="W1048" s="21">
        <v>43831</v>
      </c>
      <c r="X1048" s="9" t="s">
        <v>1738</v>
      </c>
      <c r="AK1048" s="7"/>
      <c r="AO1048" s="4" t="s">
        <v>4694</v>
      </c>
      <c r="AP1048" s="4">
        <v>1375</v>
      </c>
      <c r="AQ1048" s="4" t="s">
        <v>1716</v>
      </c>
      <c r="AR1048" s="4" t="s">
        <v>1739</v>
      </c>
      <c r="AS1048" s="4" t="s">
        <v>1740</v>
      </c>
      <c r="AT1048" s="4" t="s">
        <v>1741</v>
      </c>
      <c r="AU1048" s="4" t="s">
        <v>1742</v>
      </c>
      <c r="AV1048" s="4" t="s">
        <v>1720</v>
      </c>
      <c r="AW1048" s="4" t="s">
        <v>1705</v>
      </c>
      <c r="AX1048" s="4" t="s">
        <v>1883</v>
      </c>
      <c r="AY1048" s="4">
        <v>49.874699999999997</v>
      </c>
      <c r="AZ1048" s="4">
        <v>-122.2816</v>
      </c>
      <c r="BA1048" s="4">
        <v>308</v>
      </c>
    </row>
    <row r="1049" spans="1:72" ht="14.25" customHeight="1" x14ac:dyDescent="0.2">
      <c r="A1049" s="136" t="s">
        <v>88</v>
      </c>
      <c r="B1049" s="4">
        <v>5</v>
      </c>
      <c r="C1049" s="4" t="s">
        <v>6010</v>
      </c>
      <c r="D1049" s="4" t="s">
        <v>6137</v>
      </c>
      <c r="E1049" s="4">
        <v>2442</v>
      </c>
      <c r="F1049" s="188" t="s">
        <v>6138</v>
      </c>
      <c r="G1049" s="201" t="s">
        <v>6139</v>
      </c>
      <c r="H1049" s="4" t="s">
        <v>6040</v>
      </c>
      <c r="I1049" s="4" t="s">
        <v>1664</v>
      </c>
      <c r="J1049" s="4" t="s">
        <v>6046</v>
      </c>
      <c r="K1049" s="4">
        <v>1</v>
      </c>
      <c r="L1049" s="4">
        <v>2845</v>
      </c>
      <c r="M1049" s="6">
        <v>-123.529025</v>
      </c>
      <c r="N1049" s="9">
        <v>49.710866670000001</v>
      </c>
      <c r="O1049" s="9">
        <v>10</v>
      </c>
      <c r="P1049" s="4" t="s">
        <v>6137</v>
      </c>
      <c r="Q1049" s="70">
        <v>1</v>
      </c>
      <c r="R1049" s="9" t="s">
        <v>6138</v>
      </c>
      <c r="S1049" s="9" t="s">
        <v>6009</v>
      </c>
      <c r="U1049"/>
      <c r="AK1049" s="260"/>
    </row>
    <row r="1050" spans="1:72" ht="14.25" customHeight="1" x14ac:dyDescent="0.2">
      <c r="A1050" s="136" t="s">
        <v>88</v>
      </c>
      <c r="B1050" s="4">
        <v>5</v>
      </c>
      <c r="C1050" s="4" t="s">
        <v>6010</v>
      </c>
      <c r="D1050" s="4" t="s">
        <v>6157</v>
      </c>
      <c r="E1050" s="4">
        <v>2446</v>
      </c>
      <c r="F1050" s="188" t="s">
        <v>6158</v>
      </c>
      <c r="G1050" s="201" t="s">
        <v>6159</v>
      </c>
      <c r="H1050" s="4" t="s">
        <v>6074</v>
      </c>
      <c r="I1050" s="4" t="s">
        <v>1664</v>
      </c>
      <c r="J1050" s="4" t="s">
        <v>6046</v>
      </c>
      <c r="K1050" s="4">
        <v>1</v>
      </c>
      <c r="L1050" s="4">
        <v>2849</v>
      </c>
      <c r="M1050" s="6">
        <v>-125.0961111111111</v>
      </c>
      <c r="N1050" s="9">
        <v>49.643655555555554</v>
      </c>
      <c r="O1050" s="9">
        <v>138</v>
      </c>
      <c r="P1050" s="4" t="s">
        <v>6157</v>
      </c>
      <c r="Q1050" s="70">
        <v>3</v>
      </c>
      <c r="R1050" s="9" t="s">
        <v>6160</v>
      </c>
      <c r="S1050" s="9" t="s">
        <v>6009</v>
      </c>
      <c r="U1050"/>
      <c r="AK1050" s="260"/>
    </row>
    <row r="1051" spans="1:72" ht="14.25" customHeight="1" x14ac:dyDescent="0.2">
      <c r="A1051" s="136" t="s">
        <v>88</v>
      </c>
      <c r="B1051" s="4">
        <v>5</v>
      </c>
      <c r="C1051" s="4" t="s">
        <v>6010</v>
      </c>
      <c r="D1051" s="4" t="s">
        <v>6217</v>
      </c>
      <c r="E1051" s="4">
        <v>13213</v>
      </c>
      <c r="F1051" s="188" t="s">
        <v>6218</v>
      </c>
      <c r="G1051" s="201" t="s">
        <v>7847</v>
      </c>
      <c r="H1051" s="4" t="s">
        <v>6014</v>
      </c>
      <c r="I1051" s="4" t="s">
        <v>49</v>
      </c>
      <c r="J1051" s="4" t="s">
        <v>6087</v>
      </c>
      <c r="K1051" s="4">
        <v>1</v>
      </c>
      <c r="L1051" s="4">
        <v>15129</v>
      </c>
      <c r="M1051" s="6">
        <v>-116.971343</v>
      </c>
      <c r="N1051" s="9">
        <v>50.238723</v>
      </c>
      <c r="O1051" s="9">
        <v>559</v>
      </c>
      <c r="P1051" s="4" t="s">
        <v>6217</v>
      </c>
      <c r="Q1051" s="70">
        <v>1</v>
      </c>
      <c r="R1051" s="9" t="s">
        <v>6218</v>
      </c>
      <c r="S1051" s="9" t="s">
        <v>6009</v>
      </c>
      <c r="U1051"/>
      <c r="AK1051" s="260"/>
    </row>
    <row r="1052" spans="1:72" ht="14.25" customHeight="1" x14ac:dyDescent="0.2">
      <c r="A1052" s="137" t="s">
        <v>88</v>
      </c>
      <c r="B1052" s="4">
        <v>5</v>
      </c>
      <c r="C1052" s="4" t="s">
        <v>6010</v>
      </c>
      <c r="D1052" s="4" t="s">
        <v>6344</v>
      </c>
      <c r="E1052" s="4">
        <v>13120</v>
      </c>
      <c r="F1052" s="188" t="s">
        <v>6345</v>
      </c>
      <c r="G1052" s="274" t="s">
        <v>6346</v>
      </c>
      <c r="H1052" s="4" t="s">
        <v>6347</v>
      </c>
      <c r="I1052" s="4" t="s">
        <v>49</v>
      </c>
      <c r="J1052" s="4" t="s">
        <v>6021</v>
      </c>
      <c r="K1052" s="4">
        <v>1</v>
      </c>
      <c r="L1052" s="4">
        <v>15042</v>
      </c>
      <c r="M1052" s="6">
        <v>-122.94224199999999</v>
      </c>
      <c r="N1052" s="9">
        <v>50.730978999999998</v>
      </c>
      <c r="O1052" s="9">
        <v>1012</v>
      </c>
      <c r="P1052" s="4" t="s">
        <v>6344</v>
      </c>
      <c r="Q1052" s="70">
        <v>3</v>
      </c>
      <c r="R1052" s="9" t="s">
        <v>6345</v>
      </c>
      <c r="S1052" s="9" t="s">
        <v>6009</v>
      </c>
      <c r="U1052"/>
      <c r="AK1052" s="260"/>
    </row>
    <row r="1053" spans="1:72" ht="14.25" customHeight="1" x14ac:dyDescent="0.2">
      <c r="A1053" s="136" t="s">
        <v>88</v>
      </c>
      <c r="B1053" s="4">
        <v>5</v>
      </c>
      <c r="C1053" s="4" t="s">
        <v>6010</v>
      </c>
      <c r="D1053" s="4" t="s">
        <v>6484</v>
      </c>
      <c r="E1053" s="4">
        <v>2490</v>
      </c>
      <c r="F1053" s="4" t="s">
        <v>6485</v>
      </c>
      <c r="G1053" s="201" t="s">
        <v>6486</v>
      </c>
      <c r="H1053" s="4" t="s">
        <v>6040</v>
      </c>
      <c r="I1053" s="4" t="s">
        <v>1664</v>
      </c>
      <c r="J1053" s="4" t="s">
        <v>6041</v>
      </c>
      <c r="K1053" s="4">
        <v>1</v>
      </c>
      <c r="L1053" s="4">
        <v>2893</v>
      </c>
      <c r="M1053" s="6">
        <v>-122.1375833</v>
      </c>
      <c r="N1053" s="9">
        <v>54.605555559999999</v>
      </c>
      <c r="O1053" s="9">
        <v>790</v>
      </c>
      <c r="P1053" s="4" t="s">
        <v>6484</v>
      </c>
      <c r="Q1053" s="70">
        <v>2</v>
      </c>
      <c r="R1053" s="9" t="s">
        <v>6485</v>
      </c>
      <c r="S1053" s="9" t="s">
        <v>6009</v>
      </c>
      <c r="U1053"/>
      <c r="AK1053" s="260"/>
    </row>
    <row r="1054" spans="1:72" ht="14.25" customHeight="1" x14ac:dyDescent="0.2">
      <c r="A1054" s="137" t="s">
        <v>88</v>
      </c>
      <c r="B1054" s="4">
        <v>5</v>
      </c>
      <c r="C1054" s="4" t="s">
        <v>6010</v>
      </c>
      <c r="D1054" s="4" t="s">
        <v>6542</v>
      </c>
      <c r="E1054" s="4">
        <v>13124</v>
      </c>
      <c r="F1054" s="9" t="s">
        <v>6543</v>
      </c>
      <c r="G1054" s="273" t="s">
        <v>6544</v>
      </c>
      <c r="H1054" s="4" t="s">
        <v>6545</v>
      </c>
      <c r="I1054" s="4" t="s">
        <v>49</v>
      </c>
      <c r="J1054" s="4" t="s">
        <v>6021</v>
      </c>
      <c r="K1054" s="4">
        <v>1</v>
      </c>
      <c r="L1054" s="4">
        <v>15046</v>
      </c>
      <c r="M1054" s="6">
        <v>-125.66976699999999</v>
      </c>
      <c r="N1054" s="9">
        <v>50.093618999999997</v>
      </c>
      <c r="O1054" s="9">
        <v>226</v>
      </c>
      <c r="P1054" s="203" t="s">
        <v>6542</v>
      </c>
      <c r="Q1054" s="70">
        <v>2</v>
      </c>
      <c r="R1054" s="9" t="s">
        <v>6543</v>
      </c>
      <c r="S1054" s="9" t="s">
        <v>6009</v>
      </c>
      <c r="T1054" s="9"/>
      <c r="U1054" s="9"/>
      <c r="V1054" s="9"/>
      <c r="W1054" s="9"/>
      <c r="X1054" s="9"/>
      <c r="Y1054" s="9"/>
      <c r="Z1054" s="9"/>
      <c r="AA1054" s="9"/>
      <c r="AB1054" s="9"/>
      <c r="AC1054" s="9"/>
      <c r="AD1054" s="9"/>
      <c r="AE1054" s="9"/>
      <c r="AF1054" s="9"/>
      <c r="AG1054" s="9"/>
      <c r="AH1054" s="9"/>
      <c r="AI1054" s="9"/>
      <c r="AJ1054" s="9"/>
      <c r="AK1054" s="7"/>
      <c r="AL1054" s="9"/>
      <c r="AM1054" s="9"/>
      <c r="AN1054" s="9"/>
      <c r="AO1054" s="9"/>
      <c r="AP1054" s="9"/>
      <c r="AQ1054" s="9"/>
      <c r="AR1054" s="9"/>
      <c r="AS1054" s="9"/>
      <c r="AT1054" s="9"/>
      <c r="AU1054" s="9"/>
      <c r="AV1054" s="9"/>
      <c r="AW1054" s="9"/>
      <c r="AX1054" s="9"/>
      <c r="AY1054" s="9"/>
      <c r="AZ1054" s="9"/>
      <c r="BA1054" s="9"/>
      <c r="BB1054" s="9"/>
      <c r="BC1054" s="9"/>
      <c r="BD1054" s="9"/>
      <c r="BE1054" s="9"/>
      <c r="BF1054" s="9"/>
      <c r="BG1054" s="9"/>
      <c r="BH1054" s="9"/>
      <c r="BI1054" s="9"/>
      <c r="BJ1054" s="9"/>
      <c r="BK1054" s="9"/>
      <c r="BL1054" s="9"/>
      <c r="BM1054" s="9"/>
      <c r="BN1054" s="9"/>
      <c r="BO1054" s="9"/>
      <c r="BP1054" s="9"/>
      <c r="BQ1054" s="9"/>
      <c r="BR1054" s="9"/>
      <c r="BS1054" s="9"/>
      <c r="BT1054" s="9"/>
    </row>
    <row r="1055" spans="1:72" ht="14.25" customHeight="1" x14ac:dyDescent="0.2">
      <c r="A1055" s="136" t="s">
        <v>88</v>
      </c>
      <c r="B1055" s="4">
        <v>5</v>
      </c>
      <c r="C1055" s="4" t="s">
        <v>6010</v>
      </c>
      <c r="D1055" s="4" t="s">
        <v>6590</v>
      </c>
      <c r="E1055" s="4">
        <v>12409</v>
      </c>
      <c r="F1055" s="9" t="s">
        <v>6591</v>
      </c>
      <c r="G1055" s="201" t="s">
        <v>6592</v>
      </c>
      <c r="H1055" s="4" t="s">
        <v>6289</v>
      </c>
      <c r="I1055" s="4" t="s">
        <v>641</v>
      </c>
      <c r="J1055" s="4" t="s">
        <v>6021</v>
      </c>
      <c r="K1055" s="4">
        <v>1</v>
      </c>
      <c r="L1055" s="4">
        <v>14431</v>
      </c>
      <c r="M1055" s="6">
        <v>-122.2397222</v>
      </c>
      <c r="N1055" s="9">
        <v>56.83</v>
      </c>
      <c r="O1055" s="9">
        <v>1011</v>
      </c>
      <c r="P1055" s="4" t="s">
        <v>6590</v>
      </c>
      <c r="Q1055" s="70">
        <v>8</v>
      </c>
      <c r="R1055" s="9" t="s">
        <v>6591</v>
      </c>
      <c r="S1055" s="9" t="s">
        <v>6009</v>
      </c>
      <c r="T1055" s="9"/>
      <c r="U1055" s="9"/>
      <c r="V1055" s="9"/>
      <c r="W1055" s="9"/>
      <c r="X1055" s="9"/>
      <c r="Y1055" s="9"/>
      <c r="Z1055" s="9"/>
      <c r="AA1055" s="9"/>
      <c r="AB1055" s="9"/>
      <c r="AC1055" s="9"/>
      <c r="AD1055" s="9"/>
      <c r="AE1055" s="9"/>
      <c r="AF1055" s="9"/>
      <c r="AG1055" s="9"/>
      <c r="AH1055" s="9"/>
      <c r="AI1055" s="9"/>
      <c r="AJ1055" s="9"/>
      <c r="AK1055" s="7"/>
      <c r="AL1055" s="9"/>
      <c r="AM1055" s="9"/>
      <c r="AN1055" s="9"/>
      <c r="AO1055" s="9"/>
      <c r="AP1055" s="9"/>
      <c r="AQ1055" s="9"/>
      <c r="AR1055" s="9"/>
      <c r="AS1055" s="9"/>
      <c r="AT1055" s="9"/>
      <c r="AU1055" s="9"/>
      <c r="AV1055" s="9"/>
      <c r="AW1055" s="9"/>
      <c r="AX1055" s="9"/>
      <c r="AY1055" s="9"/>
      <c r="AZ1055" s="9"/>
      <c r="BA1055" s="9"/>
      <c r="BB1055" s="9"/>
      <c r="BC1055" s="9"/>
      <c r="BD1055" s="9"/>
      <c r="BE1055" s="9"/>
      <c r="BF1055" s="9"/>
      <c r="BG1055" s="9"/>
      <c r="BH1055" s="9"/>
      <c r="BI1055" s="9"/>
      <c r="BJ1055" s="9"/>
      <c r="BK1055" s="9"/>
      <c r="BL1055" s="9"/>
      <c r="BM1055" s="9"/>
      <c r="BN1055" s="9"/>
      <c r="BO1055" s="9"/>
      <c r="BP1055" s="9"/>
      <c r="BQ1055" s="9"/>
      <c r="BR1055" s="9"/>
      <c r="BS1055" s="9"/>
      <c r="BT1055" s="9"/>
    </row>
    <row r="1056" spans="1:72" ht="14.25" customHeight="1" x14ac:dyDescent="0.2">
      <c r="A1056" s="137" t="s">
        <v>88</v>
      </c>
      <c r="B1056" s="4">
        <v>5</v>
      </c>
      <c r="C1056" s="4" t="s">
        <v>6010</v>
      </c>
      <c r="D1056" s="4" t="s">
        <v>6593</v>
      </c>
      <c r="E1056" s="4">
        <v>13117</v>
      </c>
      <c r="F1056" s="188" t="s">
        <v>6594</v>
      </c>
      <c r="G1056" s="295" t="s">
        <v>6595</v>
      </c>
      <c r="H1056" s="4" t="s">
        <v>6086</v>
      </c>
      <c r="I1056" s="4" t="s">
        <v>49</v>
      </c>
      <c r="J1056" s="4" t="s">
        <v>6087</v>
      </c>
      <c r="K1056" s="4">
        <v>1</v>
      </c>
      <c r="L1056" s="4">
        <v>15039</v>
      </c>
      <c r="M1056" s="6">
        <v>-124.096333</v>
      </c>
      <c r="N1056" s="9">
        <v>55.416350000000001</v>
      </c>
      <c r="O1056" s="9">
        <v>1189</v>
      </c>
      <c r="P1056" s="4" t="s">
        <v>6593</v>
      </c>
      <c r="Q1056" s="70">
        <v>5</v>
      </c>
      <c r="R1056" s="9" t="s">
        <v>6594</v>
      </c>
      <c r="S1056" s="9" t="s">
        <v>6009</v>
      </c>
      <c r="U1056"/>
      <c r="AK1056" s="260"/>
    </row>
    <row r="1057" spans="1:53" ht="14.25" customHeight="1" x14ac:dyDescent="0.2">
      <c r="A1057" s="136" t="s">
        <v>88</v>
      </c>
      <c r="B1057" s="4">
        <v>5</v>
      </c>
      <c r="C1057" s="4" t="s">
        <v>6010</v>
      </c>
      <c r="D1057" s="4" t="s">
        <v>6632</v>
      </c>
      <c r="E1057" s="4">
        <v>2509</v>
      </c>
      <c r="F1057" s="188" t="s">
        <v>6633</v>
      </c>
      <c r="G1057" s="201" t="s">
        <v>6634</v>
      </c>
      <c r="H1057" s="4" t="s">
        <v>6635</v>
      </c>
      <c r="I1057" s="4" t="s">
        <v>1664</v>
      </c>
      <c r="J1057" s="4" t="s">
        <v>6046</v>
      </c>
      <c r="K1057" s="4">
        <v>1</v>
      </c>
      <c r="L1057" s="4">
        <v>2912</v>
      </c>
      <c r="M1057" s="6">
        <v>-121.1381111</v>
      </c>
      <c r="N1057" s="9">
        <v>56.728930560000002</v>
      </c>
      <c r="O1057" s="9">
        <v>925</v>
      </c>
      <c r="P1057" s="4" t="s">
        <v>6632</v>
      </c>
      <c r="Q1057" s="70">
        <v>7</v>
      </c>
      <c r="R1057" s="9" t="s">
        <v>6633</v>
      </c>
      <c r="S1057" s="9" t="s">
        <v>6009</v>
      </c>
      <c r="U1057"/>
      <c r="AK1057" s="260"/>
      <c r="AO1057" s="192"/>
    </row>
    <row r="1058" spans="1:53" ht="14.25" customHeight="1" x14ac:dyDescent="0.2">
      <c r="A1058" s="136" t="s">
        <v>88</v>
      </c>
      <c r="B1058" s="138">
        <v>11</v>
      </c>
      <c r="C1058" s="137" t="s">
        <v>7179</v>
      </c>
      <c r="D1058" s="136" t="s">
        <v>7261</v>
      </c>
      <c r="E1058" s="136">
        <v>12056</v>
      </c>
      <c r="F1058" s="181" t="s">
        <v>7262</v>
      </c>
      <c r="G1058" s="205" t="s">
        <v>7263</v>
      </c>
      <c r="H1058" s="136" t="s">
        <v>7264</v>
      </c>
      <c r="I1058" s="136" t="s">
        <v>641</v>
      </c>
      <c r="J1058" s="136" t="s">
        <v>7265</v>
      </c>
      <c r="K1058" s="136">
        <v>1</v>
      </c>
      <c r="L1058" s="136">
        <v>14112</v>
      </c>
      <c r="M1058" s="143">
        <v>55.108173000000001</v>
      </c>
      <c r="N1058" s="138">
        <v>-127.37474</v>
      </c>
      <c r="O1058" s="138" t="s">
        <v>51</v>
      </c>
      <c r="P1058" s="138" t="s">
        <v>7266</v>
      </c>
      <c r="Q1058" s="139">
        <v>3</v>
      </c>
      <c r="R1058" s="138" t="s">
        <v>7267</v>
      </c>
      <c r="S1058" s="140" t="str">
        <f t="shared" ref="S1058:S1073" si="12">UPPER(R1058)</f>
        <v>BOULDERWX</v>
      </c>
      <c r="T1058" s="138" t="s">
        <v>4344</v>
      </c>
      <c r="U1058" s="138">
        <v>385</v>
      </c>
      <c r="V1058" s="138"/>
      <c r="W1058" s="138" t="s">
        <v>7268</v>
      </c>
      <c r="X1058" s="141" t="s">
        <v>7269</v>
      </c>
      <c r="Y1058" s="138" t="s">
        <v>7252</v>
      </c>
      <c r="AK1058" s="260"/>
      <c r="AO1058" s="192"/>
    </row>
    <row r="1059" spans="1:53" ht="14.25" customHeight="1" x14ac:dyDescent="0.2">
      <c r="A1059" s="136" t="s">
        <v>88</v>
      </c>
      <c r="B1059" s="138">
        <v>11</v>
      </c>
      <c r="C1059" s="137" t="s">
        <v>7179</v>
      </c>
      <c r="D1059" s="136">
        <v>1113694</v>
      </c>
      <c r="E1059" s="136">
        <v>1604</v>
      </c>
      <c r="F1059" s="283" t="s">
        <v>7276</v>
      </c>
      <c r="G1059" s="205" t="s">
        <v>7277</v>
      </c>
      <c r="H1059" s="136" t="s">
        <v>7278</v>
      </c>
      <c r="I1059" s="136" t="s">
        <v>641</v>
      </c>
      <c r="J1059" s="136" t="s">
        <v>7279</v>
      </c>
      <c r="K1059" s="136">
        <v>1</v>
      </c>
      <c r="L1059" s="136">
        <v>2007</v>
      </c>
      <c r="M1059" s="143">
        <v>53.772182999999998</v>
      </c>
      <c r="N1059" s="138">
        <v>-122.72072900000001</v>
      </c>
      <c r="O1059" s="138" t="s">
        <v>1290</v>
      </c>
      <c r="P1059" s="138" t="s">
        <v>7280</v>
      </c>
      <c r="Q1059" s="139">
        <v>1</v>
      </c>
      <c r="R1059" s="138" t="s">
        <v>7276</v>
      </c>
      <c r="S1059" s="140" t="str">
        <f t="shared" si="12"/>
        <v>BULKLEYWX</v>
      </c>
      <c r="T1059" s="138" t="s">
        <v>4344</v>
      </c>
      <c r="U1059" s="138">
        <v>594</v>
      </c>
      <c r="V1059" s="138"/>
      <c r="W1059" s="138" t="s">
        <v>7281</v>
      </c>
      <c r="X1059" s="141" t="s">
        <v>7282</v>
      </c>
      <c r="Y1059" s="138" t="s">
        <v>7252</v>
      </c>
      <c r="AK1059" s="260"/>
    </row>
    <row r="1060" spans="1:53" ht="14.25" customHeight="1" x14ac:dyDescent="0.2">
      <c r="A1060" s="136" t="s">
        <v>88</v>
      </c>
      <c r="B1060" s="138">
        <v>11</v>
      </c>
      <c r="C1060" s="137" t="s">
        <v>7179</v>
      </c>
      <c r="D1060" s="136" t="s">
        <v>7301</v>
      </c>
      <c r="E1060" s="136">
        <v>13070</v>
      </c>
      <c r="F1060" s="283" t="s">
        <v>7302</v>
      </c>
      <c r="G1060" s="205" t="s">
        <v>7303</v>
      </c>
      <c r="H1060" s="136" t="s">
        <v>7304</v>
      </c>
      <c r="I1060" s="136" t="s">
        <v>49</v>
      </c>
      <c r="J1060" s="136" t="s">
        <v>7265</v>
      </c>
      <c r="K1060" s="136">
        <v>1</v>
      </c>
      <c r="L1060" s="136">
        <v>14994</v>
      </c>
      <c r="M1060" s="143">
        <v>54.238028</v>
      </c>
      <c r="N1060" s="138">
        <v>-122.877306</v>
      </c>
      <c r="O1060" s="138" t="s">
        <v>1290</v>
      </c>
      <c r="P1060" s="138" t="s">
        <v>7305</v>
      </c>
      <c r="Q1060" s="139">
        <v>1</v>
      </c>
      <c r="R1060" s="138" t="s">
        <v>7306</v>
      </c>
      <c r="S1060" s="140" t="str">
        <f t="shared" si="12"/>
        <v>CHIEFLAKEWX</v>
      </c>
      <c r="T1060" s="138" t="s">
        <v>4344</v>
      </c>
      <c r="U1060" s="138">
        <v>720</v>
      </c>
      <c r="V1060" s="138"/>
      <c r="W1060" s="138" t="s">
        <v>7307</v>
      </c>
      <c r="X1060" s="141" t="s">
        <v>7308</v>
      </c>
      <c r="Y1060" s="138" t="s">
        <v>7252</v>
      </c>
      <c r="AK1060" s="260"/>
      <c r="AO1060" s="192"/>
    </row>
    <row r="1061" spans="1:53" ht="14.25" customHeight="1" x14ac:dyDescent="0.2">
      <c r="A1061" s="136" t="s">
        <v>88</v>
      </c>
      <c r="B1061" s="138">
        <v>11</v>
      </c>
      <c r="C1061" s="137" t="s">
        <v>7179</v>
      </c>
      <c r="D1061" s="136">
        <v>1113682</v>
      </c>
      <c r="E1061" s="136">
        <v>1606</v>
      </c>
      <c r="F1061" s="136" t="s">
        <v>7316</v>
      </c>
      <c r="G1061" s="136" t="s">
        <v>7317</v>
      </c>
      <c r="H1061" s="136" t="s">
        <v>7318</v>
      </c>
      <c r="I1061" s="136" t="s">
        <v>641</v>
      </c>
      <c r="J1061" s="136" t="s">
        <v>7279</v>
      </c>
      <c r="K1061" s="136">
        <v>1</v>
      </c>
      <c r="L1061" s="136">
        <v>2009</v>
      </c>
      <c r="M1061" s="143">
        <v>53.753774999999997</v>
      </c>
      <c r="N1061" s="138">
        <v>-122.718864</v>
      </c>
      <c r="O1061" s="138" t="s">
        <v>1290</v>
      </c>
      <c r="P1061" s="138" t="s">
        <v>7319</v>
      </c>
      <c r="Q1061" s="139">
        <v>1</v>
      </c>
      <c r="R1061" s="138" t="s">
        <v>7316</v>
      </c>
      <c r="S1061" s="140" t="str">
        <f t="shared" si="12"/>
        <v>CPFWX</v>
      </c>
      <c r="T1061" s="138" t="s">
        <v>4344</v>
      </c>
      <c r="U1061" s="138">
        <v>593</v>
      </c>
      <c r="V1061" s="138"/>
      <c r="W1061" s="138" t="s">
        <v>7320</v>
      </c>
      <c r="X1061" s="141" t="s">
        <v>7321</v>
      </c>
      <c r="Y1061" s="138" t="s">
        <v>7252</v>
      </c>
      <c r="AK1061" s="260"/>
    </row>
    <row r="1062" spans="1:53" ht="14.25" customHeight="1" x14ac:dyDescent="0.2">
      <c r="A1062" s="136" t="s">
        <v>88</v>
      </c>
      <c r="B1062" s="138">
        <v>11</v>
      </c>
      <c r="C1062" s="137" t="s">
        <v>7179</v>
      </c>
      <c r="D1062" s="136" t="s">
        <v>7325</v>
      </c>
      <c r="E1062" s="136">
        <v>12058</v>
      </c>
      <c r="F1062" s="181" t="s">
        <v>7326</v>
      </c>
      <c r="G1062" s="296" t="s">
        <v>7327</v>
      </c>
      <c r="H1062" s="136" t="s">
        <v>7328</v>
      </c>
      <c r="I1062" s="136" t="s">
        <v>641</v>
      </c>
      <c r="J1062" s="136" t="s">
        <v>7265</v>
      </c>
      <c r="K1062" s="136">
        <v>1</v>
      </c>
      <c r="L1062" s="136">
        <v>14114</v>
      </c>
      <c r="M1062" s="143">
        <v>54.423493999999998</v>
      </c>
      <c r="N1062" s="138">
        <v>-122.627844</v>
      </c>
      <c r="O1062" s="138" t="s">
        <v>1290</v>
      </c>
      <c r="P1062" s="138" t="s">
        <v>7329</v>
      </c>
      <c r="Q1062" s="139">
        <v>1</v>
      </c>
      <c r="R1062" s="138" t="s">
        <v>7330</v>
      </c>
      <c r="S1062" s="140" t="str">
        <f t="shared" si="12"/>
        <v>CRYSTALWX</v>
      </c>
      <c r="T1062" s="138" t="s">
        <v>4344</v>
      </c>
      <c r="U1062" s="138">
        <v>744</v>
      </c>
      <c r="V1062" s="138"/>
      <c r="W1062" s="138" t="s">
        <v>7331</v>
      </c>
      <c r="X1062" s="141" t="s">
        <v>7332</v>
      </c>
      <c r="Y1062" s="138" t="s">
        <v>7252</v>
      </c>
      <c r="AK1062" s="260"/>
    </row>
    <row r="1063" spans="1:53" ht="14.25" customHeight="1" x14ac:dyDescent="0.2">
      <c r="A1063" s="136" t="s">
        <v>88</v>
      </c>
      <c r="B1063" s="138">
        <v>11</v>
      </c>
      <c r="C1063" s="137" t="s">
        <v>7179</v>
      </c>
      <c r="D1063" s="136" t="s">
        <v>7337</v>
      </c>
      <c r="E1063" s="136">
        <v>13256</v>
      </c>
      <c r="F1063" s="181" t="s">
        <v>7337</v>
      </c>
      <c r="G1063" s="205" t="s">
        <v>7338</v>
      </c>
      <c r="H1063" s="136" t="s">
        <v>7339</v>
      </c>
      <c r="I1063" s="136" t="s">
        <v>49</v>
      </c>
      <c r="J1063" s="136" t="s">
        <v>7250</v>
      </c>
      <c r="K1063" s="136">
        <v>1</v>
      </c>
      <c r="L1063" s="136">
        <v>15172</v>
      </c>
      <c r="M1063" s="143">
        <v>54.782170000000001</v>
      </c>
      <c r="N1063" s="138">
        <v>-127.514341</v>
      </c>
      <c r="O1063" s="138" t="s">
        <v>148</v>
      </c>
      <c r="P1063" s="138" t="s">
        <v>7340</v>
      </c>
      <c r="Q1063" s="139">
        <v>3</v>
      </c>
      <c r="R1063" s="138" t="s">
        <v>7337</v>
      </c>
      <c r="S1063" s="140" t="str">
        <f t="shared" si="12"/>
        <v>DENNIS</v>
      </c>
      <c r="T1063" s="138" t="s">
        <v>4344</v>
      </c>
      <c r="U1063" s="138">
        <v>980</v>
      </c>
      <c r="V1063" s="138"/>
      <c r="W1063" s="138"/>
      <c r="X1063" s="141" t="s">
        <v>7341</v>
      </c>
      <c r="Y1063" s="138" t="s">
        <v>7252</v>
      </c>
      <c r="AK1063" s="260"/>
    </row>
    <row r="1064" spans="1:53" ht="14.25" customHeight="1" x14ac:dyDescent="0.2">
      <c r="A1064" s="136" t="s">
        <v>88</v>
      </c>
      <c r="B1064" s="138">
        <v>11</v>
      </c>
      <c r="C1064" s="137" t="s">
        <v>7179</v>
      </c>
      <c r="D1064" s="136">
        <v>1159701</v>
      </c>
      <c r="E1064" s="136">
        <v>1600</v>
      </c>
      <c r="F1064" s="136" t="s">
        <v>7349</v>
      </c>
      <c r="G1064" s="205" t="s">
        <v>7350</v>
      </c>
      <c r="H1064" s="136" t="s">
        <v>7351</v>
      </c>
      <c r="I1064" s="136" t="s">
        <v>641</v>
      </c>
      <c r="J1064" s="136" t="s">
        <v>7265</v>
      </c>
      <c r="K1064" s="136">
        <v>1</v>
      </c>
      <c r="L1064" s="136">
        <v>2003</v>
      </c>
      <c r="M1064" s="143">
        <v>54.422392000000002</v>
      </c>
      <c r="N1064" s="138">
        <v>-125.991293</v>
      </c>
      <c r="O1064" s="138" t="s">
        <v>148</v>
      </c>
      <c r="P1064" s="138" t="s">
        <v>7352</v>
      </c>
      <c r="Q1064" s="139">
        <v>1</v>
      </c>
      <c r="R1064" s="138" t="s">
        <v>7349</v>
      </c>
      <c r="S1064" s="140" t="str">
        <f t="shared" si="12"/>
        <v>ENDAKOWX</v>
      </c>
      <c r="T1064" s="138" t="s">
        <v>4344</v>
      </c>
      <c r="U1064" s="138">
        <v>851</v>
      </c>
      <c r="V1064" s="138"/>
      <c r="W1064" s="138" t="s">
        <v>7353</v>
      </c>
      <c r="X1064" s="141" t="s">
        <v>7354</v>
      </c>
      <c r="Y1064" s="138" t="s">
        <v>7252</v>
      </c>
      <c r="AK1064" s="260"/>
    </row>
    <row r="1065" spans="1:53" ht="14.25" customHeight="1" x14ac:dyDescent="0.2">
      <c r="A1065" s="136" t="s">
        <v>88</v>
      </c>
      <c r="B1065" s="138">
        <v>11</v>
      </c>
      <c r="C1065" s="286" t="s">
        <v>7179</v>
      </c>
      <c r="D1065" s="136">
        <v>1177893</v>
      </c>
      <c r="E1065" s="136">
        <v>1602</v>
      </c>
      <c r="F1065" s="181" t="s">
        <v>7355</v>
      </c>
      <c r="G1065" s="293" t="s">
        <v>7356</v>
      </c>
      <c r="H1065" s="136" t="s">
        <v>7357</v>
      </c>
      <c r="I1065" s="136" t="s">
        <v>641</v>
      </c>
      <c r="J1065" s="137" t="s">
        <v>7358</v>
      </c>
      <c r="K1065" s="136">
        <v>1</v>
      </c>
      <c r="L1065" s="136">
        <v>2005</v>
      </c>
      <c r="M1065" s="143">
        <v>53.883555000000001</v>
      </c>
      <c r="N1065" s="138">
        <v>-124.710668</v>
      </c>
      <c r="O1065" s="138" t="s">
        <v>148</v>
      </c>
      <c r="P1065" s="138" t="s">
        <v>7359</v>
      </c>
      <c r="Q1065" s="139">
        <v>2</v>
      </c>
      <c r="R1065" s="138" t="s">
        <v>7355</v>
      </c>
      <c r="S1065" s="140" t="str">
        <f t="shared" si="12"/>
        <v>GEORGEWX</v>
      </c>
      <c r="T1065" s="138" t="s">
        <v>4344</v>
      </c>
      <c r="U1065" s="138">
        <v>859</v>
      </c>
      <c r="V1065" s="138"/>
      <c r="W1065" s="138" t="s">
        <v>7360</v>
      </c>
      <c r="X1065" s="141" t="s">
        <v>7361</v>
      </c>
      <c r="Y1065" s="138" t="s">
        <v>7252</v>
      </c>
      <c r="AK1065" s="260"/>
      <c r="AO1065" s="269"/>
      <c r="AP1065" s="269"/>
      <c r="AQ1065" s="269"/>
      <c r="AR1065" s="269"/>
      <c r="AS1065" s="269"/>
      <c r="AT1065" s="269"/>
      <c r="AU1065" s="269"/>
      <c r="AV1065" s="269"/>
      <c r="AW1065" s="269"/>
      <c r="AX1065" s="269"/>
      <c r="AY1065" s="269"/>
      <c r="AZ1065" s="269"/>
      <c r="BA1065" s="269"/>
    </row>
    <row r="1066" spans="1:53" ht="14.25" customHeight="1" x14ac:dyDescent="0.2">
      <c r="A1066" s="136" t="s">
        <v>88</v>
      </c>
      <c r="B1066" s="138">
        <v>11</v>
      </c>
      <c r="C1066" s="137" t="s">
        <v>7179</v>
      </c>
      <c r="D1066" s="136">
        <v>1113693</v>
      </c>
      <c r="E1066" s="136">
        <v>1595</v>
      </c>
      <c r="F1066" s="136" t="s">
        <v>7374</v>
      </c>
      <c r="G1066" s="205" t="s">
        <v>7375</v>
      </c>
      <c r="H1066" s="136" t="s">
        <v>7376</v>
      </c>
      <c r="I1066" s="136" t="s">
        <v>641</v>
      </c>
      <c r="J1066" s="136" t="s">
        <v>7377</v>
      </c>
      <c r="K1066" s="136">
        <v>1</v>
      </c>
      <c r="L1066" s="136">
        <v>1998</v>
      </c>
      <c r="M1066" s="143">
        <v>58.754750000000001</v>
      </c>
      <c r="N1066" s="138">
        <v>-123.977683</v>
      </c>
      <c r="O1066" s="138" t="s">
        <v>2008</v>
      </c>
      <c r="P1066" s="138" t="s">
        <v>7378</v>
      </c>
      <c r="Q1066" s="139">
        <v>8</v>
      </c>
      <c r="R1066" s="138" t="s">
        <v>7374</v>
      </c>
      <c r="S1066" s="140" t="str">
        <f t="shared" si="12"/>
        <v>GUNNELWX</v>
      </c>
      <c r="T1066" s="138" t="s">
        <v>4344</v>
      </c>
      <c r="U1066" s="138">
        <v>1460</v>
      </c>
      <c r="V1066" s="138" t="s">
        <v>645</v>
      </c>
      <c r="W1066" s="138" t="s">
        <v>7379</v>
      </c>
      <c r="X1066" s="141" t="s">
        <v>7380</v>
      </c>
      <c r="Y1066" s="138" t="s">
        <v>7252</v>
      </c>
      <c r="AK1066" s="260"/>
    </row>
    <row r="1067" spans="1:53" ht="14.25" customHeight="1" x14ac:dyDescent="0.2">
      <c r="A1067" s="136" t="s">
        <v>88</v>
      </c>
      <c r="B1067" s="138">
        <v>11</v>
      </c>
      <c r="C1067" s="137" t="s">
        <v>7179</v>
      </c>
      <c r="D1067" s="136" t="s">
        <v>7381</v>
      </c>
      <c r="E1067" s="136">
        <v>12060</v>
      </c>
      <c r="F1067" s="136" t="s">
        <v>7382</v>
      </c>
      <c r="G1067" s="205" t="s">
        <v>7383</v>
      </c>
      <c r="H1067" s="136" t="s">
        <v>7384</v>
      </c>
      <c r="I1067" s="136" t="s">
        <v>641</v>
      </c>
      <c r="J1067" s="136" t="s">
        <v>7257</v>
      </c>
      <c r="K1067" s="136">
        <v>1</v>
      </c>
      <c r="L1067" s="136">
        <v>14116</v>
      </c>
      <c r="M1067" s="143">
        <v>55.21275</v>
      </c>
      <c r="N1067" s="138">
        <v>-120.771635</v>
      </c>
      <c r="O1067" s="138" t="s">
        <v>153</v>
      </c>
      <c r="P1067" s="138" t="s">
        <v>7385</v>
      </c>
      <c r="Q1067" s="139">
        <v>8</v>
      </c>
      <c r="R1067" s="138" t="s">
        <v>7386</v>
      </c>
      <c r="S1067" s="140" t="str">
        <f t="shared" si="12"/>
        <v>HOURGLASSWX</v>
      </c>
      <c r="T1067" s="138" t="s">
        <v>4344</v>
      </c>
      <c r="U1067" s="138">
        <v>1131</v>
      </c>
      <c r="V1067" s="138"/>
      <c r="W1067" s="138" t="s">
        <v>7387</v>
      </c>
      <c r="X1067" s="141" t="s">
        <v>7388</v>
      </c>
      <c r="Y1067" s="138" t="s">
        <v>7252</v>
      </c>
      <c r="AK1067" s="260"/>
    </row>
    <row r="1068" spans="1:53" ht="14.25" customHeight="1" x14ac:dyDescent="0.2">
      <c r="A1068" s="136" t="s">
        <v>88</v>
      </c>
      <c r="B1068" s="138">
        <v>11</v>
      </c>
      <c r="C1068" s="137" t="s">
        <v>7179</v>
      </c>
      <c r="D1068" s="136" t="s">
        <v>7389</v>
      </c>
      <c r="E1068" s="136">
        <v>12434</v>
      </c>
      <c r="F1068" s="181" t="s">
        <v>7390</v>
      </c>
      <c r="G1068" s="293" t="s">
        <v>7391</v>
      </c>
      <c r="H1068" s="136" t="s">
        <v>7392</v>
      </c>
      <c r="I1068" s="136" t="s">
        <v>641</v>
      </c>
      <c r="J1068" s="136" t="s">
        <v>7287</v>
      </c>
      <c r="K1068" s="136">
        <v>1</v>
      </c>
      <c r="L1068" s="136">
        <v>14456</v>
      </c>
      <c r="M1068" s="143">
        <v>54.77375</v>
      </c>
      <c r="N1068" s="138">
        <v>-127.27216</v>
      </c>
      <c r="O1068" s="138" t="s">
        <v>148</v>
      </c>
      <c r="P1068" s="138" t="s">
        <v>7389</v>
      </c>
      <c r="Q1068" s="139">
        <v>8</v>
      </c>
      <c r="R1068" s="138" t="s">
        <v>7390</v>
      </c>
      <c r="S1068" s="140" t="str">
        <f t="shared" si="12"/>
        <v>HUDSON BAY MTN2</v>
      </c>
      <c r="T1068" s="138" t="s">
        <v>4344</v>
      </c>
      <c r="U1068" s="138">
        <v>1670</v>
      </c>
      <c r="V1068" s="138"/>
      <c r="W1068" s="138" t="s">
        <v>7393</v>
      </c>
      <c r="X1068" s="141" t="s">
        <v>7394</v>
      </c>
      <c r="Y1068" s="138" t="s">
        <v>7252</v>
      </c>
      <c r="AK1068" s="260"/>
    </row>
    <row r="1069" spans="1:53" ht="14.25" customHeight="1" x14ac:dyDescent="0.2">
      <c r="A1069" s="136" t="s">
        <v>88</v>
      </c>
      <c r="B1069" s="138">
        <v>11</v>
      </c>
      <c r="C1069" s="137" t="s">
        <v>7179</v>
      </c>
      <c r="D1069" s="136" t="s">
        <v>7419</v>
      </c>
      <c r="E1069" s="136">
        <v>12061</v>
      </c>
      <c r="F1069" s="136" t="s">
        <v>7419</v>
      </c>
      <c r="G1069" s="205" t="s">
        <v>7420</v>
      </c>
      <c r="H1069" s="136" t="s">
        <v>7421</v>
      </c>
      <c r="I1069" s="136" t="s">
        <v>641</v>
      </c>
      <c r="J1069" s="136" t="s">
        <v>7313</v>
      </c>
      <c r="K1069" s="136">
        <v>1</v>
      </c>
      <c r="L1069" s="136">
        <v>14117</v>
      </c>
      <c r="M1069" s="143">
        <v>53.397852</v>
      </c>
      <c r="N1069" s="138">
        <v>-124.513069</v>
      </c>
      <c r="O1069" s="138" t="s">
        <v>148</v>
      </c>
      <c r="P1069" s="138" t="s">
        <v>7422</v>
      </c>
      <c r="Q1069" s="139">
        <v>4</v>
      </c>
      <c r="R1069" s="138" t="s">
        <v>7419</v>
      </c>
      <c r="S1069" s="140" t="str">
        <f t="shared" si="12"/>
        <v>KLUSKUS</v>
      </c>
      <c r="T1069" s="138" t="s">
        <v>4344</v>
      </c>
      <c r="U1069" s="138">
        <v>1110</v>
      </c>
      <c r="V1069" s="138"/>
      <c r="W1069" s="138" t="s">
        <v>7423</v>
      </c>
      <c r="X1069" s="141" t="s">
        <v>7424</v>
      </c>
      <c r="Y1069" s="138" t="s">
        <v>7252</v>
      </c>
      <c r="AK1069" s="260"/>
    </row>
    <row r="1070" spans="1:53" ht="14.25" customHeight="1" x14ac:dyDescent="0.2">
      <c r="A1070" s="136" t="s">
        <v>88</v>
      </c>
      <c r="B1070" s="138">
        <v>11</v>
      </c>
      <c r="C1070" s="137" t="s">
        <v>7179</v>
      </c>
      <c r="D1070" s="136">
        <v>1113696</v>
      </c>
      <c r="E1070" s="136">
        <v>1597</v>
      </c>
      <c r="F1070" s="181" t="s">
        <v>7450</v>
      </c>
      <c r="G1070" s="205" t="s">
        <v>7451</v>
      </c>
      <c r="H1070" s="136" t="s">
        <v>7452</v>
      </c>
      <c r="I1070" s="136" t="s">
        <v>641</v>
      </c>
      <c r="J1070" s="136" t="s">
        <v>7287</v>
      </c>
      <c r="K1070" s="136">
        <v>1</v>
      </c>
      <c r="L1070" s="136">
        <v>2000</v>
      </c>
      <c r="M1070" s="143">
        <v>57.061630000000001</v>
      </c>
      <c r="N1070" s="138">
        <v>-122.86490999999999</v>
      </c>
      <c r="O1070" s="138" t="s">
        <v>1577</v>
      </c>
      <c r="P1070" s="138" t="s">
        <v>7453</v>
      </c>
      <c r="Q1070" s="139">
        <v>8</v>
      </c>
      <c r="R1070" s="138" t="s">
        <v>7450</v>
      </c>
      <c r="S1070" s="140" t="str">
        <f t="shared" si="12"/>
        <v>PINKWX</v>
      </c>
      <c r="T1070" s="138" t="s">
        <v>4344</v>
      </c>
      <c r="U1070" s="138">
        <v>1756</v>
      </c>
      <c r="V1070" s="138" t="s">
        <v>645</v>
      </c>
      <c r="W1070" s="138" t="s">
        <v>7454</v>
      </c>
      <c r="X1070" s="141" t="s">
        <v>7455</v>
      </c>
      <c r="Y1070" s="138" t="s">
        <v>7252</v>
      </c>
      <c r="AK1070" s="260"/>
    </row>
    <row r="1071" spans="1:53" ht="14.25" customHeight="1" x14ac:dyDescent="0.2">
      <c r="A1071" s="136" t="s">
        <v>88</v>
      </c>
      <c r="B1071" s="138">
        <v>11</v>
      </c>
      <c r="C1071" s="137" t="s">
        <v>7179</v>
      </c>
      <c r="D1071" s="136">
        <v>1113683</v>
      </c>
      <c r="E1071" s="136">
        <v>1598</v>
      </c>
      <c r="F1071" s="181" t="s">
        <v>7456</v>
      </c>
      <c r="G1071" s="205" t="s">
        <v>7457</v>
      </c>
      <c r="H1071" s="136" t="s">
        <v>7458</v>
      </c>
      <c r="I1071" s="136" t="s">
        <v>641</v>
      </c>
      <c r="J1071" s="136" t="s">
        <v>7459</v>
      </c>
      <c r="K1071" s="136">
        <v>1</v>
      </c>
      <c r="L1071" s="136">
        <v>2001</v>
      </c>
      <c r="M1071" s="143">
        <v>54.027523000000002</v>
      </c>
      <c r="N1071" s="138">
        <v>-123.300774</v>
      </c>
      <c r="O1071" s="138" t="s">
        <v>1290</v>
      </c>
      <c r="P1071" s="138" t="s">
        <v>7460</v>
      </c>
      <c r="Q1071" s="139">
        <v>1</v>
      </c>
      <c r="R1071" s="138" t="s">
        <v>7456</v>
      </c>
      <c r="S1071" s="140" t="str">
        <f t="shared" si="12"/>
        <v>SAXTONWX</v>
      </c>
      <c r="T1071" s="138" t="s">
        <v>4344</v>
      </c>
      <c r="U1071" s="138">
        <v>718</v>
      </c>
      <c r="V1071" s="138"/>
      <c r="W1071" s="138" t="s">
        <v>7461</v>
      </c>
      <c r="X1071" s="141" t="s">
        <v>7462</v>
      </c>
      <c r="Y1071" s="138" t="s">
        <v>7252</v>
      </c>
      <c r="AK1071" s="260"/>
    </row>
    <row r="1072" spans="1:53" ht="14.25" customHeight="1" x14ac:dyDescent="0.2">
      <c r="A1072" s="136" t="s">
        <v>88</v>
      </c>
      <c r="B1072" s="138">
        <v>11</v>
      </c>
      <c r="C1072" s="137" t="s">
        <v>7179</v>
      </c>
      <c r="D1072" s="136">
        <v>1163628</v>
      </c>
      <c r="E1072" s="136">
        <v>1601</v>
      </c>
      <c r="F1072" s="181" t="s">
        <v>7486</v>
      </c>
      <c r="G1072" s="205" t="s">
        <v>7487</v>
      </c>
      <c r="H1072" s="136" t="s">
        <v>7488</v>
      </c>
      <c r="I1072" s="136" t="s">
        <v>641</v>
      </c>
      <c r="J1072" s="136" t="s">
        <v>7358</v>
      </c>
      <c r="K1072" s="136">
        <v>1</v>
      </c>
      <c r="L1072" s="136">
        <v>2004</v>
      </c>
      <c r="M1072" s="143">
        <v>54.333114999999999</v>
      </c>
      <c r="N1072" s="138">
        <v>-126.099445</v>
      </c>
      <c r="O1072" s="138" t="s">
        <v>148</v>
      </c>
      <c r="P1072" s="138" t="s">
        <v>7489</v>
      </c>
      <c r="Q1072" s="139">
        <v>2</v>
      </c>
      <c r="R1072" s="138" t="s">
        <v>7486</v>
      </c>
      <c r="S1072" s="140" t="str">
        <f t="shared" si="12"/>
        <v>THOMPSONWX</v>
      </c>
      <c r="T1072" s="138" t="s">
        <v>4344</v>
      </c>
      <c r="U1072" s="138">
        <v>869</v>
      </c>
      <c r="V1072" s="138"/>
      <c r="W1072" s="138" t="s">
        <v>7490</v>
      </c>
      <c r="X1072" s="141" t="s">
        <v>7491</v>
      </c>
      <c r="Y1072" s="138" t="s">
        <v>7252</v>
      </c>
      <c r="AK1072" s="260"/>
    </row>
    <row r="1073" spans="1:53" ht="14.25" customHeight="1" x14ac:dyDescent="0.2">
      <c r="A1073" s="136" t="s">
        <v>88</v>
      </c>
      <c r="B1073" s="138">
        <v>11</v>
      </c>
      <c r="C1073" s="137" t="s">
        <v>7179</v>
      </c>
      <c r="D1073" s="136">
        <v>1095439</v>
      </c>
      <c r="E1073" s="136">
        <v>1605</v>
      </c>
      <c r="F1073" s="136" t="s">
        <v>7492</v>
      </c>
      <c r="G1073" s="293" t="s">
        <v>7493</v>
      </c>
      <c r="H1073" s="136" t="s">
        <v>7278</v>
      </c>
      <c r="I1073" s="136" t="s">
        <v>49</v>
      </c>
      <c r="J1073" s="136" t="s">
        <v>7279</v>
      </c>
      <c r="K1073" s="136">
        <v>1</v>
      </c>
      <c r="L1073" s="136">
        <v>2008</v>
      </c>
      <c r="M1073" s="143">
        <v>53.772576999999998</v>
      </c>
      <c r="N1073" s="138">
        <v>-122.72463399999999</v>
      </c>
      <c r="O1073" s="138" t="s">
        <v>1290</v>
      </c>
      <c r="P1073" s="138" t="s">
        <v>7494</v>
      </c>
      <c r="Q1073" s="139">
        <v>1</v>
      </c>
      <c r="R1073" s="138" t="s">
        <v>7492</v>
      </c>
      <c r="S1073" s="140" t="str">
        <f t="shared" si="12"/>
        <v>WILLOW-BOWRONWX</v>
      </c>
      <c r="T1073" s="138" t="s">
        <v>4344</v>
      </c>
      <c r="U1073" s="138">
        <v>596</v>
      </c>
      <c r="V1073" s="138"/>
      <c r="W1073" s="138" t="s">
        <v>7495</v>
      </c>
      <c r="X1073" s="141" t="s">
        <v>7282</v>
      </c>
      <c r="Y1073" s="138" t="s">
        <v>7252</v>
      </c>
      <c r="AK1073" s="260"/>
    </row>
    <row r="1074" spans="1:53" ht="14.25" customHeight="1" x14ac:dyDescent="0.2">
      <c r="A1074" s="5" t="s">
        <v>80</v>
      </c>
      <c r="B1074" s="4">
        <v>36</v>
      </c>
      <c r="C1074" s="4" t="s">
        <v>44</v>
      </c>
      <c r="D1074" s="4" t="s">
        <v>81</v>
      </c>
      <c r="E1074" s="4">
        <v>12626</v>
      </c>
      <c r="F1074" s="4" t="s">
        <v>82</v>
      </c>
      <c r="G1074" s="218" t="s">
        <v>83</v>
      </c>
      <c r="H1074" s="4" t="s">
        <v>84</v>
      </c>
      <c r="I1074" s="4" t="s">
        <v>49</v>
      </c>
      <c r="K1074" s="4">
        <v>1</v>
      </c>
      <c r="L1074" s="4">
        <v>14648</v>
      </c>
      <c r="M1074" s="193">
        <v>48.585278000000002</v>
      </c>
      <c r="N1074" s="4">
        <v>-123.67361099999999</v>
      </c>
      <c r="O1074" s="4" t="s">
        <v>51</v>
      </c>
      <c r="P1074" s="4" t="s">
        <v>81</v>
      </c>
      <c r="Q1074" s="4">
        <v>2</v>
      </c>
      <c r="R1074" s="4" t="s">
        <v>82</v>
      </c>
      <c r="S1074" s="4" t="s">
        <v>44</v>
      </c>
      <c r="T1074" s="4">
        <v>200</v>
      </c>
      <c r="U1074"/>
      <c r="V1074" s="4" t="s">
        <v>85</v>
      </c>
      <c r="W1074" s="4">
        <v>34608</v>
      </c>
      <c r="X1074" s="4" t="s">
        <v>53</v>
      </c>
      <c r="Y1074" s="4" t="s">
        <v>54</v>
      </c>
      <c r="AA1074" s="4" t="s">
        <v>55</v>
      </c>
      <c r="AB1074" s="4" t="s">
        <v>56</v>
      </c>
      <c r="AC1074" s="4" t="s">
        <v>86</v>
      </c>
      <c r="AK1074" s="331" t="s">
        <v>87</v>
      </c>
    </row>
    <row r="1075" spans="1:53" ht="14.25" customHeight="1" x14ac:dyDescent="0.2">
      <c r="A1075" s="5" t="s">
        <v>80</v>
      </c>
      <c r="B1075" s="4">
        <v>36</v>
      </c>
      <c r="C1075" s="4" t="s">
        <v>44</v>
      </c>
      <c r="D1075" s="4" t="s">
        <v>108</v>
      </c>
      <c r="E1075" s="4">
        <v>12625</v>
      </c>
      <c r="F1075" s="188" t="s">
        <v>109</v>
      </c>
      <c r="G1075" s="4" t="s">
        <v>110</v>
      </c>
      <c r="H1075" s="4" t="s">
        <v>84</v>
      </c>
      <c r="I1075" s="4" t="s">
        <v>49</v>
      </c>
      <c r="K1075" s="4">
        <v>1</v>
      </c>
      <c r="L1075" s="4">
        <v>14647</v>
      </c>
      <c r="M1075" s="193">
        <v>48.567500000000003</v>
      </c>
      <c r="N1075" s="4">
        <v>-123.714167</v>
      </c>
      <c r="O1075" s="4" t="s">
        <v>51</v>
      </c>
      <c r="P1075" s="4" t="s">
        <v>108</v>
      </c>
      <c r="Q1075" s="4">
        <v>2</v>
      </c>
      <c r="R1075" s="4" t="s">
        <v>109</v>
      </c>
      <c r="S1075" s="4" t="s">
        <v>44</v>
      </c>
      <c r="T1075" s="4">
        <v>223</v>
      </c>
      <c r="U1075"/>
      <c r="V1075" s="4" t="s">
        <v>85</v>
      </c>
      <c r="W1075" s="4">
        <v>34608</v>
      </c>
      <c r="X1075" s="4" t="s">
        <v>53</v>
      </c>
      <c r="Y1075" s="4" t="s">
        <v>54</v>
      </c>
      <c r="AK1075" s="331" t="s">
        <v>87</v>
      </c>
    </row>
    <row r="1076" spans="1:53" ht="14.25" customHeight="1" x14ac:dyDescent="0.2">
      <c r="A1076" s="5" t="s">
        <v>5638</v>
      </c>
      <c r="B1076" s="4">
        <v>9</v>
      </c>
      <c r="C1076" s="201" t="s">
        <v>5039</v>
      </c>
      <c r="D1076" s="201" t="s">
        <v>5639</v>
      </c>
      <c r="E1076" s="4">
        <v>12203</v>
      </c>
      <c r="F1076" s="8" t="s">
        <v>5640</v>
      </c>
      <c r="G1076" s="8" t="s">
        <v>5641</v>
      </c>
      <c r="H1076" s="4" t="s">
        <v>84</v>
      </c>
      <c r="I1076" s="4" t="s">
        <v>641</v>
      </c>
      <c r="K1076" s="4">
        <v>1</v>
      </c>
      <c r="L1076" s="4">
        <v>14258</v>
      </c>
      <c r="M1076" s="6"/>
      <c r="U1076"/>
      <c r="AK1076" s="7"/>
    </row>
    <row r="1077" spans="1:53" ht="14.25" customHeight="1" x14ac:dyDescent="0.2">
      <c r="A1077" s="5" t="s">
        <v>5638</v>
      </c>
      <c r="B1077" s="4">
        <v>9</v>
      </c>
      <c r="C1077" s="201" t="s">
        <v>5039</v>
      </c>
      <c r="D1077" s="201" t="s">
        <v>5646</v>
      </c>
      <c r="E1077" s="4">
        <v>12205</v>
      </c>
      <c r="F1077" s="188" t="s">
        <v>429</v>
      </c>
      <c r="G1077" s="4" t="s">
        <v>5647</v>
      </c>
      <c r="H1077" s="4" t="s">
        <v>84</v>
      </c>
      <c r="I1077" s="4" t="s">
        <v>641</v>
      </c>
      <c r="K1077" s="4">
        <v>1</v>
      </c>
      <c r="L1077" s="4">
        <v>14260</v>
      </c>
      <c r="M1077" s="6"/>
      <c r="U1077"/>
      <c r="AK1077" s="7"/>
      <c r="AO1077" s="9"/>
    </row>
    <row r="1078" spans="1:53" ht="14.25" customHeight="1" x14ac:dyDescent="0.2">
      <c r="A1078" s="136" t="s">
        <v>2037</v>
      </c>
      <c r="B1078" s="4">
        <v>12</v>
      </c>
      <c r="C1078" s="4" t="s">
        <v>1711</v>
      </c>
      <c r="D1078" s="4">
        <v>127</v>
      </c>
      <c r="E1078" s="4">
        <v>1694</v>
      </c>
      <c r="F1078" s="201" t="s">
        <v>2038</v>
      </c>
      <c r="G1078" s="188" t="s">
        <v>2039</v>
      </c>
      <c r="H1078" s="4" t="s">
        <v>2040</v>
      </c>
      <c r="I1078" s="4" t="s">
        <v>641</v>
      </c>
      <c r="J1078" s="4" t="s">
        <v>1736</v>
      </c>
      <c r="K1078" s="4">
        <v>1</v>
      </c>
      <c r="L1078" s="4">
        <v>2097</v>
      </c>
      <c r="M1078" s="193">
        <v>55.027360000000002</v>
      </c>
      <c r="N1078" s="4">
        <v>-120.93405</v>
      </c>
      <c r="O1078" s="4" t="s">
        <v>1290</v>
      </c>
      <c r="P1078" s="4">
        <v>127</v>
      </c>
      <c r="Q1078" s="4">
        <v>3</v>
      </c>
      <c r="R1078" s="4" t="s">
        <v>2041</v>
      </c>
      <c r="S1078" s="4" t="s">
        <v>1737</v>
      </c>
      <c r="T1078" s="4">
        <v>942</v>
      </c>
      <c r="U1078" s="4" t="s">
        <v>645</v>
      </c>
      <c r="V1078" s="4" t="s">
        <v>1771</v>
      </c>
      <c r="W1078" s="4">
        <v>29952</v>
      </c>
      <c r="X1078" s="4" t="s">
        <v>1738</v>
      </c>
      <c r="AK1078" s="260"/>
      <c r="AO1078" s="270" t="s">
        <v>2042</v>
      </c>
      <c r="AP1078" s="4">
        <v>127</v>
      </c>
      <c r="AQ1078" s="4" t="s">
        <v>1700</v>
      </c>
      <c r="AR1078" s="4" t="s">
        <v>1739</v>
      </c>
      <c r="AS1078" s="4" t="s">
        <v>1740</v>
      </c>
      <c r="AT1078" s="4" t="s">
        <v>1741</v>
      </c>
      <c r="AU1078" s="4" t="s">
        <v>2043</v>
      </c>
      <c r="AV1078" s="4" t="s">
        <v>1720</v>
      </c>
      <c r="AW1078" s="4" t="s">
        <v>2003</v>
      </c>
      <c r="AX1078" s="4" t="s">
        <v>2024</v>
      </c>
      <c r="AY1078" s="4">
        <v>55.0274</v>
      </c>
      <c r="AZ1078" s="4">
        <v>-120.934</v>
      </c>
      <c r="BA1078" s="4">
        <v>932</v>
      </c>
    </row>
    <row r="1079" spans="1:53" ht="14.25" customHeight="1" x14ac:dyDescent="0.2">
      <c r="A1079" s="136" t="s">
        <v>2037</v>
      </c>
      <c r="B1079" s="9">
        <v>12</v>
      </c>
      <c r="C1079" s="4" t="s">
        <v>1711</v>
      </c>
      <c r="D1079" s="4">
        <v>164</v>
      </c>
      <c r="E1079" s="4">
        <v>1727</v>
      </c>
      <c r="F1079" s="4" t="s">
        <v>2157</v>
      </c>
      <c r="G1079" s="217" t="s">
        <v>2158</v>
      </c>
      <c r="H1079" s="4" t="s">
        <v>2159</v>
      </c>
      <c r="I1079" s="4" t="s">
        <v>641</v>
      </c>
      <c r="J1079" s="4" t="s">
        <v>1715</v>
      </c>
      <c r="K1079" s="4">
        <v>1</v>
      </c>
      <c r="L1079" s="4">
        <v>2130</v>
      </c>
      <c r="M1079" s="223"/>
      <c r="U1079"/>
      <c r="Y1079" s="9"/>
      <c r="AK1079" s="260"/>
      <c r="AO1079" s="4" t="s">
        <v>2160</v>
      </c>
      <c r="AP1079" s="4">
        <v>164</v>
      </c>
      <c r="AQ1079" s="4" t="s">
        <v>1716</v>
      </c>
      <c r="AR1079" s="4" t="s">
        <v>1717</v>
      </c>
      <c r="AS1079" s="4" t="s">
        <v>1718</v>
      </c>
      <c r="AT1079" s="4" t="s">
        <v>2161</v>
      </c>
      <c r="AU1079" s="4" t="s">
        <v>2162</v>
      </c>
      <c r="AV1079" s="4" t="s">
        <v>1720</v>
      </c>
      <c r="AW1079" s="4" t="s">
        <v>1947</v>
      </c>
      <c r="AX1079" s="4" t="s">
        <v>2148</v>
      </c>
      <c r="AY1079" s="4">
        <v>53.27</v>
      </c>
      <c r="AZ1079" s="4">
        <v>-126.17</v>
      </c>
      <c r="BA1079" s="4">
        <v>1036</v>
      </c>
    </row>
    <row r="1080" spans="1:53" ht="14.25" customHeight="1" x14ac:dyDescent="0.2">
      <c r="A1080" s="136" t="s">
        <v>2037</v>
      </c>
      <c r="B1080" s="9">
        <v>12</v>
      </c>
      <c r="C1080" s="4" t="s">
        <v>1711</v>
      </c>
      <c r="D1080" s="4">
        <v>212</v>
      </c>
      <c r="E1080" s="4">
        <v>1769</v>
      </c>
      <c r="F1080" s="8" t="s">
        <v>2308</v>
      </c>
      <c r="G1080" s="218" t="s">
        <v>2309</v>
      </c>
      <c r="H1080" s="4" t="s">
        <v>2310</v>
      </c>
      <c r="I1080" s="4" t="s">
        <v>641</v>
      </c>
      <c r="J1080" s="4" t="s">
        <v>1736</v>
      </c>
      <c r="K1080" s="4">
        <v>1</v>
      </c>
      <c r="L1080" s="4">
        <v>2172</v>
      </c>
      <c r="M1080" s="6">
        <v>51.816670000000002</v>
      </c>
      <c r="N1080" s="9">
        <v>-122</v>
      </c>
      <c r="O1080" s="9" t="s">
        <v>148</v>
      </c>
      <c r="P1080" s="9">
        <v>212</v>
      </c>
      <c r="Q1080" s="20">
        <v>4</v>
      </c>
      <c r="R1080" s="9" t="s">
        <v>2311</v>
      </c>
      <c r="S1080" s="9" t="s">
        <v>1737</v>
      </c>
      <c r="T1080" s="4">
        <v>1065</v>
      </c>
      <c r="U1080"/>
      <c r="W1080" s="4">
        <v>29587</v>
      </c>
      <c r="X1080" s="4" t="s">
        <v>1738</v>
      </c>
      <c r="Y1080" s="9"/>
      <c r="AK1080" s="260"/>
      <c r="AO1080" s="4" t="s">
        <v>2311</v>
      </c>
      <c r="AP1080" s="4">
        <v>212</v>
      </c>
      <c r="AQ1080" s="4" t="s">
        <v>1700</v>
      </c>
      <c r="AR1080" s="4" t="s">
        <v>1739</v>
      </c>
      <c r="AS1080" s="4" t="s">
        <v>1740</v>
      </c>
      <c r="AT1080" s="4" t="s">
        <v>1741</v>
      </c>
      <c r="AU1080" s="4" t="s">
        <v>1959</v>
      </c>
      <c r="AV1080" s="4" t="s">
        <v>1720</v>
      </c>
      <c r="AW1080" s="4" t="s">
        <v>2193</v>
      </c>
      <c r="AX1080" s="4" t="s">
        <v>2291</v>
      </c>
      <c r="AY1080" s="4">
        <v>51.816699999999997</v>
      </c>
      <c r="AZ1080" s="4">
        <v>-122</v>
      </c>
      <c r="BA1080" s="4">
        <v>1065</v>
      </c>
    </row>
    <row r="1081" spans="1:53" ht="14.25" customHeight="1" x14ac:dyDescent="0.2">
      <c r="A1081" s="136" t="s">
        <v>2037</v>
      </c>
      <c r="B1081" s="4">
        <v>12</v>
      </c>
      <c r="C1081" s="4" t="s">
        <v>1711</v>
      </c>
      <c r="D1081" s="4">
        <v>346</v>
      </c>
      <c r="E1081" s="4">
        <v>1891</v>
      </c>
      <c r="F1081" s="4" t="s">
        <v>2700</v>
      </c>
      <c r="G1081" s="218" t="s">
        <v>2701</v>
      </c>
      <c r="H1081" s="4" t="s">
        <v>2702</v>
      </c>
      <c r="I1081" s="4" t="s">
        <v>641</v>
      </c>
      <c r="J1081" s="4" t="s">
        <v>1736</v>
      </c>
      <c r="K1081" s="4">
        <v>1</v>
      </c>
      <c r="L1081" s="4">
        <v>2294</v>
      </c>
      <c r="M1081" s="6"/>
      <c r="N1081" s="9"/>
      <c r="O1081" s="9"/>
      <c r="P1081" s="9"/>
      <c r="Q1081" s="20"/>
      <c r="R1081" s="9"/>
      <c r="S1081" s="9"/>
      <c r="T1081" s="9"/>
      <c r="U1081" s="9"/>
      <c r="V1081" s="9"/>
      <c r="W1081" s="21"/>
      <c r="X1081" s="9"/>
      <c r="AK1081" s="260"/>
      <c r="AO1081" s="188" t="s">
        <v>2703</v>
      </c>
      <c r="AP1081" s="188">
        <v>346</v>
      </c>
      <c r="AQ1081" s="188" t="s">
        <v>1716</v>
      </c>
      <c r="AR1081" s="188" t="s">
        <v>1717</v>
      </c>
      <c r="AS1081" s="188" t="s">
        <v>1740</v>
      </c>
      <c r="AT1081" s="188" t="s">
        <v>1835</v>
      </c>
      <c r="AU1081" s="188" t="s">
        <v>1959</v>
      </c>
      <c r="AV1081" s="188" t="s">
        <v>1720</v>
      </c>
      <c r="AW1081" s="188" t="s">
        <v>2368</v>
      </c>
      <c r="AX1081" s="188" t="s">
        <v>2522</v>
      </c>
      <c r="AY1081" s="188">
        <v>50.685000000000002</v>
      </c>
      <c r="AZ1081" s="188">
        <v>-119.235</v>
      </c>
      <c r="BA1081" s="188">
        <v>527</v>
      </c>
    </row>
    <row r="1082" spans="1:53" ht="14.25" customHeight="1" x14ac:dyDescent="0.2">
      <c r="A1082" s="136" t="s">
        <v>2037</v>
      </c>
      <c r="B1082" s="4">
        <v>12</v>
      </c>
      <c r="C1082" s="4" t="s">
        <v>1711</v>
      </c>
      <c r="D1082" s="4">
        <v>363</v>
      </c>
      <c r="E1082" s="4">
        <v>1908</v>
      </c>
      <c r="F1082" s="8" t="s">
        <v>2755</v>
      </c>
      <c r="G1082" s="4" t="s">
        <v>2756</v>
      </c>
      <c r="H1082" s="4" t="s">
        <v>2757</v>
      </c>
      <c r="I1082" s="4" t="s">
        <v>641</v>
      </c>
      <c r="J1082" s="4" t="s">
        <v>1736</v>
      </c>
      <c r="K1082" s="4">
        <v>1</v>
      </c>
      <c r="L1082" s="4">
        <v>2311</v>
      </c>
      <c r="M1082" s="6">
        <v>51.06033</v>
      </c>
      <c r="N1082" s="4">
        <v>-118.21717</v>
      </c>
      <c r="O1082" s="4" t="s">
        <v>170</v>
      </c>
      <c r="P1082" s="4">
        <v>363</v>
      </c>
      <c r="Q1082" s="4">
        <v>1</v>
      </c>
      <c r="R1082" s="4" t="s">
        <v>2758</v>
      </c>
      <c r="S1082" s="4" t="s">
        <v>1737</v>
      </c>
      <c r="T1082" s="4">
        <v>680</v>
      </c>
      <c r="U1082"/>
      <c r="W1082" s="4">
        <v>34700</v>
      </c>
      <c r="X1082" s="4" t="s">
        <v>1738</v>
      </c>
      <c r="AK1082" s="260"/>
      <c r="AO1082" s="4" t="s">
        <v>2758</v>
      </c>
      <c r="AP1082" s="4">
        <v>363</v>
      </c>
      <c r="AQ1082" s="4" t="s">
        <v>1700</v>
      </c>
      <c r="AR1082" s="4" t="s">
        <v>1739</v>
      </c>
      <c r="AS1082" s="4" t="s">
        <v>1740</v>
      </c>
      <c r="AT1082" s="4" t="s">
        <v>1741</v>
      </c>
      <c r="AU1082" s="4" t="s">
        <v>1772</v>
      </c>
      <c r="AV1082" s="4" t="s">
        <v>1720</v>
      </c>
      <c r="AW1082" s="4" t="s">
        <v>2698</v>
      </c>
      <c r="AX1082" s="4" t="s">
        <v>2699</v>
      </c>
      <c r="AY1082" s="4">
        <v>51.060299999999998</v>
      </c>
      <c r="AZ1082" s="4">
        <v>-118.21720000000001</v>
      </c>
      <c r="BA1082" s="4">
        <v>680</v>
      </c>
    </row>
    <row r="1083" spans="1:53" ht="14.25" customHeight="1" x14ac:dyDescent="0.2">
      <c r="A1083" s="136" t="s">
        <v>2037</v>
      </c>
      <c r="B1083" s="4">
        <v>12</v>
      </c>
      <c r="C1083" s="4" t="s">
        <v>1711</v>
      </c>
      <c r="D1083" s="4">
        <v>383</v>
      </c>
      <c r="E1083" s="4">
        <v>1926</v>
      </c>
      <c r="F1083" s="201" t="s">
        <v>2814</v>
      </c>
      <c r="G1083" s="217" t="s">
        <v>2815</v>
      </c>
      <c r="H1083" s="4" t="s">
        <v>2816</v>
      </c>
      <c r="I1083" s="4" t="s">
        <v>641</v>
      </c>
      <c r="J1083" s="4" t="s">
        <v>1891</v>
      </c>
      <c r="K1083" s="4">
        <v>1</v>
      </c>
      <c r="L1083" s="4">
        <v>2329</v>
      </c>
      <c r="M1083" s="6">
        <v>50.383000000000003</v>
      </c>
      <c r="N1083" s="9">
        <v>-117.87990000000001</v>
      </c>
      <c r="O1083" s="9" t="s">
        <v>170</v>
      </c>
      <c r="P1083" s="9">
        <v>383</v>
      </c>
      <c r="Q1083" s="20">
        <v>1</v>
      </c>
      <c r="R1083" s="9" t="s">
        <v>2817</v>
      </c>
      <c r="S1083" s="9" t="s">
        <v>1737</v>
      </c>
      <c r="T1083" s="9">
        <v>790</v>
      </c>
      <c r="U1083" s="9" t="s">
        <v>645</v>
      </c>
      <c r="V1083" s="9"/>
      <c r="W1083" s="21">
        <v>37257</v>
      </c>
      <c r="X1083" s="9" t="s">
        <v>1738</v>
      </c>
      <c r="AK1083" s="260"/>
      <c r="AO1083" s="4" t="s">
        <v>2817</v>
      </c>
      <c r="AP1083" s="4">
        <v>383</v>
      </c>
      <c r="AQ1083" s="4" t="s">
        <v>1716</v>
      </c>
      <c r="AR1083" s="4" t="s">
        <v>1739</v>
      </c>
      <c r="AS1083" s="4" t="s">
        <v>1740</v>
      </c>
      <c r="AT1083" s="4" t="s">
        <v>1741</v>
      </c>
      <c r="AU1083" s="4" t="s">
        <v>1742</v>
      </c>
      <c r="AV1083" s="4" t="s">
        <v>1720</v>
      </c>
      <c r="AW1083" s="4" t="s">
        <v>2698</v>
      </c>
      <c r="AX1083" s="4" t="s">
        <v>2797</v>
      </c>
      <c r="AY1083" s="4">
        <v>50.383000000000003</v>
      </c>
      <c r="AZ1083" s="4">
        <v>-117.87990000000001</v>
      </c>
      <c r="BA1083" s="4">
        <v>790</v>
      </c>
    </row>
    <row r="1084" spans="1:53" ht="14.25" customHeight="1" x14ac:dyDescent="0.2">
      <c r="A1084" s="136" t="s">
        <v>2037</v>
      </c>
      <c r="B1084" s="4">
        <v>12</v>
      </c>
      <c r="C1084" s="208" t="s">
        <v>1711</v>
      </c>
      <c r="D1084" s="4">
        <v>384</v>
      </c>
      <c r="E1084" s="4">
        <v>1927</v>
      </c>
      <c r="F1084" s="188" t="s">
        <v>2818</v>
      </c>
      <c r="G1084" s="217" t="s">
        <v>2819</v>
      </c>
      <c r="H1084" s="4" t="s">
        <v>2820</v>
      </c>
      <c r="I1084" s="4" t="s">
        <v>641</v>
      </c>
      <c r="J1084" s="4" t="s">
        <v>1715</v>
      </c>
      <c r="K1084" s="4">
        <v>1</v>
      </c>
      <c r="L1084" s="4">
        <v>2330</v>
      </c>
      <c r="M1084" s="6"/>
      <c r="N1084" s="9"/>
      <c r="O1084" s="9"/>
      <c r="P1084" s="9"/>
      <c r="Q1084" s="20"/>
      <c r="R1084" s="9"/>
      <c r="S1084" s="9"/>
      <c r="T1084" s="9"/>
      <c r="U1084" s="9"/>
      <c r="V1084" s="9"/>
      <c r="W1084" s="21"/>
      <c r="X1084" s="9"/>
      <c r="AK1084" s="260"/>
      <c r="AO1084" s="208" t="s">
        <v>2821</v>
      </c>
      <c r="AP1084" s="208">
        <v>384</v>
      </c>
      <c r="AQ1084" s="208" t="s">
        <v>1716</v>
      </c>
      <c r="AR1084" s="208" t="s">
        <v>1717</v>
      </c>
      <c r="AS1084" s="208" t="s">
        <v>1718</v>
      </c>
      <c r="AT1084" s="208" t="s">
        <v>1835</v>
      </c>
      <c r="AU1084" s="208" t="s">
        <v>1959</v>
      </c>
      <c r="AV1084" s="208" t="s">
        <v>1720</v>
      </c>
      <c r="AW1084" s="208" t="s">
        <v>2698</v>
      </c>
      <c r="AX1084" s="208" t="s">
        <v>2801</v>
      </c>
      <c r="AY1084" s="208">
        <v>50.366300000000003</v>
      </c>
      <c r="AZ1084" s="208">
        <v>-117.0017</v>
      </c>
      <c r="BA1084" s="208">
        <v>1300</v>
      </c>
    </row>
    <row r="1085" spans="1:53" ht="14.25" customHeight="1" x14ac:dyDescent="0.2">
      <c r="A1085" s="136" t="s">
        <v>2037</v>
      </c>
      <c r="B1085" s="4">
        <v>12</v>
      </c>
      <c r="C1085" s="4" t="s">
        <v>1711</v>
      </c>
      <c r="D1085" s="4">
        <v>391</v>
      </c>
      <c r="E1085" s="4">
        <v>1934</v>
      </c>
      <c r="F1085" s="201" t="s">
        <v>2840</v>
      </c>
      <c r="G1085" s="4" t="s">
        <v>2841</v>
      </c>
      <c r="H1085" s="4" t="s">
        <v>2842</v>
      </c>
      <c r="I1085" s="4" t="s">
        <v>641</v>
      </c>
      <c r="J1085" s="4" t="s">
        <v>1736</v>
      </c>
      <c r="K1085" s="4">
        <v>1</v>
      </c>
      <c r="L1085" s="4">
        <v>2337</v>
      </c>
      <c r="M1085" s="6">
        <v>49.432830000000003</v>
      </c>
      <c r="N1085" s="9">
        <v>-118.57832999999999</v>
      </c>
      <c r="O1085" s="9" t="s">
        <v>170</v>
      </c>
      <c r="P1085" s="224">
        <v>391</v>
      </c>
      <c r="Q1085" s="20">
        <v>3</v>
      </c>
      <c r="R1085" s="9" t="s">
        <v>2843</v>
      </c>
      <c r="S1085" s="9" t="s">
        <v>1737</v>
      </c>
      <c r="T1085" s="9">
        <v>1338</v>
      </c>
      <c r="U1085" s="9"/>
      <c r="V1085" s="9"/>
      <c r="W1085" s="21">
        <v>29221</v>
      </c>
      <c r="X1085" s="9" t="s">
        <v>1738</v>
      </c>
      <c r="AK1085" s="260"/>
      <c r="AO1085" s="4" t="s">
        <v>2843</v>
      </c>
      <c r="AP1085" s="4">
        <v>391</v>
      </c>
      <c r="AQ1085" s="4" t="s">
        <v>1716</v>
      </c>
      <c r="AR1085" s="4" t="s">
        <v>1739</v>
      </c>
      <c r="AS1085" s="4" t="s">
        <v>1740</v>
      </c>
      <c r="AT1085" s="4" t="s">
        <v>1741</v>
      </c>
      <c r="AU1085" s="4" t="s">
        <v>1742</v>
      </c>
      <c r="AV1085" s="4" t="s">
        <v>1720</v>
      </c>
      <c r="AW1085" s="4" t="s">
        <v>2698</v>
      </c>
      <c r="AX1085" s="4" t="s">
        <v>2827</v>
      </c>
      <c r="AY1085" s="4">
        <v>49.4328</v>
      </c>
      <c r="AZ1085" s="4">
        <v>-118.5783</v>
      </c>
      <c r="BA1085" s="4">
        <v>1338</v>
      </c>
    </row>
    <row r="1086" spans="1:53" ht="14.25" customHeight="1" x14ac:dyDescent="0.2">
      <c r="A1086" s="136" t="s">
        <v>2037</v>
      </c>
      <c r="B1086" s="4">
        <v>12</v>
      </c>
      <c r="C1086" s="4" t="s">
        <v>1711</v>
      </c>
      <c r="D1086" s="4">
        <v>398</v>
      </c>
      <c r="E1086" s="4">
        <v>1940</v>
      </c>
      <c r="F1086" s="4" t="s">
        <v>2860</v>
      </c>
      <c r="G1086" s="188" t="s">
        <v>2861</v>
      </c>
      <c r="H1086" s="4" t="s">
        <v>2862</v>
      </c>
      <c r="I1086" s="4" t="s">
        <v>641</v>
      </c>
      <c r="J1086" s="4" t="s">
        <v>1715</v>
      </c>
      <c r="K1086" s="4">
        <v>1</v>
      </c>
      <c r="L1086" s="4">
        <v>2343</v>
      </c>
      <c r="M1086" s="6"/>
      <c r="N1086" s="9"/>
      <c r="O1086" s="9"/>
      <c r="P1086" s="9"/>
      <c r="Q1086" s="20"/>
      <c r="R1086" s="9"/>
      <c r="S1086" s="9"/>
      <c r="T1086" s="9"/>
      <c r="U1086" s="9"/>
      <c r="V1086" s="9"/>
      <c r="W1086" s="58"/>
      <c r="X1086" s="9"/>
      <c r="AK1086" s="260"/>
      <c r="AO1086" s="4" t="s">
        <v>2863</v>
      </c>
      <c r="AP1086" s="4">
        <v>398</v>
      </c>
      <c r="AQ1086" s="4" t="s">
        <v>1716</v>
      </c>
      <c r="AR1086" s="4" t="s">
        <v>1717</v>
      </c>
      <c r="AS1086" s="4" t="s">
        <v>1718</v>
      </c>
      <c r="AT1086" s="4" t="s">
        <v>1835</v>
      </c>
      <c r="AU1086" s="4" t="s">
        <v>1836</v>
      </c>
      <c r="AV1086" s="4" t="s">
        <v>1720</v>
      </c>
      <c r="AW1086" s="4" t="s">
        <v>2698</v>
      </c>
      <c r="AX1086" s="4" t="s">
        <v>2801</v>
      </c>
      <c r="AY1086" s="4">
        <v>49.037999999999997</v>
      </c>
      <c r="AZ1086" s="4">
        <v>-116.4958</v>
      </c>
      <c r="BA1086" s="4">
        <v>683</v>
      </c>
    </row>
    <row r="1087" spans="1:53" ht="14.25" customHeight="1" x14ac:dyDescent="0.2">
      <c r="A1087" s="136" t="s">
        <v>2037</v>
      </c>
      <c r="B1087" s="4">
        <v>12</v>
      </c>
      <c r="C1087" s="4" t="s">
        <v>1711</v>
      </c>
      <c r="D1087" s="4">
        <v>417</v>
      </c>
      <c r="E1087" s="4">
        <v>1957</v>
      </c>
      <c r="F1087" s="201" t="s">
        <v>2913</v>
      </c>
      <c r="G1087" s="4" t="s">
        <v>2914</v>
      </c>
      <c r="H1087" s="4" t="s">
        <v>2915</v>
      </c>
      <c r="I1087" s="4" t="s">
        <v>641</v>
      </c>
      <c r="J1087" s="4" t="s">
        <v>1736</v>
      </c>
      <c r="K1087" s="4">
        <v>1</v>
      </c>
      <c r="L1087" s="4">
        <v>2360</v>
      </c>
      <c r="M1087" s="6">
        <v>50.512830000000001</v>
      </c>
      <c r="N1087" s="9">
        <v>-116.05533</v>
      </c>
      <c r="O1087" s="9" t="s">
        <v>170</v>
      </c>
      <c r="P1087" s="9">
        <v>417</v>
      </c>
      <c r="Q1087" s="20">
        <v>1</v>
      </c>
      <c r="R1087" s="9" t="s">
        <v>2916</v>
      </c>
      <c r="S1087" s="9" t="s">
        <v>1737</v>
      </c>
      <c r="T1087" s="9">
        <v>894</v>
      </c>
      <c r="U1087" s="9" t="s">
        <v>645</v>
      </c>
      <c r="V1087" s="9" t="s">
        <v>1830</v>
      </c>
      <c r="W1087" s="21">
        <v>31413</v>
      </c>
      <c r="X1087" s="9" t="s">
        <v>1738</v>
      </c>
      <c r="AK1087" s="260"/>
      <c r="AO1087" s="237" t="s">
        <v>2916</v>
      </c>
      <c r="AP1087" s="4">
        <v>417</v>
      </c>
      <c r="AQ1087" s="4" t="s">
        <v>1700</v>
      </c>
      <c r="AR1087" s="4" t="s">
        <v>1739</v>
      </c>
      <c r="AS1087" s="4" t="s">
        <v>1740</v>
      </c>
      <c r="AT1087" s="4" t="s">
        <v>1741</v>
      </c>
      <c r="AU1087" s="4" t="s">
        <v>2043</v>
      </c>
      <c r="AV1087" s="4" t="s">
        <v>1720</v>
      </c>
      <c r="AW1087" s="4" t="s">
        <v>2698</v>
      </c>
      <c r="AX1087" s="4" t="s">
        <v>2768</v>
      </c>
      <c r="AY1087" s="4">
        <v>50.512799999999999</v>
      </c>
      <c r="AZ1087" s="4">
        <v>-116.0553</v>
      </c>
      <c r="BA1087" s="4">
        <v>894</v>
      </c>
    </row>
    <row r="1088" spans="1:53" ht="14.25" customHeight="1" x14ac:dyDescent="0.2">
      <c r="A1088" s="136" t="s">
        <v>2037</v>
      </c>
      <c r="B1088" s="4">
        <v>12</v>
      </c>
      <c r="C1088" s="4" t="s">
        <v>1711</v>
      </c>
      <c r="D1088" s="4">
        <v>789</v>
      </c>
      <c r="E1088" s="4">
        <v>2236</v>
      </c>
      <c r="F1088" s="8" t="s">
        <v>3763</v>
      </c>
      <c r="G1088" s="4" t="s">
        <v>3764</v>
      </c>
      <c r="H1088" s="4" t="s">
        <v>3765</v>
      </c>
      <c r="I1088" s="4" t="s">
        <v>641</v>
      </c>
      <c r="J1088" s="4" t="s">
        <v>1891</v>
      </c>
      <c r="K1088" s="4">
        <v>1</v>
      </c>
      <c r="L1088" s="4">
        <v>2639</v>
      </c>
      <c r="M1088" s="6">
        <v>49.453899999999997</v>
      </c>
      <c r="N1088" s="9">
        <v>-115.9872</v>
      </c>
      <c r="O1088" s="9" t="s">
        <v>170</v>
      </c>
      <c r="P1088" s="9">
        <v>789</v>
      </c>
      <c r="Q1088" s="20">
        <v>5</v>
      </c>
      <c r="R1088" s="9" t="s">
        <v>3766</v>
      </c>
      <c r="S1088" s="9" t="s">
        <v>1737</v>
      </c>
      <c r="T1088" s="9">
        <v>1572</v>
      </c>
      <c r="U1088" s="9"/>
      <c r="V1088" s="9"/>
      <c r="W1088" s="21">
        <v>36892</v>
      </c>
      <c r="X1088" s="9" t="s">
        <v>1738</v>
      </c>
      <c r="AK1088" s="7"/>
      <c r="AO1088" s="196" t="s">
        <v>3767</v>
      </c>
      <c r="AP1088" s="4">
        <v>789</v>
      </c>
      <c r="AQ1088" s="4" t="s">
        <v>1716</v>
      </c>
      <c r="AR1088" s="4" t="s">
        <v>2441</v>
      </c>
      <c r="AS1088" s="4" t="s">
        <v>1740</v>
      </c>
      <c r="AT1088" s="4" t="s">
        <v>1835</v>
      </c>
      <c r="AU1088" s="4" t="s">
        <v>1959</v>
      </c>
      <c r="AV1088" s="4" t="s">
        <v>1720</v>
      </c>
      <c r="AW1088" s="4" t="s">
        <v>2698</v>
      </c>
      <c r="AX1088" s="4" t="s">
        <v>2902</v>
      </c>
      <c r="AY1088" s="4">
        <v>49.453899999999997</v>
      </c>
      <c r="AZ1088" s="4">
        <v>-115.9872</v>
      </c>
      <c r="BA1088" s="4">
        <v>1572</v>
      </c>
    </row>
    <row r="1089" spans="1:72" ht="14.25" customHeight="1" x14ac:dyDescent="0.2">
      <c r="A1089" s="136" t="s">
        <v>2037</v>
      </c>
      <c r="B1089" s="4">
        <v>12</v>
      </c>
      <c r="C1089" s="4" t="s">
        <v>1711</v>
      </c>
      <c r="D1089" s="4">
        <v>913</v>
      </c>
      <c r="E1089" s="4">
        <v>2302</v>
      </c>
      <c r="F1089" s="4" t="s">
        <v>3973</v>
      </c>
      <c r="G1089" s="4" t="s">
        <v>3974</v>
      </c>
      <c r="H1089" s="4" t="s">
        <v>3975</v>
      </c>
      <c r="I1089" s="4" t="s">
        <v>1664</v>
      </c>
      <c r="J1089" s="4" t="s">
        <v>1746</v>
      </c>
      <c r="K1089" s="4">
        <v>1</v>
      </c>
      <c r="L1089" s="4">
        <v>2705</v>
      </c>
      <c r="M1089" s="6"/>
      <c r="U1089"/>
      <c r="AK1089" s="7"/>
      <c r="AO1089" s="196" t="s">
        <v>3976</v>
      </c>
      <c r="AP1089" s="188">
        <v>913</v>
      </c>
      <c r="AQ1089" s="188" t="s">
        <v>1716</v>
      </c>
      <c r="AR1089" s="188" t="s">
        <v>1717</v>
      </c>
      <c r="AS1089" s="188" t="s">
        <v>2257</v>
      </c>
      <c r="AT1089" s="188" t="s">
        <v>1703</v>
      </c>
      <c r="AU1089" s="188" t="s">
        <v>3668</v>
      </c>
      <c r="AV1089" s="188" t="s">
        <v>1720</v>
      </c>
      <c r="AW1089" s="188" t="s">
        <v>2698</v>
      </c>
      <c r="AX1089" s="188" t="s">
        <v>1965</v>
      </c>
      <c r="AY1089" s="188">
        <v>52.269199999999998</v>
      </c>
      <c r="AZ1089" s="188">
        <v>-125.78270000000001</v>
      </c>
      <c r="BA1089" s="188">
        <v>1098</v>
      </c>
    </row>
    <row r="1090" spans="1:72" ht="14.25" customHeight="1" x14ac:dyDescent="0.2">
      <c r="A1090" s="136" t="s">
        <v>2037</v>
      </c>
      <c r="B1090" s="4">
        <v>12</v>
      </c>
      <c r="C1090" s="4" t="s">
        <v>1711</v>
      </c>
      <c r="D1090" s="4">
        <v>919</v>
      </c>
      <c r="E1090" s="4">
        <v>2304</v>
      </c>
      <c r="F1090" s="8" t="s">
        <v>3981</v>
      </c>
      <c r="G1090" s="4" t="s">
        <v>3982</v>
      </c>
      <c r="H1090" s="4" t="s">
        <v>3983</v>
      </c>
      <c r="I1090" s="4" t="s">
        <v>641</v>
      </c>
      <c r="J1090" s="4" t="s">
        <v>1891</v>
      </c>
      <c r="K1090" s="4">
        <v>1</v>
      </c>
      <c r="L1090" s="4">
        <v>2707</v>
      </c>
      <c r="M1090" s="6">
        <v>51.669429999999998</v>
      </c>
      <c r="N1090" s="9">
        <v>-118.48707</v>
      </c>
      <c r="O1090" s="9" t="s">
        <v>170</v>
      </c>
      <c r="P1090" s="9">
        <v>919</v>
      </c>
      <c r="Q1090" s="20">
        <v>3</v>
      </c>
      <c r="R1090" s="9" t="s">
        <v>3984</v>
      </c>
      <c r="S1090" s="9" t="s">
        <v>1737</v>
      </c>
      <c r="T1090" s="9">
        <v>1333</v>
      </c>
      <c r="U1090" s="9"/>
      <c r="V1090" s="9"/>
      <c r="W1090" s="21">
        <v>38610</v>
      </c>
      <c r="X1090" s="9" t="s">
        <v>1738</v>
      </c>
      <c r="AK1090" s="7"/>
      <c r="AO1090" s="4" t="s">
        <v>3984</v>
      </c>
      <c r="AP1090" s="4">
        <v>919</v>
      </c>
      <c r="AQ1090" s="4" t="s">
        <v>1716</v>
      </c>
      <c r="AR1090" s="4" t="s">
        <v>1739</v>
      </c>
      <c r="AS1090" s="4" t="s">
        <v>1740</v>
      </c>
      <c r="AT1090" s="4" t="s">
        <v>1741</v>
      </c>
      <c r="AU1090" s="4" t="s">
        <v>1742</v>
      </c>
      <c r="AV1090" s="4" t="s">
        <v>1720</v>
      </c>
      <c r="AW1090" s="4" t="s">
        <v>2698</v>
      </c>
      <c r="AX1090" s="4" t="s">
        <v>2699</v>
      </c>
      <c r="AY1090" s="4">
        <v>51.669400000000003</v>
      </c>
      <c r="AZ1090" s="4">
        <v>-118.4871</v>
      </c>
      <c r="BA1090" s="4">
        <v>1333</v>
      </c>
    </row>
    <row r="1091" spans="1:72" ht="14.25" customHeight="1" x14ac:dyDescent="0.2">
      <c r="A1091" s="136" t="s">
        <v>2037</v>
      </c>
      <c r="B1091" s="4">
        <v>12</v>
      </c>
      <c r="C1091" s="4" t="s">
        <v>1711</v>
      </c>
      <c r="D1091" s="4">
        <v>930</v>
      </c>
      <c r="E1091" s="4">
        <v>2311</v>
      </c>
      <c r="F1091" s="4" t="s">
        <v>4006</v>
      </c>
      <c r="G1091" s="4" t="s">
        <v>4007</v>
      </c>
      <c r="H1091" s="4" t="s">
        <v>4008</v>
      </c>
      <c r="I1091" s="4" t="s">
        <v>641</v>
      </c>
      <c r="J1091" s="4" t="s">
        <v>1746</v>
      </c>
      <c r="K1091" s="4">
        <v>1</v>
      </c>
      <c r="L1091" s="4">
        <v>2714</v>
      </c>
      <c r="M1091" s="6">
        <v>49.655099999999997</v>
      </c>
      <c r="N1091" s="9">
        <v>-121.35807</v>
      </c>
      <c r="O1091" s="9" t="s">
        <v>51</v>
      </c>
      <c r="P1091" s="224">
        <v>977</v>
      </c>
      <c r="Q1091" s="20">
        <v>4</v>
      </c>
      <c r="R1091" s="9" t="s">
        <v>4009</v>
      </c>
      <c r="S1091" s="9" t="s">
        <v>1737</v>
      </c>
      <c r="T1091" s="9">
        <v>630</v>
      </c>
      <c r="U1091" s="9"/>
      <c r="V1091" s="9"/>
      <c r="W1091" s="21">
        <v>39219</v>
      </c>
      <c r="X1091" s="9" t="s">
        <v>1738</v>
      </c>
      <c r="AK1091" s="7"/>
      <c r="AO1091" s="4" t="s">
        <v>4010</v>
      </c>
      <c r="AP1091" s="4">
        <v>930</v>
      </c>
      <c r="AQ1091" s="4" t="s">
        <v>1716</v>
      </c>
      <c r="AR1091" s="4" t="s">
        <v>1717</v>
      </c>
      <c r="AS1091" s="4" t="s">
        <v>1718</v>
      </c>
      <c r="AT1091" s="4" t="s">
        <v>1719</v>
      </c>
      <c r="AU1091" s="4" t="s">
        <v>1959</v>
      </c>
      <c r="AV1091" s="4" t="s">
        <v>1720</v>
      </c>
      <c r="AW1091" s="4" t="s">
        <v>2193</v>
      </c>
      <c r="AX1091" s="4" t="s">
        <v>2291</v>
      </c>
      <c r="AY1091" s="4">
        <v>52.076000000000001</v>
      </c>
      <c r="AZ1091" s="4">
        <v>-122.08199999999999</v>
      </c>
      <c r="BA1091" s="4">
        <v>920</v>
      </c>
    </row>
    <row r="1092" spans="1:72" ht="14.25" customHeight="1" x14ac:dyDescent="0.2">
      <c r="A1092" s="136" t="s">
        <v>2037</v>
      </c>
      <c r="B1092" s="4">
        <v>12</v>
      </c>
      <c r="C1092" s="4" t="s">
        <v>1711</v>
      </c>
      <c r="D1092" s="4">
        <v>969</v>
      </c>
      <c r="E1092" s="4">
        <v>2328</v>
      </c>
      <c r="F1092" s="188" t="s">
        <v>4071</v>
      </c>
      <c r="G1092" s="4" t="s">
        <v>4072</v>
      </c>
      <c r="H1092" s="4" t="s">
        <v>4073</v>
      </c>
      <c r="I1092" s="4" t="s">
        <v>641</v>
      </c>
      <c r="J1092" s="4" t="s">
        <v>1746</v>
      </c>
      <c r="K1092" s="4">
        <v>1</v>
      </c>
      <c r="L1092" s="4">
        <v>2731</v>
      </c>
      <c r="M1092" s="6"/>
      <c r="N1092" s="9"/>
      <c r="O1092" s="9"/>
      <c r="P1092" s="9"/>
      <c r="Q1092" s="20"/>
      <c r="R1092" s="9"/>
      <c r="S1092" s="9"/>
      <c r="T1092" s="9"/>
      <c r="U1092" s="9"/>
      <c r="V1092" s="9"/>
      <c r="W1092" s="9"/>
      <c r="X1092" s="9"/>
      <c r="AK1092" s="7"/>
      <c r="AO1092" s="4" t="s">
        <v>4074</v>
      </c>
      <c r="AP1092" s="4">
        <v>969</v>
      </c>
      <c r="AQ1092" s="4" t="s">
        <v>1716</v>
      </c>
      <c r="AR1092" s="4" t="s">
        <v>1717</v>
      </c>
      <c r="AS1092" s="4" t="s">
        <v>1718</v>
      </c>
      <c r="AT1092" s="4" t="s">
        <v>1841</v>
      </c>
      <c r="AU1092" s="4" t="s">
        <v>2489</v>
      </c>
      <c r="AV1092" s="4" t="s">
        <v>1720</v>
      </c>
      <c r="AW1092" s="4" t="s">
        <v>2368</v>
      </c>
      <c r="AX1092" s="4" t="s">
        <v>2492</v>
      </c>
      <c r="AY1092" s="4">
        <v>49.663600000000002</v>
      </c>
      <c r="AZ1092" s="4">
        <v>-120.54389999999999</v>
      </c>
      <c r="BA1092" s="4">
        <v>1449</v>
      </c>
    </row>
    <row r="1093" spans="1:72" ht="14.25" customHeight="1" x14ac:dyDescent="0.2">
      <c r="A1093" s="136" t="s">
        <v>2037</v>
      </c>
      <c r="B1093" s="4">
        <v>12</v>
      </c>
      <c r="C1093" s="4" t="s">
        <v>1711</v>
      </c>
      <c r="D1093" s="4">
        <v>980</v>
      </c>
      <c r="E1093" s="4">
        <v>2332</v>
      </c>
      <c r="F1093" s="188" t="s">
        <v>4085</v>
      </c>
      <c r="G1093" s="218" t="s">
        <v>4086</v>
      </c>
      <c r="H1093" s="4" t="s">
        <v>4087</v>
      </c>
      <c r="I1093" s="4" t="s">
        <v>641</v>
      </c>
      <c r="J1093" s="4" t="s">
        <v>1746</v>
      </c>
      <c r="K1093" s="4">
        <v>1</v>
      </c>
      <c r="L1093" s="4">
        <v>2735</v>
      </c>
      <c r="M1093" s="6"/>
      <c r="N1093" s="9"/>
      <c r="O1093" s="9"/>
      <c r="P1093" s="9"/>
      <c r="Q1093" s="20"/>
      <c r="R1093" s="9"/>
      <c r="S1093" s="9"/>
      <c r="T1093" s="9"/>
      <c r="U1093" s="9"/>
      <c r="V1093" s="9"/>
      <c r="W1093" s="21"/>
      <c r="X1093" s="9"/>
      <c r="AK1093" s="7"/>
      <c r="AO1093" s="4" t="s">
        <v>4088</v>
      </c>
      <c r="AP1093" s="4">
        <v>980</v>
      </c>
      <c r="AQ1093" s="4" t="s">
        <v>1716</v>
      </c>
      <c r="AR1093" s="4" t="s">
        <v>1717</v>
      </c>
      <c r="AS1093" s="4" t="s">
        <v>1718</v>
      </c>
      <c r="AT1093" s="4" t="s">
        <v>1835</v>
      </c>
      <c r="AU1093" s="4" t="s">
        <v>1959</v>
      </c>
      <c r="AV1093" s="4" t="s">
        <v>1720</v>
      </c>
      <c r="AW1093" s="4" t="s">
        <v>2368</v>
      </c>
      <c r="AX1093" s="4" t="s">
        <v>2369</v>
      </c>
      <c r="AY1093" s="4">
        <v>51.436700000000002</v>
      </c>
      <c r="AZ1093" s="4">
        <v>-119.6908</v>
      </c>
      <c r="BA1093" s="4">
        <v>1369</v>
      </c>
    </row>
    <row r="1094" spans="1:72" ht="14.25" customHeight="1" x14ac:dyDescent="0.2">
      <c r="A1094" s="136" t="s">
        <v>2037</v>
      </c>
      <c r="B1094" s="4">
        <v>12</v>
      </c>
      <c r="C1094" s="4" t="s">
        <v>1711</v>
      </c>
      <c r="D1094" s="4">
        <v>1181</v>
      </c>
      <c r="E1094" s="4">
        <v>11001</v>
      </c>
      <c r="F1094" s="4" t="s">
        <v>4307</v>
      </c>
      <c r="G1094" s="4" t="s">
        <v>4308</v>
      </c>
      <c r="H1094" s="4" t="s">
        <v>4309</v>
      </c>
      <c r="I1094" s="4" t="s">
        <v>49</v>
      </c>
      <c r="J1094" s="4" t="s">
        <v>1746</v>
      </c>
      <c r="K1094" s="4">
        <v>1</v>
      </c>
      <c r="L1094" s="4">
        <v>13169</v>
      </c>
      <c r="M1094" s="6"/>
      <c r="U1094"/>
      <c r="AK1094" s="7"/>
      <c r="AO1094" s="4" t="s">
        <v>4310</v>
      </c>
      <c r="AP1094" s="4">
        <v>1181</v>
      </c>
      <c r="AQ1094" s="4" t="s">
        <v>1716</v>
      </c>
      <c r="AR1094" s="4" t="s">
        <v>1717</v>
      </c>
      <c r="AS1094" s="4" t="s">
        <v>1718</v>
      </c>
      <c r="AT1094" s="4" t="s">
        <v>1835</v>
      </c>
      <c r="AU1094" s="4" t="s">
        <v>1836</v>
      </c>
      <c r="AV1094" s="4" t="s">
        <v>1720</v>
      </c>
      <c r="AW1094" s="4" t="s">
        <v>1705</v>
      </c>
      <c r="AX1094" s="4" t="s">
        <v>1879</v>
      </c>
      <c r="AY1094" s="4">
        <v>49.7483</v>
      </c>
      <c r="AZ1094" s="4">
        <v>-122.2864</v>
      </c>
      <c r="BA1094" s="4">
        <v>223</v>
      </c>
    </row>
    <row r="1095" spans="1:72" ht="14.25" customHeight="1" x14ac:dyDescent="0.2">
      <c r="A1095" s="136" t="s">
        <v>2037</v>
      </c>
      <c r="B1095" s="4">
        <v>12</v>
      </c>
      <c r="C1095" s="4" t="s">
        <v>1711</v>
      </c>
      <c r="D1095" s="4">
        <v>1251</v>
      </c>
      <c r="E1095" s="4">
        <v>12018</v>
      </c>
      <c r="F1095" s="4" t="s">
        <v>4444</v>
      </c>
      <c r="G1095" s="4" t="s">
        <v>4445</v>
      </c>
      <c r="H1095" s="4" t="s">
        <v>4446</v>
      </c>
      <c r="I1095" s="4" t="s">
        <v>49</v>
      </c>
      <c r="J1095" s="4" t="s">
        <v>4447</v>
      </c>
      <c r="K1095" s="4">
        <v>1</v>
      </c>
      <c r="L1095" s="4">
        <v>14075</v>
      </c>
      <c r="M1095" s="6"/>
      <c r="U1095"/>
      <c r="AK1095" s="7"/>
      <c r="AO1095" s="4" t="s">
        <v>4448</v>
      </c>
      <c r="AP1095" s="4">
        <v>1251</v>
      </c>
      <c r="AQ1095" s="4" t="s">
        <v>1716</v>
      </c>
      <c r="AR1095" s="4" t="s">
        <v>1717</v>
      </c>
      <c r="AS1095" s="4" t="s">
        <v>1740</v>
      </c>
      <c r="AT1095" s="4" t="s">
        <v>1835</v>
      </c>
      <c r="AU1095" s="4" t="s">
        <v>1742</v>
      </c>
      <c r="AV1095" s="4" t="s">
        <v>1720</v>
      </c>
      <c r="AW1095" s="4" t="s">
        <v>1705</v>
      </c>
      <c r="AX1095" s="4" t="s">
        <v>1837</v>
      </c>
      <c r="AY1095" s="4">
        <v>49.751800000000003</v>
      </c>
      <c r="AZ1095" s="4">
        <v>-123.7051</v>
      </c>
      <c r="BA1095" s="4">
        <v>1</v>
      </c>
    </row>
    <row r="1096" spans="1:72" ht="14.25" customHeight="1" x14ac:dyDescent="0.2">
      <c r="A1096" s="136" t="s">
        <v>2037</v>
      </c>
      <c r="B1096" s="4">
        <v>12</v>
      </c>
      <c r="C1096" s="4" t="s">
        <v>1711</v>
      </c>
      <c r="D1096" s="4">
        <v>1331</v>
      </c>
      <c r="E1096" s="4">
        <v>12337</v>
      </c>
      <c r="F1096" s="4" t="s">
        <v>4622</v>
      </c>
      <c r="G1096" s="4" t="s">
        <v>4623</v>
      </c>
      <c r="H1096" s="4" t="s">
        <v>4624</v>
      </c>
      <c r="I1096" s="4" t="s">
        <v>49</v>
      </c>
      <c r="J1096" s="4" t="s">
        <v>1746</v>
      </c>
      <c r="K1096" s="4">
        <v>1</v>
      </c>
      <c r="L1096" s="4">
        <v>14393</v>
      </c>
      <c r="M1096" s="6">
        <v>49.116700000000002</v>
      </c>
      <c r="N1096" s="4">
        <v>-119.3</v>
      </c>
      <c r="O1096" s="4" t="s">
        <v>142</v>
      </c>
      <c r="P1096" s="4">
        <v>2170</v>
      </c>
      <c r="Q1096" s="4">
        <v>3</v>
      </c>
      <c r="R1096" s="4" t="s">
        <v>4625</v>
      </c>
      <c r="S1096" s="4" t="s">
        <v>1737</v>
      </c>
      <c r="T1096" s="4">
        <v>1384</v>
      </c>
      <c r="U1096"/>
      <c r="W1096" s="4">
        <v>44735</v>
      </c>
      <c r="X1096" s="4" t="s">
        <v>1738</v>
      </c>
      <c r="AK1096" s="7"/>
      <c r="AO1096" s="4" t="s">
        <v>4626</v>
      </c>
      <c r="AP1096" s="4">
        <v>1331</v>
      </c>
      <c r="AQ1096" s="4" t="s">
        <v>1716</v>
      </c>
      <c r="AR1096" s="4" t="s">
        <v>1717</v>
      </c>
      <c r="AS1096" s="4" t="s">
        <v>1740</v>
      </c>
      <c r="AT1096" s="4" t="s">
        <v>1703</v>
      </c>
      <c r="AU1096" s="4" t="s">
        <v>1742</v>
      </c>
      <c r="AV1096" s="4" t="s">
        <v>1720</v>
      </c>
      <c r="AW1096" s="4" t="s">
        <v>2368</v>
      </c>
      <c r="AX1096" s="4" t="s">
        <v>2516</v>
      </c>
      <c r="AY1096" s="4">
        <v>49.104599999999998</v>
      </c>
      <c r="AZ1096" s="4">
        <v>-119.3914</v>
      </c>
      <c r="BA1096" s="4">
        <v>1127</v>
      </c>
    </row>
    <row r="1097" spans="1:72" ht="14.25" customHeight="1" x14ac:dyDescent="0.2">
      <c r="A1097" s="136" t="s">
        <v>2037</v>
      </c>
      <c r="B1097" s="4">
        <v>12</v>
      </c>
      <c r="C1097" s="4" t="s">
        <v>1711</v>
      </c>
      <c r="D1097" s="4">
        <v>1396</v>
      </c>
      <c r="E1097" s="4">
        <v>12524</v>
      </c>
      <c r="F1097" s="4" t="s">
        <v>4730</v>
      </c>
      <c r="G1097" s="4" t="s">
        <v>4731</v>
      </c>
      <c r="H1097" s="4" t="s">
        <v>4732</v>
      </c>
      <c r="I1097" s="4" t="s">
        <v>49</v>
      </c>
      <c r="J1097" s="4" t="s">
        <v>1746</v>
      </c>
      <c r="K1097" s="4">
        <v>1</v>
      </c>
      <c r="L1097" s="4">
        <v>14546</v>
      </c>
      <c r="M1097" s="6"/>
      <c r="P1097" s="192"/>
      <c r="U1097"/>
      <c r="AE1097" s="4" t="s">
        <v>4733</v>
      </c>
      <c r="AK1097" s="7"/>
      <c r="AO1097" s="4" t="s">
        <v>4734</v>
      </c>
      <c r="AP1097" s="4">
        <v>1396</v>
      </c>
      <c r="AQ1097" s="4" t="s">
        <v>1716</v>
      </c>
      <c r="AR1097" s="4" t="s">
        <v>1717</v>
      </c>
      <c r="AS1097" s="4" t="s">
        <v>1740</v>
      </c>
      <c r="AT1097" s="4" t="s">
        <v>1835</v>
      </c>
      <c r="AU1097" s="4" t="s">
        <v>1742</v>
      </c>
      <c r="AV1097" s="4" t="s">
        <v>1720</v>
      </c>
      <c r="AW1097" s="4" t="s">
        <v>2368</v>
      </c>
      <c r="AX1097" s="4" t="s">
        <v>2516</v>
      </c>
      <c r="AY1097" s="4">
        <v>49.435200000000002</v>
      </c>
      <c r="AZ1097" s="4">
        <v>-119.99760000000001</v>
      </c>
      <c r="BA1097" s="4">
        <v>1716</v>
      </c>
    </row>
    <row r="1098" spans="1:72" ht="14.25" customHeight="1" x14ac:dyDescent="0.2">
      <c r="A1098" s="136" t="s">
        <v>2037</v>
      </c>
      <c r="B1098" s="4">
        <v>12</v>
      </c>
      <c r="C1098" s="4" t="s">
        <v>1711</v>
      </c>
      <c r="D1098" s="4">
        <v>1399</v>
      </c>
      <c r="E1098" s="4">
        <v>12622</v>
      </c>
      <c r="F1098" s="188" t="s">
        <v>4741</v>
      </c>
      <c r="G1098" s="4" t="s">
        <v>4742</v>
      </c>
      <c r="H1098" s="4" t="s">
        <v>4743</v>
      </c>
      <c r="I1098" s="4" t="s">
        <v>49</v>
      </c>
      <c r="J1098" s="4" t="s">
        <v>1746</v>
      </c>
      <c r="K1098" s="4">
        <v>1</v>
      </c>
      <c r="L1098" s="4">
        <v>14644</v>
      </c>
      <c r="M1098" s="6">
        <v>50.087449999999997</v>
      </c>
      <c r="N1098" s="4">
        <v>-120.74572999999999</v>
      </c>
      <c r="O1098" s="4" t="s">
        <v>142</v>
      </c>
      <c r="P1098" s="4">
        <v>294</v>
      </c>
      <c r="Q1098" s="4">
        <v>1</v>
      </c>
      <c r="R1098" s="4" t="s">
        <v>4744</v>
      </c>
      <c r="S1098" s="4" t="s">
        <v>1737</v>
      </c>
      <c r="T1098" s="4">
        <v>640</v>
      </c>
      <c r="U1098" s="4" t="s">
        <v>645</v>
      </c>
      <c r="W1098" s="4">
        <v>28491</v>
      </c>
      <c r="X1098" s="4" t="s">
        <v>1738</v>
      </c>
      <c r="AK1098" s="7"/>
      <c r="AO1098" s="237" t="s">
        <v>4741</v>
      </c>
      <c r="AP1098" s="4">
        <v>1399</v>
      </c>
      <c r="AQ1098" s="4" t="s">
        <v>1700</v>
      </c>
      <c r="AR1098" s="4" t="s">
        <v>1739</v>
      </c>
      <c r="AS1098" s="4" t="s">
        <v>1740</v>
      </c>
      <c r="AT1098" s="4" t="s">
        <v>1741</v>
      </c>
      <c r="AU1098" s="4" t="s">
        <v>1772</v>
      </c>
      <c r="AV1098" s="4" t="s">
        <v>1720</v>
      </c>
      <c r="AW1098" s="4" t="s">
        <v>2368</v>
      </c>
      <c r="AX1098" s="4" t="s">
        <v>2492</v>
      </c>
      <c r="AY1098" s="4">
        <v>50.121400000000001</v>
      </c>
      <c r="AZ1098" s="4">
        <v>-120.74420000000001</v>
      </c>
      <c r="BA1098" s="4">
        <v>640</v>
      </c>
    </row>
    <row r="1099" spans="1:72" ht="14.25" customHeight="1" x14ac:dyDescent="0.2">
      <c r="A1099" s="136" t="s">
        <v>2037</v>
      </c>
      <c r="B1099" s="4">
        <v>5</v>
      </c>
      <c r="C1099" s="4" t="s">
        <v>6010</v>
      </c>
      <c r="D1099" s="201" t="s">
        <v>6029</v>
      </c>
      <c r="E1099" s="4">
        <v>12350</v>
      </c>
      <c r="F1099" s="8" t="s">
        <v>6030</v>
      </c>
      <c r="G1099" s="4" t="s">
        <v>6031</v>
      </c>
      <c r="H1099" s="4" t="s">
        <v>6032</v>
      </c>
      <c r="I1099" s="4" t="s">
        <v>49</v>
      </c>
      <c r="J1099" s="4" t="s">
        <v>6033</v>
      </c>
      <c r="K1099" s="4">
        <v>1</v>
      </c>
      <c r="L1099" s="4">
        <v>14406</v>
      </c>
      <c r="M1099" s="6">
        <v>-120.83</v>
      </c>
      <c r="N1099" s="9">
        <v>56.23</v>
      </c>
      <c r="O1099" s="9">
        <v>686</v>
      </c>
      <c r="P1099" s="201" t="s">
        <v>6034</v>
      </c>
      <c r="Q1099" s="70">
        <v>2</v>
      </c>
      <c r="R1099" s="201" t="s">
        <v>6035</v>
      </c>
      <c r="S1099" s="9" t="s">
        <v>6036</v>
      </c>
      <c r="U1099"/>
      <c r="AK1099" s="260"/>
    </row>
    <row r="1100" spans="1:72" ht="14.25" customHeight="1" x14ac:dyDescent="0.2">
      <c r="A1100" s="136" t="s">
        <v>2037</v>
      </c>
      <c r="B1100" s="4">
        <v>5</v>
      </c>
      <c r="C1100" s="4" t="s">
        <v>6010</v>
      </c>
      <c r="D1100" s="4" t="s">
        <v>6053</v>
      </c>
      <c r="E1100" s="4">
        <v>12343</v>
      </c>
      <c r="F1100" s="201" t="s">
        <v>6054</v>
      </c>
      <c r="G1100" s="4" t="s">
        <v>6055</v>
      </c>
      <c r="H1100" s="4" t="s">
        <v>6056</v>
      </c>
      <c r="I1100" s="4" t="s">
        <v>49</v>
      </c>
      <c r="J1100" s="4" t="s">
        <v>6057</v>
      </c>
      <c r="K1100" s="4">
        <v>1</v>
      </c>
      <c r="L1100" s="4">
        <v>14399</v>
      </c>
      <c r="M1100" s="222" t="e">
        <f ca="1">_xludf.NUMBERVALUE(LEFT(G1100,7))</f>
        <v>#NAME?</v>
      </c>
      <c r="N1100" s="201">
        <v>56.222000000000001</v>
      </c>
      <c r="O1100" s="201" t="e">
        <f ca="1">_xludf.NUMBERVALUE(LEFT(RIGHT(G1100,5),3))</f>
        <v>#NAME?</v>
      </c>
      <c r="P1100" s="201" t="str">
        <f>D1100</f>
        <v>AFL</v>
      </c>
      <c r="Q1100" s="237"/>
      <c r="R1100" s="201" t="str">
        <f>F1100</f>
        <v>Attachie Flat Lower Terrace</v>
      </c>
      <c r="S1100" s="237"/>
      <c r="T1100" s="237"/>
      <c r="U1100" s="237"/>
      <c r="V1100" s="237"/>
      <c r="W1100" s="237"/>
      <c r="X1100" s="237"/>
      <c r="Y1100" s="237"/>
      <c r="Z1100" s="237"/>
      <c r="AA1100" s="237"/>
      <c r="AB1100" s="237"/>
      <c r="AC1100" s="237"/>
      <c r="AD1100" s="237"/>
      <c r="AE1100" s="237"/>
      <c r="AF1100" s="237"/>
      <c r="AG1100" s="237"/>
      <c r="AH1100" s="237"/>
      <c r="AI1100" s="237"/>
      <c r="AJ1100" s="237"/>
      <c r="AK1100" s="265"/>
      <c r="AL1100" s="237"/>
      <c r="AM1100" s="237"/>
      <c r="AN1100" s="237"/>
      <c r="AO1100" s="237"/>
      <c r="AP1100" s="237"/>
      <c r="AQ1100" s="237"/>
      <c r="AR1100" s="237"/>
      <c r="AS1100" s="237"/>
      <c r="AT1100" s="237"/>
      <c r="AU1100" s="237"/>
      <c r="AV1100" s="237"/>
      <c r="AW1100" s="237"/>
      <c r="AX1100" s="237"/>
      <c r="AY1100" s="237"/>
      <c r="AZ1100" s="237"/>
      <c r="BA1100" s="237"/>
      <c r="BB1100" s="237"/>
      <c r="BC1100" s="237"/>
      <c r="BD1100" s="237"/>
      <c r="BE1100" s="237"/>
      <c r="BF1100" s="237"/>
      <c r="BG1100" s="237"/>
      <c r="BH1100" s="237"/>
      <c r="BI1100" s="237"/>
      <c r="BJ1100" s="237"/>
      <c r="BK1100" s="237"/>
      <c r="BL1100" s="237"/>
      <c r="BM1100" s="237"/>
      <c r="BN1100" s="237"/>
      <c r="BO1100" s="237"/>
      <c r="BP1100" s="237"/>
      <c r="BQ1100" s="237"/>
      <c r="BR1100" s="237"/>
      <c r="BS1100" s="237"/>
      <c r="BT1100" s="237"/>
    </row>
    <row r="1101" spans="1:72" ht="14.25" customHeight="1" x14ac:dyDescent="0.2">
      <c r="A1101" s="136" t="s">
        <v>2037</v>
      </c>
      <c r="B1101" s="4">
        <v>5</v>
      </c>
      <c r="C1101" s="4" t="s">
        <v>6010</v>
      </c>
      <c r="D1101" s="4" t="s">
        <v>6058</v>
      </c>
      <c r="E1101" s="4">
        <v>12342</v>
      </c>
      <c r="F1101" s="201" t="s">
        <v>6059</v>
      </c>
      <c r="G1101" s="188" t="s">
        <v>6060</v>
      </c>
      <c r="H1101" s="4" t="s">
        <v>6032</v>
      </c>
      <c r="I1101" s="4" t="s">
        <v>49</v>
      </c>
      <c r="J1101" s="4" t="s">
        <v>6061</v>
      </c>
      <c r="K1101" s="4">
        <v>1</v>
      </c>
      <c r="L1101" s="4">
        <v>14398</v>
      </c>
      <c r="M1101" s="222" t="e">
        <f ca="1">_xludf.NUMBERVALUE(LEFT(G1101,7))</f>
        <v>#NAME?</v>
      </c>
      <c r="N1101" s="201">
        <v>56.231000000000002</v>
      </c>
      <c r="O1101" s="201" t="e">
        <f ca="1">_xludf.NUMBERVALUE(LEFT(RIGHT(G1101,5),3))</f>
        <v>#NAME?</v>
      </c>
      <c r="P1101" s="201" t="str">
        <f>D1101</f>
        <v>AFU</v>
      </c>
      <c r="Q1101" s="237"/>
      <c r="R1101" s="201" t="str">
        <f>F1101</f>
        <v>Attachie Flat Upper Terrace</v>
      </c>
      <c r="S1101" s="237"/>
      <c r="T1101" s="237"/>
      <c r="U1101" s="237"/>
      <c r="V1101" s="237"/>
      <c r="W1101" s="237"/>
      <c r="X1101" s="237"/>
      <c r="Y1101" s="237"/>
      <c r="Z1101" s="237"/>
      <c r="AA1101" s="237"/>
      <c r="AB1101" s="237"/>
      <c r="AC1101" s="237"/>
      <c r="AD1101" s="237"/>
      <c r="AE1101" s="237"/>
      <c r="AF1101" s="237"/>
      <c r="AG1101" s="237"/>
      <c r="AH1101" s="237"/>
      <c r="AI1101" s="237"/>
      <c r="AJ1101" s="237"/>
      <c r="AK1101" s="265"/>
      <c r="AL1101" s="237"/>
      <c r="AM1101" s="237"/>
      <c r="AN1101" s="237"/>
      <c r="AO1101" s="237"/>
      <c r="AP1101" s="237"/>
      <c r="AQ1101" s="237"/>
      <c r="AR1101" s="237"/>
      <c r="AS1101" s="237"/>
      <c r="AT1101" s="237"/>
      <c r="AU1101" s="237"/>
      <c r="AV1101" s="237"/>
      <c r="AW1101" s="237"/>
      <c r="AX1101" s="237"/>
      <c r="AY1101" s="237"/>
      <c r="AZ1101" s="237"/>
      <c r="BA1101" s="237"/>
      <c r="BB1101" s="237"/>
      <c r="BC1101" s="237"/>
      <c r="BD1101" s="237"/>
      <c r="BE1101" s="237"/>
      <c r="BF1101" s="237"/>
      <c r="BG1101" s="237"/>
      <c r="BH1101" s="237"/>
      <c r="BI1101" s="237"/>
      <c r="BJ1101" s="237"/>
      <c r="BK1101" s="237"/>
      <c r="BL1101" s="237"/>
      <c r="BM1101" s="237"/>
      <c r="BN1101" s="237"/>
      <c r="BO1101" s="237"/>
      <c r="BP1101" s="237"/>
      <c r="BQ1101" s="237"/>
      <c r="BR1101" s="237"/>
      <c r="BS1101" s="237"/>
      <c r="BT1101" s="237"/>
    </row>
    <row r="1102" spans="1:72" ht="14.25" customHeight="1" x14ac:dyDescent="0.2">
      <c r="A1102" s="136" t="s">
        <v>2037</v>
      </c>
      <c r="B1102" s="4">
        <v>5</v>
      </c>
      <c r="C1102" s="4" t="s">
        <v>6010</v>
      </c>
      <c r="D1102" s="4" t="s">
        <v>6062</v>
      </c>
      <c r="E1102" s="4">
        <v>12344</v>
      </c>
      <c r="F1102" s="201" t="s">
        <v>6063</v>
      </c>
      <c r="G1102" s="4" t="s">
        <v>6064</v>
      </c>
      <c r="H1102" s="4" t="s">
        <v>6032</v>
      </c>
      <c r="I1102" s="4" t="s">
        <v>49</v>
      </c>
      <c r="J1102" s="4" t="s">
        <v>6065</v>
      </c>
      <c r="K1102" s="4">
        <v>1</v>
      </c>
      <c r="L1102" s="4">
        <v>14400</v>
      </c>
      <c r="M1102" s="222" t="e">
        <f ca="1">_xludf.NUMBERVALUE(LEFT(G1102,7))</f>
        <v>#NAME?</v>
      </c>
      <c r="N1102" s="201">
        <v>56.232999999999997</v>
      </c>
      <c r="O1102" s="201" t="e">
        <f ca="1">_xludf.NUMBERVALUE(LEFT(RIGHT(G1102,5),3))</f>
        <v>#NAME?</v>
      </c>
      <c r="P1102" s="201" t="str">
        <f>D1102</f>
        <v>ATP</v>
      </c>
      <c r="Q1102" s="237"/>
      <c r="R1102" s="201" t="str">
        <f>F1102</f>
        <v>Attachie Plateau</v>
      </c>
      <c r="S1102" s="237"/>
      <c r="T1102" s="237"/>
      <c r="U1102" s="237"/>
      <c r="V1102" s="237"/>
      <c r="W1102" s="237"/>
      <c r="X1102" s="237"/>
      <c r="Y1102" s="237"/>
      <c r="Z1102" s="237"/>
      <c r="AA1102" s="237"/>
      <c r="AB1102" s="237"/>
      <c r="AC1102" s="237"/>
      <c r="AD1102" s="237"/>
      <c r="AE1102" s="237"/>
      <c r="AF1102" s="237"/>
      <c r="AG1102" s="237"/>
      <c r="AH1102" s="237"/>
      <c r="AI1102" s="237"/>
      <c r="AJ1102" s="237"/>
      <c r="AK1102" s="265"/>
      <c r="AL1102" s="237"/>
      <c r="AM1102" s="237"/>
      <c r="AN1102" s="237"/>
      <c r="AO1102" s="237"/>
      <c r="AP1102" s="237"/>
      <c r="AQ1102" s="237"/>
      <c r="AR1102" s="237"/>
      <c r="AS1102" s="237"/>
      <c r="AT1102" s="237"/>
      <c r="AU1102" s="237"/>
      <c r="AV1102" s="237"/>
      <c r="AW1102" s="237"/>
      <c r="AX1102" s="237"/>
      <c r="AY1102" s="237"/>
      <c r="AZ1102" s="237"/>
      <c r="BA1102" s="237"/>
      <c r="BB1102" s="237"/>
      <c r="BC1102" s="237"/>
      <c r="BD1102" s="237"/>
      <c r="BE1102" s="237"/>
      <c r="BF1102" s="237"/>
      <c r="BG1102" s="237"/>
      <c r="BH1102" s="237"/>
      <c r="BI1102" s="237"/>
      <c r="BJ1102" s="237"/>
      <c r="BK1102" s="237"/>
      <c r="BL1102" s="237"/>
      <c r="BM1102" s="237"/>
      <c r="BN1102" s="237"/>
      <c r="BO1102" s="237"/>
      <c r="BP1102" s="237"/>
      <c r="BQ1102" s="237"/>
      <c r="BR1102" s="237"/>
      <c r="BS1102" s="237"/>
      <c r="BT1102" s="237"/>
    </row>
    <row r="1103" spans="1:72" ht="14.25" customHeight="1" x14ac:dyDescent="0.2">
      <c r="A1103" s="136" t="s">
        <v>2037</v>
      </c>
      <c r="B1103" s="4">
        <v>5</v>
      </c>
      <c r="C1103" s="4" t="s">
        <v>6010</v>
      </c>
      <c r="D1103" s="4" t="s">
        <v>6076</v>
      </c>
      <c r="E1103" s="4">
        <v>12345</v>
      </c>
      <c r="F1103" s="201" t="s">
        <v>6077</v>
      </c>
      <c r="G1103" s="188" t="s">
        <v>6078</v>
      </c>
      <c r="H1103" s="4" t="s">
        <v>6032</v>
      </c>
      <c r="I1103" s="4" t="s">
        <v>49</v>
      </c>
      <c r="J1103" s="4" t="s">
        <v>6057</v>
      </c>
      <c r="K1103" s="4">
        <v>1</v>
      </c>
      <c r="L1103" s="4">
        <v>14401</v>
      </c>
      <c r="M1103" s="222" t="e">
        <f ca="1">_xludf.NUMBERVALUE(LEFT(G1103,7))</f>
        <v>#NAME?</v>
      </c>
      <c r="N1103" s="201" t="e">
        <f ca="1">_xludf.NUMBERVALUE(RIGHT(LEFT(G1103,17),6))</f>
        <v>#NAME?</v>
      </c>
      <c r="O1103" s="201" t="e">
        <f ca="1">_xludf.NUMBERVALUE(LEFT(RIGHT(G1103,5),3))</f>
        <v>#NAME?</v>
      </c>
      <c r="P1103" s="201" t="str">
        <f>D1103</f>
        <v>BEF</v>
      </c>
      <c r="Q1103" s="237"/>
      <c r="R1103" s="201" t="str">
        <f>F1103</f>
        <v>Bear Flat</v>
      </c>
      <c r="S1103" s="237"/>
      <c r="T1103" s="237"/>
      <c r="U1103" s="237"/>
      <c r="V1103" s="237"/>
      <c r="W1103" s="237"/>
      <c r="X1103" s="237"/>
      <c r="Y1103" s="237"/>
      <c r="Z1103" s="237"/>
      <c r="AA1103" s="237"/>
      <c r="AB1103" s="237"/>
      <c r="AC1103" s="237"/>
      <c r="AD1103" s="237"/>
      <c r="AE1103" s="237"/>
      <c r="AF1103" s="237"/>
      <c r="AG1103" s="237"/>
      <c r="AH1103" s="237"/>
      <c r="AI1103" s="237"/>
      <c r="AJ1103" s="237"/>
      <c r="AK1103" s="265"/>
      <c r="AL1103" s="237"/>
      <c r="AM1103" s="237"/>
      <c r="AN1103" s="237"/>
      <c r="AO1103" s="237"/>
      <c r="AP1103" s="237"/>
      <c r="AQ1103" s="237"/>
      <c r="AR1103" s="237"/>
      <c r="AS1103" s="237"/>
      <c r="AT1103" s="237"/>
      <c r="AU1103" s="237"/>
      <c r="AV1103" s="237"/>
      <c r="AW1103" s="237"/>
      <c r="AX1103" s="237"/>
      <c r="AY1103" s="237"/>
      <c r="AZ1103" s="237"/>
      <c r="BA1103" s="237"/>
      <c r="BB1103" s="237"/>
      <c r="BC1103" s="237"/>
      <c r="BD1103" s="237"/>
      <c r="BE1103" s="237"/>
      <c r="BF1103" s="237"/>
      <c r="BG1103" s="237"/>
      <c r="BH1103" s="237"/>
      <c r="BI1103" s="237"/>
      <c r="BJ1103" s="237"/>
      <c r="BK1103" s="237"/>
      <c r="BL1103" s="237"/>
      <c r="BM1103" s="237"/>
      <c r="BN1103" s="237"/>
      <c r="BO1103" s="237"/>
      <c r="BP1103" s="237"/>
      <c r="BQ1103" s="237"/>
      <c r="BR1103" s="237"/>
      <c r="BS1103" s="237"/>
      <c r="BT1103" s="237"/>
    </row>
    <row r="1104" spans="1:72" ht="14.25" customHeight="1" x14ac:dyDescent="0.2">
      <c r="A1104" s="136" t="s">
        <v>2037</v>
      </c>
      <c r="B1104" s="4">
        <v>5</v>
      </c>
      <c r="C1104" s="4" t="s">
        <v>6010</v>
      </c>
      <c r="D1104" s="4" t="s">
        <v>6079</v>
      </c>
      <c r="E1104" s="4">
        <v>2439</v>
      </c>
      <c r="F1104" s="8" t="s">
        <v>6080</v>
      </c>
      <c r="G1104" s="4" t="s">
        <v>6081</v>
      </c>
      <c r="H1104" s="4" t="s">
        <v>6082</v>
      </c>
      <c r="I1104" s="4" t="s">
        <v>1664</v>
      </c>
      <c r="J1104" s="4" t="s">
        <v>6046</v>
      </c>
      <c r="K1104" s="4">
        <v>1</v>
      </c>
      <c r="L1104" s="4">
        <v>2842</v>
      </c>
      <c r="M1104" s="223"/>
      <c r="U1104" s="237"/>
      <c r="V1104" s="237"/>
      <c r="W1104" s="237"/>
      <c r="X1104" s="237"/>
      <c r="Y1104" s="237"/>
      <c r="Z1104" s="237"/>
      <c r="AA1104" s="237"/>
      <c r="AB1104" s="237"/>
      <c r="AC1104" s="237"/>
      <c r="AD1104" s="237"/>
      <c r="AE1104" s="237"/>
      <c r="AF1104" s="237"/>
      <c r="AG1104" s="237"/>
      <c r="AH1104" s="237"/>
      <c r="AI1104" s="237"/>
      <c r="AJ1104" s="237"/>
      <c r="AK1104" s="265"/>
      <c r="AL1104" s="237"/>
      <c r="AM1104" s="237"/>
      <c r="AN1104" s="237"/>
      <c r="AO1104" s="237"/>
      <c r="AP1104" s="237"/>
      <c r="AQ1104" s="237"/>
      <c r="AR1104" s="237"/>
      <c r="AS1104" s="237"/>
      <c r="AT1104" s="237"/>
      <c r="AU1104" s="237"/>
      <c r="AV1104" s="237"/>
      <c r="AW1104" s="237"/>
      <c r="AX1104" s="237"/>
      <c r="AY1104" s="237"/>
      <c r="AZ1104" s="237"/>
      <c r="BA1104" s="237"/>
      <c r="BB1104" s="237"/>
      <c r="BC1104" s="237"/>
      <c r="BD1104" s="237"/>
      <c r="BE1104" s="237"/>
      <c r="BF1104" s="237"/>
      <c r="BG1104" s="237"/>
      <c r="BH1104" s="237"/>
      <c r="BI1104" s="237"/>
      <c r="BJ1104" s="237"/>
      <c r="BK1104" s="237"/>
      <c r="BL1104" s="237"/>
      <c r="BM1104" s="237"/>
      <c r="BN1104" s="237"/>
      <c r="BO1104" s="237"/>
      <c r="BP1104" s="237"/>
      <c r="BQ1104" s="237"/>
      <c r="BR1104" s="237"/>
      <c r="BS1104" s="237"/>
      <c r="BT1104" s="237"/>
    </row>
    <row r="1105" spans="1:72" ht="14.25" customHeight="1" x14ac:dyDescent="0.2">
      <c r="A1105" s="136" t="s">
        <v>2037</v>
      </c>
      <c r="B1105" s="4">
        <v>5</v>
      </c>
      <c r="C1105" s="4" t="s">
        <v>6010</v>
      </c>
      <c r="D1105" s="4" t="s">
        <v>6106</v>
      </c>
      <c r="E1105" s="4">
        <v>2437</v>
      </c>
      <c r="F1105" s="201" t="s">
        <v>6107</v>
      </c>
      <c r="G1105" s="4" t="s">
        <v>6108</v>
      </c>
      <c r="H1105" s="4" t="s">
        <v>6109</v>
      </c>
      <c r="I1105" s="4" t="s">
        <v>1664</v>
      </c>
      <c r="J1105" s="4" t="s">
        <v>6046</v>
      </c>
      <c r="K1105" s="4">
        <v>1</v>
      </c>
      <c r="L1105" s="4">
        <v>2840</v>
      </c>
      <c r="M1105" s="222" t="e">
        <f ca="1">_xludf.NUMBERVALUE(LEFT(G1105,7))</f>
        <v>#NAME?</v>
      </c>
      <c r="N1105" s="201">
        <v>50.856110000000001</v>
      </c>
      <c r="O1105" s="201" t="e">
        <f ca="1">_xludf.NUMBERVALUE(LEFT(RIGHT(G1105,5),3))</f>
        <v>#NAME?</v>
      </c>
      <c r="P1105" s="201" t="str">
        <f>D1105</f>
        <v>BRI</v>
      </c>
      <c r="Q1105" s="237"/>
      <c r="R1105" s="201" t="s">
        <v>6110</v>
      </c>
      <c r="S1105" s="237"/>
      <c r="T1105" s="237"/>
      <c r="U1105" s="237"/>
      <c r="V1105" s="237"/>
      <c r="W1105" s="237"/>
      <c r="X1105" s="237"/>
      <c r="Y1105" s="237"/>
      <c r="Z1105" s="237"/>
      <c r="AA1105" s="237"/>
      <c r="AB1105" s="237"/>
      <c r="AC1105" s="237"/>
      <c r="AD1105" s="237"/>
      <c r="AE1105" s="237"/>
      <c r="AF1105" s="237"/>
      <c r="AG1105" s="237"/>
      <c r="AH1105" s="237"/>
      <c r="AI1105" s="237"/>
      <c r="AJ1105" s="237"/>
      <c r="AK1105" s="265"/>
      <c r="AL1105" s="237"/>
      <c r="AM1105" s="237"/>
      <c r="AN1105" s="237"/>
      <c r="AO1105" s="237"/>
      <c r="AP1105" s="237"/>
      <c r="AQ1105" s="237"/>
      <c r="AR1105" s="237"/>
      <c r="AS1105" s="237"/>
      <c r="AT1105" s="237"/>
      <c r="AU1105" s="237"/>
      <c r="AV1105" s="237"/>
      <c r="AW1105" s="237"/>
      <c r="AX1105" s="237"/>
      <c r="AY1105" s="237"/>
      <c r="AZ1105" s="237"/>
      <c r="BA1105" s="237"/>
      <c r="BB1105" s="237"/>
      <c r="BC1105" s="237"/>
      <c r="BD1105" s="237"/>
      <c r="BE1105" s="237"/>
      <c r="BF1105" s="237"/>
      <c r="BG1105" s="237"/>
      <c r="BH1105" s="237"/>
      <c r="BI1105" s="237"/>
      <c r="BJ1105" s="237"/>
      <c r="BK1105" s="237"/>
      <c r="BL1105" s="237"/>
      <c r="BM1105" s="237"/>
      <c r="BN1105" s="237"/>
      <c r="BO1105" s="237"/>
      <c r="BP1105" s="237"/>
      <c r="BQ1105" s="237"/>
      <c r="BR1105" s="237"/>
      <c r="BS1105" s="237"/>
      <c r="BT1105" s="237"/>
    </row>
    <row r="1106" spans="1:72" ht="14.25" customHeight="1" x14ac:dyDescent="0.2">
      <c r="A1106" s="136" t="s">
        <v>2037</v>
      </c>
      <c r="B1106" s="4">
        <v>5</v>
      </c>
      <c r="C1106" s="4" t="s">
        <v>6010</v>
      </c>
      <c r="D1106" s="4" t="s">
        <v>6111</v>
      </c>
      <c r="E1106" s="4">
        <v>12393</v>
      </c>
      <c r="F1106" s="201" t="s">
        <v>6112</v>
      </c>
      <c r="G1106" s="4" t="s">
        <v>6113</v>
      </c>
      <c r="H1106" s="4" t="s">
        <v>6114</v>
      </c>
      <c r="I1106" s="4" t="s">
        <v>641</v>
      </c>
      <c r="J1106" s="4" t="s">
        <v>6021</v>
      </c>
      <c r="K1106" s="4">
        <v>1</v>
      </c>
      <c r="L1106" s="4">
        <v>14415</v>
      </c>
      <c r="M1106" s="222" t="e">
        <f ca="1">_xludf.NUMBERVALUE(LEFT(G1106,7))</f>
        <v>#NAME?</v>
      </c>
      <c r="N1106" s="201">
        <v>50.821199999999997</v>
      </c>
      <c r="O1106" s="201" t="e">
        <f ca="1">_xludf.NUMBERVALUE(LEFT(RIGHT(G1106,5),3))</f>
        <v>#NAME?</v>
      </c>
      <c r="P1106" s="201" t="str">
        <f>D1106</f>
        <v>DOW</v>
      </c>
      <c r="Q1106" s="237"/>
      <c r="R1106" s="201" t="str">
        <f>F1106</f>
        <v>Bridge River above Downton Lake</v>
      </c>
      <c r="S1106" s="237"/>
      <c r="T1106" s="237"/>
      <c r="U1106" s="237"/>
      <c r="V1106" s="237"/>
      <c r="W1106" s="237"/>
      <c r="X1106" s="237"/>
      <c r="Y1106" s="237"/>
      <c r="Z1106" s="237"/>
      <c r="AA1106" s="237"/>
      <c r="AB1106" s="237"/>
      <c r="AC1106" s="237"/>
      <c r="AD1106" s="237"/>
      <c r="AE1106" s="237"/>
      <c r="AF1106" s="237"/>
      <c r="AG1106" s="237"/>
      <c r="AH1106" s="237"/>
      <c r="AI1106" s="237"/>
      <c r="AJ1106" s="237"/>
      <c r="AK1106" s="265"/>
      <c r="AL1106" s="237"/>
      <c r="AM1106" s="237"/>
      <c r="AN1106" s="237"/>
      <c r="AO1106" s="237"/>
      <c r="AP1106" s="237"/>
      <c r="AQ1106" s="237"/>
      <c r="AR1106" s="237"/>
      <c r="AS1106" s="237"/>
      <c r="AT1106" s="237"/>
      <c r="AU1106" s="237"/>
      <c r="AV1106" s="237"/>
      <c r="AW1106" s="237"/>
      <c r="AX1106" s="237"/>
      <c r="AY1106" s="237"/>
      <c r="AZ1106" s="237"/>
      <c r="BA1106" s="237"/>
      <c r="BB1106" s="237"/>
      <c r="BC1106" s="237"/>
      <c r="BD1106" s="237"/>
      <c r="BE1106" s="237"/>
      <c r="BF1106" s="237"/>
      <c r="BG1106" s="237"/>
      <c r="BH1106" s="237"/>
      <c r="BI1106" s="237"/>
      <c r="BJ1106" s="237"/>
      <c r="BK1106" s="237"/>
      <c r="BL1106" s="237"/>
      <c r="BM1106" s="237"/>
      <c r="BN1106" s="237"/>
      <c r="BO1106" s="237"/>
      <c r="BP1106" s="237"/>
      <c r="BQ1106" s="237"/>
      <c r="BR1106" s="237"/>
      <c r="BS1106" s="237"/>
      <c r="BT1106" s="237"/>
    </row>
    <row r="1107" spans="1:72" ht="14.25" customHeight="1" x14ac:dyDescent="0.2">
      <c r="A1107" s="136" t="s">
        <v>2037</v>
      </c>
      <c r="B1107" s="4">
        <v>5</v>
      </c>
      <c r="C1107" s="4" t="s">
        <v>6010</v>
      </c>
      <c r="D1107" s="4" t="s">
        <v>6115</v>
      </c>
      <c r="E1107" s="4">
        <v>2438</v>
      </c>
      <c r="F1107" s="201" t="s">
        <v>6116</v>
      </c>
      <c r="G1107" s="217" t="s">
        <v>6117</v>
      </c>
      <c r="H1107" s="4" t="s">
        <v>6118</v>
      </c>
      <c r="I1107" s="4" t="s">
        <v>1664</v>
      </c>
      <c r="J1107" s="4" t="s">
        <v>6046</v>
      </c>
      <c r="K1107" s="4">
        <v>1</v>
      </c>
      <c r="L1107" s="4">
        <v>2841</v>
      </c>
      <c r="M1107" s="6">
        <v>-115.3639222</v>
      </c>
      <c r="N1107" s="9">
        <v>49.493255560000001</v>
      </c>
      <c r="O1107" s="9">
        <v>800</v>
      </c>
      <c r="P1107" s="4" t="s">
        <v>6115</v>
      </c>
      <c r="Q1107" s="70">
        <v>1</v>
      </c>
      <c r="R1107" s="9" t="s">
        <v>6119</v>
      </c>
      <c r="S1107" s="9" t="s">
        <v>6009</v>
      </c>
      <c r="U1107"/>
      <c r="AK1107" s="260"/>
    </row>
    <row r="1108" spans="1:72" ht="14.25" customHeight="1" x14ac:dyDescent="0.2">
      <c r="A1108" s="136" t="s">
        <v>2037</v>
      </c>
      <c r="B1108" s="4">
        <v>5</v>
      </c>
      <c r="C1108" s="4" t="s">
        <v>6010</v>
      </c>
      <c r="D1108" s="4" t="s">
        <v>6128</v>
      </c>
      <c r="E1108" s="4">
        <v>2440</v>
      </c>
      <c r="F1108" s="201" t="s">
        <v>6129</v>
      </c>
      <c r="G1108" s="188" t="s">
        <v>6130</v>
      </c>
      <c r="H1108" s="4" t="s">
        <v>6131</v>
      </c>
      <c r="I1108" s="4" t="s">
        <v>1664</v>
      </c>
      <c r="J1108" s="4" t="s">
        <v>6046</v>
      </c>
      <c r="K1108" s="4">
        <v>1</v>
      </c>
      <c r="L1108" s="4">
        <v>2843</v>
      </c>
      <c r="M1108" s="222" t="e">
        <f ca="1">_xludf.NUMBERVALUE(LEFT(G1108,7))</f>
        <v>#NAME?</v>
      </c>
      <c r="N1108" s="201">
        <v>50.079720000000002</v>
      </c>
      <c r="O1108" s="201" t="e">
        <f ca="1">_xludf.NUMBERVALUE(LEFT(RIGHT(G1108,5),3))</f>
        <v>#NAME?</v>
      </c>
      <c r="P1108" s="201" t="str">
        <f>D1108</f>
        <v>CHK</v>
      </c>
      <c r="Q1108" s="237"/>
      <c r="R1108" s="201" t="s">
        <v>6132</v>
      </c>
      <c r="S1108" s="237"/>
      <c r="T1108" s="237"/>
      <c r="U1108" s="237"/>
      <c r="V1108" s="237"/>
      <c r="W1108" s="237"/>
      <c r="X1108" s="237"/>
      <c r="Y1108" s="237"/>
      <c r="Z1108" s="237"/>
      <c r="AA1108" s="237"/>
      <c r="AB1108" s="237"/>
      <c r="AC1108" s="237"/>
      <c r="AD1108" s="237"/>
      <c r="AE1108" s="237"/>
      <c r="AF1108" s="237"/>
      <c r="AG1108" s="237"/>
      <c r="AH1108" s="237"/>
      <c r="AI1108" s="237"/>
      <c r="AJ1108" s="237"/>
      <c r="AK1108" s="265"/>
      <c r="AL1108" s="237"/>
      <c r="AM1108" s="237"/>
      <c r="AN1108" s="237"/>
      <c r="AO1108" s="237"/>
      <c r="AP1108" s="237"/>
      <c r="AQ1108" s="237"/>
      <c r="AR1108" s="237"/>
      <c r="AS1108" s="237"/>
      <c r="AT1108" s="237"/>
      <c r="AU1108" s="237"/>
      <c r="AV1108" s="237"/>
      <c r="AW1108" s="237"/>
      <c r="AX1108" s="237"/>
      <c r="AY1108" s="237"/>
      <c r="AZ1108" s="237"/>
      <c r="BA1108" s="237"/>
      <c r="BB1108" s="237"/>
      <c r="BC1108" s="237"/>
      <c r="BD1108" s="237"/>
      <c r="BE1108" s="237"/>
      <c r="BF1108" s="237"/>
      <c r="BG1108" s="237"/>
      <c r="BH1108" s="237"/>
      <c r="BI1108" s="237"/>
      <c r="BJ1108" s="237"/>
      <c r="BK1108" s="237"/>
      <c r="BL1108" s="237"/>
      <c r="BM1108" s="237"/>
      <c r="BN1108" s="237"/>
      <c r="BO1108" s="237"/>
      <c r="BP1108" s="237"/>
      <c r="BQ1108" s="237"/>
      <c r="BR1108" s="237"/>
      <c r="BS1108" s="237"/>
      <c r="BT1108" s="237"/>
    </row>
    <row r="1109" spans="1:72" ht="14.25" customHeight="1" x14ac:dyDescent="0.2">
      <c r="A1109" s="136" t="s">
        <v>2037</v>
      </c>
      <c r="B1109" s="4">
        <v>5</v>
      </c>
      <c r="C1109" s="4" t="s">
        <v>6010</v>
      </c>
      <c r="D1109" s="4" t="s">
        <v>6140</v>
      </c>
      <c r="E1109" s="4">
        <v>2443</v>
      </c>
      <c r="F1109" s="8" t="s">
        <v>6141</v>
      </c>
      <c r="G1109" s="4" t="s">
        <v>6142</v>
      </c>
      <c r="H1109" s="4" t="s">
        <v>6143</v>
      </c>
      <c r="I1109" s="4" t="s">
        <v>1664</v>
      </c>
      <c r="J1109" s="4" t="s">
        <v>6046</v>
      </c>
      <c r="K1109" s="4">
        <v>1</v>
      </c>
      <c r="L1109" s="4">
        <v>2846</v>
      </c>
      <c r="M1109" s="222">
        <v>-123.42028000000001</v>
      </c>
      <c r="N1109" s="201">
        <v>49.787779999999998</v>
      </c>
      <c r="O1109" s="201">
        <v>125</v>
      </c>
      <c r="P1109" s="201" t="s">
        <v>6140</v>
      </c>
      <c r="Q1109" s="237"/>
      <c r="R1109" s="201" t="s">
        <v>6144</v>
      </c>
      <c r="S1109" s="237"/>
      <c r="T1109" s="237"/>
      <c r="U1109" s="237"/>
      <c r="V1109" s="237"/>
      <c r="W1109" s="237"/>
      <c r="X1109" s="237"/>
      <c r="Y1109" s="237"/>
      <c r="Z1109" s="237"/>
      <c r="AA1109" s="237"/>
      <c r="AB1109" s="237"/>
      <c r="AC1109" s="237"/>
      <c r="AD1109" s="237"/>
      <c r="AE1109" s="237"/>
      <c r="AF1109" s="237"/>
      <c r="AG1109" s="237"/>
      <c r="AH1109" s="237"/>
      <c r="AI1109" s="237"/>
      <c r="AJ1109" s="237"/>
      <c r="AK1109" s="265"/>
      <c r="AL1109" s="237"/>
      <c r="AM1109" s="237"/>
      <c r="AN1109" s="237"/>
      <c r="AO1109" s="237"/>
      <c r="AP1109" s="237"/>
      <c r="AQ1109" s="237"/>
      <c r="AR1109" s="237"/>
      <c r="AS1109" s="237"/>
      <c r="AT1109" s="237"/>
      <c r="AU1109" s="237"/>
      <c r="AV1109" s="237"/>
      <c r="AW1109" s="237"/>
      <c r="AX1109" s="237"/>
      <c r="AY1109" s="237"/>
      <c r="AZ1109" s="237"/>
      <c r="BA1109" s="237"/>
      <c r="BB1109" s="237"/>
      <c r="BC1109" s="237"/>
      <c r="BD1109" s="237"/>
      <c r="BE1109" s="237"/>
      <c r="BF1109" s="237"/>
      <c r="BG1109" s="237"/>
      <c r="BH1109" s="237"/>
      <c r="BI1109" s="237"/>
      <c r="BJ1109" s="237"/>
      <c r="BK1109" s="237"/>
      <c r="BL1109" s="237"/>
      <c r="BM1109" s="237"/>
      <c r="BN1109" s="237"/>
      <c r="BO1109" s="237"/>
      <c r="BP1109" s="237"/>
      <c r="BQ1109" s="237"/>
      <c r="BR1109" s="237"/>
      <c r="BS1109" s="237"/>
      <c r="BT1109" s="237"/>
    </row>
    <row r="1110" spans="1:72" ht="14.25" customHeight="1" x14ac:dyDescent="0.2">
      <c r="A1110" s="136" t="s">
        <v>2037</v>
      </c>
      <c r="B1110" s="4">
        <v>5</v>
      </c>
      <c r="C1110" s="4" t="s">
        <v>6010</v>
      </c>
      <c r="D1110" s="4" t="s">
        <v>6148</v>
      </c>
      <c r="E1110" s="4">
        <v>2434</v>
      </c>
      <c r="F1110" s="8" t="s">
        <v>6149</v>
      </c>
      <c r="G1110" s="4" t="s">
        <v>6150</v>
      </c>
      <c r="H1110" s="4" t="s">
        <v>6151</v>
      </c>
      <c r="I1110" s="4" t="s">
        <v>1664</v>
      </c>
      <c r="J1110" s="4" t="s">
        <v>6046</v>
      </c>
      <c r="K1110" s="4">
        <v>1</v>
      </c>
      <c r="L1110" s="4">
        <v>2837</v>
      </c>
      <c r="M1110" s="222">
        <v>117.71639</v>
      </c>
      <c r="N1110" s="201">
        <v>49.177778000000004</v>
      </c>
      <c r="O1110" s="201">
        <v>410</v>
      </c>
      <c r="P1110" s="201" t="s">
        <v>6148</v>
      </c>
      <c r="Q1110" s="237"/>
      <c r="R1110" s="201" t="s">
        <v>6152</v>
      </c>
      <c r="S1110" s="237"/>
      <c r="T1110" s="237"/>
      <c r="U1110" s="237"/>
      <c r="V1110" s="237"/>
      <c r="W1110" s="237"/>
      <c r="X1110" s="237"/>
      <c r="Y1110" s="237"/>
      <c r="Z1110" s="237"/>
      <c r="AA1110" s="237"/>
      <c r="AB1110" s="237"/>
      <c r="AC1110" s="237"/>
      <c r="AD1110" s="237"/>
      <c r="AE1110" s="237"/>
      <c r="AF1110" s="237"/>
      <c r="AG1110" s="237"/>
      <c r="AH1110" s="237"/>
      <c r="AI1110" s="237"/>
      <c r="AJ1110" s="237"/>
      <c r="AK1110" s="265"/>
      <c r="AL1110" s="237"/>
      <c r="AM1110" s="237"/>
      <c r="AN1110" s="237"/>
      <c r="AO1110" s="237"/>
      <c r="AP1110" s="237"/>
      <c r="AQ1110" s="237"/>
      <c r="AR1110" s="237"/>
      <c r="AS1110" s="237"/>
      <c r="AT1110" s="237"/>
      <c r="AU1110" s="237"/>
      <c r="AV1110" s="237"/>
      <c r="AW1110" s="237"/>
      <c r="AX1110" s="237"/>
      <c r="AY1110" s="237"/>
      <c r="AZ1110" s="237"/>
      <c r="BA1110" s="237"/>
      <c r="BB1110" s="237"/>
      <c r="BC1110" s="237"/>
      <c r="BD1110" s="237"/>
      <c r="BE1110" s="237"/>
      <c r="BF1110" s="237"/>
      <c r="BG1110" s="237"/>
      <c r="BH1110" s="237"/>
      <c r="BI1110" s="237"/>
      <c r="BJ1110" s="237"/>
      <c r="BK1110" s="237"/>
      <c r="BL1110" s="237"/>
      <c r="BM1110" s="237"/>
      <c r="BN1110" s="237"/>
      <c r="BO1110" s="237"/>
      <c r="BP1110" s="237"/>
      <c r="BQ1110" s="237"/>
      <c r="BR1110" s="237"/>
      <c r="BS1110" s="237"/>
      <c r="BT1110" s="237"/>
    </row>
    <row r="1111" spans="1:72" ht="14.25" customHeight="1" x14ac:dyDescent="0.2">
      <c r="A1111" s="136" t="s">
        <v>2037</v>
      </c>
      <c r="B1111" s="4">
        <v>5</v>
      </c>
      <c r="C1111" s="4" t="s">
        <v>6010</v>
      </c>
      <c r="D1111" s="4" t="s">
        <v>6161</v>
      </c>
      <c r="E1111" s="4">
        <v>2448</v>
      </c>
      <c r="F1111" s="201" t="s">
        <v>6162</v>
      </c>
      <c r="G1111" s="4" t="s">
        <v>6163</v>
      </c>
      <c r="H1111" s="4" t="s">
        <v>6164</v>
      </c>
      <c r="I1111" s="4" t="s">
        <v>1664</v>
      </c>
      <c r="J1111" s="4" t="s">
        <v>6046</v>
      </c>
      <c r="K1111" s="4">
        <v>1</v>
      </c>
      <c r="L1111" s="4">
        <v>2851</v>
      </c>
      <c r="M1111" s="223"/>
      <c r="U1111" s="237"/>
      <c r="V1111" s="237"/>
      <c r="W1111" s="237"/>
      <c r="X1111" s="237"/>
      <c r="Y1111" s="237"/>
      <c r="Z1111" s="237"/>
      <c r="AA1111" s="237"/>
      <c r="AB1111" s="237"/>
      <c r="AC1111" s="237"/>
      <c r="AD1111" s="237"/>
      <c r="AE1111" s="237"/>
      <c r="AF1111" s="237"/>
      <c r="AG1111" s="237"/>
      <c r="AH1111" s="237"/>
      <c r="AI1111" s="237"/>
      <c r="AJ1111" s="237"/>
      <c r="AK1111" s="265"/>
      <c r="AL1111" s="237"/>
      <c r="AM1111" s="237"/>
      <c r="AN1111" s="237"/>
      <c r="AO1111" s="237"/>
      <c r="AP1111" s="237"/>
      <c r="AQ1111" s="237"/>
      <c r="AR1111" s="237"/>
      <c r="AS1111" s="237"/>
      <c r="AT1111" s="237"/>
      <c r="AU1111" s="237"/>
      <c r="AV1111" s="237"/>
      <c r="AW1111" s="237"/>
      <c r="AX1111" s="237"/>
      <c r="AY1111" s="237"/>
      <c r="AZ1111" s="237"/>
      <c r="BA1111" s="237"/>
      <c r="BB1111" s="237"/>
      <c r="BC1111" s="237"/>
      <c r="BD1111" s="237"/>
      <c r="BE1111" s="237"/>
      <c r="BF1111" s="237"/>
      <c r="BG1111" s="237"/>
      <c r="BH1111" s="237"/>
      <c r="BI1111" s="237"/>
      <c r="BJ1111" s="237"/>
      <c r="BK1111" s="237"/>
      <c r="BL1111" s="237"/>
      <c r="BM1111" s="237"/>
      <c r="BN1111" s="237"/>
      <c r="BO1111" s="237"/>
      <c r="BP1111" s="237"/>
      <c r="BQ1111" s="237"/>
      <c r="BR1111" s="237"/>
      <c r="BS1111" s="237"/>
      <c r="BT1111" s="237"/>
    </row>
    <row r="1112" spans="1:72" ht="14.25" customHeight="1" x14ac:dyDescent="0.2">
      <c r="A1112" s="136" t="s">
        <v>2037</v>
      </c>
      <c r="B1112" s="4">
        <v>5</v>
      </c>
      <c r="C1112" s="4" t="s">
        <v>6010</v>
      </c>
      <c r="D1112" s="4" t="s">
        <v>6173</v>
      </c>
      <c r="E1112" s="4">
        <v>2447</v>
      </c>
      <c r="F1112" s="201" t="s">
        <v>6174</v>
      </c>
      <c r="G1112" s="4" t="s">
        <v>6175</v>
      </c>
      <c r="H1112" s="4" t="s">
        <v>6176</v>
      </c>
      <c r="I1112" s="4" t="s">
        <v>1664</v>
      </c>
      <c r="J1112" s="4" t="s">
        <v>6051</v>
      </c>
      <c r="K1112" s="4">
        <v>1</v>
      </c>
      <c r="L1112" s="4">
        <v>2850</v>
      </c>
      <c r="M1112" s="222">
        <v>122.779625</v>
      </c>
      <c r="N1112" s="201">
        <v>49.355861099999998</v>
      </c>
      <c r="O1112" s="201">
        <v>160</v>
      </c>
      <c r="P1112" s="201" t="s">
        <v>6173</v>
      </c>
      <c r="Q1112" s="237"/>
      <c r="R1112" s="201" t="str">
        <f>F1112</f>
        <v>Coquitlam Lake forebay</v>
      </c>
      <c r="S1112" s="237"/>
      <c r="T1112" s="237"/>
      <c r="U1112" s="237"/>
      <c r="V1112" s="237"/>
      <c r="W1112" s="237"/>
      <c r="X1112" s="237"/>
      <c r="Y1112" s="237"/>
      <c r="Z1112" s="237"/>
      <c r="AA1112" s="237"/>
      <c r="AB1112" s="237"/>
      <c r="AC1112" s="237"/>
      <c r="AD1112" s="237"/>
      <c r="AE1112" s="237"/>
      <c r="AF1112" s="237"/>
      <c r="AG1112" s="237"/>
      <c r="AH1112" s="237"/>
      <c r="AI1112" s="237"/>
      <c r="AJ1112" s="237"/>
      <c r="AK1112" s="265"/>
      <c r="AL1112" s="237"/>
      <c r="AM1112" s="237"/>
      <c r="AN1112" s="237"/>
      <c r="AO1112" s="237"/>
      <c r="AP1112" s="237"/>
      <c r="AQ1112" s="237"/>
      <c r="AR1112" s="237"/>
      <c r="AS1112" s="237"/>
      <c r="AT1112" s="237"/>
      <c r="AU1112" s="237"/>
      <c r="AV1112" s="237"/>
      <c r="AW1112" s="237"/>
      <c r="AX1112" s="237"/>
      <c r="AY1112" s="237"/>
      <c r="AZ1112" s="237"/>
      <c r="BA1112" s="237"/>
      <c r="BB1112" s="237"/>
      <c r="BC1112" s="237"/>
      <c r="BD1112" s="237"/>
      <c r="BE1112" s="237"/>
      <c r="BF1112" s="237"/>
      <c r="BG1112" s="237"/>
      <c r="BH1112" s="237"/>
      <c r="BI1112" s="237"/>
      <c r="BJ1112" s="237"/>
      <c r="BK1112" s="237"/>
      <c r="BL1112" s="237"/>
      <c r="BM1112" s="237"/>
      <c r="BN1112" s="237"/>
      <c r="BO1112" s="237"/>
      <c r="BP1112" s="237"/>
      <c r="BQ1112" s="237"/>
      <c r="BR1112" s="237"/>
      <c r="BS1112" s="237"/>
      <c r="BT1112" s="237"/>
    </row>
    <row r="1113" spans="1:72" ht="14.25" customHeight="1" x14ac:dyDescent="0.2">
      <c r="A1113" s="136" t="s">
        <v>2037</v>
      </c>
      <c r="B1113" s="4">
        <v>5</v>
      </c>
      <c r="C1113" s="4" t="s">
        <v>6010</v>
      </c>
      <c r="D1113" s="4" t="s">
        <v>6177</v>
      </c>
      <c r="E1113" s="4">
        <v>2449</v>
      </c>
      <c r="F1113" s="201" t="s">
        <v>6178</v>
      </c>
      <c r="G1113" s="4" t="s">
        <v>6179</v>
      </c>
      <c r="H1113" s="4" t="s">
        <v>6176</v>
      </c>
      <c r="I1113" s="4" t="s">
        <v>1664</v>
      </c>
      <c r="J1113" s="4" t="s">
        <v>6046</v>
      </c>
      <c r="K1113" s="4">
        <v>1</v>
      </c>
      <c r="L1113" s="4">
        <v>2852</v>
      </c>
      <c r="M1113" s="222">
        <v>122.79249</v>
      </c>
      <c r="N1113" s="201">
        <v>49.288290000000003</v>
      </c>
      <c r="O1113" s="201">
        <v>290</v>
      </c>
      <c r="P1113" s="201" t="s">
        <v>6180</v>
      </c>
      <c r="Q1113" s="237"/>
      <c r="R1113" s="201" t="str">
        <f>F1113</f>
        <v>Coquitlam R. ab Lake -&gt; Coquitlam River above Lake</v>
      </c>
      <c r="S1113" s="237"/>
      <c r="T1113" s="237"/>
      <c r="U1113" s="237"/>
      <c r="V1113" s="237"/>
      <c r="W1113" s="237"/>
      <c r="X1113" s="237"/>
      <c r="Y1113" s="237"/>
      <c r="Z1113" s="237"/>
      <c r="AA1113" s="237"/>
      <c r="AB1113" s="237"/>
      <c r="AC1113" s="237"/>
      <c r="AD1113" s="237"/>
      <c r="AE1113" s="237"/>
      <c r="AF1113" s="237"/>
      <c r="AG1113" s="237"/>
      <c r="AH1113" s="237"/>
      <c r="AI1113" s="237"/>
      <c r="AJ1113" s="237"/>
      <c r="AK1113" s="265"/>
      <c r="AL1113" s="237"/>
      <c r="AM1113" s="237"/>
      <c r="AN1113" s="237"/>
      <c r="AO1113" s="237"/>
      <c r="AP1113" s="237"/>
      <c r="AQ1113" s="237"/>
      <c r="AR1113" s="237"/>
      <c r="AS1113" s="237"/>
      <c r="AT1113" s="237"/>
      <c r="AU1113" s="237"/>
      <c r="AV1113" s="237"/>
      <c r="AW1113" s="237"/>
      <c r="AX1113" s="237"/>
      <c r="AY1113" s="237"/>
      <c r="AZ1113" s="237"/>
      <c r="BA1113" s="237"/>
      <c r="BB1113" s="237"/>
      <c r="BC1113" s="237"/>
      <c r="BD1113" s="237"/>
      <c r="BE1113" s="237"/>
      <c r="BF1113" s="237"/>
      <c r="BG1113" s="237"/>
      <c r="BH1113" s="237"/>
      <c r="BI1113" s="237"/>
      <c r="BJ1113" s="237"/>
      <c r="BK1113" s="237"/>
      <c r="BL1113" s="237"/>
      <c r="BM1113" s="237"/>
      <c r="BN1113" s="237"/>
      <c r="BO1113" s="237"/>
      <c r="BP1113" s="237"/>
      <c r="BQ1113" s="237"/>
      <c r="BR1113" s="237"/>
      <c r="BS1113" s="237"/>
      <c r="BT1113" s="237"/>
    </row>
    <row r="1114" spans="1:72" ht="14.25" customHeight="1" x14ac:dyDescent="0.2">
      <c r="A1114" s="136" t="s">
        <v>2037</v>
      </c>
      <c r="B1114" s="4">
        <v>5</v>
      </c>
      <c r="C1114" s="4" t="s">
        <v>6010</v>
      </c>
      <c r="D1114" s="4" t="s">
        <v>6183</v>
      </c>
      <c r="E1114" s="4">
        <v>2451</v>
      </c>
      <c r="F1114" s="8" t="s">
        <v>6184</v>
      </c>
      <c r="G1114" s="188" t="s">
        <v>6185</v>
      </c>
      <c r="H1114" s="4" t="s">
        <v>6186</v>
      </c>
      <c r="I1114" s="4" t="s">
        <v>1664</v>
      </c>
      <c r="J1114" s="4" t="s">
        <v>6187</v>
      </c>
      <c r="K1114" s="4">
        <v>1</v>
      </c>
      <c r="L1114" s="4">
        <v>2854</v>
      </c>
      <c r="M1114" s="223"/>
      <c r="T1114" s="237"/>
      <c r="U1114" s="237"/>
      <c r="V1114" s="237"/>
      <c r="W1114" s="237"/>
      <c r="X1114" s="237"/>
      <c r="Y1114" s="237"/>
      <c r="Z1114" s="237"/>
      <c r="AA1114" s="237"/>
      <c r="AB1114" s="237"/>
      <c r="AC1114" s="237"/>
      <c r="AD1114" s="237"/>
      <c r="AE1114" s="237"/>
      <c r="AF1114" s="237"/>
      <c r="AG1114" s="237"/>
      <c r="AH1114" s="237"/>
      <c r="AI1114" s="237"/>
      <c r="AJ1114" s="237"/>
      <c r="AK1114" s="265"/>
      <c r="AL1114" s="237"/>
      <c r="AM1114" s="237"/>
      <c r="AN1114" s="237"/>
      <c r="AO1114" s="53"/>
      <c r="AP1114" s="53"/>
      <c r="AQ1114" s="53"/>
      <c r="AR1114" s="53"/>
      <c r="AS1114" s="53"/>
      <c r="AT1114" s="53"/>
      <c r="AU1114" s="53"/>
      <c r="AV1114" s="53"/>
      <c r="AW1114" s="53"/>
      <c r="AX1114" s="53"/>
      <c r="AY1114" s="53"/>
      <c r="AZ1114" s="53"/>
      <c r="BA1114" s="53"/>
      <c r="BB1114" s="237"/>
      <c r="BC1114" s="237"/>
      <c r="BD1114" s="237"/>
      <c r="BE1114" s="237"/>
      <c r="BF1114" s="237"/>
      <c r="BG1114" s="237"/>
      <c r="BH1114" s="237"/>
      <c r="BI1114" s="237"/>
      <c r="BJ1114" s="237"/>
      <c r="BK1114" s="237"/>
      <c r="BL1114" s="237"/>
      <c r="BM1114" s="237"/>
      <c r="BN1114" s="237"/>
      <c r="BO1114" s="237"/>
      <c r="BP1114" s="237"/>
      <c r="BQ1114" s="237"/>
      <c r="BR1114" s="237"/>
      <c r="BS1114" s="237"/>
      <c r="BT1114" s="237"/>
    </row>
    <row r="1115" spans="1:72" ht="14.25" customHeight="1" x14ac:dyDescent="0.2">
      <c r="A1115" s="136" t="s">
        <v>2037</v>
      </c>
      <c r="B1115" s="4">
        <v>5</v>
      </c>
      <c r="C1115" s="4" t="s">
        <v>6010</v>
      </c>
      <c r="D1115" s="4" t="s">
        <v>6188</v>
      </c>
      <c r="E1115" s="4">
        <v>2450</v>
      </c>
      <c r="F1115" s="201" t="s">
        <v>6189</v>
      </c>
      <c r="G1115" s="4" t="s">
        <v>6190</v>
      </c>
      <c r="H1115" s="4" t="s">
        <v>6191</v>
      </c>
      <c r="I1115" s="4" t="s">
        <v>1664</v>
      </c>
      <c r="J1115" s="4" t="s">
        <v>6046</v>
      </c>
      <c r="K1115" s="4">
        <v>1</v>
      </c>
      <c r="L1115" s="4">
        <v>2853</v>
      </c>
      <c r="M1115" s="222">
        <v>125.20083</v>
      </c>
      <c r="N1115" s="201">
        <v>49.579169999999998</v>
      </c>
      <c r="O1115" s="201">
        <v>150</v>
      </c>
      <c r="P1115" s="201" t="s">
        <v>6188</v>
      </c>
      <c r="Q1115" s="237"/>
      <c r="R1115" s="201" t="str">
        <f>F1115</f>
        <v>Cruickshank R. nr the Mouth -&gt; Cruickshank River near the Mouth</v>
      </c>
      <c r="S1115" s="237"/>
      <c r="T1115" s="237"/>
      <c r="U1115" s="237"/>
      <c r="V1115" s="237"/>
      <c r="W1115" s="237"/>
      <c r="X1115" s="237"/>
      <c r="Y1115" s="237"/>
      <c r="Z1115" s="237"/>
      <c r="AA1115" s="237"/>
      <c r="AB1115" s="237"/>
      <c r="AC1115" s="237"/>
      <c r="AD1115" s="237"/>
      <c r="AE1115" s="237"/>
      <c r="AF1115" s="237"/>
      <c r="AG1115" s="237"/>
      <c r="AH1115" s="237"/>
      <c r="AI1115" s="237"/>
      <c r="AJ1115" s="237"/>
      <c r="AK1115" s="265"/>
      <c r="AL1115" s="237"/>
      <c r="AM1115" s="237"/>
      <c r="AN1115" s="237"/>
      <c r="AO1115" s="237"/>
      <c r="AP1115" s="237"/>
      <c r="AQ1115" s="237"/>
      <c r="AR1115" s="237"/>
      <c r="AS1115" s="237"/>
      <c r="AT1115" s="237"/>
      <c r="AU1115" s="237"/>
      <c r="AV1115" s="237"/>
      <c r="AW1115" s="237"/>
      <c r="AX1115" s="237"/>
      <c r="AY1115" s="237"/>
      <c r="AZ1115" s="237"/>
      <c r="BA1115" s="237"/>
      <c r="BB1115" s="237"/>
      <c r="BC1115" s="237"/>
      <c r="BD1115" s="237"/>
      <c r="BE1115" s="237"/>
      <c r="BF1115" s="237"/>
      <c r="BG1115" s="237"/>
      <c r="BH1115" s="237"/>
      <c r="BI1115" s="237"/>
      <c r="BJ1115" s="237"/>
      <c r="BK1115" s="237"/>
      <c r="BL1115" s="237"/>
      <c r="BM1115" s="237"/>
      <c r="BN1115" s="237"/>
      <c r="BO1115" s="237"/>
      <c r="BP1115" s="237"/>
      <c r="BQ1115" s="237"/>
      <c r="BR1115" s="237"/>
      <c r="BS1115" s="237"/>
      <c r="BT1115" s="237"/>
    </row>
    <row r="1116" spans="1:72" ht="14.25" customHeight="1" x14ac:dyDescent="0.2">
      <c r="A1116" s="136" t="s">
        <v>2037</v>
      </c>
      <c r="B1116" s="4">
        <v>5</v>
      </c>
      <c r="C1116" s="4" t="s">
        <v>6010</v>
      </c>
      <c r="D1116" s="4" t="s">
        <v>6227</v>
      </c>
      <c r="E1116" s="4">
        <v>2453</v>
      </c>
      <c r="F1116" s="201" t="s">
        <v>6228</v>
      </c>
      <c r="G1116" s="4" t="s">
        <v>6229</v>
      </c>
      <c r="H1116" s="4" t="s">
        <v>6230</v>
      </c>
      <c r="I1116" s="4" t="s">
        <v>1664</v>
      </c>
      <c r="J1116" s="4" t="s">
        <v>6046</v>
      </c>
      <c r="K1116" s="4">
        <v>1</v>
      </c>
      <c r="L1116" s="4">
        <v>2856</v>
      </c>
      <c r="M1116" s="222">
        <v>-116.94833</v>
      </c>
      <c r="N1116" s="201">
        <v>50.255000000000003</v>
      </c>
      <c r="O1116" s="201">
        <v>580</v>
      </c>
      <c r="P1116" s="201" t="s">
        <v>6227</v>
      </c>
      <c r="Q1116" s="237"/>
      <c r="R1116" s="201" t="str">
        <f>F1116</f>
        <v>Duncan Res. @ Duncan Dam</v>
      </c>
      <c r="S1116" s="237"/>
      <c r="T1116" s="237"/>
      <c r="U1116" s="237"/>
      <c r="V1116" s="237"/>
      <c r="W1116" s="237"/>
      <c r="X1116" s="237"/>
      <c r="Y1116" s="237"/>
      <c r="Z1116" s="237"/>
      <c r="AA1116" s="237"/>
      <c r="AB1116" s="237"/>
      <c r="AC1116" s="237"/>
      <c r="AD1116" s="237"/>
      <c r="AE1116" s="237"/>
      <c r="AF1116" s="237"/>
      <c r="AG1116" s="237"/>
      <c r="AH1116" s="237"/>
      <c r="AI1116" s="237"/>
      <c r="AJ1116" s="237"/>
      <c r="AK1116" s="265"/>
      <c r="AL1116" s="237"/>
      <c r="AM1116" s="237"/>
      <c r="AN1116" s="237"/>
      <c r="AO1116" s="237"/>
      <c r="AP1116" s="237"/>
      <c r="AQ1116" s="237"/>
      <c r="AR1116" s="237"/>
      <c r="AS1116" s="237"/>
      <c r="AT1116" s="237"/>
      <c r="AU1116" s="237"/>
      <c r="AV1116" s="237"/>
      <c r="AW1116" s="237"/>
      <c r="AX1116" s="237"/>
      <c r="AY1116" s="237"/>
      <c r="AZ1116" s="237"/>
      <c r="BA1116" s="237"/>
      <c r="BB1116" s="237"/>
      <c r="BC1116" s="237"/>
      <c r="BD1116" s="237"/>
      <c r="BE1116" s="237"/>
      <c r="BF1116" s="237"/>
      <c r="BG1116" s="237"/>
      <c r="BH1116" s="237"/>
      <c r="BI1116" s="237"/>
      <c r="BJ1116" s="237"/>
      <c r="BK1116" s="237"/>
      <c r="BL1116" s="237"/>
      <c r="BM1116" s="237"/>
      <c r="BN1116" s="237"/>
      <c r="BO1116" s="237"/>
      <c r="BP1116" s="237"/>
      <c r="BQ1116" s="237"/>
      <c r="BR1116" s="237"/>
      <c r="BS1116" s="237"/>
      <c r="BT1116" s="237"/>
    </row>
    <row r="1117" spans="1:72" ht="14.25" customHeight="1" x14ac:dyDescent="0.2">
      <c r="A1117" s="136" t="s">
        <v>2037</v>
      </c>
      <c r="B1117" s="4">
        <v>5</v>
      </c>
      <c r="C1117" s="4" t="s">
        <v>6010</v>
      </c>
      <c r="D1117" s="4" t="s">
        <v>6231</v>
      </c>
      <c r="E1117" s="4">
        <v>2454</v>
      </c>
      <c r="F1117" s="201" t="s">
        <v>6232</v>
      </c>
      <c r="G1117" s="188" t="s">
        <v>6233</v>
      </c>
      <c r="H1117" s="4" t="s">
        <v>6040</v>
      </c>
      <c r="I1117" s="4" t="s">
        <v>1664</v>
      </c>
      <c r="J1117" s="4" t="s">
        <v>6069</v>
      </c>
      <c r="K1117" s="4">
        <v>1</v>
      </c>
      <c r="L1117" s="4">
        <v>2857</v>
      </c>
      <c r="M1117" s="6">
        <v>-116.9297333</v>
      </c>
      <c r="N1117" s="9">
        <v>50.639600000000002</v>
      </c>
      <c r="O1117" s="9">
        <v>2030</v>
      </c>
      <c r="P1117" s="188" t="s">
        <v>6231</v>
      </c>
      <c r="Q1117" s="70">
        <v>7</v>
      </c>
      <c r="R1117" s="9" t="s">
        <v>6234</v>
      </c>
      <c r="S1117" s="9" t="s">
        <v>6009</v>
      </c>
      <c r="U1117"/>
      <c r="AK1117" s="260"/>
    </row>
    <row r="1118" spans="1:72" ht="14.25" customHeight="1" x14ac:dyDescent="0.2">
      <c r="A1118" s="136" t="s">
        <v>2037</v>
      </c>
      <c r="B1118" s="4">
        <v>5</v>
      </c>
      <c r="C1118" s="4" t="s">
        <v>6010</v>
      </c>
      <c r="D1118" s="4" t="s">
        <v>6235</v>
      </c>
      <c r="E1118" s="4">
        <v>2456</v>
      </c>
      <c r="F1118" s="201" t="s">
        <v>6236</v>
      </c>
      <c r="G1118" s="4" t="s">
        <v>6237</v>
      </c>
      <c r="H1118" s="4" t="s">
        <v>6238</v>
      </c>
      <c r="I1118" s="4" t="s">
        <v>1664</v>
      </c>
      <c r="J1118" s="4" t="s">
        <v>6187</v>
      </c>
      <c r="K1118" s="4">
        <v>1</v>
      </c>
      <c r="L1118" s="4">
        <v>2859</v>
      </c>
      <c r="M1118" s="223"/>
      <c r="U1118" s="237"/>
      <c r="V1118" s="237"/>
      <c r="W1118" s="237"/>
      <c r="X1118" s="237"/>
      <c r="Y1118" s="237"/>
      <c r="Z1118" s="237"/>
      <c r="AA1118" s="237"/>
      <c r="AB1118" s="237"/>
      <c r="AC1118" s="237"/>
      <c r="AD1118" s="237"/>
      <c r="AE1118" s="237"/>
      <c r="AF1118" s="237"/>
      <c r="AG1118" s="237"/>
      <c r="AH1118" s="237"/>
      <c r="AI1118" s="237"/>
      <c r="AJ1118" s="237"/>
      <c r="AK1118" s="265"/>
      <c r="AL1118" s="237"/>
      <c r="AM1118" s="237"/>
      <c r="AN1118" s="237"/>
      <c r="AO1118" s="237"/>
      <c r="AP1118" s="237"/>
      <c r="AQ1118" s="237"/>
      <c r="AR1118" s="237"/>
      <c r="AS1118" s="237"/>
      <c r="AT1118" s="237"/>
      <c r="AU1118" s="237"/>
      <c r="AV1118" s="237"/>
      <c r="AW1118" s="237"/>
      <c r="AX1118" s="237"/>
      <c r="AY1118" s="237"/>
      <c r="AZ1118" s="237"/>
      <c r="BA1118" s="237"/>
      <c r="BB1118" s="237"/>
      <c r="BC1118" s="237"/>
      <c r="BD1118" s="237"/>
      <c r="BE1118" s="237"/>
      <c r="BF1118" s="237"/>
      <c r="BG1118" s="237"/>
      <c r="BH1118" s="237"/>
      <c r="BI1118" s="237"/>
      <c r="BJ1118" s="237"/>
      <c r="BK1118" s="237"/>
      <c r="BL1118" s="237"/>
      <c r="BM1118" s="237"/>
      <c r="BN1118" s="237"/>
      <c r="BO1118" s="237"/>
      <c r="BP1118" s="237"/>
      <c r="BQ1118" s="237"/>
      <c r="BR1118" s="237"/>
      <c r="BS1118" s="237"/>
      <c r="BT1118" s="237"/>
    </row>
    <row r="1119" spans="1:72" ht="14.25" customHeight="1" x14ac:dyDescent="0.2">
      <c r="A1119" s="275" t="s">
        <v>2037</v>
      </c>
      <c r="B1119" s="4">
        <v>5</v>
      </c>
      <c r="C1119" s="4" t="s">
        <v>6010</v>
      </c>
      <c r="D1119" s="4" t="s">
        <v>6240</v>
      </c>
      <c r="E1119" s="4">
        <v>2455</v>
      </c>
      <c r="F1119" s="201" t="s">
        <v>6241</v>
      </c>
      <c r="H1119" s="4" t="s">
        <v>6242</v>
      </c>
      <c r="I1119" s="4" t="s">
        <v>1664</v>
      </c>
      <c r="J1119" s="4" t="s">
        <v>6187</v>
      </c>
      <c r="K1119" s="4">
        <v>1</v>
      </c>
      <c r="L1119" s="4">
        <v>2858</v>
      </c>
      <c r="M1119" s="223"/>
      <c r="U1119" s="237"/>
      <c r="V1119" s="237"/>
      <c r="W1119" s="237"/>
      <c r="X1119" s="237"/>
      <c r="Y1119" s="237"/>
      <c r="Z1119" s="237"/>
      <c r="AA1119" s="237"/>
      <c r="AB1119" s="237"/>
      <c r="AC1119" s="237"/>
      <c r="AD1119" s="237"/>
      <c r="AE1119" s="237"/>
      <c r="AF1119" s="237"/>
      <c r="AG1119" s="237"/>
      <c r="AH1119" s="237"/>
      <c r="AI1119" s="237"/>
      <c r="AJ1119" s="237"/>
      <c r="AK1119" s="265"/>
      <c r="AL1119" s="237"/>
      <c r="AM1119" s="237"/>
      <c r="AN1119" s="237"/>
      <c r="AO1119" s="237"/>
      <c r="AP1119" s="237"/>
      <c r="AQ1119" s="237"/>
      <c r="AR1119" s="237"/>
      <c r="AS1119" s="237"/>
      <c r="AT1119" s="237"/>
      <c r="AU1119" s="237"/>
      <c r="AV1119" s="237"/>
      <c r="AW1119" s="237"/>
      <c r="AX1119" s="237"/>
      <c r="AY1119" s="237"/>
      <c r="AZ1119" s="237"/>
      <c r="BA1119" s="237"/>
      <c r="BB1119" s="237"/>
      <c r="BC1119" s="237"/>
      <c r="BD1119" s="237"/>
      <c r="BE1119" s="237"/>
      <c r="BF1119" s="237"/>
      <c r="BG1119" s="237"/>
      <c r="BH1119" s="237"/>
      <c r="BI1119" s="237"/>
      <c r="BJ1119" s="237"/>
      <c r="BK1119" s="237"/>
      <c r="BL1119" s="237"/>
      <c r="BM1119" s="237"/>
      <c r="BN1119" s="237"/>
      <c r="BO1119" s="237"/>
      <c r="BP1119" s="237"/>
      <c r="BQ1119" s="237"/>
      <c r="BR1119" s="237"/>
      <c r="BS1119" s="237"/>
      <c r="BT1119" s="237"/>
    </row>
    <row r="1120" spans="1:72" ht="14.25" customHeight="1" x14ac:dyDescent="0.2">
      <c r="A1120" s="136" t="s">
        <v>2037</v>
      </c>
      <c r="B1120" s="4">
        <v>5</v>
      </c>
      <c r="C1120" s="4" t="s">
        <v>6010</v>
      </c>
      <c r="D1120" s="4" t="s">
        <v>6251</v>
      </c>
      <c r="E1120" s="4">
        <v>2457</v>
      </c>
      <c r="F1120" s="8" t="s">
        <v>6252</v>
      </c>
      <c r="G1120" s="4" t="s">
        <v>6253</v>
      </c>
      <c r="H1120" s="4" t="s">
        <v>6254</v>
      </c>
      <c r="I1120" s="4" t="s">
        <v>1664</v>
      </c>
      <c r="J1120" s="4" t="s">
        <v>6046</v>
      </c>
      <c r="K1120" s="4">
        <v>1</v>
      </c>
      <c r="L1120" s="4">
        <v>2860</v>
      </c>
      <c r="M1120" s="222">
        <v>-125.28816999999999</v>
      </c>
      <c r="N1120" s="201">
        <v>49.605400000000003</v>
      </c>
      <c r="O1120" s="201">
        <v>280</v>
      </c>
      <c r="P1120" s="201" t="s">
        <v>6251</v>
      </c>
      <c r="Q1120" s="237"/>
      <c r="R1120" s="201" t="str">
        <f>F1120</f>
        <v>Eric Ck -&gt; Rees Creek</v>
      </c>
      <c r="S1120" s="237"/>
      <c r="T1120" s="237"/>
      <c r="U1120" s="237"/>
      <c r="V1120" s="237"/>
      <c r="W1120" s="237"/>
      <c r="X1120" s="237"/>
      <c r="Y1120" s="237"/>
      <c r="Z1120" s="237"/>
      <c r="AA1120" s="237"/>
      <c r="AB1120" s="237"/>
      <c r="AC1120" s="237"/>
      <c r="AD1120" s="237"/>
      <c r="AE1120" s="237"/>
      <c r="AF1120" s="237"/>
      <c r="AG1120" s="237"/>
      <c r="AH1120" s="237"/>
      <c r="AI1120" s="237"/>
      <c r="AJ1120" s="237"/>
      <c r="AK1120" s="265"/>
      <c r="AL1120" s="237"/>
      <c r="AM1120" s="237"/>
      <c r="AN1120" s="237"/>
      <c r="AO1120" s="237"/>
      <c r="AP1120" s="237"/>
      <c r="AQ1120" s="237"/>
      <c r="AR1120" s="237"/>
      <c r="AS1120" s="237"/>
      <c r="AT1120" s="237"/>
      <c r="AU1120" s="237"/>
      <c r="AV1120" s="237"/>
      <c r="AW1120" s="237"/>
      <c r="AX1120" s="237"/>
      <c r="AY1120" s="237"/>
      <c r="AZ1120" s="237"/>
      <c r="BA1120" s="237"/>
      <c r="BB1120" s="237"/>
      <c r="BC1120" s="237"/>
      <c r="BD1120" s="237"/>
      <c r="BE1120" s="237"/>
      <c r="BF1120" s="237"/>
      <c r="BG1120" s="237"/>
      <c r="BH1120" s="237"/>
      <c r="BI1120" s="237"/>
      <c r="BJ1120" s="237"/>
      <c r="BK1120" s="237"/>
      <c r="BL1120" s="237"/>
      <c r="BM1120" s="237"/>
      <c r="BN1120" s="237"/>
      <c r="BO1120" s="237"/>
      <c r="BP1120" s="237"/>
      <c r="BQ1120" s="237"/>
      <c r="BR1120" s="237"/>
      <c r="BS1120" s="237"/>
      <c r="BT1120" s="237"/>
    </row>
    <row r="1121" spans="1:72" ht="14.25" customHeight="1" x14ac:dyDescent="0.2">
      <c r="A1121" s="136" t="s">
        <v>2037</v>
      </c>
      <c r="B1121" s="4">
        <v>5</v>
      </c>
      <c r="C1121" s="4" t="s">
        <v>6010</v>
      </c>
      <c r="D1121" s="4" t="s">
        <v>6255</v>
      </c>
      <c r="E1121" s="4">
        <v>12347</v>
      </c>
      <c r="F1121" s="8" t="s">
        <v>6256</v>
      </c>
      <c r="G1121" s="4" t="s">
        <v>6257</v>
      </c>
      <c r="H1121" s="4" t="s">
        <v>6032</v>
      </c>
      <c r="I1121" s="4" t="s">
        <v>49</v>
      </c>
      <c r="J1121" s="4" t="s">
        <v>6258</v>
      </c>
      <c r="K1121" s="4">
        <v>1</v>
      </c>
      <c r="L1121" s="4">
        <v>14403</v>
      </c>
      <c r="M1121" s="223"/>
      <c r="U1121" s="237"/>
      <c r="V1121" s="237"/>
      <c r="W1121" s="237"/>
      <c r="X1121" s="237"/>
      <c r="Y1121" s="237"/>
      <c r="Z1121" s="237"/>
      <c r="AA1121" s="237"/>
      <c r="AB1121" s="237"/>
      <c r="AC1121" s="237"/>
      <c r="AD1121" s="237"/>
      <c r="AE1121" s="237"/>
      <c r="AF1121" s="237"/>
      <c r="AG1121" s="237"/>
      <c r="AH1121" s="237"/>
      <c r="AI1121" s="237"/>
      <c r="AJ1121" s="237"/>
      <c r="AK1121" s="265"/>
      <c r="AL1121" s="237"/>
      <c r="AM1121" s="237"/>
      <c r="AN1121" s="237"/>
      <c r="AO1121" s="237"/>
      <c r="AP1121" s="237"/>
      <c r="AQ1121" s="237"/>
      <c r="AR1121" s="237"/>
      <c r="AS1121" s="237"/>
      <c r="AT1121" s="237"/>
      <c r="AU1121" s="237"/>
      <c r="AV1121" s="237"/>
      <c r="AW1121" s="237"/>
      <c r="AX1121" s="237"/>
      <c r="AY1121" s="237"/>
      <c r="AZ1121" s="237"/>
      <c r="BA1121" s="237"/>
      <c r="BB1121" s="237"/>
      <c r="BC1121" s="237"/>
      <c r="BD1121" s="237"/>
      <c r="BE1121" s="237"/>
      <c r="BF1121" s="237"/>
      <c r="BG1121" s="237"/>
      <c r="BH1121" s="237"/>
      <c r="BI1121" s="237"/>
      <c r="BJ1121" s="237"/>
      <c r="BK1121" s="237"/>
      <c r="BL1121" s="237"/>
      <c r="BM1121" s="237"/>
      <c r="BN1121" s="237"/>
      <c r="BO1121" s="237"/>
      <c r="BP1121" s="237"/>
      <c r="BQ1121" s="237"/>
      <c r="BR1121" s="237"/>
      <c r="BS1121" s="237"/>
      <c r="BT1121" s="237"/>
    </row>
    <row r="1122" spans="1:72" ht="14.25" customHeight="1" x14ac:dyDescent="0.2">
      <c r="A1122" s="136" t="s">
        <v>2037</v>
      </c>
      <c r="B1122" s="4">
        <v>5</v>
      </c>
      <c r="C1122" s="4" t="s">
        <v>6010</v>
      </c>
      <c r="D1122" s="4" t="s">
        <v>6295</v>
      </c>
      <c r="E1122" s="4">
        <v>2492</v>
      </c>
      <c r="F1122" s="8" t="s">
        <v>6296</v>
      </c>
      <c r="G1122" s="4" t="s">
        <v>6297</v>
      </c>
      <c r="H1122" s="4" t="s">
        <v>6298</v>
      </c>
      <c r="I1122" s="4" t="s">
        <v>1664</v>
      </c>
      <c r="J1122" s="4" t="s">
        <v>6046</v>
      </c>
      <c r="K1122" s="4">
        <v>1</v>
      </c>
      <c r="L1122" s="4">
        <v>2895</v>
      </c>
      <c r="M1122" s="222">
        <v>-122.1835</v>
      </c>
      <c r="N1122" s="201">
        <v>56.012500000000003</v>
      </c>
      <c r="O1122" s="201">
        <v>720</v>
      </c>
      <c r="P1122" s="201" t="s">
        <v>6295</v>
      </c>
      <c r="Q1122" s="237"/>
      <c r="R1122" s="201" t="str">
        <f>F1122</f>
        <v>GMS Hudson's Hope</v>
      </c>
      <c r="S1122" s="237"/>
      <c r="T1122" s="237"/>
      <c r="U1122" s="237"/>
      <c r="V1122" s="237"/>
      <c r="W1122" s="237"/>
      <c r="X1122" s="237"/>
      <c r="Y1122" s="237"/>
      <c r="Z1122" s="237"/>
      <c r="AA1122" s="237"/>
      <c r="AB1122" s="237"/>
      <c r="AC1122" s="237"/>
      <c r="AD1122" s="237"/>
      <c r="AE1122" s="237"/>
      <c r="AF1122" s="237"/>
      <c r="AG1122" s="237"/>
      <c r="AH1122" s="237"/>
      <c r="AI1122" s="237"/>
      <c r="AJ1122" s="237"/>
      <c r="AK1122" s="265"/>
      <c r="AL1122" s="237"/>
      <c r="AM1122" s="237"/>
      <c r="AN1122" s="237"/>
      <c r="AO1122" s="237"/>
      <c r="AP1122" s="237"/>
      <c r="AQ1122" s="237"/>
      <c r="AR1122" s="237"/>
      <c r="AS1122" s="237"/>
      <c r="AT1122" s="237"/>
      <c r="AU1122" s="237"/>
      <c r="AV1122" s="237"/>
      <c r="AW1122" s="237"/>
      <c r="AX1122" s="237"/>
      <c r="AY1122" s="237"/>
      <c r="AZ1122" s="237"/>
      <c r="BA1122" s="237"/>
      <c r="BB1122" s="237"/>
      <c r="BC1122" s="237"/>
      <c r="BD1122" s="237"/>
      <c r="BE1122" s="237"/>
      <c r="BF1122" s="237"/>
      <c r="BG1122" s="237"/>
      <c r="BH1122" s="237"/>
      <c r="BI1122" s="237"/>
      <c r="BJ1122" s="237"/>
      <c r="BK1122" s="237"/>
      <c r="BL1122" s="237"/>
      <c r="BM1122" s="237"/>
      <c r="BN1122" s="237"/>
      <c r="BO1122" s="237"/>
      <c r="BP1122" s="237"/>
      <c r="BQ1122" s="237"/>
      <c r="BR1122" s="237"/>
      <c r="BS1122" s="237"/>
      <c r="BT1122" s="237"/>
    </row>
    <row r="1123" spans="1:72" ht="14.25" customHeight="1" x14ac:dyDescent="0.2">
      <c r="A1123" s="136" t="s">
        <v>2037</v>
      </c>
      <c r="B1123" s="4">
        <v>5</v>
      </c>
      <c r="C1123" s="4" t="s">
        <v>6010</v>
      </c>
      <c r="D1123" s="4" t="s">
        <v>6303</v>
      </c>
      <c r="E1123" s="4">
        <v>2462</v>
      </c>
      <c r="F1123" s="8" t="s">
        <v>6304</v>
      </c>
      <c r="G1123" s="4" t="s">
        <v>6305</v>
      </c>
      <c r="H1123" s="4" t="s">
        <v>6306</v>
      </c>
      <c r="I1123" s="4" t="s">
        <v>1664</v>
      </c>
      <c r="J1123" s="4" t="s">
        <v>6046</v>
      </c>
      <c r="K1123" s="4">
        <v>1</v>
      </c>
      <c r="L1123" s="4">
        <v>2865</v>
      </c>
      <c r="M1123" s="222">
        <v>-126.1061</v>
      </c>
      <c r="N1123" s="201">
        <v>49.705800000000004</v>
      </c>
      <c r="O1123" s="201">
        <v>10</v>
      </c>
      <c r="P1123" s="201" t="s">
        <v>6303</v>
      </c>
      <c r="Q1123" s="237"/>
      <c r="R1123" s="201" t="str">
        <f>F1123</f>
        <v>Gold R. nr Ucona R. -&gt; Gold River near Ucona River</v>
      </c>
      <c r="S1123" s="237"/>
      <c r="U1123" s="237"/>
      <c r="V1123" s="237"/>
      <c r="W1123" s="237"/>
      <c r="X1123" s="237"/>
      <c r="Y1123" s="237"/>
      <c r="Z1123" s="237"/>
      <c r="AA1123" s="237"/>
      <c r="AB1123" s="237"/>
      <c r="AC1123" s="237"/>
      <c r="AD1123" s="237"/>
      <c r="AE1123" s="237"/>
      <c r="AF1123" s="237"/>
      <c r="AG1123" s="237"/>
      <c r="AH1123" s="237"/>
      <c r="AI1123" s="237"/>
      <c r="AJ1123" s="237"/>
      <c r="AK1123" s="265"/>
      <c r="AL1123" s="237"/>
      <c r="AM1123" s="237"/>
      <c r="AN1123" s="237"/>
      <c r="AO1123" s="237"/>
      <c r="AP1123" s="237"/>
      <c r="AQ1123" s="237"/>
      <c r="AR1123" s="237"/>
      <c r="AS1123" s="237"/>
      <c r="AT1123" s="237"/>
      <c r="AU1123" s="237"/>
      <c r="AV1123" s="237"/>
      <c r="AW1123" s="237"/>
      <c r="AX1123" s="237"/>
      <c r="AY1123" s="237"/>
      <c r="AZ1123" s="237"/>
      <c r="BA1123" s="237"/>
      <c r="BB1123" s="237"/>
      <c r="BC1123" s="237"/>
      <c r="BD1123" s="237"/>
      <c r="BE1123" s="237"/>
      <c r="BF1123" s="237"/>
      <c r="BG1123" s="237"/>
      <c r="BH1123" s="237"/>
      <c r="BI1123" s="237"/>
      <c r="BJ1123" s="237"/>
      <c r="BK1123" s="237"/>
      <c r="BL1123" s="237"/>
      <c r="BM1123" s="237"/>
      <c r="BN1123" s="237"/>
      <c r="BO1123" s="237"/>
      <c r="BP1123" s="237"/>
      <c r="BQ1123" s="237"/>
      <c r="BR1123" s="237"/>
      <c r="BS1123" s="237"/>
      <c r="BT1123" s="237"/>
    </row>
    <row r="1124" spans="1:72" ht="14.25" customHeight="1" x14ac:dyDescent="0.2">
      <c r="A1124" s="136" t="s">
        <v>2037</v>
      </c>
      <c r="B1124" s="4">
        <v>5</v>
      </c>
      <c r="C1124" s="4" t="s">
        <v>6010</v>
      </c>
      <c r="D1124" s="4" t="s">
        <v>6311</v>
      </c>
      <c r="E1124" s="4">
        <v>2464</v>
      </c>
      <c r="F1124" s="8" t="s">
        <v>6312</v>
      </c>
      <c r="G1124" s="188" t="s">
        <v>6313</v>
      </c>
      <c r="H1124" s="4" t="s">
        <v>6314</v>
      </c>
      <c r="I1124" s="4" t="s">
        <v>1664</v>
      </c>
      <c r="J1124" s="4" t="s">
        <v>6046</v>
      </c>
      <c r="K1124" s="4">
        <v>1</v>
      </c>
      <c r="L1124" s="4">
        <v>2867</v>
      </c>
      <c r="M1124" s="222">
        <v>118.59699999999999</v>
      </c>
      <c r="N1124" s="201">
        <v>51.668399999999998</v>
      </c>
      <c r="O1124" s="201">
        <v>600</v>
      </c>
      <c r="P1124" s="201" t="s">
        <v>6311</v>
      </c>
      <c r="Q1124" s="237"/>
      <c r="R1124" s="201" t="str">
        <f>F1124</f>
        <v>Goldstream R. blw Old Camp Ck - Goldstream River Below Old Camp Creek</v>
      </c>
      <c r="S1124" s="237"/>
      <c r="T1124" s="237"/>
      <c r="U1124" s="237"/>
      <c r="V1124" s="237"/>
      <c r="W1124" s="237"/>
      <c r="X1124" s="237"/>
      <c r="Y1124" s="237"/>
      <c r="Z1124" s="237"/>
      <c r="AA1124" s="237"/>
      <c r="AB1124" s="237"/>
      <c r="AC1124" s="237"/>
      <c r="AD1124" s="237"/>
      <c r="AE1124" s="237"/>
      <c r="AF1124" s="237"/>
      <c r="AG1124" s="237"/>
      <c r="AH1124" s="237"/>
      <c r="AI1124" s="237"/>
      <c r="AJ1124" s="237"/>
      <c r="AK1124" s="265"/>
      <c r="AL1124" s="237"/>
      <c r="AM1124" s="237"/>
      <c r="AN1124" s="237"/>
      <c r="AO1124" s="237"/>
      <c r="AP1124" s="237"/>
      <c r="AQ1124" s="237"/>
      <c r="AR1124" s="237"/>
      <c r="AS1124" s="237"/>
      <c r="AT1124" s="237"/>
      <c r="AU1124" s="237"/>
      <c r="AV1124" s="237"/>
      <c r="AW1124" s="237"/>
      <c r="AX1124" s="237"/>
      <c r="AY1124" s="237"/>
      <c r="AZ1124" s="237"/>
      <c r="BA1124" s="237"/>
      <c r="BB1124" s="237"/>
      <c r="BC1124" s="237"/>
      <c r="BD1124" s="237"/>
      <c r="BE1124" s="237"/>
      <c r="BF1124" s="237"/>
      <c r="BG1124" s="237"/>
      <c r="BH1124" s="237"/>
      <c r="BI1124" s="237"/>
      <c r="BJ1124" s="237"/>
      <c r="BK1124" s="237"/>
      <c r="BL1124" s="237"/>
      <c r="BM1124" s="237"/>
      <c r="BN1124" s="237"/>
      <c r="BO1124" s="237"/>
      <c r="BP1124" s="237"/>
      <c r="BQ1124" s="237"/>
      <c r="BR1124" s="237"/>
      <c r="BS1124" s="237"/>
      <c r="BT1124" s="237"/>
    </row>
    <row r="1125" spans="1:72" ht="14.25" customHeight="1" x14ac:dyDescent="0.2">
      <c r="A1125" s="136" t="s">
        <v>2037</v>
      </c>
      <c r="B1125" s="4">
        <v>5</v>
      </c>
      <c r="C1125" s="4" t="s">
        <v>6010</v>
      </c>
      <c r="D1125" s="4" t="s">
        <v>6323</v>
      </c>
      <c r="E1125" s="4">
        <v>2469</v>
      </c>
      <c r="F1125" s="201" t="s">
        <v>6324</v>
      </c>
      <c r="G1125" s="188" t="s">
        <v>6325</v>
      </c>
      <c r="H1125" s="4" t="s">
        <v>6326</v>
      </c>
      <c r="I1125" s="4" t="s">
        <v>1664</v>
      </c>
      <c r="J1125" s="4" t="s">
        <v>6046</v>
      </c>
      <c r="K1125" s="4">
        <v>1</v>
      </c>
      <c r="L1125" s="4">
        <v>2872</v>
      </c>
      <c r="M1125" s="6">
        <v>-121.62486939999999</v>
      </c>
      <c r="N1125" s="9">
        <v>56.251294440000002</v>
      </c>
      <c r="O1125" s="9">
        <v>480</v>
      </c>
      <c r="P1125" s="4" t="s">
        <v>6323</v>
      </c>
      <c r="Q1125" s="70">
        <v>1</v>
      </c>
      <c r="R1125" s="9" t="s">
        <v>6327</v>
      </c>
      <c r="S1125" s="9" t="s">
        <v>6009</v>
      </c>
      <c r="U1125"/>
      <c r="AK1125" s="260"/>
    </row>
    <row r="1126" spans="1:72" ht="14.25" customHeight="1" x14ac:dyDescent="0.2">
      <c r="A1126" s="136" t="s">
        <v>2037</v>
      </c>
      <c r="B1126" s="4">
        <v>5</v>
      </c>
      <c r="C1126" s="4" t="s">
        <v>6010</v>
      </c>
      <c r="D1126" s="4" t="s">
        <v>6328</v>
      </c>
      <c r="E1126" s="4">
        <v>13095</v>
      </c>
      <c r="F1126" s="4" t="s">
        <v>6329</v>
      </c>
      <c r="G1126" s="188" t="s">
        <v>6330</v>
      </c>
      <c r="H1126" s="4" t="s">
        <v>6014</v>
      </c>
      <c r="I1126" s="4" t="s">
        <v>49</v>
      </c>
      <c r="J1126" s="4" t="s">
        <v>6021</v>
      </c>
      <c r="K1126" s="4">
        <v>1</v>
      </c>
      <c r="L1126" s="4">
        <v>15017</v>
      </c>
      <c r="M1126" s="6">
        <v>-122.2410972</v>
      </c>
      <c r="N1126" s="9">
        <v>56.508336110000002</v>
      </c>
      <c r="O1126" s="9">
        <v>657</v>
      </c>
      <c r="P1126" s="4" t="s">
        <v>6328</v>
      </c>
      <c r="Q1126" s="70">
        <v>1</v>
      </c>
      <c r="R1126" s="9" t="s">
        <v>6329</v>
      </c>
      <c r="S1126" s="9" t="s">
        <v>6009</v>
      </c>
      <c r="U1126"/>
      <c r="AK1126" s="260"/>
    </row>
    <row r="1127" spans="1:72" ht="14.25" customHeight="1" x14ac:dyDescent="0.2">
      <c r="A1127" s="136" t="s">
        <v>2037</v>
      </c>
      <c r="B1127" s="4">
        <v>5</v>
      </c>
      <c r="C1127" s="4" t="s">
        <v>6010</v>
      </c>
      <c r="D1127" s="4" t="s">
        <v>6331</v>
      </c>
      <c r="E1127" s="4">
        <v>2468</v>
      </c>
      <c r="F1127" s="8" t="s">
        <v>6332</v>
      </c>
      <c r="G1127" s="188" t="s">
        <v>6333</v>
      </c>
      <c r="H1127" s="4" t="s">
        <v>6334</v>
      </c>
      <c r="I1127" s="4" t="s">
        <v>1664</v>
      </c>
      <c r="J1127" s="4" t="s">
        <v>6187</v>
      </c>
      <c r="K1127" s="4">
        <v>1</v>
      </c>
      <c r="L1127" s="4">
        <v>2871</v>
      </c>
      <c r="M1127" s="222">
        <v>-125.98639</v>
      </c>
      <c r="N1127" s="201">
        <v>49.815300000000001</v>
      </c>
      <c r="O1127" s="201">
        <v>215</v>
      </c>
      <c r="P1127" s="201" t="s">
        <v>6331</v>
      </c>
      <c r="Q1127" s="237"/>
      <c r="R1127" s="201" t="str">
        <f>F1127</f>
        <v>Heber R. nr Gold R. -&gt; Heber River near Gold River</v>
      </c>
      <c r="S1127" s="237"/>
      <c r="T1127" s="237"/>
      <c r="U1127" s="237"/>
      <c r="V1127" s="237"/>
      <c r="W1127" s="237"/>
      <c r="X1127" s="237"/>
      <c r="Y1127" s="237"/>
      <c r="Z1127" s="237"/>
      <c r="AA1127" s="237"/>
      <c r="AB1127" s="237"/>
      <c r="AC1127" s="237"/>
      <c r="AD1127" s="237"/>
      <c r="AE1127" s="237"/>
      <c r="AF1127" s="237"/>
      <c r="AG1127" s="237"/>
      <c r="AH1127" s="237"/>
      <c r="AI1127" s="237"/>
      <c r="AJ1127" s="237"/>
      <c r="AK1127" s="265"/>
      <c r="AL1127" s="237"/>
      <c r="AM1127" s="237"/>
      <c r="AN1127" s="237"/>
      <c r="AO1127" s="53"/>
      <c r="AP1127" s="237"/>
      <c r="AQ1127" s="237"/>
      <c r="AR1127" s="237"/>
      <c r="AS1127" s="237"/>
      <c r="AT1127" s="237"/>
      <c r="AU1127" s="237"/>
      <c r="AV1127" s="237"/>
      <c r="AW1127" s="237"/>
      <c r="AX1127" s="237"/>
      <c r="AY1127" s="237"/>
      <c r="AZ1127" s="237"/>
      <c r="BA1127" s="237"/>
      <c r="BB1127" s="237"/>
      <c r="BC1127" s="237"/>
      <c r="BD1127" s="237"/>
      <c r="BE1127" s="237"/>
      <c r="BF1127" s="237"/>
      <c r="BG1127" s="237"/>
      <c r="BH1127" s="237"/>
      <c r="BI1127" s="237"/>
      <c r="BJ1127" s="237"/>
      <c r="BK1127" s="237"/>
      <c r="BL1127" s="237"/>
      <c r="BM1127" s="237"/>
      <c r="BN1127" s="237"/>
      <c r="BO1127" s="237"/>
      <c r="BP1127" s="237"/>
      <c r="BQ1127" s="237"/>
      <c r="BR1127" s="237"/>
      <c r="BS1127" s="237"/>
      <c r="BT1127" s="237"/>
    </row>
    <row r="1128" spans="1:72" ht="14.25" customHeight="1" x14ac:dyDescent="0.2">
      <c r="A1128" s="136" t="s">
        <v>2037</v>
      </c>
      <c r="B1128" s="4">
        <v>5</v>
      </c>
      <c r="C1128" s="4" t="s">
        <v>6010</v>
      </c>
      <c r="D1128" s="4" t="s">
        <v>6340</v>
      </c>
      <c r="E1128" s="4">
        <v>2471</v>
      </c>
      <c r="F1128" s="8" t="s">
        <v>6341</v>
      </c>
      <c r="G1128" s="4" t="s">
        <v>6342</v>
      </c>
      <c r="H1128" s="4" t="s">
        <v>6343</v>
      </c>
      <c r="I1128" s="4" t="s">
        <v>1664</v>
      </c>
      <c r="J1128" s="4" t="s">
        <v>6046</v>
      </c>
      <c r="K1128" s="4">
        <v>1</v>
      </c>
      <c r="L1128" s="4">
        <v>2874</v>
      </c>
      <c r="M1128" s="222">
        <v>-122.94216</v>
      </c>
      <c r="N1128" s="201">
        <v>50.730490000000003</v>
      </c>
      <c r="O1128" s="201">
        <v>990</v>
      </c>
      <c r="P1128" s="201" t="s">
        <v>6340</v>
      </c>
      <c r="Q1128" s="237"/>
      <c r="R1128" s="201" t="str">
        <f>F1128</f>
        <v>Hurley R. ab Lone Goat Ck -&gt; Hurley River above Lone Goat Creek</v>
      </c>
      <c r="S1128" s="237"/>
      <c r="T1128" s="237"/>
      <c r="U1128" s="237"/>
      <c r="V1128" s="237"/>
      <c r="W1128" s="237"/>
      <c r="X1128" s="237"/>
      <c r="Y1128" s="237"/>
      <c r="Z1128" s="237"/>
      <c r="AA1128" s="237"/>
      <c r="AB1128" s="237"/>
      <c r="AC1128" s="237"/>
      <c r="AD1128" s="237"/>
      <c r="AE1128" s="237"/>
      <c r="AF1128" s="237"/>
      <c r="AG1128" s="237"/>
      <c r="AH1128" s="237"/>
      <c r="AI1128" s="237"/>
      <c r="AJ1128" s="237"/>
      <c r="AK1128" s="265"/>
      <c r="AL1128" s="237"/>
      <c r="AM1128" s="237"/>
      <c r="AN1128" s="237"/>
      <c r="AO1128" s="237"/>
      <c r="AP1128" s="237"/>
      <c r="AQ1128" s="237"/>
      <c r="AR1128" s="237"/>
      <c r="AS1128" s="237"/>
      <c r="AT1128" s="237"/>
      <c r="AU1128" s="237"/>
      <c r="AV1128" s="237"/>
      <c r="AW1128" s="237"/>
      <c r="AX1128" s="237"/>
      <c r="AY1128" s="237"/>
      <c r="AZ1128" s="237"/>
      <c r="BA1128" s="237"/>
      <c r="BB1128" s="237"/>
      <c r="BC1128" s="237"/>
      <c r="BD1128" s="237"/>
      <c r="BE1128" s="237"/>
      <c r="BF1128" s="237"/>
      <c r="BG1128" s="237"/>
      <c r="BH1128" s="237"/>
      <c r="BI1128" s="237"/>
      <c r="BJ1128" s="237"/>
      <c r="BK1128" s="237"/>
      <c r="BL1128" s="237"/>
      <c r="BM1128" s="237"/>
      <c r="BN1128" s="237"/>
      <c r="BO1128" s="237"/>
      <c r="BP1128" s="237"/>
      <c r="BQ1128" s="237"/>
      <c r="BR1128" s="237"/>
      <c r="BS1128" s="237"/>
      <c r="BT1128" s="237"/>
    </row>
    <row r="1129" spans="1:72" ht="14.25" customHeight="1" x14ac:dyDescent="0.2">
      <c r="A1129" s="136" t="s">
        <v>2037</v>
      </c>
      <c r="B1129" s="4">
        <v>5</v>
      </c>
      <c r="C1129" s="4" t="s">
        <v>6010</v>
      </c>
      <c r="D1129" s="4" t="s">
        <v>6348</v>
      </c>
      <c r="E1129" s="4">
        <v>2472</v>
      </c>
      <c r="F1129" s="8" t="s">
        <v>6349</v>
      </c>
      <c r="G1129" s="4" t="s">
        <v>6350</v>
      </c>
      <c r="H1129" s="4" t="s">
        <v>6351</v>
      </c>
      <c r="I1129" s="4" t="s">
        <v>1664</v>
      </c>
      <c r="J1129" s="4" t="s">
        <v>6046</v>
      </c>
      <c r="K1129" s="4">
        <v>1</v>
      </c>
      <c r="L1129" s="4">
        <v>2875</v>
      </c>
      <c r="M1129" s="222">
        <v>-118.08273</v>
      </c>
      <c r="N1129" s="201">
        <v>51.013300000000001</v>
      </c>
      <c r="O1129" s="201">
        <v>500</v>
      </c>
      <c r="P1129" s="201" t="s">
        <v>6348</v>
      </c>
      <c r="Q1129" s="237"/>
      <c r="R1129" s="201" t="s">
        <v>6352</v>
      </c>
      <c r="S1129" s="237"/>
      <c r="T1129" s="237"/>
      <c r="U1129" s="237"/>
      <c r="V1129" s="237"/>
      <c r="W1129" s="237"/>
      <c r="X1129" s="237"/>
      <c r="Y1129" s="237"/>
      <c r="Z1129" s="237"/>
      <c r="AA1129" s="237"/>
      <c r="AB1129" s="237"/>
      <c r="AC1129" s="237"/>
      <c r="AD1129" s="237"/>
      <c r="AE1129" s="237"/>
      <c r="AF1129" s="237"/>
      <c r="AG1129" s="237"/>
      <c r="AH1129" s="237"/>
      <c r="AI1129" s="237"/>
      <c r="AJ1129" s="237"/>
      <c r="AK1129" s="265"/>
      <c r="AL1129" s="237"/>
      <c r="AM1129" s="237"/>
      <c r="AN1129" s="237"/>
      <c r="AO1129" s="237"/>
      <c r="AP1129" s="237"/>
      <c r="AQ1129" s="237"/>
      <c r="AR1129" s="237"/>
      <c r="AS1129" s="237"/>
      <c r="AT1129" s="237"/>
      <c r="AU1129" s="237"/>
      <c r="AV1129" s="237"/>
      <c r="AW1129" s="237"/>
      <c r="AX1129" s="237"/>
      <c r="AY1129" s="237"/>
      <c r="AZ1129" s="237"/>
      <c r="BA1129" s="237"/>
      <c r="BB1129" s="237"/>
      <c r="BC1129" s="237"/>
      <c r="BD1129" s="237"/>
      <c r="BE1129" s="237"/>
      <c r="BF1129" s="237"/>
      <c r="BG1129" s="237"/>
      <c r="BH1129" s="237"/>
      <c r="BI1129" s="237"/>
      <c r="BJ1129" s="237"/>
      <c r="BK1129" s="237"/>
      <c r="BL1129" s="237"/>
      <c r="BM1129" s="237"/>
      <c r="BN1129" s="237"/>
      <c r="BO1129" s="237"/>
      <c r="BP1129" s="237"/>
      <c r="BQ1129" s="237"/>
      <c r="BR1129" s="237"/>
      <c r="BS1129" s="237"/>
      <c r="BT1129" s="237"/>
    </row>
    <row r="1130" spans="1:72" ht="14.25" customHeight="1" x14ac:dyDescent="0.2">
      <c r="A1130" s="136" t="s">
        <v>2037</v>
      </c>
      <c r="B1130" s="4">
        <v>5</v>
      </c>
      <c r="C1130" s="4" t="s">
        <v>6010</v>
      </c>
      <c r="D1130" s="4" t="s">
        <v>6378</v>
      </c>
      <c r="E1130" s="4">
        <v>2467</v>
      </c>
      <c r="F1130" s="8" t="s">
        <v>6379</v>
      </c>
      <c r="G1130" s="4" t="s">
        <v>6380</v>
      </c>
      <c r="H1130" s="4" t="s">
        <v>6381</v>
      </c>
      <c r="I1130" s="4" t="s">
        <v>1664</v>
      </c>
      <c r="J1130" s="4" t="s">
        <v>6046</v>
      </c>
      <c r="K1130" s="4">
        <v>1</v>
      </c>
      <c r="L1130" s="4">
        <v>2870</v>
      </c>
      <c r="M1130" s="222">
        <v>-117.87831</v>
      </c>
      <c r="N1130" s="201">
        <v>51.877099999999999</v>
      </c>
      <c r="O1130" s="201">
        <v>770</v>
      </c>
      <c r="P1130" s="201" t="s">
        <v>6378</v>
      </c>
      <c r="Q1130" s="237"/>
      <c r="R1130" s="201" t="s">
        <v>6382</v>
      </c>
      <c r="S1130" s="237"/>
      <c r="T1130" s="237"/>
      <c r="U1130" s="237"/>
      <c r="V1130" s="237"/>
      <c r="W1130" s="237"/>
      <c r="X1130" s="237"/>
      <c r="Y1130" s="237"/>
      <c r="Z1130" s="237"/>
      <c r="AA1130" s="237"/>
      <c r="AB1130" s="237"/>
      <c r="AC1130" s="237"/>
      <c r="AD1130" s="237"/>
      <c r="AE1130" s="237"/>
      <c r="AF1130" s="237"/>
      <c r="AG1130" s="237"/>
      <c r="AH1130" s="237"/>
      <c r="AI1130" s="237"/>
      <c r="AJ1130" s="237"/>
      <c r="AK1130" s="265"/>
      <c r="AL1130" s="237"/>
      <c r="AM1130" s="237"/>
      <c r="AN1130" s="237"/>
      <c r="AO1130" s="237"/>
      <c r="AP1130" s="237"/>
      <c r="AQ1130" s="237"/>
      <c r="AR1130" s="237"/>
      <c r="AS1130" s="237"/>
      <c r="AT1130" s="237"/>
      <c r="AU1130" s="237"/>
      <c r="AV1130" s="237"/>
      <c r="AW1130" s="237"/>
      <c r="AX1130" s="237"/>
      <c r="AY1130" s="237"/>
      <c r="AZ1130" s="237"/>
      <c r="BA1130" s="237"/>
      <c r="BB1130" s="237"/>
      <c r="BC1130" s="237"/>
      <c r="BD1130" s="237"/>
      <c r="BE1130" s="237"/>
      <c r="BF1130" s="237"/>
      <c r="BG1130" s="237"/>
      <c r="BH1130" s="237"/>
      <c r="BI1130" s="237"/>
      <c r="BJ1130" s="237"/>
      <c r="BK1130" s="237"/>
      <c r="BL1130" s="237"/>
      <c r="BM1130" s="237"/>
      <c r="BN1130" s="237"/>
      <c r="BO1130" s="237"/>
      <c r="BP1130" s="237"/>
      <c r="BQ1130" s="237"/>
      <c r="BR1130" s="237"/>
      <c r="BS1130" s="237"/>
      <c r="BT1130" s="237"/>
    </row>
    <row r="1131" spans="1:72" ht="14.25" customHeight="1" x14ac:dyDescent="0.2">
      <c r="A1131" s="136" t="s">
        <v>2037</v>
      </c>
      <c r="B1131" s="4">
        <v>5</v>
      </c>
      <c r="C1131" s="4" t="s">
        <v>6010</v>
      </c>
      <c r="D1131" s="4" t="s">
        <v>6383</v>
      </c>
      <c r="E1131" s="4">
        <v>2461</v>
      </c>
      <c r="F1131" s="201" t="s">
        <v>6384</v>
      </c>
      <c r="G1131" s="4" t="s">
        <v>6385</v>
      </c>
      <c r="H1131" s="4" t="s">
        <v>6386</v>
      </c>
      <c r="I1131" s="4" t="s">
        <v>1664</v>
      </c>
      <c r="J1131" s="4" t="s">
        <v>6046</v>
      </c>
      <c r="K1131" s="4">
        <v>1</v>
      </c>
      <c r="L1131" s="4">
        <v>2864</v>
      </c>
      <c r="M1131" s="222">
        <v>-115.63461</v>
      </c>
      <c r="N1131" s="201">
        <v>49.611220000000003</v>
      </c>
      <c r="O1131" s="201">
        <v>770</v>
      </c>
      <c r="P1131" s="201" t="s">
        <v>6383</v>
      </c>
      <c r="Q1131" s="237"/>
      <c r="R1131" s="201" t="s">
        <v>6387</v>
      </c>
      <c r="S1131" s="237"/>
      <c r="T1131" s="237"/>
      <c r="U1131" s="237"/>
      <c r="V1131" s="237"/>
      <c r="W1131" s="237"/>
      <c r="X1131" s="237"/>
      <c r="Y1131" s="237"/>
      <c r="Z1131" s="237"/>
      <c r="AA1131" s="237"/>
      <c r="AB1131" s="237"/>
      <c r="AC1131" s="237"/>
      <c r="AD1131" s="237"/>
      <c r="AE1131" s="237"/>
      <c r="AF1131" s="237"/>
      <c r="AG1131" s="237"/>
      <c r="AH1131" s="237"/>
      <c r="AI1131" s="237"/>
      <c r="AJ1131" s="237"/>
      <c r="AK1131" s="265"/>
      <c r="AL1131" s="237"/>
      <c r="AM1131" s="237"/>
      <c r="AN1131" s="237"/>
      <c r="AO1131" s="53"/>
      <c r="AP1131" s="53"/>
      <c r="AQ1131" s="53"/>
      <c r="AR1131" s="53"/>
      <c r="AS1131" s="53"/>
      <c r="AT1131" s="53"/>
      <c r="AU1131" s="53"/>
      <c r="AV1131" s="53"/>
      <c r="AW1131" s="53"/>
      <c r="AX1131" s="53"/>
      <c r="AY1131" s="53"/>
      <c r="AZ1131" s="53"/>
      <c r="BA1131" s="53"/>
      <c r="BB1131" s="237"/>
      <c r="BC1131" s="237"/>
      <c r="BD1131" s="237"/>
      <c r="BE1131" s="237"/>
      <c r="BF1131" s="237"/>
      <c r="BG1131" s="237"/>
      <c r="BH1131" s="237"/>
      <c r="BI1131" s="237"/>
      <c r="BJ1131" s="237"/>
      <c r="BK1131" s="237"/>
      <c r="BL1131" s="237"/>
      <c r="BM1131" s="237"/>
      <c r="BN1131" s="237"/>
      <c r="BO1131" s="237"/>
      <c r="BP1131" s="237"/>
      <c r="BQ1131" s="237"/>
      <c r="BR1131" s="237"/>
      <c r="BS1131" s="237"/>
      <c r="BT1131" s="237"/>
    </row>
    <row r="1132" spans="1:72" ht="14.25" customHeight="1" x14ac:dyDescent="0.2">
      <c r="A1132" s="136" t="s">
        <v>2037</v>
      </c>
      <c r="B1132" s="4">
        <v>5</v>
      </c>
      <c r="C1132" s="4" t="s">
        <v>6010</v>
      </c>
      <c r="D1132" s="4" t="s">
        <v>6388</v>
      </c>
      <c r="E1132" s="4">
        <v>2475</v>
      </c>
      <c r="F1132" s="201" t="s">
        <v>6389</v>
      </c>
      <c r="G1132" s="4" t="s">
        <v>6390</v>
      </c>
      <c r="H1132" s="4" t="s">
        <v>6391</v>
      </c>
      <c r="I1132" s="4" t="s">
        <v>1664</v>
      </c>
      <c r="J1132" s="4" t="s">
        <v>6041</v>
      </c>
      <c r="K1132" s="4">
        <v>1</v>
      </c>
      <c r="L1132" s="4">
        <v>2878</v>
      </c>
      <c r="M1132" s="6">
        <v>-125.0731667</v>
      </c>
      <c r="N1132" s="9">
        <v>57.623333330000001</v>
      </c>
      <c r="O1132" s="9">
        <v>1554</v>
      </c>
      <c r="P1132" s="4" t="s">
        <v>6388</v>
      </c>
      <c r="Q1132" s="70">
        <v>6</v>
      </c>
      <c r="R1132" s="9" t="s">
        <v>6392</v>
      </c>
      <c r="S1132" s="9" t="s">
        <v>6009</v>
      </c>
      <c r="U1132"/>
      <c r="AK1132" s="260"/>
      <c r="AO1132" s="192"/>
      <c r="AP1132" s="192"/>
      <c r="AQ1132" s="192"/>
      <c r="AR1132" s="192"/>
      <c r="AS1132" s="192"/>
      <c r="AT1132" s="192"/>
      <c r="AU1132" s="192"/>
      <c r="AV1132" s="192"/>
      <c r="AW1132" s="192"/>
      <c r="AX1132" s="192"/>
      <c r="AY1132" s="192"/>
      <c r="AZ1132" s="192"/>
      <c r="BA1132" s="192"/>
    </row>
    <row r="1133" spans="1:72" ht="14.25" customHeight="1" x14ac:dyDescent="0.2">
      <c r="A1133" s="136" t="s">
        <v>2037</v>
      </c>
      <c r="B1133" s="4">
        <v>5</v>
      </c>
      <c r="C1133" s="4" t="s">
        <v>6010</v>
      </c>
      <c r="D1133" s="4" t="s">
        <v>6393</v>
      </c>
      <c r="E1133" s="4">
        <v>2476</v>
      </c>
      <c r="F1133" s="201" t="s">
        <v>6394</v>
      </c>
      <c r="G1133" s="4" t="s">
        <v>6395</v>
      </c>
      <c r="H1133" s="4" t="s">
        <v>6396</v>
      </c>
      <c r="I1133" s="4" t="s">
        <v>1664</v>
      </c>
      <c r="J1133" s="4" t="s">
        <v>6187</v>
      </c>
      <c r="K1133" s="4">
        <v>1</v>
      </c>
      <c r="L1133" s="4">
        <v>2879</v>
      </c>
      <c r="M1133" s="222">
        <v>-123.1835</v>
      </c>
      <c r="N1133" s="201">
        <v>50.859299999999998</v>
      </c>
      <c r="O1133" s="201">
        <v>1829</v>
      </c>
      <c r="P1133" s="201" t="s">
        <v>6393</v>
      </c>
      <c r="Q1133" s="237"/>
      <c r="R1133" s="201" t="s">
        <v>6397</v>
      </c>
      <c r="S1133" s="237"/>
      <c r="T1133" s="237"/>
      <c r="U1133" s="237"/>
      <c r="V1133" s="237"/>
      <c r="W1133" s="237"/>
      <c r="X1133" s="237"/>
      <c r="Y1133" s="237"/>
      <c r="Z1133" s="237"/>
      <c r="AA1133" s="237"/>
      <c r="AB1133" s="237"/>
      <c r="AC1133" s="237"/>
      <c r="AD1133" s="237"/>
      <c r="AE1133" s="237"/>
      <c r="AF1133" s="237"/>
      <c r="AG1133" s="237"/>
      <c r="AH1133" s="237"/>
      <c r="AI1133" s="237"/>
      <c r="AJ1133" s="237"/>
      <c r="AK1133" s="265"/>
      <c r="AL1133" s="237"/>
      <c r="AM1133" s="237"/>
      <c r="AN1133" s="237"/>
      <c r="AO1133" s="53"/>
      <c r="AP1133" s="53"/>
      <c r="AQ1133" s="53"/>
      <c r="AR1133" s="53"/>
      <c r="AS1133" s="53"/>
      <c r="AT1133" s="53"/>
      <c r="AU1133" s="53"/>
      <c r="AV1133" s="53"/>
      <c r="AW1133" s="53"/>
      <c r="AX1133" s="53"/>
      <c r="AY1133" s="53"/>
      <c r="AZ1133" s="53"/>
      <c r="BA1133" s="53"/>
      <c r="BB1133" s="237"/>
      <c r="BC1133" s="237"/>
      <c r="BD1133" s="237"/>
      <c r="BE1133" s="237"/>
      <c r="BF1133" s="237"/>
      <c r="BG1133" s="237"/>
      <c r="BH1133" s="237"/>
      <c r="BI1133" s="237"/>
      <c r="BJ1133" s="237"/>
      <c r="BK1133" s="237"/>
      <c r="BL1133" s="237"/>
      <c r="BM1133" s="237"/>
      <c r="BN1133" s="237"/>
      <c r="BO1133" s="237"/>
      <c r="BP1133" s="237"/>
      <c r="BQ1133" s="237"/>
      <c r="BR1133" s="237"/>
      <c r="BS1133" s="237"/>
      <c r="BT1133" s="237"/>
    </row>
    <row r="1134" spans="1:72" ht="14.25" customHeight="1" x14ac:dyDescent="0.2">
      <c r="A1134" s="136" t="s">
        <v>2037</v>
      </c>
      <c r="B1134" s="4">
        <v>5</v>
      </c>
      <c r="C1134" s="4" t="s">
        <v>6010</v>
      </c>
      <c r="D1134" s="4" t="s">
        <v>6410</v>
      </c>
      <c r="E1134" s="4">
        <v>2511</v>
      </c>
      <c r="F1134" s="8" t="s">
        <v>6411</v>
      </c>
      <c r="G1134" s="4" t="s">
        <v>6412</v>
      </c>
      <c r="H1134" s="4" t="s">
        <v>6413</v>
      </c>
      <c r="I1134" s="4" t="s">
        <v>1664</v>
      </c>
      <c r="J1134" s="4" t="s">
        <v>6187</v>
      </c>
      <c r="K1134" s="4">
        <v>1</v>
      </c>
      <c r="L1134" s="4">
        <v>2914</v>
      </c>
      <c r="M1134" s="222">
        <v>-124.6442</v>
      </c>
      <c r="N1134" s="201">
        <v>56.244999999999997</v>
      </c>
      <c r="O1134" s="201">
        <v>728</v>
      </c>
      <c r="P1134" s="201" t="s">
        <v>6410</v>
      </c>
      <c r="Q1134" s="237"/>
      <c r="R1134" s="201" t="s">
        <v>6414</v>
      </c>
      <c r="S1134" s="237"/>
      <c r="T1134" s="237"/>
      <c r="U1134" s="237"/>
      <c r="V1134" s="237"/>
      <c r="W1134" s="237"/>
      <c r="X1134" s="237"/>
      <c r="Y1134" s="237"/>
      <c r="Z1134" s="237"/>
      <c r="AA1134" s="237"/>
      <c r="AB1134" s="237"/>
      <c r="AC1134" s="237"/>
      <c r="AD1134" s="237"/>
      <c r="AE1134" s="237"/>
      <c r="AF1134" s="237"/>
      <c r="AG1134" s="237"/>
      <c r="AH1134" s="237"/>
      <c r="AI1134" s="237"/>
      <c r="AJ1134" s="237"/>
      <c r="AK1134" s="265"/>
      <c r="AL1134" s="237"/>
      <c r="AM1134" s="237"/>
      <c r="AN1134" s="237"/>
      <c r="AO1134" s="237"/>
      <c r="AP1134" s="237"/>
      <c r="AQ1134" s="237"/>
      <c r="AR1134" s="237"/>
      <c r="AS1134" s="237"/>
      <c r="AT1134" s="237"/>
      <c r="AU1134" s="237"/>
      <c r="AV1134" s="237"/>
      <c r="AW1134" s="237"/>
      <c r="AX1134" s="237"/>
      <c r="AY1134" s="237"/>
      <c r="AZ1134" s="237"/>
      <c r="BA1134" s="237"/>
      <c r="BB1134" s="237"/>
      <c r="BC1134" s="237"/>
      <c r="BD1134" s="237"/>
      <c r="BE1134" s="237"/>
      <c r="BF1134" s="237"/>
      <c r="BG1134" s="237"/>
      <c r="BH1134" s="237"/>
      <c r="BI1134" s="237"/>
      <c r="BJ1134" s="237"/>
      <c r="BK1134" s="237"/>
      <c r="BL1134" s="237"/>
      <c r="BM1134" s="237"/>
      <c r="BN1134" s="237"/>
      <c r="BO1134" s="237"/>
      <c r="BP1134" s="237"/>
      <c r="BQ1134" s="237"/>
      <c r="BR1134" s="237"/>
      <c r="BS1134" s="237"/>
      <c r="BT1134" s="237"/>
    </row>
    <row r="1135" spans="1:72" ht="14.25" customHeight="1" x14ac:dyDescent="0.2">
      <c r="A1135" s="136" t="s">
        <v>2037</v>
      </c>
      <c r="B1135" s="4">
        <v>5</v>
      </c>
      <c r="C1135" s="4" t="s">
        <v>6010</v>
      </c>
      <c r="D1135" s="4" t="s">
        <v>6475</v>
      </c>
      <c r="E1135" s="4">
        <v>2489</v>
      </c>
      <c r="F1135" s="8" t="s">
        <v>6476</v>
      </c>
      <c r="G1135" s="4" t="s">
        <v>6477</v>
      </c>
      <c r="H1135" s="4" t="s">
        <v>6040</v>
      </c>
      <c r="I1135" s="4" t="s">
        <v>1664</v>
      </c>
      <c r="J1135" s="4" t="s">
        <v>6046</v>
      </c>
      <c r="K1135" s="4">
        <v>1</v>
      </c>
      <c r="L1135" s="4">
        <v>2892</v>
      </c>
      <c r="M1135" s="6">
        <v>-123.0364472</v>
      </c>
      <c r="N1135" s="9">
        <v>54.997177780000001</v>
      </c>
      <c r="O1135" s="9">
        <v>675</v>
      </c>
      <c r="P1135" s="4" t="s">
        <v>6475</v>
      </c>
      <c r="Q1135" s="70">
        <v>1</v>
      </c>
      <c r="R1135" s="9" t="s">
        <v>6478</v>
      </c>
      <c r="S1135" s="9" t="s">
        <v>6009</v>
      </c>
      <c r="U1135"/>
      <c r="AK1135" s="260"/>
    </row>
    <row r="1136" spans="1:72" ht="14.25" customHeight="1" x14ac:dyDescent="0.2">
      <c r="A1136" s="136" t="s">
        <v>2037</v>
      </c>
      <c r="B1136" s="4">
        <v>5</v>
      </c>
      <c r="C1136" s="4" t="s">
        <v>6010</v>
      </c>
      <c r="D1136" s="4" t="s">
        <v>6502</v>
      </c>
      <c r="E1136" s="4">
        <v>2493</v>
      </c>
      <c r="F1136" s="8" t="s">
        <v>6503</v>
      </c>
      <c r="G1136" s="4" t="s">
        <v>6504</v>
      </c>
      <c r="H1136" s="4" t="s">
        <v>6505</v>
      </c>
      <c r="I1136" s="4" t="s">
        <v>1664</v>
      </c>
      <c r="J1136" s="4" t="s">
        <v>6046</v>
      </c>
      <c r="K1136" s="4">
        <v>1</v>
      </c>
      <c r="L1136" s="4">
        <v>2896</v>
      </c>
      <c r="M1136" s="6">
        <v>-122.3535</v>
      </c>
      <c r="N1136" s="9">
        <v>57.001966670000002</v>
      </c>
      <c r="O1136" s="9">
        <v>1204</v>
      </c>
      <c r="P1136" s="4" t="s">
        <v>6502</v>
      </c>
      <c r="Q1136" s="70">
        <v>8</v>
      </c>
      <c r="R1136" s="9" t="s">
        <v>6506</v>
      </c>
      <c r="S1136" s="9" t="s">
        <v>6009</v>
      </c>
      <c r="U1136"/>
      <c r="AK1136" s="260"/>
    </row>
    <row r="1137" spans="1:72" ht="14.25" customHeight="1" x14ac:dyDescent="0.2">
      <c r="A1137" s="136" t="s">
        <v>2037</v>
      </c>
      <c r="B1137" s="4">
        <v>5</v>
      </c>
      <c r="C1137" s="4" t="s">
        <v>6010</v>
      </c>
      <c r="D1137" s="4" t="s">
        <v>6510</v>
      </c>
      <c r="E1137" s="4">
        <v>2495</v>
      </c>
      <c r="F1137" s="8" t="s">
        <v>6511</v>
      </c>
      <c r="G1137" s="4" t="s">
        <v>6512</v>
      </c>
      <c r="H1137" s="4" t="s">
        <v>6513</v>
      </c>
      <c r="I1137" s="4" t="s">
        <v>1664</v>
      </c>
      <c r="J1137" s="4" t="s">
        <v>6041</v>
      </c>
      <c r="K1137" s="4">
        <v>1</v>
      </c>
      <c r="L1137" s="4">
        <v>2898</v>
      </c>
      <c r="M1137" s="6">
        <v>-126.7483139</v>
      </c>
      <c r="N1137" s="9">
        <v>57.54858333</v>
      </c>
      <c r="O1137" s="9">
        <v>1311</v>
      </c>
      <c r="P1137" s="4" t="s">
        <v>6510</v>
      </c>
      <c r="Q1137" s="70">
        <v>5</v>
      </c>
      <c r="R1137" s="9" t="s">
        <v>6514</v>
      </c>
      <c r="S1137" s="9" t="s">
        <v>6009</v>
      </c>
      <c r="U1137"/>
      <c r="AK1137" s="260"/>
    </row>
    <row r="1138" spans="1:72" ht="14.25" customHeight="1" x14ac:dyDescent="0.2">
      <c r="A1138" s="136" t="s">
        <v>2037</v>
      </c>
      <c r="B1138" s="4">
        <v>5</v>
      </c>
      <c r="C1138" s="4" t="s">
        <v>6010</v>
      </c>
      <c r="D1138" s="4" t="s">
        <v>6515</v>
      </c>
      <c r="E1138" s="4">
        <v>2497</v>
      </c>
      <c r="F1138" s="201" t="s">
        <v>6516</v>
      </c>
      <c r="G1138" s="9" t="s">
        <v>6517</v>
      </c>
      <c r="H1138" s="4" t="s">
        <v>6518</v>
      </c>
      <c r="I1138" s="4" t="s">
        <v>1664</v>
      </c>
      <c r="J1138" s="4" t="s">
        <v>6046</v>
      </c>
      <c r="K1138" s="4">
        <v>1</v>
      </c>
      <c r="L1138" s="4">
        <v>2900</v>
      </c>
      <c r="M1138" s="222">
        <v>-116.92972</v>
      </c>
      <c r="N1138" s="201">
        <v>49.544400000000003</v>
      </c>
      <c r="O1138" s="201">
        <v>545</v>
      </c>
      <c r="P1138" s="201" t="s">
        <v>6515</v>
      </c>
      <c r="Q1138" s="201"/>
      <c r="R1138" s="201" t="s">
        <v>6519</v>
      </c>
      <c r="S1138" s="237"/>
      <c r="T1138" s="237"/>
      <c r="U1138" s="237"/>
      <c r="V1138" s="237"/>
      <c r="W1138" s="237"/>
      <c r="X1138" s="237"/>
      <c r="Y1138" s="237"/>
      <c r="Z1138" s="237"/>
      <c r="AA1138" s="237"/>
      <c r="AB1138" s="237"/>
      <c r="AC1138" s="237"/>
      <c r="AD1138" s="237"/>
      <c r="AE1138" s="237"/>
      <c r="AF1138" s="237"/>
      <c r="AG1138" s="237"/>
      <c r="AH1138" s="237"/>
      <c r="AI1138" s="237"/>
      <c r="AJ1138" s="237"/>
      <c r="AK1138" s="265"/>
      <c r="AL1138" s="237"/>
      <c r="AM1138" s="237"/>
      <c r="AN1138" s="237"/>
      <c r="AO1138" s="237"/>
      <c r="AP1138" s="237"/>
      <c r="AQ1138" s="237"/>
      <c r="AR1138" s="237"/>
      <c r="AS1138" s="237"/>
      <c r="AT1138" s="237"/>
      <c r="AU1138" s="237"/>
      <c r="AV1138" s="237"/>
      <c r="AW1138" s="237"/>
      <c r="AX1138" s="237"/>
      <c r="AY1138" s="237"/>
      <c r="AZ1138" s="237"/>
      <c r="BA1138" s="237"/>
      <c r="BB1138" s="237"/>
      <c r="BC1138" s="237"/>
      <c r="BD1138" s="237"/>
      <c r="BE1138" s="237"/>
      <c r="BF1138" s="237"/>
      <c r="BG1138" s="237"/>
      <c r="BH1138" s="237"/>
      <c r="BI1138" s="237"/>
      <c r="BJ1138" s="237"/>
      <c r="BK1138" s="237"/>
      <c r="BL1138" s="237"/>
      <c r="BM1138" s="237"/>
      <c r="BN1138" s="237"/>
      <c r="BO1138" s="237"/>
      <c r="BP1138" s="237"/>
      <c r="BQ1138" s="237"/>
      <c r="BR1138" s="237"/>
      <c r="BS1138" s="237"/>
      <c r="BT1138" s="237"/>
    </row>
    <row r="1139" spans="1:72" ht="14.25" customHeight="1" x14ac:dyDescent="0.2">
      <c r="A1139" s="136" t="s">
        <v>2037</v>
      </c>
      <c r="B1139" s="4">
        <v>5</v>
      </c>
      <c r="C1139" s="4" t="s">
        <v>6010</v>
      </c>
      <c r="D1139" s="4" t="s">
        <v>6524</v>
      </c>
      <c r="E1139" s="4">
        <v>2499</v>
      </c>
      <c r="F1139" s="8" t="s">
        <v>6525</v>
      </c>
      <c r="G1139" s="4" t="s">
        <v>6526</v>
      </c>
      <c r="H1139" s="4" t="s">
        <v>6527</v>
      </c>
      <c r="I1139" s="4" t="s">
        <v>1664</v>
      </c>
      <c r="J1139" s="4" t="s">
        <v>6187</v>
      </c>
      <c r="K1139" s="4">
        <v>1</v>
      </c>
      <c r="L1139" s="4">
        <v>2902</v>
      </c>
      <c r="M1139" s="223"/>
      <c r="U1139"/>
      <c r="X1139" s="237"/>
      <c r="Y1139" s="237"/>
      <c r="Z1139" s="237"/>
      <c r="AA1139" s="237"/>
      <c r="AB1139" s="237"/>
      <c r="AC1139" s="237"/>
      <c r="AD1139" s="237"/>
      <c r="AE1139" s="237"/>
      <c r="AF1139" s="237"/>
      <c r="AG1139" s="237"/>
      <c r="AH1139" s="237"/>
      <c r="AI1139" s="237"/>
      <c r="AJ1139" s="237"/>
      <c r="AK1139" s="265"/>
      <c r="AL1139" s="237"/>
      <c r="AM1139" s="237"/>
      <c r="AN1139" s="237"/>
      <c r="AO1139" s="95"/>
      <c r="AP1139" s="237"/>
      <c r="AQ1139" s="237"/>
      <c r="AR1139" s="237"/>
      <c r="AS1139" s="237"/>
      <c r="AT1139" s="237"/>
      <c r="AU1139" s="237"/>
      <c r="AV1139" s="237"/>
      <c r="AW1139" s="237"/>
      <c r="AX1139" s="237"/>
      <c r="AY1139" s="237"/>
      <c r="AZ1139" s="237"/>
      <c r="BA1139" s="237"/>
      <c r="BB1139" s="237"/>
      <c r="BC1139" s="237"/>
      <c r="BD1139" s="237"/>
      <c r="BE1139" s="237"/>
      <c r="BF1139" s="237"/>
      <c r="BG1139" s="237"/>
      <c r="BH1139" s="237"/>
      <c r="BI1139" s="237"/>
      <c r="BJ1139" s="237"/>
      <c r="BK1139" s="237"/>
      <c r="BL1139" s="237"/>
      <c r="BM1139" s="237"/>
      <c r="BN1139" s="237"/>
      <c r="BO1139" s="237"/>
      <c r="BP1139" s="237"/>
      <c r="BQ1139" s="237"/>
      <c r="BR1139" s="237"/>
      <c r="BS1139" s="237"/>
      <c r="BT1139" s="237"/>
    </row>
    <row r="1140" spans="1:72" ht="14.25" customHeight="1" x14ac:dyDescent="0.2">
      <c r="A1140" s="136" t="s">
        <v>2037</v>
      </c>
      <c r="B1140" s="4">
        <v>5</v>
      </c>
      <c r="C1140" s="4" t="s">
        <v>6010</v>
      </c>
      <c r="D1140" s="4" t="s">
        <v>6538</v>
      </c>
      <c r="E1140" s="4">
        <v>2500</v>
      </c>
      <c r="F1140" s="201" t="s">
        <v>6539</v>
      </c>
      <c r="G1140" s="188" t="s">
        <v>6540</v>
      </c>
      <c r="H1140" s="4" t="s">
        <v>6541</v>
      </c>
      <c r="I1140" s="4" t="s">
        <v>1664</v>
      </c>
      <c r="J1140" s="4" t="s">
        <v>6187</v>
      </c>
      <c r="K1140" s="4">
        <v>1</v>
      </c>
      <c r="L1140" s="4">
        <v>2903</v>
      </c>
      <c r="M1140" s="6"/>
      <c r="N1140" s="9"/>
      <c r="O1140" s="9"/>
      <c r="R1140" s="9"/>
      <c r="U1140" s="237"/>
      <c r="V1140" s="237"/>
      <c r="W1140" s="237"/>
      <c r="X1140" s="237"/>
      <c r="Y1140" s="237"/>
      <c r="Z1140" s="237"/>
      <c r="AA1140" s="237"/>
      <c r="AB1140" s="237"/>
      <c r="AC1140" s="237"/>
      <c r="AD1140" s="237"/>
      <c r="AE1140" s="237"/>
      <c r="AF1140" s="237"/>
      <c r="AG1140" s="237"/>
      <c r="AH1140" s="237"/>
      <c r="AI1140" s="237"/>
      <c r="AJ1140" s="237"/>
      <c r="AK1140" s="265"/>
      <c r="AL1140" s="237"/>
      <c r="AM1140" s="237"/>
      <c r="AN1140" s="237"/>
      <c r="AO1140" s="237"/>
      <c r="AP1140" s="237"/>
      <c r="AQ1140" s="237"/>
      <c r="AR1140" s="237"/>
      <c r="AS1140" s="237"/>
      <c r="AT1140" s="237"/>
      <c r="AU1140" s="237"/>
      <c r="AV1140" s="237"/>
      <c r="AW1140" s="237"/>
      <c r="AX1140" s="237"/>
      <c r="AY1140" s="237"/>
      <c r="AZ1140" s="237"/>
      <c r="BA1140" s="237"/>
      <c r="BB1140" s="237"/>
      <c r="BC1140" s="237"/>
      <c r="BD1140" s="237"/>
      <c r="BE1140" s="237"/>
      <c r="BF1140" s="237"/>
      <c r="BG1140" s="237"/>
      <c r="BH1140" s="237"/>
      <c r="BI1140" s="237"/>
      <c r="BJ1140" s="237"/>
      <c r="BK1140" s="237"/>
      <c r="BL1140" s="237"/>
      <c r="BM1140" s="237"/>
      <c r="BN1140" s="237"/>
      <c r="BO1140" s="237"/>
      <c r="BP1140" s="237"/>
      <c r="BQ1140" s="237"/>
      <c r="BR1140" s="237"/>
      <c r="BS1140" s="237"/>
      <c r="BT1140" s="237"/>
    </row>
    <row r="1141" spans="1:72" ht="14.25" customHeight="1" x14ac:dyDescent="0.2">
      <c r="A1141" s="136" t="s">
        <v>2037</v>
      </c>
      <c r="B1141" s="4">
        <v>5</v>
      </c>
      <c r="C1141" s="4" t="s">
        <v>6010</v>
      </c>
      <c r="D1141" s="4" t="s">
        <v>6554</v>
      </c>
      <c r="E1141" s="4">
        <v>12349</v>
      </c>
      <c r="F1141" s="201" t="s">
        <v>6555</v>
      </c>
      <c r="G1141" s="188" t="s">
        <v>6556</v>
      </c>
      <c r="H1141" s="4" t="s">
        <v>6032</v>
      </c>
      <c r="I1141" s="4" t="s">
        <v>49</v>
      </c>
      <c r="J1141" s="4" t="s">
        <v>6258</v>
      </c>
      <c r="K1141" s="4">
        <v>1</v>
      </c>
      <c r="L1141" s="4">
        <v>14405</v>
      </c>
      <c r="M1141" s="222">
        <v>120.902</v>
      </c>
      <c r="N1141" s="201">
        <v>56.203000000000003</v>
      </c>
      <c r="O1141" s="201">
        <v>583</v>
      </c>
      <c r="P1141" s="201" t="s">
        <v>6554</v>
      </c>
      <c r="Q1141" s="201"/>
      <c r="R1141" s="201" t="s">
        <v>6555</v>
      </c>
      <c r="U1141"/>
      <c r="W1141" s="237"/>
      <c r="X1141" s="237"/>
      <c r="Y1141" s="237"/>
      <c r="Z1141" s="237"/>
      <c r="AA1141" s="237"/>
      <c r="AB1141" s="237"/>
      <c r="AC1141" s="237"/>
      <c r="AD1141" s="237"/>
      <c r="AE1141" s="237"/>
      <c r="AF1141" s="237"/>
      <c r="AG1141" s="237"/>
      <c r="AH1141" s="237"/>
      <c r="AI1141" s="237"/>
      <c r="AJ1141" s="237"/>
      <c r="AK1141" s="265"/>
      <c r="AL1141" s="237"/>
      <c r="AM1141" s="237"/>
      <c r="AN1141" s="237"/>
      <c r="AO1141" s="237"/>
      <c r="AP1141" s="237"/>
      <c r="AQ1141" s="237"/>
      <c r="AR1141" s="237"/>
      <c r="AS1141" s="237"/>
      <c r="AT1141" s="237"/>
      <c r="AU1141" s="237"/>
      <c r="AV1141" s="237"/>
      <c r="AW1141" s="237"/>
      <c r="AX1141" s="237"/>
      <c r="AY1141" s="237"/>
      <c r="AZ1141" s="237"/>
      <c r="BA1141" s="237"/>
      <c r="BB1141" s="237"/>
      <c r="BC1141" s="237"/>
      <c r="BD1141" s="237"/>
      <c r="BE1141" s="237"/>
      <c r="BF1141" s="237"/>
      <c r="BG1141" s="237"/>
      <c r="BH1141" s="237"/>
      <c r="BI1141" s="237"/>
      <c r="BJ1141" s="237"/>
      <c r="BK1141" s="237"/>
      <c r="BL1141" s="237"/>
      <c r="BM1141" s="237"/>
      <c r="BN1141" s="237"/>
      <c r="BO1141" s="237"/>
      <c r="BP1141" s="237"/>
      <c r="BQ1141" s="237"/>
      <c r="BR1141" s="237"/>
      <c r="BS1141" s="237"/>
      <c r="BT1141" s="237"/>
    </row>
    <row r="1142" spans="1:72" ht="14.25" customHeight="1" x14ac:dyDescent="0.2">
      <c r="A1142" s="136" t="s">
        <v>2037</v>
      </c>
      <c r="B1142" s="4">
        <v>5</v>
      </c>
      <c r="C1142" s="4" t="s">
        <v>6010</v>
      </c>
      <c r="D1142" s="4" t="s">
        <v>6561</v>
      </c>
      <c r="E1142" s="4">
        <v>2505</v>
      </c>
      <c r="F1142" s="8" t="s">
        <v>6562</v>
      </c>
      <c r="G1142" s="188" t="s">
        <v>6563</v>
      </c>
      <c r="H1142" s="4" t="s">
        <v>6564</v>
      </c>
      <c r="I1142" s="4" t="s">
        <v>1664</v>
      </c>
      <c r="J1142" s="4" t="s">
        <v>6046</v>
      </c>
      <c r="K1142" s="4">
        <v>1</v>
      </c>
      <c r="L1142" s="4">
        <v>2908</v>
      </c>
      <c r="M1142" s="222">
        <v>122.32940000000001</v>
      </c>
      <c r="N1142" s="201">
        <v>49.556100000000001</v>
      </c>
      <c r="O1142" s="201">
        <v>330</v>
      </c>
      <c r="P1142" s="201" t="s">
        <v>6561</v>
      </c>
      <c r="Q1142" s="201"/>
      <c r="R1142" s="201" t="s">
        <v>6565</v>
      </c>
      <c r="S1142" s="237"/>
      <c r="T1142" s="237"/>
      <c r="U1142" s="237"/>
      <c r="V1142" s="237"/>
      <c r="W1142" s="237"/>
      <c r="X1142" s="237"/>
      <c r="Y1142" s="237"/>
      <c r="Z1142" s="237"/>
      <c r="AA1142" s="237"/>
      <c r="AB1142" s="237"/>
      <c r="AC1142" s="237"/>
      <c r="AD1142" s="237"/>
      <c r="AE1142" s="237"/>
      <c r="AF1142" s="237"/>
      <c r="AG1142" s="237"/>
      <c r="AH1142" s="237"/>
      <c r="AI1142" s="237"/>
      <c r="AJ1142" s="237"/>
      <c r="AK1142" s="265"/>
      <c r="AL1142" s="237"/>
      <c r="AM1142" s="237"/>
      <c r="AN1142" s="237"/>
      <c r="AO1142" s="237"/>
      <c r="AP1142" s="237"/>
      <c r="AQ1142" s="237"/>
      <c r="AR1142" s="237"/>
      <c r="AS1142" s="237"/>
      <c r="AT1142" s="237"/>
      <c r="AU1142" s="237"/>
      <c r="AV1142" s="237"/>
      <c r="AW1142" s="237"/>
      <c r="AX1142" s="237"/>
      <c r="AY1142" s="237"/>
      <c r="AZ1142" s="237"/>
      <c r="BA1142" s="237"/>
      <c r="BB1142" s="237"/>
      <c r="BC1142" s="237"/>
      <c r="BD1142" s="237"/>
      <c r="BE1142" s="237"/>
      <c r="BF1142" s="237"/>
      <c r="BG1142" s="237"/>
      <c r="BH1142" s="237"/>
      <c r="BI1142" s="237"/>
      <c r="BJ1142" s="237"/>
      <c r="BK1142" s="237"/>
      <c r="BL1142" s="237"/>
      <c r="BM1142" s="237"/>
      <c r="BN1142" s="237"/>
      <c r="BO1142" s="237"/>
      <c r="BP1142" s="237"/>
      <c r="BQ1142" s="237"/>
      <c r="BR1142" s="237"/>
      <c r="BS1142" s="237"/>
      <c r="BT1142" s="237"/>
    </row>
    <row r="1143" spans="1:72" ht="14.25" customHeight="1" x14ac:dyDescent="0.2">
      <c r="A1143" s="136" t="s">
        <v>2037</v>
      </c>
      <c r="B1143" s="4">
        <v>5</v>
      </c>
      <c r="C1143" s="4" t="s">
        <v>6010</v>
      </c>
      <c r="D1143" s="4" t="s">
        <v>6577</v>
      </c>
      <c r="E1143" s="4">
        <v>2502</v>
      </c>
      <c r="F1143" s="8" t="s">
        <v>6578</v>
      </c>
      <c r="G1143" s="188" t="s">
        <v>6579</v>
      </c>
      <c r="H1143" s="4" t="s">
        <v>6580</v>
      </c>
      <c r="I1143" s="4" t="s">
        <v>1664</v>
      </c>
      <c r="J1143" s="4" t="s">
        <v>6046</v>
      </c>
      <c r="K1143" s="4">
        <v>1</v>
      </c>
      <c r="L1143" s="4">
        <v>2905</v>
      </c>
      <c r="M1143" s="229">
        <v>-188.53</v>
      </c>
      <c r="N1143" s="204">
        <v>50.35</v>
      </c>
      <c r="O1143" s="204">
        <v>675</v>
      </c>
      <c r="P1143" s="204" t="s">
        <v>6577</v>
      </c>
      <c r="Q1143" s="204"/>
      <c r="R1143" s="204" t="s">
        <v>6581</v>
      </c>
      <c r="S1143" s="237"/>
      <c r="T1143" s="237"/>
      <c r="U1143" s="237"/>
      <c r="V1143" s="237"/>
      <c r="W1143" s="237"/>
      <c r="X1143" s="237"/>
      <c r="Y1143" s="237"/>
      <c r="Z1143" s="237"/>
      <c r="AA1143" s="237"/>
      <c r="AB1143" s="237"/>
      <c r="AC1143" s="237"/>
      <c r="AD1143" s="237"/>
      <c r="AE1143" s="237"/>
      <c r="AF1143" s="237"/>
      <c r="AG1143" s="237"/>
      <c r="AH1143" s="237"/>
      <c r="AI1143" s="237"/>
      <c r="AJ1143" s="237"/>
      <c r="AK1143" s="265"/>
      <c r="AL1143" s="237"/>
      <c r="AM1143" s="237"/>
      <c r="AN1143" s="237"/>
      <c r="AO1143" s="237"/>
      <c r="AP1143" s="237"/>
      <c r="AQ1143" s="237"/>
      <c r="AR1143" s="237"/>
      <c r="AS1143" s="237"/>
      <c r="AT1143" s="237"/>
      <c r="AU1143" s="237"/>
      <c r="AV1143" s="237"/>
      <c r="AW1143" s="237"/>
      <c r="AX1143" s="237"/>
      <c r="AY1143" s="237"/>
      <c r="AZ1143" s="237"/>
      <c r="BA1143" s="237"/>
      <c r="BB1143" s="237"/>
      <c r="BC1143" s="237"/>
      <c r="BD1143" s="237"/>
      <c r="BE1143" s="237"/>
      <c r="BF1143" s="237"/>
      <c r="BG1143" s="237"/>
      <c r="BH1143" s="237"/>
      <c r="BI1143" s="237"/>
      <c r="BJ1143" s="237"/>
      <c r="BK1143" s="237"/>
      <c r="BL1143" s="237"/>
      <c r="BM1143" s="237"/>
      <c r="BN1143" s="237"/>
      <c r="BO1143" s="237"/>
      <c r="BP1143" s="237"/>
      <c r="BQ1143" s="237"/>
      <c r="BR1143" s="237"/>
      <c r="BS1143" s="237"/>
      <c r="BT1143" s="237"/>
    </row>
    <row r="1144" spans="1:72" ht="14.25" customHeight="1" x14ac:dyDescent="0.2">
      <c r="A1144" s="136" t="s">
        <v>2037</v>
      </c>
      <c r="B1144" s="4">
        <v>5</v>
      </c>
      <c r="C1144" s="4" t="s">
        <v>6010</v>
      </c>
      <c r="D1144" s="4" t="s">
        <v>6603</v>
      </c>
      <c r="E1144" s="4">
        <v>2507</v>
      </c>
      <c r="F1144" s="201" t="s">
        <v>6604</v>
      </c>
      <c r="G1144" s="217" t="s">
        <v>6605</v>
      </c>
      <c r="H1144" s="4" t="s">
        <v>6040</v>
      </c>
      <c r="I1144" s="4" t="s">
        <v>1664</v>
      </c>
      <c r="J1144" s="4" t="s">
        <v>6046</v>
      </c>
      <c r="K1144" s="4">
        <v>1</v>
      </c>
      <c r="L1144" s="4">
        <v>2910</v>
      </c>
      <c r="M1144" s="6">
        <v>-121.6186111</v>
      </c>
      <c r="N1144" s="9">
        <v>49.231944439999999</v>
      </c>
      <c r="O1144" s="9">
        <v>641</v>
      </c>
      <c r="P1144" s="4" t="s">
        <v>6603</v>
      </c>
      <c r="Q1144" s="70">
        <v>4</v>
      </c>
      <c r="R1144" s="9" t="s">
        <v>6606</v>
      </c>
      <c r="S1144" s="9" t="s">
        <v>6009</v>
      </c>
      <c r="U1144"/>
      <c r="AK1144" s="260"/>
    </row>
    <row r="1145" spans="1:72" ht="14.25" customHeight="1" x14ac:dyDescent="0.2">
      <c r="A1145" s="136" t="s">
        <v>2037</v>
      </c>
      <c r="B1145" s="4">
        <v>5</v>
      </c>
      <c r="C1145" s="4" t="s">
        <v>6010</v>
      </c>
      <c r="D1145" s="4" t="s">
        <v>6622</v>
      </c>
      <c r="E1145" s="4">
        <v>2510</v>
      </c>
      <c r="F1145" s="201" t="s">
        <v>6623</v>
      </c>
      <c r="G1145" s="4" t="s">
        <v>6624</v>
      </c>
      <c r="H1145" s="4" t="s">
        <v>6625</v>
      </c>
      <c r="I1145" s="4" t="s">
        <v>1664</v>
      </c>
      <c r="J1145" s="4" t="s">
        <v>6046</v>
      </c>
      <c r="K1145" s="4">
        <v>1</v>
      </c>
      <c r="L1145" s="4">
        <v>2913</v>
      </c>
      <c r="M1145" s="230">
        <v>122.715833</v>
      </c>
      <c r="N1145" s="237">
        <v>56.106099999999998</v>
      </c>
      <c r="O1145" s="237">
        <v>676</v>
      </c>
      <c r="P1145" s="237" t="s">
        <v>6622</v>
      </c>
      <c r="Q1145" s="237"/>
      <c r="R1145" s="237" t="s">
        <v>6626</v>
      </c>
      <c r="S1145" s="237"/>
      <c r="T1145" s="237"/>
      <c r="U1145" s="237"/>
      <c r="V1145" s="237"/>
      <c r="W1145" s="237"/>
      <c r="X1145" s="237"/>
      <c r="Y1145" s="237"/>
      <c r="Z1145" s="237"/>
      <c r="AA1145" s="237"/>
      <c r="AB1145" s="237"/>
      <c r="AC1145" s="237"/>
      <c r="AD1145" s="237"/>
      <c r="AE1145" s="237"/>
      <c r="AF1145" s="237"/>
      <c r="AG1145" s="237"/>
      <c r="AH1145" s="237"/>
      <c r="AI1145" s="237"/>
      <c r="AJ1145" s="237"/>
      <c r="AK1145" s="265"/>
      <c r="AL1145" s="237"/>
      <c r="AM1145" s="237"/>
      <c r="AN1145" s="237"/>
      <c r="AO1145" s="237"/>
      <c r="AP1145" s="237"/>
      <c r="AQ1145" s="237"/>
      <c r="AR1145" s="237"/>
      <c r="AS1145" s="237"/>
      <c r="AT1145" s="237"/>
      <c r="AU1145" s="237"/>
      <c r="AV1145" s="237"/>
      <c r="AW1145" s="237"/>
      <c r="AX1145" s="237"/>
      <c r="AY1145" s="237"/>
      <c r="AZ1145" s="237"/>
      <c r="BA1145" s="237"/>
      <c r="BB1145" s="237"/>
      <c r="BC1145" s="237"/>
      <c r="BD1145" s="237"/>
      <c r="BE1145" s="237"/>
      <c r="BF1145" s="237"/>
      <c r="BG1145" s="237"/>
      <c r="BH1145" s="237"/>
      <c r="BI1145" s="237"/>
      <c r="BJ1145" s="237"/>
      <c r="BK1145" s="237"/>
      <c r="BL1145" s="237"/>
      <c r="BM1145" s="237"/>
      <c r="BN1145" s="237"/>
      <c r="BO1145" s="237"/>
      <c r="BP1145" s="237"/>
      <c r="BQ1145" s="237"/>
      <c r="BR1145" s="237"/>
      <c r="BS1145" s="237"/>
      <c r="BT1145" s="237"/>
    </row>
    <row r="1146" spans="1:72" ht="14.25" customHeight="1" x14ac:dyDescent="0.2">
      <c r="A1146" s="136" t="s">
        <v>2037</v>
      </c>
      <c r="B1146" s="138">
        <v>11</v>
      </c>
      <c r="C1146" s="137" t="s">
        <v>7179</v>
      </c>
      <c r="D1146" s="137" t="s">
        <v>7270</v>
      </c>
      <c r="E1146" s="136">
        <v>12438</v>
      </c>
      <c r="F1146" s="142" t="s">
        <v>7271</v>
      </c>
      <c r="G1146" s="181" t="s">
        <v>7272</v>
      </c>
      <c r="H1146" s="136" t="s">
        <v>7273</v>
      </c>
      <c r="I1146" s="136" t="s">
        <v>49</v>
      </c>
      <c r="J1146" s="136" t="s">
        <v>7257</v>
      </c>
      <c r="K1146" s="136">
        <v>1</v>
      </c>
      <c r="L1146" s="136">
        <v>14460</v>
      </c>
      <c r="M1146" s="143">
        <v>53.902110999999998</v>
      </c>
      <c r="N1146" s="138">
        <v>-122.015389</v>
      </c>
      <c r="O1146" s="138" t="s">
        <v>1290</v>
      </c>
      <c r="P1146" s="138" t="s">
        <v>7270</v>
      </c>
      <c r="Q1146" s="139">
        <v>1</v>
      </c>
      <c r="R1146" s="138" t="s">
        <v>7270</v>
      </c>
      <c r="S1146" s="140" t="str">
        <f>UPPER(R1146)</f>
        <v>BOWRONPIT</v>
      </c>
      <c r="T1146" s="138" t="s">
        <v>4344</v>
      </c>
      <c r="U1146" s="138">
        <v>722</v>
      </c>
      <c r="V1146" s="138"/>
      <c r="W1146" s="138" t="s">
        <v>7274</v>
      </c>
      <c r="X1146" s="141" t="s">
        <v>7275</v>
      </c>
      <c r="Y1146" s="138" t="s">
        <v>7252</v>
      </c>
      <c r="AK1146" s="260"/>
    </row>
    <row r="1147" spans="1:72" ht="14.25" customHeight="1" x14ac:dyDescent="0.2">
      <c r="A1147" s="4" t="s">
        <v>6220</v>
      </c>
      <c r="B1147" s="4">
        <v>5</v>
      </c>
      <c r="C1147" s="4" t="s">
        <v>6010</v>
      </c>
      <c r="D1147" s="204" t="s">
        <v>6221</v>
      </c>
      <c r="E1147" s="4">
        <v>2452</v>
      </c>
      <c r="F1147" s="8" t="s">
        <v>6222</v>
      </c>
      <c r="G1147" s="188" t="s">
        <v>6223</v>
      </c>
      <c r="H1147" s="4" t="s">
        <v>6224</v>
      </c>
      <c r="I1147" s="4" t="s">
        <v>1664</v>
      </c>
      <c r="J1147" s="4" t="s">
        <v>6046</v>
      </c>
      <c r="K1147" s="4">
        <v>1</v>
      </c>
      <c r="L1147" s="4">
        <v>2855</v>
      </c>
      <c r="M1147" s="6">
        <v>-117.04842222222221</v>
      </c>
      <c r="N1147" s="9">
        <v>50.638172222222224</v>
      </c>
      <c r="O1147" s="9">
        <v>590</v>
      </c>
      <c r="P1147" s="241" t="s">
        <v>6225</v>
      </c>
      <c r="Q1147" s="70">
        <v>1</v>
      </c>
      <c r="R1147" s="9" t="s">
        <v>6226</v>
      </c>
      <c r="S1147" s="9" t="s">
        <v>6009</v>
      </c>
      <c r="U1147"/>
      <c r="AK1147" s="260"/>
    </row>
    <row r="1148" spans="1:72" ht="14.25" customHeight="1" x14ac:dyDescent="0.2">
      <c r="A1148" s="136" t="s">
        <v>1908</v>
      </c>
      <c r="B1148" s="4">
        <v>12</v>
      </c>
      <c r="C1148" s="4" t="s">
        <v>1711</v>
      </c>
      <c r="D1148" s="4">
        <v>74</v>
      </c>
      <c r="E1148" s="4">
        <v>1658</v>
      </c>
      <c r="F1148" s="188" t="s">
        <v>1909</v>
      </c>
      <c r="G1148" s="201" t="s">
        <v>1910</v>
      </c>
      <c r="H1148" s="4" t="s">
        <v>1911</v>
      </c>
      <c r="I1148" s="4" t="s">
        <v>641</v>
      </c>
      <c r="J1148" s="4" t="s">
        <v>1715</v>
      </c>
      <c r="K1148" s="4">
        <v>1</v>
      </c>
      <c r="L1148" s="4">
        <v>2061</v>
      </c>
      <c r="M1148" s="221"/>
      <c r="N1148" s="11"/>
      <c r="O1148" s="11"/>
      <c r="P1148" s="11"/>
      <c r="Q1148" s="12"/>
      <c r="R1148" s="11"/>
      <c r="S1148" s="11"/>
      <c r="T1148" s="11"/>
      <c r="U1148" s="11"/>
      <c r="V1148" s="11"/>
      <c r="W1148" s="51"/>
      <c r="X1148" s="11"/>
      <c r="AK1148" s="260"/>
      <c r="AO1148" s="4" t="s">
        <v>1912</v>
      </c>
      <c r="AP1148" s="4">
        <v>74</v>
      </c>
      <c r="AQ1148" s="4" t="s">
        <v>1716</v>
      </c>
      <c r="AR1148" s="4" t="s">
        <v>1717</v>
      </c>
      <c r="AS1148" s="4" t="s">
        <v>1718</v>
      </c>
      <c r="AT1148" s="4" t="s">
        <v>1835</v>
      </c>
      <c r="AU1148" s="4" t="s">
        <v>1836</v>
      </c>
      <c r="AV1148" s="4" t="s">
        <v>1720</v>
      </c>
      <c r="AW1148" s="4" t="s">
        <v>1705</v>
      </c>
      <c r="AX1148" s="4" t="s">
        <v>1883</v>
      </c>
      <c r="AY1148" s="4">
        <v>49.095300000000002</v>
      </c>
      <c r="AZ1148" s="4">
        <v>-121.6628</v>
      </c>
      <c r="BA1148" s="4">
        <v>320</v>
      </c>
    </row>
    <row r="1149" spans="1:72" ht="14.25" customHeight="1" x14ac:dyDescent="0.2">
      <c r="A1149" s="136" t="s">
        <v>1908</v>
      </c>
      <c r="B1149" s="4">
        <v>12</v>
      </c>
      <c r="C1149" s="4" t="s">
        <v>1711</v>
      </c>
      <c r="D1149" s="4">
        <v>101</v>
      </c>
      <c r="E1149" s="4">
        <v>1675</v>
      </c>
      <c r="F1149" s="8" t="s">
        <v>1966</v>
      </c>
      <c r="G1149" s="201" t="s">
        <v>7863</v>
      </c>
      <c r="H1149" s="4" t="s">
        <v>1968</v>
      </c>
      <c r="I1149" s="4" t="s">
        <v>641</v>
      </c>
      <c r="J1149" s="4" t="s">
        <v>1736</v>
      </c>
      <c r="K1149" s="4">
        <v>1</v>
      </c>
      <c r="L1149" s="4">
        <v>2078</v>
      </c>
      <c r="M1149" s="6">
        <v>51.593119999999999</v>
      </c>
      <c r="N1149" s="9">
        <v>-126.45077000000001</v>
      </c>
      <c r="O1149" s="9" t="s">
        <v>51</v>
      </c>
      <c r="P1149" s="9">
        <v>101</v>
      </c>
      <c r="Q1149" s="20">
        <v>3</v>
      </c>
      <c r="R1149" s="9" t="s">
        <v>1969</v>
      </c>
      <c r="S1149" s="9" t="s">
        <v>1737</v>
      </c>
      <c r="T1149" s="9">
        <v>332</v>
      </c>
      <c r="U1149" s="9"/>
      <c r="V1149" s="9"/>
      <c r="W1149" s="21">
        <v>32874</v>
      </c>
      <c r="X1149" s="9" t="s">
        <v>1738</v>
      </c>
      <c r="AK1149" s="260"/>
      <c r="AO1149" s="4" t="s">
        <v>1969</v>
      </c>
      <c r="AP1149" s="4">
        <v>101</v>
      </c>
      <c r="AQ1149" s="4" t="s">
        <v>1716</v>
      </c>
      <c r="AR1149" s="4" t="s">
        <v>1739</v>
      </c>
      <c r="AS1149" s="4" t="s">
        <v>1740</v>
      </c>
      <c r="AT1149" s="4" t="s">
        <v>1741</v>
      </c>
      <c r="AU1149" s="4" t="s">
        <v>1742</v>
      </c>
      <c r="AV1149" s="4" t="s">
        <v>1720</v>
      </c>
      <c r="AW1149" s="4" t="s">
        <v>1705</v>
      </c>
      <c r="AX1149" s="4" t="s">
        <v>1965</v>
      </c>
      <c r="AY1149" s="4">
        <v>51.5931</v>
      </c>
      <c r="AZ1149" s="4">
        <v>-126.4508</v>
      </c>
      <c r="BA1149" s="4">
        <v>344</v>
      </c>
    </row>
    <row r="1150" spans="1:72" ht="14.25" customHeight="1" x14ac:dyDescent="0.2">
      <c r="A1150" s="136" t="s">
        <v>1908</v>
      </c>
      <c r="B1150" s="4">
        <v>12</v>
      </c>
      <c r="C1150" s="4" t="s">
        <v>1711</v>
      </c>
      <c r="D1150" s="4">
        <v>113</v>
      </c>
      <c r="E1150" s="4">
        <v>1683</v>
      </c>
      <c r="F1150" s="201" t="s">
        <v>1996</v>
      </c>
      <c r="G1150" s="8" t="s">
        <v>1997</v>
      </c>
      <c r="H1150" s="4" t="s">
        <v>1998</v>
      </c>
      <c r="I1150" s="4" t="s">
        <v>641</v>
      </c>
      <c r="J1150" s="4" t="s">
        <v>1736</v>
      </c>
      <c r="K1150" s="4">
        <v>1</v>
      </c>
      <c r="L1150" s="4">
        <v>2086</v>
      </c>
      <c r="M1150" s="6">
        <v>56.980899999999998</v>
      </c>
      <c r="N1150" s="9">
        <v>-130.2508</v>
      </c>
      <c r="O1150" s="9" t="s">
        <v>1290</v>
      </c>
      <c r="P1150" s="9">
        <v>113</v>
      </c>
      <c r="Q1150" s="20">
        <v>1</v>
      </c>
      <c r="R1150" s="9" t="s">
        <v>1999</v>
      </c>
      <c r="S1150" s="9" t="s">
        <v>1737</v>
      </c>
      <c r="T1150" s="9">
        <v>609</v>
      </c>
      <c r="U1150" s="9" t="s">
        <v>645</v>
      </c>
      <c r="V1150" s="9" t="s">
        <v>1830</v>
      </c>
      <c r="W1150" s="21">
        <v>30682</v>
      </c>
      <c r="X1150" s="9" t="s">
        <v>1738</v>
      </c>
      <c r="AK1150" s="260"/>
      <c r="AO1150" s="249" t="s">
        <v>1999</v>
      </c>
      <c r="AP1150" s="249">
        <v>113</v>
      </c>
      <c r="AQ1150" s="249" t="s">
        <v>1716</v>
      </c>
      <c r="AR1150" s="249" t="s">
        <v>1739</v>
      </c>
      <c r="AS1150" s="249" t="s">
        <v>1740</v>
      </c>
      <c r="AT1150" s="249" t="s">
        <v>1741</v>
      </c>
      <c r="AU1150" s="249" t="s">
        <v>1742</v>
      </c>
      <c r="AV1150" s="249" t="s">
        <v>1720</v>
      </c>
      <c r="AW1150" s="249" t="s">
        <v>1947</v>
      </c>
      <c r="AX1150" s="249" t="s">
        <v>1986</v>
      </c>
      <c r="AY1150" s="249">
        <v>56.980899999999998</v>
      </c>
      <c r="AZ1150" s="249">
        <v>-130.251</v>
      </c>
      <c r="BA1150" s="249">
        <v>605</v>
      </c>
    </row>
    <row r="1151" spans="1:72" ht="14.25" customHeight="1" x14ac:dyDescent="0.2">
      <c r="A1151" s="136" t="s">
        <v>1908</v>
      </c>
      <c r="B1151" s="4">
        <v>12</v>
      </c>
      <c r="C1151" s="4" t="s">
        <v>1711</v>
      </c>
      <c r="D1151" s="4">
        <v>145</v>
      </c>
      <c r="E1151" s="4">
        <v>1710</v>
      </c>
      <c r="F1151" s="8" t="s">
        <v>2092</v>
      </c>
      <c r="G1151" s="201" t="s">
        <v>2093</v>
      </c>
      <c r="H1151" s="4" t="s">
        <v>2094</v>
      </c>
      <c r="I1151" s="4" t="s">
        <v>641</v>
      </c>
      <c r="J1151" s="4" t="s">
        <v>1736</v>
      </c>
      <c r="K1151" s="4">
        <v>1</v>
      </c>
      <c r="L1151" s="4">
        <v>2113</v>
      </c>
      <c r="M1151" s="193">
        <v>57.019419999999997</v>
      </c>
      <c r="N1151" s="4">
        <v>-125.18039</v>
      </c>
      <c r="O1151" s="4" t="s">
        <v>1577</v>
      </c>
      <c r="P1151" s="4">
        <v>145</v>
      </c>
      <c r="Q1151" s="4">
        <v>4</v>
      </c>
      <c r="R1151" s="4" t="s">
        <v>2095</v>
      </c>
      <c r="S1151" s="4" t="s">
        <v>1737</v>
      </c>
      <c r="T1151" s="4">
        <v>1213</v>
      </c>
      <c r="U1151" s="4" t="s">
        <v>645</v>
      </c>
      <c r="W1151" s="4">
        <v>31413</v>
      </c>
      <c r="X1151" s="4" t="s">
        <v>1738</v>
      </c>
      <c r="AK1151" s="260"/>
      <c r="AO1151" s="4" t="s">
        <v>2095</v>
      </c>
      <c r="AP1151" s="4">
        <v>145</v>
      </c>
      <c r="AQ1151" s="4" t="s">
        <v>1716</v>
      </c>
      <c r="AR1151" s="4" t="s">
        <v>1739</v>
      </c>
      <c r="AS1151" s="4" t="s">
        <v>1740</v>
      </c>
      <c r="AT1151" s="4" t="s">
        <v>1835</v>
      </c>
      <c r="AU1151" s="4" t="s">
        <v>1742</v>
      </c>
      <c r="AV1151" s="4" t="s">
        <v>1720</v>
      </c>
      <c r="AW1151" s="4" t="s">
        <v>2003</v>
      </c>
      <c r="AX1151" s="4" t="s">
        <v>2087</v>
      </c>
      <c r="AY1151" s="4">
        <v>57.019399999999997</v>
      </c>
      <c r="AZ1151" s="4">
        <v>-125.18040000000001</v>
      </c>
      <c r="BA1151" s="4">
        <v>680</v>
      </c>
    </row>
    <row r="1152" spans="1:72" ht="14.25" customHeight="1" x14ac:dyDescent="0.2">
      <c r="A1152" s="136" t="s">
        <v>1908</v>
      </c>
      <c r="B1152" s="9">
        <v>12</v>
      </c>
      <c r="C1152" s="4" t="s">
        <v>1711</v>
      </c>
      <c r="D1152" s="4">
        <v>158</v>
      </c>
      <c r="E1152" s="4">
        <v>1722</v>
      </c>
      <c r="F1152" s="8" t="s">
        <v>2134</v>
      </c>
      <c r="G1152" s="201" t="s">
        <v>2135</v>
      </c>
      <c r="H1152" s="4" t="s">
        <v>2136</v>
      </c>
      <c r="I1152" s="4" t="s">
        <v>641</v>
      </c>
      <c r="J1152" s="4" t="s">
        <v>1736</v>
      </c>
      <c r="K1152" s="4">
        <v>1</v>
      </c>
      <c r="L1152" s="4">
        <v>2125</v>
      </c>
      <c r="M1152" s="6">
        <v>54.055810000000001</v>
      </c>
      <c r="N1152" s="9">
        <v>-124.00886</v>
      </c>
      <c r="O1152" s="9" t="s">
        <v>1290</v>
      </c>
      <c r="P1152" s="9">
        <v>158</v>
      </c>
      <c r="Q1152" s="20">
        <v>1</v>
      </c>
      <c r="R1152" s="9" t="s">
        <v>2137</v>
      </c>
      <c r="S1152" s="9" t="s">
        <v>1737</v>
      </c>
      <c r="T1152" s="9">
        <v>678</v>
      </c>
      <c r="U1152" s="9"/>
      <c r="V1152" s="9" t="s">
        <v>2138</v>
      </c>
      <c r="W1152" s="21">
        <v>25569</v>
      </c>
      <c r="X1152" s="9" t="s">
        <v>1738</v>
      </c>
      <c r="Y1152" s="9"/>
      <c r="AK1152" s="260"/>
      <c r="AO1152" s="237" t="s">
        <v>2137</v>
      </c>
      <c r="AP1152" s="4">
        <v>158</v>
      </c>
      <c r="AQ1152" s="4" t="s">
        <v>1700</v>
      </c>
      <c r="AR1152" s="4" t="s">
        <v>1739</v>
      </c>
      <c r="AS1152" s="4" t="s">
        <v>1740</v>
      </c>
      <c r="AT1152" s="4" t="s">
        <v>1741</v>
      </c>
      <c r="AU1152" s="4" t="s">
        <v>2043</v>
      </c>
      <c r="AV1152" s="4" t="s">
        <v>1720</v>
      </c>
      <c r="AW1152" s="4" t="s">
        <v>2003</v>
      </c>
      <c r="AX1152" s="4" t="s">
        <v>2139</v>
      </c>
      <c r="AY1152" s="4">
        <v>54.055399999999999</v>
      </c>
      <c r="AZ1152" s="4">
        <v>-124.0102</v>
      </c>
      <c r="BA1152" s="4">
        <v>681</v>
      </c>
    </row>
    <row r="1153" spans="1:53" ht="14.25" customHeight="1" x14ac:dyDescent="0.2">
      <c r="A1153" s="136" t="s">
        <v>1908</v>
      </c>
      <c r="B1153" s="9">
        <v>12</v>
      </c>
      <c r="C1153" s="4" t="s">
        <v>1711</v>
      </c>
      <c r="D1153" s="4">
        <v>161</v>
      </c>
      <c r="E1153" s="4">
        <v>1724</v>
      </c>
      <c r="F1153" s="201" t="s">
        <v>2143</v>
      </c>
      <c r="G1153" s="68" t="s">
        <v>2144</v>
      </c>
      <c r="H1153" s="4" t="s">
        <v>2145</v>
      </c>
      <c r="I1153" s="4" t="s">
        <v>641</v>
      </c>
      <c r="J1153" s="4" t="s">
        <v>1865</v>
      </c>
      <c r="K1153" s="4">
        <v>1</v>
      </c>
      <c r="L1153" s="4">
        <v>2127</v>
      </c>
      <c r="M1153" s="6">
        <v>53.946669999999997</v>
      </c>
      <c r="N1153" s="9">
        <v>-125.86667</v>
      </c>
      <c r="O1153" s="9" t="s">
        <v>148</v>
      </c>
      <c r="P1153" s="9">
        <v>161</v>
      </c>
      <c r="Q1153" s="20">
        <v>2</v>
      </c>
      <c r="R1153" s="9" t="s">
        <v>2146</v>
      </c>
      <c r="S1153" s="9" t="s">
        <v>1737</v>
      </c>
      <c r="T1153" s="9">
        <v>944</v>
      </c>
      <c r="U1153" s="9" t="s">
        <v>645</v>
      </c>
      <c r="V1153" s="9" t="s">
        <v>2147</v>
      </c>
      <c r="W1153" s="21">
        <v>25569</v>
      </c>
      <c r="X1153" s="9" t="s">
        <v>1738</v>
      </c>
      <c r="Y1153" s="9"/>
      <c r="AK1153" s="260"/>
      <c r="AO1153" s="237" t="s">
        <v>2146</v>
      </c>
      <c r="AP1153" s="4">
        <v>161</v>
      </c>
      <c r="AQ1153" s="4" t="s">
        <v>1716</v>
      </c>
      <c r="AR1153" s="4" t="s">
        <v>1739</v>
      </c>
      <c r="AS1153" s="4" t="s">
        <v>1740</v>
      </c>
      <c r="AT1153" s="4" t="s">
        <v>1741</v>
      </c>
      <c r="AU1153" s="4" t="s">
        <v>1959</v>
      </c>
      <c r="AV1153" s="4" t="s">
        <v>1720</v>
      </c>
      <c r="AW1153" s="4" t="s">
        <v>1947</v>
      </c>
      <c r="AX1153" s="4" t="s">
        <v>2148</v>
      </c>
      <c r="AY1153" s="4">
        <v>53.945399999999999</v>
      </c>
      <c r="AZ1153" s="4">
        <v>-125.87609999999999</v>
      </c>
      <c r="BA1153" s="4">
        <v>938</v>
      </c>
    </row>
    <row r="1154" spans="1:53" ht="14.25" customHeight="1" x14ac:dyDescent="0.2">
      <c r="A1154" s="136" t="s">
        <v>1908</v>
      </c>
      <c r="B1154" s="9">
        <v>12</v>
      </c>
      <c r="C1154" s="4" t="s">
        <v>1711</v>
      </c>
      <c r="D1154" s="4">
        <v>183</v>
      </c>
      <c r="E1154" s="4">
        <v>1746</v>
      </c>
      <c r="F1154" s="8" t="s">
        <v>2220</v>
      </c>
      <c r="G1154" s="201" t="s">
        <v>2221</v>
      </c>
      <c r="H1154" s="4" t="s">
        <v>2222</v>
      </c>
      <c r="I1154" s="4" t="s">
        <v>641</v>
      </c>
      <c r="J1154" s="4" t="s">
        <v>1736</v>
      </c>
      <c r="K1154" s="4">
        <v>1</v>
      </c>
      <c r="L1154" s="4">
        <v>2149</v>
      </c>
      <c r="M1154" s="6">
        <v>54.01867</v>
      </c>
      <c r="N1154" s="9">
        <v>-126.38889</v>
      </c>
      <c r="O1154" s="9" t="s">
        <v>148</v>
      </c>
      <c r="P1154" s="9">
        <v>183</v>
      </c>
      <c r="Q1154" s="20">
        <v>6</v>
      </c>
      <c r="R1154" s="9" t="s">
        <v>2223</v>
      </c>
      <c r="S1154" s="9" t="s">
        <v>1737</v>
      </c>
      <c r="T1154" s="9">
        <v>1259</v>
      </c>
      <c r="U1154" s="9"/>
      <c r="V1154" s="9"/>
      <c r="W1154" s="21">
        <v>34700</v>
      </c>
      <c r="X1154" s="4" t="s">
        <v>1738</v>
      </c>
      <c r="Y1154" s="9"/>
      <c r="AK1154" s="260"/>
      <c r="AO1154" s="4" t="s">
        <v>2223</v>
      </c>
      <c r="AP1154" s="4">
        <v>183</v>
      </c>
      <c r="AQ1154" s="4" t="s">
        <v>1716</v>
      </c>
      <c r="AR1154" s="4" t="s">
        <v>1739</v>
      </c>
      <c r="AS1154" s="4" t="s">
        <v>1740</v>
      </c>
      <c r="AT1154" s="4" t="s">
        <v>1741</v>
      </c>
      <c r="AU1154" s="4" t="s">
        <v>1772</v>
      </c>
      <c r="AV1154" s="4" t="s">
        <v>1720</v>
      </c>
      <c r="AW1154" s="4" t="s">
        <v>1947</v>
      </c>
      <c r="AX1154" s="4" t="s">
        <v>2153</v>
      </c>
      <c r="AY1154" s="4">
        <v>54.018599999999999</v>
      </c>
      <c r="AZ1154" s="4">
        <v>-126.389</v>
      </c>
      <c r="BA1154" s="4">
        <v>1259</v>
      </c>
    </row>
    <row r="1155" spans="1:53" ht="14.25" customHeight="1" x14ac:dyDescent="0.2">
      <c r="A1155" s="136" t="s">
        <v>1908</v>
      </c>
      <c r="B1155" s="9">
        <v>12</v>
      </c>
      <c r="C1155" s="4" t="s">
        <v>1711</v>
      </c>
      <c r="D1155" s="4">
        <v>194</v>
      </c>
      <c r="E1155" s="4">
        <v>1755</v>
      </c>
      <c r="F1155" s="8" t="s">
        <v>2252</v>
      </c>
      <c r="G1155" s="201" t="s">
        <v>2253</v>
      </c>
      <c r="H1155" s="4" t="s">
        <v>2254</v>
      </c>
      <c r="I1155" s="4" t="s">
        <v>641</v>
      </c>
      <c r="J1155" s="4" t="s">
        <v>1865</v>
      </c>
      <c r="K1155" s="4">
        <v>1</v>
      </c>
      <c r="L1155" s="4">
        <v>2158</v>
      </c>
      <c r="M1155" s="302">
        <v>52.86983</v>
      </c>
      <c r="N1155" s="227">
        <v>-119.29908</v>
      </c>
      <c r="O1155" s="227" t="s">
        <v>170</v>
      </c>
      <c r="P1155" s="227">
        <v>194</v>
      </c>
      <c r="Q1155" s="246">
        <v>1</v>
      </c>
      <c r="R1155" s="227" t="s">
        <v>2255</v>
      </c>
      <c r="S1155" s="227" t="s">
        <v>1737</v>
      </c>
      <c r="T1155" s="227">
        <v>797</v>
      </c>
      <c r="U1155" s="227" t="s">
        <v>645</v>
      </c>
      <c r="V1155" s="227"/>
      <c r="W1155" s="257">
        <v>25569</v>
      </c>
      <c r="X1155" s="227" t="s">
        <v>1738</v>
      </c>
      <c r="Y1155" s="227"/>
      <c r="AK1155" s="260"/>
      <c r="AO1155" s="237" t="s">
        <v>2256</v>
      </c>
      <c r="AP1155" s="4">
        <v>194</v>
      </c>
      <c r="AQ1155" s="4" t="s">
        <v>1716</v>
      </c>
      <c r="AR1155" s="4" t="s">
        <v>1717</v>
      </c>
      <c r="AS1155" s="4" t="s">
        <v>2257</v>
      </c>
      <c r="AT1155" s="4" t="s">
        <v>1835</v>
      </c>
      <c r="AU1155" s="4" t="s">
        <v>2043</v>
      </c>
      <c r="AV1155" s="4" t="s">
        <v>1720</v>
      </c>
      <c r="AW1155" s="4" t="s">
        <v>2003</v>
      </c>
      <c r="AX1155" s="4" t="s">
        <v>2258</v>
      </c>
      <c r="AY1155" s="4">
        <v>52.869799999999998</v>
      </c>
      <c r="AZ1155" s="4">
        <v>-119.2991</v>
      </c>
      <c r="BA1155" s="4">
        <v>797</v>
      </c>
    </row>
    <row r="1156" spans="1:53" ht="14.25" customHeight="1" x14ac:dyDescent="0.2">
      <c r="A1156" s="136" t="s">
        <v>1908</v>
      </c>
      <c r="B1156" s="9">
        <v>12</v>
      </c>
      <c r="C1156" s="4" t="s">
        <v>1711</v>
      </c>
      <c r="D1156" s="4">
        <v>233</v>
      </c>
      <c r="E1156" s="4">
        <v>1789</v>
      </c>
      <c r="F1156" s="8" t="s">
        <v>2373</v>
      </c>
      <c r="G1156" s="201" t="s">
        <v>2374</v>
      </c>
      <c r="H1156" s="4" t="s">
        <v>2375</v>
      </c>
      <c r="I1156" s="4" t="s">
        <v>641</v>
      </c>
      <c r="J1156" s="4" t="s">
        <v>1736</v>
      </c>
      <c r="K1156" s="4">
        <v>1</v>
      </c>
      <c r="L1156" s="4">
        <v>2192</v>
      </c>
      <c r="M1156" s="193">
        <v>52.251350000000002</v>
      </c>
      <c r="N1156" s="4">
        <v>-126.02837</v>
      </c>
      <c r="O1156" s="4" t="s">
        <v>51</v>
      </c>
      <c r="P1156" s="4">
        <v>233</v>
      </c>
      <c r="Q1156" s="4">
        <v>2</v>
      </c>
      <c r="R1156" s="4" t="s">
        <v>2376</v>
      </c>
      <c r="S1156" s="4" t="s">
        <v>1737</v>
      </c>
      <c r="T1156" s="4">
        <v>270</v>
      </c>
      <c r="U1156"/>
      <c r="W1156" s="4">
        <v>32874</v>
      </c>
      <c r="X1156" s="4" t="s">
        <v>1738</v>
      </c>
      <c r="Y1156" s="9"/>
      <c r="AK1156" s="260"/>
      <c r="AO1156" s="188" t="s">
        <v>2376</v>
      </c>
      <c r="AP1156" s="4">
        <v>233</v>
      </c>
      <c r="AQ1156" s="4" t="s">
        <v>1716</v>
      </c>
      <c r="AR1156" s="4" t="s">
        <v>1739</v>
      </c>
      <c r="AS1156" s="4" t="s">
        <v>1740</v>
      </c>
      <c r="AT1156" s="4" t="s">
        <v>1741</v>
      </c>
      <c r="AU1156" s="4" t="s">
        <v>1742</v>
      </c>
      <c r="AV1156" s="4" t="s">
        <v>1720</v>
      </c>
      <c r="AW1156" s="4" t="s">
        <v>1705</v>
      </c>
      <c r="AX1156" s="4" t="s">
        <v>1965</v>
      </c>
      <c r="AY1156" s="4">
        <v>52.251399999999997</v>
      </c>
      <c r="AZ1156" s="4">
        <v>-126.0284</v>
      </c>
      <c r="BA1156" s="4">
        <v>306</v>
      </c>
    </row>
    <row r="1157" spans="1:53" ht="14.25" customHeight="1" x14ac:dyDescent="0.2">
      <c r="A1157" s="136" t="s">
        <v>1908</v>
      </c>
      <c r="B1157" s="9">
        <v>12</v>
      </c>
      <c r="C1157" s="4" t="s">
        <v>1711</v>
      </c>
      <c r="D1157" s="4">
        <v>239</v>
      </c>
      <c r="E1157" s="4">
        <v>1794</v>
      </c>
      <c r="F1157" s="8" t="s">
        <v>2389</v>
      </c>
      <c r="G1157" s="201" t="s">
        <v>2390</v>
      </c>
      <c r="H1157" s="4" t="s">
        <v>2391</v>
      </c>
      <c r="I1157" s="4" t="s">
        <v>641</v>
      </c>
      <c r="J1157" s="4" t="s">
        <v>1736</v>
      </c>
      <c r="K1157" s="4">
        <v>1</v>
      </c>
      <c r="L1157" s="4">
        <v>2197</v>
      </c>
      <c r="M1157" s="193">
        <v>51.628900000000002</v>
      </c>
      <c r="N1157" s="4">
        <v>-120.09457</v>
      </c>
      <c r="O1157" s="4" t="s">
        <v>142</v>
      </c>
      <c r="P1157" s="4">
        <v>239</v>
      </c>
      <c r="Q1157" s="4">
        <v>1</v>
      </c>
      <c r="R1157" s="4" t="s">
        <v>2392</v>
      </c>
      <c r="S1157" s="4" t="s">
        <v>1737</v>
      </c>
      <c r="T1157" s="4">
        <v>453</v>
      </c>
      <c r="U1157" s="4" t="s">
        <v>645</v>
      </c>
      <c r="W1157" s="4">
        <v>27760</v>
      </c>
      <c r="X1157" s="4" t="s">
        <v>1738</v>
      </c>
      <c r="Y1157" s="9"/>
      <c r="AK1157" s="260"/>
      <c r="AO1157" s="237" t="s">
        <v>2392</v>
      </c>
      <c r="AP1157" s="4">
        <v>239</v>
      </c>
      <c r="AQ1157" s="4" t="s">
        <v>1700</v>
      </c>
      <c r="AR1157" s="4" t="s">
        <v>1739</v>
      </c>
      <c r="AS1157" s="4" t="s">
        <v>1740</v>
      </c>
      <c r="AT1157" s="4" t="s">
        <v>1741</v>
      </c>
      <c r="AU1157" s="4" t="s">
        <v>2043</v>
      </c>
      <c r="AV1157" s="4" t="s">
        <v>1720</v>
      </c>
      <c r="AW1157" s="4" t="s">
        <v>2368</v>
      </c>
      <c r="AX1157" s="4" t="s">
        <v>2369</v>
      </c>
      <c r="AY1157" s="4">
        <v>51.628900000000002</v>
      </c>
      <c r="AZ1157" s="4">
        <v>-120.0946</v>
      </c>
      <c r="BA1157" s="4">
        <v>440</v>
      </c>
    </row>
    <row r="1158" spans="1:53" ht="14.25" customHeight="1" x14ac:dyDescent="0.2">
      <c r="A1158" s="136" t="s">
        <v>1908</v>
      </c>
      <c r="B1158" s="9">
        <v>12</v>
      </c>
      <c r="C1158" s="4" t="s">
        <v>1711</v>
      </c>
      <c r="D1158" s="4">
        <v>250</v>
      </c>
      <c r="E1158" s="4">
        <v>1804</v>
      </c>
      <c r="F1158" s="8" t="s">
        <v>2419</v>
      </c>
      <c r="G1158" s="201" t="s">
        <v>2420</v>
      </c>
      <c r="H1158" s="4" t="s">
        <v>2421</v>
      </c>
      <c r="I1158" s="4" t="s">
        <v>641</v>
      </c>
      <c r="J1158" s="4" t="s">
        <v>1736</v>
      </c>
      <c r="K1158" s="4">
        <v>1</v>
      </c>
      <c r="L1158" s="4">
        <v>2207</v>
      </c>
      <c r="M1158" s="193">
        <v>51.522669999999998</v>
      </c>
      <c r="N1158" s="4">
        <v>-119.11335</v>
      </c>
      <c r="O1158" s="4" t="s">
        <v>170</v>
      </c>
      <c r="P1158" s="4">
        <v>250</v>
      </c>
      <c r="Q1158" s="4">
        <v>4</v>
      </c>
      <c r="R1158" s="4" t="s">
        <v>2422</v>
      </c>
      <c r="S1158" s="4" t="s">
        <v>1737</v>
      </c>
      <c r="T1158" s="4">
        <v>1525</v>
      </c>
      <c r="U1158"/>
      <c r="W1158" s="4">
        <v>32509</v>
      </c>
      <c r="X1158" s="4" t="s">
        <v>1738</v>
      </c>
      <c r="Y1158" s="9"/>
      <c r="AK1158" s="260"/>
      <c r="AO1158" s="188" t="s">
        <v>2422</v>
      </c>
      <c r="AP1158" s="4">
        <v>250</v>
      </c>
      <c r="AQ1158" s="4" t="s">
        <v>1716</v>
      </c>
      <c r="AR1158" s="4" t="s">
        <v>1739</v>
      </c>
      <c r="AS1158" s="4" t="s">
        <v>1740</v>
      </c>
      <c r="AT1158" s="4" t="s">
        <v>1741</v>
      </c>
      <c r="AU1158" s="4" t="s">
        <v>1742</v>
      </c>
      <c r="AV1158" s="4" t="s">
        <v>1720</v>
      </c>
      <c r="AW1158" s="4" t="s">
        <v>2368</v>
      </c>
      <c r="AX1158" s="4" t="s">
        <v>2369</v>
      </c>
      <c r="AY1158" s="4">
        <v>51.5227</v>
      </c>
      <c r="AZ1158" s="4">
        <v>-119.1133</v>
      </c>
      <c r="BA1158" s="4">
        <v>1516</v>
      </c>
    </row>
    <row r="1159" spans="1:53" ht="14.25" customHeight="1" x14ac:dyDescent="0.2">
      <c r="A1159" s="136" t="s">
        <v>1908</v>
      </c>
      <c r="B1159" s="4">
        <v>12</v>
      </c>
      <c r="C1159" s="4" t="s">
        <v>1711</v>
      </c>
      <c r="D1159" s="4">
        <v>292</v>
      </c>
      <c r="E1159" s="4">
        <v>1842</v>
      </c>
      <c r="F1159" s="8" t="s">
        <v>2541</v>
      </c>
      <c r="G1159" s="201" t="s">
        <v>2542</v>
      </c>
      <c r="H1159" s="4" t="s">
        <v>2543</v>
      </c>
      <c r="I1159" s="4" t="s">
        <v>641</v>
      </c>
      <c r="J1159" s="4" t="s">
        <v>1736</v>
      </c>
      <c r="K1159" s="4">
        <v>1</v>
      </c>
      <c r="L1159" s="4">
        <v>2245</v>
      </c>
      <c r="M1159" s="6">
        <v>50.52167</v>
      </c>
      <c r="N1159" s="9">
        <v>-122.49806</v>
      </c>
      <c r="O1159" s="9" t="s">
        <v>142</v>
      </c>
      <c r="P1159" s="9">
        <v>292</v>
      </c>
      <c r="Q1159" s="20">
        <v>1</v>
      </c>
      <c r="R1159" s="9" t="s">
        <v>2544</v>
      </c>
      <c r="S1159" s="9" t="s">
        <v>1737</v>
      </c>
      <c r="T1159" s="9">
        <v>346</v>
      </c>
      <c r="U1159" s="9"/>
      <c r="V1159" s="9" t="s">
        <v>1830</v>
      </c>
      <c r="W1159" s="21">
        <v>28491</v>
      </c>
      <c r="X1159" s="9" t="s">
        <v>1738</v>
      </c>
      <c r="AK1159" s="260"/>
      <c r="AO1159" s="188" t="s">
        <v>2545</v>
      </c>
      <c r="AP1159" s="4">
        <v>292</v>
      </c>
      <c r="AQ1159" s="4" t="s">
        <v>1716</v>
      </c>
      <c r="AR1159" s="4" t="s">
        <v>1739</v>
      </c>
      <c r="AS1159" s="4" t="s">
        <v>1740</v>
      </c>
      <c r="AT1159" s="4" t="s">
        <v>1741</v>
      </c>
      <c r="AU1159" s="4" t="s">
        <v>1742</v>
      </c>
      <c r="AV1159" s="4" t="s">
        <v>1720</v>
      </c>
      <c r="AW1159" s="4" t="s">
        <v>1705</v>
      </c>
      <c r="AX1159" s="4" t="s">
        <v>1879</v>
      </c>
      <c r="AY1159" s="4">
        <v>50.521700000000003</v>
      </c>
      <c r="AZ1159" s="4">
        <v>-122.4978</v>
      </c>
      <c r="BA1159" s="4">
        <v>334</v>
      </c>
    </row>
    <row r="1160" spans="1:53" ht="14.25" customHeight="1" x14ac:dyDescent="0.2">
      <c r="A1160" s="136" t="s">
        <v>1908</v>
      </c>
      <c r="B1160" s="4">
        <v>12</v>
      </c>
      <c r="C1160" s="4" t="s">
        <v>1711</v>
      </c>
      <c r="D1160" s="4">
        <v>300</v>
      </c>
      <c r="E1160" s="4">
        <v>1850</v>
      </c>
      <c r="F1160" s="4" t="s">
        <v>898</v>
      </c>
      <c r="G1160" s="8" t="s">
        <v>2569</v>
      </c>
      <c r="H1160" s="4" t="s">
        <v>2570</v>
      </c>
      <c r="I1160" s="4" t="s">
        <v>641</v>
      </c>
      <c r="J1160" s="4" t="s">
        <v>1715</v>
      </c>
      <c r="K1160" s="4">
        <v>1</v>
      </c>
      <c r="L1160" s="4">
        <v>2253</v>
      </c>
      <c r="M1160" s="6"/>
      <c r="N1160" s="9"/>
      <c r="O1160" s="9"/>
      <c r="P1160" s="9"/>
      <c r="Q1160" s="20"/>
      <c r="R1160" s="9"/>
      <c r="S1160" s="9"/>
      <c r="T1160" s="9"/>
      <c r="U1160" s="9"/>
      <c r="V1160" s="9"/>
      <c r="W1160" s="21"/>
      <c r="X1160" s="9"/>
      <c r="AK1160" s="260"/>
      <c r="AO1160" s="4" t="s">
        <v>2526</v>
      </c>
      <c r="AP1160" s="4">
        <v>300</v>
      </c>
      <c r="AQ1160" s="4" t="s">
        <v>1716</v>
      </c>
      <c r="AR1160" s="4" t="s">
        <v>1717</v>
      </c>
      <c r="AS1160" s="4" t="s">
        <v>1718</v>
      </c>
      <c r="AT1160" s="4" t="s">
        <v>1719</v>
      </c>
      <c r="AU1160" s="4" t="s">
        <v>2043</v>
      </c>
      <c r="AV1160" s="4" t="s">
        <v>1720</v>
      </c>
      <c r="AW1160" s="4" t="s">
        <v>2368</v>
      </c>
      <c r="AX1160" s="4" t="s">
        <v>2505</v>
      </c>
      <c r="AY1160" s="4">
        <v>50.853499999999997</v>
      </c>
      <c r="AZ1160" s="4">
        <v>-122.83580000000001</v>
      </c>
      <c r="BA1160" s="4">
        <v>704</v>
      </c>
    </row>
    <row r="1161" spans="1:53" ht="14.25" customHeight="1" x14ac:dyDescent="0.2">
      <c r="A1161" s="136" t="s">
        <v>1908</v>
      </c>
      <c r="B1161" s="4">
        <v>12</v>
      </c>
      <c r="C1161" s="4" t="s">
        <v>1711</v>
      </c>
      <c r="D1161" s="4">
        <v>305</v>
      </c>
      <c r="E1161" s="4">
        <v>1855</v>
      </c>
      <c r="F1161" s="201" t="s">
        <v>2582</v>
      </c>
      <c r="G1161" s="8" t="s">
        <v>2583</v>
      </c>
      <c r="H1161" s="4" t="s">
        <v>2584</v>
      </c>
      <c r="I1161" s="4" t="s">
        <v>641</v>
      </c>
      <c r="J1161" s="4" t="s">
        <v>1736</v>
      </c>
      <c r="K1161" s="4">
        <v>1</v>
      </c>
      <c r="L1161" s="4">
        <v>2258</v>
      </c>
      <c r="M1161" s="6">
        <v>50.923699999999997</v>
      </c>
      <c r="N1161" s="9">
        <v>-120.86715</v>
      </c>
      <c r="O1161" s="9" t="s">
        <v>142</v>
      </c>
      <c r="P1161" s="9">
        <v>305</v>
      </c>
      <c r="Q1161" s="20">
        <v>2</v>
      </c>
      <c r="R1161" s="9" t="s">
        <v>2585</v>
      </c>
      <c r="S1161" s="9" t="s">
        <v>1737</v>
      </c>
      <c r="T1161" s="9">
        <v>972</v>
      </c>
      <c r="U1161" s="9"/>
      <c r="V1161" s="9"/>
      <c r="W1161" s="21">
        <v>33239</v>
      </c>
      <c r="X1161" s="9" t="s">
        <v>1738</v>
      </c>
      <c r="AK1161" s="260"/>
      <c r="AO1161" s="4" t="s">
        <v>2585</v>
      </c>
      <c r="AP1161" s="4">
        <v>305</v>
      </c>
      <c r="AQ1161" s="4" t="s">
        <v>1716</v>
      </c>
      <c r="AR1161" s="4" t="s">
        <v>1739</v>
      </c>
      <c r="AS1161" s="4" t="s">
        <v>1740</v>
      </c>
      <c r="AT1161" s="4" t="s">
        <v>1741</v>
      </c>
      <c r="AU1161" s="4" t="s">
        <v>1742</v>
      </c>
      <c r="AV1161" s="4" t="s">
        <v>1720</v>
      </c>
      <c r="AW1161" s="4" t="s">
        <v>2368</v>
      </c>
      <c r="AX1161" s="4" t="s">
        <v>2369</v>
      </c>
      <c r="AY1161" s="4">
        <v>50.923699999999997</v>
      </c>
      <c r="AZ1161" s="4">
        <v>-120.86709999999999</v>
      </c>
      <c r="BA1161" s="4">
        <v>960</v>
      </c>
    </row>
    <row r="1162" spans="1:53" ht="14.25" customHeight="1" x14ac:dyDescent="0.2">
      <c r="A1162" s="136" t="s">
        <v>1908</v>
      </c>
      <c r="B1162" s="4">
        <v>12</v>
      </c>
      <c r="C1162" s="4" t="s">
        <v>1711</v>
      </c>
      <c r="D1162" s="4">
        <v>306</v>
      </c>
      <c r="E1162" s="4">
        <v>1856</v>
      </c>
      <c r="F1162" s="201" t="s">
        <v>2586</v>
      </c>
      <c r="G1162" s="8" t="s">
        <v>7864</v>
      </c>
      <c r="H1162" s="4" t="s">
        <v>2341</v>
      </c>
      <c r="I1162" s="4" t="s">
        <v>641</v>
      </c>
      <c r="J1162" s="4" t="s">
        <v>1865</v>
      </c>
      <c r="K1162" s="4">
        <v>1</v>
      </c>
      <c r="L1162" s="4">
        <v>2259</v>
      </c>
      <c r="M1162" s="6">
        <v>51.17747</v>
      </c>
      <c r="N1162" s="9">
        <v>-122.24893</v>
      </c>
      <c r="O1162" s="9" t="s">
        <v>148</v>
      </c>
      <c r="P1162" s="9">
        <v>306</v>
      </c>
      <c r="Q1162" s="20">
        <v>7</v>
      </c>
      <c r="R1162" s="9" t="s">
        <v>2588</v>
      </c>
      <c r="S1162" s="9" t="s">
        <v>1737</v>
      </c>
      <c r="T1162" s="9">
        <v>1320</v>
      </c>
      <c r="U1162" s="9"/>
      <c r="V1162" s="9"/>
      <c r="W1162" s="21">
        <v>28856</v>
      </c>
      <c r="X1162" s="9" t="s">
        <v>1738</v>
      </c>
      <c r="AK1162" s="260"/>
      <c r="AO1162" s="4" t="s">
        <v>2588</v>
      </c>
      <c r="AP1162" s="4">
        <v>306</v>
      </c>
      <c r="AQ1162" s="4" t="s">
        <v>1716</v>
      </c>
      <c r="AR1162" s="4" t="s">
        <v>1739</v>
      </c>
      <c r="AS1162" s="4" t="s">
        <v>1740</v>
      </c>
      <c r="AT1162" s="4" t="s">
        <v>1741</v>
      </c>
      <c r="AU1162" s="4" t="s">
        <v>1742</v>
      </c>
      <c r="AV1162" s="4" t="s">
        <v>1720</v>
      </c>
      <c r="AW1162" s="4" t="s">
        <v>2368</v>
      </c>
      <c r="AX1162" s="4" t="s">
        <v>2505</v>
      </c>
      <c r="AY1162" s="4">
        <v>51.177500000000002</v>
      </c>
      <c r="AZ1162" s="4">
        <v>-122.24890000000001</v>
      </c>
      <c r="BA1162" s="4">
        <v>1320</v>
      </c>
    </row>
    <row r="1163" spans="1:53" ht="14.25" customHeight="1" x14ac:dyDescent="0.2">
      <c r="A1163" s="136" t="s">
        <v>1908</v>
      </c>
      <c r="B1163" s="4">
        <v>12</v>
      </c>
      <c r="C1163" s="4" t="s">
        <v>1711</v>
      </c>
      <c r="D1163" s="4">
        <v>307</v>
      </c>
      <c r="E1163" s="4">
        <v>1857</v>
      </c>
      <c r="F1163" s="201" t="s">
        <v>2589</v>
      </c>
      <c r="G1163" s="8" t="s">
        <v>2590</v>
      </c>
      <c r="H1163" s="4" t="s">
        <v>2591</v>
      </c>
      <c r="I1163" s="4" t="s">
        <v>641</v>
      </c>
      <c r="J1163" s="4" t="s">
        <v>1865</v>
      </c>
      <c r="K1163" s="4">
        <v>1</v>
      </c>
      <c r="L1163" s="4">
        <v>2260</v>
      </c>
      <c r="M1163" s="6">
        <v>50.615250000000003</v>
      </c>
      <c r="N1163" s="9">
        <v>-120.8361</v>
      </c>
      <c r="O1163" s="9" t="s">
        <v>142</v>
      </c>
      <c r="P1163" s="9">
        <v>307</v>
      </c>
      <c r="Q1163" s="20">
        <v>4</v>
      </c>
      <c r="R1163" s="9" t="s">
        <v>2592</v>
      </c>
      <c r="S1163" s="9" t="s">
        <v>1737</v>
      </c>
      <c r="T1163" s="9">
        <v>1167</v>
      </c>
      <c r="U1163" s="9"/>
      <c r="V1163" s="9"/>
      <c r="W1163" s="21">
        <v>29952</v>
      </c>
      <c r="X1163" s="9" t="s">
        <v>1738</v>
      </c>
      <c r="AK1163" s="260"/>
      <c r="AO1163" s="4" t="s">
        <v>2592</v>
      </c>
      <c r="AP1163" s="4">
        <v>307</v>
      </c>
      <c r="AQ1163" s="4" t="s">
        <v>1700</v>
      </c>
      <c r="AR1163" s="4" t="s">
        <v>1739</v>
      </c>
      <c r="AS1163" s="4" t="s">
        <v>1740</v>
      </c>
      <c r="AT1163" s="4" t="s">
        <v>1741</v>
      </c>
      <c r="AU1163" s="4" t="s">
        <v>1959</v>
      </c>
      <c r="AV1163" s="4" t="s">
        <v>1720</v>
      </c>
      <c r="AW1163" s="4" t="s">
        <v>2368</v>
      </c>
      <c r="AX1163" s="4" t="s">
        <v>2369</v>
      </c>
      <c r="AY1163" s="4">
        <v>50.615299999999998</v>
      </c>
      <c r="AZ1163" s="4">
        <v>-120.83620000000001</v>
      </c>
      <c r="BA1163" s="4">
        <v>1153</v>
      </c>
    </row>
    <row r="1164" spans="1:53" ht="14.25" customHeight="1" x14ac:dyDescent="0.2">
      <c r="A1164" s="136" t="s">
        <v>1908</v>
      </c>
      <c r="B1164" s="4">
        <v>12</v>
      </c>
      <c r="C1164" s="4" t="s">
        <v>1711</v>
      </c>
      <c r="D1164" s="4">
        <v>309</v>
      </c>
      <c r="E1164" s="4">
        <v>1859</v>
      </c>
      <c r="F1164" s="201" t="s">
        <v>2596</v>
      </c>
      <c r="G1164" s="8" t="s">
        <v>2597</v>
      </c>
      <c r="H1164" s="4" t="s">
        <v>2598</v>
      </c>
      <c r="I1164" s="4" t="s">
        <v>641</v>
      </c>
      <c r="J1164" s="4" t="s">
        <v>1865</v>
      </c>
      <c r="K1164" s="4">
        <v>1</v>
      </c>
      <c r="L1164" s="4">
        <v>2262</v>
      </c>
      <c r="M1164" s="6">
        <v>50.796329999999998</v>
      </c>
      <c r="N1164" s="9">
        <v>-122.88047</v>
      </c>
      <c r="O1164" s="9" t="s">
        <v>142</v>
      </c>
      <c r="P1164" s="9">
        <v>309</v>
      </c>
      <c r="Q1164" s="20">
        <v>4</v>
      </c>
      <c r="R1164" s="9" t="s">
        <v>2599</v>
      </c>
      <c r="S1164" s="9" t="s">
        <v>1737</v>
      </c>
      <c r="T1164" s="9">
        <v>1205</v>
      </c>
      <c r="U1164" s="9"/>
      <c r="V1164" s="9"/>
      <c r="W1164" s="21">
        <v>31413</v>
      </c>
      <c r="X1164" s="9" t="s">
        <v>1738</v>
      </c>
      <c r="AK1164" s="260"/>
      <c r="AO1164" s="4" t="s">
        <v>2599</v>
      </c>
      <c r="AP1164" s="4">
        <v>309</v>
      </c>
      <c r="AQ1164" s="4" t="s">
        <v>1716</v>
      </c>
      <c r="AR1164" s="4" t="s">
        <v>1739</v>
      </c>
      <c r="AS1164" s="4" t="s">
        <v>1740</v>
      </c>
      <c r="AT1164" s="4" t="s">
        <v>1741</v>
      </c>
      <c r="AU1164" s="4" t="s">
        <v>1742</v>
      </c>
      <c r="AV1164" s="4" t="s">
        <v>1720</v>
      </c>
      <c r="AW1164" s="4" t="s">
        <v>2368</v>
      </c>
      <c r="AX1164" s="4" t="s">
        <v>2505</v>
      </c>
      <c r="AY1164" s="4">
        <v>50.796300000000002</v>
      </c>
      <c r="AZ1164" s="4">
        <v>-122.8805</v>
      </c>
      <c r="BA1164" s="4">
        <v>1191</v>
      </c>
    </row>
    <row r="1165" spans="1:53" ht="14.25" customHeight="1" x14ac:dyDescent="0.2">
      <c r="A1165" s="136" t="s">
        <v>1908</v>
      </c>
      <c r="B1165" s="4">
        <v>12</v>
      </c>
      <c r="C1165" s="4" t="s">
        <v>1711</v>
      </c>
      <c r="D1165" s="4">
        <v>311</v>
      </c>
      <c r="E1165" s="4">
        <v>1861</v>
      </c>
      <c r="F1165" s="201" t="s">
        <v>2603</v>
      </c>
      <c r="G1165" s="8" t="s">
        <v>2604</v>
      </c>
      <c r="H1165" s="4" t="s">
        <v>2605</v>
      </c>
      <c r="I1165" s="4" t="s">
        <v>641</v>
      </c>
      <c r="J1165" s="4" t="s">
        <v>1865</v>
      </c>
      <c r="K1165" s="4">
        <v>1</v>
      </c>
      <c r="L1165" s="4">
        <v>2264</v>
      </c>
      <c r="M1165" s="6">
        <v>50.792299999999997</v>
      </c>
      <c r="N1165" s="4">
        <v>-121.35814999999999</v>
      </c>
      <c r="O1165" s="4" t="s">
        <v>142</v>
      </c>
      <c r="P1165" s="4">
        <v>311</v>
      </c>
      <c r="Q1165" s="4">
        <v>3</v>
      </c>
      <c r="R1165" s="4" t="s">
        <v>2606</v>
      </c>
      <c r="S1165" s="4" t="s">
        <v>1737</v>
      </c>
      <c r="T1165" s="4">
        <v>1123</v>
      </c>
      <c r="U1165" s="4" t="s">
        <v>645</v>
      </c>
      <c r="W1165" s="4">
        <v>31778</v>
      </c>
      <c r="X1165" s="4" t="s">
        <v>1738</v>
      </c>
      <c r="AK1165" s="260"/>
      <c r="AO1165" s="4" t="s">
        <v>2606</v>
      </c>
      <c r="AP1165" s="4">
        <v>311</v>
      </c>
      <c r="AQ1165" s="4" t="s">
        <v>1700</v>
      </c>
      <c r="AR1165" s="4" t="s">
        <v>1739</v>
      </c>
      <c r="AS1165" s="4" t="s">
        <v>1740</v>
      </c>
      <c r="AT1165" s="4" t="s">
        <v>1741</v>
      </c>
      <c r="AU1165" s="4" t="s">
        <v>1959</v>
      </c>
      <c r="AV1165" s="4" t="s">
        <v>1720</v>
      </c>
      <c r="AW1165" s="4" t="s">
        <v>2368</v>
      </c>
      <c r="AX1165" s="4" t="s">
        <v>2369</v>
      </c>
      <c r="AY1165" s="4">
        <v>50.792299999999997</v>
      </c>
      <c r="AZ1165" s="4">
        <v>-121.35809999999999</v>
      </c>
      <c r="BA1165" s="4">
        <v>1123</v>
      </c>
    </row>
    <row r="1166" spans="1:53" ht="14.25" customHeight="1" x14ac:dyDescent="0.2">
      <c r="A1166" s="136" t="s">
        <v>1908</v>
      </c>
      <c r="B1166" s="4">
        <v>12</v>
      </c>
      <c r="C1166" s="4" t="s">
        <v>1711</v>
      </c>
      <c r="D1166" s="4">
        <v>331</v>
      </c>
      <c r="E1166" s="4">
        <v>1879</v>
      </c>
      <c r="F1166" s="201" t="s">
        <v>2660</v>
      </c>
      <c r="G1166" s="201" t="s">
        <v>2661</v>
      </c>
      <c r="H1166" s="4" t="s">
        <v>2662</v>
      </c>
      <c r="I1166" s="4" t="s">
        <v>641</v>
      </c>
      <c r="J1166" s="4" t="s">
        <v>1736</v>
      </c>
      <c r="K1166" s="4">
        <v>1</v>
      </c>
      <c r="L1166" s="4">
        <v>2282</v>
      </c>
      <c r="M1166" s="6">
        <v>49.139049999999997</v>
      </c>
      <c r="N1166" s="9">
        <v>-120.1844</v>
      </c>
      <c r="O1166" s="9" t="s">
        <v>142</v>
      </c>
      <c r="P1166" s="224">
        <v>331</v>
      </c>
      <c r="Q1166" s="20">
        <v>7</v>
      </c>
      <c r="R1166" s="9" t="s">
        <v>2663</v>
      </c>
      <c r="S1166" s="9" t="s">
        <v>1737</v>
      </c>
      <c r="T1166" s="9">
        <v>1683</v>
      </c>
      <c r="U1166" s="9"/>
      <c r="V1166" s="9"/>
      <c r="W1166" s="21">
        <v>33604</v>
      </c>
      <c r="X1166" s="9" t="s">
        <v>1738</v>
      </c>
      <c r="AK1166" s="260"/>
      <c r="AO1166" s="4" t="s">
        <v>2663</v>
      </c>
      <c r="AP1166" s="4">
        <v>331</v>
      </c>
      <c r="AQ1166" s="4" t="s">
        <v>1716</v>
      </c>
      <c r="AR1166" s="4" t="s">
        <v>1739</v>
      </c>
      <c r="AS1166" s="4" t="s">
        <v>1740</v>
      </c>
      <c r="AT1166" s="4" t="s">
        <v>1741</v>
      </c>
      <c r="AU1166" s="4" t="s">
        <v>1742</v>
      </c>
      <c r="AV1166" s="4" t="s">
        <v>1720</v>
      </c>
      <c r="AW1166" s="4" t="s">
        <v>2368</v>
      </c>
      <c r="AX1166" s="4" t="s">
        <v>2516</v>
      </c>
      <c r="AY1166" s="4">
        <v>49.139099999999999</v>
      </c>
      <c r="AZ1166" s="4">
        <v>-120.1844</v>
      </c>
      <c r="BA1166" s="4">
        <v>1683</v>
      </c>
    </row>
    <row r="1167" spans="1:53" ht="14.25" customHeight="1" x14ac:dyDescent="0.2">
      <c r="A1167" s="136" t="s">
        <v>1908</v>
      </c>
      <c r="B1167" s="4">
        <v>12</v>
      </c>
      <c r="C1167" s="4" t="s">
        <v>1711</v>
      </c>
      <c r="D1167" s="4">
        <v>343</v>
      </c>
      <c r="E1167" s="4">
        <v>1888</v>
      </c>
      <c r="F1167" s="4" t="s">
        <v>2687</v>
      </c>
      <c r="G1167" s="8" t="s">
        <v>2688</v>
      </c>
      <c r="H1167" s="4" t="s">
        <v>2689</v>
      </c>
      <c r="I1167" s="4" t="s">
        <v>641</v>
      </c>
      <c r="J1167" s="4" t="s">
        <v>1736</v>
      </c>
      <c r="K1167" s="4">
        <v>1</v>
      </c>
      <c r="L1167" s="4">
        <v>2291</v>
      </c>
      <c r="M1167" s="6"/>
      <c r="N1167" s="9"/>
      <c r="O1167" s="9"/>
      <c r="P1167" s="9"/>
      <c r="Q1167" s="20"/>
      <c r="R1167" s="9"/>
      <c r="S1167" s="9"/>
      <c r="T1167" s="9"/>
      <c r="U1167" s="9"/>
      <c r="V1167" s="9"/>
      <c r="W1167" s="21"/>
      <c r="X1167" s="9"/>
      <c r="AK1167" s="260"/>
      <c r="AO1167" s="4" t="s">
        <v>2690</v>
      </c>
      <c r="AP1167" s="4">
        <v>343</v>
      </c>
      <c r="AQ1167" s="4" t="s">
        <v>1716</v>
      </c>
      <c r="AR1167" s="4" t="s">
        <v>1717</v>
      </c>
      <c r="AS1167" s="4" t="s">
        <v>1740</v>
      </c>
      <c r="AT1167" s="4" t="s">
        <v>1835</v>
      </c>
      <c r="AU1167" s="4" t="s">
        <v>1742</v>
      </c>
      <c r="AV1167" s="4" t="s">
        <v>1720</v>
      </c>
      <c r="AW1167" s="4" t="s">
        <v>2003</v>
      </c>
      <c r="AX1167" s="4" t="s">
        <v>2258</v>
      </c>
      <c r="AY1167" s="4">
        <v>52.372100000000003</v>
      </c>
      <c r="AZ1167" s="4">
        <v>-118.66030000000001</v>
      </c>
      <c r="BA1167" s="4">
        <v>838</v>
      </c>
    </row>
    <row r="1168" spans="1:53" ht="14.25" customHeight="1" x14ac:dyDescent="0.2">
      <c r="A1168" s="136" t="s">
        <v>1908</v>
      </c>
      <c r="B1168" s="4">
        <v>12</v>
      </c>
      <c r="C1168" s="4" t="s">
        <v>1711</v>
      </c>
      <c r="D1168" s="4">
        <v>344</v>
      </c>
      <c r="E1168" s="4">
        <v>1889</v>
      </c>
      <c r="F1168" s="201" t="s">
        <v>2691</v>
      </c>
      <c r="G1168" s="201" t="s">
        <v>2692</v>
      </c>
      <c r="H1168" s="4" t="s">
        <v>2693</v>
      </c>
      <c r="I1168" s="4" t="s">
        <v>641</v>
      </c>
      <c r="J1168" s="4" t="s">
        <v>1736</v>
      </c>
      <c r="K1168" s="4">
        <v>1</v>
      </c>
      <c r="L1168" s="4">
        <v>2292</v>
      </c>
      <c r="M1168" s="6">
        <v>51.273519999999998</v>
      </c>
      <c r="N1168" s="9">
        <v>-118.9147</v>
      </c>
      <c r="O1168" s="9" t="s">
        <v>170</v>
      </c>
      <c r="P1168" s="9">
        <v>344</v>
      </c>
      <c r="Q1168" s="20">
        <v>1</v>
      </c>
      <c r="R1168" s="9" t="s">
        <v>2694</v>
      </c>
      <c r="S1168" s="9" t="s">
        <v>1737</v>
      </c>
      <c r="T1168" s="9">
        <v>511</v>
      </c>
      <c r="U1168" s="9"/>
      <c r="V1168" s="9"/>
      <c r="W1168" s="21">
        <v>29587</v>
      </c>
      <c r="X1168" s="9" t="s">
        <v>1738</v>
      </c>
      <c r="AK1168" s="260"/>
      <c r="AO1168" s="4" t="s">
        <v>2694</v>
      </c>
      <c r="AP1168" s="4">
        <v>344</v>
      </c>
      <c r="AQ1168" s="4" t="s">
        <v>1716</v>
      </c>
      <c r="AR1168" s="4" t="s">
        <v>1739</v>
      </c>
      <c r="AS1168" s="4" t="s">
        <v>1740</v>
      </c>
      <c r="AT1168" s="4" t="s">
        <v>1741</v>
      </c>
      <c r="AU1168" s="4" t="s">
        <v>1742</v>
      </c>
      <c r="AV1168" s="4" t="s">
        <v>1720</v>
      </c>
      <c r="AW1168" s="4" t="s">
        <v>2368</v>
      </c>
      <c r="AX1168" s="4" t="s">
        <v>2522</v>
      </c>
      <c r="AY1168" s="4">
        <v>51.273499999999999</v>
      </c>
      <c r="AZ1168" s="4">
        <v>-118.9147</v>
      </c>
      <c r="BA1168" s="4">
        <v>497</v>
      </c>
    </row>
    <row r="1169" spans="1:53" ht="14.25" customHeight="1" x14ac:dyDescent="0.2">
      <c r="A1169" s="136" t="s">
        <v>1908</v>
      </c>
      <c r="B1169" s="4">
        <v>12</v>
      </c>
      <c r="C1169" s="4" t="s">
        <v>1711</v>
      </c>
      <c r="D1169" s="4">
        <v>352</v>
      </c>
      <c r="E1169" s="4">
        <v>1897</v>
      </c>
      <c r="F1169" s="8" t="s">
        <v>2720</v>
      </c>
      <c r="G1169" s="201" t="s">
        <v>2721</v>
      </c>
      <c r="H1169" s="4" t="s">
        <v>2722</v>
      </c>
      <c r="I1169" s="4" t="s">
        <v>641</v>
      </c>
      <c r="J1169" s="4" t="s">
        <v>1865</v>
      </c>
      <c r="K1169" s="4">
        <v>1</v>
      </c>
      <c r="L1169" s="4">
        <v>2300</v>
      </c>
      <c r="M1169" s="6">
        <v>50.602150000000002</v>
      </c>
      <c r="N1169" s="9">
        <v>-118.42292</v>
      </c>
      <c r="O1169" s="4" t="s">
        <v>170</v>
      </c>
      <c r="P1169" s="9">
        <v>352</v>
      </c>
      <c r="Q1169" s="4">
        <v>3</v>
      </c>
      <c r="R1169" s="9" t="s">
        <v>2723</v>
      </c>
      <c r="S1169" s="4" t="s">
        <v>1737</v>
      </c>
      <c r="T1169" s="9">
        <v>1286</v>
      </c>
      <c r="U1169"/>
      <c r="W1169" s="4">
        <v>28856</v>
      </c>
      <c r="X1169" s="4" t="s">
        <v>1738</v>
      </c>
      <c r="AK1169" s="260"/>
      <c r="AO1169" s="4" t="s">
        <v>2723</v>
      </c>
      <c r="AP1169" s="4">
        <v>352</v>
      </c>
      <c r="AQ1169" s="4" t="s">
        <v>1716</v>
      </c>
      <c r="AR1169" s="4" t="s">
        <v>1739</v>
      </c>
      <c r="AS1169" s="4" t="s">
        <v>1740</v>
      </c>
      <c r="AT1169" s="4" t="s">
        <v>1741</v>
      </c>
      <c r="AU1169" s="4" t="s">
        <v>1742</v>
      </c>
      <c r="AV1169" s="4" t="s">
        <v>1720</v>
      </c>
      <c r="AW1169" s="4" t="s">
        <v>2368</v>
      </c>
      <c r="AX1169" s="4" t="s">
        <v>2522</v>
      </c>
      <c r="AY1169" s="4">
        <v>50.602200000000003</v>
      </c>
      <c r="AZ1169" s="4">
        <v>-118.4229</v>
      </c>
      <c r="BA1169" s="4">
        <v>1286</v>
      </c>
    </row>
    <row r="1170" spans="1:53" ht="14.25" customHeight="1" x14ac:dyDescent="0.2">
      <c r="A1170" s="136" t="s">
        <v>1908</v>
      </c>
      <c r="B1170" s="4">
        <v>12</v>
      </c>
      <c r="C1170" s="4" t="s">
        <v>1711</v>
      </c>
      <c r="D1170" s="4">
        <v>388</v>
      </c>
      <c r="E1170" s="4">
        <v>1931</v>
      </c>
      <c r="F1170" s="201" t="s">
        <v>2830</v>
      </c>
      <c r="G1170" s="68" t="s">
        <v>2831</v>
      </c>
      <c r="H1170" s="4" t="s">
        <v>2832</v>
      </c>
      <c r="I1170" s="4" t="s">
        <v>641</v>
      </c>
      <c r="J1170" s="4" t="s">
        <v>1865</v>
      </c>
      <c r="K1170" s="4">
        <v>1</v>
      </c>
      <c r="L1170" s="4">
        <v>2334</v>
      </c>
      <c r="M1170" s="6">
        <v>49.959980000000002</v>
      </c>
      <c r="N1170" s="9">
        <v>-118.62603</v>
      </c>
      <c r="O1170" s="9" t="s">
        <v>142</v>
      </c>
      <c r="P1170" s="9">
        <v>388</v>
      </c>
      <c r="Q1170" s="20">
        <v>5</v>
      </c>
      <c r="R1170" s="9" t="s">
        <v>2833</v>
      </c>
      <c r="S1170" s="9" t="s">
        <v>1737</v>
      </c>
      <c r="T1170" s="9">
        <v>1389</v>
      </c>
      <c r="U1170" s="9"/>
      <c r="V1170" s="9"/>
      <c r="W1170" s="21">
        <v>31778</v>
      </c>
      <c r="X1170" s="9" t="s">
        <v>1738</v>
      </c>
      <c r="AK1170" s="260"/>
      <c r="AO1170" s="4" t="s">
        <v>2833</v>
      </c>
      <c r="AP1170" s="4">
        <v>388</v>
      </c>
      <c r="AQ1170" s="4" t="s">
        <v>1700</v>
      </c>
      <c r="AR1170" s="4" t="s">
        <v>1739</v>
      </c>
      <c r="AS1170" s="4" t="s">
        <v>1740</v>
      </c>
      <c r="AT1170" s="4" t="s">
        <v>1741</v>
      </c>
      <c r="AU1170" s="4" t="s">
        <v>1959</v>
      </c>
      <c r="AV1170" s="4" t="s">
        <v>1720</v>
      </c>
      <c r="AW1170" s="4" t="s">
        <v>2368</v>
      </c>
      <c r="AX1170" s="4" t="s">
        <v>2522</v>
      </c>
      <c r="AY1170" s="4">
        <v>49.96</v>
      </c>
      <c r="AZ1170" s="4">
        <v>-118.626</v>
      </c>
      <c r="BA1170" s="4">
        <v>1389</v>
      </c>
    </row>
    <row r="1171" spans="1:53" ht="14.25" customHeight="1" x14ac:dyDescent="0.2">
      <c r="A1171" s="136" t="s">
        <v>1908</v>
      </c>
      <c r="B1171" s="4">
        <v>12</v>
      </c>
      <c r="C1171" s="4" t="s">
        <v>1711</v>
      </c>
      <c r="D1171" s="4">
        <v>428</v>
      </c>
      <c r="E1171" s="4">
        <v>1967</v>
      </c>
      <c r="F1171" s="201" t="s">
        <v>2944</v>
      </c>
      <c r="G1171" s="201" t="s">
        <v>2945</v>
      </c>
      <c r="H1171" s="4" t="s">
        <v>2946</v>
      </c>
      <c r="I1171" s="4" t="s">
        <v>641</v>
      </c>
      <c r="J1171" s="4" t="s">
        <v>1736</v>
      </c>
      <c r="K1171" s="4">
        <v>1</v>
      </c>
      <c r="L1171" s="4">
        <v>2370</v>
      </c>
      <c r="M1171" s="6">
        <v>55.435000000000002</v>
      </c>
      <c r="N1171" s="9">
        <v>-127.64667</v>
      </c>
      <c r="O1171" s="9" t="s">
        <v>51</v>
      </c>
      <c r="P1171" s="9">
        <v>428</v>
      </c>
      <c r="Q1171" s="20">
        <v>3</v>
      </c>
      <c r="R1171" s="9" t="s">
        <v>2947</v>
      </c>
      <c r="S1171" s="9" t="s">
        <v>1737</v>
      </c>
      <c r="T1171" s="9">
        <v>335</v>
      </c>
      <c r="U1171" s="9" t="s">
        <v>645</v>
      </c>
      <c r="V1171" s="9"/>
      <c r="W1171" s="21">
        <v>25569</v>
      </c>
      <c r="X1171" s="9" t="s">
        <v>1738</v>
      </c>
      <c r="AK1171" s="260"/>
      <c r="AO1171" s="53" t="s">
        <v>2947</v>
      </c>
      <c r="AP1171" s="188">
        <v>428</v>
      </c>
      <c r="AQ1171" s="188" t="s">
        <v>1700</v>
      </c>
      <c r="AR1171" s="188" t="s">
        <v>1739</v>
      </c>
      <c r="AS1171" s="188" t="s">
        <v>1740</v>
      </c>
      <c r="AT1171" s="188" t="s">
        <v>1741</v>
      </c>
      <c r="AU1171" s="188" t="s">
        <v>1772</v>
      </c>
      <c r="AV1171" s="188" t="s">
        <v>1720</v>
      </c>
      <c r="AW1171" s="188" t="s">
        <v>1947</v>
      </c>
      <c r="AX1171" s="188" t="s">
        <v>2948</v>
      </c>
      <c r="AY1171" s="188">
        <v>55.4343</v>
      </c>
      <c r="AZ1171" s="188">
        <v>-127.64870000000001</v>
      </c>
      <c r="BA1171" s="188">
        <v>328</v>
      </c>
    </row>
    <row r="1172" spans="1:53" ht="14.25" customHeight="1" x14ac:dyDescent="0.2">
      <c r="A1172" s="136" t="s">
        <v>1908</v>
      </c>
      <c r="B1172" s="4">
        <v>12</v>
      </c>
      <c r="C1172" s="4" t="s">
        <v>1711</v>
      </c>
      <c r="D1172" s="4">
        <v>474</v>
      </c>
      <c r="E1172" s="4">
        <v>1984</v>
      </c>
      <c r="F1172" s="4" t="s">
        <v>2997</v>
      </c>
      <c r="G1172" s="201" t="s">
        <v>2998</v>
      </c>
      <c r="H1172" s="4" t="s">
        <v>2999</v>
      </c>
      <c r="I1172" s="4" t="s">
        <v>641</v>
      </c>
      <c r="J1172" s="4" t="s">
        <v>3000</v>
      </c>
      <c r="K1172" s="4">
        <v>1</v>
      </c>
      <c r="L1172" s="4">
        <v>2387</v>
      </c>
      <c r="M1172" s="6">
        <v>52.0105</v>
      </c>
      <c r="N1172" s="9">
        <v>-119.25502</v>
      </c>
      <c r="O1172" s="9" t="s">
        <v>170</v>
      </c>
      <c r="P1172" s="9">
        <v>474</v>
      </c>
      <c r="Q1172" s="20">
        <v>8</v>
      </c>
      <c r="R1172" s="9" t="s">
        <v>3001</v>
      </c>
      <c r="S1172" s="9" t="s">
        <v>1737</v>
      </c>
      <c r="T1172" s="9">
        <v>2153</v>
      </c>
      <c r="U1172" s="9"/>
      <c r="V1172" s="9"/>
      <c r="W1172" s="21">
        <v>34335</v>
      </c>
      <c r="X1172" s="9" t="s">
        <v>1738</v>
      </c>
      <c r="AK1172" s="260"/>
      <c r="AO1172" s="188" t="s">
        <v>3002</v>
      </c>
      <c r="AP1172" s="188">
        <v>474</v>
      </c>
      <c r="AQ1172" s="188" t="s">
        <v>3003</v>
      </c>
      <c r="AR1172" s="188" t="s">
        <v>1701</v>
      </c>
      <c r="AS1172" s="188" t="s">
        <v>1740</v>
      </c>
      <c r="AT1172" s="188" t="s">
        <v>1835</v>
      </c>
      <c r="AU1172" s="188" t="s">
        <v>2489</v>
      </c>
      <c r="AV1172" s="188" t="s">
        <v>1720</v>
      </c>
      <c r="AW1172" s="188" t="s">
        <v>2368</v>
      </c>
      <c r="AX1172" s="188" t="s">
        <v>2369</v>
      </c>
      <c r="AY1172" s="188">
        <v>52.0105</v>
      </c>
      <c r="AZ1172" s="188">
        <v>-119.255</v>
      </c>
      <c r="BA1172" s="188">
        <v>2149</v>
      </c>
    </row>
    <row r="1173" spans="1:53" ht="14.25" customHeight="1" x14ac:dyDescent="0.2">
      <c r="A1173" s="136" t="s">
        <v>1908</v>
      </c>
      <c r="B1173" s="4">
        <v>12</v>
      </c>
      <c r="C1173" s="4" t="s">
        <v>1711</v>
      </c>
      <c r="D1173" s="4">
        <v>503</v>
      </c>
      <c r="E1173" s="4">
        <v>1985</v>
      </c>
      <c r="F1173" s="201" t="s">
        <v>3007</v>
      </c>
      <c r="G1173" s="68" t="s">
        <v>3008</v>
      </c>
      <c r="H1173" s="4" t="s">
        <v>3009</v>
      </c>
      <c r="I1173" s="4" t="s">
        <v>641</v>
      </c>
      <c r="J1173" s="4" t="s">
        <v>3010</v>
      </c>
      <c r="K1173" s="4">
        <v>1</v>
      </c>
      <c r="L1173" s="4">
        <v>2388</v>
      </c>
      <c r="M1173" s="6">
        <v>49.456159999999997</v>
      </c>
      <c r="N1173" s="9">
        <v>-115.62633</v>
      </c>
      <c r="O1173" s="9" t="s">
        <v>170</v>
      </c>
      <c r="P1173" s="224">
        <v>503</v>
      </c>
      <c r="Q1173" s="20">
        <v>8</v>
      </c>
      <c r="R1173" s="9" t="s">
        <v>3011</v>
      </c>
      <c r="S1173" s="9" t="s">
        <v>1737</v>
      </c>
      <c r="T1173" s="9">
        <v>2262</v>
      </c>
      <c r="U1173" s="9"/>
      <c r="V1173" s="9"/>
      <c r="W1173" s="21">
        <v>39259</v>
      </c>
      <c r="X1173" s="9" t="s">
        <v>1738</v>
      </c>
      <c r="AK1173" s="260"/>
      <c r="AO1173" s="4" t="s">
        <v>3012</v>
      </c>
      <c r="AP1173" s="4">
        <v>503</v>
      </c>
      <c r="AQ1173" s="4" t="s">
        <v>1700</v>
      </c>
      <c r="AR1173" s="4" t="s">
        <v>1701</v>
      </c>
      <c r="AS1173" s="4" t="s">
        <v>1740</v>
      </c>
      <c r="AT1173" s="4" t="s">
        <v>1835</v>
      </c>
      <c r="AU1173" s="4" t="s">
        <v>2043</v>
      </c>
      <c r="AV1173" s="4" t="s">
        <v>1720</v>
      </c>
      <c r="AW1173" s="4" t="s">
        <v>2698</v>
      </c>
      <c r="AX1173" s="4" t="s">
        <v>2902</v>
      </c>
      <c r="AY1173" s="4">
        <v>49.4589</v>
      </c>
      <c r="AZ1173" s="4">
        <v>-115.63030000000001</v>
      </c>
      <c r="BA1173" s="4">
        <v>2262</v>
      </c>
    </row>
    <row r="1174" spans="1:53" ht="14.25" customHeight="1" x14ac:dyDescent="0.2">
      <c r="A1174" s="136" t="s">
        <v>1908</v>
      </c>
      <c r="B1174" s="4">
        <v>12</v>
      </c>
      <c r="C1174" s="4" t="s">
        <v>1711</v>
      </c>
      <c r="D1174" s="4">
        <v>876</v>
      </c>
      <c r="E1174" s="4">
        <v>2292</v>
      </c>
      <c r="F1174" s="8" t="s">
        <v>3937</v>
      </c>
      <c r="G1174" s="201" t="s">
        <v>3938</v>
      </c>
      <c r="H1174" s="4" t="s">
        <v>3939</v>
      </c>
      <c r="I1174" s="4" t="s">
        <v>641</v>
      </c>
      <c r="J1174" s="4" t="s">
        <v>1829</v>
      </c>
      <c r="K1174" s="4">
        <v>1</v>
      </c>
      <c r="L1174" s="4">
        <v>2695</v>
      </c>
      <c r="M1174" s="6">
        <v>49.767220000000002</v>
      </c>
      <c r="N1174" s="4">
        <v>-119.12407</v>
      </c>
      <c r="O1174" s="4" t="s">
        <v>142</v>
      </c>
      <c r="P1174" s="4">
        <v>876</v>
      </c>
      <c r="Q1174" s="4">
        <v>4</v>
      </c>
      <c r="R1174" s="4" t="s">
        <v>3940</v>
      </c>
      <c r="S1174" s="4" t="s">
        <v>1737</v>
      </c>
      <c r="T1174" s="4">
        <v>1261</v>
      </c>
      <c r="U1174" s="4" t="s">
        <v>645</v>
      </c>
      <c r="W1174" s="4">
        <v>38146</v>
      </c>
      <c r="X1174" s="4" t="s">
        <v>1738</v>
      </c>
      <c r="AK1174" s="7"/>
      <c r="AO1174" s="4" t="s">
        <v>3941</v>
      </c>
      <c r="AP1174" s="4">
        <v>876</v>
      </c>
      <c r="AQ1174" s="4" t="s">
        <v>1716</v>
      </c>
      <c r="AR1174" s="4" t="s">
        <v>1739</v>
      </c>
      <c r="AS1174" s="4" t="s">
        <v>1740</v>
      </c>
      <c r="AT1174" s="4" t="s">
        <v>1741</v>
      </c>
      <c r="AU1174" s="4" t="s">
        <v>1742</v>
      </c>
      <c r="AV1174" s="4" t="s">
        <v>1720</v>
      </c>
      <c r="AW1174" s="4" t="s">
        <v>2368</v>
      </c>
      <c r="AX1174" s="4" t="s">
        <v>2516</v>
      </c>
      <c r="AY1174" s="4">
        <v>49.767200000000003</v>
      </c>
      <c r="AZ1174" s="4">
        <v>-119.1241</v>
      </c>
      <c r="BA1174" s="4">
        <v>1246</v>
      </c>
    </row>
    <row r="1175" spans="1:53" ht="14.25" customHeight="1" x14ac:dyDescent="0.2">
      <c r="A1175" s="276" t="s">
        <v>1908</v>
      </c>
      <c r="B1175" s="4">
        <v>12</v>
      </c>
      <c r="C1175" s="9" t="s">
        <v>1711</v>
      </c>
      <c r="D1175" s="4">
        <v>904</v>
      </c>
      <c r="E1175" s="4">
        <v>2299</v>
      </c>
      <c r="F1175" s="8" t="s">
        <v>3962</v>
      </c>
      <c r="G1175" s="201" t="s">
        <v>3963</v>
      </c>
      <c r="H1175" s="4" t="s">
        <v>3964</v>
      </c>
      <c r="I1175" s="4" t="s">
        <v>641</v>
      </c>
      <c r="J1175" s="4" t="s">
        <v>1829</v>
      </c>
      <c r="K1175" s="4">
        <v>1</v>
      </c>
      <c r="L1175" s="4">
        <v>2702</v>
      </c>
      <c r="M1175" s="6">
        <v>52.387250000000002</v>
      </c>
      <c r="N1175" s="4">
        <v>-126.58972</v>
      </c>
      <c r="O1175" s="4" t="s">
        <v>51</v>
      </c>
      <c r="P1175" s="4">
        <v>904</v>
      </c>
      <c r="Q1175" s="4">
        <v>1</v>
      </c>
      <c r="R1175" s="4" t="s">
        <v>3965</v>
      </c>
      <c r="S1175" s="4" t="s">
        <v>1737</v>
      </c>
      <c r="T1175" s="4">
        <v>47</v>
      </c>
      <c r="U1175"/>
      <c r="W1175" s="4">
        <v>38546</v>
      </c>
      <c r="X1175" s="4" t="s">
        <v>1738</v>
      </c>
      <c r="AK1175" s="7"/>
      <c r="AO1175" s="9" t="s">
        <v>3965</v>
      </c>
      <c r="AP1175" s="9">
        <v>904</v>
      </c>
      <c r="AQ1175" s="9" t="s">
        <v>1700</v>
      </c>
      <c r="AR1175" s="9" t="s">
        <v>1739</v>
      </c>
      <c r="AS1175" s="9" t="s">
        <v>1740</v>
      </c>
      <c r="AT1175" s="9" t="s">
        <v>1741</v>
      </c>
      <c r="AU1175" s="9" t="s">
        <v>1772</v>
      </c>
      <c r="AV1175" s="9" t="s">
        <v>1720</v>
      </c>
      <c r="AW1175" s="9" t="s">
        <v>1705</v>
      </c>
      <c r="AX1175" s="9" t="s">
        <v>1965</v>
      </c>
      <c r="AY1175" s="9">
        <v>52.387300000000003</v>
      </c>
      <c r="AZ1175" s="9">
        <v>-126.58969999999999</v>
      </c>
      <c r="BA1175" s="9">
        <v>47</v>
      </c>
    </row>
    <row r="1176" spans="1:53" ht="14.25" customHeight="1" x14ac:dyDescent="0.2">
      <c r="A1176" s="136" t="s">
        <v>1908</v>
      </c>
      <c r="B1176" s="4">
        <v>12</v>
      </c>
      <c r="C1176" s="4" t="s">
        <v>1711</v>
      </c>
      <c r="D1176" s="4">
        <v>934</v>
      </c>
      <c r="E1176" s="4">
        <v>2315</v>
      </c>
      <c r="F1176" s="4" t="s">
        <v>4021</v>
      </c>
      <c r="G1176" s="201" t="s">
        <v>4022</v>
      </c>
      <c r="H1176" s="4" t="s">
        <v>4023</v>
      </c>
      <c r="I1176" s="4" t="s">
        <v>641</v>
      </c>
      <c r="J1176" s="4" t="s">
        <v>1891</v>
      </c>
      <c r="K1176" s="4">
        <v>1</v>
      </c>
      <c r="L1176" s="4">
        <v>2718</v>
      </c>
      <c r="M1176" s="6">
        <v>48.822879999999998</v>
      </c>
      <c r="N1176" s="4">
        <v>-124.13708</v>
      </c>
      <c r="O1176" s="4" t="s">
        <v>183</v>
      </c>
      <c r="P1176" s="4">
        <v>934</v>
      </c>
      <c r="Q1176" s="4">
        <v>4</v>
      </c>
      <c r="R1176" s="4" t="s">
        <v>4021</v>
      </c>
      <c r="S1176" s="4" t="s">
        <v>1737</v>
      </c>
      <c r="T1176" s="4">
        <v>183</v>
      </c>
      <c r="U1176" s="4" t="s">
        <v>645</v>
      </c>
      <c r="W1176" s="4">
        <v>38840</v>
      </c>
      <c r="X1176" s="4" t="s">
        <v>1738</v>
      </c>
      <c r="AK1176" s="7"/>
      <c r="AO1176" s="188" t="s">
        <v>4021</v>
      </c>
      <c r="AP1176" s="188">
        <v>934</v>
      </c>
      <c r="AQ1176" s="188" t="s">
        <v>1700</v>
      </c>
      <c r="AR1176" s="188" t="s">
        <v>1739</v>
      </c>
      <c r="AS1176" s="188" t="s">
        <v>1740</v>
      </c>
      <c r="AT1176" s="188" t="s">
        <v>1835</v>
      </c>
      <c r="AU1176" s="188" t="s">
        <v>1772</v>
      </c>
      <c r="AV1176" s="188" t="s">
        <v>1720</v>
      </c>
      <c r="AW1176" s="188" t="s">
        <v>1705</v>
      </c>
      <c r="AX1176" s="188" t="s">
        <v>1747</v>
      </c>
      <c r="AY1176" s="188">
        <v>48.822800000000001</v>
      </c>
      <c r="AZ1176" s="188">
        <v>-124.1371</v>
      </c>
      <c r="BA1176" s="188">
        <v>185</v>
      </c>
    </row>
    <row r="1177" spans="1:53" ht="14.25" customHeight="1" x14ac:dyDescent="0.2">
      <c r="A1177" s="136" t="s">
        <v>1908</v>
      </c>
      <c r="B1177" s="4">
        <v>12</v>
      </c>
      <c r="C1177" s="4" t="s">
        <v>1711</v>
      </c>
      <c r="D1177" s="4">
        <v>938</v>
      </c>
      <c r="E1177" s="4">
        <v>2317</v>
      </c>
      <c r="F1177" s="4" t="s">
        <v>4028</v>
      </c>
      <c r="G1177" s="201" t="s">
        <v>4029</v>
      </c>
      <c r="H1177" s="4" t="s">
        <v>4030</v>
      </c>
      <c r="I1177" s="4" t="s">
        <v>641</v>
      </c>
      <c r="J1177" s="4" t="s">
        <v>1891</v>
      </c>
      <c r="K1177" s="4">
        <v>1</v>
      </c>
      <c r="L1177" s="4">
        <v>2720</v>
      </c>
      <c r="M1177" s="6">
        <v>54.683770000000003</v>
      </c>
      <c r="N1177" s="4">
        <v>-127.32581999999999</v>
      </c>
      <c r="O1177" s="4" t="s">
        <v>148</v>
      </c>
      <c r="P1177" s="4">
        <v>938</v>
      </c>
      <c r="Q1177" s="4">
        <v>7</v>
      </c>
      <c r="R1177" s="4" t="s">
        <v>4028</v>
      </c>
      <c r="S1177" s="4" t="s">
        <v>1737</v>
      </c>
      <c r="T1177" s="4">
        <v>1320</v>
      </c>
      <c r="U1177"/>
      <c r="W1177" s="4">
        <v>38867</v>
      </c>
      <c r="X1177" s="4" t="s">
        <v>1738</v>
      </c>
      <c r="AK1177" s="7"/>
      <c r="AO1177" s="188" t="s">
        <v>4028</v>
      </c>
      <c r="AP1177" s="188">
        <v>938</v>
      </c>
      <c r="AQ1177" s="188" t="s">
        <v>1716</v>
      </c>
      <c r="AR1177" s="188" t="s">
        <v>1739</v>
      </c>
      <c r="AS1177" s="188" t="s">
        <v>1740</v>
      </c>
      <c r="AT1177" s="188" t="s">
        <v>1741</v>
      </c>
      <c r="AU1177" s="188" t="s">
        <v>1742</v>
      </c>
      <c r="AV1177" s="188" t="s">
        <v>1720</v>
      </c>
      <c r="AW1177" s="188" t="s">
        <v>1947</v>
      </c>
      <c r="AX1177" s="188" t="s">
        <v>2133</v>
      </c>
      <c r="AY1177" s="188">
        <v>54.683</v>
      </c>
      <c r="AZ1177" s="188">
        <v>-127.32340000000001</v>
      </c>
      <c r="BA1177" s="188">
        <v>1300</v>
      </c>
    </row>
    <row r="1178" spans="1:53" ht="14.25" customHeight="1" x14ac:dyDescent="0.2">
      <c r="A1178" s="136" t="s">
        <v>1908</v>
      </c>
      <c r="B1178" s="4">
        <v>12</v>
      </c>
      <c r="C1178" s="4" t="s">
        <v>1711</v>
      </c>
      <c r="D1178" s="4">
        <v>965</v>
      </c>
      <c r="E1178" s="4">
        <v>13038</v>
      </c>
      <c r="F1178" s="200" t="s">
        <v>4066</v>
      </c>
      <c r="G1178" s="201" t="s">
        <v>4067</v>
      </c>
      <c r="H1178" s="4" t="s">
        <v>4068</v>
      </c>
      <c r="I1178" s="4" t="s">
        <v>49</v>
      </c>
      <c r="J1178" s="4" t="s">
        <v>1746</v>
      </c>
      <c r="K1178" s="4">
        <v>1</v>
      </c>
      <c r="L1178" s="4">
        <v>14970</v>
      </c>
      <c r="M1178" s="6"/>
      <c r="U1178"/>
      <c r="AK1178" s="7"/>
      <c r="AO1178" s="48" t="s">
        <v>4069</v>
      </c>
      <c r="AP1178" s="48">
        <v>965</v>
      </c>
      <c r="AQ1178" s="48" t="s">
        <v>1716</v>
      </c>
      <c r="AR1178" s="48" t="s">
        <v>1701</v>
      </c>
      <c r="AS1178" s="48" t="s">
        <v>1740</v>
      </c>
      <c r="AT1178" s="48" t="s">
        <v>1741</v>
      </c>
      <c r="AU1178" s="48" t="s">
        <v>1742</v>
      </c>
      <c r="AV1178" s="48" t="s">
        <v>4070</v>
      </c>
      <c r="AW1178" s="48" t="s">
        <v>1947</v>
      </c>
      <c r="AX1178" s="48" t="s">
        <v>1986</v>
      </c>
      <c r="AY1178" s="48">
        <v>60.006900000000002</v>
      </c>
      <c r="AZ1178" s="48">
        <v>-127.9276</v>
      </c>
      <c r="BA1178" s="48">
        <v>674</v>
      </c>
    </row>
    <row r="1179" spans="1:53" ht="14.25" customHeight="1" x14ac:dyDescent="0.2">
      <c r="A1179" s="136" t="s">
        <v>1908</v>
      </c>
      <c r="B1179" s="4">
        <v>12</v>
      </c>
      <c r="C1179" s="4" t="s">
        <v>1711</v>
      </c>
      <c r="D1179" s="4">
        <v>1132</v>
      </c>
      <c r="E1179" s="4">
        <v>10982</v>
      </c>
      <c r="F1179" s="4" t="s">
        <v>4241</v>
      </c>
      <c r="G1179" s="8" t="s">
        <v>4242</v>
      </c>
      <c r="H1179" s="4" t="s">
        <v>4243</v>
      </c>
      <c r="I1179" s="4" t="s">
        <v>49</v>
      </c>
      <c r="J1179" s="4" t="s">
        <v>1746</v>
      </c>
      <c r="K1179" s="4">
        <v>1</v>
      </c>
      <c r="L1179" s="4">
        <v>13146</v>
      </c>
      <c r="M1179" s="6"/>
      <c r="U1179"/>
      <c r="AK1179" s="7"/>
      <c r="AO1179" s="4" t="s">
        <v>4244</v>
      </c>
      <c r="AP1179" s="4">
        <v>1132</v>
      </c>
      <c r="AQ1179" s="4" t="s">
        <v>1716</v>
      </c>
      <c r="AR1179" s="4" t="s">
        <v>1717</v>
      </c>
      <c r="AS1179" s="4" t="s">
        <v>1740</v>
      </c>
      <c r="AT1179" s="4" t="s">
        <v>1835</v>
      </c>
      <c r="AU1179" s="4" t="s">
        <v>1742</v>
      </c>
      <c r="AV1179" s="4" t="s">
        <v>1720</v>
      </c>
      <c r="AW1179" s="4" t="s">
        <v>2368</v>
      </c>
      <c r="AX1179" s="4" t="s">
        <v>2522</v>
      </c>
      <c r="AY1179" s="4">
        <v>50.5</v>
      </c>
      <c r="AZ1179" s="4">
        <v>-119.7008</v>
      </c>
      <c r="BA1179" s="4">
        <v>1089</v>
      </c>
    </row>
    <row r="1180" spans="1:53" ht="14.25" customHeight="1" x14ac:dyDescent="0.2">
      <c r="A1180" s="136" t="s">
        <v>1908</v>
      </c>
      <c r="B1180" s="4">
        <v>12</v>
      </c>
      <c r="C1180" s="4" t="s">
        <v>1711</v>
      </c>
      <c r="D1180" s="4">
        <v>1339</v>
      </c>
      <c r="E1180" s="4">
        <v>12423</v>
      </c>
      <c r="F1180" s="8" t="s">
        <v>4644</v>
      </c>
      <c r="G1180" s="201" t="s">
        <v>4645</v>
      </c>
      <c r="H1180" s="4" t="s">
        <v>4646</v>
      </c>
      <c r="I1180" s="4" t="s">
        <v>49</v>
      </c>
      <c r="J1180" s="4" t="s">
        <v>1891</v>
      </c>
      <c r="K1180" s="4">
        <v>1</v>
      </c>
      <c r="L1180" s="4">
        <v>14445</v>
      </c>
      <c r="M1180" s="6">
        <v>49.973599999999998</v>
      </c>
      <c r="N1180" s="4">
        <v>-121.4902</v>
      </c>
      <c r="O1180" s="4" t="s">
        <v>51</v>
      </c>
      <c r="P1180" s="4">
        <v>1339</v>
      </c>
      <c r="Q1180" s="4">
        <v>1</v>
      </c>
      <c r="R1180" s="4" t="s">
        <v>4647</v>
      </c>
      <c r="S1180" s="4" t="s">
        <v>1737</v>
      </c>
      <c r="T1180" s="4">
        <v>19</v>
      </c>
      <c r="U1180"/>
      <c r="W1180" s="4">
        <v>43331</v>
      </c>
      <c r="X1180" s="4" t="s">
        <v>1738</v>
      </c>
      <c r="AK1180" s="7"/>
      <c r="AO1180" s="188" t="s">
        <v>4647</v>
      </c>
      <c r="AP1180" s="4">
        <v>1339</v>
      </c>
      <c r="AQ1180" s="4" t="s">
        <v>1716</v>
      </c>
      <c r="AR1180" s="4" t="s">
        <v>1739</v>
      </c>
      <c r="AS1180" s="4" t="s">
        <v>1740</v>
      </c>
      <c r="AT1180" s="4" t="s">
        <v>1741</v>
      </c>
      <c r="AU1180" s="4" t="s">
        <v>1742</v>
      </c>
      <c r="AV1180" s="4" t="s">
        <v>1720</v>
      </c>
      <c r="AW1180" s="4" t="s">
        <v>1705</v>
      </c>
      <c r="AX1180" s="4" t="s">
        <v>1883</v>
      </c>
      <c r="AY1180" s="4">
        <v>49.9754</v>
      </c>
      <c r="AZ1180" s="4">
        <v>-121.4892</v>
      </c>
      <c r="BA1180" s="4">
        <v>361</v>
      </c>
    </row>
    <row r="1181" spans="1:53" ht="14.25" customHeight="1" x14ac:dyDescent="0.2">
      <c r="A1181" s="136" t="s">
        <v>1908</v>
      </c>
      <c r="B1181" s="4">
        <v>12</v>
      </c>
      <c r="C1181" s="4" t="s">
        <v>1711</v>
      </c>
      <c r="D1181" s="4">
        <v>1378</v>
      </c>
      <c r="E1181" s="4">
        <v>12458</v>
      </c>
      <c r="F1181" s="188" t="s">
        <v>4700</v>
      </c>
      <c r="G1181" s="201" t="s">
        <v>4701</v>
      </c>
      <c r="H1181" s="4" t="s">
        <v>4702</v>
      </c>
      <c r="I1181" s="4" t="s">
        <v>49</v>
      </c>
      <c r="J1181" s="4" t="s">
        <v>1891</v>
      </c>
      <c r="K1181" s="4">
        <v>1</v>
      </c>
      <c r="L1181" s="4">
        <v>14480</v>
      </c>
      <c r="M1181" s="6">
        <v>50.267805600000003</v>
      </c>
      <c r="N1181" s="9">
        <v>-127.07961109999999</v>
      </c>
      <c r="O1181" s="9" t="s">
        <v>142</v>
      </c>
      <c r="P1181" s="9">
        <v>1378</v>
      </c>
      <c r="Q1181" s="20">
        <v>1</v>
      </c>
      <c r="R1181" s="9" t="s">
        <v>4700</v>
      </c>
      <c r="S1181" s="9" t="s">
        <v>4045</v>
      </c>
      <c r="T1181" s="9">
        <v>462</v>
      </c>
      <c r="U1181" s="9"/>
      <c r="V1181" s="9"/>
      <c r="W1181" s="21">
        <v>43831</v>
      </c>
      <c r="X1181" s="9" t="s">
        <v>1738</v>
      </c>
      <c r="AK1181" s="7"/>
      <c r="AO1181" s="4" t="s">
        <v>4700</v>
      </c>
      <c r="AP1181" s="4">
        <v>1378</v>
      </c>
      <c r="AQ1181" s="4" t="s">
        <v>1716</v>
      </c>
      <c r="AR1181" s="4" t="s">
        <v>1739</v>
      </c>
      <c r="AS1181" s="4" t="s">
        <v>1740</v>
      </c>
      <c r="AT1181" s="4" t="s">
        <v>1741</v>
      </c>
      <c r="AU1181" s="4" t="s">
        <v>1742</v>
      </c>
      <c r="AV1181" s="4" t="s">
        <v>1720</v>
      </c>
      <c r="AW1181" s="4" t="s">
        <v>1705</v>
      </c>
      <c r="AX1181" s="4" t="s">
        <v>1723</v>
      </c>
      <c r="AY1181" s="4">
        <v>50.265099999999997</v>
      </c>
      <c r="AZ1181" s="4">
        <v>-127.0835</v>
      </c>
      <c r="BA1181" s="4">
        <v>384</v>
      </c>
    </row>
    <row r="1182" spans="1:53" ht="14.25" customHeight="1" x14ac:dyDescent="0.2">
      <c r="A1182" s="136" t="s">
        <v>1908</v>
      </c>
      <c r="B1182" s="4">
        <v>12</v>
      </c>
      <c r="C1182" s="4" t="s">
        <v>1711</v>
      </c>
      <c r="D1182" s="4">
        <v>1383</v>
      </c>
      <c r="E1182" s="4">
        <v>12460</v>
      </c>
      <c r="F1182" s="188" t="s">
        <v>4706</v>
      </c>
      <c r="G1182" s="201" t="s">
        <v>4707</v>
      </c>
      <c r="H1182" s="4" t="s">
        <v>4708</v>
      </c>
      <c r="I1182" s="4" t="s">
        <v>49</v>
      </c>
      <c r="J1182" s="4" t="s">
        <v>1891</v>
      </c>
      <c r="K1182" s="4">
        <v>1</v>
      </c>
      <c r="L1182" s="4">
        <v>14482</v>
      </c>
      <c r="M1182" s="6">
        <v>50.082500000000003</v>
      </c>
      <c r="N1182" s="9">
        <v>-123.04130000000001</v>
      </c>
      <c r="O1182" s="9" t="s">
        <v>183</v>
      </c>
      <c r="P1182" s="9">
        <v>1383</v>
      </c>
      <c r="Q1182" s="20">
        <v>6</v>
      </c>
      <c r="R1182" s="9" t="s">
        <v>4706</v>
      </c>
      <c r="S1182" s="9" t="s">
        <v>1737</v>
      </c>
      <c r="T1182" s="9">
        <v>456</v>
      </c>
      <c r="U1182" s="9"/>
      <c r="V1182" s="9"/>
      <c r="W1182" s="21">
        <v>43691</v>
      </c>
      <c r="X1182" s="9" t="s">
        <v>1738</v>
      </c>
      <c r="AK1182" s="7"/>
      <c r="AO1182" s="4" t="s">
        <v>4706</v>
      </c>
      <c r="AP1182" s="4">
        <v>1383</v>
      </c>
      <c r="AQ1182" s="4" t="s">
        <v>1716</v>
      </c>
      <c r="AR1182" s="4" t="s">
        <v>1739</v>
      </c>
      <c r="AS1182" s="4" t="s">
        <v>1740</v>
      </c>
      <c r="AT1182" s="4" t="s">
        <v>1741</v>
      </c>
      <c r="AU1182" s="4" t="s">
        <v>1772</v>
      </c>
      <c r="AV1182" s="4" t="s">
        <v>1720</v>
      </c>
      <c r="AW1182" s="4" t="s">
        <v>1705</v>
      </c>
      <c r="AX1182" s="4" t="s">
        <v>1706</v>
      </c>
      <c r="AY1182" s="4">
        <v>49.4041</v>
      </c>
      <c r="AZ1182" s="4">
        <v>-124.75839999999999</v>
      </c>
      <c r="BA1182" s="4">
        <v>669</v>
      </c>
    </row>
    <row r="1183" spans="1:53" ht="14.25" customHeight="1" x14ac:dyDescent="0.2">
      <c r="A1183" s="136" t="s">
        <v>1908</v>
      </c>
      <c r="B1183" s="4">
        <v>12</v>
      </c>
      <c r="C1183" s="4" t="s">
        <v>1711</v>
      </c>
      <c r="D1183" s="4">
        <v>1398</v>
      </c>
      <c r="E1183" s="4">
        <v>12526</v>
      </c>
      <c r="F1183" s="4" t="s">
        <v>4738</v>
      </c>
      <c r="G1183" s="8" t="s">
        <v>4739</v>
      </c>
      <c r="H1183" s="4" t="s">
        <v>4740</v>
      </c>
      <c r="I1183" s="4" t="s">
        <v>49</v>
      </c>
      <c r="J1183" s="4" t="s">
        <v>1746</v>
      </c>
      <c r="K1183" s="4">
        <v>1</v>
      </c>
      <c r="L1183" s="4">
        <v>14548</v>
      </c>
      <c r="M1183" s="6">
        <v>49.207500000000003</v>
      </c>
      <c r="N1183" s="4">
        <v>-125.12179999999999</v>
      </c>
      <c r="O1183" s="4" t="s">
        <v>51</v>
      </c>
      <c r="P1183" s="4">
        <v>1398</v>
      </c>
      <c r="Q1183" s="4">
        <v>3</v>
      </c>
      <c r="R1183" s="4" t="s">
        <v>4738</v>
      </c>
      <c r="S1183" s="4" t="s">
        <v>4045</v>
      </c>
      <c r="T1183" s="4">
        <v>354</v>
      </c>
      <c r="U1183"/>
      <c r="W1183" s="4">
        <v>44039</v>
      </c>
      <c r="X1183" s="4" t="s">
        <v>1738</v>
      </c>
      <c r="AK1183" s="7"/>
      <c r="AO1183" s="4" t="s">
        <v>4738</v>
      </c>
      <c r="AP1183" s="4">
        <v>1398</v>
      </c>
      <c r="AQ1183" s="4" t="s">
        <v>1716</v>
      </c>
      <c r="AR1183" s="4" t="s">
        <v>1739</v>
      </c>
      <c r="AS1183" s="4" t="s">
        <v>1740</v>
      </c>
      <c r="AT1183" s="4" t="s">
        <v>1741</v>
      </c>
      <c r="AU1183" s="4" t="s">
        <v>1742</v>
      </c>
      <c r="AV1183" s="4" t="s">
        <v>1720</v>
      </c>
      <c r="AW1183" s="4" t="s">
        <v>1705</v>
      </c>
      <c r="AX1183" s="4" t="s">
        <v>1706</v>
      </c>
      <c r="AY1183" s="4">
        <v>49.207500000000003</v>
      </c>
      <c r="AZ1183" s="4">
        <v>-125.12179999999999</v>
      </c>
      <c r="BA1183" s="4">
        <v>354</v>
      </c>
    </row>
    <row r="1184" spans="1:53" ht="14.25" customHeight="1" x14ac:dyDescent="0.2">
      <c r="A1184" s="136" t="s">
        <v>1908</v>
      </c>
      <c r="B1184" s="4">
        <v>12</v>
      </c>
      <c r="C1184" s="4" t="s">
        <v>1711</v>
      </c>
      <c r="D1184" s="4">
        <v>1403</v>
      </c>
      <c r="E1184" s="4">
        <v>12952</v>
      </c>
      <c r="F1184" s="200" t="s">
        <v>4754</v>
      </c>
      <c r="G1184" s="201" t="s">
        <v>4755</v>
      </c>
      <c r="H1184" s="4" t="s">
        <v>4756</v>
      </c>
      <c r="I1184" s="4" t="s">
        <v>49</v>
      </c>
      <c r="J1184" s="4" t="s">
        <v>1746</v>
      </c>
      <c r="K1184" s="4">
        <v>1</v>
      </c>
      <c r="L1184" s="4">
        <v>14884</v>
      </c>
      <c r="M1184" s="6"/>
      <c r="U1184"/>
      <c r="AK1184" s="7"/>
      <c r="AO1184" s="188" t="s">
        <v>4757</v>
      </c>
      <c r="AP1184" s="188">
        <v>1403</v>
      </c>
      <c r="AQ1184" s="188" t="s">
        <v>1716</v>
      </c>
      <c r="AR1184" s="188" t="s">
        <v>1717</v>
      </c>
      <c r="AS1184" s="188" t="s">
        <v>1740</v>
      </c>
      <c r="AT1184" s="188" t="s">
        <v>1835</v>
      </c>
      <c r="AU1184" s="188" t="s">
        <v>1742</v>
      </c>
      <c r="AV1184" s="188" t="s">
        <v>1720</v>
      </c>
      <c r="AW1184" s="188" t="s">
        <v>2368</v>
      </c>
      <c r="AX1184" s="188" t="s">
        <v>2505</v>
      </c>
      <c r="AY1184" s="188">
        <v>51.220999999999997</v>
      </c>
      <c r="AZ1184" s="188">
        <v>-122.1574</v>
      </c>
      <c r="BA1184" s="188">
        <v>455</v>
      </c>
    </row>
    <row r="1185" spans="1:72" ht="14.25" customHeight="1" x14ac:dyDescent="0.2">
      <c r="A1185" s="136" t="s">
        <v>1908</v>
      </c>
      <c r="B1185" s="4">
        <v>12</v>
      </c>
      <c r="C1185" s="4" t="s">
        <v>1711</v>
      </c>
      <c r="D1185" s="4">
        <v>1408</v>
      </c>
      <c r="E1185" s="4">
        <v>12957</v>
      </c>
      <c r="F1185" s="10" t="s">
        <v>4762</v>
      </c>
      <c r="G1185" s="201" t="s">
        <v>4763</v>
      </c>
      <c r="H1185" s="4" t="s">
        <v>4764</v>
      </c>
      <c r="I1185" s="4" t="s">
        <v>49</v>
      </c>
      <c r="J1185" s="4" t="s">
        <v>1746</v>
      </c>
      <c r="K1185" s="4">
        <v>1</v>
      </c>
      <c r="L1185" s="4">
        <v>14889</v>
      </c>
      <c r="M1185" s="6">
        <v>50.171100000000003</v>
      </c>
      <c r="N1185" s="4">
        <v>-125.5757</v>
      </c>
      <c r="O1185" s="4" t="s">
        <v>51</v>
      </c>
      <c r="P1185" s="4">
        <v>1408</v>
      </c>
      <c r="Q1185" s="4">
        <v>2</v>
      </c>
      <c r="R1185" s="4" t="s">
        <v>4765</v>
      </c>
      <c r="S1185" s="4" t="s">
        <v>4045</v>
      </c>
      <c r="T1185" s="4">
        <v>289</v>
      </c>
      <c r="U1185"/>
      <c r="W1185" s="4">
        <v>44277</v>
      </c>
      <c r="X1185" s="4" t="s">
        <v>1738</v>
      </c>
      <c r="AK1185" s="7"/>
      <c r="AO1185" s="188" t="s">
        <v>4765</v>
      </c>
      <c r="AP1185" s="4">
        <v>1408</v>
      </c>
      <c r="AQ1185" s="4" t="s">
        <v>1716</v>
      </c>
      <c r="AR1185" s="4" t="s">
        <v>1739</v>
      </c>
      <c r="AS1185" s="4" t="s">
        <v>1740</v>
      </c>
      <c r="AT1185" s="4" t="s">
        <v>1741</v>
      </c>
      <c r="AU1185" s="4" t="s">
        <v>1742</v>
      </c>
      <c r="AV1185" s="4" t="s">
        <v>1720</v>
      </c>
      <c r="AW1185" s="4" t="s">
        <v>1705</v>
      </c>
      <c r="AX1185" s="4" t="s">
        <v>1723</v>
      </c>
      <c r="AY1185" s="4">
        <v>50.171100000000003</v>
      </c>
      <c r="AZ1185" s="4">
        <v>-125.5757</v>
      </c>
      <c r="BA1185" s="4">
        <v>289</v>
      </c>
    </row>
    <row r="1186" spans="1:72" ht="14.25" customHeight="1" x14ac:dyDescent="0.2">
      <c r="A1186" s="136" t="s">
        <v>1908</v>
      </c>
      <c r="B1186" s="4">
        <v>12</v>
      </c>
      <c r="C1186" s="4" t="s">
        <v>1711</v>
      </c>
      <c r="D1186" s="4">
        <v>1911</v>
      </c>
      <c r="E1186" s="4">
        <v>13015</v>
      </c>
      <c r="F1186" s="10" t="s">
        <v>4796</v>
      </c>
      <c r="G1186" s="201" t="s">
        <v>7865</v>
      </c>
      <c r="H1186" s="4" t="s">
        <v>4798</v>
      </c>
      <c r="I1186" s="4" t="s">
        <v>49</v>
      </c>
      <c r="J1186" s="4" t="s">
        <v>1746</v>
      </c>
      <c r="K1186" s="4">
        <v>1</v>
      </c>
      <c r="L1186" s="4">
        <v>14947</v>
      </c>
      <c r="M1186" s="6"/>
      <c r="U1186"/>
      <c r="AK1186" s="7"/>
      <c r="AO1186" s="188" t="s">
        <v>4799</v>
      </c>
      <c r="AP1186" s="4">
        <v>1911</v>
      </c>
      <c r="AQ1186" s="4" t="s">
        <v>1716</v>
      </c>
      <c r="AR1186" s="4" t="s">
        <v>1717</v>
      </c>
      <c r="AS1186" s="4" t="s">
        <v>1740</v>
      </c>
      <c r="AT1186" s="4" t="s">
        <v>1741</v>
      </c>
      <c r="AU1186" s="4" t="s">
        <v>1742</v>
      </c>
      <c r="AV1186" s="4" t="s">
        <v>1720</v>
      </c>
      <c r="AW1186" s="4" t="s">
        <v>2698</v>
      </c>
      <c r="AX1186" s="4" t="s">
        <v>2827</v>
      </c>
      <c r="AY1186" s="4">
        <v>49.072000000000003</v>
      </c>
      <c r="AZ1186" s="4">
        <v>-118.9755</v>
      </c>
      <c r="BA1186" s="4">
        <v>844</v>
      </c>
    </row>
    <row r="1187" spans="1:72" ht="14.25" customHeight="1" x14ac:dyDescent="0.2">
      <c r="A1187" s="136" t="s">
        <v>1908</v>
      </c>
      <c r="B1187" s="4">
        <v>12</v>
      </c>
      <c r="C1187" s="4" t="s">
        <v>1711</v>
      </c>
      <c r="D1187" s="4">
        <v>1994</v>
      </c>
      <c r="E1187" s="4">
        <v>13022</v>
      </c>
      <c r="F1187" s="10" t="s">
        <v>4800</v>
      </c>
      <c r="G1187" s="201" t="s">
        <v>4801</v>
      </c>
      <c r="H1187" s="4" t="s">
        <v>4802</v>
      </c>
      <c r="I1187" s="4" t="s">
        <v>49</v>
      </c>
      <c r="J1187" s="4" t="s">
        <v>1746</v>
      </c>
      <c r="K1187" s="4">
        <v>1</v>
      </c>
      <c r="L1187" s="4">
        <v>14954</v>
      </c>
      <c r="M1187" s="6"/>
      <c r="U1187"/>
      <c r="AK1187" s="7"/>
      <c r="AO1187" s="65" t="s">
        <v>4803</v>
      </c>
      <c r="AP1187" s="4">
        <v>1994</v>
      </c>
      <c r="AQ1187" s="4" t="s">
        <v>1716</v>
      </c>
      <c r="AR1187" s="4" t="s">
        <v>1717</v>
      </c>
      <c r="AS1187" s="4" t="s">
        <v>1740</v>
      </c>
      <c r="AT1187" s="4" t="s">
        <v>1741</v>
      </c>
      <c r="AU1187" s="4" t="s">
        <v>1742</v>
      </c>
      <c r="AV1187" s="4" t="s">
        <v>1720</v>
      </c>
      <c r="AW1187" s="4" t="s">
        <v>1947</v>
      </c>
      <c r="AX1187" s="4" t="s">
        <v>1973</v>
      </c>
      <c r="AY1187" s="4">
        <v>54.466700000000003</v>
      </c>
      <c r="AZ1187" s="4">
        <v>-128.5667</v>
      </c>
      <c r="BA1187" s="4">
        <v>218</v>
      </c>
    </row>
    <row r="1188" spans="1:72" ht="14.25" customHeight="1" x14ac:dyDescent="0.2">
      <c r="A1188" s="136" t="s">
        <v>1908</v>
      </c>
      <c r="B1188" s="4">
        <v>12</v>
      </c>
      <c r="C1188" s="4" t="s">
        <v>1711</v>
      </c>
      <c r="D1188" s="4">
        <v>2130</v>
      </c>
      <c r="E1188" s="4">
        <v>13023</v>
      </c>
      <c r="F1188" s="200" t="s">
        <v>4804</v>
      </c>
      <c r="G1188" s="201" t="s">
        <v>4805</v>
      </c>
      <c r="H1188" s="4" t="s">
        <v>4806</v>
      </c>
      <c r="I1188" s="4" t="s">
        <v>49</v>
      </c>
      <c r="J1188" s="4" t="s">
        <v>1746</v>
      </c>
      <c r="K1188" s="4">
        <v>1</v>
      </c>
      <c r="L1188" s="4">
        <v>14955</v>
      </c>
      <c r="M1188" s="6"/>
      <c r="U1188"/>
      <c r="AK1188" s="7"/>
      <c r="AO1188" s="65" t="s">
        <v>4807</v>
      </c>
      <c r="AP1188" s="188">
        <v>2130</v>
      </c>
      <c r="AQ1188" s="188" t="s">
        <v>1716</v>
      </c>
      <c r="AR1188" s="188" t="s">
        <v>1717</v>
      </c>
      <c r="AS1188" s="188" t="s">
        <v>1740</v>
      </c>
      <c r="AT1188" s="188" t="s">
        <v>1741</v>
      </c>
      <c r="AU1188" s="188" t="s">
        <v>1742</v>
      </c>
      <c r="AV1188" s="188" t="s">
        <v>1720</v>
      </c>
      <c r="AW1188" s="188" t="s">
        <v>2368</v>
      </c>
      <c r="AX1188" s="188" t="s">
        <v>2522</v>
      </c>
      <c r="AY1188" s="188">
        <v>50.796900000000001</v>
      </c>
      <c r="AZ1188" s="188">
        <v>-118.9432</v>
      </c>
      <c r="BA1188" s="188">
        <v>1029</v>
      </c>
    </row>
    <row r="1189" spans="1:72" ht="14.25" customHeight="1" x14ac:dyDescent="0.2">
      <c r="A1189" s="136" t="s">
        <v>1908</v>
      </c>
      <c r="B1189" s="4">
        <v>12</v>
      </c>
      <c r="C1189" s="4" t="s">
        <v>1711</v>
      </c>
      <c r="D1189" s="4">
        <v>2170</v>
      </c>
      <c r="E1189" s="4">
        <v>13040</v>
      </c>
      <c r="F1189" s="10" t="s">
        <v>4808</v>
      </c>
      <c r="G1189" s="201" t="s">
        <v>4809</v>
      </c>
      <c r="H1189" s="4" t="s">
        <v>4810</v>
      </c>
      <c r="I1189" s="4" t="s">
        <v>49</v>
      </c>
      <c r="J1189" s="4" t="s">
        <v>1746</v>
      </c>
      <c r="K1189" s="4">
        <v>1</v>
      </c>
      <c r="L1189" s="4">
        <v>14972</v>
      </c>
      <c r="M1189" s="6"/>
      <c r="U1189"/>
      <c r="AK1189" s="7"/>
      <c r="AO1189" s="4" t="s">
        <v>4625</v>
      </c>
      <c r="AP1189" s="4">
        <v>2170</v>
      </c>
      <c r="AQ1189" s="4" t="s">
        <v>1716</v>
      </c>
      <c r="AR1189" s="4" t="s">
        <v>1717</v>
      </c>
      <c r="AS1189" s="4" t="s">
        <v>1740</v>
      </c>
      <c r="AT1189" s="4" t="s">
        <v>1835</v>
      </c>
      <c r="AU1189" s="4" t="s">
        <v>1742</v>
      </c>
      <c r="AV1189" s="4" t="s">
        <v>1720</v>
      </c>
      <c r="AW1189" s="4" t="s">
        <v>2368</v>
      </c>
      <c r="AX1189" s="4" t="s">
        <v>2516</v>
      </c>
      <c r="AY1189" s="4">
        <v>49.116700000000002</v>
      </c>
      <c r="AZ1189" s="4">
        <v>-119.3</v>
      </c>
      <c r="BA1189" s="4">
        <v>1384</v>
      </c>
    </row>
    <row r="1190" spans="1:72" ht="14.25" customHeight="1" x14ac:dyDescent="0.2">
      <c r="A1190" s="136" t="s">
        <v>1908</v>
      </c>
      <c r="B1190" s="4">
        <v>12</v>
      </c>
      <c r="C1190" s="4" t="s">
        <v>1711</v>
      </c>
      <c r="D1190" s="4">
        <v>2450</v>
      </c>
      <c r="E1190" s="4">
        <v>13077</v>
      </c>
      <c r="F1190" s="10" t="s">
        <v>4829</v>
      </c>
      <c r="G1190" s="201" t="s">
        <v>4830</v>
      </c>
      <c r="H1190" s="4" t="s">
        <v>4831</v>
      </c>
      <c r="I1190" s="4" t="s">
        <v>49</v>
      </c>
      <c r="J1190" s="4" t="s">
        <v>1746</v>
      </c>
      <c r="K1190" s="4">
        <v>1</v>
      </c>
      <c r="L1190" s="4">
        <v>14999</v>
      </c>
      <c r="M1190" s="6"/>
      <c r="U1190"/>
      <c r="AK1190" s="7"/>
      <c r="AO1190" s="188" t="s">
        <v>4832</v>
      </c>
      <c r="AP1190" s="4">
        <v>2450</v>
      </c>
      <c r="AQ1190" s="4" t="s">
        <v>1700</v>
      </c>
      <c r="AR1190" s="4" t="s">
        <v>1739</v>
      </c>
      <c r="AS1190" s="4" t="s">
        <v>1740</v>
      </c>
      <c r="AT1190" s="4" t="s">
        <v>1835</v>
      </c>
      <c r="AU1190" s="4" t="s">
        <v>1959</v>
      </c>
      <c r="AV1190" s="4" t="s">
        <v>1720</v>
      </c>
      <c r="AW1190" s="4" t="s">
        <v>2698</v>
      </c>
      <c r="AX1190" s="4" t="s">
        <v>2902</v>
      </c>
      <c r="AY1190" s="4">
        <v>49.453899999999997</v>
      </c>
      <c r="AZ1190" s="4">
        <v>-115.9872</v>
      </c>
      <c r="BA1190" s="4">
        <v>1540</v>
      </c>
    </row>
    <row r="1191" spans="1:72" ht="14.25" customHeight="1" x14ac:dyDescent="0.2">
      <c r="A1191" s="136" t="s">
        <v>1908</v>
      </c>
      <c r="B1191" s="4">
        <v>12</v>
      </c>
      <c r="C1191" s="4" t="s">
        <v>1711</v>
      </c>
      <c r="D1191" s="4">
        <v>2512</v>
      </c>
      <c r="E1191" s="4">
        <v>13078</v>
      </c>
      <c r="F1191" s="200" t="s">
        <v>4837</v>
      </c>
      <c r="G1191" s="8" t="s">
        <v>4838</v>
      </c>
      <c r="H1191" s="4" t="s">
        <v>4839</v>
      </c>
      <c r="I1191" s="4" t="s">
        <v>49</v>
      </c>
      <c r="J1191" s="4" t="s">
        <v>1746</v>
      </c>
      <c r="K1191" s="4">
        <v>1</v>
      </c>
      <c r="L1191" s="4">
        <v>15000</v>
      </c>
      <c r="M1191" s="6"/>
      <c r="U1191"/>
      <c r="AK1191" s="7"/>
      <c r="AO1191" s="4" t="s">
        <v>4840</v>
      </c>
      <c r="AP1191" s="4">
        <v>2512</v>
      </c>
      <c r="AQ1191" s="4" t="s">
        <v>1716</v>
      </c>
      <c r="AR1191" s="4" t="s">
        <v>1717</v>
      </c>
      <c r="AS1191" s="4" t="s">
        <v>1740</v>
      </c>
      <c r="AT1191" s="4" t="s">
        <v>1703</v>
      </c>
      <c r="AU1191" s="4" t="s">
        <v>1742</v>
      </c>
      <c r="AV1191" s="4" t="s">
        <v>1720</v>
      </c>
      <c r="AW1191" s="4" t="s">
        <v>2368</v>
      </c>
      <c r="AX1191" s="4" t="s">
        <v>2369</v>
      </c>
      <c r="AY1191" s="4">
        <v>51.765000000000001</v>
      </c>
      <c r="AZ1191" s="4">
        <v>-119.6751</v>
      </c>
      <c r="BA1191" s="4">
        <v>920</v>
      </c>
    </row>
    <row r="1192" spans="1:72" ht="14.25" customHeight="1" x14ac:dyDescent="0.2">
      <c r="A1192" s="136" t="s">
        <v>1908</v>
      </c>
      <c r="B1192" s="4">
        <v>12</v>
      </c>
      <c r="C1192" s="4" t="s">
        <v>1711</v>
      </c>
      <c r="D1192" s="4">
        <v>2513</v>
      </c>
      <c r="E1192" s="4">
        <v>13079</v>
      </c>
      <c r="F1192" s="10" t="s">
        <v>4841</v>
      </c>
      <c r="G1192" s="201" t="s">
        <v>4842</v>
      </c>
      <c r="H1192" s="4" t="s">
        <v>4843</v>
      </c>
      <c r="I1192" s="4" t="s">
        <v>49</v>
      </c>
      <c r="J1192" s="4" t="s">
        <v>1891</v>
      </c>
      <c r="K1192" s="4">
        <v>1</v>
      </c>
      <c r="L1192" s="4">
        <v>15001</v>
      </c>
      <c r="M1192" s="6"/>
      <c r="U1192"/>
      <c r="AK1192" s="7"/>
      <c r="AO1192" s="4" t="s">
        <v>4844</v>
      </c>
      <c r="AP1192" s="4">
        <v>2513</v>
      </c>
      <c r="AQ1192" s="4" t="s">
        <v>1716</v>
      </c>
      <c r="AR1192" s="4" t="s">
        <v>1701</v>
      </c>
      <c r="AS1192" s="4" t="s">
        <v>1740</v>
      </c>
      <c r="AT1192" s="4" t="s">
        <v>1703</v>
      </c>
      <c r="AU1192" s="4" t="s">
        <v>1704</v>
      </c>
      <c r="AV1192" s="4" t="s">
        <v>1720</v>
      </c>
      <c r="AW1192" s="4" t="s">
        <v>2368</v>
      </c>
      <c r="AX1192" s="4" t="s">
        <v>2369</v>
      </c>
      <c r="AY1192" s="4">
        <v>51.556100000000001</v>
      </c>
      <c r="AZ1192" s="4">
        <v>-119.73820000000001</v>
      </c>
      <c r="BA1192" s="4">
        <v>1069</v>
      </c>
    </row>
    <row r="1193" spans="1:72" ht="14.25" customHeight="1" x14ac:dyDescent="0.2">
      <c r="A1193" s="136" t="s">
        <v>1908</v>
      </c>
      <c r="B1193" s="4">
        <v>12</v>
      </c>
      <c r="C1193" s="4" t="s">
        <v>1711</v>
      </c>
      <c r="D1193" s="4">
        <v>3110</v>
      </c>
      <c r="E1193" s="4">
        <v>13209</v>
      </c>
      <c r="F1193" s="10" t="s">
        <v>4888</v>
      </c>
      <c r="G1193" s="201" t="s">
        <v>4889</v>
      </c>
      <c r="H1193" s="4" t="s">
        <v>4890</v>
      </c>
      <c r="I1193" s="4" t="s">
        <v>49</v>
      </c>
      <c r="J1193" s="4" t="s">
        <v>1746</v>
      </c>
      <c r="K1193" s="4">
        <v>1</v>
      </c>
      <c r="L1193" s="4">
        <v>15125</v>
      </c>
      <c r="M1193" s="6">
        <v>49.816699999999997</v>
      </c>
      <c r="N1193" s="9">
        <v>-114.86669999999999</v>
      </c>
      <c r="O1193" s="9" t="s">
        <v>142</v>
      </c>
      <c r="P1193" s="9">
        <v>3110</v>
      </c>
      <c r="Q1193" s="20">
        <v>4</v>
      </c>
      <c r="R1193" s="9" t="s">
        <v>4891</v>
      </c>
      <c r="S1193" s="9" t="s">
        <v>1737</v>
      </c>
      <c r="T1193" s="9">
        <v>1208</v>
      </c>
      <c r="U1193" s="9"/>
      <c r="V1193" s="9"/>
      <c r="W1193" s="21">
        <v>45213</v>
      </c>
      <c r="X1193" s="9" t="s">
        <v>1738</v>
      </c>
      <c r="AK1193" s="7"/>
      <c r="AO1193" s="4" t="s">
        <v>4891</v>
      </c>
      <c r="AP1193" s="4">
        <v>3110</v>
      </c>
      <c r="AQ1193" s="4" t="s">
        <v>1716</v>
      </c>
      <c r="AR1193" s="4" t="s">
        <v>1739</v>
      </c>
      <c r="AS1193" s="4" t="s">
        <v>1740</v>
      </c>
      <c r="AT1193" s="4" t="s">
        <v>1741</v>
      </c>
      <c r="AU1193" s="4" t="s">
        <v>1742</v>
      </c>
      <c r="AV1193" s="4" t="s">
        <v>1720</v>
      </c>
      <c r="AW1193" s="4" t="s">
        <v>2698</v>
      </c>
      <c r="AX1193" s="4" t="s">
        <v>2902</v>
      </c>
      <c r="AY1193" s="4">
        <v>49.832999999999998</v>
      </c>
      <c r="AZ1193" s="4">
        <v>-114.88290000000001</v>
      </c>
      <c r="BA1193" s="4">
        <v>1208</v>
      </c>
    </row>
    <row r="1194" spans="1:72" ht="14.25" customHeight="1" x14ac:dyDescent="0.2">
      <c r="A1194" s="136" t="s">
        <v>1908</v>
      </c>
      <c r="B1194" s="4">
        <v>12</v>
      </c>
      <c r="C1194" s="4" t="s">
        <v>1711</v>
      </c>
      <c r="D1194" s="4">
        <v>3190</v>
      </c>
      <c r="E1194" s="4">
        <v>13207</v>
      </c>
      <c r="F1194" s="10" t="s">
        <v>4894</v>
      </c>
      <c r="G1194" s="201" t="s">
        <v>4895</v>
      </c>
      <c r="H1194" s="4" t="s">
        <v>4896</v>
      </c>
      <c r="I1194" s="4" t="s">
        <v>49</v>
      </c>
      <c r="J1194" s="4" t="s">
        <v>1746</v>
      </c>
      <c r="K1194" s="4">
        <v>1</v>
      </c>
      <c r="L1194" s="4">
        <v>15123</v>
      </c>
      <c r="M1194" s="6">
        <v>52.507391669999997</v>
      </c>
      <c r="N1194" s="9">
        <v>-118.5202833</v>
      </c>
      <c r="O1194" s="9" t="s">
        <v>170</v>
      </c>
      <c r="P1194" s="9">
        <v>3190</v>
      </c>
      <c r="Q1194" s="20">
        <v>2</v>
      </c>
      <c r="R1194" s="9" t="s">
        <v>4897</v>
      </c>
      <c r="S1194" s="9" t="s">
        <v>1737</v>
      </c>
      <c r="T1194" s="9">
        <v>1123</v>
      </c>
      <c r="U1194" s="9"/>
      <c r="V1194" s="9"/>
      <c r="W1194" s="21">
        <v>45214</v>
      </c>
      <c r="X1194" s="9" t="s">
        <v>1738</v>
      </c>
      <c r="AK1194" s="7"/>
      <c r="AO1194" s="9" t="s">
        <v>4897</v>
      </c>
      <c r="AP1194" s="4">
        <v>3190</v>
      </c>
      <c r="AQ1194" s="4" t="s">
        <v>1716</v>
      </c>
      <c r="AR1194" s="4" t="s">
        <v>1739</v>
      </c>
      <c r="AS1194" s="4" t="s">
        <v>1740</v>
      </c>
      <c r="AT1194" s="4" t="s">
        <v>1741</v>
      </c>
      <c r="AU1194" s="4" t="s">
        <v>1742</v>
      </c>
      <c r="AV1194" s="4" t="s">
        <v>1720</v>
      </c>
      <c r="AW1194" s="4" t="s">
        <v>2003</v>
      </c>
      <c r="AX1194" s="4" t="s">
        <v>2258</v>
      </c>
      <c r="AY1194" s="4">
        <v>52.8643</v>
      </c>
      <c r="AZ1194" s="4">
        <v>-118.52030000000001</v>
      </c>
      <c r="BA1194" s="4">
        <v>1123</v>
      </c>
    </row>
    <row r="1195" spans="1:72" ht="14.25" customHeight="1" x14ac:dyDescent="0.2">
      <c r="A1195" s="136" t="s">
        <v>1908</v>
      </c>
      <c r="B1195" s="4">
        <v>12</v>
      </c>
      <c r="C1195" s="4" t="s">
        <v>1711</v>
      </c>
      <c r="D1195" s="4">
        <v>3191</v>
      </c>
      <c r="E1195" s="4">
        <v>13208</v>
      </c>
      <c r="F1195" s="200" t="s">
        <v>4898</v>
      </c>
      <c r="G1195" s="201" t="s">
        <v>4899</v>
      </c>
      <c r="H1195" s="4" t="s">
        <v>4896</v>
      </c>
      <c r="I1195" s="4" t="s">
        <v>49</v>
      </c>
      <c r="J1195" s="4" t="s">
        <v>1746</v>
      </c>
      <c r="K1195" s="4">
        <v>1</v>
      </c>
      <c r="L1195" s="4">
        <v>15124</v>
      </c>
      <c r="M1195" s="6">
        <v>52.507391699999999</v>
      </c>
      <c r="N1195" s="9">
        <v>-118.774265</v>
      </c>
      <c r="O1195" s="9" t="s">
        <v>170</v>
      </c>
      <c r="P1195" s="9">
        <v>3191</v>
      </c>
      <c r="Q1195" s="20">
        <v>2</v>
      </c>
      <c r="R1195" s="9" t="s">
        <v>4900</v>
      </c>
      <c r="S1195" s="9" t="s">
        <v>1737</v>
      </c>
      <c r="T1195" s="9">
        <v>957</v>
      </c>
      <c r="U1195" s="9"/>
      <c r="V1195" s="9"/>
      <c r="W1195" s="21">
        <v>45214</v>
      </c>
      <c r="X1195" s="9" t="s">
        <v>1738</v>
      </c>
      <c r="AK1195" s="7"/>
      <c r="AO1195" s="4" t="s">
        <v>4900</v>
      </c>
      <c r="AP1195" s="4">
        <v>3191</v>
      </c>
      <c r="AQ1195" s="4" t="s">
        <v>1716</v>
      </c>
      <c r="AR1195" s="4" t="s">
        <v>1739</v>
      </c>
      <c r="AS1195" s="4" t="s">
        <v>1740</v>
      </c>
      <c r="AT1195" s="4" t="s">
        <v>1741</v>
      </c>
      <c r="AU1195" s="4" t="s">
        <v>1742</v>
      </c>
      <c r="AV1195" s="4" t="s">
        <v>1720</v>
      </c>
      <c r="AW1195" s="4" t="s">
        <v>2003</v>
      </c>
      <c r="AX1195" s="4" t="s">
        <v>2258</v>
      </c>
      <c r="AY1195" s="4">
        <v>52.507399999999997</v>
      </c>
      <c r="AZ1195" s="4">
        <v>-118.7743</v>
      </c>
      <c r="BA1195" s="4">
        <v>957</v>
      </c>
    </row>
    <row r="1196" spans="1:72" ht="14.25" customHeight="1" x14ac:dyDescent="0.2">
      <c r="A1196" s="136" t="s">
        <v>1908</v>
      </c>
      <c r="B1196" s="4">
        <v>5</v>
      </c>
      <c r="C1196" s="4" t="s">
        <v>6010</v>
      </c>
      <c r="D1196" s="4" t="s">
        <v>6011</v>
      </c>
      <c r="E1196" s="4">
        <v>13100</v>
      </c>
      <c r="F1196" s="10" t="s">
        <v>6012</v>
      </c>
      <c r="G1196" s="200" t="s">
        <v>6013</v>
      </c>
      <c r="H1196" s="4" t="s">
        <v>6014</v>
      </c>
      <c r="I1196" s="4" t="s">
        <v>49</v>
      </c>
      <c r="J1196" s="4" t="s">
        <v>6015</v>
      </c>
      <c r="K1196" s="4">
        <v>1</v>
      </c>
      <c r="L1196" s="4">
        <v>15022</v>
      </c>
      <c r="M1196" s="222">
        <v>-122.1837</v>
      </c>
      <c r="N1196" s="201">
        <v>50.9724</v>
      </c>
      <c r="O1196" s="201">
        <v>558</v>
      </c>
      <c r="P1196" s="201" t="s">
        <v>6011</v>
      </c>
      <c r="Q1196" s="201"/>
      <c r="R1196" s="201" t="s">
        <v>6016</v>
      </c>
      <c r="S1196" s="237"/>
      <c r="T1196" s="237"/>
      <c r="U1196" s="237"/>
      <c r="V1196" s="237"/>
      <c r="W1196" s="237"/>
      <c r="X1196" s="237"/>
      <c r="Y1196" s="237"/>
      <c r="Z1196" s="237"/>
      <c r="AA1196" s="237"/>
      <c r="AB1196" s="237"/>
      <c r="AC1196" s="237"/>
      <c r="AD1196" s="237"/>
      <c r="AE1196" s="237"/>
      <c r="AF1196" s="237"/>
      <c r="AG1196" s="237"/>
      <c r="AH1196" s="237"/>
      <c r="AI1196" s="237"/>
      <c r="AJ1196" s="237"/>
      <c r="AK1196" s="265"/>
      <c r="AL1196" s="237"/>
      <c r="AM1196" s="237"/>
      <c r="AN1196" s="237"/>
      <c r="AO1196" s="53"/>
      <c r="AP1196" s="237"/>
      <c r="AQ1196" s="237"/>
      <c r="AR1196" s="237"/>
      <c r="AS1196" s="237"/>
      <c r="AT1196" s="237"/>
      <c r="AU1196" s="237"/>
      <c r="AV1196" s="237"/>
      <c r="AW1196" s="237"/>
      <c r="AX1196" s="237"/>
      <c r="AY1196" s="237"/>
      <c r="AZ1196" s="237"/>
      <c r="BA1196" s="237"/>
      <c r="BB1196" s="237"/>
      <c r="BC1196" s="237"/>
      <c r="BD1196" s="237"/>
      <c r="BE1196" s="237"/>
      <c r="BF1196" s="237"/>
      <c r="BG1196" s="237"/>
      <c r="BH1196" s="237"/>
      <c r="BI1196" s="237"/>
      <c r="BJ1196" s="237"/>
      <c r="BK1196" s="237"/>
      <c r="BL1196" s="237"/>
      <c r="BM1196" s="237"/>
      <c r="BN1196" s="237"/>
      <c r="BO1196" s="237"/>
      <c r="BP1196" s="237"/>
      <c r="BQ1196" s="237"/>
      <c r="BR1196" s="237"/>
      <c r="BS1196" s="237"/>
      <c r="BT1196" s="237"/>
    </row>
    <row r="1197" spans="1:72" ht="14.25" customHeight="1" x14ac:dyDescent="0.2">
      <c r="A1197" s="136" t="s">
        <v>1908</v>
      </c>
      <c r="B1197" s="4">
        <v>5</v>
      </c>
      <c r="C1197" s="4" t="s">
        <v>6010</v>
      </c>
      <c r="D1197" s="4" t="s">
        <v>6017</v>
      </c>
      <c r="E1197" s="4">
        <v>13115</v>
      </c>
      <c r="F1197" s="10" t="s">
        <v>6018</v>
      </c>
      <c r="G1197" s="201" t="s">
        <v>6019</v>
      </c>
      <c r="H1197" s="4" t="s">
        <v>6020</v>
      </c>
      <c r="I1197" s="4" t="s">
        <v>49</v>
      </c>
      <c r="J1197" s="4" t="s">
        <v>6021</v>
      </c>
      <c r="K1197" s="4">
        <v>1</v>
      </c>
      <c r="L1197" s="4">
        <v>15037</v>
      </c>
      <c r="M1197" s="222">
        <v>-126.10899999999999</v>
      </c>
      <c r="N1197" s="201">
        <v>49.70496</v>
      </c>
      <c r="O1197" s="201">
        <v>10</v>
      </c>
      <c r="P1197" s="201" t="s">
        <v>6017</v>
      </c>
      <c r="Q1197" s="201"/>
      <c r="R1197" s="201" t="s">
        <v>6022</v>
      </c>
      <c r="S1197" s="237"/>
      <c r="T1197" s="237"/>
      <c r="U1197" s="237"/>
      <c r="V1197" s="237"/>
      <c r="W1197" s="237"/>
      <c r="X1197" s="237"/>
      <c r="Y1197" s="237"/>
      <c r="Z1197" s="237"/>
      <c r="AA1197" s="237"/>
      <c r="AB1197" s="237"/>
      <c r="AC1197" s="237"/>
      <c r="AD1197" s="237"/>
      <c r="AE1197" s="237"/>
      <c r="AF1197" s="237"/>
      <c r="AG1197" s="237"/>
      <c r="AH1197" s="237"/>
      <c r="AI1197" s="237"/>
      <c r="AJ1197" s="237"/>
      <c r="AK1197" s="265"/>
      <c r="AL1197" s="237"/>
      <c r="AM1197" s="237"/>
      <c r="AN1197" s="237"/>
      <c r="AO1197" s="53"/>
      <c r="AP1197" s="237"/>
      <c r="AQ1197" s="237"/>
      <c r="AR1197" s="237"/>
      <c r="AS1197" s="237"/>
      <c r="AT1197" s="237"/>
      <c r="AU1197" s="237"/>
      <c r="AV1197" s="237"/>
      <c r="AW1197" s="237"/>
      <c r="AX1197" s="237"/>
      <c r="AY1197" s="237"/>
      <c r="AZ1197" s="237"/>
      <c r="BA1197" s="237"/>
      <c r="BB1197" s="237"/>
      <c r="BC1197" s="237"/>
      <c r="BD1197" s="237"/>
      <c r="BE1197" s="237"/>
      <c r="BF1197" s="237"/>
      <c r="BG1197" s="237"/>
      <c r="BH1197" s="237"/>
      <c r="BI1197" s="237"/>
      <c r="BJ1197" s="237"/>
      <c r="BK1197" s="237"/>
      <c r="BL1197" s="237"/>
      <c r="BM1197" s="237"/>
      <c r="BN1197" s="237"/>
      <c r="BO1197" s="237"/>
      <c r="BP1197" s="237"/>
      <c r="BQ1197" s="237"/>
      <c r="BR1197" s="237"/>
      <c r="BS1197" s="237"/>
      <c r="BT1197" s="237"/>
    </row>
    <row r="1198" spans="1:72" ht="14.25" customHeight="1" x14ac:dyDescent="0.2">
      <c r="A1198" s="136" t="s">
        <v>1908</v>
      </c>
      <c r="B1198" s="4">
        <v>5</v>
      </c>
      <c r="C1198" s="4" t="s">
        <v>6010</v>
      </c>
      <c r="D1198" s="4" t="s">
        <v>6023</v>
      </c>
      <c r="E1198" s="4">
        <v>13104</v>
      </c>
      <c r="F1198" s="10" t="s">
        <v>6024</v>
      </c>
      <c r="G1198" s="201" t="s">
        <v>7866</v>
      </c>
      <c r="H1198" s="4" t="s">
        <v>6026</v>
      </c>
      <c r="I1198" s="4" t="s">
        <v>49</v>
      </c>
      <c r="J1198" s="4" t="s">
        <v>6027</v>
      </c>
      <c r="K1198" s="4">
        <v>1</v>
      </c>
      <c r="L1198" s="4">
        <v>15026</v>
      </c>
      <c r="M1198" s="6">
        <v>-121.57988330000001</v>
      </c>
      <c r="N1198" s="9">
        <v>49.232750000000003</v>
      </c>
      <c r="O1198" s="9">
        <v>1480</v>
      </c>
      <c r="P1198" s="4" t="s">
        <v>6023</v>
      </c>
      <c r="Q1198" s="70">
        <v>7</v>
      </c>
      <c r="R1198" s="9" t="s">
        <v>6028</v>
      </c>
      <c r="S1198" s="9" t="s">
        <v>6009</v>
      </c>
      <c r="U1198" s="237"/>
      <c r="V1198" s="237"/>
      <c r="W1198" s="237"/>
      <c r="X1198" s="237"/>
      <c r="Y1198" s="237"/>
      <c r="Z1198" s="237"/>
      <c r="AA1198" s="237"/>
      <c r="AB1198" s="237"/>
      <c r="AC1198" s="237"/>
      <c r="AD1198" s="237"/>
      <c r="AE1198" s="237"/>
      <c r="AF1198" s="237"/>
      <c r="AG1198" s="237"/>
      <c r="AH1198" s="237"/>
      <c r="AI1198" s="237"/>
      <c r="AJ1198" s="237"/>
      <c r="AK1198" s="265"/>
      <c r="AL1198" s="237"/>
      <c r="AM1198" s="237"/>
      <c r="AN1198" s="237"/>
      <c r="AO1198" s="53"/>
      <c r="AP1198" s="237"/>
      <c r="AQ1198" s="237"/>
      <c r="AR1198" s="237"/>
      <c r="AS1198" s="237"/>
      <c r="AT1198" s="237"/>
      <c r="AU1198" s="237"/>
      <c r="AV1198" s="237"/>
      <c r="AW1198" s="237"/>
      <c r="AX1198" s="237"/>
      <c r="AY1198" s="237"/>
      <c r="AZ1198" s="237"/>
      <c r="BA1198" s="237"/>
      <c r="BB1198" s="237"/>
      <c r="BC1198" s="237"/>
      <c r="BD1198" s="237"/>
      <c r="BE1198" s="237"/>
      <c r="BF1198" s="237"/>
      <c r="BG1198" s="237"/>
      <c r="BH1198" s="237"/>
      <c r="BI1198" s="237"/>
      <c r="BJ1198" s="237"/>
      <c r="BK1198" s="237"/>
      <c r="BL1198" s="237"/>
      <c r="BM1198" s="237"/>
      <c r="BN1198" s="237"/>
      <c r="BO1198" s="237"/>
      <c r="BP1198" s="237"/>
      <c r="BQ1198" s="237"/>
      <c r="BR1198" s="237"/>
      <c r="BS1198" s="237"/>
      <c r="BT1198" s="237"/>
    </row>
    <row r="1199" spans="1:72" ht="14.25" customHeight="1" x14ac:dyDescent="0.2">
      <c r="A1199" s="136" t="s">
        <v>1908</v>
      </c>
      <c r="B1199" s="4">
        <v>5</v>
      </c>
      <c r="C1199" s="4" t="s">
        <v>6010</v>
      </c>
      <c r="D1199" s="4" t="s">
        <v>6042</v>
      </c>
      <c r="E1199" s="4">
        <v>2428</v>
      </c>
      <c r="F1199" s="8" t="s">
        <v>6043</v>
      </c>
      <c r="G1199" s="201" t="s">
        <v>6044</v>
      </c>
      <c r="H1199" s="4" t="s">
        <v>6045</v>
      </c>
      <c r="I1199" s="4" t="s">
        <v>1664</v>
      </c>
      <c r="J1199" s="4" t="s">
        <v>6046</v>
      </c>
      <c r="K1199" s="4">
        <v>1</v>
      </c>
      <c r="L1199" s="4">
        <v>2831</v>
      </c>
      <c r="M1199" s="6">
        <v>-124.9042444</v>
      </c>
      <c r="N1199" s="9">
        <v>57.191191670000002</v>
      </c>
      <c r="O1199" s="9">
        <v>760</v>
      </c>
      <c r="P1199" s="4" t="s">
        <v>6042</v>
      </c>
      <c r="Q1199" s="70">
        <v>1</v>
      </c>
      <c r="R1199" s="9" t="s">
        <v>6047</v>
      </c>
      <c r="S1199" s="9" t="s">
        <v>6009</v>
      </c>
      <c r="U1199"/>
      <c r="AK1199" s="260"/>
    </row>
    <row r="1200" spans="1:72" ht="14.25" customHeight="1" x14ac:dyDescent="0.2">
      <c r="A1200" s="136" t="s">
        <v>1908</v>
      </c>
      <c r="B1200" s="4">
        <v>5</v>
      </c>
      <c r="C1200" s="4" t="s">
        <v>6010</v>
      </c>
      <c r="D1200" s="4" t="s">
        <v>6048</v>
      </c>
      <c r="E1200" s="4">
        <v>2430</v>
      </c>
      <c r="F1200" s="8" t="s">
        <v>6049</v>
      </c>
      <c r="G1200" s="201" t="s">
        <v>6050</v>
      </c>
      <c r="H1200" s="4" t="s">
        <v>6040</v>
      </c>
      <c r="I1200" s="4" t="s">
        <v>1664</v>
      </c>
      <c r="J1200" s="4" t="s">
        <v>6051</v>
      </c>
      <c r="K1200" s="4">
        <v>1</v>
      </c>
      <c r="L1200" s="4">
        <v>2833</v>
      </c>
      <c r="M1200" s="6">
        <v>-122.48343610000001</v>
      </c>
      <c r="N1200" s="9">
        <v>49.28744167</v>
      </c>
      <c r="O1200" s="9">
        <v>125</v>
      </c>
      <c r="P1200" s="4" t="s">
        <v>6048</v>
      </c>
      <c r="Q1200" s="70">
        <v>3</v>
      </c>
      <c r="R1200" s="9" t="s">
        <v>6052</v>
      </c>
      <c r="S1200" s="9" t="s">
        <v>6009</v>
      </c>
      <c r="U1200"/>
      <c r="AK1200" s="260"/>
      <c r="AO1200" s="192"/>
    </row>
    <row r="1201" spans="1:72" ht="14.25" customHeight="1" x14ac:dyDescent="0.2">
      <c r="A1201" s="136" t="s">
        <v>1908</v>
      </c>
      <c r="B1201" s="4">
        <v>5</v>
      </c>
      <c r="C1201" s="4" t="s">
        <v>6010</v>
      </c>
      <c r="D1201" s="4" t="s">
        <v>6066</v>
      </c>
      <c r="E1201" s="4">
        <v>2432</v>
      </c>
      <c r="F1201" s="8" t="s">
        <v>6067</v>
      </c>
      <c r="G1201" s="201" t="s">
        <v>7867</v>
      </c>
      <c r="H1201" s="4" t="s">
        <v>6040</v>
      </c>
      <c r="I1201" s="4" t="s">
        <v>1664</v>
      </c>
      <c r="J1201" s="4" t="s">
        <v>6069</v>
      </c>
      <c r="K1201" s="4">
        <v>1</v>
      </c>
      <c r="L1201" s="4">
        <v>2835</v>
      </c>
      <c r="M1201" s="193">
        <v>-118.35112220000001</v>
      </c>
      <c r="N1201" s="4">
        <v>50.068552779999997</v>
      </c>
      <c r="O1201" s="4">
        <v>1620</v>
      </c>
      <c r="P1201" s="4" t="s">
        <v>6066</v>
      </c>
      <c r="Q1201" s="4">
        <v>5</v>
      </c>
      <c r="R1201" s="4" t="s">
        <v>6070</v>
      </c>
      <c r="S1201" s="4" t="s">
        <v>6009</v>
      </c>
      <c r="U1201"/>
      <c r="AK1201" s="260"/>
      <c r="AO1201" s="192"/>
    </row>
    <row r="1202" spans="1:72" ht="14.25" customHeight="1" x14ac:dyDescent="0.2">
      <c r="A1202" s="136" t="s">
        <v>1908</v>
      </c>
      <c r="B1202" s="4">
        <v>5</v>
      </c>
      <c r="C1202" s="4" t="s">
        <v>6010</v>
      </c>
      <c r="D1202" s="4" t="s">
        <v>6071</v>
      </c>
      <c r="E1202" s="4">
        <v>2433</v>
      </c>
      <c r="F1202" s="8" t="s">
        <v>6072</v>
      </c>
      <c r="G1202" s="201" t="s">
        <v>6073</v>
      </c>
      <c r="H1202" s="4" t="s">
        <v>6074</v>
      </c>
      <c r="I1202" s="4" t="s">
        <v>1664</v>
      </c>
      <c r="J1202" s="4" t="s">
        <v>6046</v>
      </c>
      <c r="K1202" s="4">
        <v>1</v>
      </c>
      <c r="L1202" s="4">
        <v>2836</v>
      </c>
      <c r="M1202" s="6">
        <v>-123.8964</v>
      </c>
      <c r="N1202" s="9">
        <v>48.502677779999999</v>
      </c>
      <c r="O1202" s="9">
        <v>419</v>
      </c>
      <c r="P1202" s="4" t="s">
        <v>6071</v>
      </c>
      <c r="Q1202" s="70">
        <v>6</v>
      </c>
      <c r="R1202" s="9" t="s">
        <v>6075</v>
      </c>
      <c r="S1202" s="9" t="s">
        <v>6009</v>
      </c>
      <c r="U1202"/>
      <c r="AK1202" s="260"/>
      <c r="AO1202" s="192"/>
    </row>
    <row r="1203" spans="1:72" ht="14.25" customHeight="1" x14ac:dyDescent="0.2">
      <c r="A1203" s="136" t="s">
        <v>1908</v>
      </c>
      <c r="B1203" s="4">
        <v>5</v>
      </c>
      <c r="C1203" s="4" t="s">
        <v>6010</v>
      </c>
      <c r="D1203" s="4" t="s">
        <v>6247</v>
      </c>
      <c r="E1203" s="4">
        <v>2431</v>
      </c>
      <c r="F1203" s="8" t="s">
        <v>6248</v>
      </c>
      <c r="G1203" s="201" t="s">
        <v>6249</v>
      </c>
      <c r="H1203" s="4" t="s">
        <v>6074</v>
      </c>
      <c r="I1203" s="4" t="s">
        <v>1664</v>
      </c>
      <c r="J1203" s="4" t="s">
        <v>6046</v>
      </c>
      <c r="K1203" s="4">
        <v>1</v>
      </c>
      <c r="L1203" s="4">
        <v>2834</v>
      </c>
      <c r="M1203" s="6">
        <v>-125.144125</v>
      </c>
      <c r="N1203" s="9">
        <v>49.44034722</v>
      </c>
      <c r="O1203" s="9">
        <v>340</v>
      </c>
      <c r="P1203" s="4" t="s">
        <v>6247</v>
      </c>
      <c r="Q1203" s="70">
        <v>5</v>
      </c>
      <c r="R1203" s="9" t="s">
        <v>6250</v>
      </c>
      <c r="S1203" s="9" t="s">
        <v>6009</v>
      </c>
      <c r="U1203"/>
      <c r="AK1203" s="260"/>
      <c r="AO1203" s="192"/>
    </row>
    <row r="1204" spans="1:72" ht="14.25" customHeight="1" x14ac:dyDescent="0.2">
      <c r="A1204" s="136" t="s">
        <v>1908</v>
      </c>
      <c r="B1204" s="4">
        <v>5</v>
      </c>
      <c r="C1204" s="4" t="s">
        <v>6010</v>
      </c>
      <c r="D1204" s="4" t="s">
        <v>6271</v>
      </c>
      <c r="E1204" s="4">
        <v>2459</v>
      </c>
      <c r="F1204" s="8" t="s">
        <v>6272</v>
      </c>
      <c r="G1204" s="201" t="s">
        <v>6273</v>
      </c>
      <c r="H1204" s="4" t="s">
        <v>6040</v>
      </c>
      <c r="I1204" s="4" t="s">
        <v>1664</v>
      </c>
      <c r="J1204" s="4" t="s">
        <v>6046</v>
      </c>
      <c r="K1204" s="4">
        <v>1</v>
      </c>
      <c r="L1204" s="4">
        <v>2862</v>
      </c>
      <c r="M1204" s="6">
        <v>-125.25284720000001</v>
      </c>
      <c r="N1204" s="9">
        <v>57.121441670000003</v>
      </c>
      <c r="O1204" s="9">
        <v>711</v>
      </c>
      <c r="P1204" s="4" t="s">
        <v>6271</v>
      </c>
      <c r="Q1204" s="70">
        <v>1</v>
      </c>
      <c r="R1204" s="9" t="s">
        <v>6274</v>
      </c>
      <c r="S1204" s="9" t="s">
        <v>6009</v>
      </c>
      <c r="U1204"/>
      <c r="AK1204" s="260"/>
      <c r="AO1204" s="192"/>
    </row>
    <row r="1205" spans="1:72" ht="14.25" customHeight="1" x14ac:dyDescent="0.2">
      <c r="A1205" s="181" t="s">
        <v>1908</v>
      </c>
      <c r="B1205" s="4">
        <v>5</v>
      </c>
      <c r="C1205" s="188" t="s">
        <v>6010</v>
      </c>
      <c r="D1205" s="4" t="s">
        <v>6290</v>
      </c>
      <c r="E1205" s="4">
        <v>2466</v>
      </c>
      <c r="F1205" s="201" t="s">
        <v>6291</v>
      </c>
      <c r="G1205" s="8" t="s">
        <v>6292</v>
      </c>
      <c r="H1205" s="188" t="s">
        <v>6293</v>
      </c>
      <c r="I1205" s="4" t="s">
        <v>1664</v>
      </c>
      <c r="J1205" s="4" t="s">
        <v>6041</v>
      </c>
      <c r="K1205" s="4">
        <v>1</v>
      </c>
      <c r="L1205" s="4">
        <v>2869</v>
      </c>
      <c r="M1205" s="193">
        <v>-117.5110083</v>
      </c>
      <c r="N1205" s="4">
        <v>51.270722220000003</v>
      </c>
      <c r="O1205" s="4">
        <v>1182</v>
      </c>
      <c r="P1205" s="4" t="s">
        <v>6290</v>
      </c>
      <c r="Q1205" s="4">
        <v>3</v>
      </c>
      <c r="R1205" s="4" t="s">
        <v>6294</v>
      </c>
      <c r="S1205" s="4" t="s">
        <v>6009</v>
      </c>
      <c r="U1205"/>
      <c r="AK1205" s="260"/>
    </row>
    <row r="1206" spans="1:72" ht="14.25" customHeight="1" x14ac:dyDescent="0.2">
      <c r="A1206" s="136" t="s">
        <v>1908</v>
      </c>
      <c r="B1206" s="4">
        <v>5</v>
      </c>
      <c r="C1206" s="4" t="s">
        <v>6010</v>
      </c>
      <c r="D1206" s="4" t="s">
        <v>6353</v>
      </c>
      <c r="E1206" s="4">
        <v>2473</v>
      </c>
      <c r="F1206" s="8" t="s">
        <v>6354</v>
      </c>
      <c r="G1206" s="201" t="s">
        <v>6355</v>
      </c>
      <c r="H1206" s="4" t="s">
        <v>6040</v>
      </c>
      <c r="I1206" s="4" t="s">
        <v>1664</v>
      </c>
      <c r="J1206" s="4" t="s">
        <v>6046</v>
      </c>
      <c r="K1206" s="4">
        <v>1</v>
      </c>
      <c r="L1206" s="4">
        <v>2876</v>
      </c>
      <c r="M1206" s="6">
        <v>-125.1116083</v>
      </c>
      <c r="N1206" s="9">
        <v>56.727355559999999</v>
      </c>
      <c r="O1206" s="9">
        <v>711</v>
      </c>
      <c r="P1206" s="4" t="s">
        <v>6353</v>
      </c>
      <c r="Q1206" s="70">
        <v>1</v>
      </c>
      <c r="R1206" s="9" t="s">
        <v>6356</v>
      </c>
      <c r="S1206" s="9" t="s">
        <v>6009</v>
      </c>
      <c r="U1206"/>
      <c r="AK1206" s="260"/>
      <c r="AO1206" s="192"/>
    </row>
    <row r="1207" spans="1:72" ht="14.25" customHeight="1" x14ac:dyDescent="0.2">
      <c r="A1207" s="136" t="s">
        <v>1908</v>
      </c>
      <c r="B1207" s="4">
        <v>5</v>
      </c>
      <c r="C1207" s="4" t="s">
        <v>6010</v>
      </c>
      <c r="D1207" s="4" t="s">
        <v>6419</v>
      </c>
      <c r="E1207" s="4">
        <v>2480</v>
      </c>
      <c r="F1207" s="201" t="s">
        <v>6420</v>
      </c>
      <c r="G1207" s="201" t="s">
        <v>7868</v>
      </c>
      <c r="H1207" s="4" t="s">
        <v>6422</v>
      </c>
      <c r="I1207" s="4" t="s">
        <v>1664</v>
      </c>
      <c r="J1207" s="4" t="s">
        <v>6046</v>
      </c>
      <c r="K1207" s="4">
        <v>1</v>
      </c>
      <c r="L1207" s="4">
        <v>2883</v>
      </c>
      <c r="M1207" s="6">
        <v>-121.3471528</v>
      </c>
      <c r="N1207" s="9">
        <v>56.093066669999999</v>
      </c>
      <c r="O1207" s="9">
        <v>600</v>
      </c>
      <c r="P1207" s="4" t="s">
        <v>6419</v>
      </c>
      <c r="Q1207" s="70">
        <v>1</v>
      </c>
      <c r="R1207" s="9" t="s">
        <v>6423</v>
      </c>
      <c r="S1207" s="9" t="s">
        <v>6009</v>
      </c>
      <c r="U1207"/>
      <c r="AK1207" s="260"/>
    </row>
    <row r="1208" spans="1:72" ht="14.25" customHeight="1" x14ac:dyDescent="0.2">
      <c r="A1208" s="136" t="s">
        <v>1908</v>
      </c>
      <c r="B1208" s="4">
        <v>5</v>
      </c>
      <c r="C1208" s="4" t="s">
        <v>6010</v>
      </c>
      <c r="D1208" s="4" t="s">
        <v>6424</v>
      </c>
      <c r="E1208" s="4">
        <v>2481</v>
      </c>
      <c r="F1208" s="8" t="s">
        <v>6425</v>
      </c>
      <c r="G1208" s="201" t="s">
        <v>7869</v>
      </c>
      <c r="H1208" s="4" t="s">
        <v>6427</v>
      </c>
      <c r="I1208" s="4" t="s">
        <v>1664</v>
      </c>
      <c r="J1208" s="4" t="s">
        <v>6041</v>
      </c>
      <c r="K1208" s="4">
        <v>1</v>
      </c>
      <c r="L1208" s="4">
        <v>2884</v>
      </c>
      <c r="M1208" s="6">
        <v>-118.22583330000001</v>
      </c>
      <c r="N1208" s="9">
        <v>52.220555560000001</v>
      </c>
      <c r="O1208" s="9">
        <v>1935</v>
      </c>
      <c r="P1208" s="4" t="s">
        <v>6424</v>
      </c>
      <c r="Q1208" s="70">
        <v>7</v>
      </c>
      <c r="R1208" s="9" t="s">
        <v>6428</v>
      </c>
      <c r="S1208" s="9" t="s">
        <v>6009</v>
      </c>
      <c r="U1208"/>
      <c r="AK1208" s="260"/>
    </row>
    <row r="1209" spans="1:72" ht="14.25" customHeight="1" x14ac:dyDescent="0.2">
      <c r="A1209" s="136" t="s">
        <v>1908</v>
      </c>
      <c r="B1209" s="4">
        <v>5</v>
      </c>
      <c r="C1209" s="4" t="s">
        <v>6010</v>
      </c>
      <c r="D1209" s="4" t="s">
        <v>6441</v>
      </c>
      <c r="E1209" s="4">
        <v>2483</v>
      </c>
      <c r="F1209" s="8" t="s">
        <v>6442</v>
      </c>
      <c r="G1209" s="201" t="s">
        <v>6443</v>
      </c>
      <c r="H1209" s="4" t="s">
        <v>6278</v>
      </c>
      <c r="I1209" s="4" t="s">
        <v>1664</v>
      </c>
      <c r="J1209" s="4" t="s">
        <v>6041</v>
      </c>
      <c r="K1209" s="4">
        <v>1</v>
      </c>
      <c r="L1209" s="4">
        <v>2886</v>
      </c>
      <c r="M1209" s="6">
        <v>-118.15160280000001</v>
      </c>
      <c r="N1209" s="9">
        <v>51.036341669999999</v>
      </c>
      <c r="O1209" s="9">
        <v>1850</v>
      </c>
      <c r="P1209" s="4" t="s">
        <v>6441</v>
      </c>
      <c r="Q1209" s="70">
        <v>6</v>
      </c>
      <c r="R1209" s="9" t="s">
        <v>6444</v>
      </c>
      <c r="S1209" s="9" t="s">
        <v>6009</v>
      </c>
      <c r="U1209"/>
      <c r="AK1209" s="260"/>
      <c r="AO1209" s="192"/>
    </row>
    <row r="1210" spans="1:72" ht="14.25" customHeight="1" x14ac:dyDescent="0.2">
      <c r="A1210" s="136" t="s">
        <v>1908</v>
      </c>
      <c r="B1210" s="4">
        <v>5</v>
      </c>
      <c r="C1210" s="4" t="s">
        <v>6010</v>
      </c>
      <c r="D1210" s="4" t="s">
        <v>6448</v>
      </c>
      <c r="E1210" s="4">
        <v>2484</v>
      </c>
      <c r="F1210" s="8" t="s">
        <v>6449</v>
      </c>
      <c r="G1210" s="201" t="s">
        <v>6450</v>
      </c>
      <c r="H1210" s="4" t="s">
        <v>6451</v>
      </c>
      <c r="I1210" s="4" t="s">
        <v>1664</v>
      </c>
      <c r="J1210" s="4" t="s">
        <v>6046</v>
      </c>
      <c r="K1210" s="4">
        <v>1</v>
      </c>
      <c r="L1210" s="4">
        <v>2887</v>
      </c>
      <c r="M1210" s="6">
        <v>-123.62123889999999</v>
      </c>
      <c r="N1210" s="9">
        <v>55.434047219999997</v>
      </c>
      <c r="O1210" s="9">
        <v>725</v>
      </c>
      <c r="P1210" s="4" t="s">
        <v>6448</v>
      </c>
      <c r="Q1210" s="70">
        <v>1</v>
      </c>
      <c r="R1210" s="9" t="s">
        <v>6452</v>
      </c>
      <c r="S1210" s="9" t="s">
        <v>6009</v>
      </c>
      <c r="U1210"/>
      <c r="AK1210" s="260"/>
      <c r="AO1210" s="192"/>
    </row>
    <row r="1211" spans="1:72" ht="14.25" customHeight="1" x14ac:dyDescent="0.2">
      <c r="A1211" s="136" t="s">
        <v>1908</v>
      </c>
      <c r="B1211" s="4">
        <v>5</v>
      </c>
      <c r="C1211" s="4" t="s">
        <v>6010</v>
      </c>
      <c r="D1211" s="4" t="s">
        <v>6456</v>
      </c>
      <c r="E1211" s="4">
        <v>2485</v>
      </c>
      <c r="F1211" s="8" t="s">
        <v>6457</v>
      </c>
      <c r="G1211" s="201" t="s">
        <v>7870</v>
      </c>
      <c r="H1211" s="4" t="s">
        <v>6459</v>
      </c>
      <c r="I1211" s="4" t="s">
        <v>1664</v>
      </c>
      <c r="J1211" s="4" t="s">
        <v>6069</v>
      </c>
      <c r="K1211" s="4">
        <v>1</v>
      </c>
      <c r="L1211" s="4">
        <v>2888</v>
      </c>
      <c r="M1211" s="6">
        <v>-122.7855833</v>
      </c>
      <c r="N1211" s="9">
        <v>51.147527779999997</v>
      </c>
      <c r="O1211" s="9">
        <v>1969</v>
      </c>
      <c r="P1211" s="4" t="s">
        <v>6456</v>
      </c>
      <c r="Q1211" s="70">
        <v>8</v>
      </c>
      <c r="R1211" s="9" t="s">
        <v>6460</v>
      </c>
      <c r="S1211" s="9" t="s">
        <v>6009</v>
      </c>
      <c r="U1211"/>
      <c r="AK1211" s="260"/>
      <c r="AO1211" s="192"/>
    </row>
    <row r="1212" spans="1:72" ht="14.25" customHeight="1" x14ac:dyDescent="0.2">
      <c r="A1212" s="136" t="s">
        <v>1908</v>
      </c>
      <c r="B1212" s="4">
        <v>5</v>
      </c>
      <c r="C1212" s="4" t="s">
        <v>6010</v>
      </c>
      <c r="D1212" s="4" t="s">
        <v>6466</v>
      </c>
      <c r="E1212" s="4">
        <v>2487</v>
      </c>
      <c r="F1212" s="8" t="s">
        <v>6467</v>
      </c>
      <c r="G1212" s="201" t="s">
        <v>6468</v>
      </c>
      <c r="H1212" s="4" t="s">
        <v>6469</v>
      </c>
      <c r="I1212" s="4" t="s">
        <v>1664</v>
      </c>
      <c r="J1212" s="4" t="s">
        <v>6046</v>
      </c>
      <c r="K1212" s="4">
        <v>1</v>
      </c>
      <c r="L1212" s="4">
        <v>2890</v>
      </c>
      <c r="M1212" s="6">
        <v>-124.8006972</v>
      </c>
      <c r="N1212" s="9">
        <v>56.126613890000002</v>
      </c>
      <c r="O1212" s="9">
        <v>775</v>
      </c>
      <c r="P1212" s="4" t="s">
        <v>6466</v>
      </c>
      <c r="Q1212" s="70">
        <v>2</v>
      </c>
      <c r="R1212" s="9" t="s">
        <v>6470</v>
      </c>
      <c r="S1212" s="9" t="s">
        <v>6009</v>
      </c>
      <c r="U1212"/>
      <c r="AK1212" s="260"/>
    </row>
    <row r="1213" spans="1:72" ht="14.25" customHeight="1" x14ac:dyDescent="0.2">
      <c r="A1213" s="136" t="s">
        <v>1908</v>
      </c>
      <c r="B1213" s="4">
        <v>5</v>
      </c>
      <c r="C1213" s="4" t="s">
        <v>6010</v>
      </c>
      <c r="D1213" s="4" t="s">
        <v>6479</v>
      </c>
      <c r="E1213" s="4">
        <v>2494</v>
      </c>
      <c r="F1213" s="8" t="s">
        <v>6480</v>
      </c>
      <c r="G1213" s="201" t="s">
        <v>6481</v>
      </c>
      <c r="H1213" s="4" t="s">
        <v>6482</v>
      </c>
      <c r="I1213" s="4" t="s">
        <v>1664</v>
      </c>
      <c r="J1213" s="4" t="s">
        <v>6046</v>
      </c>
      <c r="K1213" s="4">
        <v>1</v>
      </c>
      <c r="L1213" s="4">
        <v>2897</v>
      </c>
      <c r="M1213" s="6">
        <v>-122.9161</v>
      </c>
      <c r="N1213" s="9">
        <v>55.083469440000002</v>
      </c>
      <c r="O1213" s="9">
        <v>700</v>
      </c>
      <c r="P1213" s="4" t="s">
        <v>6479</v>
      </c>
      <c r="Q1213" s="70">
        <v>1</v>
      </c>
      <c r="R1213" s="9" t="s">
        <v>6483</v>
      </c>
      <c r="S1213" s="9" t="s">
        <v>6009</v>
      </c>
      <c r="U1213"/>
      <c r="AK1213" s="260"/>
    </row>
    <row r="1214" spans="1:72" ht="14.25" customHeight="1" x14ac:dyDescent="0.2">
      <c r="A1214" s="136" t="s">
        <v>1908</v>
      </c>
      <c r="B1214" s="4">
        <v>5</v>
      </c>
      <c r="C1214" s="4" t="s">
        <v>6010</v>
      </c>
      <c r="D1214" s="4" t="s">
        <v>6520</v>
      </c>
      <c r="E1214" s="4">
        <v>2498</v>
      </c>
      <c r="F1214" s="8" t="s">
        <v>6521</v>
      </c>
      <c r="G1214" s="201" t="s">
        <v>6522</v>
      </c>
      <c r="H1214" s="4" t="s">
        <v>6523</v>
      </c>
      <c r="I1214" s="4" t="s">
        <v>1664</v>
      </c>
      <c r="J1214" s="4" t="s">
        <v>6187</v>
      </c>
      <c r="K1214" s="4">
        <v>1</v>
      </c>
      <c r="L1214" s="4">
        <v>2901</v>
      </c>
      <c r="M1214" s="223"/>
      <c r="U1214"/>
      <c r="AK1214" s="260"/>
    </row>
    <row r="1215" spans="1:72" ht="14.25" customHeight="1" x14ac:dyDescent="0.2">
      <c r="A1215" s="136" t="s">
        <v>1908</v>
      </c>
      <c r="B1215" s="4">
        <v>5</v>
      </c>
      <c r="C1215" s="4" t="s">
        <v>6010</v>
      </c>
      <c r="D1215" s="4" t="s">
        <v>6627</v>
      </c>
      <c r="E1215" s="4">
        <v>2508</v>
      </c>
      <c r="F1215" s="8" t="s">
        <v>6628</v>
      </c>
      <c r="G1215" s="201" t="s">
        <v>7871</v>
      </c>
      <c r="H1215" s="4" t="s">
        <v>6630</v>
      </c>
      <c r="I1215" s="4" t="s">
        <v>1664</v>
      </c>
      <c r="J1215" s="4" t="s">
        <v>6069</v>
      </c>
      <c r="K1215" s="4">
        <v>1</v>
      </c>
      <c r="L1215" s="4">
        <v>2911</v>
      </c>
      <c r="M1215" s="6">
        <v>-125.67925</v>
      </c>
      <c r="N1215" s="9">
        <v>49.704138890000003</v>
      </c>
      <c r="O1215" s="9">
        <v>1490</v>
      </c>
      <c r="P1215" s="4" t="s">
        <v>6627</v>
      </c>
      <c r="Q1215" s="70">
        <v>8</v>
      </c>
      <c r="R1215" s="9" t="s">
        <v>6631</v>
      </c>
      <c r="S1215" s="9" t="s">
        <v>6009</v>
      </c>
      <c r="U1215" s="9"/>
      <c r="V1215" s="9"/>
      <c r="W1215" s="9"/>
      <c r="X1215" s="9"/>
      <c r="Y1215" s="9"/>
      <c r="Z1215" s="9"/>
      <c r="AA1215" s="9"/>
      <c r="AB1215" s="9"/>
      <c r="AC1215" s="9"/>
      <c r="AD1215" s="9"/>
      <c r="AE1215" s="9"/>
      <c r="AF1215" s="9"/>
      <c r="AG1215" s="9"/>
      <c r="AH1215" s="9"/>
      <c r="AI1215" s="9"/>
      <c r="AJ1215" s="9"/>
      <c r="AK1215" s="7"/>
      <c r="AL1215" s="9"/>
      <c r="AM1215" s="9"/>
      <c r="AN1215" s="9"/>
      <c r="AO1215" s="9"/>
      <c r="AP1215" s="9"/>
      <c r="AQ1215" s="9"/>
      <c r="AR1215" s="9"/>
      <c r="AS1215" s="9"/>
      <c r="AT1215" s="9"/>
      <c r="AU1215" s="9"/>
      <c r="AV1215" s="9"/>
      <c r="AW1215" s="9"/>
      <c r="AX1215" s="9"/>
      <c r="AY1215" s="9"/>
      <c r="AZ1215" s="9"/>
      <c r="BA1215" s="9"/>
      <c r="BB1215" s="9"/>
      <c r="BC1215" s="9"/>
      <c r="BD1215" s="9"/>
      <c r="BE1215" s="9"/>
      <c r="BF1215" s="9"/>
      <c r="BG1215" s="9"/>
      <c r="BH1215" s="9"/>
      <c r="BI1215" s="9"/>
      <c r="BJ1215" s="9"/>
      <c r="BK1215" s="9"/>
      <c r="BL1215" s="9"/>
      <c r="BM1215" s="9"/>
      <c r="BN1215" s="9"/>
      <c r="BO1215" s="9"/>
      <c r="BP1215" s="9"/>
      <c r="BQ1215" s="9"/>
      <c r="BR1215" s="9"/>
      <c r="BS1215" s="9"/>
      <c r="BT1215" s="9"/>
    </row>
    <row r="1216" spans="1:72" ht="14.25" customHeight="1" x14ac:dyDescent="0.2">
      <c r="A1216" s="136" t="s">
        <v>1908</v>
      </c>
      <c r="B1216" s="4">
        <v>14</v>
      </c>
      <c r="C1216" s="4" t="s">
        <v>6099</v>
      </c>
      <c r="D1216" s="4" t="s">
        <v>6949</v>
      </c>
      <c r="E1216" s="4">
        <v>13008</v>
      </c>
      <c r="F1216" s="10" t="s">
        <v>6950</v>
      </c>
      <c r="G1216" s="201" t="s">
        <v>6951</v>
      </c>
      <c r="H1216" s="4" t="s">
        <v>6952</v>
      </c>
      <c r="I1216" s="4" t="s">
        <v>49</v>
      </c>
      <c r="J1216" s="4" t="s">
        <v>6953</v>
      </c>
      <c r="K1216" s="4">
        <v>1</v>
      </c>
      <c r="L1216" s="4">
        <v>14940</v>
      </c>
      <c r="M1216" s="223"/>
      <c r="U1216"/>
      <c r="AK1216" s="260"/>
    </row>
    <row r="1217" spans="1:72" ht="14.25" customHeight="1" x14ac:dyDescent="0.2">
      <c r="A1217" s="136" t="s">
        <v>1908</v>
      </c>
      <c r="B1217" s="4">
        <v>14</v>
      </c>
      <c r="C1217" s="4" t="s">
        <v>6099</v>
      </c>
      <c r="D1217" s="4" t="s">
        <v>6954</v>
      </c>
      <c r="E1217" s="4">
        <v>13009</v>
      </c>
      <c r="F1217" s="10" t="s">
        <v>6955</v>
      </c>
      <c r="G1217" s="201" t="s">
        <v>6956</v>
      </c>
      <c r="H1217" s="4" t="s">
        <v>6957</v>
      </c>
      <c r="I1217" s="4" t="s">
        <v>49</v>
      </c>
      <c r="J1217" s="4" t="s">
        <v>6728</v>
      </c>
      <c r="K1217" s="4">
        <v>1</v>
      </c>
      <c r="L1217" s="4">
        <v>14941</v>
      </c>
      <c r="M1217" s="6">
        <v>-120.862891</v>
      </c>
      <c r="N1217" s="9">
        <v>49.855950999999997</v>
      </c>
      <c r="O1217" s="9">
        <v>1460</v>
      </c>
      <c r="P1217" s="9" t="s">
        <v>6954</v>
      </c>
      <c r="Q1217" s="70">
        <v>6</v>
      </c>
      <c r="R1217" s="9" t="s">
        <v>6958</v>
      </c>
      <c r="S1217" s="9" t="s">
        <v>6646</v>
      </c>
      <c r="U1217"/>
      <c r="AA1217" s="194"/>
      <c r="AB1217" s="194"/>
      <c r="AC1217" s="194"/>
      <c r="AD1217" s="194"/>
      <c r="AE1217" s="194"/>
      <c r="AF1217" s="194"/>
      <c r="AG1217" s="194"/>
      <c r="AH1217" s="194"/>
      <c r="AK1217" s="260"/>
      <c r="AO1217" s="192"/>
    </row>
    <row r="1218" spans="1:72" ht="14.25" customHeight="1" x14ac:dyDescent="0.2">
      <c r="A1218" s="277" t="s">
        <v>1908</v>
      </c>
      <c r="B1218" s="185">
        <v>14</v>
      </c>
      <c r="C1218" s="185" t="s">
        <v>6099</v>
      </c>
      <c r="D1218" s="185" t="s">
        <v>6943</v>
      </c>
      <c r="E1218" s="185">
        <v>12954</v>
      </c>
      <c r="F1218" s="200" t="s">
        <v>6944</v>
      </c>
      <c r="G1218" s="10" t="s">
        <v>6945</v>
      </c>
      <c r="H1218" s="4" t="s">
        <v>6946</v>
      </c>
      <c r="I1218" s="4" t="s">
        <v>49</v>
      </c>
      <c r="J1218" s="4" t="s">
        <v>6728</v>
      </c>
      <c r="K1218" s="4">
        <v>1</v>
      </c>
      <c r="L1218" s="4">
        <v>14886</v>
      </c>
      <c r="M1218" s="6">
        <v>-119.0621</v>
      </c>
      <c r="N1218" s="9">
        <v>50.371360000000003</v>
      </c>
      <c r="O1218" s="9">
        <v>1839</v>
      </c>
      <c r="P1218" s="9" t="s">
        <v>6943</v>
      </c>
      <c r="Q1218" s="70">
        <v>6</v>
      </c>
      <c r="R1218" s="9" t="s">
        <v>6947</v>
      </c>
      <c r="S1218" s="9" t="s">
        <v>6646</v>
      </c>
      <c r="U1218"/>
      <c r="AF1218" s="194"/>
      <c r="AG1218" s="194"/>
      <c r="AH1218" s="194"/>
      <c r="AK1218" s="260"/>
    </row>
    <row r="1219" spans="1:72" ht="14.25" customHeight="1" x14ac:dyDescent="0.2">
      <c r="A1219" s="136" t="s">
        <v>1908</v>
      </c>
      <c r="B1219" s="136">
        <v>11</v>
      </c>
      <c r="C1219" s="137" t="s">
        <v>7179</v>
      </c>
      <c r="D1219" s="137" t="s">
        <v>7253</v>
      </c>
      <c r="E1219" s="136">
        <v>12055</v>
      </c>
      <c r="F1219" s="142" t="s">
        <v>7254</v>
      </c>
      <c r="G1219" s="205" t="s">
        <v>7255</v>
      </c>
      <c r="H1219" s="136" t="s">
        <v>7256</v>
      </c>
      <c r="I1219" s="136" t="s">
        <v>641</v>
      </c>
      <c r="J1219" s="136" t="s">
        <v>7257</v>
      </c>
      <c r="K1219" s="136">
        <v>1</v>
      </c>
      <c r="L1219" s="136">
        <v>14111</v>
      </c>
      <c r="M1219" s="143">
        <v>55.078885</v>
      </c>
      <c r="N1219" s="138">
        <v>-120.352171</v>
      </c>
      <c r="O1219" s="138" t="s">
        <v>153</v>
      </c>
      <c r="P1219" s="138" t="s">
        <v>7253</v>
      </c>
      <c r="Q1219" s="139">
        <v>8</v>
      </c>
      <c r="R1219" s="138" t="s">
        <v>7258</v>
      </c>
      <c r="S1219" s="140" t="str">
        <f>UPPER(R1219)</f>
        <v>BLACKHAWKWX</v>
      </c>
      <c r="T1219" s="138" t="s">
        <v>4344</v>
      </c>
      <c r="U1219" s="138">
        <v>962</v>
      </c>
      <c r="V1219" s="138"/>
      <c r="W1219" s="138" t="s">
        <v>7259</v>
      </c>
      <c r="X1219" s="141" t="s">
        <v>7260</v>
      </c>
      <c r="Y1219" s="138" t="s">
        <v>7252</v>
      </c>
      <c r="AK1219" s="260"/>
      <c r="AO1219" s="192"/>
    </row>
    <row r="1220" spans="1:72" ht="14.25" customHeight="1" x14ac:dyDescent="0.2">
      <c r="A1220" s="136" t="s">
        <v>1908</v>
      </c>
      <c r="B1220" s="138">
        <v>11</v>
      </c>
      <c r="C1220" s="137" t="s">
        <v>7179</v>
      </c>
      <c r="D1220" s="136" t="s">
        <v>7342</v>
      </c>
      <c r="E1220" s="136">
        <v>12059</v>
      </c>
      <c r="F1220" s="142" t="s">
        <v>7343</v>
      </c>
      <c r="G1220" s="205" t="s">
        <v>7344</v>
      </c>
      <c r="H1220" s="136" t="s">
        <v>7345</v>
      </c>
      <c r="I1220" s="136" t="s">
        <v>641</v>
      </c>
      <c r="J1220" s="136" t="s">
        <v>7257</v>
      </c>
      <c r="K1220" s="136">
        <v>1</v>
      </c>
      <c r="L1220" s="136">
        <v>14115</v>
      </c>
      <c r="M1220" s="143">
        <v>53.114908999999997</v>
      </c>
      <c r="N1220" s="138">
        <v>-119.83529299999999</v>
      </c>
      <c r="O1220" s="138" t="s">
        <v>170</v>
      </c>
      <c r="P1220" s="313" t="s">
        <v>7342</v>
      </c>
      <c r="Q1220" s="139">
        <v>1</v>
      </c>
      <c r="R1220" s="138" t="s">
        <v>7346</v>
      </c>
      <c r="S1220" s="140" t="str">
        <f>UPPER(R1220)</f>
        <v>DUNSTERWX</v>
      </c>
      <c r="T1220" s="138" t="s">
        <v>4344</v>
      </c>
      <c r="U1220" s="138">
        <v>890</v>
      </c>
      <c r="V1220" s="138"/>
      <c r="W1220" s="138" t="s">
        <v>7347</v>
      </c>
      <c r="X1220" s="141" t="s">
        <v>7348</v>
      </c>
      <c r="Y1220" s="138" t="s">
        <v>7252</v>
      </c>
      <c r="AK1220" s="260"/>
      <c r="AO1220" s="192"/>
    </row>
    <row r="1221" spans="1:72" ht="14.25" customHeight="1" x14ac:dyDescent="0.2">
      <c r="A1221" s="136" t="s">
        <v>1908</v>
      </c>
      <c r="B1221" s="138">
        <v>11</v>
      </c>
      <c r="C1221" s="137" t="s">
        <v>7179</v>
      </c>
      <c r="D1221" s="136" t="s">
        <v>7425</v>
      </c>
      <c r="E1221" s="136">
        <v>12062</v>
      </c>
      <c r="F1221" s="205" t="s">
        <v>7426</v>
      </c>
      <c r="G1221" s="205" t="s">
        <v>7427</v>
      </c>
      <c r="H1221" s="136" t="s">
        <v>7428</v>
      </c>
      <c r="I1221" s="136" t="s">
        <v>641</v>
      </c>
      <c r="J1221" s="136" t="s">
        <v>7265</v>
      </c>
      <c r="K1221" s="136">
        <v>1</v>
      </c>
      <c r="L1221" s="136">
        <v>14118</v>
      </c>
      <c r="M1221" s="143">
        <v>55.137858000000001</v>
      </c>
      <c r="N1221" s="138">
        <v>-122.977243</v>
      </c>
      <c r="O1221" s="138" t="s">
        <v>1290</v>
      </c>
      <c r="P1221" s="138" t="s">
        <v>7429</v>
      </c>
      <c r="Q1221" s="139">
        <v>1</v>
      </c>
      <c r="R1221" s="138" t="s">
        <v>7430</v>
      </c>
      <c r="S1221" s="140" t="str">
        <f>UPPER(R1221)</f>
        <v>MACJXNWX</v>
      </c>
      <c r="T1221" s="138" t="s">
        <v>4344</v>
      </c>
      <c r="U1221" s="138">
        <v>719</v>
      </c>
      <c r="V1221" s="138"/>
      <c r="W1221" s="138" t="s">
        <v>7431</v>
      </c>
      <c r="X1221" s="141" t="s">
        <v>7432</v>
      </c>
      <c r="Y1221" s="138" t="s">
        <v>7252</v>
      </c>
      <c r="AK1221" s="260"/>
    </row>
    <row r="1222" spans="1:72" ht="14.25" customHeight="1" x14ac:dyDescent="0.2">
      <c r="A1222" s="145" t="s">
        <v>772</v>
      </c>
      <c r="B1222" s="4">
        <v>2</v>
      </c>
      <c r="C1222" s="4" t="s">
        <v>637</v>
      </c>
      <c r="D1222" s="4">
        <v>15394</v>
      </c>
      <c r="E1222" s="4">
        <v>13026</v>
      </c>
      <c r="F1222" s="10" t="s">
        <v>773</v>
      </c>
      <c r="G1222" s="201" t="s">
        <v>774</v>
      </c>
      <c r="H1222" s="4" t="s">
        <v>775</v>
      </c>
      <c r="I1222" s="4" t="s">
        <v>49</v>
      </c>
      <c r="J1222" s="4" t="s">
        <v>776</v>
      </c>
      <c r="K1222" s="4">
        <v>1</v>
      </c>
      <c r="L1222" s="4">
        <v>14958</v>
      </c>
      <c r="M1222" s="6">
        <v>49.166089999999997</v>
      </c>
      <c r="N1222" s="9">
        <v>-120.56784</v>
      </c>
      <c r="O1222" s="9" t="s">
        <v>142</v>
      </c>
      <c r="P1222" s="9">
        <v>15394</v>
      </c>
      <c r="Q1222" s="20">
        <v>3</v>
      </c>
      <c r="R1222" s="9" t="s">
        <v>777</v>
      </c>
      <c r="S1222" s="11" t="s">
        <v>778</v>
      </c>
      <c r="T1222" s="9" t="s">
        <v>644</v>
      </c>
      <c r="U1222" s="9">
        <v>988</v>
      </c>
      <c r="Z1222" s="9"/>
      <c r="AA1222" s="9" t="s">
        <v>779</v>
      </c>
      <c r="AB1222" s="9"/>
      <c r="AC1222" s="9"/>
      <c r="AD1222" s="9"/>
      <c r="AE1222" s="9"/>
      <c r="AF1222" s="9"/>
      <c r="AG1222" s="9"/>
      <c r="AH1222" s="9"/>
      <c r="AI1222" s="9"/>
      <c r="AK1222" s="260"/>
      <c r="AO1222" s="192"/>
    </row>
    <row r="1223" spans="1:72" ht="14.25" customHeight="1" x14ac:dyDescent="0.2">
      <c r="A1223" s="145" t="s">
        <v>772</v>
      </c>
      <c r="B1223" s="4">
        <v>2</v>
      </c>
      <c r="C1223" s="4" t="s">
        <v>637</v>
      </c>
      <c r="D1223" s="4">
        <v>21192</v>
      </c>
      <c r="E1223" s="4">
        <v>13016</v>
      </c>
      <c r="F1223" s="10" t="s">
        <v>790</v>
      </c>
      <c r="G1223" s="201" t="s">
        <v>791</v>
      </c>
      <c r="H1223" s="4" t="s">
        <v>792</v>
      </c>
      <c r="I1223" s="4" t="s">
        <v>49</v>
      </c>
      <c r="J1223" s="4" t="s">
        <v>793</v>
      </c>
      <c r="K1223" s="4">
        <v>1</v>
      </c>
      <c r="L1223" s="4">
        <v>14948</v>
      </c>
      <c r="M1223" s="6">
        <v>51.66977</v>
      </c>
      <c r="N1223" s="9">
        <v>-119.56574999999999</v>
      </c>
      <c r="O1223" s="9" t="s">
        <v>170</v>
      </c>
      <c r="P1223" s="9">
        <v>21192</v>
      </c>
      <c r="Q1223" s="20">
        <v>1</v>
      </c>
      <c r="R1223" s="9" t="s">
        <v>794</v>
      </c>
      <c r="S1223" s="11" t="s">
        <v>795</v>
      </c>
      <c r="T1223" s="9" t="s">
        <v>644</v>
      </c>
      <c r="U1223" s="9">
        <v>545</v>
      </c>
      <c r="Z1223" s="9"/>
      <c r="AA1223" s="9" t="s">
        <v>796</v>
      </c>
      <c r="AB1223" s="9"/>
      <c r="AC1223" s="9"/>
      <c r="AD1223" s="9"/>
      <c r="AE1223" s="9"/>
      <c r="AF1223" s="9"/>
      <c r="AG1223" s="9"/>
      <c r="AH1223" s="9"/>
      <c r="AI1223" s="9"/>
      <c r="AK1223" s="260"/>
    </row>
    <row r="1224" spans="1:72" ht="14.25" customHeight="1" x14ac:dyDescent="0.2">
      <c r="A1224" s="145" t="s">
        <v>772</v>
      </c>
      <c r="B1224" s="4">
        <v>2</v>
      </c>
      <c r="C1224" s="4" t="s">
        <v>637</v>
      </c>
      <c r="D1224" s="4">
        <v>33095</v>
      </c>
      <c r="E1224" s="4">
        <v>13017</v>
      </c>
      <c r="F1224" s="10" t="s">
        <v>992</v>
      </c>
      <c r="G1224" s="201" t="s">
        <v>993</v>
      </c>
      <c r="H1224" s="4" t="s">
        <v>792</v>
      </c>
      <c r="I1224" s="4" t="s">
        <v>49</v>
      </c>
      <c r="J1224" s="4" t="s">
        <v>793</v>
      </c>
      <c r="K1224" s="4">
        <v>1</v>
      </c>
      <c r="L1224" s="4">
        <v>14949</v>
      </c>
      <c r="M1224" s="6">
        <v>49.148180000000004</v>
      </c>
      <c r="N1224" s="9">
        <v>-118.53021</v>
      </c>
      <c r="O1224" s="9" t="s">
        <v>170</v>
      </c>
      <c r="P1224" s="224">
        <v>33095</v>
      </c>
      <c r="Q1224" s="20">
        <v>2</v>
      </c>
      <c r="R1224" s="9" t="s">
        <v>994</v>
      </c>
      <c r="S1224" s="11" t="s">
        <v>995</v>
      </c>
      <c r="T1224" s="9" t="s">
        <v>644</v>
      </c>
      <c r="U1224" s="9">
        <v>998</v>
      </c>
      <c r="V1224" s="9"/>
      <c r="W1224" s="9"/>
      <c r="X1224" s="9"/>
      <c r="Y1224" s="9"/>
      <c r="Z1224" s="9"/>
      <c r="AA1224" s="9" t="s">
        <v>996</v>
      </c>
      <c r="AB1224" s="9"/>
      <c r="AC1224" s="9"/>
      <c r="AD1224" s="9"/>
      <c r="AE1224" s="9"/>
      <c r="AF1224" s="9"/>
      <c r="AG1224" s="9"/>
      <c r="AH1224" s="9"/>
      <c r="AI1224" s="9"/>
      <c r="AJ1224" s="9"/>
      <c r="AK1224" s="7"/>
      <c r="AL1224" s="9"/>
      <c r="AM1224" s="9"/>
      <c r="AN1224" s="9"/>
      <c r="AO1224" s="203"/>
      <c r="AP1224" s="9"/>
      <c r="AQ1224" s="9"/>
      <c r="AR1224" s="9"/>
      <c r="AS1224" s="9"/>
      <c r="AT1224" s="9"/>
      <c r="AU1224" s="9"/>
      <c r="AV1224" s="9"/>
      <c r="AW1224" s="9"/>
      <c r="AX1224" s="9"/>
      <c r="AY1224" s="9"/>
      <c r="AZ1224" s="9"/>
      <c r="BA1224" s="9"/>
      <c r="BB1224" s="9"/>
      <c r="BC1224" s="9"/>
      <c r="BD1224" s="9"/>
      <c r="BE1224" s="9"/>
      <c r="BF1224" s="9"/>
      <c r="BG1224" s="9"/>
      <c r="BH1224" s="9"/>
      <c r="BI1224" s="9"/>
      <c r="BJ1224" s="9"/>
      <c r="BK1224" s="9"/>
      <c r="BL1224" s="9"/>
      <c r="BM1224" s="9"/>
      <c r="BN1224" s="9"/>
      <c r="BO1224" s="9"/>
      <c r="BP1224" s="9"/>
      <c r="BQ1224" s="9"/>
      <c r="BR1224" s="9"/>
      <c r="BS1224" s="9"/>
      <c r="BT1224" s="9"/>
    </row>
    <row r="1225" spans="1:72" ht="14.25" customHeight="1" x14ac:dyDescent="0.2">
      <c r="A1225" s="145" t="s">
        <v>772</v>
      </c>
      <c r="B1225" s="4">
        <v>2</v>
      </c>
      <c r="C1225" s="4" t="s">
        <v>637</v>
      </c>
      <c r="D1225" s="4">
        <v>47094</v>
      </c>
      <c r="E1225" s="4">
        <v>13018</v>
      </c>
      <c r="F1225" s="10" t="s">
        <v>1393</v>
      </c>
      <c r="G1225" s="201" t="s">
        <v>1394</v>
      </c>
      <c r="H1225" s="4" t="s">
        <v>792</v>
      </c>
      <c r="I1225" s="4" t="s">
        <v>49</v>
      </c>
      <c r="J1225" s="4" t="s">
        <v>793</v>
      </c>
      <c r="K1225" s="4">
        <v>1</v>
      </c>
      <c r="L1225" s="4">
        <v>14950</v>
      </c>
      <c r="M1225" s="6">
        <v>52.244729999999997</v>
      </c>
      <c r="N1225" s="9">
        <v>-122.11796</v>
      </c>
      <c r="O1225" s="9" t="s">
        <v>148</v>
      </c>
      <c r="P1225" s="9">
        <v>47094</v>
      </c>
      <c r="Q1225" s="20">
        <v>1</v>
      </c>
      <c r="R1225" s="9" t="s">
        <v>1395</v>
      </c>
      <c r="S1225" s="11" t="s">
        <v>1396</v>
      </c>
      <c r="T1225" s="9" t="s">
        <v>644</v>
      </c>
      <c r="U1225" s="9">
        <v>799</v>
      </c>
      <c r="Z1225" s="9"/>
      <c r="AA1225" s="9" t="s">
        <v>1397</v>
      </c>
      <c r="AB1225" s="9"/>
      <c r="AC1225" s="9"/>
      <c r="AD1225" s="9"/>
      <c r="AE1225" s="9"/>
      <c r="AF1225" s="9"/>
      <c r="AG1225" s="9"/>
      <c r="AH1225" s="9"/>
      <c r="AI1225" s="9"/>
      <c r="AK1225" s="260"/>
      <c r="AO1225" s="192"/>
    </row>
    <row r="1226" spans="1:72" ht="14.25" customHeight="1" x14ac:dyDescent="0.2">
      <c r="A1226" s="145" t="s">
        <v>772</v>
      </c>
      <c r="B1226" s="4">
        <v>2</v>
      </c>
      <c r="C1226" s="4" t="s">
        <v>637</v>
      </c>
      <c r="D1226" s="4">
        <v>51193</v>
      </c>
      <c r="E1226" s="4">
        <v>13019</v>
      </c>
      <c r="F1226" s="10" t="s">
        <v>1470</v>
      </c>
      <c r="G1226" s="201" t="s">
        <v>1471</v>
      </c>
      <c r="H1226" s="4" t="s">
        <v>792</v>
      </c>
      <c r="I1226" s="4" t="s">
        <v>49</v>
      </c>
      <c r="J1226" s="4" t="s">
        <v>793</v>
      </c>
      <c r="K1226" s="4">
        <v>1</v>
      </c>
      <c r="L1226" s="4">
        <v>14951</v>
      </c>
      <c r="M1226" s="193">
        <v>55.246789999999997</v>
      </c>
      <c r="N1226" s="4">
        <v>-128.05073999999999</v>
      </c>
      <c r="O1226" s="4" t="s">
        <v>51</v>
      </c>
      <c r="P1226" s="4">
        <v>51193</v>
      </c>
      <c r="Q1226" s="4">
        <v>3</v>
      </c>
      <c r="R1226" s="4" t="s">
        <v>1472</v>
      </c>
      <c r="S1226" s="4" t="s">
        <v>1473</v>
      </c>
      <c r="T1226" s="4" t="s">
        <v>644</v>
      </c>
      <c r="U1226" s="4">
        <v>320</v>
      </c>
      <c r="V1226" s="9"/>
      <c r="W1226" s="9"/>
      <c r="X1226" s="9"/>
      <c r="Y1226" s="9"/>
      <c r="Z1226" s="9"/>
      <c r="AA1226" s="9" t="s">
        <v>1474</v>
      </c>
      <c r="AB1226" s="9"/>
      <c r="AC1226" s="9"/>
      <c r="AD1226" s="9"/>
      <c r="AE1226" s="9"/>
      <c r="AF1226" s="9"/>
      <c r="AG1226" s="9"/>
      <c r="AH1226" s="9"/>
      <c r="AI1226" s="9"/>
      <c r="AJ1226" s="9"/>
      <c r="AK1226" s="7"/>
      <c r="AL1226" s="9"/>
      <c r="AM1226" s="9"/>
      <c r="AN1226" s="9"/>
      <c r="AO1226" s="203"/>
      <c r="AP1226" s="9"/>
      <c r="AQ1226" s="9"/>
      <c r="AR1226" s="9"/>
      <c r="AS1226" s="9"/>
      <c r="AT1226" s="9"/>
      <c r="AU1226" s="9"/>
      <c r="AV1226" s="9"/>
      <c r="AW1226" s="9"/>
      <c r="AX1226" s="9"/>
      <c r="AY1226" s="9"/>
      <c r="AZ1226" s="9"/>
      <c r="BA1226" s="9"/>
      <c r="BB1226" s="9"/>
      <c r="BC1226" s="9"/>
      <c r="BD1226" s="9"/>
      <c r="BE1226" s="9"/>
      <c r="BF1226" s="9"/>
      <c r="BG1226" s="9"/>
      <c r="BH1226" s="9"/>
      <c r="BI1226" s="9"/>
      <c r="BJ1226" s="9"/>
      <c r="BK1226" s="9"/>
      <c r="BL1226" s="9"/>
      <c r="BM1226" s="9"/>
      <c r="BN1226" s="9"/>
      <c r="BO1226" s="9"/>
      <c r="BP1226" s="9"/>
      <c r="BQ1226" s="9"/>
      <c r="BR1226" s="9"/>
      <c r="BS1226" s="9"/>
      <c r="BT1226" s="9"/>
    </row>
    <row r="1227" spans="1:72" ht="14.25" customHeight="1" x14ac:dyDescent="0.2">
      <c r="A1227" s="145" t="s">
        <v>772</v>
      </c>
      <c r="B1227" s="4">
        <v>2</v>
      </c>
      <c r="C1227" s="188" t="s">
        <v>637</v>
      </c>
      <c r="D1227" s="188">
        <v>53131</v>
      </c>
      <c r="E1227" s="4">
        <v>13020</v>
      </c>
      <c r="F1227" s="200" t="s">
        <v>1580</v>
      </c>
      <c r="G1227" s="8" t="s">
        <v>1581</v>
      </c>
      <c r="H1227" s="4" t="s">
        <v>792</v>
      </c>
      <c r="I1227" s="4" t="s">
        <v>49</v>
      </c>
      <c r="J1227" s="4" t="s">
        <v>1582</v>
      </c>
      <c r="K1227" s="4">
        <v>1</v>
      </c>
      <c r="L1227" s="4">
        <v>14952</v>
      </c>
      <c r="M1227" s="6">
        <v>57.304769999999998</v>
      </c>
      <c r="N1227" s="9">
        <v>-130.25056000000001</v>
      </c>
      <c r="O1227" s="9" t="s">
        <v>1577</v>
      </c>
      <c r="P1227" s="9">
        <v>53131</v>
      </c>
      <c r="Q1227" s="20">
        <v>2</v>
      </c>
      <c r="R1227" s="9" t="s">
        <v>1583</v>
      </c>
      <c r="S1227" s="11" t="s">
        <v>1584</v>
      </c>
      <c r="T1227" s="9" t="s">
        <v>644</v>
      </c>
      <c r="U1227" s="201">
        <v>814</v>
      </c>
      <c r="Z1227" s="9"/>
      <c r="AA1227" s="9" t="s">
        <v>1585</v>
      </c>
      <c r="AB1227" s="9"/>
      <c r="AC1227" s="9"/>
      <c r="AD1227" s="9"/>
      <c r="AE1227" s="9"/>
      <c r="AF1227" s="9"/>
      <c r="AG1227" s="9"/>
      <c r="AH1227" s="9"/>
      <c r="AI1227" s="9"/>
      <c r="AK1227" s="260"/>
      <c r="AO1227" s="192"/>
      <c r="AP1227" s="192"/>
      <c r="AQ1227" s="192"/>
      <c r="AR1227" s="192"/>
      <c r="AS1227" s="192"/>
      <c r="AT1227" s="192"/>
      <c r="AU1227" s="192"/>
      <c r="AV1227" s="192"/>
      <c r="AW1227" s="192"/>
      <c r="AX1227" s="192"/>
      <c r="AY1227" s="192"/>
      <c r="AZ1227" s="192"/>
      <c r="BA1227" s="192"/>
    </row>
    <row r="1228" spans="1:72" ht="14.25" customHeight="1" x14ac:dyDescent="0.2">
      <c r="A1228" s="136" t="s">
        <v>772</v>
      </c>
      <c r="B1228" s="4">
        <v>5</v>
      </c>
      <c r="C1228" s="188" t="s">
        <v>6010</v>
      </c>
      <c r="D1228" s="188" t="s">
        <v>6617</v>
      </c>
      <c r="E1228" s="4">
        <v>2477</v>
      </c>
      <c r="F1228" s="201" t="s">
        <v>6618</v>
      </c>
      <c r="G1228" s="8" t="s">
        <v>6619</v>
      </c>
      <c r="H1228" s="4" t="s">
        <v>6620</v>
      </c>
      <c r="I1228" s="4" t="s">
        <v>1664</v>
      </c>
      <c r="J1228" s="4" t="s">
        <v>6046</v>
      </c>
      <c r="K1228" s="4">
        <v>1</v>
      </c>
      <c r="L1228" s="4">
        <v>2880</v>
      </c>
      <c r="M1228" s="193">
        <v>-123.74818999999999</v>
      </c>
      <c r="N1228" s="4">
        <v>56.049970000000002</v>
      </c>
      <c r="O1228" s="4">
        <v>712</v>
      </c>
      <c r="P1228" s="4" t="s">
        <v>6617</v>
      </c>
      <c r="Q1228" s="4">
        <v>1</v>
      </c>
      <c r="R1228" s="4" t="s">
        <v>6621</v>
      </c>
      <c r="S1228" s="4" t="s">
        <v>6009</v>
      </c>
      <c r="U1228" s="9"/>
      <c r="V1228" s="9"/>
      <c r="W1228" s="9"/>
      <c r="X1228" s="9"/>
      <c r="Y1228" s="9"/>
      <c r="Z1228" s="9"/>
      <c r="AA1228" s="9"/>
      <c r="AB1228" s="9"/>
      <c r="AC1228" s="9"/>
      <c r="AD1228" s="9"/>
      <c r="AE1228" s="9"/>
      <c r="AF1228" s="9"/>
      <c r="AG1228" s="9"/>
      <c r="AH1228" s="9"/>
      <c r="AI1228" s="9"/>
      <c r="AJ1228" s="9"/>
      <c r="AK1228" s="7"/>
      <c r="AL1228" s="9"/>
      <c r="AM1228" s="9"/>
      <c r="AN1228" s="9"/>
      <c r="AO1228" s="203"/>
      <c r="AP1228" s="203"/>
      <c r="AQ1228" s="203"/>
      <c r="AR1228" s="203"/>
      <c r="AS1228" s="203"/>
      <c r="AT1228" s="203"/>
      <c r="AU1228" s="203"/>
      <c r="AV1228" s="203"/>
      <c r="AW1228" s="203"/>
      <c r="AX1228" s="203"/>
      <c r="AY1228" s="203"/>
      <c r="AZ1228" s="203"/>
      <c r="BA1228" s="203"/>
      <c r="BB1228" s="9"/>
      <c r="BC1228" s="9"/>
      <c r="BD1228" s="9"/>
      <c r="BE1228" s="9"/>
      <c r="BF1228" s="9"/>
      <c r="BG1228" s="9"/>
      <c r="BH1228" s="9"/>
      <c r="BI1228" s="9"/>
      <c r="BJ1228" s="9"/>
      <c r="BK1228" s="9"/>
      <c r="BL1228" s="9"/>
      <c r="BM1228" s="9"/>
      <c r="BN1228" s="9"/>
      <c r="BO1228" s="9"/>
      <c r="BP1228" s="9"/>
      <c r="BQ1228" s="9"/>
      <c r="BR1228" s="9"/>
      <c r="BS1228" s="9"/>
      <c r="BT1228" s="9"/>
    </row>
    <row r="1229" spans="1:72" ht="14.25" customHeight="1" x14ac:dyDescent="0.2">
      <c r="A1229" s="4" t="s">
        <v>6461</v>
      </c>
      <c r="B1229" s="4">
        <v>5</v>
      </c>
      <c r="C1229" s="188" t="s">
        <v>6010</v>
      </c>
      <c r="D1229" s="188" t="s">
        <v>6462</v>
      </c>
      <c r="E1229" s="4">
        <v>2486</v>
      </c>
      <c r="F1229" s="201" t="s">
        <v>6463</v>
      </c>
      <c r="G1229" s="188" t="s">
        <v>6464</v>
      </c>
      <c r="H1229" s="4" t="s">
        <v>6465</v>
      </c>
      <c r="I1229" s="4" t="s">
        <v>1664</v>
      </c>
      <c r="J1229" s="4" t="s">
        <v>6187</v>
      </c>
      <c r="K1229" s="4">
        <v>1</v>
      </c>
      <c r="L1229" s="4">
        <v>2889</v>
      </c>
      <c r="M1229" s="223"/>
      <c r="U1229"/>
      <c r="V1229" s="237"/>
      <c r="W1229" s="237"/>
      <c r="X1229" s="237"/>
      <c r="Y1229" s="237"/>
      <c r="Z1229" s="237"/>
      <c r="AA1229" s="237"/>
      <c r="AB1229" s="237"/>
      <c r="AC1229" s="237"/>
      <c r="AD1229" s="237"/>
      <c r="AE1229" s="237"/>
      <c r="AF1229" s="237"/>
      <c r="AG1229" s="237"/>
      <c r="AH1229" s="237"/>
      <c r="AI1229" s="237"/>
      <c r="AJ1229" s="237"/>
      <c r="AK1229" s="265"/>
      <c r="AL1229" s="237"/>
      <c r="AM1229" s="237"/>
      <c r="AN1229" s="237"/>
      <c r="AO1229" s="53"/>
      <c r="AP1229" s="53"/>
      <c r="AQ1229" s="53"/>
      <c r="AR1229" s="53"/>
      <c r="AS1229" s="53"/>
      <c r="AT1229" s="53"/>
      <c r="AU1229" s="53"/>
      <c r="AV1229" s="53"/>
      <c r="AW1229" s="53"/>
      <c r="AX1229" s="53"/>
      <c r="AY1229" s="53"/>
      <c r="AZ1229" s="53"/>
      <c r="BA1229" s="53"/>
      <c r="BB1229" s="237"/>
      <c r="BC1229" s="237"/>
      <c r="BD1229" s="237"/>
      <c r="BE1229" s="237"/>
      <c r="BF1229" s="237"/>
      <c r="BG1229" s="237"/>
      <c r="BH1229" s="237"/>
      <c r="BI1229" s="237"/>
      <c r="BJ1229" s="237"/>
      <c r="BK1229" s="237"/>
      <c r="BL1229" s="237"/>
      <c r="BM1229" s="237"/>
      <c r="BN1229" s="237"/>
      <c r="BO1229" s="237"/>
      <c r="BP1229" s="237"/>
      <c r="BQ1229" s="237"/>
      <c r="BR1229" s="237"/>
      <c r="BS1229" s="237"/>
      <c r="BT1229" s="237"/>
    </row>
    <row r="1230" spans="1:72" ht="14.25" customHeight="1" x14ac:dyDescent="0.2">
      <c r="A1230" s="4" t="s">
        <v>6461</v>
      </c>
      <c r="B1230" s="4">
        <v>5</v>
      </c>
      <c r="C1230" s="188" t="s">
        <v>6010</v>
      </c>
      <c r="D1230" s="188" t="s">
        <v>6471</v>
      </c>
      <c r="E1230" s="4">
        <v>2488</v>
      </c>
      <c r="F1230" s="201" t="s">
        <v>6472</v>
      </c>
      <c r="G1230" s="188" t="s">
        <v>6473</v>
      </c>
      <c r="H1230" s="4" t="s">
        <v>6474</v>
      </c>
      <c r="I1230" s="4" t="s">
        <v>1664</v>
      </c>
      <c r="J1230" s="4" t="s">
        <v>6187</v>
      </c>
      <c r="K1230" s="4">
        <v>1</v>
      </c>
      <c r="L1230" s="4">
        <v>2891</v>
      </c>
      <c r="M1230" s="223"/>
      <c r="U1230"/>
      <c r="V1230" s="237"/>
      <c r="W1230" s="237"/>
      <c r="X1230" s="237"/>
      <c r="Y1230" s="237"/>
      <c r="Z1230" s="237"/>
      <c r="AA1230" s="237"/>
      <c r="AB1230" s="237"/>
      <c r="AC1230" s="237"/>
      <c r="AD1230" s="237"/>
      <c r="AE1230" s="237"/>
      <c r="AF1230" s="237"/>
      <c r="AG1230" s="237"/>
      <c r="AH1230" s="237"/>
      <c r="AI1230" s="237"/>
      <c r="AJ1230" s="237"/>
      <c r="AK1230" s="265"/>
      <c r="AL1230" s="237"/>
      <c r="AM1230" s="237"/>
      <c r="AN1230" s="237"/>
      <c r="AO1230" s="53"/>
      <c r="AP1230" s="53"/>
      <c r="AQ1230" s="53"/>
      <c r="AR1230" s="53"/>
      <c r="AS1230" s="53"/>
      <c r="AT1230" s="53"/>
      <c r="AU1230" s="53"/>
      <c r="AV1230" s="53"/>
      <c r="AW1230" s="53"/>
      <c r="AX1230" s="53"/>
      <c r="AY1230" s="53"/>
      <c r="AZ1230" s="53"/>
      <c r="BA1230" s="53"/>
      <c r="BB1230" s="237"/>
      <c r="BC1230" s="237"/>
      <c r="BD1230" s="237"/>
      <c r="BE1230" s="237"/>
      <c r="BF1230" s="237"/>
      <c r="BG1230" s="237"/>
      <c r="BH1230" s="237"/>
      <c r="BI1230" s="237"/>
      <c r="BJ1230" s="237"/>
      <c r="BK1230" s="237"/>
      <c r="BL1230" s="237"/>
      <c r="BM1230" s="237"/>
      <c r="BN1230" s="237"/>
      <c r="BO1230" s="237"/>
      <c r="BP1230" s="237"/>
      <c r="BQ1230" s="237"/>
      <c r="BR1230" s="237"/>
      <c r="BS1230" s="237"/>
      <c r="BT1230" s="237"/>
    </row>
    <row r="1231" spans="1:72" ht="14.25" customHeight="1" x14ac:dyDescent="0.2">
      <c r="A1231" s="4" t="s">
        <v>6266</v>
      </c>
      <c r="B1231" s="4">
        <v>5</v>
      </c>
      <c r="C1231" s="4" t="s">
        <v>6010</v>
      </c>
      <c r="D1231" s="4" t="s">
        <v>6267</v>
      </c>
      <c r="E1231" s="4">
        <v>2458</v>
      </c>
      <c r="F1231" s="201" t="s">
        <v>6268</v>
      </c>
      <c r="G1231" s="4" t="s">
        <v>6269</v>
      </c>
      <c r="H1231" s="4" t="s">
        <v>6270</v>
      </c>
      <c r="I1231" s="4" t="s">
        <v>1664</v>
      </c>
      <c r="J1231" s="4" t="s">
        <v>6069</v>
      </c>
      <c r="K1231" s="4">
        <v>1</v>
      </c>
      <c r="L1231" s="4">
        <v>2861</v>
      </c>
      <c r="M1231" s="222">
        <v>-117.70062</v>
      </c>
      <c r="N1231" s="201">
        <v>51.237400000000001</v>
      </c>
      <c r="O1231" s="201">
        <v>1800</v>
      </c>
      <c r="P1231" s="201" t="s">
        <v>6267</v>
      </c>
      <c r="Q1231" s="237"/>
      <c r="R1231" s="201" t="str">
        <f>F1231</f>
        <v>Fidelty Mtn. -&gt; Fidelity Mountain</v>
      </c>
      <c r="S1231" s="237"/>
      <c r="T1231" s="237"/>
      <c r="U1231" s="237"/>
      <c r="V1231" s="237"/>
      <c r="W1231" s="237"/>
      <c r="X1231" s="237"/>
      <c r="Y1231" s="237"/>
      <c r="Z1231" s="237"/>
      <c r="AA1231" s="237"/>
      <c r="AB1231" s="237"/>
      <c r="AC1231" s="237"/>
      <c r="AD1231" s="237"/>
      <c r="AE1231" s="237"/>
      <c r="AF1231" s="237"/>
      <c r="AG1231" s="237"/>
      <c r="AH1231" s="237"/>
      <c r="AI1231" s="237"/>
      <c r="AJ1231" s="237"/>
      <c r="AK1231" s="265"/>
      <c r="AL1231" s="237"/>
      <c r="AM1231" s="237"/>
      <c r="AN1231" s="237"/>
      <c r="AO1231" s="237"/>
      <c r="AP1231" s="237"/>
      <c r="AQ1231" s="237"/>
      <c r="AR1231" s="237"/>
      <c r="AS1231" s="237"/>
      <c r="AT1231" s="237"/>
      <c r="AU1231" s="237"/>
      <c r="AV1231" s="237"/>
      <c r="AW1231" s="237"/>
      <c r="AX1231" s="237"/>
      <c r="AY1231" s="237"/>
      <c r="AZ1231" s="237"/>
      <c r="BA1231" s="237"/>
      <c r="BB1231" s="237"/>
      <c r="BC1231" s="237"/>
      <c r="BD1231" s="237"/>
      <c r="BE1231" s="237"/>
      <c r="BF1231" s="237"/>
      <c r="BG1231" s="237"/>
      <c r="BH1231" s="237"/>
      <c r="BI1231" s="237"/>
      <c r="BJ1231" s="237"/>
      <c r="BK1231" s="237"/>
      <c r="BL1231" s="237"/>
      <c r="BM1231" s="237"/>
      <c r="BN1231" s="237"/>
      <c r="BO1231" s="237"/>
      <c r="BP1231" s="237"/>
      <c r="BQ1231" s="237"/>
      <c r="BR1231" s="237"/>
      <c r="BS1231" s="237"/>
      <c r="BT1231" s="237"/>
    </row>
    <row r="1232" spans="1:72" ht="14.25" customHeight="1" x14ac:dyDescent="0.2">
      <c r="A1232" s="136" t="s">
        <v>7476</v>
      </c>
      <c r="B1232" s="138">
        <v>11</v>
      </c>
      <c r="C1232" s="137" t="s">
        <v>7179</v>
      </c>
      <c r="D1232" s="136" t="s">
        <v>7477</v>
      </c>
      <c r="E1232" s="136">
        <v>13069</v>
      </c>
      <c r="F1232" s="136" t="s">
        <v>7477</v>
      </c>
      <c r="G1232" s="136" t="s">
        <v>7478</v>
      </c>
      <c r="H1232" s="136" t="s">
        <v>7479</v>
      </c>
      <c r="I1232" s="136" t="s">
        <v>49</v>
      </c>
      <c r="J1232" s="136" t="s">
        <v>7287</v>
      </c>
      <c r="K1232" s="136">
        <v>1</v>
      </c>
      <c r="L1232" s="136">
        <v>14993</v>
      </c>
      <c r="M1232" s="143">
        <v>53.33869</v>
      </c>
      <c r="N1232" s="138">
        <v>-120.12108000000001</v>
      </c>
      <c r="O1232" s="138" t="s">
        <v>170</v>
      </c>
      <c r="P1232" s="138" t="s">
        <v>7480</v>
      </c>
      <c r="Q1232" s="139">
        <v>7</v>
      </c>
      <c r="R1232" s="138" t="s">
        <v>7477</v>
      </c>
      <c r="S1232" s="140" t="str">
        <f>UPPER(R1232)</f>
        <v>SUNBEAM</v>
      </c>
      <c r="T1232" s="138" t="s">
        <v>4344</v>
      </c>
      <c r="U1232" s="138">
        <v>2000</v>
      </c>
      <c r="V1232" s="138"/>
      <c r="W1232" s="138" t="s">
        <v>7481</v>
      </c>
      <c r="X1232" s="141" t="s">
        <v>7482</v>
      </c>
      <c r="Y1232" s="138" t="s">
        <v>7252</v>
      </c>
      <c r="AK1232" s="260"/>
    </row>
    <row r="1233" spans="1:72" ht="14.25" customHeight="1" x14ac:dyDescent="0.2">
      <c r="A1233" s="136" t="s">
        <v>7616</v>
      </c>
      <c r="B1233" s="138">
        <v>11</v>
      </c>
      <c r="C1233" s="137" t="s">
        <v>7179</v>
      </c>
      <c r="D1233" s="136" t="s">
        <v>7617</v>
      </c>
      <c r="E1233" s="136">
        <v>12063</v>
      </c>
      <c r="F1233" s="181" t="s">
        <v>7480</v>
      </c>
      <c r="G1233" s="136" t="s">
        <v>7618</v>
      </c>
      <c r="H1233" s="136" t="s">
        <v>7619</v>
      </c>
      <c r="I1233" s="136" t="s">
        <v>641</v>
      </c>
      <c r="J1233" s="136" t="s">
        <v>7287</v>
      </c>
      <c r="K1233" s="136">
        <v>1</v>
      </c>
      <c r="L1233" s="136">
        <v>14119</v>
      </c>
      <c r="M1233" s="6"/>
      <c r="N1233" s="9"/>
      <c r="O1233" s="9"/>
      <c r="P1233" s="9"/>
      <c r="Q1233" s="20"/>
      <c r="R1233" s="9"/>
      <c r="S1233" s="11"/>
      <c r="T1233" s="9"/>
      <c r="U1233" s="9"/>
      <c r="V1233" s="9"/>
      <c r="W1233" s="9"/>
      <c r="X1233" s="58"/>
      <c r="Y1233" s="9"/>
      <c r="AK1233" s="260"/>
    </row>
    <row r="1234" spans="1:72" ht="14.25" customHeight="1" x14ac:dyDescent="0.2">
      <c r="A1234" s="5" t="s">
        <v>593</v>
      </c>
      <c r="B1234" s="4">
        <v>10</v>
      </c>
      <c r="C1234" s="4" t="s">
        <v>450</v>
      </c>
      <c r="D1234" s="9" t="s">
        <v>594</v>
      </c>
      <c r="E1234" s="9">
        <v>1538</v>
      </c>
      <c r="F1234" s="203" t="s">
        <v>595</v>
      </c>
      <c r="G1234" s="9" t="str">
        <f t="shared" ref="G1234:G1255" si="13">CONCATENATE(-1*AF1234," W, ",AE1234," N, Elev. ",AG1234," m")</f>
        <v>122.145833 W, 49.0725 N, Elev. 100 m</v>
      </c>
      <c r="H1234" s="4" t="s">
        <v>426</v>
      </c>
      <c r="I1234" s="9" t="s">
        <v>427</v>
      </c>
      <c r="J1234" s="9">
        <v>37366</v>
      </c>
      <c r="K1234" s="9"/>
      <c r="L1234" s="9"/>
      <c r="M1234" s="6"/>
      <c r="N1234" s="9"/>
      <c r="O1234" s="9"/>
      <c r="P1234" s="9"/>
      <c r="Q1234" s="9"/>
      <c r="R1234" s="9"/>
      <c r="S1234" s="9"/>
      <c r="T1234" s="9"/>
      <c r="U1234" s="9"/>
      <c r="V1234" s="9"/>
      <c r="W1234" s="9"/>
      <c r="X1234" s="9"/>
      <c r="Y1234" s="9"/>
      <c r="Z1234" s="9"/>
      <c r="AA1234" s="9"/>
      <c r="AB1234" s="9"/>
      <c r="AC1234" s="9"/>
      <c r="AD1234" s="9"/>
      <c r="AE1234" s="9">
        <v>49.072499999999998</v>
      </c>
      <c r="AF1234" s="9">
        <v>-122.145833</v>
      </c>
      <c r="AG1234" s="9">
        <v>100</v>
      </c>
      <c r="AH1234" s="9"/>
      <c r="AI1234" s="9"/>
      <c r="AJ1234" s="9"/>
      <c r="AK1234" s="7"/>
      <c r="AL1234" s="9"/>
      <c r="AM1234" s="9"/>
      <c r="AN1234" s="9"/>
      <c r="AO1234" s="203"/>
      <c r="AP1234" s="9"/>
      <c r="AQ1234" s="9"/>
      <c r="AR1234" s="9"/>
      <c r="AS1234" s="9"/>
      <c r="AT1234" s="9"/>
      <c r="AU1234" s="9"/>
      <c r="AV1234" s="9"/>
      <c r="AW1234" s="9"/>
      <c r="AX1234" s="9"/>
      <c r="AY1234" s="9"/>
      <c r="AZ1234" s="9"/>
      <c r="BA1234" s="9"/>
      <c r="BB1234" s="9"/>
      <c r="BC1234" s="9"/>
      <c r="BD1234" s="9"/>
      <c r="BE1234" s="9"/>
      <c r="BF1234" s="9"/>
      <c r="BG1234" s="9"/>
      <c r="BH1234" s="9"/>
      <c r="BI1234" s="9"/>
      <c r="BJ1234" s="9"/>
      <c r="BK1234" s="9"/>
      <c r="BL1234" s="9"/>
      <c r="BM1234" s="9"/>
      <c r="BN1234" s="9"/>
      <c r="BO1234" s="9"/>
      <c r="BP1234" s="9"/>
      <c r="BQ1234" s="9"/>
      <c r="BR1234" s="9"/>
      <c r="BS1234" s="9"/>
      <c r="BT1234" s="9"/>
    </row>
    <row r="1235" spans="1:72" ht="14.25" customHeight="1" x14ac:dyDescent="0.2">
      <c r="A1235" s="5" t="s">
        <v>500</v>
      </c>
      <c r="B1235" s="4">
        <v>10</v>
      </c>
      <c r="C1235" s="4" t="s">
        <v>450</v>
      </c>
      <c r="D1235" s="9" t="s">
        <v>501</v>
      </c>
      <c r="E1235" s="9">
        <v>1510</v>
      </c>
      <c r="F1235" s="203" t="s">
        <v>502</v>
      </c>
      <c r="G1235" s="9" t="str">
        <f t="shared" si="13"/>
        <v>121.2794667 W, 50.7448 N, Elev. 446 m</v>
      </c>
      <c r="H1235" s="4" t="s">
        <v>426</v>
      </c>
      <c r="I1235" s="9" t="s">
        <v>427</v>
      </c>
      <c r="J1235" s="9">
        <v>38982</v>
      </c>
      <c r="K1235" s="9"/>
      <c r="L1235" s="9"/>
      <c r="M1235" s="6"/>
      <c r="N1235" s="9"/>
      <c r="O1235" s="9"/>
      <c r="P1235" s="9"/>
      <c r="Q1235" s="9"/>
      <c r="R1235" s="9"/>
      <c r="S1235" s="9"/>
      <c r="T1235" s="9"/>
      <c r="U1235" s="9"/>
      <c r="V1235" s="9"/>
      <c r="W1235" s="9"/>
      <c r="X1235" s="9"/>
      <c r="Y1235" s="9"/>
      <c r="Z1235" s="9"/>
      <c r="AA1235" s="9"/>
      <c r="AB1235" s="9"/>
      <c r="AC1235" s="9"/>
      <c r="AD1235" s="9"/>
      <c r="AE1235" s="9">
        <v>50.744799999999998</v>
      </c>
      <c r="AF1235" s="9">
        <v>-121.2794667</v>
      </c>
      <c r="AG1235" s="9">
        <v>446</v>
      </c>
      <c r="AH1235" s="9"/>
      <c r="AI1235" s="9"/>
      <c r="AJ1235" s="9"/>
      <c r="AK1235" s="7"/>
      <c r="AL1235" s="9"/>
      <c r="AM1235" s="9"/>
      <c r="AN1235" s="9"/>
      <c r="AO1235" s="9"/>
      <c r="AP1235" s="9"/>
      <c r="AQ1235" s="9"/>
      <c r="AR1235" s="9"/>
      <c r="AS1235" s="9"/>
      <c r="AT1235" s="9"/>
      <c r="AU1235" s="9"/>
      <c r="AV1235" s="9"/>
      <c r="AW1235" s="9"/>
      <c r="AX1235" s="9"/>
      <c r="AY1235" s="9"/>
      <c r="AZ1235" s="9"/>
      <c r="BA1235" s="9"/>
      <c r="BB1235" s="9"/>
      <c r="BC1235" s="9"/>
      <c r="BD1235" s="9"/>
      <c r="BE1235" s="9"/>
      <c r="BF1235" s="9"/>
      <c r="BG1235" s="9"/>
      <c r="BH1235" s="9"/>
      <c r="BI1235" s="9"/>
      <c r="BJ1235" s="9"/>
      <c r="BK1235" s="9"/>
      <c r="BL1235" s="9"/>
      <c r="BM1235" s="9"/>
      <c r="BN1235" s="9"/>
      <c r="BO1235" s="9"/>
      <c r="BP1235" s="9"/>
      <c r="BQ1235" s="9"/>
      <c r="BR1235" s="9"/>
      <c r="BS1235" s="9"/>
      <c r="BT1235" s="9"/>
    </row>
    <row r="1236" spans="1:72" ht="14.25" customHeight="1" x14ac:dyDescent="0.2">
      <c r="A1236" s="5" t="s">
        <v>507</v>
      </c>
      <c r="B1236" s="4">
        <v>10</v>
      </c>
      <c r="C1236" s="4" t="s">
        <v>450</v>
      </c>
      <c r="D1236" s="9" t="s">
        <v>508</v>
      </c>
      <c r="E1236" s="9">
        <v>1511</v>
      </c>
      <c r="F1236" s="203" t="s">
        <v>509</v>
      </c>
      <c r="G1236" s="9" t="str">
        <f t="shared" si="13"/>
        <v>119.7084833 W, 50.8039 N, Elev. 355 m</v>
      </c>
      <c r="H1236" s="4" t="s">
        <v>426</v>
      </c>
      <c r="I1236" s="9" t="s">
        <v>427</v>
      </c>
      <c r="J1236" s="9">
        <v>38960</v>
      </c>
      <c r="K1236" s="9"/>
      <c r="L1236" s="9"/>
      <c r="M1236" s="6"/>
      <c r="N1236" s="9"/>
      <c r="O1236" s="9"/>
      <c r="P1236" s="9"/>
      <c r="Q1236" s="9"/>
      <c r="R1236" s="9"/>
      <c r="S1236" s="9"/>
      <c r="T1236" s="9"/>
      <c r="U1236" s="9"/>
      <c r="V1236" s="9"/>
      <c r="W1236" s="9"/>
      <c r="X1236" s="9"/>
      <c r="Y1236" s="9"/>
      <c r="Z1236" s="9"/>
      <c r="AA1236" s="9"/>
      <c r="AB1236" s="9"/>
      <c r="AC1236" s="9"/>
      <c r="AD1236" s="9"/>
      <c r="AE1236" s="9">
        <v>50.803899999999999</v>
      </c>
      <c r="AF1236" s="9">
        <v>-119.7084833</v>
      </c>
      <c r="AG1236" s="9">
        <v>355</v>
      </c>
      <c r="AH1236" s="9"/>
      <c r="AI1236" s="9"/>
      <c r="AJ1236" s="9"/>
      <c r="AK1236" s="7"/>
      <c r="AL1236" s="9"/>
      <c r="AM1236" s="9"/>
      <c r="AN1236" s="9"/>
      <c r="AO1236" s="9"/>
      <c r="AP1236" s="9"/>
      <c r="AQ1236" s="9"/>
      <c r="AR1236" s="9"/>
      <c r="AS1236" s="9"/>
      <c r="AT1236" s="9"/>
      <c r="AU1236" s="9"/>
      <c r="AV1236" s="9"/>
      <c r="AW1236" s="9"/>
      <c r="AX1236" s="9"/>
      <c r="AY1236" s="9"/>
      <c r="AZ1236" s="9"/>
      <c r="BA1236" s="9"/>
      <c r="BB1236" s="9"/>
      <c r="BC1236" s="9"/>
      <c r="BD1236" s="9"/>
      <c r="BE1236" s="9"/>
      <c r="BF1236" s="9"/>
      <c r="BG1236" s="9"/>
      <c r="BH1236" s="9"/>
      <c r="BI1236" s="9"/>
      <c r="BJ1236" s="9"/>
      <c r="BK1236" s="9"/>
      <c r="BL1236" s="9"/>
      <c r="BM1236" s="9"/>
      <c r="BN1236" s="9"/>
      <c r="BO1236" s="9"/>
      <c r="BP1236" s="9"/>
      <c r="BQ1236" s="9"/>
      <c r="BR1236" s="9"/>
      <c r="BS1236" s="9"/>
      <c r="BT1236" s="9"/>
    </row>
    <row r="1237" spans="1:72" ht="14.25" customHeight="1" x14ac:dyDescent="0.2">
      <c r="A1237" s="5" t="s">
        <v>514</v>
      </c>
      <c r="B1237" s="4">
        <v>10</v>
      </c>
      <c r="C1237" s="4" t="s">
        <v>450</v>
      </c>
      <c r="D1237" s="9" t="s">
        <v>515</v>
      </c>
      <c r="E1237" s="9">
        <v>1512</v>
      </c>
      <c r="F1237" s="9" t="s">
        <v>516</v>
      </c>
      <c r="G1237" s="9" t="str">
        <f t="shared" si="13"/>
        <v>120.8911667 W, 50.01166667 N, Elev. 718 m</v>
      </c>
      <c r="H1237" s="4" t="s">
        <v>426</v>
      </c>
      <c r="I1237" s="9" t="s">
        <v>427</v>
      </c>
      <c r="J1237" s="9">
        <v>39792</v>
      </c>
      <c r="K1237" s="9"/>
      <c r="L1237" s="9"/>
      <c r="M1237" s="6"/>
      <c r="N1237" s="9"/>
      <c r="O1237" s="9"/>
      <c r="P1237" s="9"/>
      <c r="Q1237" s="9"/>
      <c r="R1237" s="9"/>
      <c r="S1237" s="9"/>
      <c r="T1237" s="9"/>
      <c r="U1237" s="9"/>
      <c r="V1237" s="9"/>
      <c r="W1237" s="9"/>
      <c r="X1237" s="9"/>
      <c r="Y1237" s="9"/>
      <c r="Z1237" s="9"/>
      <c r="AA1237" s="9"/>
      <c r="AB1237" s="9"/>
      <c r="AC1237" s="9"/>
      <c r="AD1237" s="9"/>
      <c r="AE1237" s="9">
        <v>50.011666669999997</v>
      </c>
      <c r="AF1237" s="9">
        <v>-120.8911667</v>
      </c>
      <c r="AG1237" s="9">
        <v>718</v>
      </c>
      <c r="AH1237" s="9"/>
      <c r="AI1237" s="9"/>
      <c r="AJ1237" s="9"/>
      <c r="AK1237" s="7"/>
      <c r="AL1237" s="9"/>
      <c r="AM1237" s="9"/>
      <c r="AN1237" s="9"/>
      <c r="AO1237" s="9"/>
      <c r="AP1237" s="9"/>
      <c r="AQ1237" s="9"/>
      <c r="AR1237" s="9"/>
      <c r="AS1237" s="9"/>
      <c r="AT1237" s="9"/>
      <c r="AU1237" s="9"/>
      <c r="AV1237" s="9"/>
      <c r="AW1237" s="9"/>
      <c r="AX1237" s="9"/>
      <c r="AY1237" s="9"/>
      <c r="AZ1237" s="9"/>
      <c r="BA1237" s="9"/>
      <c r="BB1237" s="9"/>
      <c r="BC1237" s="9"/>
      <c r="BD1237" s="9"/>
      <c r="BE1237" s="9"/>
      <c r="BF1237" s="9"/>
      <c r="BG1237" s="9"/>
      <c r="BH1237" s="9"/>
      <c r="BI1237" s="9"/>
      <c r="BJ1237" s="9"/>
      <c r="BK1237" s="9"/>
      <c r="BL1237" s="9"/>
      <c r="BM1237" s="9"/>
      <c r="BN1237" s="9"/>
      <c r="BO1237" s="9"/>
      <c r="BP1237" s="9"/>
      <c r="BQ1237" s="9"/>
      <c r="BR1237" s="9"/>
      <c r="BS1237" s="9"/>
      <c r="BT1237" s="9"/>
    </row>
    <row r="1238" spans="1:72" ht="14.25" customHeight="1" x14ac:dyDescent="0.2">
      <c r="A1238" s="5" t="s">
        <v>521</v>
      </c>
      <c r="B1238" s="4">
        <v>10</v>
      </c>
      <c r="C1238" s="4" t="s">
        <v>450</v>
      </c>
      <c r="D1238" s="9" t="s">
        <v>522</v>
      </c>
      <c r="E1238" s="9">
        <v>1513</v>
      </c>
      <c r="F1238" s="203" t="s">
        <v>523</v>
      </c>
      <c r="G1238" s="9" t="str">
        <f t="shared" si="13"/>
        <v>119.1942667 W, 50.6276 N, Elev. 517 m</v>
      </c>
      <c r="H1238" s="4" t="s">
        <v>426</v>
      </c>
      <c r="I1238" s="9" t="s">
        <v>427</v>
      </c>
      <c r="J1238" s="9">
        <v>38975</v>
      </c>
      <c r="K1238" s="9"/>
      <c r="L1238" s="9"/>
      <c r="M1238" s="6"/>
      <c r="N1238" s="9"/>
      <c r="O1238" s="9"/>
      <c r="P1238" s="9"/>
      <c r="Q1238" s="9"/>
      <c r="R1238" s="9"/>
      <c r="S1238" s="9"/>
      <c r="T1238" s="9"/>
      <c r="U1238" s="9"/>
      <c r="V1238" s="9"/>
      <c r="W1238" s="9"/>
      <c r="X1238" s="9"/>
      <c r="Y1238" s="9"/>
      <c r="Z1238" s="9"/>
      <c r="AA1238" s="9"/>
      <c r="AB1238" s="9"/>
      <c r="AC1238" s="9"/>
      <c r="AD1238" s="9"/>
      <c r="AE1238" s="9">
        <v>50.627600000000001</v>
      </c>
      <c r="AF1238" s="9">
        <v>-119.1942667</v>
      </c>
      <c r="AG1238" s="9">
        <v>517</v>
      </c>
      <c r="AH1238" s="9"/>
      <c r="AI1238" s="9"/>
      <c r="AJ1238" s="9"/>
      <c r="AK1238" s="7"/>
      <c r="AL1238" s="9"/>
      <c r="AM1238" s="9"/>
      <c r="AN1238" s="9"/>
      <c r="AO1238" s="203"/>
      <c r="AP1238" s="9"/>
      <c r="AQ1238" s="9"/>
      <c r="AR1238" s="9"/>
      <c r="AS1238" s="9"/>
      <c r="AT1238" s="9"/>
      <c r="AU1238" s="9"/>
      <c r="AV1238" s="9"/>
      <c r="AW1238" s="9"/>
      <c r="AX1238" s="9"/>
      <c r="AY1238" s="9"/>
      <c r="AZ1238" s="9"/>
      <c r="BA1238" s="9"/>
      <c r="BB1238" s="9"/>
      <c r="BC1238" s="9"/>
      <c r="BD1238" s="9"/>
      <c r="BE1238" s="9"/>
      <c r="BF1238" s="9"/>
      <c r="BG1238" s="9"/>
      <c r="BH1238" s="9"/>
      <c r="BI1238" s="9"/>
      <c r="BJ1238" s="9"/>
      <c r="BK1238" s="9"/>
      <c r="BL1238" s="9"/>
      <c r="BM1238" s="9"/>
      <c r="BN1238" s="9"/>
      <c r="BO1238" s="9"/>
      <c r="BP1238" s="9"/>
      <c r="BQ1238" s="9"/>
      <c r="BR1238" s="9"/>
      <c r="BS1238" s="9"/>
      <c r="BT1238" s="9"/>
    </row>
    <row r="1239" spans="1:72" ht="14.25" customHeight="1" x14ac:dyDescent="0.2">
      <c r="A1239" s="5" t="s">
        <v>536</v>
      </c>
      <c r="B1239" s="4">
        <v>10</v>
      </c>
      <c r="C1239" s="4" t="s">
        <v>450</v>
      </c>
      <c r="D1239" s="9" t="s">
        <v>537</v>
      </c>
      <c r="E1239" s="9">
        <v>1515</v>
      </c>
      <c r="F1239" s="203" t="s">
        <v>538</v>
      </c>
      <c r="G1239" s="9" t="str">
        <f t="shared" si="13"/>
        <v>120.0247222 W, 50.20472222 N, Elev. 951.8904 m</v>
      </c>
      <c r="H1239" s="4" t="s">
        <v>426</v>
      </c>
      <c r="I1239" s="9" t="s">
        <v>427</v>
      </c>
      <c r="J1239" s="9">
        <v>38557</v>
      </c>
      <c r="K1239" s="9"/>
      <c r="L1239" s="9"/>
      <c r="M1239" s="6"/>
      <c r="N1239" s="9"/>
      <c r="O1239" s="9"/>
      <c r="P1239" s="9"/>
      <c r="Q1239" s="9"/>
      <c r="R1239" s="9"/>
      <c r="S1239" s="9"/>
      <c r="T1239" s="9"/>
      <c r="U1239" s="9"/>
      <c r="V1239" s="9"/>
      <c r="W1239" s="9"/>
      <c r="X1239" s="9"/>
      <c r="Y1239" s="9"/>
      <c r="Z1239" s="9"/>
      <c r="AA1239" s="9"/>
      <c r="AB1239" s="9"/>
      <c r="AC1239" s="9"/>
      <c r="AD1239" s="9"/>
      <c r="AE1239" s="9">
        <v>50.204722220000001</v>
      </c>
      <c r="AF1239" s="9">
        <v>-120.0247222</v>
      </c>
      <c r="AG1239" s="9">
        <v>951.8904</v>
      </c>
      <c r="AH1239" s="9"/>
      <c r="AI1239" s="9"/>
      <c r="AJ1239" s="9"/>
      <c r="AK1239" s="7"/>
      <c r="AL1239" s="9"/>
      <c r="AM1239" s="9"/>
      <c r="AN1239" s="9"/>
      <c r="AO1239" s="9"/>
      <c r="AP1239" s="9"/>
      <c r="AQ1239" s="9"/>
      <c r="AR1239" s="9"/>
      <c r="AS1239" s="9"/>
      <c r="AT1239" s="9"/>
      <c r="AU1239" s="9"/>
      <c r="AV1239" s="9"/>
      <c r="AW1239" s="9"/>
      <c r="AX1239" s="9"/>
      <c r="AY1239" s="9"/>
      <c r="AZ1239" s="9"/>
      <c r="BA1239" s="9"/>
      <c r="BB1239" s="9"/>
      <c r="BC1239" s="9"/>
      <c r="BD1239" s="9"/>
      <c r="BE1239" s="9"/>
      <c r="BF1239" s="9"/>
      <c r="BG1239" s="9"/>
      <c r="BH1239" s="9"/>
      <c r="BI1239" s="9"/>
      <c r="BJ1239" s="9"/>
      <c r="BK1239" s="9"/>
      <c r="BL1239" s="9"/>
      <c r="BM1239" s="9"/>
      <c r="BN1239" s="9"/>
      <c r="BO1239" s="9"/>
      <c r="BP1239" s="9"/>
      <c r="BQ1239" s="9"/>
      <c r="BR1239" s="9"/>
      <c r="BS1239" s="9"/>
      <c r="BT1239" s="9"/>
    </row>
    <row r="1240" spans="1:72" ht="14.25" customHeight="1" x14ac:dyDescent="0.2">
      <c r="A1240" s="5" t="s">
        <v>528</v>
      </c>
      <c r="B1240" s="4">
        <v>10</v>
      </c>
      <c r="C1240" s="4" t="s">
        <v>450</v>
      </c>
      <c r="D1240" s="9" t="s">
        <v>529</v>
      </c>
      <c r="E1240" s="9">
        <v>1514</v>
      </c>
      <c r="F1240" s="203" t="s">
        <v>530</v>
      </c>
      <c r="G1240" s="9" t="str">
        <f t="shared" si="13"/>
        <v>121.86749 W, 50.85193 N, Elev. 450 m</v>
      </c>
      <c r="H1240" s="4" t="s">
        <v>426</v>
      </c>
      <c r="I1240" s="9" t="s">
        <v>427</v>
      </c>
      <c r="J1240" s="9">
        <v>39339</v>
      </c>
      <c r="K1240" s="9"/>
      <c r="L1240" s="9"/>
      <c r="M1240" s="6"/>
      <c r="N1240" s="9"/>
      <c r="O1240" s="9"/>
      <c r="P1240" s="9"/>
      <c r="Q1240" s="9"/>
      <c r="R1240" s="9"/>
      <c r="S1240" s="9"/>
      <c r="T1240" s="9"/>
      <c r="U1240" s="9"/>
      <c r="V1240" s="9"/>
      <c r="W1240" s="9"/>
      <c r="X1240" s="9"/>
      <c r="Y1240" s="9"/>
      <c r="Z1240" s="9"/>
      <c r="AA1240" s="9"/>
      <c r="AB1240" s="9"/>
      <c r="AC1240" s="9"/>
      <c r="AD1240" s="9"/>
      <c r="AE1240" s="9">
        <v>50.851930000000003</v>
      </c>
      <c r="AF1240" s="9">
        <v>-121.86749</v>
      </c>
      <c r="AG1240" s="9">
        <v>450</v>
      </c>
      <c r="AH1240" s="9"/>
      <c r="AI1240" s="9"/>
      <c r="AJ1240" s="9"/>
      <c r="AK1240" s="7"/>
      <c r="AL1240" s="9"/>
      <c r="AM1240" s="9"/>
      <c r="AN1240" s="9"/>
      <c r="AO1240" s="9"/>
      <c r="AP1240" s="9"/>
      <c r="AQ1240" s="9"/>
      <c r="AR1240" s="9"/>
      <c r="AS1240" s="9"/>
      <c r="AT1240" s="9"/>
      <c r="AU1240" s="9"/>
      <c r="AV1240" s="9"/>
      <c r="AW1240" s="9"/>
      <c r="AX1240" s="9"/>
      <c r="AY1240" s="9"/>
      <c r="AZ1240" s="9"/>
      <c r="BA1240" s="9"/>
      <c r="BB1240" s="9"/>
      <c r="BC1240" s="9"/>
      <c r="BD1240" s="9"/>
      <c r="BE1240" s="9"/>
      <c r="BF1240" s="9"/>
      <c r="BG1240" s="9"/>
      <c r="BH1240" s="9"/>
      <c r="BI1240" s="9"/>
      <c r="BJ1240" s="9"/>
      <c r="BK1240" s="9"/>
      <c r="BL1240" s="9"/>
      <c r="BM1240" s="9"/>
      <c r="BN1240" s="9"/>
      <c r="BO1240" s="9"/>
      <c r="BP1240" s="9"/>
      <c r="BQ1240" s="9"/>
      <c r="BR1240" s="9"/>
      <c r="BS1240" s="9"/>
      <c r="BT1240" s="9"/>
    </row>
    <row r="1241" spans="1:72" ht="14.25" customHeight="1" x14ac:dyDescent="0.2">
      <c r="A1241" s="5" t="s">
        <v>622</v>
      </c>
      <c r="B1241" s="4">
        <v>10</v>
      </c>
      <c r="C1241" s="4" t="s">
        <v>450</v>
      </c>
      <c r="D1241" s="9" t="s">
        <v>623</v>
      </c>
      <c r="E1241" s="9">
        <v>1516</v>
      </c>
      <c r="F1241" s="203" t="s">
        <v>624</v>
      </c>
      <c r="G1241" s="9" t="str">
        <f t="shared" si="13"/>
        <v>119.1392 W, 50.6051 N, Elev. 355 m</v>
      </c>
      <c r="H1241" s="4" t="s">
        <v>426</v>
      </c>
      <c r="I1241" s="9" t="s">
        <v>427</v>
      </c>
      <c r="J1241" s="9">
        <v>38975</v>
      </c>
      <c r="K1241" s="9"/>
      <c r="L1241" s="9"/>
      <c r="M1241" s="6"/>
      <c r="N1241" s="9"/>
      <c r="O1241" s="9"/>
      <c r="P1241" s="9"/>
      <c r="Q1241" s="9"/>
      <c r="R1241" s="9"/>
      <c r="S1241" s="9"/>
      <c r="T1241" s="9"/>
      <c r="U1241" s="9"/>
      <c r="V1241" s="9"/>
      <c r="W1241" s="9"/>
      <c r="X1241" s="9"/>
      <c r="Y1241" s="9"/>
      <c r="Z1241" s="9"/>
      <c r="AA1241" s="9"/>
      <c r="AB1241" s="9"/>
      <c r="AC1241" s="9"/>
      <c r="AD1241" s="9"/>
      <c r="AE1241" s="9">
        <v>50.6051</v>
      </c>
      <c r="AF1241" s="9">
        <v>-119.1392</v>
      </c>
      <c r="AG1241" s="9">
        <v>355</v>
      </c>
      <c r="AH1241" s="9"/>
      <c r="AI1241" s="9"/>
      <c r="AJ1241" s="9"/>
      <c r="AK1241" s="7"/>
      <c r="AL1241" s="9"/>
      <c r="AM1241" s="9"/>
      <c r="AN1241" s="9"/>
      <c r="AO1241" s="9"/>
      <c r="AP1241" s="9"/>
      <c r="AQ1241" s="9"/>
      <c r="AR1241" s="9"/>
      <c r="AS1241" s="9"/>
      <c r="AT1241" s="9"/>
      <c r="AU1241" s="9"/>
      <c r="AV1241" s="9"/>
      <c r="AW1241" s="9"/>
      <c r="AX1241" s="9"/>
      <c r="AY1241" s="9"/>
      <c r="AZ1241" s="9"/>
      <c r="BA1241" s="9"/>
      <c r="BB1241" s="9"/>
      <c r="BC1241" s="9"/>
      <c r="BD1241" s="9"/>
      <c r="BE1241" s="9"/>
      <c r="BF1241" s="9"/>
      <c r="BG1241" s="9"/>
      <c r="BH1241" s="9"/>
      <c r="BI1241" s="9"/>
      <c r="BJ1241" s="9"/>
      <c r="BK1241" s="9"/>
      <c r="BL1241" s="9"/>
      <c r="BM1241" s="9"/>
      <c r="BN1241" s="9"/>
      <c r="BO1241" s="9"/>
      <c r="BP1241" s="9"/>
      <c r="BQ1241" s="9"/>
      <c r="BR1241" s="9"/>
      <c r="BS1241" s="9"/>
      <c r="BT1241" s="9"/>
    </row>
    <row r="1242" spans="1:72" ht="14.25" customHeight="1" x14ac:dyDescent="0.2">
      <c r="A1242" s="5" t="s">
        <v>551</v>
      </c>
      <c r="B1242" s="4">
        <v>10</v>
      </c>
      <c r="C1242" s="4" t="s">
        <v>450</v>
      </c>
      <c r="D1242" s="9" t="s">
        <v>552</v>
      </c>
      <c r="E1242" s="9">
        <v>1518</v>
      </c>
      <c r="F1242" s="203" t="s">
        <v>553</v>
      </c>
      <c r="G1242" s="9" t="str">
        <f t="shared" si="13"/>
        <v>120.8913889 W, 50.89444444 N, Elev. 728 m</v>
      </c>
      <c r="H1242" s="4" t="s">
        <v>426</v>
      </c>
      <c r="I1242" s="9" t="s">
        <v>427</v>
      </c>
      <c r="J1242" s="9">
        <v>39924</v>
      </c>
      <c r="K1242" s="9"/>
      <c r="L1242" s="9"/>
      <c r="M1242" s="6"/>
      <c r="N1242" s="9"/>
      <c r="O1242" s="9"/>
      <c r="P1242" s="9"/>
      <c r="Q1242" s="9"/>
      <c r="R1242" s="9"/>
      <c r="S1242" s="9"/>
      <c r="T1242" s="9"/>
      <c r="U1242" s="9"/>
      <c r="V1242" s="9"/>
      <c r="W1242" s="9"/>
      <c r="X1242" s="9"/>
      <c r="Y1242" s="9"/>
      <c r="Z1242" s="9"/>
      <c r="AA1242" s="9"/>
      <c r="AB1242" s="9"/>
      <c r="AC1242" s="9"/>
      <c r="AD1242" s="9"/>
      <c r="AE1242" s="9">
        <v>50.894444440000001</v>
      </c>
      <c r="AF1242" s="9">
        <v>-120.8913889</v>
      </c>
      <c r="AG1242" s="9">
        <v>728</v>
      </c>
      <c r="AH1242" s="9"/>
      <c r="AI1242" s="9"/>
      <c r="AJ1242" s="9"/>
      <c r="AK1242" s="7"/>
      <c r="AL1242" s="9"/>
      <c r="AM1242" s="9"/>
      <c r="AN1242" s="9"/>
      <c r="AO1242" s="203"/>
      <c r="AP1242" s="9"/>
      <c r="AQ1242" s="9"/>
      <c r="AR1242" s="9"/>
      <c r="AS1242" s="9"/>
      <c r="AT1242" s="9"/>
      <c r="AU1242" s="9"/>
      <c r="AV1242" s="9"/>
      <c r="AW1242" s="9"/>
      <c r="AX1242" s="9"/>
      <c r="AY1242" s="9"/>
      <c r="AZ1242" s="9"/>
      <c r="BA1242" s="9"/>
      <c r="BB1242" s="9"/>
      <c r="BC1242" s="9"/>
      <c r="BD1242" s="9"/>
      <c r="BE1242" s="9"/>
      <c r="BF1242" s="9"/>
      <c r="BG1242" s="9"/>
      <c r="BH1242" s="9"/>
      <c r="BI1242" s="9"/>
      <c r="BJ1242" s="9"/>
      <c r="BK1242" s="9"/>
      <c r="BL1242" s="9"/>
      <c r="BM1242" s="9"/>
      <c r="BN1242" s="9"/>
      <c r="BO1242" s="9"/>
      <c r="BP1242" s="9"/>
      <c r="BQ1242" s="9"/>
      <c r="BR1242" s="9"/>
      <c r="BS1242" s="9"/>
      <c r="BT1242" s="9"/>
    </row>
    <row r="1243" spans="1:72" ht="14.25" customHeight="1" x14ac:dyDescent="0.2">
      <c r="A1243" s="5" t="s">
        <v>543</v>
      </c>
      <c r="B1243" s="4">
        <v>10</v>
      </c>
      <c r="C1243" s="4" t="s">
        <v>450</v>
      </c>
      <c r="D1243" s="9" t="s">
        <v>544</v>
      </c>
      <c r="E1243" s="9">
        <v>1517</v>
      </c>
      <c r="F1243" s="203" t="s">
        <v>545</v>
      </c>
      <c r="G1243" s="9" t="str">
        <f t="shared" si="13"/>
        <v>121.71737 W, 50.48667 N, Elev. 300 m</v>
      </c>
      <c r="H1243" s="4" t="s">
        <v>426</v>
      </c>
      <c r="I1243" s="9" t="s">
        <v>427</v>
      </c>
      <c r="J1243" s="9">
        <v>39339</v>
      </c>
      <c r="K1243" s="9"/>
      <c r="L1243" s="9"/>
      <c r="M1243" s="6"/>
      <c r="N1243" s="9"/>
      <c r="O1243" s="9"/>
      <c r="P1243" s="9"/>
      <c r="Q1243" s="9"/>
      <c r="R1243" s="9"/>
      <c r="S1243" s="9"/>
      <c r="T1243" s="9"/>
      <c r="U1243" s="9"/>
      <c r="V1243" s="9"/>
      <c r="W1243" s="9"/>
      <c r="X1243" s="9"/>
      <c r="Y1243" s="9"/>
      <c r="Z1243" s="9"/>
      <c r="AA1243" s="9"/>
      <c r="AB1243" s="9"/>
      <c r="AC1243" s="9"/>
      <c r="AD1243" s="9"/>
      <c r="AE1243" s="9">
        <v>50.486669999999997</v>
      </c>
      <c r="AF1243" s="9">
        <v>-121.71737</v>
      </c>
      <c r="AG1243" s="9">
        <v>300</v>
      </c>
      <c r="AH1243" s="9"/>
      <c r="AI1243" s="9"/>
      <c r="AJ1243" s="9"/>
      <c r="AK1243" s="7"/>
      <c r="AL1243" s="9"/>
      <c r="AM1243" s="9"/>
      <c r="AN1243" s="9"/>
      <c r="AO1243" s="9"/>
      <c r="AP1243" s="9"/>
      <c r="AQ1243" s="9"/>
      <c r="AR1243" s="9"/>
      <c r="AS1243" s="9"/>
      <c r="AT1243" s="9"/>
      <c r="AU1243" s="9"/>
      <c r="AV1243" s="9"/>
      <c r="AW1243" s="9"/>
      <c r="AX1243" s="9"/>
      <c r="AY1243" s="9"/>
      <c r="AZ1243" s="9"/>
      <c r="BA1243" s="9"/>
      <c r="BB1243" s="9"/>
      <c r="BC1243" s="9"/>
      <c r="BD1243" s="9"/>
      <c r="BE1243" s="9"/>
      <c r="BF1243" s="9"/>
      <c r="BG1243" s="9"/>
      <c r="BH1243" s="9"/>
      <c r="BI1243" s="9"/>
      <c r="BJ1243" s="9"/>
      <c r="BK1243" s="9"/>
      <c r="BL1243" s="9"/>
      <c r="BM1243" s="9"/>
      <c r="BN1243" s="9"/>
      <c r="BO1243" s="9"/>
      <c r="BP1243" s="9"/>
      <c r="BQ1243" s="9"/>
      <c r="BR1243" s="9"/>
      <c r="BS1243" s="9"/>
      <c r="BT1243" s="9"/>
    </row>
    <row r="1244" spans="1:72" ht="14.25" customHeight="1" x14ac:dyDescent="0.2">
      <c r="A1244" s="5" t="s">
        <v>573</v>
      </c>
      <c r="B1244" s="4">
        <v>10</v>
      </c>
      <c r="C1244" s="4" t="s">
        <v>450</v>
      </c>
      <c r="D1244" s="17" t="s">
        <v>574</v>
      </c>
      <c r="E1244" s="17">
        <v>1522</v>
      </c>
      <c r="F1244" s="210" t="s">
        <v>575</v>
      </c>
      <c r="G1244" s="9" t="str">
        <f t="shared" si="13"/>
        <v>120.9333333 W, 50.14583333 N, Elev. 560.832 m</v>
      </c>
      <c r="H1244" s="4" t="s">
        <v>426</v>
      </c>
      <c r="I1244" s="17" t="s">
        <v>427</v>
      </c>
      <c r="J1244" s="17">
        <v>38569</v>
      </c>
      <c r="K1244" s="9"/>
      <c r="L1244" s="9"/>
      <c r="M1244" s="6"/>
      <c r="N1244" s="9"/>
      <c r="O1244" s="9"/>
      <c r="P1244" s="9"/>
      <c r="Q1244" s="9"/>
      <c r="R1244" s="9"/>
      <c r="S1244" s="9"/>
      <c r="T1244" s="9"/>
      <c r="U1244" s="9"/>
      <c r="V1244" s="9"/>
      <c r="W1244" s="9"/>
      <c r="X1244" s="9"/>
      <c r="Y1244" s="9"/>
      <c r="Z1244" s="9"/>
      <c r="AA1244" s="9"/>
      <c r="AB1244" s="9"/>
      <c r="AC1244" s="9"/>
      <c r="AD1244" s="9"/>
      <c r="AE1244" s="17">
        <v>50.145833330000002</v>
      </c>
      <c r="AF1244" s="17">
        <v>-120.9333333</v>
      </c>
      <c r="AG1244" s="17">
        <v>560.83199999999999</v>
      </c>
      <c r="AH1244" s="9"/>
      <c r="AI1244" s="9"/>
      <c r="AJ1244" s="9"/>
      <c r="AK1244" s="7"/>
      <c r="AL1244" s="9"/>
      <c r="AM1244" s="9"/>
      <c r="AN1244" s="9"/>
      <c r="AO1244" s="203"/>
      <c r="AP1244" s="9"/>
      <c r="AQ1244" s="9"/>
      <c r="AR1244" s="9"/>
      <c r="AS1244" s="9"/>
      <c r="AT1244" s="9"/>
      <c r="AU1244" s="9"/>
      <c r="AV1244" s="9"/>
      <c r="AW1244" s="9"/>
      <c r="AX1244" s="9"/>
      <c r="AY1244" s="9"/>
      <c r="AZ1244" s="9"/>
      <c r="BA1244" s="9"/>
      <c r="BB1244" s="9"/>
      <c r="BC1244" s="9"/>
      <c r="BD1244" s="9"/>
      <c r="BE1244" s="9"/>
      <c r="BF1244" s="9"/>
      <c r="BG1244" s="9"/>
      <c r="BH1244" s="9"/>
      <c r="BI1244" s="9"/>
      <c r="BJ1244" s="9"/>
      <c r="BK1244" s="9"/>
      <c r="BL1244" s="9"/>
      <c r="BM1244" s="9"/>
      <c r="BN1244" s="9"/>
      <c r="BO1244" s="9"/>
      <c r="BP1244" s="9"/>
      <c r="BQ1244" s="9"/>
      <c r="BR1244" s="9"/>
      <c r="BS1244" s="9"/>
      <c r="BT1244" s="9"/>
    </row>
    <row r="1245" spans="1:72" ht="14.25" customHeight="1" x14ac:dyDescent="0.2">
      <c r="A1245" s="5" t="s">
        <v>478</v>
      </c>
      <c r="B1245" s="9">
        <v>10</v>
      </c>
      <c r="C1245" s="188" t="s">
        <v>450</v>
      </c>
      <c r="D1245" s="203" t="s">
        <v>479</v>
      </c>
      <c r="E1245" s="9">
        <v>3284</v>
      </c>
      <c r="F1245" s="9" t="s">
        <v>480</v>
      </c>
      <c r="G1245" s="9" t="str">
        <f t="shared" si="13"/>
        <v>120.8044444 W, 50.36222222 N, Elev. 979 m</v>
      </c>
      <c r="H1245" s="9" t="s">
        <v>426</v>
      </c>
      <c r="I1245" s="9"/>
      <c r="J1245" s="9">
        <v>40183</v>
      </c>
      <c r="K1245" s="9"/>
      <c r="L1245" s="9"/>
      <c r="M1245" s="6"/>
      <c r="N1245" s="9"/>
      <c r="O1245" s="9"/>
      <c r="P1245" s="9"/>
      <c r="Q1245" s="9"/>
      <c r="R1245" s="9"/>
      <c r="S1245" s="9"/>
      <c r="T1245" s="9"/>
      <c r="U1245" s="9"/>
      <c r="V1245" s="9"/>
      <c r="W1245" s="9"/>
      <c r="X1245" s="9"/>
      <c r="Y1245" s="9"/>
      <c r="Z1245" s="9"/>
      <c r="AA1245" s="9"/>
      <c r="AB1245" s="9"/>
      <c r="AC1245" s="9"/>
      <c r="AD1245" s="9"/>
      <c r="AE1245" s="9">
        <v>50.36222222</v>
      </c>
      <c r="AF1245" s="9">
        <v>-120.80444439999999</v>
      </c>
      <c r="AG1245" s="9">
        <v>979</v>
      </c>
      <c r="AH1245" s="9"/>
      <c r="AI1245" s="9"/>
      <c r="AJ1245" s="9"/>
      <c r="AK1245" s="7"/>
      <c r="AL1245" s="9"/>
      <c r="AM1245" s="9"/>
      <c r="AN1245" s="9"/>
      <c r="AO1245" s="203"/>
      <c r="AP1245" s="203"/>
      <c r="AQ1245" s="203"/>
      <c r="AR1245" s="203"/>
      <c r="AS1245" s="203"/>
      <c r="AT1245" s="203"/>
      <c r="AU1245" s="203"/>
      <c r="AV1245" s="203"/>
      <c r="AW1245" s="203"/>
      <c r="AX1245" s="203"/>
      <c r="AY1245" s="203"/>
      <c r="AZ1245" s="203"/>
      <c r="BA1245" s="203"/>
      <c r="BB1245" s="9"/>
      <c r="BC1245" s="9"/>
      <c r="BD1245" s="9"/>
      <c r="BE1245" s="9"/>
      <c r="BF1245" s="9"/>
      <c r="BG1245" s="9"/>
      <c r="BH1245" s="9"/>
      <c r="BI1245" s="9"/>
      <c r="BJ1245" s="9"/>
      <c r="BK1245" s="9"/>
      <c r="BL1245" s="9"/>
      <c r="BM1245" s="9"/>
      <c r="BN1245" s="9"/>
      <c r="BO1245" s="9"/>
      <c r="BP1245" s="9"/>
      <c r="BQ1245" s="9"/>
      <c r="BR1245" s="9"/>
      <c r="BS1245" s="9"/>
      <c r="BT1245" s="9"/>
    </row>
    <row r="1246" spans="1:72" ht="14.25" customHeight="1" x14ac:dyDescent="0.2">
      <c r="A1246" s="5" t="s">
        <v>615</v>
      </c>
      <c r="B1246" s="4">
        <v>10</v>
      </c>
      <c r="C1246" s="188" t="s">
        <v>450</v>
      </c>
      <c r="D1246" s="203" t="s">
        <v>616</v>
      </c>
      <c r="E1246" s="9">
        <v>3107</v>
      </c>
      <c r="F1246" s="9" t="s">
        <v>617</v>
      </c>
      <c r="G1246" s="203" t="str">
        <f t="shared" si="13"/>
        <v>119.847531 W, 49.202333 N, Elev. 414 m</v>
      </c>
      <c r="H1246" s="4" t="s">
        <v>426</v>
      </c>
      <c r="I1246" s="9" t="s">
        <v>427</v>
      </c>
      <c r="J1246" s="9">
        <v>38200</v>
      </c>
      <c r="K1246" s="9"/>
      <c r="L1246" s="9"/>
      <c r="M1246" s="6"/>
      <c r="N1246" s="9"/>
      <c r="O1246" s="9"/>
      <c r="P1246" s="9"/>
      <c r="Q1246" s="9"/>
      <c r="R1246" s="9"/>
      <c r="S1246" s="9"/>
      <c r="T1246" s="9"/>
      <c r="U1246" s="9"/>
      <c r="V1246" s="9"/>
      <c r="W1246" s="9"/>
      <c r="X1246" s="9"/>
      <c r="Y1246" s="9"/>
      <c r="Z1246" s="9"/>
      <c r="AA1246" s="9"/>
      <c r="AB1246" s="9"/>
      <c r="AC1246" s="9"/>
      <c r="AD1246" s="9"/>
      <c r="AE1246" s="9">
        <v>49.202333000000003</v>
      </c>
      <c r="AF1246" s="9">
        <v>-119.847531</v>
      </c>
      <c r="AG1246" s="9">
        <v>414</v>
      </c>
      <c r="AH1246" s="9"/>
      <c r="AI1246" s="9"/>
      <c r="AJ1246" s="9"/>
      <c r="AK1246" s="7"/>
      <c r="AL1246" s="9"/>
      <c r="AM1246" s="9"/>
      <c r="AN1246" s="9"/>
      <c r="AO1246" s="203"/>
      <c r="AP1246" s="203"/>
      <c r="AQ1246" s="203"/>
      <c r="AR1246" s="203"/>
      <c r="AS1246" s="203"/>
      <c r="AT1246" s="203"/>
      <c r="AU1246" s="203"/>
      <c r="AV1246" s="203"/>
      <c r="AW1246" s="203"/>
      <c r="AX1246" s="203"/>
      <c r="AY1246" s="203"/>
      <c r="AZ1246" s="203"/>
      <c r="BA1246" s="203"/>
      <c r="BB1246" s="9"/>
      <c r="BC1246" s="9"/>
      <c r="BD1246" s="9"/>
      <c r="BE1246" s="9"/>
      <c r="BF1246" s="9"/>
      <c r="BG1246" s="9"/>
      <c r="BH1246" s="9"/>
      <c r="BI1246" s="9"/>
      <c r="BJ1246" s="9"/>
      <c r="BK1246" s="9"/>
      <c r="BL1246" s="9"/>
      <c r="BM1246" s="9"/>
      <c r="BN1246" s="9"/>
      <c r="BO1246" s="9"/>
      <c r="BP1246" s="9"/>
      <c r="BQ1246" s="9"/>
      <c r="BR1246" s="9"/>
      <c r="BS1246" s="9"/>
      <c r="BT1246" s="9"/>
    </row>
    <row r="1247" spans="1:72" ht="14.25" customHeight="1" x14ac:dyDescent="0.2">
      <c r="A1247" s="5" t="s">
        <v>587</v>
      </c>
      <c r="B1247" s="4">
        <v>10</v>
      </c>
      <c r="C1247" s="188" t="s">
        <v>450</v>
      </c>
      <c r="D1247" s="203">
        <v>25672</v>
      </c>
      <c r="E1247" s="9">
        <v>1526</v>
      </c>
      <c r="F1247" s="9" t="s">
        <v>588</v>
      </c>
      <c r="G1247" s="9" t="str">
        <f t="shared" si="13"/>
        <v>119.5766 W, 49.1228 N, Elev. 292 m</v>
      </c>
      <c r="H1247" s="4" t="s">
        <v>426</v>
      </c>
      <c r="I1247" s="9" t="s">
        <v>427</v>
      </c>
      <c r="J1247" s="9">
        <v>38557</v>
      </c>
      <c r="K1247" s="9"/>
      <c r="L1247" s="9"/>
      <c r="M1247" s="6"/>
      <c r="N1247" s="9"/>
      <c r="O1247" s="9"/>
      <c r="P1247" s="9"/>
      <c r="Q1247" s="9"/>
      <c r="R1247" s="9"/>
      <c r="S1247" s="9"/>
      <c r="T1247" s="9"/>
      <c r="U1247" s="9"/>
      <c r="V1247" s="9"/>
      <c r="W1247" s="9"/>
      <c r="X1247" s="9"/>
      <c r="Y1247" s="9"/>
      <c r="Z1247" s="9"/>
      <c r="AA1247" s="9"/>
      <c r="AB1247" s="9"/>
      <c r="AC1247" s="9"/>
      <c r="AD1247" s="9"/>
      <c r="AE1247" s="9">
        <v>49.122799999999998</v>
      </c>
      <c r="AF1247" s="9">
        <v>-119.5766</v>
      </c>
      <c r="AG1247" s="9">
        <v>292</v>
      </c>
      <c r="AH1247" s="9"/>
      <c r="AI1247" s="9"/>
      <c r="AJ1247" s="9"/>
      <c r="AK1247" s="7"/>
      <c r="AL1247" s="9"/>
      <c r="AM1247" s="9"/>
      <c r="AN1247" s="9"/>
      <c r="AO1247" s="203"/>
      <c r="AP1247" s="203"/>
      <c r="AQ1247" s="203"/>
      <c r="AR1247" s="203"/>
      <c r="AS1247" s="203"/>
      <c r="AT1247" s="203"/>
      <c r="AU1247" s="203"/>
      <c r="AV1247" s="203"/>
      <c r="AW1247" s="203"/>
      <c r="AX1247" s="203"/>
      <c r="AY1247" s="203"/>
      <c r="AZ1247" s="203"/>
      <c r="BA1247" s="203"/>
      <c r="BB1247" s="9"/>
      <c r="BC1247" s="9"/>
      <c r="BD1247" s="9"/>
      <c r="BE1247" s="9"/>
      <c r="BF1247" s="9"/>
      <c r="BG1247" s="9"/>
      <c r="BH1247" s="9"/>
      <c r="BI1247" s="9"/>
      <c r="BJ1247" s="9"/>
      <c r="BK1247" s="9"/>
      <c r="BL1247" s="9"/>
      <c r="BM1247" s="9"/>
      <c r="BN1247" s="9"/>
      <c r="BO1247" s="9"/>
      <c r="BP1247" s="9"/>
      <c r="BQ1247" s="9"/>
      <c r="BR1247" s="9"/>
      <c r="BS1247" s="9"/>
      <c r="BT1247" s="9"/>
    </row>
    <row r="1248" spans="1:72" ht="14.25" customHeight="1" x14ac:dyDescent="0.2">
      <c r="A1248" s="5" t="s">
        <v>600</v>
      </c>
      <c r="B1248" s="4">
        <v>10</v>
      </c>
      <c r="C1248" s="188" t="s">
        <v>450</v>
      </c>
      <c r="D1248" s="203" t="s">
        <v>601</v>
      </c>
      <c r="E1248" s="9">
        <v>3101</v>
      </c>
      <c r="F1248" s="9" t="s">
        <v>602</v>
      </c>
      <c r="G1248" s="203" t="str">
        <f t="shared" si="13"/>
        <v>119.367128 W, 50.090526 N, Elev. 491 m</v>
      </c>
      <c r="H1248" s="4" t="s">
        <v>426</v>
      </c>
      <c r="I1248" s="9" t="s">
        <v>427</v>
      </c>
      <c r="J1248" s="9">
        <v>37988</v>
      </c>
      <c r="K1248" s="9"/>
      <c r="L1248" s="9"/>
      <c r="M1248" s="6"/>
      <c r="N1248" s="9"/>
      <c r="O1248" s="9"/>
      <c r="P1248" s="9"/>
      <c r="Q1248" s="9"/>
      <c r="R1248" s="9"/>
      <c r="S1248" s="9"/>
      <c r="T1248" s="9"/>
      <c r="U1248" s="9"/>
      <c r="V1248" s="9"/>
      <c r="W1248" s="9"/>
      <c r="X1248" s="9"/>
      <c r="Y1248" s="9"/>
      <c r="Z1248" s="9"/>
      <c r="AA1248" s="9"/>
      <c r="AB1248" s="9"/>
      <c r="AC1248" s="9"/>
      <c r="AD1248" s="9"/>
      <c r="AE1248" s="9">
        <v>50.090525999999997</v>
      </c>
      <c r="AF1248" s="9">
        <v>-119.36712799999999</v>
      </c>
      <c r="AG1248" s="9">
        <v>491</v>
      </c>
      <c r="AH1248" s="9"/>
      <c r="AI1248" s="9"/>
      <c r="AJ1248" s="9"/>
      <c r="AK1248" s="7"/>
      <c r="AL1248" s="9"/>
      <c r="AM1248" s="9"/>
      <c r="AN1248" s="9"/>
      <c r="AO1248" s="203"/>
      <c r="AP1248" s="203"/>
      <c r="AQ1248" s="203"/>
      <c r="AR1248" s="203"/>
      <c r="AS1248" s="203"/>
      <c r="AT1248" s="203"/>
      <c r="AU1248" s="203"/>
      <c r="AV1248" s="203"/>
      <c r="AW1248" s="203"/>
      <c r="AX1248" s="203"/>
      <c r="AY1248" s="203"/>
      <c r="AZ1248" s="203"/>
      <c r="BA1248" s="203"/>
      <c r="BB1248" s="9"/>
      <c r="BC1248" s="9"/>
      <c r="BD1248" s="9"/>
      <c r="BE1248" s="9"/>
      <c r="BF1248" s="9"/>
      <c r="BG1248" s="9"/>
      <c r="BH1248" s="9"/>
      <c r="BI1248" s="9"/>
      <c r="BJ1248" s="9"/>
      <c r="BK1248" s="9"/>
      <c r="BL1248" s="9"/>
      <c r="BM1248" s="9"/>
      <c r="BN1248" s="9"/>
      <c r="BO1248" s="9"/>
      <c r="BP1248" s="9"/>
      <c r="BQ1248" s="9"/>
      <c r="BR1248" s="9"/>
      <c r="BS1248" s="9"/>
      <c r="BT1248" s="9"/>
    </row>
    <row r="1249" spans="1:72" ht="14.25" customHeight="1" x14ac:dyDescent="0.2">
      <c r="A1249" s="5" t="s">
        <v>580</v>
      </c>
      <c r="B1249" s="4">
        <v>10</v>
      </c>
      <c r="C1249" s="188" t="s">
        <v>450</v>
      </c>
      <c r="D1249" s="203">
        <v>24547</v>
      </c>
      <c r="E1249" s="9">
        <v>1523</v>
      </c>
      <c r="F1249" s="9" t="s">
        <v>581</v>
      </c>
      <c r="G1249" s="203" t="str">
        <f t="shared" si="13"/>
        <v>119.5874 W, 49.1574 N, Elev. 342.5 m</v>
      </c>
      <c r="H1249" s="4" t="s">
        <v>426</v>
      </c>
      <c r="I1249" s="9" t="s">
        <v>427</v>
      </c>
      <c r="J1249" s="9">
        <v>38699</v>
      </c>
      <c r="K1249" s="9"/>
      <c r="L1249" s="9"/>
      <c r="M1249" s="6"/>
      <c r="N1249" s="9"/>
      <c r="O1249" s="9"/>
      <c r="P1249" s="9"/>
      <c r="Q1249" s="9"/>
      <c r="R1249" s="9"/>
      <c r="S1249" s="9"/>
      <c r="T1249" s="9"/>
      <c r="U1249" s="9"/>
      <c r="V1249" s="9"/>
      <c r="W1249" s="9"/>
      <c r="X1249" s="9"/>
      <c r="Y1249" s="9"/>
      <c r="Z1249" s="9"/>
      <c r="AA1249" s="9"/>
      <c r="AB1249" s="9"/>
      <c r="AC1249" s="9"/>
      <c r="AD1249" s="9"/>
      <c r="AE1249" s="9">
        <v>49.157400000000003</v>
      </c>
      <c r="AF1249" s="9">
        <v>-119.5874</v>
      </c>
      <c r="AG1249" s="9">
        <v>342.5</v>
      </c>
      <c r="AH1249" s="9"/>
      <c r="AI1249" s="9"/>
      <c r="AJ1249" s="9"/>
      <c r="AK1249" s="7"/>
      <c r="AL1249" s="9"/>
      <c r="AM1249" s="9"/>
      <c r="AN1249" s="9"/>
      <c r="AO1249" s="203"/>
      <c r="AP1249" s="203"/>
      <c r="AQ1249" s="203"/>
      <c r="AR1249" s="203"/>
      <c r="AS1249" s="203"/>
      <c r="AT1249" s="203"/>
      <c r="AU1249" s="203"/>
      <c r="AV1249" s="203"/>
      <c r="AW1249" s="203"/>
      <c r="AX1249" s="203"/>
      <c r="AY1249" s="203"/>
      <c r="AZ1249" s="203"/>
      <c r="BA1249" s="203"/>
      <c r="BB1249" s="9"/>
      <c r="BC1249" s="9"/>
      <c r="BD1249" s="9"/>
      <c r="BE1249" s="9"/>
      <c r="BF1249" s="9"/>
      <c r="BG1249" s="9"/>
      <c r="BH1249" s="9"/>
      <c r="BI1249" s="9"/>
      <c r="BJ1249" s="9"/>
      <c r="BK1249" s="9"/>
      <c r="BL1249" s="9"/>
      <c r="BM1249" s="9"/>
      <c r="BN1249" s="9"/>
      <c r="BO1249" s="9"/>
      <c r="BP1249" s="9"/>
      <c r="BQ1249" s="9"/>
      <c r="BR1249" s="9"/>
      <c r="BS1249" s="9"/>
      <c r="BT1249" s="9"/>
    </row>
    <row r="1250" spans="1:72" ht="14.25" customHeight="1" x14ac:dyDescent="0.2">
      <c r="A1250" s="5" t="s">
        <v>607</v>
      </c>
      <c r="B1250" s="4">
        <v>10</v>
      </c>
      <c r="C1250" s="188" t="s">
        <v>450</v>
      </c>
      <c r="D1250" s="203" t="s">
        <v>608</v>
      </c>
      <c r="E1250" s="9">
        <v>3102</v>
      </c>
      <c r="F1250" s="9" t="s">
        <v>609</v>
      </c>
      <c r="G1250" s="203" t="str">
        <f t="shared" si="13"/>
        <v>119.233686 W, 50.294251 N, Elev. 509 m</v>
      </c>
      <c r="H1250" s="4" t="s">
        <v>426</v>
      </c>
      <c r="I1250" s="9" t="s">
        <v>427</v>
      </c>
      <c r="J1250" s="9">
        <v>38225</v>
      </c>
      <c r="K1250" s="9"/>
      <c r="L1250" s="9"/>
      <c r="M1250" s="6"/>
      <c r="N1250" s="9"/>
      <c r="O1250" s="9"/>
      <c r="P1250" s="9"/>
      <c r="Q1250" s="9"/>
      <c r="R1250" s="9"/>
      <c r="S1250" s="9"/>
      <c r="T1250" s="9"/>
      <c r="U1250" s="9"/>
      <c r="V1250" s="9"/>
      <c r="W1250" s="9"/>
      <c r="X1250" s="9"/>
      <c r="Y1250" s="9"/>
      <c r="Z1250" s="9"/>
      <c r="AA1250" s="9"/>
      <c r="AB1250" s="9"/>
      <c r="AC1250" s="9"/>
      <c r="AD1250" s="9"/>
      <c r="AE1250" s="9">
        <v>50.294251000000003</v>
      </c>
      <c r="AF1250" s="9">
        <v>-119.23368600000001</v>
      </c>
      <c r="AG1250" s="9">
        <v>509</v>
      </c>
      <c r="AH1250" s="9"/>
      <c r="AI1250" s="9"/>
      <c r="AJ1250" s="9"/>
      <c r="AK1250" s="7"/>
      <c r="AL1250" s="9"/>
      <c r="AM1250" s="9"/>
      <c r="AN1250" s="9"/>
      <c r="AO1250" s="203"/>
      <c r="AP1250" s="203"/>
      <c r="AQ1250" s="203"/>
      <c r="AR1250" s="203"/>
      <c r="AS1250" s="203"/>
      <c r="AT1250" s="203"/>
      <c r="AU1250" s="203"/>
      <c r="AV1250" s="203"/>
      <c r="AW1250" s="203"/>
      <c r="AX1250" s="203"/>
      <c r="AY1250" s="203"/>
      <c r="AZ1250" s="203"/>
      <c r="BA1250" s="203"/>
      <c r="BB1250" s="9"/>
      <c r="BC1250" s="9"/>
      <c r="BD1250" s="9"/>
      <c r="BE1250" s="9"/>
      <c r="BF1250" s="9"/>
      <c r="BG1250" s="9"/>
      <c r="BH1250" s="9"/>
      <c r="BI1250" s="9"/>
      <c r="BJ1250" s="9"/>
      <c r="BK1250" s="9"/>
      <c r="BL1250" s="9"/>
      <c r="BM1250" s="9"/>
      <c r="BN1250" s="9"/>
      <c r="BO1250" s="9"/>
      <c r="BP1250" s="9"/>
      <c r="BQ1250" s="9"/>
      <c r="BR1250" s="9"/>
      <c r="BS1250" s="9"/>
      <c r="BT1250" s="9"/>
    </row>
    <row r="1251" spans="1:72" ht="14.25" customHeight="1" x14ac:dyDescent="0.2">
      <c r="A1251" s="5" t="s">
        <v>559</v>
      </c>
      <c r="B1251" s="4">
        <v>10</v>
      </c>
      <c r="C1251" s="4" t="s">
        <v>450</v>
      </c>
      <c r="D1251" s="9" t="s">
        <v>560</v>
      </c>
      <c r="E1251" s="9">
        <v>1519</v>
      </c>
      <c r="F1251" s="203" t="s">
        <v>561</v>
      </c>
      <c r="G1251" s="9" t="str">
        <f t="shared" si="13"/>
        <v>120.505 W, 50.17972222 N, Elev. 316.0776 m</v>
      </c>
      <c r="H1251" s="4" t="s">
        <v>426</v>
      </c>
      <c r="I1251" s="9" t="s">
        <v>427</v>
      </c>
      <c r="J1251" s="9">
        <v>38557</v>
      </c>
      <c r="K1251" s="9"/>
      <c r="L1251" s="9"/>
      <c r="M1251" s="6"/>
      <c r="N1251" s="9"/>
      <c r="O1251" s="9"/>
      <c r="P1251" s="9"/>
      <c r="Q1251" s="9"/>
      <c r="R1251" s="9"/>
      <c r="S1251" s="9"/>
      <c r="T1251" s="9"/>
      <c r="U1251" s="9"/>
      <c r="V1251" s="9"/>
      <c r="W1251" s="9"/>
      <c r="X1251" s="9"/>
      <c r="Y1251" s="9"/>
      <c r="Z1251" s="9"/>
      <c r="AA1251" s="9"/>
      <c r="AB1251" s="9"/>
      <c r="AC1251" s="9"/>
      <c r="AD1251" s="9"/>
      <c r="AE1251" s="9">
        <v>50.179722220000002</v>
      </c>
      <c r="AF1251" s="9">
        <v>-120.505</v>
      </c>
      <c r="AG1251" s="9">
        <v>316.07760000000002</v>
      </c>
      <c r="AH1251" s="9"/>
      <c r="AI1251" s="9"/>
      <c r="AJ1251" s="9"/>
      <c r="AK1251" s="7"/>
      <c r="AL1251" s="9"/>
      <c r="AM1251" s="9"/>
      <c r="AN1251" s="9"/>
      <c r="AO1251" s="9"/>
      <c r="AP1251" s="9"/>
      <c r="AQ1251" s="9"/>
      <c r="AR1251" s="9"/>
      <c r="AS1251" s="9"/>
      <c r="AT1251" s="9"/>
      <c r="AU1251" s="9"/>
      <c r="AV1251" s="9"/>
      <c r="AW1251" s="9"/>
      <c r="AX1251" s="9"/>
      <c r="AY1251" s="9"/>
      <c r="AZ1251" s="9"/>
      <c r="BA1251" s="9"/>
      <c r="BB1251" s="9"/>
      <c r="BC1251" s="9"/>
      <c r="BD1251" s="9"/>
      <c r="BE1251" s="9"/>
      <c r="BF1251" s="9"/>
      <c r="BG1251" s="9"/>
      <c r="BH1251" s="9"/>
      <c r="BI1251" s="9"/>
      <c r="BJ1251" s="9"/>
      <c r="BK1251" s="9"/>
      <c r="BL1251" s="9"/>
      <c r="BM1251" s="9"/>
      <c r="BN1251" s="9"/>
      <c r="BO1251" s="9"/>
      <c r="BP1251" s="9"/>
      <c r="BQ1251" s="9"/>
      <c r="BR1251" s="9"/>
      <c r="BS1251" s="9"/>
      <c r="BT1251" s="9"/>
    </row>
    <row r="1252" spans="1:72" ht="14.25" customHeight="1" x14ac:dyDescent="0.2">
      <c r="A1252" s="5" t="s">
        <v>492</v>
      </c>
      <c r="B1252" s="4">
        <v>10</v>
      </c>
      <c r="C1252" s="4" t="s">
        <v>450</v>
      </c>
      <c r="D1252" s="9" t="s">
        <v>493</v>
      </c>
      <c r="E1252" s="9">
        <v>1509</v>
      </c>
      <c r="F1252" s="203" t="s">
        <v>494</v>
      </c>
      <c r="G1252" s="9" t="str">
        <f t="shared" si="13"/>
        <v>118.6905556 W, 50.25333333 N, Elev. 495 m</v>
      </c>
      <c r="H1252" s="4" t="s">
        <v>426</v>
      </c>
      <c r="I1252" s="9" t="s">
        <v>427</v>
      </c>
      <c r="J1252" s="9">
        <v>39555</v>
      </c>
      <c r="K1252" s="9"/>
      <c r="L1252" s="9"/>
      <c r="M1252" s="6"/>
      <c r="N1252" s="9"/>
      <c r="O1252" s="9"/>
      <c r="P1252" s="9"/>
      <c r="Q1252" s="9"/>
      <c r="R1252" s="9"/>
      <c r="S1252" s="9"/>
      <c r="T1252" s="9"/>
      <c r="U1252" s="9"/>
      <c r="V1252" s="9"/>
      <c r="W1252" s="9"/>
      <c r="X1252" s="9"/>
      <c r="Y1252" s="9"/>
      <c r="Z1252" s="9"/>
      <c r="AA1252" s="9"/>
      <c r="AB1252" s="9"/>
      <c r="AC1252" s="9"/>
      <c r="AD1252" s="9"/>
      <c r="AE1252" s="9">
        <v>50.253333329999997</v>
      </c>
      <c r="AF1252" s="9">
        <v>-118.6905556</v>
      </c>
      <c r="AG1252" s="9">
        <v>495</v>
      </c>
      <c r="AH1252" s="9"/>
      <c r="AI1252" s="9"/>
      <c r="AJ1252" s="9"/>
      <c r="AK1252" s="7"/>
      <c r="AL1252" s="9"/>
      <c r="AM1252" s="9"/>
      <c r="AN1252" s="9"/>
      <c r="AO1252" s="203"/>
      <c r="AP1252" s="9"/>
      <c r="AQ1252" s="9"/>
      <c r="AR1252" s="9"/>
      <c r="AS1252" s="9"/>
      <c r="AT1252" s="9"/>
      <c r="AU1252" s="9"/>
      <c r="AV1252" s="9"/>
      <c r="AW1252" s="9"/>
      <c r="AX1252" s="9"/>
      <c r="AY1252" s="9"/>
      <c r="AZ1252" s="9"/>
      <c r="BA1252" s="9"/>
      <c r="BB1252" s="9"/>
      <c r="BC1252" s="9"/>
      <c r="BD1252" s="9"/>
      <c r="BE1252" s="9"/>
      <c r="BF1252" s="9"/>
      <c r="BG1252" s="9"/>
      <c r="BH1252" s="9"/>
      <c r="BI1252" s="9"/>
      <c r="BJ1252" s="9"/>
      <c r="BK1252" s="9"/>
      <c r="BL1252" s="9"/>
      <c r="BM1252" s="9"/>
      <c r="BN1252" s="9"/>
      <c r="BO1252" s="9"/>
      <c r="BP1252" s="9"/>
      <c r="BQ1252" s="9"/>
      <c r="BR1252" s="9"/>
      <c r="BS1252" s="9"/>
      <c r="BT1252" s="9"/>
    </row>
    <row r="1253" spans="1:72" ht="14.25" customHeight="1" x14ac:dyDescent="0.2">
      <c r="A1253" s="5" t="s">
        <v>566</v>
      </c>
      <c r="B1253" s="4">
        <v>10</v>
      </c>
      <c r="C1253" s="4" t="s">
        <v>450</v>
      </c>
      <c r="D1253" s="9" t="s">
        <v>567</v>
      </c>
      <c r="E1253" s="9">
        <v>1520</v>
      </c>
      <c r="F1253" s="9" t="s">
        <v>568</v>
      </c>
      <c r="G1253" s="9" t="str">
        <f t="shared" si="13"/>
        <v>119.7745333 W, 50.7382 N, Elev. 413 m</v>
      </c>
      <c r="H1253" s="4" t="s">
        <v>426</v>
      </c>
      <c r="I1253" s="9" t="s">
        <v>427</v>
      </c>
      <c r="J1253" s="9">
        <v>38960</v>
      </c>
      <c r="K1253" s="9"/>
      <c r="L1253" s="9"/>
      <c r="M1253" s="6"/>
      <c r="N1253" s="9"/>
      <c r="O1253" s="9"/>
      <c r="P1253" s="9"/>
      <c r="Q1253" s="9"/>
      <c r="R1253" s="9"/>
      <c r="S1253" s="9"/>
      <c r="T1253" s="9"/>
      <c r="U1253" s="9"/>
      <c r="V1253" s="9"/>
      <c r="W1253" s="9"/>
      <c r="X1253" s="9"/>
      <c r="Y1253" s="9"/>
      <c r="Z1253" s="9"/>
      <c r="AA1253" s="9"/>
      <c r="AB1253" s="9"/>
      <c r="AC1253" s="9"/>
      <c r="AD1253" s="9"/>
      <c r="AE1253" s="9">
        <v>50.738199999999999</v>
      </c>
      <c r="AF1253" s="9">
        <v>-119.7745333</v>
      </c>
      <c r="AG1253" s="9">
        <v>413</v>
      </c>
      <c r="AH1253" s="9"/>
      <c r="AI1253" s="9"/>
      <c r="AJ1253" s="9"/>
      <c r="AK1253" s="7"/>
      <c r="AL1253" s="9"/>
      <c r="AM1253" s="9"/>
      <c r="AN1253" s="9"/>
      <c r="AO1253" s="9"/>
      <c r="AP1253" s="9"/>
      <c r="AQ1253" s="9"/>
      <c r="AR1253" s="9"/>
      <c r="AS1253" s="9"/>
      <c r="AT1253" s="9"/>
      <c r="AU1253" s="9"/>
      <c r="AV1253" s="9"/>
      <c r="AW1253" s="9"/>
      <c r="AX1253" s="9"/>
      <c r="AY1253" s="9"/>
      <c r="AZ1253" s="9"/>
      <c r="BA1253" s="9"/>
      <c r="BB1253" s="9"/>
      <c r="BC1253" s="9"/>
      <c r="BD1253" s="9"/>
      <c r="BE1253" s="9"/>
      <c r="BF1253" s="9"/>
      <c r="BG1253" s="9"/>
      <c r="BH1253" s="9"/>
      <c r="BI1253" s="9"/>
      <c r="BJ1253" s="9"/>
      <c r="BK1253" s="9"/>
      <c r="BL1253" s="9"/>
      <c r="BM1253" s="9"/>
      <c r="BN1253" s="9"/>
      <c r="BO1253" s="9"/>
      <c r="BP1253" s="9"/>
      <c r="BQ1253" s="9"/>
      <c r="BR1253" s="9"/>
      <c r="BS1253" s="9"/>
      <c r="BT1253" s="9"/>
    </row>
    <row r="1254" spans="1:72" ht="14.25" customHeight="1" x14ac:dyDescent="0.2">
      <c r="A1254" s="5" t="s">
        <v>485</v>
      </c>
      <c r="B1254" s="4">
        <v>10</v>
      </c>
      <c r="C1254" s="4" t="s">
        <v>450</v>
      </c>
      <c r="D1254" s="9" t="s">
        <v>486</v>
      </c>
      <c r="E1254" s="9">
        <v>1508</v>
      </c>
      <c r="F1254" s="203" t="s">
        <v>487</v>
      </c>
      <c r="G1254" s="9" t="str">
        <f t="shared" si="13"/>
        <v>120.8913889 W, 50.00777778 N, Elev. 729 m</v>
      </c>
      <c r="H1254" s="9" t="s">
        <v>426</v>
      </c>
      <c r="I1254" s="9" t="s">
        <v>427</v>
      </c>
      <c r="J1254" s="9">
        <v>38557</v>
      </c>
      <c r="K1254" s="9"/>
      <c r="L1254" s="9"/>
      <c r="M1254" s="6"/>
      <c r="N1254" s="9"/>
      <c r="O1254" s="9"/>
      <c r="P1254" s="9"/>
      <c r="Q1254" s="9"/>
      <c r="R1254" s="9"/>
      <c r="S1254" s="9"/>
      <c r="T1254" s="9"/>
      <c r="U1254" s="9"/>
      <c r="V1254" s="9"/>
      <c r="W1254" s="9"/>
      <c r="X1254" s="9"/>
      <c r="Y1254" s="9"/>
      <c r="Z1254" s="9"/>
      <c r="AA1254" s="9"/>
      <c r="AB1254" s="9"/>
      <c r="AC1254" s="9"/>
      <c r="AD1254" s="9"/>
      <c r="AE1254" s="9">
        <v>50.007777779999998</v>
      </c>
      <c r="AF1254" s="9">
        <v>-120.8913889</v>
      </c>
      <c r="AG1254" s="9">
        <v>729</v>
      </c>
      <c r="AH1254" s="9"/>
      <c r="AI1254" s="9"/>
      <c r="AJ1254" s="9"/>
      <c r="AK1254" s="7"/>
      <c r="AL1254" s="9"/>
      <c r="AM1254" s="9"/>
      <c r="AN1254" s="9"/>
      <c r="AO1254" s="203"/>
      <c r="AP1254" s="9"/>
      <c r="AQ1254" s="9"/>
      <c r="AR1254" s="9"/>
      <c r="AS1254" s="9"/>
      <c r="AT1254" s="9"/>
      <c r="AU1254" s="9"/>
      <c r="AV1254" s="9"/>
      <c r="AW1254" s="9"/>
      <c r="AX1254" s="9"/>
      <c r="AY1254" s="9"/>
      <c r="AZ1254" s="9"/>
      <c r="BA1254" s="9"/>
      <c r="BB1254" s="9"/>
      <c r="BC1254" s="9"/>
      <c r="BD1254" s="9"/>
      <c r="BE1254" s="9"/>
      <c r="BF1254" s="9"/>
      <c r="BG1254" s="9"/>
      <c r="BH1254" s="9"/>
      <c r="BI1254" s="9"/>
      <c r="BJ1254" s="9"/>
      <c r="BK1254" s="9"/>
      <c r="BL1254" s="9"/>
      <c r="BM1254" s="9"/>
      <c r="BN1254" s="9"/>
      <c r="BO1254" s="9"/>
      <c r="BP1254" s="9"/>
      <c r="BQ1254" s="9"/>
      <c r="BR1254" s="9"/>
      <c r="BS1254" s="9"/>
      <c r="BT1254" s="9"/>
    </row>
    <row r="1255" spans="1:72" ht="14.25" customHeight="1" x14ac:dyDescent="0.2">
      <c r="A1255" s="5" t="s">
        <v>629</v>
      </c>
      <c r="B1255" s="4">
        <v>10</v>
      </c>
      <c r="C1255" s="4" t="s">
        <v>450</v>
      </c>
      <c r="D1255" s="9" t="s">
        <v>630</v>
      </c>
      <c r="E1255" s="9">
        <v>3110</v>
      </c>
      <c r="F1255" s="9" t="s">
        <v>631</v>
      </c>
      <c r="G1255" s="203" t="str">
        <f t="shared" si="13"/>
        <v>119.65425 W, 49.585028 N, Elev. 459 m</v>
      </c>
      <c r="H1255" s="4" t="s">
        <v>426</v>
      </c>
      <c r="I1255" s="9" t="s">
        <v>427</v>
      </c>
      <c r="J1255" s="9">
        <v>38200</v>
      </c>
      <c r="K1255" s="9"/>
      <c r="L1255" s="9"/>
      <c r="M1255" s="6"/>
      <c r="N1255" s="9"/>
      <c r="O1255" s="9"/>
      <c r="P1255" s="9"/>
      <c r="Q1255" s="9"/>
      <c r="R1255" s="9"/>
      <c r="S1255" s="9"/>
      <c r="T1255" s="9"/>
      <c r="U1255" s="9"/>
      <c r="V1255" s="9"/>
      <c r="W1255" s="9"/>
      <c r="X1255" s="9"/>
      <c r="Y1255" s="9"/>
      <c r="Z1255" s="9"/>
      <c r="AA1255" s="9"/>
      <c r="AB1255" s="9"/>
      <c r="AC1255" s="9"/>
      <c r="AD1255" s="9"/>
      <c r="AE1255" s="9">
        <v>49.585028000000001</v>
      </c>
      <c r="AF1255" s="9">
        <v>-119.65425</v>
      </c>
      <c r="AG1255" s="9">
        <v>459</v>
      </c>
      <c r="AH1255" s="9"/>
      <c r="AI1255" s="9"/>
      <c r="AJ1255" s="9"/>
      <c r="AK1255" s="7"/>
      <c r="AL1255" s="9"/>
      <c r="AM1255" s="9"/>
      <c r="AN1255" s="9"/>
      <c r="AO1255" s="9"/>
      <c r="AP1255" s="9"/>
      <c r="AQ1255" s="9"/>
      <c r="AR1255" s="9"/>
      <c r="AS1255" s="9"/>
      <c r="AT1255" s="9"/>
      <c r="AU1255" s="9"/>
      <c r="AV1255" s="9"/>
      <c r="AW1255" s="9"/>
      <c r="AX1255" s="9"/>
      <c r="AY1255" s="9"/>
      <c r="AZ1255" s="9"/>
      <c r="BA1255" s="9"/>
      <c r="BB1255" s="9"/>
      <c r="BC1255" s="9"/>
      <c r="BD1255" s="9"/>
      <c r="BE1255" s="9"/>
      <c r="BF1255" s="9"/>
      <c r="BG1255" s="9"/>
      <c r="BH1255" s="9"/>
      <c r="BI1255" s="9"/>
      <c r="BJ1255" s="9"/>
      <c r="BK1255" s="9"/>
      <c r="BL1255" s="9"/>
      <c r="BM1255" s="9"/>
      <c r="BN1255" s="9"/>
      <c r="BO1255" s="9"/>
      <c r="BP1255" s="9"/>
      <c r="BQ1255" s="9"/>
      <c r="BR1255" s="9"/>
      <c r="BS1255" s="9"/>
      <c r="BT1255" s="9"/>
    </row>
    <row r="1256" spans="1:72" ht="14.25" customHeight="1" x14ac:dyDescent="0.2">
      <c r="A1256" s="4" t="s">
        <v>6092</v>
      </c>
      <c r="B1256" s="4">
        <v>5</v>
      </c>
      <c r="C1256" s="201" t="s">
        <v>6093</v>
      </c>
      <c r="D1256" s="4" t="s">
        <v>6094</v>
      </c>
      <c r="E1256" s="4">
        <v>2436</v>
      </c>
      <c r="F1256" s="188" t="s">
        <v>6095</v>
      </c>
      <c r="G1256" s="4" t="s">
        <v>6096</v>
      </c>
      <c r="H1256" s="4" t="s">
        <v>6097</v>
      </c>
      <c r="I1256" s="4" t="s">
        <v>1664</v>
      </c>
      <c r="J1256" s="4" t="s">
        <v>6041</v>
      </c>
      <c r="K1256" s="4">
        <v>1</v>
      </c>
      <c r="L1256" s="4">
        <v>2839</v>
      </c>
      <c r="M1256" s="222" t="e">
        <f ca="1">_xludf.NUMBERVALUE(LEFT(G1256,9))</f>
        <v>#NAME?</v>
      </c>
      <c r="N1256" s="201" t="e">
        <f ca="1">_xludf.NUMBERVALUE(RIGHT(LEFT(G1256,25),12))</f>
        <v>#NAME?</v>
      </c>
      <c r="O1256" s="201" t="e">
        <f ca="1">_xludf.NUMBERVALUE(LEFT(RIGHT(G1256,5),3))</f>
        <v>#NAME?</v>
      </c>
      <c r="P1256" s="201" t="str">
        <f>D1256</f>
        <v>BMN</v>
      </c>
      <c r="Q1256" s="237"/>
      <c r="R1256" s="201" t="str">
        <f>F1256</f>
        <v>Brenda Mines</v>
      </c>
      <c r="S1256" s="237"/>
      <c r="T1256" s="237"/>
      <c r="U1256" s="237"/>
      <c r="V1256" s="237"/>
      <c r="W1256" s="237"/>
      <c r="X1256" s="237"/>
      <c r="Y1256" s="237"/>
      <c r="Z1256" s="237"/>
      <c r="AA1256" s="237"/>
      <c r="AB1256" s="237"/>
      <c r="AC1256" s="237"/>
      <c r="AD1256" s="237"/>
      <c r="AE1256" s="237"/>
      <c r="AF1256" s="237"/>
      <c r="AG1256" s="237"/>
      <c r="AH1256" s="237"/>
      <c r="AI1256" s="237"/>
      <c r="AJ1256" s="237"/>
      <c r="AK1256" s="265"/>
      <c r="AL1256" s="237"/>
      <c r="AM1256" s="237"/>
      <c r="AN1256" s="237"/>
      <c r="AO1256" s="53"/>
      <c r="AP1256" s="237"/>
      <c r="AQ1256" s="237"/>
      <c r="AR1256" s="237"/>
      <c r="AS1256" s="237"/>
      <c r="AT1256" s="237"/>
      <c r="AU1256" s="237"/>
      <c r="AV1256" s="237"/>
      <c r="AW1256" s="237"/>
      <c r="AX1256" s="237"/>
      <c r="AY1256" s="237"/>
      <c r="AZ1256" s="237"/>
      <c r="BA1256" s="237"/>
      <c r="BB1256" s="237"/>
      <c r="BC1256" s="237"/>
      <c r="BD1256" s="237"/>
      <c r="BE1256" s="237"/>
      <c r="BF1256" s="237"/>
      <c r="BG1256" s="237"/>
      <c r="BH1256" s="237"/>
      <c r="BI1256" s="237"/>
      <c r="BJ1256" s="237"/>
      <c r="BK1256" s="237"/>
      <c r="BL1256" s="237"/>
      <c r="BM1256" s="237"/>
      <c r="BN1256" s="237"/>
      <c r="BO1256" s="237"/>
      <c r="BP1256" s="237"/>
      <c r="BQ1256" s="237"/>
      <c r="BR1256" s="237"/>
      <c r="BS1256" s="237"/>
      <c r="BT1256" s="237"/>
    </row>
    <row r="1257" spans="1:72" ht="14.25" customHeight="1" x14ac:dyDescent="0.2">
      <c r="A1257" s="190" t="s">
        <v>6357</v>
      </c>
      <c r="B1257" s="190">
        <v>5</v>
      </c>
      <c r="C1257" s="190" t="s">
        <v>6010</v>
      </c>
      <c r="D1257" s="190" t="s">
        <v>6358</v>
      </c>
      <c r="E1257" s="190">
        <v>13217</v>
      </c>
      <c r="F1257" s="92" t="s">
        <v>6359</v>
      </c>
      <c r="G1257" s="190" t="s">
        <v>6360</v>
      </c>
      <c r="H1257" s="4" t="s">
        <v>6361</v>
      </c>
      <c r="I1257" s="4" t="s">
        <v>49</v>
      </c>
      <c r="J1257" s="4" t="s">
        <v>6087</v>
      </c>
      <c r="K1257" s="4">
        <v>1</v>
      </c>
      <c r="L1257" s="4">
        <v>15133</v>
      </c>
      <c r="M1257" s="304">
        <v>-126.19401000000001</v>
      </c>
      <c r="N1257" s="183">
        <v>56.605415000000001</v>
      </c>
      <c r="O1257" s="183">
        <v>1467</v>
      </c>
      <c r="P1257" s="183" t="s">
        <v>6358</v>
      </c>
      <c r="Q1257" s="248">
        <v>6</v>
      </c>
      <c r="R1257" s="183" t="s">
        <v>6359</v>
      </c>
      <c r="S1257" s="183" t="s">
        <v>6009</v>
      </c>
      <c r="T1257" s="190"/>
      <c r="U1257" s="183"/>
      <c r="V1257" s="183"/>
      <c r="W1257" s="183"/>
      <c r="X1257" s="183"/>
      <c r="Y1257" s="183"/>
      <c r="Z1257" s="183"/>
      <c r="AA1257" s="183"/>
      <c r="AB1257" s="183"/>
      <c r="AC1257" s="183"/>
      <c r="AD1257" s="183"/>
      <c r="AE1257" s="183"/>
      <c r="AF1257" s="190"/>
      <c r="AG1257" s="190"/>
      <c r="AH1257" s="190"/>
      <c r="AI1257" s="183"/>
      <c r="AJ1257" s="183"/>
      <c r="AK1257" s="332"/>
      <c r="AL1257" s="183"/>
      <c r="AM1257" s="183"/>
      <c r="AN1257" s="183"/>
      <c r="AO1257" s="93"/>
      <c r="AP1257" s="183"/>
      <c r="AQ1257" s="183"/>
      <c r="AR1257" s="183"/>
      <c r="AS1257" s="183"/>
      <c r="AT1257" s="183"/>
      <c r="AU1257" s="183"/>
      <c r="AV1257" s="183"/>
      <c r="AW1257" s="183"/>
      <c r="AX1257" s="183"/>
      <c r="AY1257" s="183"/>
      <c r="AZ1257" s="183"/>
      <c r="BA1257" s="183"/>
      <c r="BB1257" s="183"/>
      <c r="BC1257" s="183"/>
      <c r="BD1257" s="183"/>
      <c r="BE1257" s="183"/>
      <c r="BF1257" s="183"/>
      <c r="BG1257" s="183"/>
      <c r="BH1257" s="183"/>
      <c r="BI1257" s="183"/>
      <c r="BJ1257" s="183"/>
      <c r="BK1257" s="183"/>
      <c r="BL1257" s="183"/>
      <c r="BM1257" s="183"/>
      <c r="BN1257" s="183"/>
      <c r="BO1257" s="183"/>
      <c r="BP1257" s="183"/>
      <c r="BQ1257" s="183"/>
      <c r="BR1257" s="183"/>
      <c r="BS1257" s="183"/>
      <c r="BT1257" s="183"/>
    </row>
    <row r="1258" spans="1:72" ht="14.25" customHeight="1" x14ac:dyDescent="0.2">
      <c r="A1258" s="5"/>
      <c r="B1258" s="4">
        <v>36</v>
      </c>
      <c r="C1258" s="4" t="s">
        <v>44</v>
      </c>
      <c r="D1258" s="4" t="s">
        <v>45</v>
      </c>
      <c r="E1258" s="4">
        <v>12613</v>
      </c>
      <c r="F1258" s="4" t="s">
        <v>46</v>
      </c>
      <c r="G1258" s="4" t="s">
        <v>47</v>
      </c>
      <c r="H1258" s="4" t="s">
        <v>48</v>
      </c>
      <c r="I1258" s="4" t="s">
        <v>49</v>
      </c>
      <c r="J1258" s="4" t="s">
        <v>50</v>
      </c>
      <c r="K1258" s="4">
        <v>1</v>
      </c>
      <c r="L1258" s="4">
        <v>14635</v>
      </c>
      <c r="M1258" s="6">
        <v>48.494166999999997</v>
      </c>
      <c r="N1258" s="4">
        <v>-123.614722</v>
      </c>
      <c r="O1258" s="4" t="s">
        <v>51</v>
      </c>
      <c r="P1258" s="4" t="s">
        <v>45</v>
      </c>
      <c r="Q1258" s="4">
        <v>3</v>
      </c>
      <c r="R1258" s="4" t="s">
        <v>46</v>
      </c>
      <c r="S1258" s="4" t="s">
        <v>44</v>
      </c>
      <c r="T1258" s="4">
        <v>493</v>
      </c>
      <c r="U1258"/>
      <c r="V1258" s="4" t="s">
        <v>52</v>
      </c>
      <c r="W1258" s="4">
        <v>35886</v>
      </c>
      <c r="X1258" s="4" t="s">
        <v>53</v>
      </c>
      <c r="Y1258" s="4" t="s">
        <v>54</v>
      </c>
      <c r="AA1258" s="4" t="s">
        <v>55</v>
      </c>
      <c r="AB1258" s="4" t="s">
        <v>56</v>
      </c>
      <c r="AC1258" s="4" t="s">
        <v>57</v>
      </c>
      <c r="AD1258" s="4" t="s">
        <v>58</v>
      </c>
      <c r="AH1258" s="4" t="s">
        <v>59</v>
      </c>
      <c r="AK1258" s="7"/>
    </row>
    <row r="1259" spans="1:72" ht="14.25" customHeight="1" x14ac:dyDescent="0.2">
      <c r="A1259" s="5"/>
      <c r="B1259" s="4">
        <v>36</v>
      </c>
      <c r="C1259" s="4" t="s">
        <v>44</v>
      </c>
      <c r="D1259" s="4" t="s">
        <v>60</v>
      </c>
      <c r="E1259" s="4">
        <v>12614</v>
      </c>
      <c r="F1259" s="4" t="s">
        <v>61</v>
      </c>
      <c r="G1259" s="4" t="s">
        <v>62</v>
      </c>
      <c r="H1259" s="4" t="s">
        <v>63</v>
      </c>
      <c r="I1259" s="4" t="s">
        <v>49</v>
      </c>
      <c r="J1259" s="4" t="s">
        <v>64</v>
      </c>
      <c r="K1259" s="4">
        <v>1</v>
      </c>
      <c r="L1259" s="4">
        <v>14636</v>
      </c>
      <c r="M1259" s="6">
        <v>48.529440000000001</v>
      </c>
      <c r="N1259" s="4">
        <v>-123.638611</v>
      </c>
      <c r="O1259" s="4" t="s">
        <v>51</v>
      </c>
      <c r="P1259" s="188" t="s">
        <v>60</v>
      </c>
      <c r="Q1259" s="4">
        <v>4</v>
      </c>
      <c r="R1259" s="4" t="s">
        <v>61</v>
      </c>
      <c r="S1259" s="4" t="s">
        <v>44</v>
      </c>
      <c r="T1259" s="4">
        <v>606</v>
      </c>
      <c r="U1259"/>
      <c r="V1259" s="4" t="s">
        <v>65</v>
      </c>
      <c r="W1259" s="4">
        <v>35065</v>
      </c>
      <c r="X1259" s="4" t="s">
        <v>53</v>
      </c>
      <c r="Y1259" s="4" t="s">
        <v>54</v>
      </c>
      <c r="AA1259" s="4" t="s">
        <v>55</v>
      </c>
      <c r="AB1259" s="4" t="s">
        <v>56</v>
      </c>
      <c r="AC1259" s="4" t="s">
        <v>66</v>
      </c>
      <c r="AK1259" s="7"/>
    </row>
    <row r="1260" spans="1:72" ht="14.25" customHeight="1" x14ac:dyDescent="0.2">
      <c r="A1260" s="5"/>
      <c r="B1260" s="4">
        <v>36</v>
      </c>
      <c r="C1260" s="4" t="s">
        <v>44</v>
      </c>
      <c r="D1260" s="4" t="s">
        <v>67</v>
      </c>
      <c r="E1260" s="4">
        <v>12615</v>
      </c>
      <c r="F1260" s="4" t="s">
        <v>68</v>
      </c>
      <c r="G1260" s="4" t="s">
        <v>69</v>
      </c>
      <c r="H1260" s="4" t="s">
        <v>70</v>
      </c>
      <c r="I1260" s="4" t="s">
        <v>49</v>
      </c>
      <c r="J1260" s="4" t="s">
        <v>71</v>
      </c>
      <c r="K1260" s="4">
        <v>1</v>
      </c>
      <c r="L1260" s="4">
        <v>14637</v>
      </c>
      <c r="M1260" s="6">
        <v>48.585833000000001</v>
      </c>
      <c r="N1260" s="4">
        <v>-123.75111099999999</v>
      </c>
      <c r="O1260" s="4" t="s">
        <v>51</v>
      </c>
      <c r="P1260" s="4" t="s">
        <v>67</v>
      </c>
      <c r="Q1260" s="4">
        <v>4</v>
      </c>
      <c r="R1260" s="4" t="s">
        <v>68</v>
      </c>
      <c r="S1260" s="4" t="s">
        <v>44</v>
      </c>
      <c r="T1260" s="4">
        <v>675</v>
      </c>
      <c r="U1260"/>
      <c r="V1260" s="4" t="s">
        <v>72</v>
      </c>
      <c r="W1260" s="4">
        <v>35125</v>
      </c>
      <c r="X1260" s="4" t="s">
        <v>53</v>
      </c>
      <c r="Y1260" s="4" t="s">
        <v>54</v>
      </c>
      <c r="AA1260" s="4" t="s">
        <v>55</v>
      </c>
      <c r="AB1260" s="4" t="s">
        <v>56</v>
      </c>
      <c r="AC1260" s="4" t="s">
        <v>57</v>
      </c>
      <c r="AD1260" s="4" t="s">
        <v>58</v>
      </c>
      <c r="AI1260" s="4" t="s">
        <v>73</v>
      </c>
      <c r="AK1260" s="7"/>
    </row>
    <row r="1261" spans="1:72" ht="14.25" customHeight="1" x14ac:dyDescent="0.2">
      <c r="A1261" s="5"/>
      <c r="B1261" s="4">
        <v>36</v>
      </c>
      <c r="C1261" s="4" t="s">
        <v>44</v>
      </c>
      <c r="D1261" s="4" t="s">
        <v>74</v>
      </c>
      <c r="E1261" s="4">
        <v>12616</v>
      </c>
      <c r="F1261" s="4" t="s">
        <v>75</v>
      </c>
      <c r="G1261" s="4" t="s">
        <v>76</v>
      </c>
      <c r="H1261" s="4" t="s">
        <v>77</v>
      </c>
      <c r="I1261" s="4" t="s">
        <v>49</v>
      </c>
      <c r="J1261" s="4" t="s">
        <v>78</v>
      </c>
      <c r="K1261" s="4">
        <v>1</v>
      </c>
      <c r="L1261" s="4">
        <v>14638</v>
      </c>
      <c r="M1261" s="193">
        <v>48.580278</v>
      </c>
      <c r="N1261" s="4">
        <v>-123.84055600000001</v>
      </c>
      <c r="O1261" s="4" t="s">
        <v>51</v>
      </c>
      <c r="P1261" s="4" t="s">
        <v>74</v>
      </c>
      <c r="Q1261" s="4">
        <v>4</v>
      </c>
      <c r="R1261" s="4" t="s">
        <v>75</v>
      </c>
      <c r="S1261" s="4" t="s">
        <v>44</v>
      </c>
      <c r="T1261" s="4">
        <v>561</v>
      </c>
      <c r="U1261"/>
      <c r="V1261" s="4" t="s">
        <v>79</v>
      </c>
      <c r="W1261" s="4">
        <v>42750</v>
      </c>
      <c r="X1261" s="4" t="s">
        <v>53</v>
      </c>
      <c r="Y1261" s="4" t="s">
        <v>54</v>
      </c>
      <c r="AA1261" s="4" t="s">
        <v>55</v>
      </c>
      <c r="AB1261" s="4" t="s">
        <v>56</v>
      </c>
      <c r="AC1261" s="4" t="s">
        <v>57</v>
      </c>
      <c r="AD1261" s="4" t="s">
        <v>58</v>
      </c>
      <c r="AK1261" s="260"/>
    </row>
    <row r="1262" spans="1:72" ht="14.25" customHeight="1" x14ac:dyDescent="0.2">
      <c r="A1262" s="5"/>
      <c r="B1262" s="4">
        <v>36</v>
      </c>
      <c r="C1262" s="4" t="s">
        <v>44</v>
      </c>
      <c r="D1262" s="4" t="s">
        <v>95</v>
      </c>
      <c r="E1262" s="4">
        <v>12618</v>
      </c>
      <c r="F1262" s="188" t="s">
        <v>96</v>
      </c>
      <c r="G1262" s="4" t="s">
        <v>97</v>
      </c>
      <c r="H1262" s="4" t="s">
        <v>98</v>
      </c>
      <c r="I1262" s="4" t="s">
        <v>49</v>
      </c>
      <c r="J1262" s="4" t="s">
        <v>99</v>
      </c>
      <c r="K1262" s="4">
        <v>1</v>
      </c>
      <c r="L1262" s="4">
        <v>14640</v>
      </c>
      <c r="M1262" s="193">
        <v>48.441943999999999</v>
      </c>
      <c r="N1262" s="4">
        <v>-123.568889</v>
      </c>
      <c r="O1262" s="4" t="s">
        <v>51</v>
      </c>
      <c r="P1262" s="4" t="s">
        <v>95</v>
      </c>
      <c r="Q1262" s="4">
        <v>3</v>
      </c>
      <c r="R1262" s="4" t="s">
        <v>96</v>
      </c>
      <c r="S1262" s="4" t="s">
        <v>44</v>
      </c>
      <c r="T1262" s="4">
        <v>436</v>
      </c>
      <c r="U1262"/>
      <c r="V1262" s="4" t="s">
        <v>100</v>
      </c>
      <c r="W1262" s="4">
        <v>35217</v>
      </c>
      <c r="X1262" s="4" t="s">
        <v>53</v>
      </c>
      <c r="Y1262" s="4" t="s">
        <v>54</v>
      </c>
      <c r="AA1262" s="4" t="s">
        <v>55</v>
      </c>
      <c r="AB1262" s="4" t="s">
        <v>56</v>
      </c>
      <c r="AC1262" s="4" t="s">
        <v>66</v>
      </c>
      <c r="AK1262" s="260"/>
      <c r="AO1262" s="192"/>
    </row>
    <row r="1263" spans="1:72" ht="14.25" customHeight="1" x14ac:dyDescent="0.2">
      <c r="A1263" s="5"/>
      <c r="B1263" s="4">
        <v>36</v>
      </c>
      <c r="C1263" s="4" t="s">
        <v>44</v>
      </c>
      <c r="D1263" s="4" t="s">
        <v>101</v>
      </c>
      <c r="E1263" s="4">
        <v>12619</v>
      </c>
      <c r="F1263" s="188" t="s">
        <v>102</v>
      </c>
      <c r="G1263" s="4" t="s">
        <v>103</v>
      </c>
      <c r="H1263" s="4" t="s">
        <v>104</v>
      </c>
      <c r="I1263" s="4" t="s">
        <v>49</v>
      </c>
      <c r="J1263" s="4" t="s">
        <v>105</v>
      </c>
      <c r="K1263" s="4">
        <v>1</v>
      </c>
      <c r="L1263" s="4">
        <v>14641</v>
      </c>
      <c r="M1263" s="193">
        <v>48.572499999999998</v>
      </c>
      <c r="N1263" s="4">
        <v>-123.7075</v>
      </c>
      <c r="O1263" s="4" t="s">
        <v>51</v>
      </c>
      <c r="P1263" s="4" t="s">
        <v>101</v>
      </c>
      <c r="Q1263" s="4">
        <v>2</v>
      </c>
      <c r="R1263" s="4" t="s">
        <v>102</v>
      </c>
      <c r="S1263" s="4" t="s">
        <v>44</v>
      </c>
      <c r="T1263" s="4">
        <v>280</v>
      </c>
      <c r="U1263"/>
      <c r="V1263" s="4" t="s">
        <v>106</v>
      </c>
      <c r="W1263" s="4">
        <v>41495</v>
      </c>
      <c r="X1263" s="4" t="s">
        <v>53</v>
      </c>
      <c r="Y1263" s="4" t="s">
        <v>54</v>
      </c>
      <c r="AA1263" s="4" t="s">
        <v>55</v>
      </c>
      <c r="AB1263" s="4" t="s">
        <v>56</v>
      </c>
      <c r="AC1263" s="4" t="s">
        <v>57</v>
      </c>
      <c r="AD1263" s="4" t="s">
        <v>58</v>
      </c>
      <c r="AH1263" s="4" t="s">
        <v>59</v>
      </c>
      <c r="AI1263" s="4" t="s">
        <v>107</v>
      </c>
      <c r="AK1263" s="260"/>
      <c r="AO1263" s="192"/>
    </row>
    <row r="1264" spans="1:72" ht="14.25" customHeight="1" x14ac:dyDescent="0.2">
      <c r="A1264" s="5"/>
      <c r="B1264" s="4">
        <v>36</v>
      </c>
      <c r="C1264" s="4" t="s">
        <v>44</v>
      </c>
      <c r="D1264" s="4" t="s">
        <v>111</v>
      </c>
      <c r="E1264" s="4">
        <v>12621</v>
      </c>
      <c r="F1264" s="188" t="s">
        <v>112</v>
      </c>
      <c r="G1264" s="4" t="s">
        <v>113</v>
      </c>
      <c r="H1264" s="4" t="s">
        <v>114</v>
      </c>
      <c r="I1264" s="4" t="s">
        <v>49</v>
      </c>
      <c r="J1264" s="4" t="s">
        <v>71</v>
      </c>
      <c r="K1264" s="4">
        <v>1</v>
      </c>
      <c r="L1264" s="4">
        <v>14643</v>
      </c>
      <c r="M1264" s="193">
        <v>48.516111000000002</v>
      </c>
      <c r="N1264" s="4">
        <v>-123.70055600000001</v>
      </c>
      <c r="O1264" s="4" t="s">
        <v>51</v>
      </c>
      <c r="P1264" s="4" t="s">
        <v>111</v>
      </c>
      <c r="Q1264" s="4">
        <v>2</v>
      </c>
      <c r="R1264" s="4" t="s">
        <v>112</v>
      </c>
      <c r="S1264" s="4" t="s">
        <v>44</v>
      </c>
      <c r="T1264" s="4">
        <v>180</v>
      </c>
      <c r="U1264"/>
      <c r="V1264" s="4" t="s">
        <v>115</v>
      </c>
      <c r="W1264" s="4">
        <v>35004</v>
      </c>
      <c r="X1264" s="4" t="s">
        <v>53</v>
      </c>
      <c r="Y1264" s="4" t="s">
        <v>54</v>
      </c>
      <c r="AA1264" s="4" t="s">
        <v>55</v>
      </c>
      <c r="AB1264" s="4" t="s">
        <v>56</v>
      </c>
      <c r="AC1264" s="4" t="s">
        <v>116</v>
      </c>
      <c r="AD1264" s="4" t="s">
        <v>58</v>
      </c>
      <c r="AH1264" s="4" t="s">
        <v>117</v>
      </c>
      <c r="AK1264" s="331" t="s">
        <v>118</v>
      </c>
      <c r="AO1264" s="192"/>
    </row>
    <row r="1265" spans="1:41" ht="14.25" customHeight="1" x14ac:dyDescent="0.2">
      <c r="A1265" s="5"/>
      <c r="B1265" s="4">
        <v>36</v>
      </c>
      <c r="C1265" s="4" t="s">
        <v>44</v>
      </c>
      <c r="D1265" s="4" t="s">
        <v>119</v>
      </c>
      <c r="E1265" s="4">
        <v>12620</v>
      </c>
      <c r="F1265" s="188" t="s">
        <v>120</v>
      </c>
      <c r="G1265" s="4" t="s">
        <v>121</v>
      </c>
      <c r="H1265" s="4" t="s">
        <v>122</v>
      </c>
      <c r="I1265" s="4" t="s">
        <v>49</v>
      </c>
      <c r="J1265" s="4" t="s">
        <v>123</v>
      </c>
      <c r="K1265" s="4">
        <v>1</v>
      </c>
      <c r="L1265" s="4">
        <v>14642</v>
      </c>
      <c r="M1265" s="193">
        <v>48.560279999999999</v>
      </c>
      <c r="N1265" s="4">
        <v>-123.79913000000001</v>
      </c>
      <c r="O1265" s="4" t="s">
        <v>51</v>
      </c>
      <c r="P1265" s="4" t="s">
        <v>119</v>
      </c>
      <c r="Q1265" s="4">
        <v>5</v>
      </c>
      <c r="R1265" s="4" t="s">
        <v>120</v>
      </c>
      <c r="S1265" s="4" t="s">
        <v>44</v>
      </c>
      <c r="T1265" s="4">
        <v>941</v>
      </c>
      <c r="U1265"/>
      <c r="V1265" s="4" t="s">
        <v>124</v>
      </c>
      <c r="W1265" s="4">
        <v>43669</v>
      </c>
      <c r="X1265" s="4" t="s">
        <v>53</v>
      </c>
      <c r="Y1265" s="4" t="s">
        <v>54</v>
      </c>
      <c r="AA1265" s="4" t="s">
        <v>55</v>
      </c>
      <c r="AB1265" s="4" t="s">
        <v>56</v>
      </c>
      <c r="AC1265" s="4" t="s">
        <v>57</v>
      </c>
      <c r="AD1265" s="4" t="s">
        <v>58</v>
      </c>
      <c r="AH1265" s="4" t="s">
        <v>59</v>
      </c>
      <c r="AK1265" s="260"/>
      <c r="AO1265" s="182"/>
    </row>
    <row r="1266" spans="1:41" ht="14.25" customHeight="1" x14ac:dyDescent="0.2">
      <c r="A1266" s="5"/>
      <c r="B1266" s="4">
        <v>2</v>
      </c>
      <c r="C1266" s="4" t="s">
        <v>637</v>
      </c>
      <c r="D1266" s="4">
        <v>11091</v>
      </c>
      <c r="E1266" s="4">
        <v>2654</v>
      </c>
      <c r="F1266" s="4" t="s">
        <v>638</v>
      </c>
      <c r="G1266" s="19" t="s">
        <v>639</v>
      </c>
      <c r="H1266" s="4" t="s">
        <v>640</v>
      </c>
      <c r="I1266" s="4" t="s">
        <v>641</v>
      </c>
      <c r="J1266" s="4" t="s">
        <v>642</v>
      </c>
      <c r="K1266" s="4">
        <v>1</v>
      </c>
      <c r="L1266" s="4">
        <v>3397</v>
      </c>
      <c r="M1266" s="6">
        <v>50.054169999999999</v>
      </c>
      <c r="N1266" s="9">
        <v>-123.11806</v>
      </c>
      <c r="O1266" s="9" t="s">
        <v>51</v>
      </c>
      <c r="P1266" s="9">
        <v>11091</v>
      </c>
      <c r="Q1266" s="20">
        <v>3</v>
      </c>
      <c r="R1266" s="9" t="s">
        <v>638</v>
      </c>
      <c r="S1266" s="11" t="s">
        <v>643</v>
      </c>
      <c r="T1266" s="9" t="s">
        <v>644</v>
      </c>
      <c r="U1266" s="9">
        <v>496</v>
      </c>
      <c r="Z1266" s="9" t="s">
        <v>645</v>
      </c>
      <c r="AA1266" s="9" t="s">
        <v>646</v>
      </c>
      <c r="AB1266" s="9"/>
      <c r="AC1266" s="21"/>
      <c r="AD1266" s="9"/>
      <c r="AH1266" s="9"/>
      <c r="AI1266" s="9"/>
      <c r="AK1266" s="260"/>
    </row>
    <row r="1267" spans="1:41" ht="14.25" customHeight="1" x14ac:dyDescent="0.2">
      <c r="A1267" s="5"/>
      <c r="B1267" s="4">
        <v>10</v>
      </c>
      <c r="C1267" s="4" t="s">
        <v>450</v>
      </c>
      <c r="D1267" s="4" t="s">
        <v>451</v>
      </c>
      <c r="E1267" s="4">
        <v>1507</v>
      </c>
      <c r="F1267" s="188" t="s">
        <v>409</v>
      </c>
      <c r="G1267" s="9" t="str">
        <f t="shared" ref="G1267:G1284" si="14">CONCATENATE(-1*AF1267," W, ",AE1267," N, Elev. ",AG1267," m")</f>
        <v>119.7644719 W, 50.46743472 N, Elev. 653.6 m</v>
      </c>
      <c r="H1267" s="4" t="s">
        <v>426</v>
      </c>
      <c r="I1267" s="4" t="s">
        <v>427</v>
      </c>
      <c r="J1267" s="4">
        <v>38133</v>
      </c>
      <c r="M1267" s="221"/>
      <c r="N1267" s="11"/>
      <c r="O1267" s="11"/>
      <c r="P1267" s="11"/>
      <c r="Q1267" s="12"/>
      <c r="R1267" s="11"/>
      <c r="U1267"/>
      <c r="AE1267" s="4">
        <v>50.46743472</v>
      </c>
      <c r="AF1267" s="4">
        <v>-119.7644719</v>
      </c>
      <c r="AG1267" s="4">
        <v>653.6</v>
      </c>
      <c r="AK1267" s="260"/>
    </row>
    <row r="1268" spans="1:41" ht="14.25" customHeight="1" x14ac:dyDescent="0.2">
      <c r="A1268" s="5"/>
      <c r="B1268" s="4">
        <v>10</v>
      </c>
      <c r="C1268" s="4" t="s">
        <v>450</v>
      </c>
      <c r="D1268" s="4" t="s">
        <v>452</v>
      </c>
      <c r="E1268" s="4">
        <v>1521</v>
      </c>
      <c r="F1268" s="188" t="s">
        <v>413</v>
      </c>
      <c r="G1268" s="9" t="str">
        <f t="shared" si="14"/>
        <v>121.0258333 W, 50.14111111 N, Elev. 530.9616 m</v>
      </c>
      <c r="H1268" s="4" t="s">
        <v>426</v>
      </c>
      <c r="I1268" s="4" t="s">
        <v>427</v>
      </c>
      <c r="J1268" s="4">
        <v>38569</v>
      </c>
      <c r="M1268" s="221"/>
      <c r="N1268" s="11"/>
      <c r="O1268" s="11"/>
      <c r="P1268" s="11"/>
      <c r="Q1268" s="12"/>
      <c r="R1268" s="11"/>
      <c r="U1268"/>
      <c r="AE1268" s="4">
        <v>50.141111109999997</v>
      </c>
      <c r="AF1268" s="4">
        <v>-121.0258333</v>
      </c>
      <c r="AG1268" s="4">
        <v>530.96159999999998</v>
      </c>
      <c r="AK1268" s="260"/>
      <c r="AO1268" s="192"/>
    </row>
    <row r="1269" spans="1:41" ht="14.25" customHeight="1" x14ac:dyDescent="0.2">
      <c r="A1269" s="5"/>
      <c r="B1269" s="4">
        <v>10</v>
      </c>
      <c r="C1269" s="4" t="s">
        <v>450</v>
      </c>
      <c r="D1269" s="4">
        <v>18482</v>
      </c>
      <c r="E1269" s="4">
        <v>1524</v>
      </c>
      <c r="F1269" s="188" t="s">
        <v>453</v>
      </c>
      <c r="G1269" s="203" t="str">
        <f t="shared" si="14"/>
        <v>119.4208056 W, 49.02408333 N, Elev. 371 m</v>
      </c>
      <c r="H1269" s="4" t="s">
        <v>426</v>
      </c>
      <c r="I1269" s="4" t="s">
        <v>427</v>
      </c>
      <c r="J1269" s="4">
        <v>38557</v>
      </c>
      <c r="M1269" s="221"/>
      <c r="N1269" s="11"/>
      <c r="O1269" s="11"/>
      <c r="P1269" s="11"/>
      <c r="Q1269" s="12"/>
      <c r="R1269" s="11"/>
      <c r="U1269"/>
      <c r="AE1269" s="4">
        <v>49.024083330000003</v>
      </c>
      <c r="AF1269" s="4">
        <v>-119.42080559999999</v>
      </c>
      <c r="AG1269" s="4">
        <v>371</v>
      </c>
      <c r="AK1269" s="260"/>
      <c r="AO1269" s="192"/>
    </row>
    <row r="1270" spans="1:41" ht="14.25" customHeight="1" x14ac:dyDescent="0.2">
      <c r="A1270" s="5"/>
      <c r="B1270" s="4">
        <v>10</v>
      </c>
      <c r="C1270" s="4" t="s">
        <v>450</v>
      </c>
      <c r="D1270" s="4">
        <v>25602</v>
      </c>
      <c r="E1270" s="4">
        <v>1525</v>
      </c>
      <c r="F1270" s="188" t="s">
        <v>454</v>
      </c>
      <c r="G1270" s="9" t="str">
        <f t="shared" si="14"/>
        <v>119.46275 W, 49.01183333 N, Elev. 295.5 m</v>
      </c>
      <c r="H1270" s="4" t="s">
        <v>426</v>
      </c>
      <c r="I1270" s="4" t="s">
        <v>427</v>
      </c>
      <c r="J1270" s="4">
        <v>38557</v>
      </c>
      <c r="M1270" s="221"/>
      <c r="N1270" s="11"/>
      <c r="O1270" s="11"/>
      <c r="P1270" s="11"/>
      <c r="Q1270" s="12"/>
      <c r="R1270" s="11"/>
      <c r="U1270"/>
      <c r="AE1270" s="4">
        <v>49.011833330000002</v>
      </c>
      <c r="AF1270" s="4">
        <v>-119.46275</v>
      </c>
      <c r="AG1270" s="4">
        <v>295.5</v>
      </c>
      <c r="AK1270" s="260"/>
    </row>
    <row r="1271" spans="1:41" ht="14.25" customHeight="1" x14ac:dyDescent="0.2">
      <c r="A1271" s="5"/>
      <c r="B1271" s="4">
        <v>10</v>
      </c>
      <c r="C1271" s="4" t="s">
        <v>450</v>
      </c>
      <c r="D1271" s="4" t="s">
        <v>455</v>
      </c>
      <c r="E1271" s="4">
        <v>1552</v>
      </c>
      <c r="F1271" s="188" t="s">
        <v>456</v>
      </c>
      <c r="G1271" s="9" t="str">
        <f t="shared" si="14"/>
        <v>119.373225 W, 49.879864 N, Elev. 475.5 m</v>
      </c>
      <c r="H1271" s="4" t="s">
        <v>426</v>
      </c>
      <c r="I1271" s="4" t="s">
        <v>427</v>
      </c>
      <c r="J1271" s="4">
        <v>37988</v>
      </c>
      <c r="M1271" s="221"/>
      <c r="N1271" s="11"/>
      <c r="O1271" s="11"/>
      <c r="P1271" s="11"/>
      <c r="Q1271" s="12"/>
      <c r="R1271" s="11"/>
      <c r="U1271"/>
      <c r="AE1271" s="4">
        <v>49.879863999999998</v>
      </c>
      <c r="AF1271" s="4">
        <v>-119.37322500000001</v>
      </c>
      <c r="AG1271" s="4">
        <v>475.5</v>
      </c>
      <c r="AK1271" s="260"/>
    </row>
    <row r="1272" spans="1:41" ht="14.25" customHeight="1" x14ac:dyDescent="0.2">
      <c r="A1272" s="5"/>
      <c r="B1272" s="4">
        <v>10</v>
      </c>
      <c r="C1272" s="4" t="s">
        <v>450</v>
      </c>
      <c r="D1272" s="4" t="s">
        <v>457</v>
      </c>
      <c r="E1272" s="4">
        <v>1555</v>
      </c>
      <c r="F1272" s="188" t="s">
        <v>458</v>
      </c>
      <c r="G1272" s="9" t="str">
        <f t="shared" si="14"/>
        <v>118.97295 W, 50.5367 N, Elev. 362 m</v>
      </c>
      <c r="H1272" s="4" t="s">
        <v>426</v>
      </c>
      <c r="I1272" s="4" t="s">
        <v>427</v>
      </c>
      <c r="J1272" s="4">
        <v>38975</v>
      </c>
      <c r="M1272" s="221"/>
      <c r="N1272" s="11"/>
      <c r="O1272" s="11"/>
      <c r="P1272" s="11"/>
      <c r="Q1272" s="12"/>
      <c r="R1272" s="11"/>
      <c r="U1272"/>
      <c r="AE1272" s="4">
        <v>50.536700000000003</v>
      </c>
      <c r="AF1272" s="4">
        <v>-118.97295</v>
      </c>
      <c r="AG1272" s="4">
        <v>362</v>
      </c>
      <c r="AK1272" s="260"/>
    </row>
    <row r="1273" spans="1:41" ht="14.25" customHeight="1" x14ac:dyDescent="0.2">
      <c r="A1273" s="5"/>
      <c r="B1273" s="4">
        <v>10</v>
      </c>
      <c r="C1273" s="4" t="s">
        <v>450</v>
      </c>
      <c r="D1273" s="4" t="s">
        <v>459</v>
      </c>
      <c r="E1273" s="4">
        <v>3097</v>
      </c>
      <c r="F1273" s="4" t="s">
        <v>373</v>
      </c>
      <c r="G1273" s="9" t="str">
        <f t="shared" si="14"/>
        <v>119.421042 W, 49.912417 N, Elev. 439.6 m</v>
      </c>
      <c r="H1273" s="4" t="s">
        <v>426</v>
      </c>
      <c r="I1273" s="4" t="s">
        <v>427</v>
      </c>
      <c r="J1273" s="4">
        <v>37988</v>
      </c>
      <c r="M1273" s="221"/>
      <c r="N1273" s="11"/>
      <c r="O1273" s="11"/>
      <c r="P1273" s="11"/>
      <c r="Q1273" s="12"/>
      <c r="R1273" s="11"/>
      <c r="U1273"/>
      <c r="AE1273" s="4">
        <v>49.912416999999998</v>
      </c>
      <c r="AF1273" s="4">
        <v>-119.421042</v>
      </c>
      <c r="AG1273" s="4">
        <v>439.6</v>
      </c>
      <c r="AK1273" s="260"/>
    </row>
    <row r="1274" spans="1:41" ht="14.25" customHeight="1" x14ac:dyDescent="0.2">
      <c r="A1274" s="5"/>
      <c r="B1274" s="4">
        <v>10</v>
      </c>
      <c r="C1274" s="4" t="s">
        <v>450</v>
      </c>
      <c r="D1274" s="4" t="s">
        <v>460</v>
      </c>
      <c r="E1274" s="4">
        <v>3098</v>
      </c>
      <c r="F1274" s="188" t="s">
        <v>461</v>
      </c>
      <c r="G1274" s="9" t="str">
        <f t="shared" si="14"/>
        <v>119.421542 W, 49.872875 N, Elev. 416 m</v>
      </c>
      <c r="H1274" s="4" t="s">
        <v>426</v>
      </c>
      <c r="I1274" s="4" t="s">
        <v>427</v>
      </c>
      <c r="J1274" s="4">
        <v>37988</v>
      </c>
      <c r="M1274" s="223"/>
      <c r="U1274"/>
      <c r="AE1274" s="4">
        <v>49.872875000000001</v>
      </c>
      <c r="AF1274" s="4">
        <v>-119.421542</v>
      </c>
      <c r="AG1274" s="4">
        <v>416</v>
      </c>
      <c r="AK1274" s="260"/>
      <c r="AO1274" s="192"/>
    </row>
    <row r="1275" spans="1:41" ht="14.25" customHeight="1" x14ac:dyDescent="0.2">
      <c r="A1275" s="5"/>
      <c r="B1275" s="4">
        <v>10</v>
      </c>
      <c r="C1275" s="4" t="s">
        <v>450</v>
      </c>
      <c r="D1275" s="4" t="s">
        <v>462</v>
      </c>
      <c r="E1275" s="4">
        <v>3099</v>
      </c>
      <c r="F1275" s="188" t="s">
        <v>463</v>
      </c>
      <c r="G1275" s="9" t="str">
        <f t="shared" si="14"/>
        <v>119.446385 W, 49.838374 N, Elev. 419.4 m</v>
      </c>
      <c r="H1275" s="4" t="s">
        <v>426</v>
      </c>
      <c r="I1275" s="4" t="s">
        <v>427</v>
      </c>
      <c r="J1275" s="4">
        <v>37988</v>
      </c>
      <c r="M1275" s="223"/>
      <c r="U1275"/>
      <c r="AE1275" s="4">
        <v>49.838374000000002</v>
      </c>
      <c r="AF1275" s="4">
        <v>-119.44638500000001</v>
      </c>
      <c r="AG1275" s="4">
        <v>419.4</v>
      </c>
      <c r="AK1275" s="260"/>
      <c r="AO1275" s="192"/>
    </row>
    <row r="1276" spans="1:41" ht="14.25" customHeight="1" x14ac:dyDescent="0.2">
      <c r="A1276" s="5"/>
      <c r="B1276" s="4">
        <v>10</v>
      </c>
      <c r="C1276" s="4" t="s">
        <v>450</v>
      </c>
      <c r="D1276" s="4" t="s">
        <v>464</v>
      </c>
      <c r="E1276" s="4">
        <v>3100</v>
      </c>
      <c r="F1276" s="188" t="s">
        <v>465</v>
      </c>
      <c r="G1276" s="9" t="str">
        <f t="shared" si="14"/>
        <v>119.342583 W, 50.257171 N, Elev. 437 m</v>
      </c>
      <c r="H1276" s="4" t="s">
        <v>426</v>
      </c>
      <c r="I1276" s="4" t="s">
        <v>427</v>
      </c>
      <c r="J1276" s="4">
        <v>38225</v>
      </c>
      <c r="M1276" s="223"/>
      <c r="U1276"/>
      <c r="AE1276" s="4">
        <v>50.257171</v>
      </c>
      <c r="AF1276" s="4">
        <v>-119.342583</v>
      </c>
      <c r="AG1276" s="4">
        <v>437</v>
      </c>
      <c r="AK1276" s="260"/>
      <c r="AO1276" s="192"/>
    </row>
    <row r="1277" spans="1:41" ht="14.25" customHeight="1" x14ac:dyDescent="0.2">
      <c r="A1277" s="5"/>
      <c r="B1277" s="4">
        <v>10</v>
      </c>
      <c r="C1277" s="4" t="s">
        <v>450</v>
      </c>
      <c r="D1277" s="4" t="s">
        <v>466</v>
      </c>
      <c r="E1277" s="4">
        <v>3103</v>
      </c>
      <c r="F1277" s="188" t="s">
        <v>467</v>
      </c>
      <c r="G1277" s="9" t="str">
        <f t="shared" si="14"/>
        <v>119.624523 W, 49.821304 N, Elev. 391.6 m</v>
      </c>
      <c r="H1277" s="4" t="s">
        <v>426</v>
      </c>
      <c r="I1277" s="4" t="s">
        <v>427</v>
      </c>
      <c r="J1277" s="4">
        <v>37988</v>
      </c>
      <c r="M1277" s="223"/>
      <c r="U1277"/>
      <c r="AE1277" s="4">
        <v>49.821303999999998</v>
      </c>
      <c r="AF1277" s="4">
        <v>-119.624523</v>
      </c>
      <c r="AG1277" s="4">
        <v>391.6</v>
      </c>
      <c r="AK1277" s="260"/>
      <c r="AO1277" s="192"/>
    </row>
    <row r="1278" spans="1:41" ht="14.25" customHeight="1" x14ac:dyDescent="0.2">
      <c r="A1278" s="5"/>
      <c r="B1278" s="4">
        <v>10</v>
      </c>
      <c r="C1278" s="4" t="s">
        <v>450</v>
      </c>
      <c r="D1278" s="4" t="s">
        <v>468</v>
      </c>
      <c r="E1278" s="4">
        <v>3104</v>
      </c>
      <c r="F1278" s="188" t="s">
        <v>319</v>
      </c>
      <c r="G1278" s="9" t="str">
        <f t="shared" si="14"/>
        <v>119.414536 W, 50.063203 N, Elev. 468 m</v>
      </c>
      <c r="H1278" s="4" t="s">
        <v>426</v>
      </c>
      <c r="I1278" s="4" t="s">
        <v>427</v>
      </c>
      <c r="J1278" s="4">
        <v>37988</v>
      </c>
      <c r="M1278" s="223"/>
      <c r="U1278"/>
      <c r="AE1278" s="4">
        <v>50.063203000000001</v>
      </c>
      <c r="AF1278" s="4">
        <v>-119.414536</v>
      </c>
      <c r="AG1278" s="4">
        <v>468</v>
      </c>
      <c r="AK1278" s="260"/>
      <c r="AO1278" s="192"/>
    </row>
    <row r="1279" spans="1:41" ht="14.25" customHeight="1" x14ac:dyDescent="0.2">
      <c r="A1279" s="5"/>
      <c r="B1279" s="4">
        <v>10</v>
      </c>
      <c r="C1279" s="4" t="s">
        <v>450</v>
      </c>
      <c r="D1279" s="4" t="s">
        <v>469</v>
      </c>
      <c r="E1279" s="4">
        <v>3105</v>
      </c>
      <c r="F1279" s="188" t="s">
        <v>323</v>
      </c>
      <c r="G1279" s="9" t="str">
        <f t="shared" si="14"/>
        <v>119.424527 W, 50.041193 N, Elev. 525 m</v>
      </c>
      <c r="H1279" s="4" t="s">
        <v>426</v>
      </c>
      <c r="I1279" s="4" t="s">
        <v>427</v>
      </c>
      <c r="J1279" s="4">
        <v>37988</v>
      </c>
      <c r="M1279" s="223"/>
      <c r="U1279"/>
      <c r="AE1279" s="4">
        <v>50.041193</v>
      </c>
      <c r="AF1279" s="4">
        <v>-119.424527</v>
      </c>
      <c r="AG1279" s="4">
        <v>525</v>
      </c>
      <c r="AK1279" s="260"/>
      <c r="AO1279" s="192"/>
    </row>
    <row r="1280" spans="1:41" ht="14.25" customHeight="1" x14ac:dyDescent="0.2">
      <c r="A1280" s="5"/>
      <c r="B1280" s="4">
        <v>10</v>
      </c>
      <c r="C1280" s="4" t="s">
        <v>450</v>
      </c>
      <c r="D1280" s="4" t="s">
        <v>470</v>
      </c>
      <c r="E1280" s="4">
        <v>3106</v>
      </c>
      <c r="F1280" s="188" t="s">
        <v>471</v>
      </c>
      <c r="G1280" s="9" t="str">
        <f t="shared" si="14"/>
        <v>119.74325 W, 49.182528 N, Elev. 414.1 m</v>
      </c>
      <c r="H1280" s="4" t="s">
        <v>426</v>
      </c>
      <c r="I1280" s="4" t="s">
        <v>427</v>
      </c>
      <c r="J1280" s="4">
        <v>38200</v>
      </c>
      <c r="M1280" s="223"/>
      <c r="U1280"/>
      <c r="AE1280" s="4">
        <v>49.182527999999998</v>
      </c>
      <c r="AF1280" s="4">
        <v>-119.74325</v>
      </c>
      <c r="AG1280" s="4">
        <v>414.1</v>
      </c>
      <c r="AK1280" s="260"/>
      <c r="AO1280" s="192"/>
    </row>
    <row r="1281" spans="1:72" ht="14.25" customHeight="1" x14ac:dyDescent="0.2">
      <c r="A1281" s="5"/>
      <c r="B1281" s="4">
        <v>10</v>
      </c>
      <c r="C1281" s="4" t="s">
        <v>450</v>
      </c>
      <c r="D1281" s="4" t="s">
        <v>472</v>
      </c>
      <c r="E1281" s="4">
        <v>3108</v>
      </c>
      <c r="F1281" s="188" t="s">
        <v>473</v>
      </c>
      <c r="G1281" s="9" t="str">
        <f t="shared" si="14"/>
        <v>119.56442 W, 49.498417 N, Elev. 374.7 m</v>
      </c>
      <c r="H1281" s="4" t="s">
        <v>426</v>
      </c>
      <c r="I1281" s="4" t="s">
        <v>427</v>
      </c>
      <c r="J1281" s="4">
        <v>38200</v>
      </c>
      <c r="M1281" s="223"/>
      <c r="U1281"/>
      <c r="AE1281" s="4">
        <v>49.498417000000003</v>
      </c>
      <c r="AF1281" s="4">
        <v>-119.56442</v>
      </c>
      <c r="AG1281" s="4">
        <v>374.7</v>
      </c>
      <c r="AK1281" s="260"/>
      <c r="AO1281" s="192"/>
    </row>
    <row r="1282" spans="1:72" ht="14.25" customHeight="1" x14ac:dyDescent="0.2">
      <c r="A1282" s="5"/>
      <c r="B1282" s="9">
        <v>10</v>
      </c>
      <c r="C1282" s="4" t="s">
        <v>450</v>
      </c>
      <c r="D1282" s="9" t="s">
        <v>474</v>
      </c>
      <c r="E1282" s="9">
        <v>3109</v>
      </c>
      <c r="F1282" s="203" t="s">
        <v>475</v>
      </c>
      <c r="G1282" s="203" t="str">
        <f t="shared" si="14"/>
        <v>119.684639 W, 49.613667 N, Elev. 492.2 m</v>
      </c>
      <c r="H1282" s="9" t="s">
        <v>426</v>
      </c>
      <c r="I1282" s="9" t="s">
        <v>427</v>
      </c>
      <c r="J1282" s="9">
        <v>38229</v>
      </c>
      <c r="K1282" s="9"/>
      <c r="L1282" s="9"/>
      <c r="M1282" s="6"/>
      <c r="N1282" s="9"/>
      <c r="O1282" s="9"/>
      <c r="P1282" s="9"/>
      <c r="Q1282" s="9"/>
      <c r="R1282" s="9"/>
      <c r="S1282" s="9"/>
      <c r="T1282" s="9"/>
      <c r="U1282" s="9"/>
      <c r="V1282" s="9"/>
      <c r="W1282" s="9"/>
      <c r="X1282" s="9"/>
      <c r="Y1282" s="9"/>
      <c r="Z1282" s="9"/>
      <c r="AA1282" s="9"/>
      <c r="AB1282" s="9"/>
      <c r="AC1282" s="9"/>
      <c r="AD1282" s="9"/>
      <c r="AE1282" s="9">
        <v>49.613667</v>
      </c>
      <c r="AF1282" s="9">
        <v>-119.684639</v>
      </c>
      <c r="AG1282" s="9">
        <v>492.2</v>
      </c>
      <c r="AH1282" s="9"/>
      <c r="AI1282" s="9"/>
      <c r="AJ1282" s="9"/>
      <c r="AK1282" s="7"/>
      <c r="AL1282" s="9"/>
      <c r="AM1282" s="9"/>
      <c r="AN1282" s="9"/>
      <c r="AO1282" s="203"/>
      <c r="AP1282" s="203"/>
      <c r="AQ1282" s="203"/>
      <c r="AR1282" s="203"/>
      <c r="AS1282" s="203"/>
      <c r="AT1282" s="203"/>
      <c r="AU1282" s="203"/>
      <c r="AV1282" s="203"/>
      <c r="AW1282" s="203"/>
      <c r="AX1282" s="203"/>
      <c r="AY1282" s="203"/>
      <c r="AZ1282" s="203"/>
      <c r="BA1282" s="203"/>
      <c r="BB1282" s="9"/>
      <c r="BC1282" s="9"/>
      <c r="BD1282" s="9"/>
      <c r="BE1282" s="9"/>
      <c r="BF1282" s="9"/>
      <c r="BG1282" s="9"/>
      <c r="BH1282" s="9"/>
      <c r="BI1282" s="9"/>
      <c r="BJ1282" s="9"/>
      <c r="BK1282" s="9"/>
      <c r="BL1282" s="9"/>
      <c r="BM1282" s="9"/>
      <c r="BN1282" s="9"/>
      <c r="BO1282" s="9"/>
      <c r="BP1282" s="9"/>
      <c r="BQ1282" s="9"/>
      <c r="BR1282" s="9"/>
      <c r="BS1282" s="9"/>
      <c r="BT1282" s="9"/>
    </row>
    <row r="1283" spans="1:72" ht="14.25" customHeight="1" x14ac:dyDescent="0.2">
      <c r="A1283" s="5"/>
      <c r="B1283" s="9">
        <v>10</v>
      </c>
      <c r="C1283" s="4" t="s">
        <v>450</v>
      </c>
      <c r="D1283" s="9" t="s">
        <v>476</v>
      </c>
      <c r="E1283" s="9">
        <v>3111</v>
      </c>
      <c r="F1283" s="9" t="s">
        <v>365</v>
      </c>
      <c r="G1283" s="9" t="str">
        <f t="shared" si="14"/>
        <v>119.354164 W, 49.943325 N, Elev. 473.3 m</v>
      </c>
      <c r="H1283" s="9" t="s">
        <v>426</v>
      </c>
      <c r="I1283" s="9" t="s">
        <v>427</v>
      </c>
      <c r="J1283" s="9">
        <v>37988</v>
      </c>
      <c r="K1283" s="9"/>
      <c r="L1283" s="9"/>
      <c r="M1283" s="6"/>
      <c r="N1283" s="9"/>
      <c r="O1283" s="9"/>
      <c r="P1283" s="9"/>
      <c r="Q1283" s="9"/>
      <c r="R1283" s="9"/>
      <c r="S1283" s="9"/>
      <c r="T1283" s="9"/>
      <c r="U1283" s="9"/>
      <c r="V1283" s="9"/>
      <c r="W1283" s="9"/>
      <c r="X1283" s="9"/>
      <c r="Y1283" s="9"/>
      <c r="Z1283" s="9"/>
      <c r="AA1283" s="9"/>
      <c r="AB1283" s="9"/>
      <c r="AC1283" s="9"/>
      <c r="AD1283" s="9"/>
      <c r="AE1283" s="9">
        <v>49.943325000000002</v>
      </c>
      <c r="AF1283" s="9">
        <v>-119.354164</v>
      </c>
      <c r="AG1283" s="9">
        <v>473.3</v>
      </c>
      <c r="AH1283" s="9"/>
      <c r="AI1283" s="9"/>
      <c r="AJ1283" s="9"/>
      <c r="AK1283" s="7"/>
      <c r="AL1283" s="9"/>
      <c r="AM1283" s="9"/>
      <c r="AN1283" s="9"/>
      <c r="AO1283" s="9"/>
      <c r="AP1283" s="9"/>
      <c r="AQ1283" s="9"/>
      <c r="AR1283" s="9"/>
      <c r="AS1283" s="9"/>
      <c r="AT1283" s="9"/>
      <c r="AU1283" s="9"/>
      <c r="AV1283" s="9"/>
      <c r="AW1283" s="9"/>
      <c r="AX1283" s="9"/>
      <c r="AY1283" s="9"/>
      <c r="AZ1283" s="9"/>
      <c r="BA1283" s="9"/>
      <c r="BB1283" s="9"/>
      <c r="BC1283" s="9"/>
      <c r="BD1283" s="9"/>
      <c r="BE1283" s="9"/>
      <c r="BF1283" s="9"/>
      <c r="BG1283" s="9"/>
      <c r="BH1283" s="9"/>
      <c r="BI1283" s="9"/>
      <c r="BJ1283" s="9"/>
      <c r="BK1283" s="9"/>
      <c r="BL1283" s="9"/>
      <c r="BM1283" s="9"/>
      <c r="BN1283" s="9"/>
      <c r="BO1283" s="9"/>
      <c r="BP1283" s="9"/>
      <c r="BQ1283" s="9"/>
      <c r="BR1283" s="9"/>
      <c r="BS1283" s="9"/>
      <c r="BT1283" s="9"/>
    </row>
    <row r="1284" spans="1:72" ht="14.25" customHeight="1" x14ac:dyDescent="0.2">
      <c r="A1284" s="5"/>
      <c r="B1284" s="4">
        <v>10</v>
      </c>
      <c r="C1284" s="4" t="s">
        <v>450</v>
      </c>
      <c r="D1284" s="4" t="s">
        <v>477</v>
      </c>
      <c r="E1284" s="4">
        <v>1506</v>
      </c>
      <c r="F1284" s="188" t="s">
        <v>421</v>
      </c>
      <c r="G1284" s="9" t="str">
        <f t="shared" si="14"/>
        <v>119.385515 W, 50.63235361 N, Elev. 374.3 m</v>
      </c>
      <c r="H1284" s="4" t="s">
        <v>426</v>
      </c>
      <c r="I1284" s="4" t="s">
        <v>427</v>
      </c>
      <c r="J1284" s="4">
        <v>38133</v>
      </c>
      <c r="K1284" s="9"/>
      <c r="L1284" s="9"/>
      <c r="M1284" s="6"/>
      <c r="N1284" s="9"/>
      <c r="O1284" s="9"/>
      <c r="P1284" s="9"/>
      <c r="Q1284" s="9"/>
      <c r="R1284" s="9"/>
      <c r="S1284" s="9"/>
      <c r="T1284" s="9"/>
      <c r="U1284" s="9"/>
      <c r="V1284" s="9"/>
      <c r="W1284" s="9"/>
      <c r="X1284" s="9"/>
      <c r="Y1284" s="9"/>
      <c r="Z1284" s="9"/>
      <c r="AA1284" s="9"/>
      <c r="AB1284" s="9"/>
      <c r="AC1284" s="9"/>
      <c r="AD1284" s="9"/>
      <c r="AE1284" s="4">
        <v>50.632353610000003</v>
      </c>
      <c r="AF1284" s="4">
        <v>-119.385515</v>
      </c>
      <c r="AG1284" s="4">
        <v>374.3</v>
      </c>
      <c r="AH1284" s="9"/>
      <c r="AI1284" s="9"/>
      <c r="AJ1284" s="9"/>
      <c r="AK1284" s="7"/>
      <c r="AL1284" s="9"/>
      <c r="AM1284" s="9"/>
      <c r="AN1284" s="9"/>
      <c r="AO1284" s="203"/>
      <c r="AP1284" s="9"/>
      <c r="AQ1284" s="9"/>
      <c r="AR1284" s="9"/>
      <c r="AS1284" s="9"/>
      <c r="AT1284" s="9"/>
      <c r="AU1284" s="9"/>
      <c r="AV1284" s="9"/>
      <c r="AW1284" s="9"/>
      <c r="AX1284" s="9"/>
      <c r="AY1284" s="9"/>
      <c r="AZ1284" s="9"/>
      <c r="BA1284" s="9"/>
      <c r="BB1284" s="9"/>
      <c r="BC1284" s="9"/>
      <c r="BD1284" s="9"/>
      <c r="BE1284" s="9"/>
      <c r="BF1284" s="9"/>
      <c r="BG1284" s="9"/>
      <c r="BH1284" s="9"/>
      <c r="BI1284" s="9"/>
      <c r="BJ1284" s="9"/>
      <c r="BK1284" s="9"/>
      <c r="BL1284" s="9"/>
      <c r="BM1284" s="9"/>
      <c r="BN1284" s="9"/>
      <c r="BO1284" s="9"/>
      <c r="BP1284" s="9"/>
      <c r="BQ1284" s="9"/>
      <c r="BR1284" s="9"/>
      <c r="BS1284" s="9"/>
      <c r="BT1284" s="9"/>
    </row>
    <row r="1285" spans="1:72" ht="14.25" customHeight="1" x14ac:dyDescent="0.2">
      <c r="A1285" s="5"/>
      <c r="B1285" s="4">
        <v>2</v>
      </c>
      <c r="C1285" s="4" t="s">
        <v>637</v>
      </c>
      <c r="D1285" s="4">
        <v>11092</v>
      </c>
      <c r="E1285" s="4">
        <v>2655</v>
      </c>
      <c r="F1285" s="188" t="s">
        <v>647</v>
      </c>
      <c r="G1285" s="215" t="s">
        <v>648</v>
      </c>
      <c r="H1285" s="4" t="s">
        <v>649</v>
      </c>
      <c r="I1285" s="4" t="s">
        <v>641</v>
      </c>
      <c r="J1285" s="4" t="s">
        <v>642</v>
      </c>
      <c r="K1285" s="4">
        <v>1</v>
      </c>
      <c r="L1285" s="4">
        <v>3398</v>
      </c>
      <c r="M1285" s="6">
        <v>49.843470000000003</v>
      </c>
      <c r="N1285" s="9">
        <v>-123.14339</v>
      </c>
      <c r="O1285" s="9" t="s">
        <v>51</v>
      </c>
      <c r="P1285" s="9">
        <v>11092</v>
      </c>
      <c r="Q1285" s="20">
        <v>3</v>
      </c>
      <c r="R1285" s="9" t="s">
        <v>647</v>
      </c>
      <c r="S1285" s="11" t="s">
        <v>650</v>
      </c>
      <c r="T1285" s="9" t="s">
        <v>644</v>
      </c>
      <c r="U1285" s="9">
        <v>320</v>
      </c>
      <c r="Z1285" s="9" t="s">
        <v>645</v>
      </c>
      <c r="AA1285" s="9" t="s">
        <v>651</v>
      </c>
      <c r="AB1285" s="9"/>
      <c r="AC1285" s="21"/>
      <c r="AD1285" s="9"/>
      <c r="AH1285" s="9"/>
      <c r="AI1285" s="9"/>
      <c r="AK1285" s="260"/>
      <c r="AO1285" s="192"/>
    </row>
    <row r="1286" spans="1:72" ht="14.25" customHeight="1" x14ac:dyDescent="0.2">
      <c r="A1286" s="5"/>
      <c r="B1286" s="4">
        <v>2</v>
      </c>
      <c r="C1286" s="4" t="s">
        <v>637</v>
      </c>
      <c r="D1286" s="4">
        <v>11121</v>
      </c>
      <c r="E1286" s="4">
        <v>2657</v>
      </c>
      <c r="F1286" s="188" t="s">
        <v>652</v>
      </c>
      <c r="G1286" s="215" t="s">
        <v>653</v>
      </c>
      <c r="H1286" s="4" t="s">
        <v>654</v>
      </c>
      <c r="I1286" s="4" t="s">
        <v>641</v>
      </c>
      <c r="J1286" s="4" t="s">
        <v>655</v>
      </c>
      <c r="K1286" s="4">
        <v>1</v>
      </c>
      <c r="L1286" s="4">
        <v>3400</v>
      </c>
      <c r="M1286" s="6">
        <v>49.404440000000001</v>
      </c>
      <c r="N1286" s="9">
        <v>-123.19110999999999</v>
      </c>
      <c r="O1286" s="9" t="s">
        <v>51</v>
      </c>
      <c r="P1286" s="9">
        <v>11121</v>
      </c>
      <c r="Q1286" s="20">
        <v>6</v>
      </c>
      <c r="R1286" s="9" t="s">
        <v>656</v>
      </c>
      <c r="S1286" s="11" t="s">
        <v>657</v>
      </c>
      <c r="T1286" s="9" t="s">
        <v>644</v>
      </c>
      <c r="U1286" s="9">
        <v>1220</v>
      </c>
      <c r="Z1286" s="9" t="s">
        <v>645</v>
      </c>
      <c r="AA1286" s="9" t="s">
        <v>658</v>
      </c>
      <c r="AB1286" s="9"/>
      <c r="AC1286" s="9"/>
      <c r="AD1286" s="9"/>
      <c r="AE1286" s="9"/>
      <c r="AF1286" s="9"/>
      <c r="AG1286" s="9"/>
      <c r="AH1286" s="9"/>
      <c r="AI1286" s="9"/>
      <c r="AK1286" s="260"/>
      <c r="AO1286" s="192"/>
    </row>
    <row r="1287" spans="1:72" ht="14.25" customHeight="1" x14ac:dyDescent="0.2">
      <c r="A1287" s="5"/>
      <c r="B1287" s="4">
        <v>2</v>
      </c>
      <c r="C1287" s="4" t="s">
        <v>637</v>
      </c>
      <c r="D1287" s="4">
        <v>11122</v>
      </c>
      <c r="E1287" s="4">
        <v>2658</v>
      </c>
      <c r="F1287" s="188" t="s">
        <v>659</v>
      </c>
      <c r="G1287" s="216" t="s">
        <v>660</v>
      </c>
      <c r="H1287" s="4" t="s">
        <v>661</v>
      </c>
      <c r="I1287" s="4" t="s">
        <v>641</v>
      </c>
      <c r="J1287" s="4" t="s">
        <v>662</v>
      </c>
      <c r="K1287" s="4">
        <v>1</v>
      </c>
      <c r="L1287" s="4">
        <v>3401</v>
      </c>
      <c r="M1287" s="223"/>
      <c r="U1287"/>
      <c r="AK1287" s="260"/>
      <c r="AO1287" s="192"/>
    </row>
    <row r="1288" spans="1:72" ht="14.25" customHeight="1" x14ac:dyDescent="0.2">
      <c r="A1288" s="5"/>
      <c r="B1288" s="4">
        <v>2</v>
      </c>
      <c r="C1288" s="4" t="s">
        <v>637</v>
      </c>
      <c r="D1288" s="4">
        <v>11123</v>
      </c>
      <c r="E1288" s="4">
        <v>2659</v>
      </c>
      <c r="F1288" s="188" t="s">
        <v>663</v>
      </c>
      <c r="G1288" s="216" t="s">
        <v>664</v>
      </c>
      <c r="H1288" s="4" t="s">
        <v>665</v>
      </c>
      <c r="I1288" s="4" t="s">
        <v>641</v>
      </c>
      <c r="J1288" s="4" t="s">
        <v>666</v>
      </c>
      <c r="K1288" s="4">
        <v>1</v>
      </c>
      <c r="L1288" s="4">
        <v>3402</v>
      </c>
      <c r="M1288" s="223"/>
      <c r="U1288"/>
      <c r="AK1288" s="260"/>
      <c r="AO1288" s="192"/>
    </row>
    <row r="1289" spans="1:72" ht="14.25" customHeight="1" x14ac:dyDescent="0.2">
      <c r="A1289" s="5"/>
      <c r="B1289" s="4">
        <v>2</v>
      </c>
      <c r="C1289" s="4" t="s">
        <v>637</v>
      </c>
      <c r="D1289" s="4">
        <v>11124</v>
      </c>
      <c r="E1289" s="4">
        <v>2660</v>
      </c>
      <c r="F1289" s="188" t="s">
        <v>667</v>
      </c>
      <c r="G1289" s="216" t="s">
        <v>668</v>
      </c>
      <c r="H1289" s="4" t="s">
        <v>669</v>
      </c>
      <c r="I1289" s="4" t="s">
        <v>641</v>
      </c>
      <c r="J1289" s="4" t="s">
        <v>670</v>
      </c>
      <c r="K1289" s="4">
        <v>1</v>
      </c>
      <c r="L1289" s="4">
        <v>3403</v>
      </c>
      <c r="M1289" s="223"/>
      <c r="U1289"/>
      <c r="AK1289" s="260"/>
      <c r="AO1289" s="192"/>
    </row>
    <row r="1290" spans="1:72" ht="14.25" customHeight="1" x14ac:dyDescent="0.2">
      <c r="A1290" s="5"/>
      <c r="B1290" s="4">
        <v>2</v>
      </c>
      <c r="C1290" s="4" t="s">
        <v>637</v>
      </c>
      <c r="D1290" s="4">
        <v>11125</v>
      </c>
      <c r="E1290" s="4">
        <v>2661</v>
      </c>
      <c r="F1290" s="4" t="s">
        <v>671</v>
      </c>
      <c r="G1290" s="22" t="s">
        <v>672</v>
      </c>
      <c r="H1290" s="4" t="s">
        <v>673</v>
      </c>
      <c r="I1290" s="4" t="s">
        <v>641</v>
      </c>
      <c r="J1290" s="4" t="s">
        <v>674</v>
      </c>
      <c r="K1290" s="4">
        <v>1</v>
      </c>
      <c r="L1290" s="4">
        <v>3404</v>
      </c>
      <c r="M1290" s="6">
        <v>49.534170000000003</v>
      </c>
      <c r="N1290" s="9">
        <v>-123.21832999999999</v>
      </c>
      <c r="O1290" s="9" t="s">
        <v>51</v>
      </c>
      <c r="P1290" s="9">
        <v>11125</v>
      </c>
      <c r="Q1290" s="20">
        <v>6</v>
      </c>
      <c r="R1290" s="9" t="s">
        <v>671</v>
      </c>
      <c r="S1290" s="11" t="s">
        <v>675</v>
      </c>
      <c r="T1290" s="9" t="s">
        <v>644</v>
      </c>
      <c r="U1290" s="9">
        <v>1280</v>
      </c>
      <c r="Z1290" s="9"/>
      <c r="AA1290" s="9" t="s">
        <v>676</v>
      </c>
      <c r="AB1290" s="9"/>
      <c r="AC1290" s="9"/>
      <c r="AD1290" s="9"/>
      <c r="AE1290" s="9"/>
      <c r="AF1290" s="9"/>
      <c r="AG1290" s="9"/>
      <c r="AH1290" s="9"/>
      <c r="AI1290" s="9"/>
      <c r="AK1290" s="260"/>
    </row>
    <row r="1291" spans="1:72" ht="14.25" customHeight="1" x14ac:dyDescent="0.2">
      <c r="A1291" s="5"/>
      <c r="B1291" s="4">
        <v>2</v>
      </c>
      <c r="C1291" s="4" t="s">
        <v>637</v>
      </c>
      <c r="D1291" s="4">
        <v>11128</v>
      </c>
      <c r="E1291" s="4">
        <v>12502</v>
      </c>
      <c r="F1291" s="188" t="s">
        <v>677</v>
      </c>
      <c r="G1291" s="215" t="s">
        <v>678</v>
      </c>
      <c r="H1291" s="4" t="s">
        <v>679</v>
      </c>
      <c r="I1291" s="4" t="s">
        <v>49</v>
      </c>
      <c r="J1291" s="4" t="s">
        <v>680</v>
      </c>
      <c r="K1291" s="4">
        <v>1</v>
      </c>
      <c r="L1291" s="4">
        <v>14524</v>
      </c>
      <c r="M1291" s="6">
        <v>49.546709999999997</v>
      </c>
      <c r="N1291" s="9">
        <v>-123.23985</v>
      </c>
      <c r="O1291" s="9" t="s">
        <v>51</v>
      </c>
      <c r="P1291" s="9">
        <v>11128</v>
      </c>
      <c r="Q1291" s="20">
        <v>1</v>
      </c>
      <c r="R1291" s="9" t="s">
        <v>677</v>
      </c>
      <c r="S1291" s="11" t="s">
        <v>681</v>
      </c>
      <c r="T1291" s="9" t="s">
        <v>644</v>
      </c>
      <c r="U1291" s="9">
        <v>65</v>
      </c>
      <c r="Z1291" s="9"/>
      <c r="AA1291" s="9" t="s">
        <v>682</v>
      </c>
      <c r="AB1291" s="9"/>
      <c r="AC1291" s="9"/>
      <c r="AD1291" s="9"/>
      <c r="AE1291" s="9"/>
      <c r="AF1291" s="9"/>
      <c r="AG1291" s="9"/>
      <c r="AH1291" s="9"/>
      <c r="AI1291" s="9"/>
      <c r="AK1291" s="260"/>
    </row>
    <row r="1292" spans="1:72" ht="14.25" customHeight="1" x14ac:dyDescent="0.2">
      <c r="A1292" s="5"/>
      <c r="B1292" s="4">
        <v>2</v>
      </c>
      <c r="C1292" s="4" t="s">
        <v>637</v>
      </c>
      <c r="D1292" s="4">
        <v>11191</v>
      </c>
      <c r="E1292" s="4">
        <v>2662</v>
      </c>
      <c r="F1292" s="4" t="s">
        <v>683</v>
      </c>
      <c r="G1292" s="215" t="s">
        <v>684</v>
      </c>
      <c r="H1292" s="4" t="s">
        <v>685</v>
      </c>
      <c r="I1292" s="4" t="s">
        <v>641</v>
      </c>
      <c r="J1292" s="4" t="s">
        <v>642</v>
      </c>
      <c r="K1292" s="4">
        <v>1</v>
      </c>
      <c r="L1292" s="4">
        <v>3405</v>
      </c>
      <c r="M1292" s="222">
        <v>49.371859999999998</v>
      </c>
      <c r="N1292" s="201">
        <v>-123.26969</v>
      </c>
      <c r="O1292" s="9" t="s">
        <v>183</v>
      </c>
      <c r="P1292" s="4">
        <v>11191</v>
      </c>
      <c r="Q1292" s="20">
        <v>3</v>
      </c>
      <c r="R1292" s="9" t="s">
        <v>683</v>
      </c>
      <c r="S1292" s="11" t="s">
        <v>686</v>
      </c>
      <c r="T1292" s="9" t="s">
        <v>644</v>
      </c>
      <c r="U1292" s="9">
        <v>140</v>
      </c>
      <c r="Z1292" s="9" t="s">
        <v>645</v>
      </c>
      <c r="AA1292" s="9" t="s">
        <v>687</v>
      </c>
      <c r="AB1292" s="9"/>
      <c r="AC1292" s="21"/>
      <c r="AD1292" s="9"/>
      <c r="AE1292" s="9"/>
      <c r="AF1292" s="9"/>
      <c r="AG1292" s="9"/>
      <c r="AH1292" s="9"/>
      <c r="AI1292" s="9"/>
      <c r="AK1292" s="260"/>
    </row>
    <row r="1293" spans="1:72" ht="14.25" customHeight="1" x14ac:dyDescent="0.2">
      <c r="A1293" s="5"/>
      <c r="B1293" s="4">
        <v>2</v>
      </c>
      <c r="C1293" s="4" t="s">
        <v>637</v>
      </c>
      <c r="D1293" s="4">
        <v>14094</v>
      </c>
      <c r="E1293" s="4">
        <v>12496</v>
      </c>
      <c r="F1293" s="4" t="s">
        <v>707</v>
      </c>
      <c r="G1293" s="215" t="s">
        <v>708</v>
      </c>
      <c r="H1293" s="4" t="s">
        <v>709</v>
      </c>
      <c r="I1293" s="4" t="s">
        <v>49</v>
      </c>
      <c r="J1293" s="4" t="s">
        <v>710</v>
      </c>
      <c r="K1293" s="4">
        <v>1</v>
      </c>
      <c r="L1293" s="4">
        <v>14518</v>
      </c>
      <c r="M1293" s="6">
        <v>49.126710000000003</v>
      </c>
      <c r="N1293" s="9">
        <v>-123.07947</v>
      </c>
      <c r="O1293" s="9" t="s">
        <v>183</v>
      </c>
      <c r="P1293" s="9">
        <v>14094</v>
      </c>
      <c r="Q1293" s="20">
        <v>1</v>
      </c>
      <c r="R1293" s="9" t="s">
        <v>707</v>
      </c>
      <c r="S1293" s="11" t="s">
        <v>711</v>
      </c>
      <c r="T1293" s="9" t="s">
        <v>644</v>
      </c>
      <c r="U1293" s="9">
        <v>5</v>
      </c>
      <c r="Z1293" s="9"/>
      <c r="AA1293" s="9" t="s">
        <v>712</v>
      </c>
      <c r="AB1293" s="9"/>
      <c r="AC1293" s="9"/>
      <c r="AD1293" s="9"/>
      <c r="AE1293" s="9"/>
      <c r="AF1293" s="9"/>
      <c r="AG1293" s="9"/>
      <c r="AH1293" s="9"/>
      <c r="AI1293" s="9"/>
      <c r="AK1293" s="260"/>
    </row>
    <row r="1294" spans="1:72" ht="14.25" customHeight="1" x14ac:dyDescent="0.2">
      <c r="A1294" s="5"/>
      <c r="B1294" s="4">
        <v>2</v>
      </c>
      <c r="C1294" s="4" t="s">
        <v>637</v>
      </c>
      <c r="D1294" s="4">
        <v>14095</v>
      </c>
      <c r="E1294" s="4">
        <v>12503</v>
      </c>
      <c r="F1294" s="4" t="s">
        <v>713</v>
      </c>
      <c r="G1294" s="19" t="s">
        <v>714</v>
      </c>
      <c r="H1294" s="4" t="s">
        <v>679</v>
      </c>
      <c r="I1294" s="4" t="s">
        <v>49</v>
      </c>
      <c r="J1294" s="4" t="s">
        <v>715</v>
      </c>
      <c r="K1294" s="4">
        <v>1</v>
      </c>
      <c r="L1294" s="4">
        <v>14525</v>
      </c>
      <c r="M1294" s="6">
        <v>49.160029999999999</v>
      </c>
      <c r="N1294" s="9">
        <v>-122.94307999999999</v>
      </c>
      <c r="O1294" s="9" t="s">
        <v>183</v>
      </c>
      <c r="P1294" s="9">
        <v>14095</v>
      </c>
      <c r="Q1294" s="20">
        <v>2</v>
      </c>
      <c r="R1294" s="9" t="s">
        <v>713</v>
      </c>
      <c r="S1294" s="11" t="s">
        <v>716</v>
      </c>
      <c r="T1294" s="9" t="s">
        <v>644</v>
      </c>
      <c r="U1294" s="9">
        <v>60</v>
      </c>
      <c r="Z1294" s="9"/>
      <c r="AA1294" s="9" t="s">
        <v>717</v>
      </c>
      <c r="AB1294" s="9"/>
      <c r="AC1294" s="9"/>
      <c r="AD1294" s="9"/>
      <c r="AE1294" s="9"/>
      <c r="AF1294" s="9"/>
      <c r="AG1294" s="9"/>
      <c r="AH1294" s="9"/>
      <c r="AI1294" s="9"/>
      <c r="AK1294" s="260"/>
    </row>
    <row r="1295" spans="1:72" ht="14.25" customHeight="1" x14ac:dyDescent="0.2">
      <c r="A1295" s="5"/>
      <c r="B1295" s="4">
        <v>2</v>
      </c>
      <c r="C1295" s="4" t="s">
        <v>637</v>
      </c>
      <c r="D1295" s="4">
        <v>14098</v>
      </c>
      <c r="E1295" s="4">
        <v>12504</v>
      </c>
      <c r="F1295" s="188" t="s">
        <v>729</v>
      </c>
      <c r="G1295" s="215" t="s">
        <v>730</v>
      </c>
      <c r="H1295" s="4" t="s">
        <v>679</v>
      </c>
      <c r="I1295" s="4" t="s">
        <v>49</v>
      </c>
      <c r="J1295" s="4" t="s">
        <v>731</v>
      </c>
      <c r="K1295" s="4">
        <v>1</v>
      </c>
      <c r="L1295" s="4">
        <v>14526</v>
      </c>
      <c r="M1295" s="222">
        <v>49.171529999999997</v>
      </c>
      <c r="N1295" s="201">
        <v>-122.9516</v>
      </c>
      <c r="O1295" s="201" t="s">
        <v>183</v>
      </c>
      <c r="P1295" s="201">
        <v>14098</v>
      </c>
      <c r="Q1295" s="201"/>
      <c r="R1295" s="201" t="s">
        <v>732</v>
      </c>
      <c r="S1295" s="201"/>
      <c r="T1295" s="201"/>
      <c r="U1295" s="201">
        <v>4</v>
      </c>
      <c r="Z1295" s="201"/>
      <c r="AA1295" s="201"/>
      <c r="AB1295" s="201"/>
      <c r="AC1295" s="201"/>
      <c r="AD1295" s="201"/>
      <c r="AK1295" s="260"/>
      <c r="AO1295" s="192"/>
    </row>
    <row r="1296" spans="1:72" ht="14.25" customHeight="1" x14ac:dyDescent="0.2">
      <c r="A1296" s="5"/>
      <c r="B1296" s="4">
        <v>2</v>
      </c>
      <c r="C1296" s="4" t="s">
        <v>637</v>
      </c>
      <c r="D1296" s="4">
        <v>15092</v>
      </c>
      <c r="E1296" s="4">
        <v>2667</v>
      </c>
      <c r="F1296" s="188" t="s">
        <v>733</v>
      </c>
      <c r="G1296" s="215" t="s">
        <v>734</v>
      </c>
      <c r="H1296" s="4" t="s">
        <v>735</v>
      </c>
      <c r="I1296" s="4" t="s">
        <v>641</v>
      </c>
      <c r="J1296" s="4" t="s">
        <v>642</v>
      </c>
      <c r="K1296" s="4">
        <v>1</v>
      </c>
      <c r="L1296" s="4">
        <v>3410</v>
      </c>
      <c r="M1296" s="6">
        <v>49.075560000000003</v>
      </c>
      <c r="N1296" s="9">
        <v>-122.42528</v>
      </c>
      <c r="O1296" s="9" t="s">
        <v>183</v>
      </c>
      <c r="P1296" s="9">
        <v>15092</v>
      </c>
      <c r="Q1296" s="20">
        <v>3</v>
      </c>
      <c r="R1296" s="9" t="s">
        <v>733</v>
      </c>
      <c r="S1296" s="11" t="s">
        <v>736</v>
      </c>
      <c r="T1296" s="9" t="s">
        <v>644</v>
      </c>
      <c r="U1296" s="9">
        <v>110</v>
      </c>
      <c r="Z1296" s="9" t="s">
        <v>645</v>
      </c>
      <c r="AA1296" s="9" t="s">
        <v>737</v>
      </c>
      <c r="AB1296" s="9"/>
      <c r="AC1296" s="21"/>
      <c r="AD1296" s="9"/>
      <c r="AE1296" s="9"/>
      <c r="AF1296" s="9"/>
      <c r="AG1296" s="9"/>
      <c r="AH1296" s="9"/>
      <c r="AI1296" s="9"/>
      <c r="AK1296" s="260"/>
      <c r="AO1296" s="192"/>
    </row>
    <row r="1297" spans="1:41" ht="14.25" customHeight="1" x14ac:dyDescent="0.2">
      <c r="A1297" s="5"/>
      <c r="B1297" s="4">
        <v>2</v>
      </c>
      <c r="C1297" s="4" t="s">
        <v>637</v>
      </c>
      <c r="D1297" s="4">
        <v>15093</v>
      </c>
      <c r="E1297" s="4">
        <v>2668</v>
      </c>
      <c r="F1297" s="188" t="s">
        <v>738</v>
      </c>
      <c r="G1297" s="215" t="s">
        <v>739</v>
      </c>
      <c r="H1297" s="4" t="s">
        <v>740</v>
      </c>
      <c r="I1297" s="4" t="s">
        <v>641</v>
      </c>
      <c r="J1297" s="4" t="s">
        <v>642</v>
      </c>
      <c r="K1297" s="4">
        <v>1</v>
      </c>
      <c r="L1297" s="4">
        <v>3411</v>
      </c>
      <c r="M1297" s="6">
        <v>49.363059999999997</v>
      </c>
      <c r="N1297" s="9">
        <v>-121.35611</v>
      </c>
      <c r="O1297" s="9" t="s">
        <v>51</v>
      </c>
      <c r="P1297" s="9">
        <v>15093</v>
      </c>
      <c r="Q1297" s="20">
        <v>2</v>
      </c>
      <c r="R1297" s="9" t="s">
        <v>738</v>
      </c>
      <c r="S1297" s="11" t="s">
        <v>741</v>
      </c>
      <c r="T1297" s="9" t="s">
        <v>644</v>
      </c>
      <c r="U1297" s="9">
        <v>244</v>
      </c>
      <c r="Z1297" s="9"/>
      <c r="AA1297" s="9" t="s">
        <v>742</v>
      </c>
      <c r="AB1297" s="9"/>
      <c r="AC1297" s="21"/>
      <c r="AD1297" s="9"/>
      <c r="AE1297" s="9"/>
      <c r="AF1297" s="9"/>
      <c r="AG1297" s="9"/>
      <c r="AH1297" s="9"/>
      <c r="AI1297" s="9"/>
      <c r="AK1297" s="260"/>
      <c r="AO1297" s="192"/>
    </row>
    <row r="1298" spans="1:41" ht="14.25" customHeight="1" x14ac:dyDescent="0.2">
      <c r="A1298" s="5"/>
      <c r="B1298" s="4">
        <v>2</v>
      </c>
      <c r="C1298" s="4" t="s">
        <v>637</v>
      </c>
      <c r="D1298" s="4">
        <v>15122</v>
      </c>
      <c r="E1298" s="4">
        <v>2671</v>
      </c>
      <c r="F1298" s="188" t="s">
        <v>743</v>
      </c>
      <c r="G1298" s="215" t="s">
        <v>744</v>
      </c>
      <c r="H1298" s="4" t="s">
        <v>745</v>
      </c>
      <c r="I1298" s="4" t="s">
        <v>641</v>
      </c>
      <c r="J1298" s="4" t="s">
        <v>642</v>
      </c>
      <c r="K1298" s="4">
        <v>1</v>
      </c>
      <c r="L1298" s="4">
        <v>3414</v>
      </c>
      <c r="M1298" s="6">
        <v>49.75703</v>
      </c>
      <c r="N1298" s="9">
        <v>-121.41803</v>
      </c>
      <c r="O1298" s="9" t="s">
        <v>142</v>
      </c>
      <c r="P1298" s="9">
        <v>15122</v>
      </c>
      <c r="Q1298" s="20">
        <v>1</v>
      </c>
      <c r="R1298" s="9" t="s">
        <v>743</v>
      </c>
      <c r="S1298" s="11" t="s">
        <v>746</v>
      </c>
      <c r="T1298" s="9" t="s">
        <v>644</v>
      </c>
      <c r="U1298" s="9">
        <v>280</v>
      </c>
      <c r="Z1298" s="9" t="s">
        <v>645</v>
      </c>
      <c r="AA1298" s="9" t="s">
        <v>747</v>
      </c>
      <c r="AB1298" s="9"/>
      <c r="AC1298" s="21"/>
      <c r="AD1298" s="9"/>
      <c r="AE1298" s="9"/>
      <c r="AF1298" s="9"/>
      <c r="AG1298" s="9"/>
      <c r="AH1298" s="9"/>
      <c r="AI1298" s="9"/>
      <c r="AK1298" s="260"/>
      <c r="AO1298" s="192"/>
    </row>
    <row r="1299" spans="1:41" ht="14.25" customHeight="1" x14ac:dyDescent="0.2">
      <c r="A1299" s="5"/>
      <c r="B1299" s="4">
        <v>2</v>
      </c>
      <c r="C1299" s="4" t="s">
        <v>637</v>
      </c>
      <c r="D1299" s="4">
        <v>15123</v>
      </c>
      <c r="E1299" s="4">
        <v>2672</v>
      </c>
      <c r="F1299" s="188" t="s">
        <v>748</v>
      </c>
      <c r="G1299" s="215" t="s">
        <v>749</v>
      </c>
      <c r="H1299" s="4" t="s">
        <v>750</v>
      </c>
      <c r="I1299" s="4" t="s">
        <v>641</v>
      </c>
      <c r="J1299" s="4" t="s">
        <v>751</v>
      </c>
      <c r="K1299" s="4">
        <v>1</v>
      </c>
      <c r="L1299" s="4">
        <v>3415</v>
      </c>
      <c r="M1299" s="223"/>
      <c r="U1299"/>
      <c r="AK1299" s="260"/>
      <c r="AO1299" s="192"/>
    </row>
    <row r="1300" spans="1:41" ht="14.25" customHeight="1" x14ac:dyDescent="0.2">
      <c r="A1300" s="5"/>
      <c r="B1300" s="4">
        <v>2</v>
      </c>
      <c r="C1300" s="4" t="s">
        <v>637</v>
      </c>
      <c r="D1300" s="4">
        <v>15124</v>
      </c>
      <c r="E1300" s="4">
        <v>2673</v>
      </c>
      <c r="F1300" s="188" t="s">
        <v>752</v>
      </c>
      <c r="G1300" s="19" t="s">
        <v>753</v>
      </c>
      <c r="H1300" s="4" t="s">
        <v>754</v>
      </c>
      <c r="I1300" s="4" t="s">
        <v>641</v>
      </c>
      <c r="J1300" s="4" t="s">
        <v>755</v>
      </c>
      <c r="K1300" s="4">
        <v>1</v>
      </c>
      <c r="L1300" s="4">
        <v>3416</v>
      </c>
      <c r="M1300" s="6">
        <v>50.07611</v>
      </c>
      <c r="N1300" s="9">
        <v>-121.5475</v>
      </c>
      <c r="O1300" s="9" t="s">
        <v>142</v>
      </c>
      <c r="P1300" s="9">
        <v>15124</v>
      </c>
      <c r="Q1300" s="20">
        <v>1</v>
      </c>
      <c r="R1300" s="9" t="s">
        <v>752</v>
      </c>
      <c r="S1300" s="11" t="s">
        <v>756</v>
      </c>
      <c r="T1300" s="9" t="s">
        <v>644</v>
      </c>
      <c r="U1300" s="9">
        <v>350</v>
      </c>
      <c r="Z1300" s="9" t="s">
        <v>645</v>
      </c>
      <c r="AA1300" s="9" t="s">
        <v>757</v>
      </c>
      <c r="AB1300" s="9"/>
      <c r="AC1300" s="21"/>
      <c r="AD1300" s="9"/>
      <c r="AE1300" s="9"/>
      <c r="AF1300" s="9"/>
      <c r="AG1300" s="9"/>
      <c r="AH1300" s="9"/>
      <c r="AI1300" s="9"/>
      <c r="AK1300" s="260"/>
    </row>
    <row r="1301" spans="1:41" ht="14.25" customHeight="1" x14ac:dyDescent="0.2">
      <c r="A1301" s="5"/>
      <c r="B1301" s="4">
        <v>2</v>
      </c>
      <c r="C1301" s="4" t="s">
        <v>637</v>
      </c>
      <c r="D1301" s="4">
        <v>15321</v>
      </c>
      <c r="E1301" s="4">
        <v>2676</v>
      </c>
      <c r="F1301" s="188" t="s">
        <v>758</v>
      </c>
      <c r="G1301" s="215" t="s">
        <v>759</v>
      </c>
      <c r="H1301" s="4" t="s">
        <v>760</v>
      </c>
      <c r="I1301" s="4" t="s">
        <v>641</v>
      </c>
      <c r="J1301" s="4" t="s">
        <v>761</v>
      </c>
      <c r="K1301" s="4">
        <v>1</v>
      </c>
      <c r="L1301" s="4">
        <v>3419</v>
      </c>
      <c r="M1301" s="6">
        <v>49.23</v>
      </c>
      <c r="N1301" s="201">
        <v>-121.08417</v>
      </c>
      <c r="O1301" s="9" t="s">
        <v>51</v>
      </c>
      <c r="P1301" s="9">
        <v>15321</v>
      </c>
      <c r="Q1301" s="20">
        <v>8</v>
      </c>
      <c r="R1301" s="9" t="s">
        <v>758</v>
      </c>
      <c r="S1301" s="11" t="s">
        <v>762</v>
      </c>
      <c r="T1301" s="9" t="s">
        <v>644</v>
      </c>
      <c r="U1301" s="9">
        <v>1650</v>
      </c>
      <c r="Z1301" s="9" t="s">
        <v>645</v>
      </c>
      <c r="AA1301" s="9" t="s">
        <v>763</v>
      </c>
      <c r="AB1301" s="9"/>
      <c r="AC1301" s="9"/>
      <c r="AD1301" s="9"/>
      <c r="AE1301" s="9"/>
      <c r="AF1301" s="9"/>
      <c r="AG1301" s="9"/>
      <c r="AH1301" s="9"/>
      <c r="AI1301" s="9"/>
      <c r="AK1301" s="260"/>
      <c r="AO1301" s="192"/>
    </row>
    <row r="1302" spans="1:41" ht="14.25" customHeight="1" x14ac:dyDescent="0.2">
      <c r="A1302" s="5"/>
      <c r="B1302" s="4">
        <v>2</v>
      </c>
      <c r="C1302" s="4" t="s">
        <v>637</v>
      </c>
      <c r="D1302" s="4">
        <v>15322</v>
      </c>
      <c r="E1302" s="4">
        <v>2677</v>
      </c>
      <c r="F1302" s="188" t="s">
        <v>764</v>
      </c>
      <c r="G1302" s="216" t="s">
        <v>765</v>
      </c>
      <c r="H1302" s="4" t="s">
        <v>766</v>
      </c>
      <c r="I1302" s="4" t="s">
        <v>641</v>
      </c>
      <c r="J1302" s="4" t="s">
        <v>666</v>
      </c>
      <c r="K1302" s="4">
        <v>1</v>
      </c>
      <c r="L1302" s="4">
        <v>3420</v>
      </c>
      <c r="M1302" s="223"/>
      <c r="U1302"/>
      <c r="AK1302" s="260"/>
      <c r="AO1302" s="192"/>
    </row>
    <row r="1303" spans="1:41" ht="14.25" customHeight="1" x14ac:dyDescent="0.2">
      <c r="A1303" s="5"/>
      <c r="B1303" s="4">
        <v>2</v>
      </c>
      <c r="C1303" s="4" t="s">
        <v>637</v>
      </c>
      <c r="D1303" s="4">
        <v>15392</v>
      </c>
      <c r="E1303" s="4">
        <v>2678</v>
      </c>
      <c r="F1303" s="188" t="s">
        <v>767</v>
      </c>
      <c r="G1303" s="215" t="s">
        <v>768</v>
      </c>
      <c r="H1303" s="4" t="s">
        <v>769</v>
      </c>
      <c r="I1303" s="4" t="s">
        <v>641</v>
      </c>
      <c r="J1303" s="4" t="s">
        <v>642</v>
      </c>
      <c r="K1303" s="4">
        <v>1</v>
      </c>
      <c r="L1303" s="4">
        <v>3421</v>
      </c>
      <c r="M1303" s="6">
        <v>49.115639999999999</v>
      </c>
      <c r="N1303" s="9">
        <v>-120.86744</v>
      </c>
      <c r="O1303" s="9" t="s">
        <v>142</v>
      </c>
      <c r="P1303" s="9">
        <v>15392</v>
      </c>
      <c r="Q1303" s="20">
        <v>5</v>
      </c>
      <c r="R1303" s="9" t="s">
        <v>767</v>
      </c>
      <c r="S1303" s="11" t="s">
        <v>770</v>
      </c>
      <c r="T1303" s="9" t="s">
        <v>644</v>
      </c>
      <c r="U1303" s="9">
        <v>1340</v>
      </c>
      <c r="Z1303" s="9" t="s">
        <v>645</v>
      </c>
      <c r="AA1303" s="9" t="s">
        <v>771</v>
      </c>
      <c r="AB1303" s="9"/>
      <c r="AC1303" s="21"/>
      <c r="AD1303" s="9"/>
      <c r="AE1303" s="9"/>
      <c r="AF1303" s="9"/>
      <c r="AG1303" s="9"/>
      <c r="AH1303" s="9"/>
      <c r="AI1303" s="9"/>
      <c r="AK1303" s="260"/>
      <c r="AO1303" s="192"/>
    </row>
    <row r="1304" spans="1:41" ht="14.25" customHeight="1" x14ac:dyDescent="0.2">
      <c r="A1304" s="5"/>
      <c r="B1304" s="4">
        <v>2</v>
      </c>
      <c r="C1304" s="4" t="s">
        <v>637</v>
      </c>
      <c r="D1304" s="4">
        <v>21091</v>
      </c>
      <c r="E1304" s="4">
        <v>2680</v>
      </c>
      <c r="F1304" s="188" t="s">
        <v>780</v>
      </c>
      <c r="G1304" s="215" t="s">
        <v>781</v>
      </c>
      <c r="H1304" s="4" t="s">
        <v>782</v>
      </c>
      <c r="I1304" s="4" t="s">
        <v>641</v>
      </c>
      <c r="J1304" s="4" t="s">
        <v>642</v>
      </c>
      <c r="K1304" s="4">
        <v>1</v>
      </c>
      <c r="L1304" s="4">
        <v>3423</v>
      </c>
      <c r="M1304" s="193">
        <v>50.52861</v>
      </c>
      <c r="N1304" s="4">
        <v>-120.47833</v>
      </c>
      <c r="O1304" s="4" t="s">
        <v>142</v>
      </c>
      <c r="P1304" s="9">
        <v>21091</v>
      </c>
      <c r="Q1304" s="20">
        <v>5</v>
      </c>
      <c r="R1304" s="9" t="s">
        <v>780</v>
      </c>
      <c r="S1304" s="11" t="s">
        <v>783</v>
      </c>
      <c r="T1304" s="9" t="s">
        <v>644</v>
      </c>
      <c r="U1304" s="9">
        <v>1300</v>
      </c>
      <c r="Z1304" s="9" t="s">
        <v>645</v>
      </c>
      <c r="AA1304" s="9" t="s">
        <v>784</v>
      </c>
      <c r="AB1304" s="9"/>
      <c r="AC1304" s="21"/>
      <c r="AD1304" s="9"/>
      <c r="AE1304" s="9"/>
      <c r="AF1304" s="9"/>
      <c r="AG1304" s="9"/>
      <c r="AH1304" s="9"/>
      <c r="AI1304" s="9"/>
      <c r="AK1304" s="260"/>
      <c r="AO1304" s="192"/>
    </row>
    <row r="1305" spans="1:41" ht="14.25" customHeight="1" x14ac:dyDescent="0.2">
      <c r="A1305" s="5"/>
      <c r="B1305" s="4">
        <v>2</v>
      </c>
      <c r="C1305" s="4" t="s">
        <v>637</v>
      </c>
      <c r="D1305" s="4">
        <v>21123</v>
      </c>
      <c r="E1305" s="4">
        <v>2682</v>
      </c>
      <c r="F1305" s="4" t="s">
        <v>785</v>
      </c>
      <c r="G1305" s="22" t="s">
        <v>786</v>
      </c>
      <c r="H1305" s="4" t="s">
        <v>787</v>
      </c>
      <c r="I1305" s="4" t="s">
        <v>641</v>
      </c>
      <c r="J1305" s="4" t="s">
        <v>755</v>
      </c>
      <c r="K1305" s="4">
        <v>1</v>
      </c>
      <c r="L1305" s="4">
        <v>3425</v>
      </c>
      <c r="M1305" s="6">
        <v>51.113329999999998</v>
      </c>
      <c r="N1305" s="9">
        <v>-120.13556</v>
      </c>
      <c r="O1305" s="9" t="s">
        <v>142</v>
      </c>
      <c r="P1305" s="9">
        <v>21123</v>
      </c>
      <c r="Q1305" s="20">
        <v>1</v>
      </c>
      <c r="R1305" s="9" t="s">
        <v>785</v>
      </c>
      <c r="S1305" s="11" t="s">
        <v>788</v>
      </c>
      <c r="T1305" s="9" t="s">
        <v>644</v>
      </c>
      <c r="U1305" s="9">
        <v>390</v>
      </c>
      <c r="Z1305" s="9" t="s">
        <v>645</v>
      </c>
      <c r="AA1305" s="9" t="s">
        <v>789</v>
      </c>
      <c r="AB1305" s="9"/>
      <c r="AC1305" s="21"/>
      <c r="AD1305" s="9"/>
      <c r="AE1305" s="9"/>
      <c r="AF1305" s="9"/>
      <c r="AG1305" s="9"/>
      <c r="AH1305" s="9"/>
      <c r="AI1305" s="9"/>
      <c r="AK1305" s="260"/>
    </row>
    <row r="1306" spans="1:41" ht="14.25" customHeight="1" x14ac:dyDescent="0.2">
      <c r="A1306" s="5"/>
      <c r="B1306" s="4">
        <v>2</v>
      </c>
      <c r="C1306" s="4" t="s">
        <v>637</v>
      </c>
      <c r="D1306" s="4">
        <v>22095</v>
      </c>
      <c r="E1306" s="4">
        <v>12465</v>
      </c>
      <c r="F1306" s="4" t="s">
        <v>797</v>
      </c>
      <c r="G1306" s="215" t="s">
        <v>798</v>
      </c>
      <c r="H1306" s="4" t="s">
        <v>709</v>
      </c>
      <c r="I1306" s="4" t="s">
        <v>49</v>
      </c>
      <c r="J1306" s="4" t="s">
        <v>799</v>
      </c>
      <c r="K1306" s="4">
        <v>1</v>
      </c>
      <c r="L1306" s="4">
        <v>14487</v>
      </c>
      <c r="M1306" s="6">
        <v>50.789580000000001</v>
      </c>
      <c r="N1306" s="9">
        <v>-119.07934</v>
      </c>
      <c r="O1306" s="9" t="s">
        <v>170</v>
      </c>
      <c r="P1306" s="224">
        <v>22095</v>
      </c>
      <c r="Q1306" s="20">
        <v>1</v>
      </c>
      <c r="R1306" s="9" t="s">
        <v>797</v>
      </c>
      <c r="S1306" s="11" t="s">
        <v>800</v>
      </c>
      <c r="T1306" s="9" t="s">
        <v>644</v>
      </c>
      <c r="U1306" s="9">
        <v>420</v>
      </c>
      <c r="Z1306" s="9"/>
      <c r="AA1306" s="9" t="s">
        <v>801</v>
      </c>
      <c r="AB1306" s="9"/>
      <c r="AC1306" s="9"/>
      <c r="AD1306" s="9"/>
      <c r="AE1306" s="9"/>
      <c r="AF1306" s="9"/>
      <c r="AG1306" s="9"/>
      <c r="AH1306" s="9"/>
      <c r="AI1306" s="9"/>
      <c r="AK1306" s="260"/>
    </row>
    <row r="1307" spans="1:41" ht="14.25" customHeight="1" x14ac:dyDescent="0.2">
      <c r="A1307" s="5"/>
      <c r="B1307" s="4">
        <v>2</v>
      </c>
      <c r="C1307" s="4" t="s">
        <v>637</v>
      </c>
      <c r="D1307" s="4">
        <v>22096</v>
      </c>
      <c r="E1307" s="4">
        <v>2687</v>
      </c>
      <c r="F1307" s="4" t="s">
        <v>802</v>
      </c>
      <c r="G1307" s="215" t="s">
        <v>803</v>
      </c>
      <c r="H1307" s="4" t="s">
        <v>804</v>
      </c>
      <c r="I1307" s="4" t="s">
        <v>641</v>
      </c>
      <c r="J1307" s="4" t="s">
        <v>755</v>
      </c>
      <c r="K1307" s="4">
        <v>1</v>
      </c>
      <c r="L1307" s="4">
        <v>3430</v>
      </c>
      <c r="M1307" s="6">
        <v>50.934170000000002</v>
      </c>
      <c r="N1307" s="9">
        <v>-118.78861000000001</v>
      </c>
      <c r="O1307" s="9" t="s">
        <v>170</v>
      </c>
      <c r="P1307" s="9">
        <v>22096</v>
      </c>
      <c r="Q1307" s="20">
        <v>1</v>
      </c>
      <c r="R1307" s="9" t="s">
        <v>802</v>
      </c>
      <c r="S1307" s="11" t="s">
        <v>805</v>
      </c>
      <c r="T1307" s="9" t="s">
        <v>644</v>
      </c>
      <c r="U1307" s="9">
        <v>335</v>
      </c>
      <c r="Z1307" s="9" t="s">
        <v>645</v>
      </c>
      <c r="AA1307" s="9" t="s">
        <v>806</v>
      </c>
      <c r="AB1307" s="9"/>
      <c r="AC1307" s="21"/>
      <c r="AD1307" s="9"/>
      <c r="AE1307" s="9"/>
      <c r="AF1307" s="9"/>
      <c r="AG1307" s="9"/>
      <c r="AH1307" s="9"/>
      <c r="AI1307" s="9"/>
      <c r="AK1307" s="260"/>
    </row>
    <row r="1308" spans="1:41" ht="14.25" customHeight="1" x14ac:dyDescent="0.2">
      <c r="A1308" s="5"/>
      <c r="B1308" s="4">
        <v>2</v>
      </c>
      <c r="C1308" s="4" t="s">
        <v>637</v>
      </c>
      <c r="D1308" s="4">
        <v>22123</v>
      </c>
      <c r="E1308" s="4">
        <v>2689</v>
      </c>
      <c r="F1308" s="4" t="s">
        <v>807</v>
      </c>
      <c r="G1308" s="215" t="s">
        <v>808</v>
      </c>
      <c r="H1308" s="4" t="s">
        <v>809</v>
      </c>
      <c r="I1308" s="4" t="s">
        <v>641</v>
      </c>
      <c r="J1308" s="4" t="s">
        <v>755</v>
      </c>
      <c r="K1308" s="4">
        <v>1</v>
      </c>
      <c r="L1308" s="4">
        <v>3432</v>
      </c>
      <c r="M1308" s="6">
        <v>50.872779999999999</v>
      </c>
      <c r="N1308" s="9">
        <v>-119.57111</v>
      </c>
      <c r="O1308" s="9" t="s">
        <v>142</v>
      </c>
      <c r="P1308" s="9">
        <v>22123</v>
      </c>
      <c r="Q1308" s="20">
        <v>1</v>
      </c>
      <c r="R1308" s="9" t="s">
        <v>807</v>
      </c>
      <c r="S1308" s="11" t="s">
        <v>810</v>
      </c>
      <c r="T1308" s="9" t="s">
        <v>644</v>
      </c>
      <c r="U1308" s="9">
        <v>366</v>
      </c>
      <c r="Z1308" s="9"/>
      <c r="AA1308" s="9" t="s">
        <v>811</v>
      </c>
      <c r="AB1308" s="9"/>
      <c r="AC1308" s="21"/>
      <c r="AD1308" s="9"/>
      <c r="AE1308" s="9"/>
      <c r="AF1308" s="9"/>
      <c r="AG1308" s="9"/>
      <c r="AH1308" s="9"/>
      <c r="AI1308" s="9"/>
      <c r="AK1308" s="260"/>
    </row>
    <row r="1309" spans="1:41" ht="14.25" customHeight="1" x14ac:dyDescent="0.2">
      <c r="A1309" s="5"/>
      <c r="B1309" s="4">
        <v>2</v>
      </c>
      <c r="C1309" s="4" t="s">
        <v>637</v>
      </c>
      <c r="D1309" s="4">
        <v>23097</v>
      </c>
      <c r="E1309" s="4">
        <v>2690</v>
      </c>
      <c r="F1309" s="4" t="s">
        <v>812</v>
      </c>
      <c r="G1309" s="215" t="s">
        <v>813</v>
      </c>
      <c r="H1309" s="4" t="s">
        <v>814</v>
      </c>
      <c r="I1309" s="4" t="s">
        <v>641</v>
      </c>
      <c r="J1309" s="4" t="s">
        <v>755</v>
      </c>
      <c r="K1309" s="4">
        <v>1</v>
      </c>
      <c r="L1309" s="4">
        <v>3433</v>
      </c>
      <c r="M1309" s="222">
        <v>50.211199999999998</v>
      </c>
      <c r="N1309" s="201">
        <v>-119.30607000000001</v>
      </c>
      <c r="O1309" s="9" t="s">
        <v>142</v>
      </c>
      <c r="P1309" s="9">
        <v>23097</v>
      </c>
      <c r="Q1309" s="20">
        <v>1</v>
      </c>
      <c r="R1309" s="9" t="s">
        <v>812</v>
      </c>
      <c r="S1309" s="11" t="s">
        <v>815</v>
      </c>
      <c r="T1309" s="9" t="s">
        <v>644</v>
      </c>
      <c r="U1309" s="9">
        <v>570</v>
      </c>
      <c r="Z1309" s="9" t="s">
        <v>645</v>
      </c>
      <c r="AA1309" s="9" t="s">
        <v>816</v>
      </c>
      <c r="AB1309" s="9"/>
      <c r="AC1309" s="21"/>
      <c r="AD1309" s="9"/>
      <c r="AE1309" s="9"/>
      <c r="AF1309" s="9"/>
      <c r="AG1309" s="9"/>
      <c r="AH1309" s="9"/>
      <c r="AI1309" s="9"/>
      <c r="AK1309" s="260"/>
    </row>
    <row r="1310" spans="1:41" ht="14.25" customHeight="1" x14ac:dyDescent="0.2">
      <c r="A1310" s="5"/>
      <c r="B1310" s="4">
        <v>2</v>
      </c>
      <c r="C1310" s="4" t="s">
        <v>637</v>
      </c>
      <c r="D1310" s="4">
        <v>24093</v>
      </c>
      <c r="E1310" s="4">
        <v>12466</v>
      </c>
      <c r="F1310" s="188" t="s">
        <v>817</v>
      </c>
      <c r="G1310" s="215" t="s">
        <v>818</v>
      </c>
      <c r="H1310" s="4" t="s">
        <v>709</v>
      </c>
      <c r="I1310" s="4" t="s">
        <v>49</v>
      </c>
      <c r="J1310" s="4" t="s">
        <v>819</v>
      </c>
      <c r="K1310" s="4">
        <v>1</v>
      </c>
      <c r="L1310" s="4">
        <v>14488</v>
      </c>
      <c r="M1310" s="6">
        <v>49.40616</v>
      </c>
      <c r="N1310" s="9">
        <v>-120.26299</v>
      </c>
      <c r="O1310" s="9" t="s">
        <v>142</v>
      </c>
      <c r="P1310" s="9">
        <v>24093</v>
      </c>
      <c r="Q1310" s="20">
        <v>1</v>
      </c>
      <c r="R1310" s="9" t="s">
        <v>817</v>
      </c>
      <c r="S1310" s="11" t="s">
        <v>820</v>
      </c>
      <c r="T1310" s="9" t="s">
        <v>644</v>
      </c>
      <c r="U1310" s="9">
        <v>566</v>
      </c>
      <c r="Z1310" s="9"/>
      <c r="AA1310" s="9" t="s">
        <v>821</v>
      </c>
      <c r="AB1310" s="9"/>
      <c r="AC1310" s="9"/>
      <c r="AD1310" s="9"/>
      <c r="AE1310" s="9"/>
      <c r="AF1310" s="9"/>
      <c r="AG1310" s="9"/>
      <c r="AH1310" s="9"/>
      <c r="AI1310" s="9"/>
      <c r="AK1310" s="260"/>
      <c r="AO1310" s="192"/>
    </row>
    <row r="1311" spans="1:41" ht="14.25" customHeight="1" x14ac:dyDescent="0.2">
      <c r="A1311" s="5"/>
      <c r="B1311" s="4">
        <v>2</v>
      </c>
      <c r="C1311" s="4" t="s">
        <v>637</v>
      </c>
      <c r="D1311" s="4">
        <v>24126</v>
      </c>
      <c r="E1311" s="4">
        <v>2696</v>
      </c>
      <c r="F1311" s="188" t="s">
        <v>822</v>
      </c>
      <c r="G1311" s="215" t="s">
        <v>823</v>
      </c>
      <c r="H1311" s="4" t="s">
        <v>824</v>
      </c>
      <c r="I1311" s="4" t="s">
        <v>641</v>
      </c>
      <c r="J1311" s="4" t="s">
        <v>825</v>
      </c>
      <c r="K1311" s="4">
        <v>1</v>
      </c>
      <c r="L1311" s="4">
        <v>3439</v>
      </c>
      <c r="M1311" s="193">
        <v>49.396389999999997</v>
      </c>
      <c r="N1311" s="201">
        <v>-119.9008</v>
      </c>
      <c r="O1311" s="4" t="s">
        <v>142</v>
      </c>
      <c r="P1311" s="4">
        <v>24126</v>
      </c>
      <c r="Q1311" s="4">
        <v>8</v>
      </c>
      <c r="R1311" s="4" t="s">
        <v>822</v>
      </c>
      <c r="S1311" s="4" t="s">
        <v>826</v>
      </c>
      <c r="T1311" s="4" t="s">
        <v>644</v>
      </c>
      <c r="U1311" s="201">
        <v>1700</v>
      </c>
      <c r="Z1311" s="4" t="s">
        <v>645</v>
      </c>
      <c r="AA1311" s="4" t="s">
        <v>827</v>
      </c>
      <c r="AK1311" s="260"/>
      <c r="AO1311" s="192"/>
    </row>
    <row r="1312" spans="1:41" ht="14.25" customHeight="1" x14ac:dyDescent="0.2">
      <c r="A1312" s="5"/>
      <c r="B1312" s="4">
        <v>2</v>
      </c>
      <c r="C1312" s="4" t="s">
        <v>637</v>
      </c>
      <c r="D1312" s="4">
        <v>24191</v>
      </c>
      <c r="E1312" s="4">
        <v>12467</v>
      </c>
      <c r="F1312" s="188" t="s">
        <v>828</v>
      </c>
      <c r="G1312" s="215" t="s">
        <v>829</v>
      </c>
      <c r="H1312" s="4" t="s">
        <v>709</v>
      </c>
      <c r="I1312" s="4" t="s">
        <v>49</v>
      </c>
      <c r="J1312" s="4" t="s">
        <v>830</v>
      </c>
      <c r="K1312" s="4">
        <v>1</v>
      </c>
      <c r="L1312" s="4">
        <v>14489</v>
      </c>
      <c r="M1312" s="222">
        <v>49.396929999999998</v>
      </c>
      <c r="N1312" s="201">
        <v>-119.9008</v>
      </c>
      <c r="P1312" s="201">
        <v>24191</v>
      </c>
      <c r="R1312" s="201" t="s">
        <v>828</v>
      </c>
      <c r="U1312" s="201">
        <v>780</v>
      </c>
      <c r="AA1312" s="201" t="s">
        <v>831</v>
      </c>
      <c r="AK1312" s="260"/>
      <c r="AO1312" s="192"/>
    </row>
    <row r="1313" spans="1:41" ht="14.25" customHeight="1" x14ac:dyDescent="0.2">
      <c r="A1313" s="5"/>
      <c r="B1313" s="4">
        <v>2</v>
      </c>
      <c r="C1313" s="4" t="s">
        <v>637</v>
      </c>
      <c r="D1313" s="4">
        <v>24225</v>
      </c>
      <c r="E1313" s="4">
        <v>2698</v>
      </c>
      <c r="F1313" s="188" t="s">
        <v>832</v>
      </c>
      <c r="G1313" s="19" t="s">
        <v>833</v>
      </c>
      <c r="H1313" s="4" t="s">
        <v>834</v>
      </c>
      <c r="I1313" s="4" t="s">
        <v>641</v>
      </c>
      <c r="J1313" s="4" t="s">
        <v>755</v>
      </c>
      <c r="K1313" s="4">
        <v>1</v>
      </c>
      <c r="L1313" s="4">
        <v>3441</v>
      </c>
      <c r="M1313" s="222">
        <v>49.476190000000003</v>
      </c>
      <c r="N1313" s="201">
        <v>-120.62430999999999</v>
      </c>
      <c r="O1313" s="9" t="s">
        <v>142</v>
      </c>
      <c r="P1313" s="9">
        <v>24225</v>
      </c>
      <c r="Q1313" s="20">
        <v>2</v>
      </c>
      <c r="R1313" s="9" t="s">
        <v>832</v>
      </c>
      <c r="S1313" s="11" t="s">
        <v>835</v>
      </c>
      <c r="T1313" s="9" t="s">
        <v>644</v>
      </c>
      <c r="U1313" s="9">
        <v>830</v>
      </c>
      <c r="Z1313" s="9"/>
      <c r="AA1313" s="9" t="s">
        <v>836</v>
      </c>
      <c r="AB1313" s="9"/>
      <c r="AC1313" s="9"/>
      <c r="AD1313" s="9"/>
      <c r="AE1313" s="9"/>
      <c r="AF1313" s="9"/>
      <c r="AG1313" s="9"/>
      <c r="AH1313" s="9"/>
      <c r="AI1313" s="9"/>
      <c r="AK1313" s="260"/>
    </row>
    <row r="1314" spans="1:41" ht="14.25" customHeight="1" x14ac:dyDescent="0.2">
      <c r="A1314" s="5"/>
      <c r="B1314" s="4">
        <v>2</v>
      </c>
      <c r="C1314" s="4" t="s">
        <v>637</v>
      </c>
      <c r="D1314" s="4">
        <v>25092</v>
      </c>
      <c r="E1314" s="4">
        <v>2702</v>
      </c>
      <c r="F1314" s="4" t="s">
        <v>837</v>
      </c>
      <c r="G1314" s="215" t="s">
        <v>838</v>
      </c>
      <c r="H1314" s="4" t="s">
        <v>839</v>
      </c>
      <c r="I1314" s="4" t="s">
        <v>641</v>
      </c>
      <c r="J1314" s="4" t="s">
        <v>755</v>
      </c>
      <c r="K1314" s="4">
        <v>1</v>
      </c>
      <c r="L1314" s="4">
        <v>3445</v>
      </c>
      <c r="M1314" s="222">
        <v>50.320830000000001</v>
      </c>
      <c r="N1314" s="201">
        <v>-120.63661</v>
      </c>
      <c r="O1314" s="9" t="s">
        <v>142</v>
      </c>
      <c r="P1314" s="9">
        <v>25092</v>
      </c>
      <c r="Q1314" s="20">
        <v>5</v>
      </c>
      <c r="R1314" s="9" t="s">
        <v>840</v>
      </c>
      <c r="S1314" s="11" t="s">
        <v>841</v>
      </c>
      <c r="T1314" s="9" t="s">
        <v>644</v>
      </c>
      <c r="U1314" s="9">
        <v>1385</v>
      </c>
      <c r="Z1314" s="9" t="s">
        <v>645</v>
      </c>
      <c r="AA1314" s="9" t="s">
        <v>842</v>
      </c>
      <c r="AB1314" s="9"/>
      <c r="AC1314" s="21"/>
      <c r="AD1314" s="9"/>
      <c r="AE1314" s="9"/>
      <c r="AF1314" s="9"/>
      <c r="AG1314" s="9"/>
      <c r="AH1314" s="9"/>
      <c r="AI1314" s="9"/>
      <c r="AK1314" s="260"/>
    </row>
    <row r="1315" spans="1:41" ht="14.25" customHeight="1" x14ac:dyDescent="0.2">
      <c r="A1315" s="5"/>
      <c r="B1315" s="4">
        <v>2</v>
      </c>
      <c r="C1315" s="4" t="s">
        <v>637</v>
      </c>
      <c r="D1315" s="4">
        <v>25093</v>
      </c>
      <c r="E1315" s="4">
        <v>2703</v>
      </c>
      <c r="F1315" s="4" t="s">
        <v>843</v>
      </c>
      <c r="G1315" s="19" t="s">
        <v>844</v>
      </c>
      <c r="H1315" s="4" t="s">
        <v>845</v>
      </c>
      <c r="I1315" s="4" t="s">
        <v>641</v>
      </c>
      <c r="J1315" s="4" t="s">
        <v>755</v>
      </c>
      <c r="K1315" s="4">
        <v>1</v>
      </c>
      <c r="L1315" s="4">
        <v>3446</v>
      </c>
      <c r="M1315" s="6">
        <v>49.831110000000002</v>
      </c>
      <c r="N1315" s="9">
        <v>-120.935</v>
      </c>
      <c r="O1315" s="9" t="s">
        <v>142</v>
      </c>
      <c r="P1315" s="9">
        <v>25093</v>
      </c>
      <c r="Q1315" s="20">
        <v>3</v>
      </c>
      <c r="R1315" s="9" t="s">
        <v>843</v>
      </c>
      <c r="S1315" s="11" t="s">
        <v>846</v>
      </c>
      <c r="T1315" s="9" t="s">
        <v>644</v>
      </c>
      <c r="U1315" s="9">
        <v>1060</v>
      </c>
      <c r="Z1315" s="9" t="s">
        <v>645</v>
      </c>
      <c r="AA1315" s="9" t="s">
        <v>847</v>
      </c>
      <c r="AB1315" s="9"/>
      <c r="AC1315" s="21"/>
      <c r="AD1315" s="9"/>
      <c r="AE1315" s="9"/>
      <c r="AF1315" s="9"/>
      <c r="AG1315" s="9"/>
      <c r="AH1315" s="9"/>
      <c r="AI1315" s="9"/>
      <c r="AK1315" s="260"/>
    </row>
    <row r="1316" spans="1:41" ht="14.25" customHeight="1" x14ac:dyDescent="0.2">
      <c r="A1316" s="5"/>
      <c r="B1316" s="4">
        <v>2</v>
      </c>
      <c r="C1316" s="4" t="s">
        <v>637</v>
      </c>
      <c r="D1316" s="4">
        <v>25094</v>
      </c>
      <c r="E1316" s="4">
        <v>12505</v>
      </c>
      <c r="F1316" s="4" t="s">
        <v>848</v>
      </c>
      <c r="G1316" s="19" t="s">
        <v>849</v>
      </c>
      <c r="H1316" s="4" t="s">
        <v>679</v>
      </c>
      <c r="I1316" s="4" t="s">
        <v>49</v>
      </c>
      <c r="J1316" s="4" t="s">
        <v>850</v>
      </c>
      <c r="K1316" s="4">
        <v>1</v>
      </c>
      <c r="L1316" s="4">
        <v>14527</v>
      </c>
      <c r="M1316" s="6">
        <v>50.439990000000002</v>
      </c>
      <c r="N1316" s="9">
        <v>-120.59869999999999</v>
      </c>
      <c r="O1316" s="9" t="s">
        <v>142</v>
      </c>
      <c r="P1316" s="9">
        <v>25094</v>
      </c>
      <c r="Q1316" s="20">
        <v>5</v>
      </c>
      <c r="R1316" s="9" t="s">
        <v>848</v>
      </c>
      <c r="S1316" s="11" t="s">
        <v>851</v>
      </c>
      <c r="T1316" s="9" t="s">
        <v>644</v>
      </c>
      <c r="U1316" s="9">
        <v>1300</v>
      </c>
      <c r="Z1316" s="9"/>
      <c r="AA1316" s="9" t="s">
        <v>852</v>
      </c>
      <c r="AB1316" s="9"/>
      <c r="AC1316" s="9"/>
      <c r="AD1316" s="9"/>
      <c r="AE1316" s="9"/>
      <c r="AF1316" s="9"/>
      <c r="AG1316" s="9"/>
      <c r="AH1316" s="9"/>
      <c r="AI1316" s="9"/>
      <c r="AK1316" s="260"/>
    </row>
    <row r="1317" spans="1:41" ht="14.25" customHeight="1" x14ac:dyDescent="0.2">
      <c r="A1317" s="5"/>
      <c r="B1317" s="4">
        <v>2</v>
      </c>
      <c r="C1317" s="4" t="s">
        <v>637</v>
      </c>
      <c r="D1317" s="4">
        <v>25095</v>
      </c>
      <c r="E1317" s="4">
        <v>12506</v>
      </c>
      <c r="F1317" s="4" t="s">
        <v>853</v>
      </c>
      <c r="G1317" s="215" t="s">
        <v>854</v>
      </c>
      <c r="H1317" s="4" t="s">
        <v>679</v>
      </c>
      <c r="I1317" s="4" t="s">
        <v>49</v>
      </c>
      <c r="J1317" s="4" t="s">
        <v>855</v>
      </c>
      <c r="K1317" s="4">
        <v>1</v>
      </c>
      <c r="L1317" s="4">
        <v>14528</v>
      </c>
      <c r="M1317" s="6">
        <v>50.017490000000002</v>
      </c>
      <c r="N1317" s="9">
        <v>-120.83608</v>
      </c>
      <c r="O1317" s="9" t="s">
        <v>142</v>
      </c>
      <c r="P1317" s="9">
        <v>25095</v>
      </c>
      <c r="Q1317" s="20">
        <v>2</v>
      </c>
      <c r="R1317" s="9" t="s">
        <v>853</v>
      </c>
      <c r="S1317" s="11" t="s">
        <v>856</v>
      </c>
      <c r="T1317" s="9" t="s">
        <v>644</v>
      </c>
      <c r="U1317" s="9">
        <v>945</v>
      </c>
      <c r="Z1317" s="9"/>
      <c r="AA1317" s="9" t="s">
        <v>857</v>
      </c>
      <c r="AB1317" s="9"/>
      <c r="AC1317" s="9"/>
      <c r="AD1317" s="9"/>
      <c r="AE1317" s="9"/>
      <c r="AF1317" s="9"/>
      <c r="AG1317" s="9"/>
      <c r="AH1317" s="9"/>
      <c r="AI1317" s="9"/>
      <c r="AK1317" s="260"/>
    </row>
    <row r="1318" spans="1:41" ht="14.25" customHeight="1" x14ac:dyDescent="0.2">
      <c r="A1318" s="5"/>
      <c r="B1318" s="4">
        <v>2</v>
      </c>
      <c r="C1318" s="4" t="s">
        <v>637</v>
      </c>
      <c r="D1318" s="4">
        <v>25221</v>
      </c>
      <c r="E1318" s="4">
        <v>2710</v>
      </c>
      <c r="F1318" s="4" t="s">
        <v>858</v>
      </c>
      <c r="G1318" s="22" t="s">
        <v>859</v>
      </c>
      <c r="H1318" s="4" t="s">
        <v>860</v>
      </c>
      <c r="I1318" s="4" t="s">
        <v>641</v>
      </c>
      <c r="J1318" s="4" t="s">
        <v>861</v>
      </c>
      <c r="K1318" s="4">
        <v>1</v>
      </c>
      <c r="L1318" s="4">
        <v>3453</v>
      </c>
      <c r="M1318" s="6">
        <v>49.594059999999999</v>
      </c>
      <c r="N1318" s="201">
        <v>-121.09948</v>
      </c>
      <c r="O1318" s="9" t="s">
        <v>51</v>
      </c>
      <c r="P1318" s="9">
        <v>25221</v>
      </c>
      <c r="Q1318" s="20">
        <v>6</v>
      </c>
      <c r="R1318" s="9" t="s">
        <v>858</v>
      </c>
      <c r="S1318" s="11" t="s">
        <v>862</v>
      </c>
      <c r="T1318" s="9" t="s">
        <v>644</v>
      </c>
      <c r="U1318" s="9">
        <v>1230</v>
      </c>
      <c r="Z1318" s="9" t="s">
        <v>645</v>
      </c>
      <c r="AA1318" s="9" t="s">
        <v>863</v>
      </c>
      <c r="AB1318" s="9"/>
      <c r="AC1318" s="21"/>
      <c r="AD1318" s="9"/>
      <c r="AE1318" s="9"/>
      <c r="AF1318" s="9"/>
      <c r="AG1318" s="9"/>
      <c r="AH1318" s="9"/>
      <c r="AI1318" s="9"/>
      <c r="AK1318" s="260"/>
    </row>
    <row r="1319" spans="1:41" ht="14.25" customHeight="1" x14ac:dyDescent="0.2">
      <c r="A1319" s="5"/>
      <c r="B1319" s="4">
        <v>2</v>
      </c>
      <c r="C1319" s="4" t="s">
        <v>637</v>
      </c>
      <c r="D1319" s="4">
        <v>25223</v>
      </c>
      <c r="E1319" s="4">
        <v>2711</v>
      </c>
      <c r="F1319" s="188" t="s">
        <v>864</v>
      </c>
      <c r="G1319" s="216" t="s">
        <v>865</v>
      </c>
      <c r="H1319" s="4" t="s">
        <v>866</v>
      </c>
      <c r="I1319" s="4" t="s">
        <v>641</v>
      </c>
      <c r="J1319" s="4" t="s">
        <v>867</v>
      </c>
      <c r="K1319" s="4">
        <v>1</v>
      </c>
      <c r="L1319" s="4">
        <v>3454</v>
      </c>
      <c r="M1319" s="223"/>
      <c r="U1319"/>
      <c r="AK1319" s="260"/>
      <c r="AO1319" s="192"/>
    </row>
    <row r="1320" spans="1:41" ht="14.25" customHeight="1" x14ac:dyDescent="0.2">
      <c r="A1320" s="5"/>
      <c r="B1320" s="4">
        <v>2</v>
      </c>
      <c r="C1320" s="4" t="s">
        <v>637</v>
      </c>
      <c r="D1320" s="4">
        <v>25225</v>
      </c>
      <c r="E1320" s="4">
        <v>2712</v>
      </c>
      <c r="F1320" s="4" t="s">
        <v>868</v>
      </c>
      <c r="G1320" s="19" t="s">
        <v>869</v>
      </c>
      <c r="H1320" s="4" t="s">
        <v>870</v>
      </c>
      <c r="I1320" s="4" t="s">
        <v>641</v>
      </c>
      <c r="J1320" s="4" t="s">
        <v>871</v>
      </c>
      <c r="K1320" s="4">
        <v>1</v>
      </c>
      <c r="L1320" s="4">
        <v>3455</v>
      </c>
      <c r="M1320" s="222">
        <v>49.595820000000003</v>
      </c>
      <c r="N1320" s="201">
        <v>-121.17805</v>
      </c>
      <c r="O1320" s="9" t="s">
        <v>51</v>
      </c>
      <c r="P1320" s="9">
        <v>25225</v>
      </c>
      <c r="Q1320" s="20">
        <v>8</v>
      </c>
      <c r="R1320" s="9" t="s">
        <v>868</v>
      </c>
      <c r="S1320" s="11" t="s">
        <v>872</v>
      </c>
      <c r="T1320" s="9" t="s">
        <v>644</v>
      </c>
      <c r="U1320" s="9">
        <v>1710</v>
      </c>
      <c r="Z1320" s="9"/>
      <c r="AA1320" s="9" t="s">
        <v>873</v>
      </c>
      <c r="AB1320" s="9"/>
      <c r="AC1320" s="9"/>
      <c r="AD1320" s="9"/>
      <c r="AE1320" s="9"/>
      <c r="AF1320" s="9"/>
      <c r="AG1320" s="9"/>
      <c r="AH1320" s="9"/>
      <c r="AI1320" s="9"/>
      <c r="AK1320" s="260"/>
    </row>
    <row r="1321" spans="1:41" ht="14.25" customHeight="1" x14ac:dyDescent="0.2">
      <c r="A1321" s="5"/>
      <c r="B1321" s="4">
        <v>2</v>
      </c>
      <c r="C1321" s="4" t="s">
        <v>637</v>
      </c>
      <c r="D1321" s="4">
        <v>25226</v>
      </c>
      <c r="E1321" s="4">
        <v>2713</v>
      </c>
      <c r="F1321" s="188" t="s">
        <v>874</v>
      </c>
      <c r="G1321" s="216" t="s">
        <v>875</v>
      </c>
      <c r="H1321" s="4" t="s">
        <v>876</v>
      </c>
      <c r="I1321" s="4" t="s">
        <v>641</v>
      </c>
      <c r="J1321" s="4" t="s">
        <v>867</v>
      </c>
      <c r="K1321" s="4">
        <v>1</v>
      </c>
      <c r="L1321" s="4">
        <v>3456</v>
      </c>
      <c r="M1321" s="223"/>
      <c r="U1321"/>
      <c r="AK1321" s="260"/>
      <c r="AO1321" s="192"/>
    </row>
    <row r="1322" spans="1:41" ht="14.25" customHeight="1" x14ac:dyDescent="0.2">
      <c r="A1322" s="5"/>
      <c r="B1322" s="4">
        <v>2</v>
      </c>
      <c r="C1322" s="4" t="s">
        <v>637</v>
      </c>
      <c r="D1322" s="4">
        <v>25227</v>
      </c>
      <c r="E1322" s="4">
        <v>2714</v>
      </c>
      <c r="F1322" s="188" t="s">
        <v>877</v>
      </c>
      <c r="G1322" s="216" t="s">
        <v>878</v>
      </c>
      <c r="H1322" s="4" t="s">
        <v>866</v>
      </c>
      <c r="I1322" s="4" t="s">
        <v>641</v>
      </c>
      <c r="J1322" s="4" t="s">
        <v>879</v>
      </c>
      <c r="K1322" s="4">
        <v>1</v>
      </c>
      <c r="L1322" s="4">
        <v>3457</v>
      </c>
      <c r="M1322" s="223"/>
      <c r="U1322"/>
      <c r="AK1322" s="260"/>
      <c r="AO1322" s="192"/>
    </row>
    <row r="1323" spans="1:41" ht="14.25" customHeight="1" x14ac:dyDescent="0.2">
      <c r="A1323" s="5"/>
      <c r="B1323" s="4">
        <v>2</v>
      </c>
      <c r="C1323" s="4" t="s">
        <v>637</v>
      </c>
      <c r="D1323" s="4">
        <v>25229</v>
      </c>
      <c r="E1323" s="4">
        <v>2715</v>
      </c>
      <c r="F1323" s="188" t="s">
        <v>880</v>
      </c>
      <c r="G1323" s="271" t="s">
        <v>881</v>
      </c>
      <c r="H1323" s="4" t="s">
        <v>882</v>
      </c>
      <c r="I1323" s="4" t="s">
        <v>641</v>
      </c>
      <c r="J1323" s="4" t="s">
        <v>883</v>
      </c>
      <c r="K1323" s="4">
        <v>1</v>
      </c>
      <c r="L1323" s="4">
        <v>3458</v>
      </c>
      <c r="M1323" s="222">
        <v>49.599240000000002</v>
      </c>
      <c r="N1323" s="201">
        <v>-121.17801</v>
      </c>
      <c r="O1323" s="9" t="s">
        <v>51</v>
      </c>
      <c r="P1323" s="9">
        <v>25229</v>
      </c>
      <c r="Q1323" s="20">
        <v>8</v>
      </c>
      <c r="R1323" s="9" t="s">
        <v>880</v>
      </c>
      <c r="S1323" s="11" t="s">
        <v>884</v>
      </c>
      <c r="T1323" s="9" t="s">
        <v>644</v>
      </c>
      <c r="U1323" s="9">
        <v>1660</v>
      </c>
      <c r="Z1323" s="9"/>
      <c r="AA1323" s="9" t="s">
        <v>885</v>
      </c>
      <c r="AB1323" s="9"/>
      <c r="AC1323" s="9"/>
      <c r="AD1323" s="9"/>
      <c r="AE1323" s="9"/>
      <c r="AF1323" s="9"/>
      <c r="AG1323" s="9"/>
      <c r="AH1323" s="9"/>
      <c r="AI1323" s="9"/>
      <c r="AK1323" s="260"/>
      <c r="AO1323" s="192"/>
    </row>
    <row r="1324" spans="1:41" ht="14.25" customHeight="1" x14ac:dyDescent="0.2">
      <c r="A1324" s="5"/>
      <c r="B1324" s="4">
        <v>2</v>
      </c>
      <c r="C1324" s="188" t="s">
        <v>637</v>
      </c>
      <c r="D1324" s="4">
        <v>26123</v>
      </c>
      <c r="E1324" s="4">
        <v>2722</v>
      </c>
      <c r="F1324" s="4" t="s">
        <v>886</v>
      </c>
      <c r="G1324" s="22" t="s">
        <v>887</v>
      </c>
      <c r="H1324" s="4" t="s">
        <v>888</v>
      </c>
      <c r="I1324" s="4" t="s">
        <v>641</v>
      </c>
      <c r="J1324" s="4" t="s">
        <v>674</v>
      </c>
      <c r="K1324" s="4">
        <v>1</v>
      </c>
      <c r="L1324" s="4">
        <v>3465</v>
      </c>
      <c r="M1324" s="223"/>
      <c r="U1324"/>
      <c r="AK1324" s="260"/>
    </row>
    <row r="1325" spans="1:41" ht="14.25" customHeight="1" x14ac:dyDescent="0.2">
      <c r="A1325" s="5"/>
      <c r="B1325" s="4">
        <v>2</v>
      </c>
      <c r="C1325" s="4" t="s">
        <v>637</v>
      </c>
      <c r="D1325" s="4">
        <v>26124</v>
      </c>
      <c r="E1325" s="4">
        <v>11022</v>
      </c>
      <c r="F1325" s="4" t="s">
        <v>889</v>
      </c>
      <c r="G1325" s="215" t="s">
        <v>890</v>
      </c>
      <c r="H1325" s="4" t="s">
        <v>891</v>
      </c>
      <c r="I1325" s="4" t="s">
        <v>49</v>
      </c>
      <c r="J1325" s="4" t="s">
        <v>710</v>
      </c>
      <c r="K1325" s="4">
        <v>1</v>
      </c>
      <c r="L1325" s="4">
        <v>13190</v>
      </c>
      <c r="M1325" s="6">
        <v>50.813859999999998</v>
      </c>
      <c r="N1325" s="9">
        <v>-122.18831</v>
      </c>
      <c r="O1325" s="9" t="s">
        <v>142</v>
      </c>
      <c r="P1325" s="9">
        <v>26124</v>
      </c>
      <c r="Q1325" s="20">
        <v>3</v>
      </c>
      <c r="R1325" s="9" t="s">
        <v>889</v>
      </c>
      <c r="S1325" s="11" t="s">
        <v>892</v>
      </c>
      <c r="T1325" s="9" t="s">
        <v>644</v>
      </c>
      <c r="U1325" s="9">
        <v>1070</v>
      </c>
      <c r="Z1325" s="9"/>
      <c r="AA1325" s="9" t="s">
        <v>893</v>
      </c>
      <c r="AB1325" s="9"/>
      <c r="AC1325" s="9"/>
      <c r="AD1325" s="9"/>
      <c r="AE1325" s="9"/>
      <c r="AF1325" s="9"/>
      <c r="AG1325" s="9"/>
      <c r="AH1325" s="9"/>
      <c r="AI1325" s="9"/>
      <c r="AK1325" s="260"/>
    </row>
    <row r="1326" spans="1:41" ht="14.25" customHeight="1" x14ac:dyDescent="0.2">
      <c r="A1326" s="5"/>
      <c r="B1326" s="4">
        <v>2</v>
      </c>
      <c r="C1326" s="4" t="s">
        <v>637</v>
      </c>
      <c r="D1326" s="4">
        <v>26125</v>
      </c>
      <c r="E1326" s="4">
        <v>12468</v>
      </c>
      <c r="F1326" s="188" t="s">
        <v>894</v>
      </c>
      <c r="G1326" s="215" t="s">
        <v>895</v>
      </c>
      <c r="H1326" s="4" t="s">
        <v>709</v>
      </c>
      <c r="I1326" s="4" t="s">
        <v>49</v>
      </c>
      <c r="J1326" s="4" t="s">
        <v>896</v>
      </c>
      <c r="K1326" s="4">
        <v>1</v>
      </c>
      <c r="L1326" s="4">
        <v>14490</v>
      </c>
      <c r="M1326" s="6">
        <v>50.854419999999998</v>
      </c>
      <c r="N1326" s="9">
        <v>-122.83625000000001</v>
      </c>
      <c r="O1326" s="9" t="s">
        <v>142</v>
      </c>
      <c r="P1326" s="9">
        <v>26125</v>
      </c>
      <c r="Q1326" s="20">
        <v>1</v>
      </c>
      <c r="R1326" s="9" t="s">
        <v>897</v>
      </c>
      <c r="S1326" s="11" t="s">
        <v>898</v>
      </c>
      <c r="T1326" s="9" t="s">
        <v>644</v>
      </c>
      <c r="U1326" s="9">
        <v>685</v>
      </c>
      <c r="Z1326" s="9"/>
      <c r="AA1326" s="9" t="s">
        <v>899</v>
      </c>
      <c r="AB1326" s="9"/>
      <c r="AC1326" s="9"/>
      <c r="AD1326" s="9"/>
      <c r="AE1326" s="9"/>
      <c r="AF1326" s="9"/>
      <c r="AG1326" s="9"/>
      <c r="AH1326" s="9"/>
      <c r="AI1326" s="9"/>
      <c r="AK1326" s="260"/>
      <c r="AO1326" s="192"/>
    </row>
    <row r="1327" spans="1:41" ht="14.25" customHeight="1" x14ac:dyDescent="0.2">
      <c r="A1327" s="5"/>
      <c r="B1327" s="4">
        <v>2</v>
      </c>
      <c r="C1327" s="4" t="s">
        <v>637</v>
      </c>
      <c r="D1327" s="4">
        <v>26221</v>
      </c>
      <c r="E1327" s="4">
        <v>2731</v>
      </c>
      <c r="F1327" s="4" t="s">
        <v>900</v>
      </c>
      <c r="G1327" s="215" t="s">
        <v>901</v>
      </c>
      <c r="H1327" s="4" t="s">
        <v>902</v>
      </c>
      <c r="I1327" s="4" t="s">
        <v>641</v>
      </c>
      <c r="J1327" s="4" t="s">
        <v>903</v>
      </c>
      <c r="K1327" s="4">
        <v>1</v>
      </c>
      <c r="L1327" s="4">
        <v>3474</v>
      </c>
      <c r="M1327" s="6">
        <v>50.406939999999999</v>
      </c>
      <c r="N1327" s="9">
        <v>-122.25556</v>
      </c>
      <c r="O1327" s="9" t="s">
        <v>142</v>
      </c>
      <c r="P1327" s="9">
        <v>26221</v>
      </c>
      <c r="Q1327" s="20">
        <v>8</v>
      </c>
      <c r="R1327" s="9" t="s">
        <v>900</v>
      </c>
      <c r="S1327" s="11" t="s">
        <v>904</v>
      </c>
      <c r="T1327" s="9" t="s">
        <v>644</v>
      </c>
      <c r="U1327" s="9">
        <v>2320</v>
      </c>
      <c r="Z1327" s="9"/>
      <c r="AA1327" s="9" t="s">
        <v>905</v>
      </c>
      <c r="AB1327" s="9"/>
      <c r="AC1327" s="9"/>
      <c r="AD1327" s="9"/>
      <c r="AE1327" s="9"/>
      <c r="AF1327" s="9"/>
      <c r="AG1327" s="9"/>
      <c r="AH1327" s="9"/>
      <c r="AI1327" s="9"/>
      <c r="AK1327" s="260"/>
    </row>
    <row r="1328" spans="1:41" ht="14.25" customHeight="1" x14ac:dyDescent="0.2">
      <c r="A1328" s="5"/>
      <c r="B1328" s="4">
        <v>2</v>
      </c>
      <c r="C1328" s="4" t="s">
        <v>637</v>
      </c>
      <c r="D1328" s="4">
        <v>26222</v>
      </c>
      <c r="E1328" s="4">
        <v>2732</v>
      </c>
      <c r="F1328" s="4" t="s">
        <v>906</v>
      </c>
      <c r="G1328" s="215" t="s">
        <v>907</v>
      </c>
      <c r="H1328" s="4" t="s">
        <v>908</v>
      </c>
      <c r="I1328" s="4" t="s">
        <v>641</v>
      </c>
      <c r="J1328" s="4" t="s">
        <v>909</v>
      </c>
      <c r="K1328" s="4">
        <v>1</v>
      </c>
      <c r="L1328" s="4">
        <v>3475</v>
      </c>
      <c r="M1328" s="6">
        <v>50.40222</v>
      </c>
      <c r="N1328" s="9">
        <v>-122.26472</v>
      </c>
      <c r="O1328" s="9" t="s">
        <v>142</v>
      </c>
      <c r="P1328" s="9">
        <v>26222</v>
      </c>
      <c r="Q1328" s="20">
        <v>8</v>
      </c>
      <c r="R1328" s="9" t="s">
        <v>906</v>
      </c>
      <c r="S1328" s="11" t="s">
        <v>910</v>
      </c>
      <c r="T1328" s="9" t="s">
        <v>644</v>
      </c>
      <c r="U1328" s="9">
        <v>1890</v>
      </c>
      <c r="Z1328" s="9"/>
      <c r="AA1328" s="9" t="s">
        <v>911</v>
      </c>
      <c r="AB1328" s="9"/>
      <c r="AC1328" s="9"/>
      <c r="AD1328" s="9"/>
      <c r="AE1328" s="9"/>
      <c r="AF1328" s="9"/>
      <c r="AG1328" s="9"/>
      <c r="AH1328" s="9"/>
      <c r="AI1328" s="9"/>
      <c r="AK1328" s="260"/>
    </row>
    <row r="1329" spans="1:72" ht="14.25" customHeight="1" x14ac:dyDescent="0.2">
      <c r="A1329" s="5"/>
      <c r="B1329" s="4">
        <v>2</v>
      </c>
      <c r="C1329" s="4" t="s">
        <v>637</v>
      </c>
      <c r="D1329" s="4">
        <v>26501</v>
      </c>
      <c r="E1329" s="4">
        <v>2734</v>
      </c>
      <c r="F1329" s="188" t="s">
        <v>918</v>
      </c>
      <c r="G1329" s="215" t="s">
        <v>919</v>
      </c>
      <c r="H1329" s="4" t="s">
        <v>920</v>
      </c>
      <c r="I1329" s="4" t="s">
        <v>641</v>
      </c>
      <c r="J1329" s="4" t="s">
        <v>921</v>
      </c>
      <c r="K1329" s="4">
        <v>1</v>
      </c>
      <c r="L1329" s="4">
        <v>3477</v>
      </c>
      <c r="M1329" s="6">
        <v>50.74</v>
      </c>
      <c r="N1329" s="9">
        <v>-121.86167</v>
      </c>
      <c r="O1329" s="9" t="s">
        <v>142</v>
      </c>
      <c r="P1329" s="9">
        <v>26501</v>
      </c>
      <c r="Q1329" s="20">
        <v>1</v>
      </c>
      <c r="R1329" s="9" t="s">
        <v>918</v>
      </c>
      <c r="S1329" s="11" t="s">
        <v>922</v>
      </c>
      <c r="T1329" s="9" t="s">
        <v>644</v>
      </c>
      <c r="U1329" s="9">
        <v>378</v>
      </c>
      <c r="Z1329" s="9" t="s">
        <v>645</v>
      </c>
      <c r="AA1329" s="9" t="s">
        <v>923</v>
      </c>
      <c r="AB1329" s="9"/>
      <c r="AC1329" s="21"/>
      <c r="AD1329" s="9"/>
      <c r="AE1329" s="9"/>
      <c r="AF1329" s="9"/>
      <c r="AG1329" s="9"/>
      <c r="AH1329" s="9"/>
      <c r="AI1329" s="9"/>
      <c r="AK1329" s="260"/>
      <c r="AO1329" s="192"/>
    </row>
    <row r="1330" spans="1:72" ht="14.25" customHeight="1" x14ac:dyDescent="0.2">
      <c r="A1330" s="5"/>
      <c r="B1330" s="4">
        <v>2</v>
      </c>
      <c r="C1330" s="4" t="s">
        <v>637</v>
      </c>
      <c r="D1330" s="4">
        <v>28093</v>
      </c>
      <c r="E1330" s="4">
        <v>2737</v>
      </c>
      <c r="F1330" s="4" t="s">
        <v>941</v>
      </c>
      <c r="G1330" s="19" t="s">
        <v>942</v>
      </c>
      <c r="H1330" s="4" t="s">
        <v>943</v>
      </c>
      <c r="I1330" s="4" t="s">
        <v>641</v>
      </c>
      <c r="J1330" s="4" t="s">
        <v>642</v>
      </c>
      <c r="K1330" s="4">
        <v>1</v>
      </c>
      <c r="L1330" s="4">
        <v>3480</v>
      </c>
      <c r="M1330" s="222">
        <v>51.476109999999998</v>
      </c>
      <c r="N1330" s="201">
        <v>-121.37083</v>
      </c>
      <c r="O1330" s="9" t="s">
        <v>148</v>
      </c>
      <c r="P1330" s="9">
        <v>28093</v>
      </c>
      <c r="Q1330" s="20">
        <v>5</v>
      </c>
      <c r="R1330" s="9" t="s">
        <v>941</v>
      </c>
      <c r="S1330" s="11" t="s">
        <v>944</v>
      </c>
      <c r="T1330" s="9" t="s">
        <v>644</v>
      </c>
      <c r="U1330" s="9">
        <v>1127</v>
      </c>
      <c r="Z1330" s="9" t="s">
        <v>645</v>
      </c>
      <c r="AA1330" s="9" t="s">
        <v>945</v>
      </c>
      <c r="AB1330" s="9"/>
      <c r="AC1330" s="21"/>
      <c r="AD1330" s="9"/>
      <c r="AE1330" s="9"/>
      <c r="AF1330" s="9"/>
      <c r="AG1330" s="9"/>
      <c r="AH1330" s="9"/>
      <c r="AI1330" s="9"/>
      <c r="AK1330" s="260"/>
    </row>
    <row r="1331" spans="1:72" ht="14.25" customHeight="1" x14ac:dyDescent="0.2">
      <c r="A1331" s="5"/>
      <c r="B1331" s="4">
        <v>2</v>
      </c>
      <c r="C1331" s="4" t="s">
        <v>637</v>
      </c>
      <c r="D1331" s="4">
        <v>29092</v>
      </c>
      <c r="E1331" s="4">
        <v>2739</v>
      </c>
      <c r="F1331" s="9" t="s">
        <v>946</v>
      </c>
      <c r="G1331" s="215" t="s">
        <v>947</v>
      </c>
      <c r="H1331" s="4" t="s">
        <v>948</v>
      </c>
      <c r="I1331" s="4" t="s">
        <v>641</v>
      </c>
      <c r="J1331" s="4" t="s">
        <v>755</v>
      </c>
      <c r="K1331" s="4">
        <v>1</v>
      </c>
      <c r="L1331" s="4">
        <v>3482</v>
      </c>
      <c r="M1331" s="6">
        <v>49.90672</v>
      </c>
      <c r="N1331" s="9">
        <v>-120.01336000000001</v>
      </c>
      <c r="O1331" s="9" t="s">
        <v>142</v>
      </c>
      <c r="P1331" s="9">
        <v>29092</v>
      </c>
      <c r="Q1331" s="20">
        <v>7</v>
      </c>
      <c r="R1331" s="9" t="s">
        <v>946</v>
      </c>
      <c r="S1331" s="11" t="s">
        <v>949</v>
      </c>
      <c r="T1331" s="9" t="s">
        <v>644</v>
      </c>
      <c r="U1331" s="9">
        <v>1700</v>
      </c>
      <c r="V1331" s="9"/>
      <c r="W1331" s="9"/>
      <c r="X1331" s="9"/>
      <c r="Y1331" s="9"/>
      <c r="Z1331" s="9" t="s">
        <v>645</v>
      </c>
      <c r="AA1331" s="9" t="s">
        <v>950</v>
      </c>
      <c r="AB1331" s="9"/>
      <c r="AC1331" s="21"/>
      <c r="AD1331" s="9"/>
      <c r="AE1331" s="9"/>
      <c r="AF1331" s="9"/>
      <c r="AG1331" s="9"/>
      <c r="AH1331" s="9"/>
      <c r="AI1331" s="9"/>
      <c r="AJ1331" s="9"/>
      <c r="AK1331" s="7"/>
      <c r="AL1331" s="9"/>
      <c r="AM1331" s="9"/>
      <c r="AN1331" s="9"/>
      <c r="AO1331" s="203"/>
      <c r="AP1331" s="9"/>
      <c r="AQ1331" s="9"/>
      <c r="AR1331" s="9"/>
      <c r="AS1331" s="9"/>
      <c r="AT1331" s="9"/>
      <c r="AU1331" s="9"/>
      <c r="AV1331" s="9"/>
      <c r="AW1331" s="9"/>
      <c r="AX1331" s="9"/>
      <c r="AY1331" s="9"/>
      <c r="AZ1331" s="9"/>
      <c r="BA1331" s="9"/>
      <c r="BB1331" s="9"/>
      <c r="BC1331" s="9"/>
      <c r="BD1331" s="9"/>
      <c r="BE1331" s="9"/>
      <c r="BF1331" s="9"/>
      <c r="BG1331" s="9"/>
      <c r="BH1331" s="9"/>
      <c r="BI1331" s="9"/>
      <c r="BJ1331" s="9"/>
      <c r="BK1331" s="9"/>
      <c r="BL1331" s="9"/>
      <c r="BM1331" s="9"/>
      <c r="BN1331" s="9"/>
      <c r="BO1331" s="9"/>
      <c r="BP1331" s="9"/>
      <c r="BQ1331" s="9"/>
      <c r="BR1331" s="9"/>
      <c r="BS1331" s="9"/>
      <c r="BT1331" s="9"/>
    </row>
    <row r="1332" spans="1:72" ht="14.25" customHeight="1" x14ac:dyDescent="0.2">
      <c r="A1332" s="5"/>
      <c r="B1332" s="4">
        <v>2</v>
      </c>
      <c r="C1332" s="4" t="s">
        <v>637</v>
      </c>
      <c r="D1332" s="4">
        <v>29093</v>
      </c>
      <c r="E1332" s="4">
        <v>12470</v>
      </c>
      <c r="F1332" s="203" t="s">
        <v>951</v>
      </c>
      <c r="G1332" s="215" t="s">
        <v>952</v>
      </c>
      <c r="H1332" s="4" t="s">
        <v>709</v>
      </c>
      <c r="I1332" s="4" t="s">
        <v>49</v>
      </c>
      <c r="J1332" s="4" t="s">
        <v>953</v>
      </c>
      <c r="K1332" s="4">
        <v>1</v>
      </c>
      <c r="L1332" s="4">
        <v>14492</v>
      </c>
      <c r="M1332" s="6">
        <v>49.939509999999999</v>
      </c>
      <c r="N1332" s="9">
        <v>-120.54637</v>
      </c>
      <c r="O1332" s="9" t="s">
        <v>142</v>
      </c>
      <c r="P1332" s="9">
        <v>29093</v>
      </c>
      <c r="Q1332" s="20">
        <v>3</v>
      </c>
      <c r="R1332" s="9" t="s">
        <v>951</v>
      </c>
      <c r="S1332" s="11" t="s">
        <v>954</v>
      </c>
      <c r="T1332" s="9" t="s">
        <v>644</v>
      </c>
      <c r="U1332" s="9">
        <v>1045</v>
      </c>
      <c r="V1332" s="9"/>
      <c r="W1332" s="9"/>
      <c r="X1332" s="9"/>
      <c r="Y1332" s="9"/>
      <c r="Z1332" s="9"/>
      <c r="AA1332" s="9" t="s">
        <v>955</v>
      </c>
      <c r="AB1332" s="9"/>
      <c r="AC1332" s="9"/>
      <c r="AD1332" s="9"/>
      <c r="AE1332" s="9"/>
      <c r="AF1332" s="9"/>
      <c r="AG1332" s="9"/>
      <c r="AH1332" s="9"/>
      <c r="AI1332" s="9"/>
      <c r="AJ1332" s="9"/>
      <c r="AK1332" s="7"/>
      <c r="AL1332" s="9"/>
      <c r="AM1332" s="9"/>
      <c r="AN1332" s="9"/>
      <c r="AO1332" s="203"/>
      <c r="AP1332" s="9"/>
      <c r="AQ1332" s="9"/>
      <c r="AR1332" s="9"/>
      <c r="AS1332" s="9"/>
      <c r="AT1332" s="9"/>
      <c r="AU1332" s="9"/>
      <c r="AV1332" s="9"/>
      <c r="AW1332" s="9"/>
      <c r="AX1332" s="9"/>
      <c r="AY1332" s="9"/>
      <c r="AZ1332" s="9"/>
      <c r="BA1332" s="9"/>
      <c r="BB1332" s="9"/>
      <c r="BC1332" s="9"/>
      <c r="BD1332" s="9"/>
      <c r="BE1332" s="9"/>
      <c r="BF1332" s="9"/>
      <c r="BG1332" s="9"/>
      <c r="BH1332" s="9"/>
      <c r="BI1332" s="9"/>
      <c r="BJ1332" s="9"/>
      <c r="BK1332" s="9"/>
      <c r="BL1332" s="9"/>
      <c r="BM1332" s="9"/>
      <c r="BN1332" s="9"/>
      <c r="BO1332" s="9"/>
      <c r="BP1332" s="9"/>
      <c r="BQ1332" s="9"/>
      <c r="BR1332" s="9"/>
      <c r="BS1332" s="9"/>
      <c r="BT1332" s="9"/>
    </row>
    <row r="1333" spans="1:72" ht="14.25" customHeight="1" x14ac:dyDescent="0.2">
      <c r="A1333" s="5"/>
      <c r="B1333" s="4">
        <v>2</v>
      </c>
      <c r="C1333" s="4" t="s">
        <v>637</v>
      </c>
      <c r="D1333" s="4">
        <v>29094</v>
      </c>
      <c r="E1333" s="4">
        <v>12471</v>
      </c>
      <c r="F1333" s="203" t="s">
        <v>956</v>
      </c>
      <c r="G1333" s="215" t="s">
        <v>957</v>
      </c>
      <c r="H1333" s="4" t="s">
        <v>958</v>
      </c>
      <c r="I1333" s="4" t="s">
        <v>49</v>
      </c>
      <c r="J1333" s="4" t="s">
        <v>959</v>
      </c>
      <c r="K1333" s="4">
        <v>1</v>
      </c>
      <c r="L1333" s="4">
        <v>14493</v>
      </c>
      <c r="M1333" s="6">
        <v>49.869729999999997</v>
      </c>
      <c r="N1333" s="9">
        <v>-119.93686</v>
      </c>
      <c r="O1333" s="9" t="s">
        <v>142</v>
      </c>
      <c r="P1333" s="9">
        <v>29094</v>
      </c>
      <c r="Q1333" s="20">
        <v>4</v>
      </c>
      <c r="R1333" s="9" t="s">
        <v>956</v>
      </c>
      <c r="S1333" s="11" t="s">
        <v>960</v>
      </c>
      <c r="T1333" s="9" t="s">
        <v>644</v>
      </c>
      <c r="U1333" s="9">
        <v>1270</v>
      </c>
      <c r="V1333" s="9"/>
      <c r="W1333" s="9"/>
      <c r="X1333" s="9"/>
      <c r="Y1333" s="9"/>
      <c r="Z1333" s="9"/>
      <c r="AA1333" s="9" t="s">
        <v>961</v>
      </c>
      <c r="AB1333" s="9"/>
      <c r="AC1333" s="9"/>
      <c r="AD1333" s="9"/>
      <c r="AE1333" s="9"/>
      <c r="AF1333" s="9"/>
      <c r="AG1333" s="9"/>
      <c r="AH1333" s="9"/>
      <c r="AI1333" s="9"/>
      <c r="AJ1333" s="9"/>
      <c r="AK1333" s="7"/>
      <c r="AL1333" s="9"/>
      <c r="AM1333" s="9"/>
      <c r="AN1333" s="9"/>
      <c r="AO1333" s="9"/>
      <c r="AP1333" s="9"/>
      <c r="AQ1333" s="9"/>
      <c r="AR1333" s="9"/>
      <c r="AS1333" s="9"/>
      <c r="AT1333" s="9"/>
      <c r="AU1333" s="9"/>
      <c r="AV1333" s="9"/>
      <c r="AW1333" s="9"/>
      <c r="AX1333" s="9"/>
      <c r="AY1333" s="9"/>
      <c r="AZ1333" s="9"/>
      <c r="BA1333" s="9"/>
      <c r="BB1333" s="9"/>
      <c r="BC1333" s="9"/>
      <c r="BD1333" s="9"/>
      <c r="BE1333" s="9"/>
      <c r="BF1333" s="9"/>
      <c r="BG1333" s="9"/>
      <c r="BH1333" s="9"/>
      <c r="BI1333" s="9"/>
      <c r="BJ1333" s="9"/>
      <c r="BK1333" s="9"/>
      <c r="BL1333" s="9"/>
      <c r="BM1333" s="9"/>
      <c r="BN1333" s="9"/>
      <c r="BO1333" s="9"/>
      <c r="BP1333" s="9"/>
      <c r="BQ1333" s="9"/>
      <c r="BR1333" s="9"/>
      <c r="BS1333" s="9"/>
      <c r="BT1333" s="9"/>
    </row>
    <row r="1334" spans="1:72" ht="14.25" customHeight="1" x14ac:dyDescent="0.2">
      <c r="A1334" s="5"/>
      <c r="B1334" s="4">
        <v>2</v>
      </c>
      <c r="C1334" s="4" t="s">
        <v>637</v>
      </c>
      <c r="D1334" s="4">
        <v>31091</v>
      </c>
      <c r="E1334" s="4">
        <v>2742</v>
      </c>
      <c r="F1334" s="188" t="s">
        <v>962</v>
      </c>
      <c r="G1334" s="215" t="s">
        <v>963</v>
      </c>
      <c r="H1334" s="4" t="s">
        <v>964</v>
      </c>
      <c r="I1334" s="4" t="s">
        <v>641</v>
      </c>
      <c r="J1334" s="4" t="s">
        <v>642</v>
      </c>
      <c r="K1334" s="4">
        <v>1</v>
      </c>
      <c r="L1334" s="4">
        <v>3485</v>
      </c>
      <c r="M1334" s="6">
        <v>49.373330000000003</v>
      </c>
      <c r="N1334" s="9">
        <v>-117.24250000000001</v>
      </c>
      <c r="O1334" s="9" t="s">
        <v>170</v>
      </c>
      <c r="P1334" s="9">
        <v>31091</v>
      </c>
      <c r="Q1334" s="20">
        <v>1</v>
      </c>
      <c r="R1334" s="9" t="s">
        <v>962</v>
      </c>
      <c r="S1334" s="11" t="s">
        <v>965</v>
      </c>
      <c r="T1334" s="9" t="s">
        <v>644</v>
      </c>
      <c r="U1334" s="9">
        <v>860</v>
      </c>
      <c r="Z1334" s="9" t="s">
        <v>645</v>
      </c>
      <c r="AA1334" s="9" t="s">
        <v>966</v>
      </c>
      <c r="AB1334" s="9"/>
      <c r="AC1334" s="21"/>
      <c r="AD1334" s="9"/>
      <c r="AE1334" s="9"/>
      <c r="AF1334" s="9"/>
      <c r="AG1334" s="9"/>
      <c r="AH1334" s="9"/>
      <c r="AI1334" s="9"/>
      <c r="AK1334" s="260"/>
      <c r="AO1334" s="192"/>
    </row>
    <row r="1335" spans="1:72" ht="14.25" customHeight="1" x14ac:dyDescent="0.2">
      <c r="A1335" s="5"/>
      <c r="B1335" s="4">
        <v>2</v>
      </c>
      <c r="C1335" s="4" t="s">
        <v>637</v>
      </c>
      <c r="D1335" s="4">
        <v>31092</v>
      </c>
      <c r="E1335" s="4">
        <v>11023</v>
      </c>
      <c r="F1335" s="188" t="s">
        <v>967</v>
      </c>
      <c r="G1335" s="19" t="s">
        <v>968</v>
      </c>
      <c r="H1335" s="4" t="s">
        <v>969</v>
      </c>
      <c r="I1335" s="4" t="s">
        <v>49</v>
      </c>
      <c r="J1335" s="4" t="s">
        <v>710</v>
      </c>
      <c r="K1335" s="4">
        <v>1</v>
      </c>
      <c r="L1335" s="4">
        <v>13191</v>
      </c>
      <c r="M1335" s="6">
        <v>49.487720000000003</v>
      </c>
      <c r="N1335" s="9">
        <v>-117.41986</v>
      </c>
      <c r="O1335" s="9" t="s">
        <v>170</v>
      </c>
      <c r="P1335" s="9">
        <v>31092</v>
      </c>
      <c r="Q1335" s="20">
        <v>1</v>
      </c>
      <c r="R1335" s="9" t="s">
        <v>967</v>
      </c>
      <c r="S1335" s="11" t="s">
        <v>970</v>
      </c>
      <c r="T1335" s="9" t="s">
        <v>644</v>
      </c>
      <c r="U1335" s="9">
        <v>580</v>
      </c>
      <c r="Z1335" s="9"/>
      <c r="AA1335" s="9" t="s">
        <v>971</v>
      </c>
      <c r="AB1335" s="9"/>
      <c r="AC1335" s="9"/>
      <c r="AD1335" s="9"/>
      <c r="AE1335" s="9"/>
      <c r="AF1335" s="9"/>
      <c r="AG1335" s="9"/>
      <c r="AH1335" s="9"/>
      <c r="AI1335" s="9"/>
      <c r="AK1335" s="260"/>
    </row>
    <row r="1336" spans="1:72" ht="14.25" customHeight="1" x14ac:dyDescent="0.2">
      <c r="A1336" s="5"/>
      <c r="B1336" s="4">
        <v>2</v>
      </c>
      <c r="C1336" s="4" t="s">
        <v>637</v>
      </c>
      <c r="D1336" s="4">
        <v>31321</v>
      </c>
      <c r="E1336" s="4">
        <v>2746</v>
      </c>
      <c r="F1336" s="4" t="s">
        <v>972</v>
      </c>
      <c r="G1336" s="215" t="s">
        <v>973</v>
      </c>
      <c r="H1336" s="4" t="s">
        <v>974</v>
      </c>
      <c r="I1336" s="4" t="s">
        <v>641</v>
      </c>
      <c r="J1336" s="4" t="s">
        <v>975</v>
      </c>
      <c r="K1336" s="4">
        <v>1</v>
      </c>
      <c r="L1336" s="4">
        <v>3489</v>
      </c>
      <c r="M1336" s="6">
        <v>49.41778</v>
      </c>
      <c r="N1336" s="9">
        <v>-117.16110999999999</v>
      </c>
      <c r="O1336" s="9" t="s">
        <v>170</v>
      </c>
      <c r="P1336" s="9">
        <v>31321</v>
      </c>
      <c r="Q1336" s="20">
        <v>7</v>
      </c>
      <c r="R1336" s="9" t="s">
        <v>972</v>
      </c>
      <c r="S1336" s="11" t="s">
        <v>976</v>
      </c>
      <c r="T1336" s="9" t="s">
        <v>644</v>
      </c>
      <c r="U1336" s="9">
        <v>1990</v>
      </c>
      <c r="Z1336" s="9"/>
      <c r="AA1336" s="9" t="s">
        <v>977</v>
      </c>
      <c r="AB1336" s="9"/>
      <c r="AC1336" s="9"/>
      <c r="AD1336" s="9"/>
      <c r="AE1336" s="9"/>
      <c r="AF1336" s="9"/>
      <c r="AG1336" s="9"/>
      <c r="AH1336" s="9"/>
      <c r="AI1336" s="9"/>
      <c r="AK1336" s="260"/>
    </row>
    <row r="1337" spans="1:72" ht="14.25" customHeight="1" x14ac:dyDescent="0.2">
      <c r="A1337" s="5"/>
      <c r="B1337" s="4">
        <v>2</v>
      </c>
      <c r="C1337" s="4" t="s">
        <v>637</v>
      </c>
      <c r="D1337" s="4">
        <v>32091</v>
      </c>
      <c r="E1337" s="4">
        <v>12472</v>
      </c>
      <c r="F1337" s="4" t="s">
        <v>978</v>
      </c>
      <c r="G1337" s="215" t="s">
        <v>979</v>
      </c>
      <c r="H1337" s="4" t="s">
        <v>709</v>
      </c>
      <c r="I1337" s="4" t="s">
        <v>49</v>
      </c>
      <c r="J1337" s="4" t="s">
        <v>710</v>
      </c>
      <c r="K1337" s="4">
        <v>1</v>
      </c>
      <c r="L1337" s="4">
        <v>14494</v>
      </c>
      <c r="M1337" s="6">
        <v>49.187080000000002</v>
      </c>
      <c r="N1337" s="9">
        <v>-117.44001</v>
      </c>
      <c r="O1337" s="9" t="s">
        <v>170</v>
      </c>
      <c r="P1337" s="9">
        <v>32091</v>
      </c>
      <c r="Q1337" s="20">
        <v>1</v>
      </c>
      <c r="R1337" s="9" t="s">
        <v>978</v>
      </c>
      <c r="S1337" s="11" t="s">
        <v>980</v>
      </c>
      <c r="T1337" s="9" t="s">
        <v>644</v>
      </c>
      <c r="U1337" s="9">
        <v>700</v>
      </c>
      <c r="Z1337" s="9"/>
      <c r="AA1337" s="9" t="s">
        <v>981</v>
      </c>
      <c r="AB1337" s="9"/>
      <c r="AC1337" s="9"/>
      <c r="AD1337" s="9"/>
      <c r="AE1337" s="9"/>
      <c r="AF1337" s="9"/>
      <c r="AG1337" s="9"/>
      <c r="AH1337" s="9"/>
      <c r="AI1337" s="9"/>
      <c r="AK1337" s="260"/>
    </row>
    <row r="1338" spans="1:72" ht="14.25" customHeight="1" x14ac:dyDescent="0.2">
      <c r="A1338" s="5"/>
      <c r="B1338" s="4">
        <v>2</v>
      </c>
      <c r="C1338" s="4" t="s">
        <v>637</v>
      </c>
      <c r="D1338" s="4">
        <v>32221</v>
      </c>
      <c r="E1338" s="4">
        <v>2751</v>
      </c>
      <c r="F1338" s="203" t="s">
        <v>982</v>
      </c>
      <c r="G1338" s="19" t="s">
        <v>983</v>
      </c>
      <c r="H1338" s="4" t="s">
        <v>984</v>
      </c>
      <c r="I1338" s="4" t="s">
        <v>641</v>
      </c>
      <c r="J1338" s="4" t="s">
        <v>755</v>
      </c>
      <c r="K1338" s="4">
        <v>1</v>
      </c>
      <c r="L1338" s="4">
        <v>3494</v>
      </c>
      <c r="M1338" s="6">
        <v>49.204169999999998</v>
      </c>
      <c r="N1338" s="9">
        <v>-117.88889</v>
      </c>
      <c r="O1338" s="9" t="s">
        <v>170</v>
      </c>
      <c r="P1338" s="9">
        <v>32221</v>
      </c>
      <c r="Q1338" s="20">
        <v>5</v>
      </c>
      <c r="R1338" s="9" t="s">
        <v>982</v>
      </c>
      <c r="S1338" s="11" t="s">
        <v>985</v>
      </c>
      <c r="T1338" s="9" t="s">
        <v>644</v>
      </c>
      <c r="U1338" s="9">
        <v>1600</v>
      </c>
      <c r="V1338" s="9"/>
      <c r="W1338" s="9"/>
      <c r="X1338" s="9"/>
      <c r="Y1338" s="9"/>
      <c r="Z1338" s="9" t="s">
        <v>645</v>
      </c>
      <c r="AA1338" s="9" t="s">
        <v>986</v>
      </c>
      <c r="AB1338" s="9"/>
      <c r="AC1338" s="21"/>
      <c r="AD1338" s="9"/>
      <c r="AE1338" s="9"/>
      <c r="AF1338" s="9"/>
      <c r="AG1338" s="9"/>
      <c r="AH1338" s="9"/>
      <c r="AI1338" s="9"/>
      <c r="AJ1338" s="9"/>
      <c r="AK1338" s="7"/>
      <c r="AL1338" s="9"/>
      <c r="AM1338" s="9"/>
      <c r="AN1338" s="9"/>
      <c r="AO1338" s="9"/>
      <c r="AP1338" s="9"/>
      <c r="AQ1338" s="9"/>
      <c r="AR1338" s="9"/>
      <c r="AS1338" s="9"/>
      <c r="AT1338" s="9"/>
      <c r="AU1338" s="9"/>
      <c r="AV1338" s="9"/>
      <c r="AW1338" s="9"/>
      <c r="AX1338" s="9"/>
      <c r="AY1338" s="9"/>
      <c r="AZ1338" s="9"/>
      <c r="BA1338" s="9"/>
      <c r="BB1338" s="9"/>
      <c r="BC1338" s="9"/>
      <c r="BD1338" s="9"/>
      <c r="BE1338" s="9"/>
      <c r="BF1338" s="9"/>
      <c r="BG1338" s="9"/>
      <c r="BH1338" s="9"/>
      <c r="BI1338" s="9"/>
      <c r="BJ1338" s="9"/>
      <c r="BK1338" s="9"/>
      <c r="BL1338" s="9"/>
      <c r="BM1338" s="9"/>
      <c r="BN1338" s="9"/>
      <c r="BO1338" s="9"/>
      <c r="BP1338" s="9"/>
      <c r="BQ1338" s="9"/>
      <c r="BR1338" s="9"/>
      <c r="BS1338" s="9"/>
      <c r="BT1338" s="9"/>
    </row>
    <row r="1339" spans="1:72" ht="14.25" customHeight="1" x14ac:dyDescent="0.2">
      <c r="A1339" s="5"/>
      <c r="B1339" s="4">
        <v>2</v>
      </c>
      <c r="C1339" s="4" t="s">
        <v>637</v>
      </c>
      <c r="D1339" s="4">
        <v>33093</v>
      </c>
      <c r="E1339" s="4">
        <v>2760</v>
      </c>
      <c r="F1339" s="9" t="s">
        <v>987</v>
      </c>
      <c r="G1339" s="215" t="s">
        <v>988</v>
      </c>
      <c r="H1339" s="4" t="s">
        <v>989</v>
      </c>
      <c r="I1339" s="4" t="s">
        <v>641</v>
      </c>
      <c r="J1339" s="4" t="s">
        <v>755</v>
      </c>
      <c r="K1339" s="4">
        <v>1</v>
      </c>
      <c r="L1339" s="4">
        <v>3503</v>
      </c>
      <c r="M1339" s="6">
        <v>49.005560000000003</v>
      </c>
      <c r="N1339" s="9">
        <v>-119.31361</v>
      </c>
      <c r="O1339" s="9" t="s">
        <v>142</v>
      </c>
      <c r="P1339" s="224">
        <v>33093</v>
      </c>
      <c r="Q1339" s="20">
        <v>3</v>
      </c>
      <c r="R1339" s="9" t="s">
        <v>987</v>
      </c>
      <c r="S1339" s="11" t="s">
        <v>990</v>
      </c>
      <c r="T1339" s="9" t="s">
        <v>644</v>
      </c>
      <c r="U1339" s="9">
        <v>1097</v>
      </c>
      <c r="V1339" s="9"/>
      <c r="W1339" s="9"/>
      <c r="X1339" s="9"/>
      <c r="Y1339" s="9"/>
      <c r="Z1339" s="9" t="s">
        <v>645</v>
      </c>
      <c r="AA1339" s="9" t="s">
        <v>991</v>
      </c>
      <c r="AB1339" s="9"/>
      <c r="AC1339" s="21"/>
      <c r="AD1339" s="9"/>
      <c r="AE1339" s="9"/>
      <c r="AF1339" s="9"/>
      <c r="AG1339" s="9"/>
      <c r="AH1339" s="9"/>
      <c r="AI1339" s="9"/>
      <c r="AJ1339" s="9"/>
      <c r="AK1339" s="7"/>
      <c r="AL1339" s="9"/>
      <c r="AM1339" s="9"/>
      <c r="AN1339" s="9"/>
      <c r="AO1339" s="9"/>
      <c r="AP1339" s="9"/>
      <c r="AQ1339" s="9"/>
      <c r="AR1339" s="9"/>
      <c r="AS1339" s="9"/>
      <c r="AT1339" s="9"/>
      <c r="AU1339" s="9"/>
      <c r="AV1339" s="9"/>
      <c r="AW1339" s="9"/>
      <c r="AX1339" s="9"/>
      <c r="AY1339" s="9"/>
      <c r="AZ1339" s="9"/>
      <c r="BA1339" s="9"/>
      <c r="BB1339" s="9"/>
      <c r="BC1339" s="9"/>
      <c r="BD1339" s="9"/>
      <c r="BE1339" s="9"/>
      <c r="BF1339" s="9"/>
      <c r="BG1339" s="9"/>
      <c r="BH1339" s="9"/>
      <c r="BI1339" s="9"/>
      <c r="BJ1339" s="9"/>
      <c r="BK1339" s="9"/>
      <c r="BL1339" s="9"/>
      <c r="BM1339" s="9"/>
      <c r="BN1339" s="9"/>
      <c r="BO1339" s="9"/>
      <c r="BP1339" s="9"/>
      <c r="BQ1339" s="9"/>
      <c r="BR1339" s="9"/>
      <c r="BS1339" s="9"/>
      <c r="BT1339" s="9"/>
    </row>
    <row r="1340" spans="1:72" ht="14.25" customHeight="1" x14ac:dyDescent="0.2">
      <c r="A1340" s="5"/>
      <c r="B1340" s="4">
        <v>2</v>
      </c>
      <c r="C1340" s="4" t="s">
        <v>637</v>
      </c>
      <c r="D1340" s="4">
        <v>33121</v>
      </c>
      <c r="E1340" s="4">
        <v>2763</v>
      </c>
      <c r="F1340" s="4" t="s">
        <v>1002</v>
      </c>
      <c r="G1340" s="215" t="s">
        <v>1003</v>
      </c>
      <c r="H1340" s="4" t="s">
        <v>1004</v>
      </c>
      <c r="I1340" s="4" t="s">
        <v>641</v>
      </c>
      <c r="J1340" s="4" t="s">
        <v>825</v>
      </c>
      <c r="K1340" s="4">
        <v>1</v>
      </c>
      <c r="L1340" s="4">
        <v>3506</v>
      </c>
      <c r="M1340" s="6">
        <v>49.159970000000001</v>
      </c>
      <c r="N1340" s="9">
        <v>-118.10936</v>
      </c>
      <c r="O1340" s="9" t="s">
        <v>170</v>
      </c>
      <c r="P1340" s="9">
        <v>33121</v>
      </c>
      <c r="Q1340" s="20">
        <v>5</v>
      </c>
      <c r="R1340" s="9" t="s">
        <v>1002</v>
      </c>
      <c r="S1340" s="11" t="s">
        <v>1005</v>
      </c>
      <c r="T1340" s="9" t="s">
        <v>644</v>
      </c>
      <c r="U1340" s="9">
        <v>1570</v>
      </c>
      <c r="Z1340" s="9"/>
      <c r="AA1340" s="9" t="s">
        <v>1006</v>
      </c>
      <c r="AB1340" s="9"/>
      <c r="AC1340" s="9"/>
      <c r="AD1340" s="9"/>
      <c r="AE1340" s="9"/>
      <c r="AF1340" s="9"/>
      <c r="AG1340" s="9"/>
      <c r="AH1340" s="9"/>
      <c r="AI1340" s="9"/>
      <c r="AK1340" s="260"/>
    </row>
    <row r="1341" spans="1:72" ht="14.25" customHeight="1" x14ac:dyDescent="0.2">
      <c r="A1341" s="5"/>
      <c r="B1341" s="4">
        <v>2</v>
      </c>
      <c r="C1341" s="4" t="s">
        <v>637</v>
      </c>
      <c r="D1341" s="4">
        <v>33122</v>
      </c>
      <c r="E1341" s="4">
        <v>2764</v>
      </c>
      <c r="F1341" s="9" t="s">
        <v>1007</v>
      </c>
      <c r="G1341" s="215" t="s">
        <v>1008</v>
      </c>
      <c r="H1341" s="4" t="s">
        <v>1009</v>
      </c>
      <c r="I1341" s="4" t="s">
        <v>641</v>
      </c>
      <c r="J1341" s="4" t="s">
        <v>755</v>
      </c>
      <c r="K1341" s="4">
        <v>1</v>
      </c>
      <c r="L1341" s="4">
        <v>3507</v>
      </c>
      <c r="M1341" s="6">
        <v>49.243679999999998</v>
      </c>
      <c r="N1341" s="9">
        <v>-118.05204999999999</v>
      </c>
      <c r="O1341" s="9" t="s">
        <v>170</v>
      </c>
      <c r="P1341" s="9">
        <v>33122</v>
      </c>
      <c r="Q1341" s="20">
        <v>4</v>
      </c>
      <c r="R1341" s="9" t="s">
        <v>1007</v>
      </c>
      <c r="S1341" s="11" t="s">
        <v>1010</v>
      </c>
      <c r="T1341" s="9" t="s">
        <v>644</v>
      </c>
      <c r="U1341" s="9">
        <v>1535</v>
      </c>
      <c r="V1341" s="9"/>
      <c r="W1341" s="9"/>
      <c r="X1341" s="9"/>
      <c r="Y1341" s="9"/>
      <c r="Z1341" s="9"/>
      <c r="AA1341" s="9" t="s">
        <v>1011</v>
      </c>
      <c r="AB1341" s="9"/>
      <c r="AC1341" s="21"/>
      <c r="AD1341" s="9"/>
      <c r="AE1341" s="9"/>
      <c r="AF1341" s="9"/>
      <c r="AG1341" s="9"/>
      <c r="AH1341" s="9"/>
      <c r="AI1341" s="9"/>
      <c r="AJ1341" s="9"/>
      <c r="AK1341" s="7"/>
      <c r="AL1341" s="9"/>
      <c r="AM1341" s="9"/>
      <c r="AN1341" s="9"/>
      <c r="AO1341" s="9"/>
      <c r="AP1341" s="9"/>
      <c r="AQ1341" s="9"/>
      <c r="AR1341" s="9"/>
      <c r="AS1341" s="9"/>
      <c r="AT1341" s="9"/>
      <c r="AU1341" s="9"/>
      <c r="AV1341" s="9"/>
      <c r="AW1341" s="9"/>
      <c r="AX1341" s="9"/>
      <c r="AY1341" s="9"/>
      <c r="AZ1341" s="9"/>
      <c r="BA1341" s="9"/>
      <c r="BB1341" s="9"/>
      <c r="BC1341" s="9"/>
      <c r="BD1341" s="9"/>
      <c r="BE1341" s="9"/>
      <c r="BF1341" s="9"/>
      <c r="BG1341" s="9"/>
      <c r="BH1341" s="9"/>
      <c r="BI1341" s="9"/>
      <c r="BJ1341" s="9"/>
      <c r="BK1341" s="9"/>
      <c r="BL1341" s="9"/>
      <c r="BM1341" s="9"/>
      <c r="BN1341" s="9"/>
      <c r="BO1341" s="9"/>
      <c r="BP1341" s="9"/>
      <c r="BQ1341" s="9"/>
      <c r="BR1341" s="9"/>
      <c r="BS1341" s="9"/>
      <c r="BT1341" s="9"/>
    </row>
    <row r="1342" spans="1:72" ht="14.25" customHeight="1" x14ac:dyDescent="0.2">
      <c r="A1342" s="5"/>
      <c r="B1342" s="4">
        <v>2</v>
      </c>
      <c r="C1342" s="4" t="s">
        <v>637</v>
      </c>
      <c r="D1342" s="4">
        <v>34091</v>
      </c>
      <c r="E1342" s="4">
        <v>12473</v>
      </c>
      <c r="F1342" s="9" t="s">
        <v>1012</v>
      </c>
      <c r="G1342" s="215" t="s">
        <v>1013</v>
      </c>
      <c r="H1342" s="4" t="s">
        <v>709</v>
      </c>
      <c r="I1342" s="4" t="s">
        <v>49</v>
      </c>
      <c r="J1342" s="4" t="s">
        <v>710</v>
      </c>
      <c r="K1342" s="4">
        <v>1</v>
      </c>
      <c r="L1342" s="4">
        <v>14495</v>
      </c>
      <c r="M1342" s="62">
        <v>50.050550000000001</v>
      </c>
      <c r="N1342" s="34">
        <v>-118.39633000000001</v>
      </c>
      <c r="O1342" s="9" t="s">
        <v>170</v>
      </c>
      <c r="P1342" s="34">
        <v>34091</v>
      </c>
      <c r="Q1342" s="20">
        <v>3</v>
      </c>
      <c r="R1342" s="34" t="s">
        <v>1012</v>
      </c>
      <c r="S1342" s="11" t="s">
        <v>1014</v>
      </c>
      <c r="T1342" s="35" t="s">
        <v>644</v>
      </c>
      <c r="U1342" s="9">
        <v>1223</v>
      </c>
      <c r="V1342" s="9"/>
      <c r="W1342" s="34"/>
      <c r="X1342" s="9"/>
      <c r="Y1342" s="9"/>
      <c r="Z1342" s="9"/>
      <c r="AA1342" s="9" t="s">
        <v>1015</v>
      </c>
      <c r="AB1342" s="9"/>
      <c r="AC1342" s="9"/>
      <c r="AD1342" s="9"/>
      <c r="AE1342" s="9"/>
      <c r="AF1342" s="9"/>
      <c r="AG1342" s="9"/>
      <c r="AH1342" s="9"/>
      <c r="AI1342" s="9"/>
      <c r="AJ1342" s="9"/>
      <c r="AK1342" s="7"/>
      <c r="AL1342" s="9"/>
      <c r="AM1342" s="9"/>
      <c r="AN1342" s="9"/>
      <c r="AO1342" s="9"/>
      <c r="AP1342" s="9"/>
      <c r="AQ1342" s="9"/>
      <c r="AR1342" s="9"/>
      <c r="AS1342" s="9"/>
      <c r="AT1342" s="9"/>
      <c r="AU1342" s="9"/>
      <c r="AV1342" s="9"/>
      <c r="AW1342" s="9"/>
      <c r="AX1342" s="9"/>
      <c r="AY1342" s="9"/>
      <c r="AZ1342" s="9"/>
      <c r="BA1342" s="9"/>
      <c r="BB1342" s="9"/>
      <c r="BC1342" s="9"/>
      <c r="BD1342" s="9"/>
      <c r="BE1342" s="9"/>
      <c r="BF1342" s="9"/>
      <c r="BG1342" s="9"/>
      <c r="BH1342" s="9"/>
      <c r="BI1342" s="9"/>
      <c r="BJ1342" s="9"/>
      <c r="BK1342" s="9"/>
      <c r="BL1342" s="9"/>
      <c r="BM1342" s="9"/>
      <c r="BN1342" s="9"/>
      <c r="BO1342" s="9"/>
      <c r="BP1342" s="9"/>
      <c r="BQ1342" s="9"/>
      <c r="BR1342" s="9"/>
      <c r="BS1342" s="9"/>
      <c r="BT1342" s="9"/>
    </row>
    <row r="1343" spans="1:72" ht="14.25" customHeight="1" x14ac:dyDescent="0.2">
      <c r="A1343" s="5"/>
      <c r="B1343" s="4">
        <v>2</v>
      </c>
      <c r="C1343" s="4" t="s">
        <v>637</v>
      </c>
      <c r="D1343" s="4">
        <v>34127</v>
      </c>
      <c r="E1343" s="4">
        <v>12474</v>
      </c>
      <c r="F1343" s="9" t="s">
        <v>1021</v>
      </c>
      <c r="G1343" s="215" t="s">
        <v>1022</v>
      </c>
      <c r="H1343" s="4" t="s">
        <v>709</v>
      </c>
      <c r="I1343" s="4" t="s">
        <v>49</v>
      </c>
      <c r="J1343" s="4" t="s">
        <v>1023</v>
      </c>
      <c r="K1343" s="4">
        <v>1</v>
      </c>
      <c r="L1343" s="4">
        <v>14496</v>
      </c>
      <c r="M1343" s="6">
        <v>50.022300000000001</v>
      </c>
      <c r="N1343" s="9">
        <v>-117.18098999999999</v>
      </c>
      <c r="O1343" s="9" t="s">
        <v>170</v>
      </c>
      <c r="P1343" s="9">
        <v>34127</v>
      </c>
      <c r="Q1343" s="20">
        <v>8</v>
      </c>
      <c r="R1343" s="9" t="s">
        <v>1024</v>
      </c>
      <c r="S1343" s="11" t="s">
        <v>1025</v>
      </c>
      <c r="T1343" s="9" t="s">
        <v>644</v>
      </c>
      <c r="U1343" s="9">
        <v>2200</v>
      </c>
      <c r="V1343" s="9"/>
      <c r="W1343" s="9"/>
      <c r="X1343" s="9"/>
      <c r="Y1343" s="9"/>
      <c r="Z1343" s="9"/>
      <c r="AA1343" s="9" t="s">
        <v>1026</v>
      </c>
      <c r="AB1343" s="9"/>
      <c r="AC1343" s="9"/>
      <c r="AD1343" s="9"/>
      <c r="AE1343" s="9"/>
      <c r="AF1343" s="9"/>
      <c r="AG1343" s="9"/>
      <c r="AH1343" s="9"/>
      <c r="AI1343" s="9"/>
      <c r="AJ1343" s="9"/>
      <c r="AK1343" s="7"/>
      <c r="AL1343" s="9"/>
      <c r="AM1343" s="9"/>
      <c r="AN1343" s="9"/>
      <c r="AO1343" s="9"/>
      <c r="AP1343" s="9"/>
      <c r="AQ1343" s="9"/>
      <c r="AR1343" s="9"/>
      <c r="AS1343" s="9"/>
      <c r="AT1343" s="9"/>
      <c r="AU1343" s="9"/>
      <c r="AV1343" s="9"/>
      <c r="AW1343" s="9"/>
      <c r="AX1343" s="9"/>
      <c r="AY1343" s="9"/>
      <c r="AZ1343" s="9"/>
      <c r="BA1343" s="9"/>
      <c r="BB1343" s="9"/>
      <c r="BC1343" s="9"/>
      <c r="BD1343" s="9"/>
      <c r="BE1343" s="9"/>
      <c r="BF1343" s="9"/>
      <c r="BG1343" s="9"/>
      <c r="BH1343" s="9"/>
      <c r="BI1343" s="9"/>
      <c r="BJ1343" s="9"/>
      <c r="BK1343" s="9"/>
      <c r="BL1343" s="9"/>
      <c r="BM1343" s="9"/>
      <c r="BN1343" s="9"/>
      <c r="BO1343" s="9"/>
      <c r="BP1343" s="9"/>
      <c r="BQ1343" s="9"/>
      <c r="BR1343" s="9"/>
      <c r="BS1343" s="9"/>
      <c r="BT1343" s="9"/>
    </row>
    <row r="1344" spans="1:72" ht="14.25" customHeight="1" x14ac:dyDescent="0.2">
      <c r="A1344" s="5"/>
      <c r="B1344" s="4">
        <v>2</v>
      </c>
      <c r="C1344" s="4" t="s">
        <v>637</v>
      </c>
      <c r="D1344" s="4">
        <v>34128</v>
      </c>
      <c r="E1344" s="4">
        <v>2772</v>
      </c>
      <c r="F1344" s="4" t="s">
        <v>1027</v>
      </c>
      <c r="G1344" s="215" t="s">
        <v>1028</v>
      </c>
      <c r="H1344" s="4" t="s">
        <v>1029</v>
      </c>
      <c r="I1344" s="4" t="s">
        <v>641</v>
      </c>
      <c r="J1344" s="4" t="s">
        <v>825</v>
      </c>
      <c r="K1344" s="4">
        <v>1</v>
      </c>
      <c r="L1344" s="4">
        <v>3515</v>
      </c>
      <c r="M1344" s="6">
        <v>50.04589</v>
      </c>
      <c r="N1344" s="9">
        <v>-117.23481</v>
      </c>
      <c r="O1344" s="9" t="s">
        <v>170</v>
      </c>
      <c r="P1344" s="9">
        <v>34128</v>
      </c>
      <c r="Q1344" s="20">
        <v>7</v>
      </c>
      <c r="R1344" s="9" t="s">
        <v>1027</v>
      </c>
      <c r="S1344" s="11" t="s">
        <v>1030</v>
      </c>
      <c r="T1344" s="9" t="s">
        <v>644</v>
      </c>
      <c r="U1344" s="9">
        <v>2070</v>
      </c>
      <c r="V1344" s="9"/>
      <c r="W1344" s="9"/>
      <c r="X1344" s="9"/>
      <c r="Y1344" s="9"/>
      <c r="Z1344" s="9"/>
      <c r="AA1344" s="9" t="s">
        <v>1031</v>
      </c>
      <c r="AB1344" s="9"/>
      <c r="AC1344" s="9"/>
      <c r="AD1344" s="9"/>
      <c r="AE1344" s="9"/>
      <c r="AF1344" s="9"/>
      <c r="AG1344" s="9"/>
      <c r="AH1344" s="9"/>
      <c r="AI1344" s="9"/>
      <c r="AJ1344" s="9"/>
      <c r="AK1344" s="7"/>
      <c r="AL1344" s="9"/>
      <c r="AM1344" s="9"/>
      <c r="AN1344" s="9"/>
      <c r="AO1344" s="9"/>
      <c r="AP1344" s="9"/>
      <c r="AQ1344" s="9"/>
      <c r="AR1344" s="9"/>
      <c r="AS1344" s="9"/>
      <c r="AT1344" s="9"/>
      <c r="AU1344" s="9"/>
      <c r="AV1344" s="9"/>
      <c r="AW1344" s="9"/>
      <c r="AX1344" s="9"/>
      <c r="AY1344" s="9"/>
      <c r="AZ1344" s="9"/>
      <c r="BA1344" s="9"/>
      <c r="BB1344" s="9"/>
      <c r="BC1344" s="9"/>
      <c r="BD1344" s="9"/>
      <c r="BE1344" s="9"/>
      <c r="BF1344" s="9"/>
      <c r="BG1344" s="9"/>
      <c r="BH1344" s="9"/>
      <c r="BI1344" s="9"/>
      <c r="BJ1344" s="9"/>
      <c r="BK1344" s="9"/>
      <c r="BL1344" s="9"/>
      <c r="BM1344" s="9"/>
      <c r="BN1344" s="9"/>
      <c r="BO1344" s="9"/>
      <c r="BP1344" s="9"/>
      <c r="BQ1344" s="9"/>
      <c r="BR1344" s="9"/>
      <c r="BS1344" s="9"/>
      <c r="BT1344" s="9"/>
    </row>
    <row r="1345" spans="1:72" ht="14.25" customHeight="1" x14ac:dyDescent="0.2">
      <c r="A1345" s="5"/>
      <c r="B1345" s="4">
        <v>2</v>
      </c>
      <c r="C1345" s="4" t="s">
        <v>637</v>
      </c>
      <c r="D1345" s="4">
        <v>34129</v>
      </c>
      <c r="E1345" s="4">
        <v>2773</v>
      </c>
      <c r="F1345" s="4" t="s">
        <v>1032</v>
      </c>
      <c r="G1345" s="215" t="s">
        <v>1033</v>
      </c>
      <c r="H1345" s="4" t="s">
        <v>1034</v>
      </c>
      <c r="I1345" s="4" t="s">
        <v>641</v>
      </c>
      <c r="J1345" s="4" t="s">
        <v>1035</v>
      </c>
      <c r="K1345" s="4">
        <v>1</v>
      </c>
      <c r="L1345" s="4">
        <v>3516</v>
      </c>
      <c r="M1345" s="223"/>
      <c r="Q1345" s="9"/>
      <c r="S1345" s="9"/>
      <c r="T1345" s="9"/>
      <c r="U1345" s="9"/>
      <c r="V1345" s="9"/>
      <c r="W1345" s="9"/>
      <c r="X1345" s="9"/>
      <c r="Y1345" s="9"/>
      <c r="Z1345" s="9"/>
      <c r="AA1345" s="9"/>
      <c r="AB1345" s="9"/>
      <c r="AC1345" s="9"/>
      <c r="AD1345" s="9"/>
      <c r="AE1345" s="9"/>
      <c r="AF1345" s="9"/>
      <c r="AG1345" s="9"/>
      <c r="AH1345" s="9"/>
      <c r="AI1345" s="9"/>
      <c r="AJ1345" s="9"/>
      <c r="AK1345" s="7"/>
      <c r="AL1345" s="9"/>
      <c r="AM1345" s="9"/>
      <c r="AN1345" s="9"/>
      <c r="AO1345" s="9"/>
      <c r="AP1345" s="9"/>
      <c r="AQ1345" s="9"/>
      <c r="AR1345" s="9"/>
      <c r="AS1345" s="9"/>
      <c r="AT1345" s="9"/>
      <c r="AU1345" s="9"/>
      <c r="AV1345" s="9"/>
      <c r="AW1345" s="9"/>
      <c r="AX1345" s="9"/>
      <c r="AY1345" s="9"/>
      <c r="AZ1345" s="9"/>
      <c r="BA1345" s="9"/>
      <c r="BB1345" s="9"/>
      <c r="BC1345" s="9"/>
      <c r="BD1345" s="9"/>
      <c r="BE1345" s="9"/>
      <c r="BF1345" s="9"/>
      <c r="BG1345" s="9"/>
      <c r="BH1345" s="9"/>
      <c r="BI1345" s="9"/>
      <c r="BJ1345" s="9"/>
      <c r="BK1345" s="9"/>
      <c r="BL1345" s="9"/>
      <c r="BM1345" s="9"/>
      <c r="BN1345" s="9"/>
      <c r="BO1345" s="9"/>
      <c r="BP1345" s="9"/>
      <c r="BQ1345" s="9"/>
      <c r="BR1345" s="9"/>
      <c r="BS1345" s="9"/>
      <c r="BT1345" s="9"/>
    </row>
    <row r="1346" spans="1:72" ht="14.25" customHeight="1" x14ac:dyDescent="0.2">
      <c r="A1346" s="5"/>
      <c r="B1346" s="4">
        <v>2</v>
      </c>
      <c r="C1346" s="4" t="s">
        <v>637</v>
      </c>
      <c r="D1346" s="4">
        <v>34224</v>
      </c>
      <c r="E1346" s="4">
        <v>2775</v>
      </c>
      <c r="F1346" s="4" t="s">
        <v>1036</v>
      </c>
      <c r="G1346" s="215" t="s">
        <v>1037</v>
      </c>
      <c r="H1346" s="4" t="s">
        <v>1038</v>
      </c>
      <c r="I1346" s="4" t="s">
        <v>641</v>
      </c>
      <c r="J1346" s="4" t="s">
        <v>825</v>
      </c>
      <c r="K1346" s="4">
        <v>1</v>
      </c>
      <c r="L1346" s="4">
        <v>3518</v>
      </c>
      <c r="M1346" s="6">
        <v>50.154170000000001</v>
      </c>
      <c r="N1346" s="9">
        <v>-116.9675</v>
      </c>
      <c r="O1346" s="9" t="s">
        <v>170</v>
      </c>
      <c r="P1346" s="9">
        <v>34224</v>
      </c>
      <c r="Q1346" s="20">
        <v>2</v>
      </c>
      <c r="R1346" s="9" t="s">
        <v>1036</v>
      </c>
      <c r="S1346" s="11" t="s">
        <v>1039</v>
      </c>
      <c r="T1346" s="9" t="s">
        <v>644</v>
      </c>
      <c r="U1346" s="9">
        <v>1095</v>
      </c>
      <c r="Z1346" s="9" t="s">
        <v>645</v>
      </c>
      <c r="AA1346" s="9" t="s">
        <v>1040</v>
      </c>
      <c r="AB1346" s="9"/>
      <c r="AC1346" s="9"/>
      <c r="AD1346" s="9"/>
      <c r="AE1346" s="9"/>
      <c r="AF1346" s="9"/>
      <c r="AG1346" s="9"/>
      <c r="AH1346" s="9"/>
      <c r="AI1346" s="9"/>
      <c r="AK1346" s="260"/>
    </row>
    <row r="1347" spans="1:72" ht="14.25" customHeight="1" x14ac:dyDescent="0.2">
      <c r="A1347" s="5"/>
      <c r="B1347" s="4">
        <v>2</v>
      </c>
      <c r="C1347" s="4" t="s">
        <v>637</v>
      </c>
      <c r="D1347" s="4">
        <v>34225</v>
      </c>
      <c r="E1347" s="4">
        <v>11024</v>
      </c>
      <c r="F1347" s="9" t="s">
        <v>1041</v>
      </c>
      <c r="G1347" s="215" t="s">
        <v>1042</v>
      </c>
      <c r="H1347" s="4" t="s">
        <v>891</v>
      </c>
      <c r="I1347" s="4" t="s">
        <v>49</v>
      </c>
      <c r="J1347" s="4" t="s">
        <v>1023</v>
      </c>
      <c r="K1347" s="4">
        <v>1</v>
      </c>
      <c r="L1347" s="4">
        <v>13192</v>
      </c>
      <c r="M1347" s="6">
        <v>50.248890000000003</v>
      </c>
      <c r="N1347" s="9">
        <v>-117.08028</v>
      </c>
      <c r="O1347" s="9" t="s">
        <v>170</v>
      </c>
      <c r="P1347" s="9">
        <v>34225</v>
      </c>
      <c r="Q1347" s="20">
        <v>8</v>
      </c>
      <c r="R1347" s="9" t="s">
        <v>1041</v>
      </c>
      <c r="S1347" s="11" t="s">
        <v>1043</v>
      </c>
      <c r="T1347" s="9" t="s">
        <v>644</v>
      </c>
      <c r="U1347" s="9">
        <v>2518</v>
      </c>
      <c r="V1347" s="9"/>
      <c r="W1347" s="9"/>
      <c r="X1347" s="9"/>
      <c r="Y1347" s="9"/>
      <c r="Z1347" s="9"/>
      <c r="AA1347" s="9" t="s">
        <v>1044</v>
      </c>
      <c r="AB1347" s="9"/>
      <c r="AC1347" s="9"/>
      <c r="AD1347" s="9"/>
      <c r="AE1347" s="9"/>
      <c r="AF1347" s="9"/>
      <c r="AG1347" s="9"/>
      <c r="AH1347" s="9"/>
      <c r="AI1347" s="9"/>
      <c r="AJ1347" s="9"/>
      <c r="AK1347" s="7"/>
      <c r="AL1347" s="9"/>
      <c r="AM1347" s="9"/>
      <c r="AN1347" s="9"/>
      <c r="AO1347" s="9"/>
      <c r="AP1347" s="9"/>
      <c r="AQ1347" s="9"/>
      <c r="AR1347" s="9"/>
      <c r="AS1347" s="9"/>
      <c r="AT1347" s="9"/>
      <c r="AU1347" s="9"/>
      <c r="AV1347" s="9"/>
      <c r="AW1347" s="9"/>
      <c r="AX1347" s="9"/>
      <c r="AY1347" s="9"/>
      <c r="AZ1347" s="9"/>
      <c r="BA1347" s="9"/>
      <c r="BB1347" s="9"/>
      <c r="BC1347" s="9"/>
      <c r="BD1347" s="9"/>
      <c r="BE1347" s="9"/>
      <c r="BF1347" s="9"/>
      <c r="BG1347" s="9"/>
      <c r="BH1347" s="9"/>
      <c r="BI1347" s="9"/>
      <c r="BJ1347" s="9"/>
      <c r="BK1347" s="9"/>
      <c r="BL1347" s="9"/>
      <c r="BM1347" s="9"/>
      <c r="BN1347" s="9"/>
      <c r="BO1347" s="9"/>
      <c r="BP1347" s="9"/>
      <c r="BQ1347" s="9"/>
      <c r="BR1347" s="9"/>
      <c r="BS1347" s="9"/>
      <c r="BT1347" s="9"/>
    </row>
    <row r="1348" spans="1:72" ht="14.25" customHeight="1" x14ac:dyDescent="0.2">
      <c r="A1348" s="5"/>
      <c r="B1348" s="4">
        <v>2</v>
      </c>
      <c r="C1348" s="4" t="s">
        <v>637</v>
      </c>
      <c r="D1348" s="4">
        <v>34621</v>
      </c>
      <c r="E1348" s="4">
        <v>2778</v>
      </c>
      <c r="F1348" s="203" t="s">
        <v>1045</v>
      </c>
      <c r="G1348" s="19" t="s">
        <v>1046</v>
      </c>
      <c r="H1348" s="4" t="s">
        <v>1047</v>
      </c>
      <c r="I1348" s="4" t="s">
        <v>641</v>
      </c>
      <c r="J1348" s="4" t="s">
        <v>755</v>
      </c>
      <c r="K1348" s="4">
        <v>1</v>
      </c>
      <c r="L1348" s="4">
        <v>3521</v>
      </c>
      <c r="M1348" s="222">
        <v>49.714410000000001</v>
      </c>
      <c r="N1348" s="201">
        <v>-116.90724</v>
      </c>
      <c r="O1348" s="9" t="s">
        <v>170</v>
      </c>
      <c r="P1348" s="9">
        <v>34621</v>
      </c>
      <c r="Q1348" s="20">
        <v>1</v>
      </c>
      <c r="R1348" s="9" t="s">
        <v>1045</v>
      </c>
      <c r="S1348" s="11" t="s">
        <v>1048</v>
      </c>
      <c r="T1348" s="9" t="s">
        <v>644</v>
      </c>
      <c r="U1348" s="201">
        <v>610</v>
      </c>
      <c r="V1348" s="9"/>
      <c r="W1348" s="9"/>
      <c r="X1348" s="9"/>
      <c r="Y1348" s="9"/>
      <c r="Z1348" s="9" t="s">
        <v>645</v>
      </c>
      <c r="AA1348" s="9" t="s">
        <v>1049</v>
      </c>
      <c r="AB1348" s="9"/>
      <c r="AC1348" s="21"/>
      <c r="AD1348" s="9"/>
      <c r="AE1348" s="9"/>
      <c r="AF1348" s="9"/>
      <c r="AG1348" s="9"/>
      <c r="AH1348" s="9"/>
      <c r="AI1348" s="9"/>
      <c r="AJ1348" s="9"/>
      <c r="AK1348" s="7"/>
      <c r="AL1348" s="9"/>
      <c r="AM1348" s="9"/>
      <c r="AN1348" s="9"/>
      <c r="AO1348" s="9"/>
      <c r="AP1348" s="9"/>
      <c r="AQ1348" s="9"/>
      <c r="AR1348" s="9"/>
      <c r="AS1348" s="9"/>
      <c r="AT1348" s="9"/>
      <c r="AU1348" s="9"/>
      <c r="AV1348" s="9"/>
      <c r="AW1348" s="9"/>
      <c r="AX1348" s="9"/>
      <c r="AY1348" s="9"/>
      <c r="AZ1348" s="9"/>
      <c r="BA1348" s="9"/>
      <c r="BB1348" s="9"/>
      <c r="BC1348" s="9"/>
      <c r="BD1348" s="9"/>
      <c r="BE1348" s="9"/>
      <c r="BF1348" s="9"/>
      <c r="BG1348" s="9"/>
      <c r="BH1348" s="9"/>
      <c r="BI1348" s="9"/>
      <c r="BJ1348" s="9"/>
      <c r="BK1348" s="9"/>
      <c r="BL1348" s="9"/>
      <c r="BM1348" s="9"/>
      <c r="BN1348" s="9"/>
      <c r="BO1348" s="9"/>
      <c r="BP1348" s="9"/>
      <c r="BQ1348" s="9"/>
      <c r="BR1348" s="9"/>
      <c r="BS1348" s="9"/>
      <c r="BT1348" s="9"/>
    </row>
    <row r="1349" spans="1:72" ht="14.25" customHeight="1" x14ac:dyDescent="0.2">
      <c r="A1349" s="5"/>
      <c r="B1349" s="4">
        <v>2</v>
      </c>
      <c r="C1349" s="4" t="s">
        <v>637</v>
      </c>
      <c r="D1349" s="4">
        <v>34791</v>
      </c>
      <c r="E1349" s="4">
        <v>2779</v>
      </c>
      <c r="F1349" s="4" t="s">
        <v>1050</v>
      </c>
      <c r="G1349" s="215" t="s">
        <v>1051</v>
      </c>
      <c r="H1349" s="4" t="s">
        <v>1052</v>
      </c>
      <c r="I1349" s="4" t="s">
        <v>641</v>
      </c>
      <c r="J1349" s="4" t="s">
        <v>642</v>
      </c>
      <c r="K1349" s="4">
        <v>1</v>
      </c>
      <c r="L1349" s="4">
        <v>3522</v>
      </c>
      <c r="M1349" s="6">
        <v>50.147500000000001</v>
      </c>
      <c r="N1349" s="9">
        <v>-117.5925</v>
      </c>
      <c r="O1349" s="9" t="s">
        <v>170</v>
      </c>
      <c r="P1349" s="9">
        <v>34791</v>
      </c>
      <c r="Q1349" s="20">
        <v>1</v>
      </c>
      <c r="R1349" s="9" t="s">
        <v>1050</v>
      </c>
      <c r="S1349" s="11" t="s">
        <v>1053</v>
      </c>
      <c r="T1349" s="9" t="s">
        <v>644</v>
      </c>
      <c r="U1349" s="9">
        <v>780</v>
      </c>
      <c r="Z1349" s="9"/>
      <c r="AA1349" s="9" t="s">
        <v>1054</v>
      </c>
      <c r="AB1349" s="9"/>
      <c r="AC1349" s="21"/>
      <c r="AD1349" s="9"/>
      <c r="AE1349" s="9"/>
      <c r="AF1349" s="9"/>
      <c r="AG1349" s="9"/>
      <c r="AH1349" s="9"/>
      <c r="AI1349" s="9"/>
      <c r="AK1349" s="260"/>
    </row>
    <row r="1350" spans="1:72" ht="14.25" customHeight="1" x14ac:dyDescent="0.2">
      <c r="A1350" s="5"/>
      <c r="B1350" s="4">
        <v>2</v>
      </c>
      <c r="C1350" s="4" t="s">
        <v>637</v>
      </c>
      <c r="D1350" s="4">
        <v>35091</v>
      </c>
      <c r="E1350" s="4">
        <v>2783</v>
      </c>
      <c r="F1350" s="4" t="s">
        <v>1055</v>
      </c>
      <c r="G1350" s="215" t="s">
        <v>1056</v>
      </c>
      <c r="H1350" s="4" t="s">
        <v>1057</v>
      </c>
      <c r="I1350" s="4" t="s">
        <v>641</v>
      </c>
      <c r="J1350" s="4" t="s">
        <v>755</v>
      </c>
      <c r="K1350" s="4">
        <v>1</v>
      </c>
      <c r="L1350" s="4">
        <v>3526</v>
      </c>
      <c r="M1350" s="222">
        <v>49.994439999999997</v>
      </c>
      <c r="N1350" s="201">
        <v>-115.76111</v>
      </c>
      <c r="O1350" s="9" t="s">
        <v>170</v>
      </c>
      <c r="P1350" s="9">
        <v>35091</v>
      </c>
      <c r="Q1350" s="20">
        <v>1</v>
      </c>
      <c r="R1350" s="9" t="s">
        <v>1055</v>
      </c>
      <c r="S1350" s="11" t="s">
        <v>1058</v>
      </c>
      <c r="T1350" s="9" t="s">
        <v>644</v>
      </c>
      <c r="U1350" s="9">
        <v>870</v>
      </c>
      <c r="Z1350" s="9"/>
      <c r="AA1350" s="9" t="s">
        <v>1059</v>
      </c>
      <c r="AB1350" s="9"/>
      <c r="AC1350" s="21"/>
      <c r="AD1350" s="9"/>
      <c r="AE1350" s="9"/>
      <c r="AF1350" s="9"/>
      <c r="AG1350" s="9"/>
      <c r="AH1350" s="9"/>
      <c r="AI1350" s="9"/>
      <c r="AK1350" s="260"/>
    </row>
    <row r="1351" spans="1:72" ht="14.25" customHeight="1" x14ac:dyDescent="0.2">
      <c r="A1351" s="5"/>
      <c r="B1351" s="4">
        <v>2</v>
      </c>
      <c r="C1351" s="4" t="s">
        <v>637</v>
      </c>
      <c r="D1351" s="4">
        <v>35092</v>
      </c>
      <c r="E1351" s="4">
        <v>2784</v>
      </c>
      <c r="F1351" s="4" t="s">
        <v>1060</v>
      </c>
      <c r="G1351" s="215" t="s">
        <v>1061</v>
      </c>
      <c r="H1351" s="4" t="s">
        <v>1062</v>
      </c>
      <c r="I1351" s="4" t="s">
        <v>641</v>
      </c>
      <c r="J1351" s="4" t="s">
        <v>642</v>
      </c>
      <c r="K1351" s="4">
        <v>1</v>
      </c>
      <c r="L1351" s="4">
        <v>3527</v>
      </c>
      <c r="M1351" s="6">
        <v>49.32611</v>
      </c>
      <c r="N1351" s="9">
        <v>-115.82889</v>
      </c>
      <c r="O1351" s="9" t="s">
        <v>170</v>
      </c>
      <c r="P1351" s="9">
        <v>35092</v>
      </c>
      <c r="Q1351" s="20">
        <v>2</v>
      </c>
      <c r="R1351" s="9" t="s">
        <v>1060</v>
      </c>
      <c r="S1351" s="11" t="s">
        <v>1063</v>
      </c>
      <c r="T1351" s="9" t="s">
        <v>644</v>
      </c>
      <c r="U1351" s="9">
        <v>975</v>
      </c>
      <c r="Z1351" s="9"/>
      <c r="AA1351" s="9" t="s">
        <v>1064</v>
      </c>
      <c r="AB1351" s="9"/>
      <c r="AC1351" s="21"/>
      <c r="AD1351" s="9"/>
      <c r="AE1351" s="9"/>
      <c r="AF1351" s="9"/>
      <c r="AG1351" s="9"/>
      <c r="AH1351" s="9"/>
      <c r="AI1351" s="9"/>
      <c r="AK1351" s="260"/>
    </row>
    <row r="1352" spans="1:72" ht="14.25" customHeight="1" x14ac:dyDescent="0.2">
      <c r="A1352" s="5"/>
      <c r="B1352" s="4">
        <v>2</v>
      </c>
      <c r="C1352" s="4" t="s">
        <v>637</v>
      </c>
      <c r="D1352" s="4">
        <v>35093</v>
      </c>
      <c r="E1352" s="4">
        <v>12475</v>
      </c>
      <c r="F1352" s="9" t="s">
        <v>1065</v>
      </c>
      <c r="G1352" s="215" t="s">
        <v>1066</v>
      </c>
      <c r="H1352" s="4" t="s">
        <v>709</v>
      </c>
      <c r="I1352" s="4" t="s">
        <v>49</v>
      </c>
      <c r="J1352" s="4" t="s">
        <v>830</v>
      </c>
      <c r="K1352" s="4">
        <v>1</v>
      </c>
      <c r="L1352" s="4">
        <v>14497</v>
      </c>
      <c r="M1352" s="6">
        <v>49.661149999999999</v>
      </c>
      <c r="N1352" s="9">
        <v>-115.96778999999999</v>
      </c>
      <c r="O1352" s="9" t="s">
        <v>170</v>
      </c>
      <c r="P1352" s="9">
        <v>35093</v>
      </c>
      <c r="Q1352" s="20">
        <v>2</v>
      </c>
      <c r="R1352" s="9" t="s">
        <v>1065</v>
      </c>
      <c r="S1352" s="11" t="s">
        <v>1067</v>
      </c>
      <c r="T1352" s="9" t="s">
        <v>644</v>
      </c>
      <c r="U1352" s="9">
        <v>1035</v>
      </c>
      <c r="V1352" s="9"/>
      <c r="W1352" s="9"/>
      <c r="X1352" s="9"/>
      <c r="Y1352" s="9"/>
      <c r="Z1352" s="9"/>
      <c r="AA1352" s="9" t="s">
        <v>1068</v>
      </c>
      <c r="AB1352" s="9"/>
      <c r="AC1352" s="9"/>
      <c r="AD1352" s="9"/>
      <c r="AE1352" s="9"/>
      <c r="AF1352" s="9"/>
      <c r="AG1352" s="9"/>
      <c r="AH1352" s="9"/>
      <c r="AI1352" s="9"/>
      <c r="AJ1352" s="9"/>
      <c r="AK1352" s="7"/>
      <c r="AL1352" s="9"/>
      <c r="AM1352" s="9"/>
      <c r="AN1352" s="9"/>
      <c r="AO1352" s="203"/>
      <c r="AP1352" s="203"/>
      <c r="AQ1352" s="203"/>
      <c r="AR1352" s="203"/>
      <c r="AS1352" s="203"/>
      <c r="AT1352" s="203"/>
      <c r="AU1352" s="203"/>
      <c r="AV1352" s="203"/>
      <c r="AW1352" s="203"/>
      <c r="AX1352" s="203"/>
      <c r="AY1352" s="203"/>
      <c r="AZ1352" s="203"/>
      <c r="BA1352" s="203"/>
      <c r="BB1352" s="9"/>
      <c r="BC1352" s="9"/>
      <c r="BD1352" s="9"/>
      <c r="BE1352" s="9"/>
      <c r="BF1352" s="9"/>
      <c r="BG1352" s="9"/>
      <c r="BH1352" s="9"/>
      <c r="BI1352" s="9"/>
      <c r="BJ1352" s="9"/>
      <c r="BK1352" s="9"/>
      <c r="BL1352" s="9"/>
      <c r="BM1352" s="9"/>
      <c r="BN1352" s="9"/>
      <c r="BO1352" s="9"/>
      <c r="BP1352" s="9"/>
      <c r="BQ1352" s="9"/>
      <c r="BR1352" s="9"/>
      <c r="BS1352" s="9"/>
      <c r="BT1352" s="9"/>
    </row>
    <row r="1353" spans="1:72" ht="14.25" customHeight="1" x14ac:dyDescent="0.2">
      <c r="A1353" s="5"/>
      <c r="B1353" s="4">
        <v>2</v>
      </c>
      <c r="C1353" s="4" t="s">
        <v>637</v>
      </c>
      <c r="D1353" s="4">
        <v>35094</v>
      </c>
      <c r="E1353" s="4">
        <v>12476</v>
      </c>
      <c r="F1353" s="188" t="s">
        <v>1069</v>
      </c>
      <c r="G1353" s="19" t="s">
        <v>1070</v>
      </c>
      <c r="H1353" s="4" t="s">
        <v>709</v>
      </c>
      <c r="I1353" s="4" t="s">
        <v>49</v>
      </c>
      <c r="J1353" s="4" t="s">
        <v>799</v>
      </c>
      <c r="K1353" s="4">
        <v>1</v>
      </c>
      <c r="L1353" s="4">
        <v>14498</v>
      </c>
      <c r="M1353" s="6">
        <v>49.172029999999999</v>
      </c>
      <c r="N1353" s="9">
        <v>-116.00877</v>
      </c>
      <c r="O1353" s="9" t="s">
        <v>170</v>
      </c>
      <c r="P1353" s="9">
        <v>35094</v>
      </c>
      <c r="Q1353" s="20">
        <v>2</v>
      </c>
      <c r="R1353" s="9" t="s">
        <v>1069</v>
      </c>
      <c r="S1353" s="11" t="s">
        <v>1071</v>
      </c>
      <c r="T1353" s="9" t="s">
        <v>644</v>
      </c>
      <c r="U1353" s="9">
        <v>910</v>
      </c>
      <c r="Z1353" s="9"/>
      <c r="AA1353" s="9" t="s">
        <v>1072</v>
      </c>
      <c r="AB1353" s="9"/>
      <c r="AC1353" s="9"/>
      <c r="AD1353" s="9"/>
      <c r="AE1353" s="9"/>
      <c r="AF1353" s="9"/>
      <c r="AG1353" s="9"/>
      <c r="AH1353" s="9"/>
      <c r="AI1353" s="9"/>
      <c r="AK1353" s="260"/>
    </row>
    <row r="1354" spans="1:72" ht="14.25" customHeight="1" x14ac:dyDescent="0.2">
      <c r="A1354" s="5"/>
      <c r="B1354" s="4">
        <v>2</v>
      </c>
      <c r="C1354" s="4" t="s">
        <v>637</v>
      </c>
      <c r="D1354" s="4">
        <v>36124</v>
      </c>
      <c r="E1354" s="4">
        <v>2789</v>
      </c>
      <c r="F1354" s="188" t="s">
        <v>1073</v>
      </c>
      <c r="G1354" s="19" t="s">
        <v>1074</v>
      </c>
      <c r="H1354" s="4" t="s">
        <v>1075</v>
      </c>
      <c r="I1354" s="4" t="s">
        <v>641</v>
      </c>
      <c r="J1354" s="4" t="s">
        <v>755</v>
      </c>
      <c r="K1354" s="4">
        <v>1</v>
      </c>
      <c r="L1354" s="4">
        <v>3532</v>
      </c>
      <c r="M1354" s="6">
        <v>49.39</v>
      </c>
      <c r="N1354" s="9">
        <v>-115.02306</v>
      </c>
      <c r="O1354" s="9" t="s">
        <v>170</v>
      </c>
      <c r="P1354" s="9">
        <v>36124</v>
      </c>
      <c r="Q1354" s="20">
        <v>2</v>
      </c>
      <c r="R1354" s="9" t="s">
        <v>1073</v>
      </c>
      <c r="S1354" s="11" t="s">
        <v>1076</v>
      </c>
      <c r="T1354" s="9" t="s">
        <v>644</v>
      </c>
      <c r="U1354" s="9">
        <v>960</v>
      </c>
      <c r="Z1354" s="9" t="s">
        <v>645</v>
      </c>
      <c r="AA1354" s="9" t="s">
        <v>1077</v>
      </c>
      <c r="AB1354" s="9"/>
      <c r="AC1354" s="21"/>
      <c r="AD1354" s="9"/>
      <c r="AE1354" s="9"/>
      <c r="AF1354" s="9"/>
      <c r="AG1354" s="9"/>
      <c r="AH1354" s="9"/>
      <c r="AI1354" s="9"/>
      <c r="AK1354" s="260"/>
      <c r="AO1354" s="192"/>
    </row>
    <row r="1355" spans="1:72" ht="14.25" customHeight="1" x14ac:dyDescent="0.2">
      <c r="A1355" s="5"/>
      <c r="B1355" s="4">
        <v>2</v>
      </c>
      <c r="C1355" s="4" t="s">
        <v>637</v>
      </c>
      <c r="D1355" s="4">
        <v>36191</v>
      </c>
      <c r="E1355" s="4">
        <v>12477</v>
      </c>
      <c r="F1355" s="188" t="s">
        <v>1083</v>
      </c>
      <c r="G1355" s="38" t="s">
        <v>1084</v>
      </c>
      <c r="H1355" s="4" t="s">
        <v>709</v>
      </c>
      <c r="I1355" s="4" t="s">
        <v>49</v>
      </c>
      <c r="J1355" s="4" t="s">
        <v>830</v>
      </c>
      <c r="K1355" s="4">
        <v>1</v>
      </c>
      <c r="L1355" s="4">
        <v>14499</v>
      </c>
      <c r="M1355" s="298" t="s">
        <v>1085</v>
      </c>
      <c r="N1355" s="234" t="s">
        <v>1086</v>
      </c>
      <c r="O1355" s="9" t="s">
        <v>170</v>
      </c>
      <c r="P1355" s="9">
        <v>36191</v>
      </c>
      <c r="Q1355" s="20">
        <v>3</v>
      </c>
      <c r="R1355" s="9" t="s">
        <v>1083</v>
      </c>
      <c r="S1355" s="11" t="s">
        <v>1087</v>
      </c>
      <c r="T1355" s="9" t="s">
        <v>644</v>
      </c>
      <c r="U1355" s="9">
        <v>1246</v>
      </c>
      <c r="Z1355" s="9"/>
      <c r="AA1355" s="9" t="s">
        <v>1088</v>
      </c>
      <c r="AB1355" s="9"/>
      <c r="AC1355" s="9"/>
      <c r="AD1355" s="9"/>
      <c r="AE1355" s="9"/>
      <c r="AF1355" s="9"/>
      <c r="AG1355" s="9"/>
      <c r="AH1355" s="9"/>
      <c r="AI1355" s="9"/>
      <c r="AK1355" s="260"/>
      <c r="AO1355" s="192"/>
    </row>
    <row r="1356" spans="1:72" ht="14.25" customHeight="1" x14ac:dyDescent="0.2">
      <c r="A1356" s="5"/>
      <c r="B1356" s="4">
        <v>2</v>
      </c>
      <c r="C1356" s="4" t="s">
        <v>637</v>
      </c>
      <c r="D1356" s="4">
        <v>36192</v>
      </c>
      <c r="E1356" s="4">
        <v>12478</v>
      </c>
      <c r="F1356" s="203" t="s">
        <v>1089</v>
      </c>
      <c r="G1356" s="19" t="s">
        <v>1090</v>
      </c>
      <c r="H1356" s="4" t="s">
        <v>709</v>
      </c>
      <c r="I1356" s="4" t="s">
        <v>49</v>
      </c>
      <c r="J1356" s="4" t="s">
        <v>830</v>
      </c>
      <c r="K1356" s="4">
        <v>1</v>
      </c>
      <c r="L1356" s="4">
        <v>14500</v>
      </c>
      <c r="M1356" s="6">
        <v>49.650190000000002</v>
      </c>
      <c r="N1356" s="9">
        <v>-114.71286000000001</v>
      </c>
      <c r="O1356" s="9" t="s">
        <v>170</v>
      </c>
      <c r="P1356" s="9">
        <v>36192</v>
      </c>
      <c r="Q1356" s="20">
        <v>4</v>
      </c>
      <c r="R1356" s="9" t="s">
        <v>1089</v>
      </c>
      <c r="S1356" s="11" t="s">
        <v>1091</v>
      </c>
      <c r="T1356" s="9" t="s">
        <v>644</v>
      </c>
      <c r="U1356" s="9">
        <v>1353</v>
      </c>
      <c r="V1356" s="9"/>
      <c r="W1356" s="9"/>
      <c r="X1356" s="9"/>
      <c r="Y1356" s="9"/>
      <c r="Z1356" s="9"/>
      <c r="AA1356" s="9" t="s">
        <v>1092</v>
      </c>
      <c r="AB1356" s="9"/>
      <c r="AC1356" s="9"/>
      <c r="AD1356" s="9"/>
      <c r="AE1356" s="9"/>
      <c r="AF1356" s="9"/>
      <c r="AG1356" s="9"/>
      <c r="AH1356" s="9"/>
      <c r="AI1356" s="9"/>
      <c r="AJ1356" s="9"/>
      <c r="AK1356" s="7"/>
      <c r="AL1356" s="9"/>
      <c r="AM1356" s="9"/>
      <c r="AN1356" s="9"/>
      <c r="AO1356" s="9"/>
      <c r="AP1356" s="9"/>
      <c r="AQ1356" s="9"/>
      <c r="AR1356" s="9"/>
      <c r="AS1356" s="9"/>
      <c r="AT1356" s="9"/>
      <c r="AU1356" s="9"/>
      <c r="AV1356" s="9"/>
      <c r="AW1356" s="9"/>
      <c r="AX1356" s="9"/>
      <c r="AY1356" s="9"/>
      <c r="AZ1356" s="9"/>
      <c r="BA1356" s="9"/>
      <c r="BB1356" s="9"/>
      <c r="BC1356" s="9"/>
      <c r="BD1356" s="9"/>
      <c r="BE1356" s="9"/>
      <c r="BF1356" s="9"/>
      <c r="BG1356" s="9"/>
      <c r="BH1356" s="9"/>
      <c r="BI1356" s="9"/>
      <c r="BJ1356" s="9"/>
      <c r="BK1356" s="9"/>
      <c r="BL1356" s="9"/>
      <c r="BM1356" s="9"/>
      <c r="BN1356" s="9"/>
      <c r="BO1356" s="9"/>
      <c r="BP1356" s="9"/>
      <c r="BQ1356" s="9"/>
      <c r="BR1356" s="9"/>
      <c r="BS1356" s="9"/>
      <c r="BT1356" s="9"/>
    </row>
    <row r="1357" spans="1:72" ht="14.25" customHeight="1" x14ac:dyDescent="0.2">
      <c r="A1357" s="5"/>
      <c r="B1357" s="4">
        <v>2</v>
      </c>
      <c r="C1357" s="4" t="s">
        <v>637</v>
      </c>
      <c r="D1357" s="4">
        <v>37091</v>
      </c>
      <c r="E1357" s="4">
        <v>2793</v>
      </c>
      <c r="F1357" s="4" t="s">
        <v>1099</v>
      </c>
      <c r="G1357" s="215" t="s">
        <v>1100</v>
      </c>
      <c r="H1357" s="4" t="s">
        <v>1062</v>
      </c>
      <c r="I1357" s="4" t="s">
        <v>641</v>
      </c>
      <c r="J1357" s="4" t="s">
        <v>642</v>
      </c>
      <c r="K1357" s="4">
        <v>1</v>
      </c>
      <c r="L1357" s="4">
        <v>3536</v>
      </c>
      <c r="M1357" s="6">
        <v>50.738280000000003</v>
      </c>
      <c r="N1357" s="9">
        <v>-116.17646999999999</v>
      </c>
      <c r="O1357" s="9" t="s">
        <v>170</v>
      </c>
      <c r="P1357" s="9">
        <v>37091</v>
      </c>
      <c r="Q1357" s="20">
        <v>1</v>
      </c>
      <c r="R1357" s="9" t="s">
        <v>1099</v>
      </c>
      <c r="S1357" s="11" t="s">
        <v>1101</v>
      </c>
      <c r="T1357" s="9" t="s">
        <v>644</v>
      </c>
      <c r="U1357" s="9">
        <v>870</v>
      </c>
      <c r="Z1357" s="9" t="s">
        <v>645</v>
      </c>
      <c r="AA1357" s="9" t="s">
        <v>1102</v>
      </c>
      <c r="AB1357" s="9"/>
      <c r="AC1357" s="21"/>
      <c r="AD1357" s="9"/>
      <c r="AE1357" s="9"/>
      <c r="AF1357" s="9"/>
      <c r="AG1357" s="9"/>
      <c r="AH1357" s="9"/>
      <c r="AI1357" s="9"/>
      <c r="AK1357" s="260"/>
    </row>
    <row r="1358" spans="1:72" ht="14.25" customHeight="1" x14ac:dyDescent="0.2">
      <c r="A1358" s="5"/>
      <c r="B1358" s="4">
        <v>2</v>
      </c>
      <c r="C1358" s="4" t="s">
        <v>637</v>
      </c>
      <c r="D1358" s="4">
        <v>37092</v>
      </c>
      <c r="E1358" s="4">
        <v>2794</v>
      </c>
      <c r="F1358" s="9" t="s">
        <v>1103</v>
      </c>
      <c r="G1358" s="215" t="s">
        <v>1104</v>
      </c>
      <c r="H1358" s="4" t="s">
        <v>1105</v>
      </c>
      <c r="I1358" s="4" t="s">
        <v>641</v>
      </c>
      <c r="J1358" s="4" t="s">
        <v>642</v>
      </c>
      <c r="K1358" s="4">
        <v>1</v>
      </c>
      <c r="L1358" s="4">
        <v>3537</v>
      </c>
      <c r="M1358" s="6">
        <v>51.506999999999998</v>
      </c>
      <c r="N1358" s="9">
        <v>-117.42179</v>
      </c>
      <c r="O1358" s="9" t="s">
        <v>170</v>
      </c>
      <c r="P1358" s="9">
        <v>37092</v>
      </c>
      <c r="Q1358" s="20">
        <v>2</v>
      </c>
      <c r="R1358" s="9" t="s">
        <v>1103</v>
      </c>
      <c r="S1358" s="11" t="s">
        <v>1106</v>
      </c>
      <c r="T1358" s="9" t="s">
        <v>644</v>
      </c>
      <c r="U1358" s="201">
        <v>1041</v>
      </c>
      <c r="V1358" s="9"/>
      <c r="W1358" s="9"/>
      <c r="X1358" s="9"/>
      <c r="Y1358" s="9"/>
      <c r="Z1358" s="9" t="s">
        <v>645</v>
      </c>
      <c r="AA1358" s="9" t="s">
        <v>1107</v>
      </c>
      <c r="AB1358" s="9"/>
      <c r="AC1358" s="21"/>
      <c r="AD1358" s="9"/>
      <c r="AE1358" s="9"/>
      <c r="AF1358" s="9"/>
      <c r="AG1358" s="9"/>
      <c r="AH1358" s="9"/>
      <c r="AI1358" s="9"/>
      <c r="AJ1358" s="9"/>
      <c r="AK1358" s="7"/>
      <c r="AL1358" s="9"/>
      <c r="AM1358" s="9"/>
      <c r="AN1358" s="9"/>
      <c r="AO1358" s="9"/>
      <c r="AP1358" s="9"/>
      <c r="AQ1358" s="9"/>
      <c r="AR1358" s="9"/>
      <c r="AS1358" s="9"/>
      <c r="AT1358" s="9"/>
      <c r="AU1358" s="9"/>
      <c r="AV1358" s="9"/>
      <c r="AW1358" s="9"/>
      <c r="AX1358" s="9"/>
      <c r="AY1358" s="9"/>
      <c r="AZ1358" s="9"/>
      <c r="BA1358" s="9"/>
      <c r="BB1358" s="9"/>
      <c r="BC1358" s="9"/>
      <c r="BD1358" s="9"/>
      <c r="BE1358" s="9"/>
      <c r="BF1358" s="9"/>
      <c r="BG1358" s="9"/>
      <c r="BH1358" s="9"/>
      <c r="BI1358" s="9"/>
      <c r="BJ1358" s="9"/>
      <c r="BK1358" s="9"/>
      <c r="BL1358" s="9"/>
      <c r="BM1358" s="9"/>
      <c r="BN1358" s="9"/>
      <c r="BO1358" s="9"/>
      <c r="BP1358" s="9"/>
      <c r="BQ1358" s="9"/>
      <c r="BR1358" s="9"/>
      <c r="BS1358" s="9"/>
      <c r="BT1358" s="9"/>
    </row>
    <row r="1359" spans="1:72" ht="14.25" customHeight="1" x14ac:dyDescent="0.2">
      <c r="A1359" s="5"/>
      <c r="B1359" s="4">
        <v>2</v>
      </c>
      <c r="C1359" s="4" t="s">
        <v>637</v>
      </c>
      <c r="D1359" s="4">
        <v>37093</v>
      </c>
      <c r="E1359" s="4">
        <v>11025</v>
      </c>
      <c r="F1359" s="4" t="s">
        <v>1108</v>
      </c>
      <c r="G1359" s="201" t="s">
        <v>1109</v>
      </c>
      <c r="H1359" s="4" t="s">
        <v>891</v>
      </c>
      <c r="I1359" s="4" t="s">
        <v>49</v>
      </c>
      <c r="J1359" s="4" t="s">
        <v>1110</v>
      </c>
      <c r="K1359" s="4">
        <v>1</v>
      </c>
      <c r="L1359" s="4">
        <v>13193</v>
      </c>
      <c r="M1359" s="298">
        <v>51.479950000000002</v>
      </c>
      <c r="N1359" s="224">
        <v>-117.35812</v>
      </c>
      <c r="O1359" s="9" t="s">
        <v>170</v>
      </c>
      <c r="P1359" s="9">
        <v>37093</v>
      </c>
      <c r="Q1359" s="20">
        <v>2</v>
      </c>
      <c r="R1359" s="9" t="s">
        <v>1108</v>
      </c>
      <c r="S1359" s="11" t="s">
        <v>1111</v>
      </c>
      <c r="T1359" s="9" t="s">
        <v>644</v>
      </c>
      <c r="U1359" s="224">
        <v>1068</v>
      </c>
      <c r="Z1359" s="9"/>
      <c r="AA1359" s="224" t="s">
        <v>1112</v>
      </c>
      <c r="AB1359" s="9"/>
      <c r="AC1359" s="9"/>
      <c r="AD1359" s="9"/>
      <c r="AE1359" s="9"/>
      <c r="AF1359" s="9"/>
      <c r="AG1359" s="9"/>
      <c r="AH1359" s="9"/>
      <c r="AI1359" s="9"/>
      <c r="AK1359" s="260"/>
    </row>
    <row r="1360" spans="1:72" ht="14.25" customHeight="1" x14ac:dyDescent="0.2">
      <c r="A1360" s="5"/>
      <c r="B1360" s="4">
        <v>2</v>
      </c>
      <c r="C1360" s="4" t="s">
        <v>637</v>
      </c>
      <c r="D1360" s="4">
        <v>37121</v>
      </c>
      <c r="E1360" s="4">
        <v>2797</v>
      </c>
      <c r="F1360" s="4" t="s">
        <v>1113</v>
      </c>
      <c r="G1360" s="215" t="s">
        <v>1114</v>
      </c>
      <c r="H1360" s="4" t="s">
        <v>1115</v>
      </c>
      <c r="I1360" s="4" t="s">
        <v>641</v>
      </c>
      <c r="J1360" s="4" t="s">
        <v>1116</v>
      </c>
      <c r="K1360" s="4">
        <v>1</v>
      </c>
      <c r="L1360" s="4">
        <v>3540</v>
      </c>
      <c r="M1360" s="6">
        <v>51.31514</v>
      </c>
      <c r="N1360" s="9">
        <v>-116.87846999999999</v>
      </c>
      <c r="O1360" s="9" t="s">
        <v>170</v>
      </c>
      <c r="P1360" s="9">
        <v>37121</v>
      </c>
      <c r="Q1360" s="20">
        <v>6</v>
      </c>
      <c r="R1360" s="9" t="s">
        <v>1113</v>
      </c>
      <c r="S1360" s="11" t="s">
        <v>1117</v>
      </c>
      <c r="T1360" s="9" t="s">
        <v>644</v>
      </c>
      <c r="U1360" s="9">
        <v>1844</v>
      </c>
      <c r="Z1360" s="9"/>
      <c r="AA1360" s="9" t="s">
        <v>1118</v>
      </c>
      <c r="AB1360" s="9"/>
      <c r="AC1360" s="9"/>
      <c r="AD1360" s="9"/>
      <c r="AE1360" s="9"/>
      <c r="AF1360" s="9"/>
      <c r="AG1360" s="9"/>
      <c r="AH1360" s="9"/>
      <c r="AI1360" s="9"/>
      <c r="AK1360" s="260"/>
    </row>
    <row r="1361" spans="1:72" ht="14.25" customHeight="1" x14ac:dyDescent="0.2">
      <c r="A1361" s="5"/>
      <c r="B1361" s="4">
        <v>2</v>
      </c>
      <c r="C1361" s="4" t="s">
        <v>637</v>
      </c>
      <c r="D1361" s="4">
        <v>37122</v>
      </c>
      <c r="E1361" s="4">
        <v>2798</v>
      </c>
      <c r="F1361" s="9" t="s">
        <v>1119</v>
      </c>
      <c r="G1361" s="215" t="s">
        <v>1120</v>
      </c>
      <c r="H1361" s="4" t="s">
        <v>1121</v>
      </c>
      <c r="I1361" s="4" t="s">
        <v>641</v>
      </c>
      <c r="J1361" s="4" t="s">
        <v>1122</v>
      </c>
      <c r="K1361" s="4">
        <v>1</v>
      </c>
      <c r="L1361" s="4">
        <v>3541</v>
      </c>
      <c r="M1361" s="6">
        <v>51.310560000000002</v>
      </c>
      <c r="N1361" s="9">
        <v>-116.88467</v>
      </c>
      <c r="O1361" s="9" t="s">
        <v>170</v>
      </c>
      <c r="P1361" s="9">
        <v>37122</v>
      </c>
      <c r="Q1361" s="20">
        <v>4</v>
      </c>
      <c r="R1361" s="9" t="s">
        <v>1119</v>
      </c>
      <c r="S1361" s="11" t="s">
        <v>1123</v>
      </c>
      <c r="T1361" s="9" t="s">
        <v>644</v>
      </c>
      <c r="U1361" s="9">
        <v>1440</v>
      </c>
      <c r="V1361" s="9"/>
      <c r="W1361" s="9"/>
      <c r="X1361" s="9"/>
      <c r="Y1361" s="9"/>
      <c r="Z1361" s="9"/>
      <c r="AA1361" s="9" t="s">
        <v>1124</v>
      </c>
      <c r="AB1361" s="9"/>
      <c r="AC1361" s="9"/>
      <c r="AD1361" s="9"/>
      <c r="AE1361" s="9"/>
      <c r="AF1361" s="9"/>
      <c r="AG1361" s="9"/>
      <c r="AH1361" s="9"/>
      <c r="AI1361" s="9"/>
      <c r="AJ1361" s="9"/>
      <c r="AK1361" s="7"/>
      <c r="AL1361" s="9"/>
      <c r="AM1361" s="9"/>
      <c r="AN1361" s="9"/>
      <c r="AO1361" s="25"/>
      <c r="AP1361" s="9"/>
      <c r="AQ1361" s="9"/>
      <c r="AR1361" s="9"/>
      <c r="AS1361" s="9"/>
      <c r="AT1361" s="9"/>
      <c r="AU1361" s="9"/>
      <c r="AV1361" s="9"/>
      <c r="AW1361" s="9"/>
      <c r="AX1361" s="9"/>
      <c r="AY1361" s="9"/>
      <c r="AZ1361" s="9"/>
      <c r="BA1361" s="9"/>
      <c r="BB1361" s="9"/>
      <c r="BC1361" s="9"/>
      <c r="BD1361" s="9"/>
      <c r="BE1361" s="9"/>
      <c r="BF1361" s="9"/>
      <c r="BG1361" s="9"/>
      <c r="BH1361" s="9"/>
      <c r="BI1361" s="9"/>
      <c r="BJ1361" s="9"/>
      <c r="BK1361" s="9"/>
      <c r="BL1361" s="9"/>
      <c r="BM1361" s="9"/>
      <c r="BN1361" s="9"/>
      <c r="BO1361" s="9"/>
      <c r="BP1361" s="9"/>
      <c r="BQ1361" s="9"/>
      <c r="BR1361" s="9"/>
      <c r="BS1361" s="9"/>
      <c r="BT1361" s="9"/>
    </row>
    <row r="1362" spans="1:72" ht="14.25" customHeight="1" x14ac:dyDescent="0.2">
      <c r="A1362" s="5"/>
      <c r="B1362" s="4">
        <v>2</v>
      </c>
      <c r="C1362" s="4" t="s">
        <v>637</v>
      </c>
      <c r="D1362" s="4">
        <v>37124</v>
      </c>
      <c r="E1362" s="4">
        <v>12479</v>
      </c>
      <c r="F1362" s="9" t="s">
        <v>1125</v>
      </c>
      <c r="G1362" s="216" t="s">
        <v>1126</v>
      </c>
      <c r="H1362" s="4" t="s">
        <v>1127</v>
      </c>
      <c r="I1362" s="4" t="s">
        <v>49</v>
      </c>
      <c r="J1362" s="4" t="s">
        <v>1128</v>
      </c>
      <c r="K1362" s="4">
        <v>1</v>
      </c>
      <c r="L1362" s="4">
        <v>14501</v>
      </c>
      <c r="M1362" s="6"/>
      <c r="N1362" s="9"/>
      <c r="O1362" s="9"/>
      <c r="P1362" s="9"/>
      <c r="Q1362" s="20"/>
      <c r="R1362" s="9"/>
      <c r="S1362" s="11"/>
      <c r="T1362" s="9"/>
      <c r="U1362" s="9"/>
      <c r="V1362" s="9"/>
      <c r="W1362" s="9"/>
      <c r="X1362" s="9"/>
      <c r="Y1362" s="9"/>
      <c r="Z1362" s="9"/>
      <c r="AA1362" s="9"/>
      <c r="AB1362" s="9"/>
      <c r="AC1362" s="9"/>
      <c r="AD1362" s="9"/>
      <c r="AE1362" s="9"/>
      <c r="AF1362" s="9"/>
      <c r="AG1362" s="9"/>
      <c r="AH1362" s="9"/>
      <c r="AI1362" s="9"/>
      <c r="AJ1362" s="9"/>
      <c r="AK1362" s="7"/>
      <c r="AL1362" s="9"/>
      <c r="AM1362" s="9"/>
      <c r="AN1362" s="9"/>
      <c r="AO1362" s="9"/>
      <c r="AP1362" s="9"/>
      <c r="AQ1362" s="9"/>
      <c r="AR1362" s="9"/>
      <c r="AS1362" s="9"/>
      <c r="AT1362" s="9"/>
      <c r="AU1362" s="9"/>
      <c r="AV1362" s="9"/>
      <c r="AW1362" s="9"/>
      <c r="AX1362" s="9"/>
      <c r="AY1362" s="9"/>
      <c r="AZ1362" s="9"/>
      <c r="BA1362" s="9"/>
      <c r="BB1362" s="9"/>
      <c r="BC1362" s="9"/>
      <c r="BD1362" s="9"/>
      <c r="BE1362" s="9"/>
      <c r="BF1362" s="9"/>
      <c r="BG1362" s="9"/>
      <c r="BH1362" s="9"/>
      <c r="BI1362" s="9"/>
      <c r="BJ1362" s="9"/>
      <c r="BK1362" s="9"/>
      <c r="BL1362" s="9"/>
      <c r="BM1362" s="9"/>
      <c r="BN1362" s="9"/>
      <c r="BO1362" s="9"/>
      <c r="BP1362" s="9"/>
      <c r="BQ1362" s="9"/>
      <c r="BR1362" s="9"/>
      <c r="BS1362" s="9"/>
      <c r="BT1362" s="9"/>
    </row>
    <row r="1363" spans="1:72" ht="14.25" customHeight="1" x14ac:dyDescent="0.2">
      <c r="A1363" s="5"/>
      <c r="B1363" s="4">
        <v>2</v>
      </c>
      <c r="C1363" s="4" t="s">
        <v>637</v>
      </c>
      <c r="D1363" s="4">
        <v>37125</v>
      </c>
      <c r="E1363" s="4">
        <v>2799</v>
      </c>
      <c r="F1363" s="9" t="s">
        <v>1134</v>
      </c>
      <c r="G1363" s="215" t="s">
        <v>1135</v>
      </c>
      <c r="H1363" s="4" t="s">
        <v>1136</v>
      </c>
      <c r="I1363" s="4" t="s">
        <v>641</v>
      </c>
      <c r="J1363" s="4" t="s">
        <v>1137</v>
      </c>
      <c r="K1363" s="4">
        <v>1</v>
      </c>
      <c r="L1363" s="4">
        <v>3542</v>
      </c>
      <c r="M1363" s="6"/>
      <c r="N1363" s="9"/>
      <c r="O1363" s="9"/>
      <c r="P1363" s="9"/>
      <c r="Q1363" s="20"/>
      <c r="R1363" s="9"/>
      <c r="S1363" s="11"/>
      <c r="T1363" s="9"/>
      <c r="U1363" s="9"/>
      <c r="V1363" s="9"/>
      <c r="W1363" s="9"/>
      <c r="X1363" s="9"/>
      <c r="Y1363" s="9"/>
      <c r="Z1363" s="9"/>
      <c r="AA1363" s="9"/>
      <c r="AB1363" s="9"/>
      <c r="AC1363" s="9"/>
      <c r="AD1363" s="9"/>
      <c r="AE1363" s="9"/>
      <c r="AF1363" s="9"/>
      <c r="AG1363" s="9"/>
      <c r="AH1363" s="9"/>
      <c r="AI1363" s="9"/>
      <c r="AJ1363" s="9"/>
      <c r="AK1363" s="7"/>
      <c r="AL1363" s="9"/>
      <c r="AM1363" s="9"/>
      <c r="AN1363" s="9"/>
      <c r="AO1363" s="9"/>
      <c r="AP1363" s="9"/>
      <c r="AQ1363" s="9"/>
      <c r="AR1363" s="9"/>
      <c r="AS1363" s="9"/>
      <c r="AT1363" s="9"/>
      <c r="AU1363" s="9"/>
      <c r="AV1363" s="9"/>
      <c r="AW1363" s="9"/>
      <c r="AX1363" s="9"/>
      <c r="AY1363" s="9"/>
      <c r="AZ1363" s="9"/>
      <c r="BA1363" s="9"/>
      <c r="BB1363" s="9"/>
      <c r="BC1363" s="9"/>
      <c r="BD1363" s="9"/>
      <c r="BE1363" s="9"/>
      <c r="BF1363" s="9"/>
      <c r="BG1363" s="9"/>
      <c r="BH1363" s="9"/>
      <c r="BI1363" s="9"/>
      <c r="BJ1363" s="9"/>
      <c r="BK1363" s="9"/>
      <c r="BL1363" s="9"/>
      <c r="BM1363" s="9"/>
      <c r="BN1363" s="9"/>
      <c r="BO1363" s="9"/>
      <c r="BP1363" s="9"/>
      <c r="BQ1363" s="9"/>
      <c r="BR1363" s="9"/>
      <c r="BS1363" s="9"/>
      <c r="BT1363" s="9"/>
    </row>
    <row r="1364" spans="1:72" ht="14.25" customHeight="1" x14ac:dyDescent="0.2">
      <c r="A1364" s="5"/>
      <c r="B1364" s="4">
        <v>2</v>
      </c>
      <c r="C1364" s="4" t="s">
        <v>637</v>
      </c>
      <c r="D1364" s="206">
        <v>37191</v>
      </c>
      <c r="E1364" s="4">
        <v>12480</v>
      </c>
      <c r="F1364" s="4" t="s">
        <v>1143</v>
      </c>
      <c r="G1364" s="215" t="s">
        <v>1144</v>
      </c>
      <c r="H1364" s="4" t="s">
        <v>709</v>
      </c>
      <c r="I1364" s="4" t="s">
        <v>49</v>
      </c>
      <c r="J1364" s="4" t="s">
        <v>799</v>
      </c>
      <c r="K1364" s="4">
        <v>1</v>
      </c>
      <c r="L1364" s="4">
        <v>14502</v>
      </c>
      <c r="M1364" s="9">
        <v>51.429600000000001</v>
      </c>
      <c r="N1364" s="9">
        <v>-117.06426999999999</v>
      </c>
      <c r="O1364" s="9" t="s">
        <v>170</v>
      </c>
      <c r="P1364" s="9">
        <v>37191</v>
      </c>
      <c r="Q1364" s="20">
        <v>1</v>
      </c>
      <c r="R1364" s="9" t="s">
        <v>1143</v>
      </c>
      <c r="S1364" s="11" t="s">
        <v>1145</v>
      </c>
      <c r="T1364" s="9" t="s">
        <v>644</v>
      </c>
      <c r="U1364" s="9">
        <v>798</v>
      </c>
      <c r="Z1364" s="9"/>
      <c r="AA1364" s="9" t="s">
        <v>1146</v>
      </c>
      <c r="AB1364" s="9"/>
      <c r="AC1364" s="9"/>
      <c r="AD1364" s="9"/>
      <c r="AE1364" s="9"/>
      <c r="AF1364" s="9"/>
      <c r="AG1364" s="9"/>
      <c r="AH1364" s="9"/>
      <c r="AI1364" s="9"/>
      <c r="AK1364" s="260"/>
    </row>
    <row r="1365" spans="1:72" ht="14.25" customHeight="1" x14ac:dyDescent="0.2">
      <c r="A1365" s="5"/>
      <c r="B1365" s="4">
        <v>2</v>
      </c>
      <c r="C1365" s="4" t="s">
        <v>637</v>
      </c>
      <c r="D1365" s="4">
        <v>37221</v>
      </c>
      <c r="E1365" s="4">
        <v>2803</v>
      </c>
      <c r="F1365" s="4" t="s">
        <v>1152</v>
      </c>
      <c r="G1365" s="215" t="s">
        <v>1153</v>
      </c>
      <c r="H1365" s="4" t="s">
        <v>1154</v>
      </c>
      <c r="I1365" s="4" t="s">
        <v>641</v>
      </c>
      <c r="J1365" s="4" t="s">
        <v>1155</v>
      </c>
      <c r="K1365" s="4">
        <v>1</v>
      </c>
      <c r="L1365" s="4">
        <v>3546</v>
      </c>
      <c r="M1365" s="6">
        <v>50.454720000000002</v>
      </c>
      <c r="N1365" s="9">
        <v>-116.252</v>
      </c>
      <c r="O1365" s="9" t="s">
        <v>170</v>
      </c>
      <c r="P1365" s="9">
        <v>37221</v>
      </c>
      <c r="Q1365" s="20">
        <v>2</v>
      </c>
      <c r="R1365" s="9" t="s">
        <v>1152</v>
      </c>
      <c r="S1365" s="11" t="s">
        <v>1156</v>
      </c>
      <c r="T1365" s="9" t="s">
        <v>644</v>
      </c>
      <c r="U1365" s="9">
        <v>1130</v>
      </c>
      <c r="Z1365" s="9"/>
      <c r="AA1365" s="9" t="s">
        <v>1157</v>
      </c>
      <c r="AB1365" s="9"/>
      <c r="AC1365" s="9"/>
      <c r="AD1365" s="9"/>
      <c r="AE1365" s="9"/>
      <c r="AF1365" s="9"/>
      <c r="AG1365" s="9"/>
      <c r="AH1365" s="9"/>
      <c r="AI1365" s="9"/>
      <c r="AK1365" s="260"/>
    </row>
    <row r="1366" spans="1:72" ht="14.25" customHeight="1" x14ac:dyDescent="0.2">
      <c r="A1366" s="5"/>
      <c r="B1366" s="4">
        <v>2</v>
      </c>
      <c r="C1366" s="4" t="s">
        <v>637</v>
      </c>
      <c r="D1366" s="4">
        <v>37222</v>
      </c>
      <c r="E1366" s="4">
        <v>2804</v>
      </c>
      <c r="F1366" s="203" t="s">
        <v>1158</v>
      </c>
      <c r="G1366" s="19" t="s">
        <v>1159</v>
      </c>
      <c r="H1366" s="4" t="s">
        <v>1160</v>
      </c>
      <c r="I1366" s="4" t="s">
        <v>641</v>
      </c>
      <c r="J1366" s="4" t="s">
        <v>1161</v>
      </c>
      <c r="K1366" s="4">
        <v>1</v>
      </c>
      <c r="L1366" s="4">
        <v>3547</v>
      </c>
      <c r="M1366" s="6">
        <v>50.433610000000002</v>
      </c>
      <c r="N1366" s="9">
        <v>-116.32</v>
      </c>
      <c r="O1366" s="9" t="s">
        <v>170</v>
      </c>
      <c r="P1366" s="9">
        <v>37222</v>
      </c>
      <c r="Q1366" s="20">
        <v>8</v>
      </c>
      <c r="R1366" s="9" t="s">
        <v>1158</v>
      </c>
      <c r="S1366" s="11" t="s">
        <v>1162</v>
      </c>
      <c r="T1366" s="9" t="s">
        <v>644</v>
      </c>
      <c r="U1366" s="9">
        <v>2380</v>
      </c>
      <c r="V1366" s="9"/>
      <c r="W1366" s="9"/>
      <c r="X1366" s="9"/>
      <c r="Y1366" s="9"/>
      <c r="Z1366" s="9"/>
      <c r="AA1366" s="9" t="s">
        <v>1163</v>
      </c>
      <c r="AB1366" s="9"/>
      <c r="AC1366" s="9"/>
      <c r="AD1366" s="9"/>
      <c r="AE1366" s="9"/>
      <c r="AF1366" s="9"/>
      <c r="AG1366" s="9"/>
      <c r="AH1366" s="9"/>
      <c r="AI1366" s="9"/>
      <c r="AJ1366" s="9"/>
      <c r="AK1366" s="7"/>
      <c r="AL1366" s="9"/>
      <c r="AM1366" s="9"/>
      <c r="AN1366" s="9"/>
      <c r="AO1366" s="9"/>
      <c r="AP1366" s="9"/>
      <c r="AQ1366" s="9"/>
      <c r="AR1366" s="9"/>
      <c r="AS1366" s="9"/>
      <c r="AT1366" s="9"/>
      <c r="AU1366" s="9"/>
      <c r="AV1366" s="9"/>
      <c r="AW1366" s="9"/>
      <c r="AX1366" s="9"/>
      <c r="AY1366" s="9"/>
      <c r="AZ1366" s="9"/>
      <c r="BA1366" s="9"/>
      <c r="BB1366" s="9"/>
      <c r="BC1366" s="9"/>
      <c r="BD1366" s="9"/>
      <c r="BE1366" s="9"/>
      <c r="BF1366" s="9"/>
      <c r="BG1366" s="9"/>
      <c r="BH1366" s="9"/>
      <c r="BI1366" s="9"/>
      <c r="BJ1366" s="9"/>
      <c r="BK1366" s="9"/>
      <c r="BL1366" s="9"/>
      <c r="BM1366" s="9"/>
      <c r="BN1366" s="9"/>
      <c r="BO1366" s="9"/>
      <c r="BP1366" s="9"/>
      <c r="BQ1366" s="9"/>
      <c r="BR1366" s="9"/>
      <c r="BS1366" s="9"/>
      <c r="BT1366" s="9"/>
    </row>
    <row r="1367" spans="1:72" ht="14.25" customHeight="1" x14ac:dyDescent="0.2">
      <c r="A1367" s="5"/>
      <c r="B1367" s="4">
        <v>2</v>
      </c>
      <c r="C1367" s="4" t="s">
        <v>637</v>
      </c>
      <c r="D1367" s="4">
        <v>37291</v>
      </c>
      <c r="E1367" s="4">
        <v>12481</v>
      </c>
      <c r="F1367" s="4" t="s">
        <v>1168</v>
      </c>
      <c r="G1367" s="215" t="s">
        <v>1169</v>
      </c>
      <c r="H1367" s="4" t="s">
        <v>709</v>
      </c>
      <c r="I1367" s="4" t="s">
        <v>49</v>
      </c>
      <c r="J1367" s="4" t="s">
        <v>1170</v>
      </c>
      <c r="K1367" s="4">
        <v>1</v>
      </c>
      <c r="L1367" s="4">
        <v>14503</v>
      </c>
      <c r="M1367" s="6">
        <v>50.463430000000002</v>
      </c>
      <c r="N1367" s="9">
        <v>-116.23348</v>
      </c>
      <c r="O1367" s="9" t="s">
        <v>170</v>
      </c>
      <c r="P1367" s="9">
        <v>37291</v>
      </c>
      <c r="Q1367" s="20">
        <v>3</v>
      </c>
      <c r="R1367" s="9" t="s">
        <v>1168</v>
      </c>
      <c r="S1367" s="11" t="s">
        <v>1171</v>
      </c>
      <c r="T1367" s="9" t="s">
        <v>644</v>
      </c>
      <c r="U1367" s="9">
        <v>1150</v>
      </c>
      <c r="Z1367" s="9"/>
      <c r="AA1367" s="9" t="s">
        <v>1172</v>
      </c>
      <c r="AB1367" s="9"/>
      <c r="AC1367" s="9"/>
      <c r="AD1367" s="9"/>
      <c r="AE1367" s="9"/>
      <c r="AF1367" s="9"/>
      <c r="AK1367" s="260"/>
    </row>
    <row r="1368" spans="1:72" ht="14.25" customHeight="1" x14ac:dyDescent="0.2">
      <c r="A1368" s="5"/>
      <c r="B1368" s="4">
        <v>2</v>
      </c>
      <c r="C1368" s="4" t="s">
        <v>637</v>
      </c>
      <c r="D1368" s="4">
        <v>38021</v>
      </c>
      <c r="E1368" s="4">
        <v>12482</v>
      </c>
      <c r="F1368" s="4" t="s">
        <v>1173</v>
      </c>
      <c r="G1368" s="215" t="s">
        <v>1174</v>
      </c>
      <c r="H1368" s="4" t="s">
        <v>709</v>
      </c>
      <c r="I1368" s="4" t="s">
        <v>49</v>
      </c>
      <c r="J1368" s="4" t="s">
        <v>1175</v>
      </c>
      <c r="K1368" s="4">
        <v>1</v>
      </c>
      <c r="L1368" s="4">
        <v>14504</v>
      </c>
      <c r="M1368" s="6">
        <v>51.000059999999998</v>
      </c>
      <c r="N1368" s="9">
        <v>-118.22872</v>
      </c>
      <c r="O1368" s="9" t="s">
        <v>170</v>
      </c>
      <c r="P1368" s="9">
        <v>38021</v>
      </c>
      <c r="Q1368" s="20">
        <v>1</v>
      </c>
      <c r="R1368" s="9" t="s">
        <v>1173</v>
      </c>
      <c r="S1368" s="11" t="s">
        <v>1176</v>
      </c>
      <c r="T1368" s="9" t="s">
        <v>644</v>
      </c>
      <c r="U1368" s="9">
        <v>448</v>
      </c>
      <c r="Z1368" s="9"/>
      <c r="AA1368" s="9" t="s">
        <v>1177</v>
      </c>
      <c r="AB1368" s="9"/>
      <c r="AC1368" s="9"/>
      <c r="AD1368" s="9"/>
      <c r="AE1368" s="9"/>
      <c r="AF1368" s="9"/>
      <c r="AG1368" s="9"/>
      <c r="AK1368" s="260"/>
    </row>
    <row r="1369" spans="1:72" ht="14.25" customHeight="1" x14ac:dyDescent="0.2">
      <c r="A1369" s="5"/>
      <c r="B1369" s="4">
        <v>2</v>
      </c>
      <c r="C1369" s="4" t="s">
        <v>637</v>
      </c>
      <c r="D1369" s="4">
        <v>38121</v>
      </c>
      <c r="E1369" s="4">
        <v>2807</v>
      </c>
      <c r="F1369" s="188" t="s">
        <v>1178</v>
      </c>
      <c r="G1369" s="19" t="s">
        <v>1179</v>
      </c>
      <c r="H1369" s="4" t="s">
        <v>1180</v>
      </c>
      <c r="I1369" s="4" t="s">
        <v>641</v>
      </c>
      <c r="J1369" s="4" t="s">
        <v>1181</v>
      </c>
      <c r="K1369" s="4">
        <v>1</v>
      </c>
      <c r="L1369" s="4">
        <v>3550</v>
      </c>
      <c r="M1369" s="6">
        <v>50.926659999999998</v>
      </c>
      <c r="N1369" s="9">
        <v>-118.44503</v>
      </c>
      <c r="O1369" s="9" t="s">
        <v>170</v>
      </c>
      <c r="P1369" s="9">
        <v>38121</v>
      </c>
      <c r="Q1369" s="20">
        <v>3</v>
      </c>
      <c r="R1369" s="9" t="s">
        <v>1178</v>
      </c>
      <c r="S1369" s="11" t="s">
        <v>1182</v>
      </c>
      <c r="T1369" s="9" t="s">
        <v>644</v>
      </c>
      <c r="U1369" s="9">
        <v>1165</v>
      </c>
      <c r="Z1369" s="9"/>
      <c r="AA1369" s="9" t="s">
        <v>1183</v>
      </c>
      <c r="AB1369" s="9"/>
      <c r="AC1369" s="9"/>
      <c r="AD1369" s="9"/>
      <c r="AE1369" s="9"/>
      <c r="AF1369" s="9"/>
      <c r="AG1369" s="9"/>
      <c r="AH1369" s="9"/>
      <c r="AI1369" s="9"/>
      <c r="AK1369" s="260"/>
    </row>
    <row r="1370" spans="1:72" ht="14.25" customHeight="1" x14ac:dyDescent="0.2">
      <c r="A1370" s="5"/>
      <c r="B1370" s="4">
        <v>2</v>
      </c>
      <c r="C1370" s="4" t="s">
        <v>637</v>
      </c>
      <c r="D1370" s="4">
        <v>38124</v>
      </c>
      <c r="E1370" s="4">
        <v>2808</v>
      </c>
      <c r="F1370" s="188" t="s">
        <v>1184</v>
      </c>
      <c r="G1370" s="19" t="s">
        <v>1185</v>
      </c>
      <c r="H1370" s="4" t="s">
        <v>1186</v>
      </c>
      <c r="I1370" s="4" t="s">
        <v>641</v>
      </c>
      <c r="J1370" s="4" t="s">
        <v>755</v>
      </c>
      <c r="K1370" s="4">
        <v>1</v>
      </c>
      <c r="L1370" s="4">
        <v>3551</v>
      </c>
      <c r="M1370" s="6">
        <v>50.962479999999999</v>
      </c>
      <c r="N1370" s="9">
        <v>-118.37777</v>
      </c>
      <c r="O1370" s="9" t="s">
        <v>170</v>
      </c>
      <c r="P1370" s="9">
        <v>38124</v>
      </c>
      <c r="Q1370" s="20">
        <v>1</v>
      </c>
      <c r="R1370" s="9" t="s">
        <v>1184</v>
      </c>
      <c r="S1370" s="11" t="s">
        <v>1187</v>
      </c>
      <c r="T1370" s="9" t="s">
        <v>644</v>
      </c>
      <c r="U1370" s="9">
        <v>610</v>
      </c>
      <c r="Z1370" s="9" t="s">
        <v>645</v>
      </c>
      <c r="AA1370" s="9" t="s">
        <v>1188</v>
      </c>
      <c r="AB1370" s="9"/>
      <c r="AC1370" s="21"/>
      <c r="AD1370" s="9"/>
      <c r="AE1370" s="9"/>
      <c r="AF1370" s="9"/>
      <c r="AG1370" s="9"/>
      <c r="AH1370" s="9"/>
      <c r="AI1370" s="9"/>
      <c r="AK1370" s="260"/>
    </row>
    <row r="1371" spans="1:72" ht="14.25" customHeight="1" x14ac:dyDescent="0.2">
      <c r="A1371" s="5"/>
      <c r="B1371" s="4">
        <v>2</v>
      </c>
      <c r="C1371" s="4" t="s">
        <v>637</v>
      </c>
      <c r="D1371" s="4">
        <v>38222</v>
      </c>
      <c r="E1371" s="4">
        <v>2810</v>
      </c>
      <c r="F1371" s="4" t="s">
        <v>1189</v>
      </c>
      <c r="G1371" s="215" t="s">
        <v>1190</v>
      </c>
      <c r="H1371" s="4" t="s">
        <v>1180</v>
      </c>
      <c r="I1371" s="4" t="s">
        <v>641</v>
      </c>
      <c r="J1371" s="4" t="s">
        <v>909</v>
      </c>
      <c r="K1371" s="4">
        <v>1</v>
      </c>
      <c r="L1371" s="4">
        <v>3553</v>
      </c>
      <c r="M1371" s="6">
        <v>51.193330000000003</v>
      </c>
      <c r="N1371" s="9">
        <v>-117.77110999999999</v>
      </c>
      <c r="O1371" s="9" t="s">
        <v>170</v>
      </c>
      <c r="P1371" s="9">
        <v>38222</v>
      </c>
      <c r="Q1371" s="20">
        <v>5</v>
      </c>
      <c r="R1371" s="9" t="s">
        <v>1189</v>
      </c>
      <c r="S1371" s="11" t="s">
        <v>1191</v>
      </c>
      <c r="T1371" s="9" t="s">
        <v>644</v>
      </c>
      <c r="U1371" s="9">
        <v>1615</v>
      </c>
      <c r="V1371" s="9"/>
      <c r="W1371" s="9"/>
      <c r="X1371" s="9"/>
      <c r="Y1371" s="9"/>
      <c r="Z1371" s="9"/>
      <c r="AA1371" s="9" t="s">
        <v>1192</v>
      </c>
      <c r="AB1371" s="9"/>
      <c r="AC1371" s="9"/>
      <c r="AD1371" s="9"/>
      <c r="AE1371" s="9"/>
      <c r="AF1371" s="9"/>
      <c r="AG1371" s="9"/>
      <c r="AH1371" s="9"/>
      <c r="AI1371" s="9"/>
      <c r="AJ1371" s="9"/>
      <c r="AK1371" s="7"/>
      <c r="AL1371" s="9"/>
      <c r="AM1371" s="9"/>
      <c r="AN1371" s="9"/>
      <c r="AO1371" s="9"/>
      <c r="AP1371" s="9"/>
      <c r="AQ1371" s="9"/>
      <c r="AR1371" s="9"/>
      <c r="AS1371" s="9"/>
      <c r="AT1371" s="9"/>
      <c r="AU1371" s="9"/>
      <c r="AV1371" s="9"/>
      <c r="AW1371" s="9"/>
      <c r="AX1371" s="9"/>
      <c r="AY1371" s="9"/>
      <c r="AZ1371" s="9"/>
      <c r="BA1371" s="9"/>
      <c r="BB1371" s="9"/>
      <c r="BC1371" s="9"/>
      <c r="BD1371" s="9"/>
      <c r="BE1371" s="9"/>
      <c r="BF1371" s="9"/>
      <c r="BG1371" s="9"/>
      <c r="BH1371" s="9"/>
      <c r="BI1371" s="9"/>
      <c r="BJ1371" s="9"/>
      <c r="BK1371" s="9"/>
      <c r="BL1371" s="9"/>
      <c r="BM1371" s="9"/>
      <c r="BN1371" s="9"/>
      <c r="BO1371" s="9"/>
      <c r="BP1371" s="9"/>
      <c r="BQ1371" s="9"/>
      <c r="BR1371" s="9"/>
      <c r="BS1371" s="9"/>
      <c r="BT1371" s="9"/>
    </row>
    <row r="1372" spans="1:72" ht="14.25" customHeight="1" x14ac:dyDescent="0.2">
      <c r="A1372" s="5"/>
      <c r="B1372" s="4">
        <v>2</v>
      </c>
      <c r="C1372" s="4" t="s">
        <v>637</v>
      </c>
      <c r="D1372" s="4">
        <v>38226</v>
      </c>
      <c r="E1372" s="4">
        <v>2811</v>
      </c>
      <c r="F1372" s="4" t="s">
        <v>1193</v>
      </c>
      <c r="G1372" s="215" t="s">
        <v>1194</v>
      </c>
      <c r="H1372" s="4" t="s">
        <v>1195</v>
      </c>
      <c r="I1372" s="4" t="s">
        <v>641</v>
      </c>
      <c r="J1372" s="4" t="s">
        <v>1196</v>
      </c>
      <c r="K1372" s="4">
        <v>1</v>
      </c>
      <c r="L1372" s="4">
        <v>3554</v>
      </c>
      <c r="M1372" s="6">
        <v>51.200830000000003</v>
      </c>
      <c r="N1372" s="9">
        <v>-117.77778000000001</v>
      </c>
      <c r="O1372" s="9" t="s">
        <v>170</v>
      </c>
      <c r="P1372" s="9">
        <v>38226</v>
      </c>
      <c r="Q1372" s="20">
        <v>7</v>
      </c>
      <c r="R1372" s="9" t="s">
        <v>1193</v>
      </c>
      <c r="S1372" s="11" t="s">
        <v>1197</v>
      </c>
      <c r="T1372" s="9" t="s">
        <v>644</v>
      </c>
      <c r="U1372" s="9">
        <v>2135</v>
      </c>
      <c r="Z1372" s="9"/>
      <c r="AA1372" s="9" t="s">
        <v>1198</v>
      </c>
      <c r="AB1372" s="9"/>
      <c r="AC1372" s="9"/>
      <c r="AD1372" s="9"/>
      <c r="AE1372" s="9"/>
      <c r="AF1372" s="9"/>
      <c r="AG1372" s="9"/>
      <c r="AH1372" s="9"/>
      <c r="AI1372" s="9"/>
      <c r="AK1372" s="260"/>
    </row>
    <row r="1373" spans="1:72" ht="14.25" customHeight="1" x14ac:dyDescent="0.2">
      <c r="A1373" s="5"/>
      <c r="B1373" s="4">
        <v>2</v>
      </c>
      <c r="C1373" s="4" t="s">
        <v>637</v>
      </c>
      <c r="D1373" s="4">
        <v>38228</v>
      </c>
      <c r="E1373" s="4">
        <v>2813</v>
      </c>
      <c r="F1373" s="9" t="s">
        <v>1204</v>
      </c>
      <c r="G1373" s="215" t="s">
        <v>1205</v>
      </c>
      <c r="H1373" s="4" t="s">
        <v>1206</v>
      </c>
      <c r="I1373" s="4" t="s">
        <v>641</v>
      </c>
      <c r="J1373" s="4" t="s">
        <v>1207</v>
      </c>
      <c r="K1373" s="4">
        <v>1</v>
      </c>
      <c r="L1373" s="4">
        <v>3556</v>
      </c>
      <c r="M1373" s="6">
        <v>51.189920000000001</v>
      </c>
      <c r="N1373" s="9">
        <v>-117.71083</v>
      </c>
      <c r="O1373" s="9" t="s">
        <v>170</v>
      </c>
      <c r="P1373" s="9">
        <v>38228</v>
      </c>
      <c r="Q1373" s="20">
        <v>8</v>
      </c>
      <c r="R1373" s="9" t="s">
        <v>1204</v>
      </c>
      <c r="S1373" s="11" t="s">
        <v>1208</v>
      </c>
      <c r="T1373" s="9" t="s">
        <v>644</v>
      </c>
      <c r="U1373" s="9">
        <v>2260</v>
      </c>
      <c r="V1373" s="9"/>
      <c r="W1373" s="9"/>
      <c r="X1373" s="9"/>
      <c r="Y1373" s="9"/>
      <c r="Z1373" s="9"/>
      <c r="AA1373" s="9" t="s">
        <v>1209</v>
      </c>
      <c r="AB1373" s="9"/>
      <c r="AC1373" s="9"/>
      <c r="AD1373" s="9"/>
      <c r="AE1373" s="9"/>
      <c r="AF1373" s="9"/>
      <c r="AG1373" s="9"/>
      <c r="AH1373" s="9"/>
      <c r="AI1373" s="9"/>
      <c r="AJ1373" s="9"/>
      <c r="AK1373" s="7"/>
      <c r="AL1373" s="9"/>
      <c r="AM1373" s="9"/>
      <c r="AN1373" s="9"/>
      <c r="AO1373" s="9"/>
      <c r="AP1373" s="9"/>
      <c r="AQ1373" s="9"/>
      <c r="AR1373" s="9"/>
      <c r="AS1373" s="9"/>
      <c r="AT1373" s="9"/>
      <c r="AU1373" s="9"/>
      <c r="AV1373" s="9"/>
      <c r="AW1373" s="9"/>
      <c r="AX1373" s="9"/>
      <c r="AY1373" s="9"/>
      <c r="AZ1373" s="9"/>
      <c r="BA1373" s="9"/>
      <c r="BB1373" s="9"/>
      <c r="BC1373" s="9"/>
      <c r="BD1373" s="9"/>
      <c r="BE1373" s="9"/>
      <c r="BF1373" s="9"/>
      <c r="BG1373" s="9"/>
      <c r="BH1373" s="9"/>
      <c r="BI1373" s="9"/>
      <c r="BJ1373" s="9"/>
      <c r="BK1373" s="9"/>
      <c r="BL1373" s="9"/>
      <c r="BM1373" s="9"/>
      <c r="BN1373" s="9"/>
      <c r="BO1373" s="9"/>
      <c r="BP1373" s="9"/>
      <c r="BQ1373" s="9"/>
      <c r="BR1373" s="9"/>
      <c r="BS1373" s="9"/>
      <c r="BT1373" s="9"/>
    </row>
    <row r="1374" spans="1:72" ht="14.25" customHeight="1" x14ac:dyDescent="0.2">
      <c r="A1374" s="5"/>
      <c r="B1374" s="4">
        <v>2</v>
      </c>
      <c r="C1374" s="4" t="s">
        <v>637</v>
      </c>
      <c r="D1374" s="4">
        <v>38323</v>
      </c>
      <c r="E1374" s="4">
        <v>2816</v>
      </c>
      <c r="F1374" s="4" t="s">
        <v>1210</v>
      </c>
      <c r="G1374" s="215" t="s">
        <v>1211</v>
      </c>
      <c r="H1374" s="4" t="s">
        <v>1212</v>
      </c>
      <c r="I1374" s="4" t="s">
        <v>641</v>
      </c>
      <c r="J1374" s="4" t="s">
        <v>1213</v>
      </c>
      <c r="K1374" s="4">
        <v>1</v>
      </c>
      <c r="L1374" s="4">
        <v>3559</v>
      </c>
      <c r="M1374" s="6">
        <v>51.518329999999999</v>
      </c>
      <c r="N1374" s="9">
        <v>-118.46167</v>
      </c>
      <c r="O1374" s="9" t="s">
        <v>170</v>
      </c>
      <c r="P1374" s="9">
        <v>38323</v>
      </c>
      <c r="Q1374" s="20">
        <v>6</v>
      </c>
      <c r="R1374" s="9" t="s">
        <v>1210</v>
      </c>
      <c r="S1374" s="11" t="s">
        <v>1214</v>
      </c>
      <c r="T1374" s="9" t="s">
        <v>644</v>
      </c>
      <c r="U1374" s="9">
        <v>1740</v>
      </c>
      <c r="Z1374" s="9"/>
      <c r="AA1374" s="9" t="s">
        <v>1215</v>
      </c>
      <c r="AB1374" s="9"/>
      <c r="AC1374" s="9"/>
      <c r="AD1374" s="9"/>
      <c r="AE1374" s="9"/>
      <c r="AF1374" s="9"/>
      <c r="AG1374" s="9"/>
      <c r="AH1374" s="9"/>
      <c r="AI1374" s="9"/>
      <c r="AK1374" s="260"/>
    </row>
    <row r="1375" spans="1:72" ht="14.25" customHeight="1" x14ac:dyDescent="0.2">
      <c r="A1375" s="5"/>
      <c r="B1375" s="4">
        <v>2</v>
      </c>
      <c r="C1375" s="4" t="s">
        <v>637</v>
      </c>
      <c r="D1375" s="4">
        <v>38324</v>
      </c>
      <c r="E1375" s="4">
        <v>2817</v>
      </c>
      <c r="F1375" s="4" t="s">
        <v>1216</v>
      </c>
      <c r="G1375" s="215" t="s">
        <v>1217</v>
      </c>
      <c r="H1375" s="4" t="s">
        <v>1218</v>
      </c>
      <c r="I1375" s="4" t="s">
        <v>641</v>
      </c>
      <c r="J1375" s="4" t="s">
        <v>642</v>
      </c>
      <c r="K1375" s="4">
        <v>1</v>
      </c>
      <c r="L1375" s="4">
        <v>3560</v>
      </c>
      <c r="M1375" s="6">
        <v>51.599170000000001</v>
      </c>
      <c r="N1375" s="9">
        <v>-118.60111000000001</v>
      </c>
      <c r="O1375" s="9" t="s">
        <v>170</v>
      </c>
      <c r="P1375" s="9">
        <v>38324</v>
      </c>
      <c r="Q1375" s="20">
        <v>1</v>
      </c>
      <c r="R1375" s="9" t="s">
        <v>1216</v>
      </c>
      <c r="S1375" s="11" t="s">
        <v>1219</v>
      </c>
      <c r="T1375" s="9" t="s">
        <v>644</v>
      </c>
      <c r="U1375" s="9">
        <v>650</v>
      </c>
      <c r="Z1375" s="9" t="s">
        <v>645</v>
      </c>
      <c r="AA1375" s="9" t="s">
        <v>1220</v>
      </c>
      <c r="AB1375" s="9"/>
      <c r="AC1375" s="21"/>
      <c r="AD1375" s="9"/>
      <c r="AE1375" s="9"/>
      <c r="AF1375" s="9"/>
      <c r="AG1375" s="9"/>
      <c r="AH1375" s="9"/>
      <c r="AI1375" s="9"/>
      <c r="AK1375" s="260"/>
    </row>
    <row r="1376" spans="1:72" ht="14.25" customHeight="1" x14ac:dyDescent="0.2">
      <c r="A1376" s="5"/>
      <c r="B1376" s="4">
        <v>2</v>
      </c>
      <c r="C1376" s="4" t="s">
        <v>637</v>
      </c>
      <c r="D1376" s="4">
        <v>38325</v>
      </c>
      <c r="E1376" s="4">
        <v>2818</v>
      </c>
      <c r="F1376" s="9" t="s">
        <v>1221</v>
      </c>
      <c r="G1376" s="215" t="s">
        <v>1222</v>
      </c>
      <c r="H1376" s="4" t="s">
        <v>1223</v>
      </c>
      <c r="I1376" s="4" t="s">
        <v>641</v>
      </c>
      <c r="J1376" s="4" t="s">
        <v>1224</v>
      </c>
      <c r="K1376" s="4">
        <v>1</v>
      </c>
      <c r="L1376" s="4">
        <v>3561</v>
      </c>
      <c r="M1376" s="6">
        <v>52.040280000000003</v>
      </c>
      <c r="N1376" s="9">
        <v>-118.57083</v>
      </c>
      <c r="O1376" s="9" t="s">
        <v>170</v>
      </c>
      <c r="P1376" s="9">
        <v>38325</v>
      </c>
      <c r="Q1376" s="20">
        <v>2</v>
      </c>
      <c r="R1376" s="9" t="s">
        <v>1221</v>
      </c>
      <c r="S1376" s="11" t="s">
        <v>1225</v>
      </c>
      <c r="T1376" s="9" t="s">
        <v>644</v>
      </c>
      <c r="U1376" s="9">
        <v>1080</v>
      </c>
      <c r="V1376" s="9"/>
      <c r="W1376" s="9"/>
      <c r="X1376" s="9"/>
      <c r="Y1376" s="9"/>
      <c r="Z1376" s="9"/>
      <c r="AA1376" s="9" t="s">
        <v>1226</v>
      </c>
      <c r="AB1376" s="9"/>
      <c r="AC1376" s="9"/>
      <c r="AD1376" s="9"/>
      <c r="AE1376" s="9"/>
      <c r="AF1376" s="9"/>
      <c r="AG1376" s="9"/>
      <c r="AH1376" s="9"/>
      <c r="AI1376" s="9"/>
      <c r="AJ1376" s="9"/>
      <c r="AK1376" s="7"/>
      <c r="AL1376" s="9"/>
      <c r="AM1376" s="9"/>
      <c r="AN1376" s="9"/>
      <c r="AO1376" s="9"/>
      <c r="AP1376" s="9"/>
      <c r="AQ1376" s="9"/>
      <c r="AR1376" s="9"/>
      <c r="AS1376" s="9"/>
      <c r="AT1376" s="9"/>
      <c r="AU1376" s="9"/>
      <c r="AV1376" s="9"/>
      <c r="AW1376" s="9"/>
      <c r="AX1376" s="9"/>
      <c r="AY1376" s="9"/>
      <c r="AZ1376" s="9"/>
      <c r="BA1376" s="9"/>
      <c r="BB1376" s="9"/>
      <c r="BC1376" s="9"/>
      <c r="BD1376" s="9"/>
      <c r="BE1376" s="9"/>
      <c r="BF1376" s="9"/>
      <c r="BG1376" s="9"/>
      <c r="BH1376" s="9"/>
      <c r="BI1376" s="9"/>
      <c r="BJ1376" s="9"/>
      <c r="BK1376" s="9"/>
      <c r="BL1376" s="9"/>
      <c r="BM1376" s="9"/>
      <c r="BN1376" s="9"/>
      <c r="BO1376" s="9"/>
      <c r="BP1376" s="9"/>
      <c r="BQ1376" s="9"/>
      <c r="BR1376" s="9"/>
      <c r="BS1376" s="9"/>
      <c r="BT1376" s="9"/>
    </row>
    <row r="1377" spans="1:72" ht="14.25" customHeight="1" x14ac:dyDescent="0.2">
      <c r="A1377" s="5"/>
      <c r="B1377" s="4">
        <v>2</v>
      </c>
      <c r="C1377" s="4" t="s">
        <v>637</v>
      </c>
      <c r="D1377" s="4">
        <v>38326</v>
      </c>
      <c r="E1377" s="4">
        <v>2819</v>
      </c>
      <c r="F1377" s="9" t="s">
        <v>1227</v>
      </c>
      <c r="G1377" s="215" t="s">
        <v>1228</v>
      </c>
      <c r="H1377" s="4" t="s">
        <v>1229</v>
      </c>
      <c r="I1377" s="4" t="s">
        <v>641</v>
      </c>
      <c r="J1377" s="4" t="s">
        <v>755</v>
      </c>
      <c r="K1377" s="4">
        <v>1</v>
      </c>
      <c r="L1377" s="4">
        <v>3562</v>
      </c>
      <c r="M1377" s="6">
        <v>51.95778</v>
      </c>
      <c r="N1377" s="9">
        <v>-118.56222</v>
      </c>
      <c r="O1377" s="9" t="s">
        <v>170</v>
      </c>
      <c r="P1377" s="9">
        <v>38326</v>
      </c>
      <c r="Q1377" s="20">
        <v>1</v>
      </c>
      <c r="R1377" s="9" t="s">
        <v>1227</v>
      </c>
      <c r="S1377" s="11" t="s">
        <v>1230</v>
      </c>
      <c r="T1377" s="9" t="s">
        <v>644</v>
      </c>
      <c r="U1377" s="9">
        <v>565</v>
      </c>
      <c r="V1377" s="9"/>
      <c r="W1377" s="9"/>
      <c r="X1377" s="9"/>
      <c r="Y1377" s="9"/>
      <c r="Z1377" s="9"/>
      <c r="AA1377" s="9" t="s">
        <v>1231</v>
      </c>
      <c r="AB1377" s="9"/>
      <c r="AC1377" s="21"/>
      <c r="AD1377" s="9"/>
      <c r="AE1377" s="9"/>
      <c r="AF1377" s="9"/>
      <c r="AG1377" s="9"/>
      <c r="AH1377" s="9"/>
      <c r="AI1377" s="9"/>
      <c r="AJ1377" s="9"/>
      <c r="AK1377" s="7"/>
      <c r="AL1377" s="9"/>
      <c r="AM1377" s="9"/>
      <c r="AN1377" s="9"/>
      <c r="AO1377" s="9"/>
      <c r="AP1377" s="9"/>
      <c r="AQ1377" s="9"/>
      <c r="AR1377" s="9"/>
      <c r="AS1377" s="9"/>
      <c r="AT1377" s="9"/>
      <c r="AU1377" s="9"/>
      <c r="AV1377" s="9"/>
      <c r="AW1377" s="9"/>
      <c r="AX1377" s="9"/>
      <c r="AY1377" s="9"/>
      <c r="AZ1377" s="9"/>
      <c r="BA1377" s="9"/>
      <c r="BB1377" s="9"/>
      <c r="BC1377" s="9"/>
      <c r="BD1377" s="9"/>
      <c r="BE1377" s="9"/>
      <c r="BF1377" s="9"/>
      <c r="BG1377" s="9"/>
      <c r="BH1377" s="9"/>
      <c r="BI1377" s="9"/>
      <c r="BJ1377" s="9"/>
      <c r="BK1377" s="9"/>
      <c r="BL1377" s="9"/>
      <c r="BM1377" s="9"/>
      <c r="BN1377" s="9"/>
      <c r="BO1377" s="9"/>
      <c r="BP1377" s="9"/>
      <c r="BQ1377" s="9"/>
      <c r="BR1377" s="9"/>
      <c r="BS1377" s="9"/>
      <c r="BT1377" s="9"/>
    </row>
    <row r="1378" spans="1:72" ht="14.25" customHeight="1" x14ac:dyDescent="0.2">
      <c r="A1378" s="5"/>
      <c r="B1378" s="4">
        <v>2</v>
      </c>
      <c r="C1378" s="4" t="s">
        <v>637</v>
      </c>
      <c r="D1378" s="4">
        <v>38327</v>
      </c>
      <c r="E1378" s="4">
        <v>11026</v>
      </c>
      <c r="F1378" s="4" t="s">
        <v>1232</v>
      </c>
      <c r="G1378" s="215" t="s">
        <v>1233</v>
      </c>
      <c r="H1378" s="4" t="s">
        <v>891</v>
      </c>
      <c r="I1378" s="4" t="s">
        <v>49</v>
      </c>
      <c r="J1378" s="4" t="s">
        <v>1234</v>
      </c>
      <c r="K1378" s="4">
        <v>1</v>
      </c>
      <c r="L1378" s="4">
        <v>13194</v>
      </c>
      <c r="M1378" s="6">
        <v>52.053069999999998</v>
      </c>
      <c r="N1378" s="9">
        <v>-118.58543</v>
      </c>
      <c r="O1378" s="9" t="s">
        <v>170</v>
      </c>
      <c r="P1378" s="9">
        <v>38327</v>
      </c>
      <c r="Q1378" s="20">
        <v>1</v>
      </c>
      <c r="R1378" s="9" t="s">
        <v>1232</v>
      </c>
      <c r="S1378" s="11" t="s">
        <v>1235</v>
      </c>
      <c r="T1378" s="9" t="s">
        <v>644</v>
      </c>
      <c r="U1378" s="9">
        <v>570</v>
      </c>
      <c r="Z1378" s="9" t="s">
        <v>645</v>
      </c>
      <c r="AA1378" s="9" t="s">
        <v>1236</v>
      </c>
      <c r="AB1378" s="9"/>
      <c r="AC1378" s="21"/>
      <c r="AD1378" s="9"/>
      <c r="AE1378" s="9"/>
      <c r="AF1378" s="9"/>
      <c r="AG1378" s="9"/>
      <c r="AH1378" s="9"/>
      <c r="AI1378" s="9"/>
      <c r="AK1378" s="260"/>
    </row>
    <row r="1379" spans="1:72" ht="14.25" customHeight="1" x14ac:dyDescent="0.2">
      <c r="A1379" s="5"/>
      <c r="B1379" s="4">
        <v>2</v>
      </c>
      <c r="C1379" s="4" t="s">
        <v>637</v>
      </c>
      <c r="D1379" s="4">
        <v>38424</v>
      </c>
      <c r="E1379" s="4">
        <v>2821</v>
      </c>
      <c r="F1379" s="4" t="s">
        <v>1237</v>
      </c>
      <c r="G1379" s="215" t="s">
        <v>1238</v>
      </c>
      <c r="H1379" s="4" t="s">
        <v>1239</v>
      </c>
      <c r="I1379" s="4" t="s">
        <v>641</v>
      </c>
      <c r="J1379" s="4" t="s">
        <v>1181</v>
      </c>
      <c r="K1379" s="4">
        <v>1</v>
      </c>
      <c r="L1379" s="4">
        <v>3564</v>
      </c>
      <c r="M1379" s="6">
        <v>50.708060000000003</v>
      </c>
      <c r="N1379" s="9">
        <v>-117.755</v>
      </c>
      <c r="O1379" s="9" t="s">
        <v>170</v>
      </c>
      <c r="P1379" s="9">
        <v>38424</v>
      </c>
      <c r="Q1379" s="20">
        <v>5</v>
      </c>
      <c r="R1379" s="9" t="s">
        <v>1237</v>
      </c>
      <c r="S1379" s="11" t="s">
        <v>1240</v>
      </c>
      <c r="T1379" s="9" t="s">
        <v>644</v>
      </c>
      <c r="U1379" s="9">
        <v>1570</v>
      </c>
      <c r="Z1379" s="9"/>
      <c r="AA1379" s="9" t="s">
        <v>1241</v>
      </c>
      <c r="AB1379" s="9"/>
      <c r="AC1379" s="9"/>
      <c r="AD1379" s="9"/>
      <c r="AE1379" s="9"/>
      <c r="AF1379" s="9"/>
      <c r="AG1379" s="9"/>
      <c r="AH1379" s="9"/>
      <c r="AI1379" s="9"/>
      <c r="AK1379" s="260"/>
    </row>
    <row r="1380" spans="1:72" ht="14.25" customHeight="1" x14ac:dyDescent="0.2">
      <c r="A1380" s="5"/>
      <c r="B1380" s="4">
        <v>2</v>
      </c>
      <c r="C1380" s="4" t="s">
        <v>637</v>
      </c>
      <c r="D1380" s="4">
        <v>39121</v>
      </c>
      <c r="E1380" s="4">
        <v>2825</v>
      </c>
      <c r="F1380" s="4" t="s">
        <v>1258</v>
      </c>
      <c r="G1380" s="215" t="s">
        <v>1259</v>
      </c>
      <c r="H1380" s="4" t="s">
        <v>1260</v>
      </c>
      <c r="I1380" s="4" t="s">
        <v>641</v>
      </c>
      <c r="J1380" s="4" t="s">
        <v>1261</v>
      </c>
      <c r="K1380" s="4">
        <v>1</v>
      </c>
      <c r="L1380" s="4">
        <v>3568</v>
      </c>
      <c r="M1380" s="6">
        <v>49.058059999999998</v>
      </c>
      <c r="N1380" s="9">
        <v>-117.04</v>
      </c>
      <c r="O1380" s="9" t="s">
        <v>170</v>
      </c>
      <c r="P1380" s="9">
        <v>39121</v>
      </c>
      <c r="Q1380" s="20">
        <v>6</v>
      </c>
      <c r="R1380" s="9" t="s">
        <v>1258</v>
      </c>
      <c r="S1380" s="11" t="s">
        <v>1262</v>
      </c>
      <c r="T1380" s="9" t="s">
        <v>644</v>
      </c>
      <c r="U1380" s="9">
        <v>1780</v>
      </c>
      <c r="Z1380" s="9" t="s">
        <v>645</v>
      </c>
      <c r="AA1380" s="9" t="s">
        <v>1263</v>
      </c>
      <c r="AB1380" s="9"/>
      <c r="AC1380" s="21"/>
      <c r="AD1380" s="9"/>
      <c r="AE1380" s="9"/>
      <c r="AF1380" s="9"/>
      <c r="AG1380" s="9"/>
      <c r="AH1380" s="9"/>
      <c r="AI1380" s="9"/>
      <c r="AK1380" s="260"/>
    </row>
    <row r="1381" spans="1:72" ht="14.25" customHeight="1" x14ac:dyDescent="0.2">
      <c r="A1381" s="5"/>
      <c r="B1381" s="4">
        <v>2</v>
      </c>
      <c r="C1381" s="4" t="s">
        <v>637</v>
      </c>
      <c r="D1381" s="4">
        <v>39123</v>
      </c>
      <c r="E1381" s="4">
        <v>2826</v>
      </c>
      <c r="F1381" s="4" t="s">
        <v>1264</v>
      </c>
      <c r="G1381" s="215" t="s">
        <v>1265</v>
      </c>
      <c r="H1381" s="4" t="s">
        <v>1266</v>
      </c>
      <c r="I1381" s="4" t="s">
        <v>641</v>
      </c>
      <c r="J1381" s="4" t="s">
        <v>1267</v>
      </c>
      <c r="K1381" s="4">
        <v>1</v>
      </c>
      <c r="L1381" s="4">
        <v>3569</v>
      </c>
      <c r="M1381" s="6">
        <v>49.07161</v>
      </c>
      <c r="N1381" s="9">
        <v>-117.08389</v>
      </c>
      <c r="O1381" s="9" t="s">
        <v>170</v>
      </c>
      <c r="P1381" s="9">
        <v>39123</v>
      </c>
      <c r="Q1381" s="20">
        <v>8</v>
      </c>
      <c r="R1381" s="9" t="s">
        <v>1264</v>
      </c>
      <c r="S1381" s="11" t="s">
        <v>1268</v>
      </c>
      <c r="T1381" s="9" t="s">
        <v>644</v>
      </c>
      <c r="U1381" s="9">
        <v>2140</v>
      </c>
      <c r="Z1381" s="9"/>
      <c r="AA1381" s="9" t="s">
        <v>1269</v>
      </c>
      <c r="AB1381" s="9"/>
      <c r="AC1381" s="9"/>
      <c r="AD1381" s="9"/>
      <c r="AE1381" s="9"/>
      <c r="AF1381" s="9"/>
      <c r="AG1381" s="9"/>
      <c r="AH1381" s="9"/>
      <c r="AI1381" s="9"/>
      <c r="AK1381" s="260"/>
    </row>
    <row r="1382" spans="1:72" ht="14.25" customHeight="1" x14ac:dyDescent="0.2">
      <c r="A1382" s="5"/>
      <c r="B1382" s="4">
        <v>2</v>
      </c>
      <c r="C1382" s="4" t="s">
        <v>637</v>
      </c>
      <c r="D1382" s="4">
        <v>39124</v>
      </c>
      <c r="E1382" s="4">
        <v>12483</v>
      </c>
      <c r="F1382" s="4" t="s">
        <v>1270</v>
      </c>
      <c r="G1382" s="215" t="s">
        <v>1271</v>
      </c>
      <c r="H1382" s="4" t="s">
        <v>709</v>
      </c>
      <c r="I1382" s="4" t="s">
        <v>49</v>
      </c>
      <c r="J1382" s="4" t="s">
        <v>1023</v>
      </c>
      <c r="K1382" s="4">
        <v>1</v>
      </c>
      <c r="L1382" s="4">
        <v>14505</v>
      </c>
      <c r="M1382" s="6">
        <v>49.076439999999998</v>
      </c>
      <c r="N1382" s="9">
        <v>-117.00218</v>
      </c>
      <c r="O1382" s="9" t="s">
        <v>170</v>
      </c>
      <c r="P1382" s="9">
        <v>39124</v>
      </c>
      <c r="Q1382" s="20">
        <v>7</v>
      </c>
      <c r="R1382" s="9" t="s">
        <v>1270</v>
      </c>
      <c r="S1382" s="11" t="s">
        <v>1272</v>
      </c>
      <c r="T1382" s="9" t="s">
        <v>644</v>
      </c>
      <c r="U1382" s="9">
        <v>2054</v>
      </c>
      <c r="Z1382" s="9"/>
      <c r="AA1382" s="9" t="s">
        <v>1273</v>
      </c>
      <c r="AB1382" s="9"/>
      <c r="AC1382" s="9"/>
      <c r="AD1382" s="9"/>
      <c r="AE1382" s="9"/>
      <c r="AF1382" s="9"/>
      <c r="AG1382" s="9"/>
      <c r="AH1382" s="9"/>
      <c r="AI1382" s="9"/>
      <c r="AK1382" s="260"/>
    </row>
    <row r="1383" spans="1:72" ht="14.25" customHeight="1" x14ac:dyDescent="0.2">
      <c r="A1383" s="5"/>
      <c r="B1383" s="4">
        <v>2</v>
      </c>
      <c r="C1383" s="4" t="s">
        <v>637</v>
      </c>
      <c r="D1383" s="4">
        <v>39129</v>
      </c>
      <c r="E1383" s="4">
        <v>2827</v>
      </c>
      <c r="F1383" s="4" t="s">
        <v>1274</v>
      </c>
      <c r="G1383" s="216" t="s">
        <v>1275</v>
      </c>
      <c r="H1383" s="4" t="s">
        <v>1276</v>
      </c>
      <c r="I1383" s="4" t="s">
        <v>641</v>
      </c>
      <c r="J1383" s="4" t="s">
        <v>1277</v>
      </c>
      <c r="K1383" s="4">
        <v>1</v>
      </c>
      <c r="L1383" s="4">
        <v>3570</v>
      </c>
      <c r="M1383" s="6"/>
      <c r="N1383" s="9"/>
      <c r="O1383" s="9"/>
      <c r="P1383" s="9"/>
      <c r="Q1383" s="20"/>
      <c r="R1383" s="9"/>
      <c r="S1383" s="11"/>
      <c r="T1383" s="9"/>
      <c r="U1383" s="9"/>
      <c r="Z1383" s="9"/>
      <c r="AA1383" s="9"/>
      <c r="AB1383" s="9"/>
      <c r="AC1383" s="9"/>
      <c r="AD1383" s="9"/>
      <c r="AE1383" s="9"/>
      <c r="AF1383" s="9"/>
      <c r="AG1383" s="9"/>
      <c r="AH1383" s="9"/>
      <c r="AI1383" s="9"/>
      <c r="AK1383" s="260"/>
    </row>
    <row r="1384" spans="1:72" ht="14.25" customHeight="1" x14ac:dyDescent="0.2">
      <c r="A1384" s="5"/>
      <c r="B1384" s="4">
        <v>2</v>
      </c>
      <c r="C1384" s="4" t="s">
        <v>637</v>
      </c>
      <c r="D1384" s="4">
        <v>41092</v>
      </c>
      <c r="E1384" s="4">
        <v>2835</v>
      </c>
      <c r="F1384" s="4" t="s">
        <v>1287</v>
      </c>
      <c r="G1384" s="215" t="s">
        <v>1288</v>
      </c>
      <c r="H1384" s="4" t="s">
        <v>1289</v>
      </c>
      <c r="I1384" s="4" t="s">
        <v>641</v>
      </c>
      <c r="J1384" s="4" t="s">
        <v>642</v>
      </c>
      <c r="K1384" s="4">
        <v>1</v>
      </c>
      <c r="L1384" s="4">
        <v>3578</v>
      </c>
      <c r="M1384" s="6">
        <v>55.501109999999997</v>
      </c>
      <c r="N1384" s="9">
        <v>-122.65694000000001</v>
      </c>
      <c r="O1384" s="9" t="s">
        <v>1290</v>
      </c>
      <c r="P1384" s="9">
        <v>41092</v>
      </c>
      <c r="Q1384" s="20">
        <v>1</v>
      </c>
      <c r="R1384" s="9" t="s">
        <v>1287</v>
      </c>
      <c r="S1384" s="11" t="s">
        <v>1291</v>
      </c>
      <c r="T1384" s="9" t="s">
        <v>644</v>
      </c>
      <c r="U1384" s="9">
        <v>730</v>
      </c>
      <c r="V1384" s="9"/>
      <c r="W1384" s="9"/>
      <c r="X1384" s="9"/>
      <c r="Y1384" s="9"/>
      <c r="Z1384" s="9" t="s">
        <v>645</v>
      </c>
      <c r="AA1384" s="9" t="s">
        <v>1292</v>
      </c>
      <c r="AB1384" s="9"/>
      <c r="AC1384" s="21"/>
      <c r="AD1384" s="9"/>
      <c r="AE1384" s="9"/>
      <c r="AF1384" s="9"/>
      <c r="AG1384" s="9"/>
      <c r="AH1384" s="9"/>
      <c r="AI1384" s="9"/>
      <c r="AJ1384" s="9"/>
      <c r="AK1384" s="7"/>
      <c r="AL1384" s="9"/>
      <c r="AM1384" s="9"/>
      <c r="AN1384" s="9"/>
      <c r="AO1384" s="9"/>
      <c r="AP1384" s="9"/>
      <c r="AQ1384" s="9"/>
      <c r="AR1384" s="9"/>
      <c r="AS1384" s="9"/>
      <c r="AT1384" s="9"/>
      <c r="AU1384" s="9"/>
      <c r="AV1384" s="9"/>
      <c r="AW1384" s="9"/>
      <c r="AX1384" s="9"/>
      <c r="AY1384" s="9"/>
      <c r="AZ1384" s="9"/>
      <c r="BA1384" s="9"/>
      <c r="BB1384" s="9"/>
      <c r="BC1384" s="9"/>
      <c r="BD1384" s="9"/>
      <c r="BE1384" s="9"/>
      <c r="BF1384" s="9"/>
      <c r="BG1384" s="9"/>
      <c r="BH1384" s="9"/>
      <c r="BI1384" s="9"/>
      <c r="BJ1384" s="9"/>
      <c r="BK1384" s="9"/>
      <c r="BL1384" s="9"/>
      <c r="BM1384" s="9"/>
      <c r="BN1384" s="9"/>
      <c r="BO1384" s="9"/>
      <c r="BP1384" s="9"/>
      <c r="BQ1384" s="9"/>
      <c r="BR1384" s="9"/>
      <c r="BS1384" s="9"/>
      <c r="BT1384" s="9"/>
    </row>
    <row r="1385" spans="1:72" ht="14.25" customHeight="1" x14ac:dyDescent="0.2">
      <c r="A1385" s="5"/>
      <c r="B1385" s="4">
        <v>2</v>
      </c>
      <c r="C1385" s="4" t="s">
        <v>637</v>
      </c>
      <c r="D1385" s="4">
        <v>41093</v>
      </c>
      <c r="E1385" s="4">
        <v>2836</v>
      </c>
      <c r="F1385" s="4" t="s">
        <v>1293</v>
      </c>
      <c r="G1385" s="215" t="s">
        <v>1294</v>
      </c>
      <c r="H1385" s="4" t="s">
        <v>1295</v>
      </c>
      <c r="I1385" s="4" t="s">
        <v>641</v>
      </c>
      <c r="J1385" s="4" t="s">
        <v>642</v>
      </c>
      <c r="K1385" s="4">
        <v>1</v>
      </c>
      <c r="L1385" s="4">
        <v>3579</v>
      </c>
      <c r="M1385" s="6">
        <v>54.903889999999997</v>
      </c>
      <c r="N1385" s="9">
        <v>-122.92749999999999</v>
      </c>
      <c r="O1385" s="9" t="s">
        <v>1290</v>
      </c>
      <c r="P1385" s="9">
        <v>41093</v>
      </c>
      <c r="Q1385" s="20">
        <v>1</v>
      </c>
      <c r="R1385" s="9" t="s">
        <v>1293</v>
      </c>
      <c r="S1385" s="11" t="s">
        <v>1296</v>
      </c>
      <c r="T1385" s="9" t="s">
        <v>644</v>
      </c>
      <c r="U1385" s="9">
        <v>710</v>
      </c>
      <c r="Z1385" s="9"/>
      <c r="AA1385" s="9" t="s">
        <v>1297</v>
      </c>
      <c r="AB1385" s="9"/>
      <c r="AC1385" s="21"/>
      <c r="AD1385" s="9"/>
      <c r="AE1385" s="9"/>
      <c r="AF1385" s="9"/>
      <c r="AG1385" s="9"/>
      <c r="AH1385" s="9"/>
      <c r="AI1385" s="9"/>
      <c r="AK1385" s="260"/>
    </row>
    <row r="1386" spans="1:72" ht="14.25" customHeight="1" x14ac:dyDescent="0.2">
      <c r="A1386" s="5"/>
      <c r="B1386" s="4">
        <v>2</v>
      </c>
      <c r="C1386" s="4" t="s">
        <v>637</v>
      </c>
      <c r="D1386" s="4">
        <v>41094</v>
      </c>
      <c r="E1386" s="4">
        <v>2837</v>
      </c>
      <c r="F1386" s="9" t="s">
        <v>1298</v>
      </c>
      <c r="G1386" s="215" t="s">
        <v>1299</v>
      </c>
      <c r="H1386" s="4" t="s">
        <v>1300</v>
      </c>
      <c r="I1386" s="4" t="s">
        <v>641</v>
      </c>
      <c r="J1386" s="4" t="s">
        <v>642</v>
      </c>
      <c r="K1386" s="4">
        <v>1</v>
      </c>
      <c r="L1386" s="4">
        <v>3580</v>
      </c>
      <c r="M1386" s="6">
        <v>53.831389999999999</v>
      </c>
      <c r="N1386" s="9">
        <v>-123.13222</v>
      </c>
      <c r="O1386" s="9" t="s">
        <v>1290</v>
      </c>
      <c r="P1386" s="9">
        <v>41094</v>
      </c>
      <c r="Q1386" s="20">
        <v>1</v>
      </c>
      <c r="R1386" s="9" t="s">
        <v>1301</v>
      </c>
      <c r="S1386" s="11" t="s">
        <v>1302</v>
      </c>
      <c r="T1386" s="9" t="s">
        <v>644</v>
      </c>
      <c r="U1386" s="9">
        <v>715</v>
      </c>
      <c r="V1386" s="9"/>
      <c r="W1386" s="9"/>
      <c r="X1386" s="9"/>
      <c r="Y1386" s="9"/>
      <c r="Z1386" s="9"/>
      <c r="AA1386" s="9" t="s">
        <v>1303</v>
      </c>
      <c r="AB1386" s="9"/>
      <c r="AC1386" s="9"/>
      <c r="AD1386" s="9"/>
      <c r="AE1386" s="9"/>
      <c r="AF1386" s="9"/>
      <c r="AG1386" s="9"/>
      <c r="AH1386" s="9"/>
      <c r="AI1386" s="9"/>
      <c r="AJ1386" s="9"/>
      <c r="AK1386" s="7"/>
      <c r="AL1386" s="9"/>
      <c r="AM1386" s="9"/>
      <c r="AN1386" s="9"/>
      <c r="AO1386" s="9"/>
      <c r="AP1386" s="9"/>
      <c r="AQ1386" s="9"/>
      <c r="AR1386" s="9"/>
      <c r="AS1386" s="9"/>
      <c r="AT1386" s="9"/>
      <c r="AU1386" s="9"/>
      <c r="AV1386" s="9"/>
      <c r="AW1386" s="9"/>
      <c r="AX1386" s="9"/>
      <c r="AY1386" s="9"/>
      <c r="AZ1386" s="9"/>
      <c r="BA1386" s="9"/>
      <c r="BB1386" s="9"/>
      <c r="BC1386" s="9"/>
      <c r="BD1386" s="9"/>
      <c r="BE1386" s="9"/>
      <c r="BF1386" s="9"/>
      <c r="BG1386" s="9"/>
      <c r="BH1386" s="9"/>
      <c r="BI1386" s="9"/>
      <c r="BJ1386" s="9"/>
      <c r="BK1386" s="9"/>
      <c r="BL1386" s="9"/>
      <c r="BM1386" s="9"/>
      <c r="BN1386" s="9"/>
      <c r="BO1386" s="9"/>
      <c r="BP1386" s="9"/>
      <c r="BQ1386" s="9"/>
      <c r="BR1386" s="9"/>
      <c r="BS1386" s="9"/>
      <c r="BT1386" s="9"/>
    </row>
    <row r="1387" spans="1:72" ht="14.25" customHeight="1" x14ac:dyDescent="0.2">
      <c r="A1387" s="5"/>
      <c r="B1387" s="4">
        <v>2</v>
      </c>
      <c r="C1387" s="4" t="s">
        <v>637</v>
      </c>
      <c r="D1387" s="4">
        <v>41095</v>
      </c>
      <c r="E1387" s="4">
        <v>12484</v>
      </c>
      <c r="F1387" s="4" t="s">
        <v>1304</v>
      </c>
      <c r="G1387" s="215" t="s">
        <v>1305</v>
      </c>
      <c r="H1387" s="4" t="s">
        <v>709</v>
      </c>
      <c r="I1387" s="4" t="s">
        <v>49</v>
      </c>
      <c r="J1387" s="4" t="s">
        <v>799</v>
      </c>
      <c r="K1387" s="4">
        <v>1</v>
      </c>
      <c r="L1387" s="4">
        <v>14506</v>
      </c>
      <c r="M1387" s="222">
        <v>53.72531</v>
      </c>
      <c r="N1387" s="201">
        <v>-121.13636</v>
      </c>
      <c r="P1387" s="201">
        <v>41095</v>
      </c>
      <c r="R1387" s="201" t="s">
        <v>1304</v>
      </c>
      <c r="U1387" s="201">
        <v>726</v>
      </c>
      <c r="AA1387" s="201" t="s">
        <v>1306</v>
      </c>
      <c r="AK1387" s="260"/>
      <c r="AO1387" s="269"/>
    </row>
    <row r="1388" spans="1:72" ht="14.25" customHeight="1" x14ac:dyDescent="0.2">
      <c r="A1388" s="5"/>
      <c r="B1388" s="4">
        <v>2</v>
      </c>
      <c r="C1388" s="4" t="s">
        <v>637</v>
      </c>
      <c r="D1388" s="4">
        <v>42091</v>
      </c>
      <c r="E1388" s="4">
        <v>2841</v>
      </c>
      <c r="F1388" s="4" t="s">
        <v>1307</v>
      </c>
      <c r="G1388" s="215" t="s">
        <v>1308</v>
      </c>
      <c r="H1388" s="4" t="s">
        <v>1309</v>
      </c>
      <c r="I1388" s="4" t="s">
        <v>641</v>
      </c>
      <c r="J1388" s="4" t="s">
        <v>642</v>
      </c>
      <c r="K1388" s="4">
        <v>1</v>
      </c>
      <c r="L1388" s="4">
        <v>3584</v>
      </c>
      <c r="M1388" s="6">
        <v>52.930779999999999</v>
      </c>
      <c r="N1388" s="9">
        <v>-122.43881</v>
      </c>
      <c r="O1388" s="9" t="s">
        <v>148</v>
      </c>
      <c r="P1388" s="9">
        <v>42091</v>
      </c>
      <c r="Q1388" s="20">
        <v>1</v>
      </c>
      <c r="R1388" s="9" t="s">
        <v>1307</v>
      </c>
      <c r="S1388" s="11" t="s">
        <v>1310</v>
      </c>
      <c r="T1388" s="9" t="s">
        <v>644</v>
      </c>
      <c r="U1388" s="9">
        <v>659</v>
      </c>
      <c r="Z1388" s="9"/>
      <c r="AA1388" s="9" t="s">
        <v>1311</v>
      </c>
      <c r="AB1388" s="9"/>
      <c r="AC1388" s="21"/>
      <c r="AD1388" s="9"/>
      <c r="AE1388" s="9"/>
      <c r="AF1388" s="9"/>
      <c r="AG1388" s="9"/>
      <c r="AH1388" s="9"/>
      <c r="AI1388" s="9"/>
      <c r="AK1388" s="260"/>
    </row>
    <row r="1389" spans="1:72" ht="14.25" customHeight="1" x14ac:dyDescent="0.2">
      <c r="A1389" s="5"/>
      <c r="B1389" s="4">
        <v>2</v>
      </c>
      <c r="C1389" s="4" t="s">
        <v>637</v>
      </c>
      <c r="D1389" s="4">
        <v>42092</v>
      </c>
      <c r="E1389" s="4">
        <v>11027</v>
      </c>
      <c r="F1389" s="4" t="s">
        <v>1312</v>
      </c>
      <c r="G1389" s="215" t="s">
        <v>1313</v>
      </c>
      <c r="H1389" s="4" t="s">
        <v>969</v>
      </c>
      <c r="I1389" s="4" t="s">
        <v>49</v>
      </c>
      <c r="J1389" s="4" t="s">
        <v>710</v>
      </c>
      <c r="K1389" s="4">
        <v>1</v>
      </c>
      <c r="L1389" s="4">
        <v>13195</v>
      </c>
      <c r="M1389" s="6">
        <v>53.158000000000001</v>
      </c>
      <c r="N1389" s="9">
        <v>-122.36442</v>
      </c>
      <c r="O1389" s="9" t="s">
        <v>148</v>
      </c>
      <c r="P1389" s="9">
        <v>42092</v>
      </c>
      <c r="Q1389" s="20">
        <v>2</v>
      </c>
      <c r="R1389" s="9" t="s">
        <v>1312</v>
      </c>
      <c r="S1389" s="11" t="s">
        <v>1314</v>
      </c>
      <c r="T1389" s="9" t="s">
        <v>644</v>
      </c>
      <c r="U1389" s="9">
        <v>855</v>
      </c>
      <c r="Z1389" s="9"/>
      <c r="AA1389" s="9" t="s">
        <v>1315</v>
      </c>
      <c r="AB1389" s="9"/>
      <c r="AC1389" s="21"/>
      <c r="AD1389" s="9"/>
      <c r="AE1389" s="9"/>
      <c r="AF1389" s="9"/>
      <c r="AG1389" s="9"/>
      <c r="AH1389" s="9"/>
      <c r="AI1389" s="9"/>
      <c r="AK1389" s="260"/>
    </row>
    <row r="1390" spans="1:72" ht="14.25" customHeight="1" x14ac:dyDescent="0.2">
      <c r="A1390" s="5"/>
      <c r="B1390" s="4">
        <v>2</v>
      </c>
      <c r="C1390" s="4" t="s">
        <v>637</v>
      </c>
      <c r="D1390" s="4">
        <v>42121</v>
      </c>
      <c r="E1390" s="4">
        <v>2843</v>
      </c>
      <c r="F1390" s="4" t="s">
        <v>1316</v>
      </c>
      <c r="G1390" s="215" t="s">
        <v>1317</v>
      </c>
      <c r="H1390" s="4" t="s">
        <v>1318</v>
      </c>
      <c r="I1390" s="4" t="s">
        <v>641</v>
      </c>
      <c r="J1390" s="4" t="s">
        <v>1319</v>
      </c>
      <c r="K1390" s="4">
        <v>1</v>
      </c>
      <c r="L1390" s="4">
        <v>3586</v>
      </c>
      <c r="M1390" s="6">
        <v>53.156669999999998</v>
      </c>
      <c r="N1390" s="9">
        <v>-121.47889000000001</v>
      </c>
      <c r="O1390" s="9" t="s">
        <v>170</v>
      </c>
      <c r="P1390" s="9">
        <v>42121</v>
      </c>
      <c r="Q1390" s="20">
        <v>5</v>
      </c>
      <c r="R1390" s="9" t="s">
        <v>1316</v>
      </c>
      <c r="S1390" s="11" t="s">
        <v>1320</v>
      </c>
      <c r="T1390" s="9" t="s">
        <v>644</v>
      </c>
      <c r="U1390" s="9">
        <v>1675</v>
      </c>
      <c r="Z1390" s="9"/>
      <c r="AA1390" s="9" t="s">
        <v>1321</v>
      </c>
      <c r="AB1390" s="9"/>
      <c r="AC1390" s="9"/>
      <c r="AD1390" s="9"/>
      <c r="AE1390" s="9"/>
      <c r="AF1390" s="9"/>
      <c r="AG1390" s="9"/>
      <c r="AH1390" s="9"/>
      <c r="AI1390" s="9"/>
      <c r="AK1390" s="260"/>
    </row>
    <row r="1391" spans="1:72" ht="14.25" customHeight="1" x14ac:dyDescent="0.2">
      <c r="A1391" s="5"/>
      <c r="B1391" s="4">
        <v>2</v>
      </c>
      <c r="C1391" s="4" t="s">
        <v>637</v>
      </c>
      <c r="D1391" s="4">
        <v>43091</v>
      </c>
      <c r="E1391" s="4">
        <v>2846</v>
      </c>
      <c r="F1391" s="4" t="s">
        <v>1326</v>
      </c>
      <c r="G1391" s="215" t="s">
        <v>1327</v>
      </c>
      <c r="H1391" s="4" t="s">
        <v>1328</v>
      </c>
      <c r="I1391" s="4" t="s">
        <v>641</v>
      </c>
      <c r="J1391" s="4" t="s">
        <v>642</v>
      </c>
      <c r="K1391" s="4">
        <v>1</v>
      </c>
      <c r="L1391" s="4">
        <v>3589</v>
      </c>
      <c r="M1391" s="6">
        <v>55.781500000000001</v>
      </c>
      <c r="N1391" s="9">
        <v>-120.76255999999999</v>
      </c>
      <c r="O1391" s="9" t="s">
        <v>153</v>
      </c>
      <c r="P1391" s="9">
        <v>43091</v>
      </c>
      <c r="Q1391" s="20">
        <v>4</v>
      </c>
      <c r="R1391" s="9" t="s">
        <v>1326</v>
      </c>
      <c r="S1391" s="11" t="s">
        <v>1329</v>
      </c>
      <c r="T1391" s="9" t="s">
        <v>644</v>
      </c>
      <c r="U1391" s="9">
        <v>760</v>
      </c>
      <c r="Z1391" s="9" t="s">
        <v>645</v>
      </c>
      <c r="AA1391" s="9" t="s">
        <v>1330</v>
      </c>
      <c r="AB1391" s="9"/>
      <c r="AC1391" s="21"/>
      <c r="AD1391" s="9"/>
      <c r="AE1391" s="9"/>
      <c r="AF1391" s="9"/>
      <c r="AG1391" s="9"/>
      <c r="AH1391" s="9"/>
      <c r="AI1391" s="9"/>
      <c r="AK1391" s="260"/>
    </row>
    <row r="1392" spans="1:72" ht="14.25" customHeight="1" x14ac:dyDescent="0.2">
      <c r="A1392" s="5"/>
      <c r="B1392" s="4">
        <v>2</v>
      </c>
      <c r="C1392" s="4" t="s">
        <v>637</v>
      </c>
      <c r="D1392" s="4">
        <v>43126</v>
      </c>
      <c r="E1392" s="4">
        <v>2848</v>
      </c>
      <c r="F1392" s="188" t="s">
        <v>1334</v>
      </c>
      <c r="G1392" s="22" t="s">
        <v>1335</v>
      </c>
      <c r="H1392" s="4" t="s">
        <v>1336</v>
      </c>
      <c r="I1392" s="4" t="s">
        <v>641</v>
      </c>
      <c r="J1392" s="4" t="s">
        <v>1337</v>
      </c>
      <c r="K1392" s="4">
        <v>1</v>
      </c>
      <c r="L1392" s="4">
        <v>3591</v>
      </c>
      <c r="M1392" s="223"/>
      <c r="U1392"/>
      <c r="AK1392" s="260"/>
    </row>
    <row r="1393" spans="1:72" ht="14.25" customHeight="1" x14ac:dyDescent="0.2">
      <c r="A1393" s="5"/>
      <c r="B1393" s="4">
        <v>2</v>
      </c>
      <c r="C1393" s="4" t="s">
        <v>637</v>
      </c>
      <c r="D1393" s="4">
        <v>43127</v>
      </c>
      <c r="E1393" s="4">
        <v>2849</v>
      </c>
      <c r="F1393" s="9" t="s">
        <v>1338</v>
      </c>
      <c r="G1393" s="216" t="s">
        <v>1339</v>
      </c>
      <c r="H1393" s="4" t="s">
        <v>1340</v>
      </c>
      <c r="I1393" s="4" t="s">
        <v>641</v>
      </c>
      <c r="J1393" s="4" t="s">
        <v>1341</v>
      </c>
      <c r="K1393" s="4">
        <v>1</v>
      </c>
      <c r="L1393" s="4">
        <v>3592</v>
      </c>
      <c r="M1393" s="6"/>
      <c r="N1393" s="9"/>
      <c r="O1393" s="9"/>
      <c r="P1393" s="9"/>
      <c r="Q1393" s="9"/>
      <c r="R1393" s="9"/>
      <c r="S1393" s="9"/>
      <c r="T1393" s="9"/>
      <c r="U1393" s="9"/>
      <c r="V1393" s="9"/>
      <c r="W1393" s="9"/>
      <c r="X1393" s="9"/>
      <c r="Y1393" s="9"/>
      <c r="Z1393" s="9"/>
      <c r="AA1393" s="9"/>
      <c r="AB1393" s="9"/>
      <c r="AC1393" s="9"/>
      <c r="AD1393" s="9"/>
      <c r="AE1393" s="9"/>
      <c r="AF1393" s="9"/>
      <c r="AG1393" s="9"/>
      <c r="AH1393" s="9"/>
      <c r="AI1393" s="9"/>
      <c r="AJ1393" s="9"/>
      <c r="AK1393" s="7"/>
      <c r="AL1393" s="9"/>
      <c r="AM1393" s="9"/>
      <c r="AN1393" s="9"/>
      <c r="AO1393" s="25"/>
      <c r="AP1393" s="9"/>
      <c r="AQ1393" s="9"/>
      <c r="AR1393" s="9"/>
      <c r="AS1393" s="9"/>
      <c r="AT1393" s="9"/>
      <c r="AU1393" s="9"/>
      <c r="AV1393" s="9"/>
      <c r="AW1393" s="9"/>
      <c r="AX1393" s="9"/>
      <c r="AY1393" s="9"/>
      <c r="AZ1393" s="9"/>
      <c r="BA1393" s="9"/>
      <c r="BB1393" s="9"/>
      <c r="BC1393" s="9"/>
      <c r="BD1393" s="9"/>
      <c r="BE1393" s="9"/>
      <c r="BF1393" s="9"/>
      <c r="BG1393" s="9"/>
      <c r="BH1393" s="9"/>
      <c r="BI1393" s="9"/>
      <c r="BJ1393" s="9"/>
      <c r="BK1393" s="9"/>
      <c r="BL1393" s="9"/>
      <c r="BM1393" s="9"/>
      <c r="BN1393" s="9"/>
      <c r="BO1393" s="9"/>
      <c r="BP1393" s="9"/>
      <c r="BQ1393" s="9"/>
      <c r="BR1393" s="9"/>
      <c r="BS1393" s="9"/>
      <c r="BT1393" s="9"/>
    </row>
    <row r="1394" spans="1:72" ht="14.25" customHeight="1" x14ac:dyDescent="0.2">
      <c r="A1394" s="5"/>
      <c r="B1394" s="9">
        <v>2</v>
      </c>
      <c r="C1394" s="9" t="s">
        <v>637</v>
      </c>
      <c r="D1394" s="9">
        <v>44092</v>
      </c>
      <c r="E1394" s="9">
        <v>12487</v>
      </c>
      <c r="F1394" s="203" t="s">
        <v>1347</v>
      </c>
      <c r="G1394" s="19" t="s">
        <v>1348</v>
      </c>
      <c r="H1394" s="4" t="s">
        <v>709</v>
      </c>
      <c r="I1394" s="4" t="s">
        <v>49</v>
      </c>
      <c r="J1394" s="4" t="s">
        <v>799</v>
      </c>
      <c r="K1394" s="4">
        <v>1</v>
      </c>
      <c r="L1394" s="4">
        <v>14509</v>
      </c>
      <c r="M1394" s="222">
        <v>50.07938</v>
      </c>
      <c r="N1394" s="201">
        <v>-120.64055</v>
      </c>
      <c r="O1394" s="9"/>
      <c r="P1394" s="201">
        <v>44092</v>
      </c>
      <c r="Q1394" s="9"/>
      <c r="R1394" s="201" t="s">
        <v>1347</v>
      </c>
      <c r="S1394" s="9"/>
      <c r="T1394" s="9"/>
      <c r="U1394" s="201">
        <v>750</v>
      </c>
      <c r="V1394" s="9"/>
      <c r="W1394" s="9"/>
      <c r="X1394" s="9"/>
      <c r="Y1394" s="9"/>
      <c r="Z1394" s="9"/>
      <c r="AA1394" s="201" t="s">
        <v>1349</v>
      </c>
      <c r="AB1394" s="9"/>
      <c r="AC1394" s="9"/>
      <c r="AD1394" s="9"/>
      <c r="AE1394" s="9"/>
      <c r="AF1394" s="9"/>
      <c r="AG1394" s="9"/>
      <c r="AH1394" s="9"/>
      <c r="AI1394" s="9"/>
      <c r="AJ1394" s="9"/>
      <c r="AK1394" s="7"/>
      <c r="AL1394" s="9"/>
      <c r="AM1394" s="9"/>
      <c r="AN1394" s="9"/>
      <c r="AO1394" s="25"/>
      <c r="AP1394" s="9"/>
      <c r="AQ1394" s="9"/>
      <c r="AR1394" s="9"/>
      <c r="AS1394" s="9"/>
      <c r="AT1394" s="9"/>
      <c r="AU1394" s="9"/>
      <c r="AV1394" s="9"/>
      <c r="AW1394" s="9"/>
      <c r="AX1394" s="9"/>
      <c r="AY1394" s="9"/>
      <c r="AZ1394" s="9"/>
      <c r="BA1394" s="9"/>
      <c r="BB1394" s="9"/>
      <c r="BC1394" s="9"/>
      <c r="BD1394" s="9"/>
      <c r="BE1394" s="9"/>
      <c r="BF1394" s="9"/>
      <c r="BG1394" s="9"/>
      <c r="BH1394" s="9"/>
      <c r="BI1394" s="9"/>
      <c r="BJ1394" s="9"/>
      <c r="BK1394" s="9"/>
      <c r="BL1394" s="9"/>
      <c r="BM1394" s="9"/>
      <c r="BN1394" s="9"/>
      <c r="BO1394" s="9"/>
      <c r="BP1394" s="9"/>
      <c r="BQ1394" s="9"/>
      <c r="BR1394" s="9"/>
      <c r="BS1394" s="9"/>
      <c r="BT1394" s="9"/>
    </row>
    <row r="1395" spans="1:72" ht="14.25" customHeight="1" x14ac:dyDescent="0.2">
      <c r="A1395" s="5"/>
      <c r="B1395" s="9">
        <v>2</v>
      </c>
      <c r="C1395" s="9" t="s">
        <v>637</v>
      </c>
      <c r="D1395" s="9">
        <v>44093</v>
      </c>
      <c r="E1395" s="9">
        <v>12488</v>
      </c>
      <c r="F1395" s="203" t="s">
        <v>1350</v>
      </c>
      <c r="G1395" s="19" t="s">
        <v>1351</v>
      </c>
      <c r="H1395" s="4" t="s">
        <v>709</v>
      </c>
      <c r="I1395" s="4" t="s">
        <v>49</v>
      </c>
      <c r="J1395" s="4" t="s">
        <v>799</v>
      </c>
      <c r="K1395" s="4">
        <v>1</v>
      </c>
      <c r="L1395" s="4">
        <v>14510</v>
      </c>
      <c r="M1395" s="222">
        <v>56.044690000000003</v>
      </c>
      <c r="N1395" s="201">
        <v>-121.88912999999999</v>
      </c>
      <c r="O1395" s="9"/>
      <c r="P1395" s="201">
        <v>44093</v>
      </c>
      <c r="Q1395" s="9"/>
      <c r="R1395" s="201" t="s">
        <v>1350</v>
      </c>
      <c r="S1395" s="9"/>
      <c r="T1395" s="9"/>
      <c r="U1395" s="201">
        <v>527</v>
      </c>
      <c r="V1395" s="9"/>
      <c r="W1395" s="9"/>
      <c r="X1395" s="9"/>
      <c r="Y1395" s="9"/>
      <c r="Z1395" s="9"/>
      <c r="AA1395" s="201" t="s">
        <v>1352</v>
      </c>
      <c r="AB1395" s="9"/>
      <c r="AC1395" s="9"/>
      <c r="AD1395" s="9"/>
      <c r="AE1395" s="9"/>
      <c r="AF1395" s="9"/>
      <c r="AG1395" s="9"/>
      <c r="AH1395" s="9"/>
      <c r="AI1395" s="9"/>
      <c r="AJ1395" s="9"/>
      <c r="AK1395" s="7"/>
      <c r="AL1395" s="9"/>
      <c r="AM1395" s="9"/>
      <c r="AN1395" s="9"/>
      <c r="AO1395" s="9"/>
      <c r="AP1395" s="9"/>
      <c r="AQ1395" s="9"/>
      <c r="AR1395" s="9"/>
      <c r="AS1395" s="9"/>
      <c r="AT1395" s="9"/>
      <c r="AU1395" s="9"/>
      <c r="AV1395" s="9"/>
      <c r="AW1395" s="9"/>
      <c r="AX1395" s="9"/>
      <c r="AY1395" s="9"/>
      <c r="AZ1395" s="9"/>
      <c r="BA1395" s="9"/>
      <c r="BB1395" s="9"/>
      <c r="BC1395" s="9"/>
      <c r="BD1395" s="9"/>
      <c r="BE1395" s="9"/>
      <c r="BF1395" s="9"/>
      <c r="BG1395" s="9"/>
      <c r="BH1395" s="9"/>
      <c r="BI1395" s="9"/>
      <c r="BJ1395" s="9"/>
      <c r="BK1395" s="9"/>
      <c r="BL1395" s="9"/>
      <c r="BM1395" s="9"/>
      <c r="BN1395" s="9"/>
      <c r="BO1395" s="9"/>
      <c r="BP1395" s="9"/>
      <c r="BQ1395" s="9"/>
      <c r="BR1395" s="9"/>
      <c r="BS1395" s="9"/>
      <c r="BT1395" s="9"/>
    </row>
    <row r="1396" spans="1:72" ht="14.25" customHeight="1" x14ac:dyDescent="0.2">
      <c r="A1396" s="5"/>
      <c r="B1396" s="4">
        <v>2</v>
      </c>
      <c r="C1396" s="188" t="s">
        <v>637</v>
      </c>
      <c r="D1396" s="4">
        <v>45091</v>
      </c>
      <c r="E1396" s="188">
        <v>12495</v>
      </c>
      <c r="F1396" s="188" t="s">
        <v>1353</v>
      </c>
      <c r="G1396" s="19" t="s">
        <v>1354</v>
      </c>
      <c r="H1396" s="4" t="s">
        <v>709</v>
      </c>
      <c r="I1396" s="4" t="s">
        <v>49</v>
      </c>
      <c r="J1396" s="4" t="s">
        <v>799</v>
      </c>
      <c r="K1396" s="4">
        <v>1</v>
      </c>
      <c r="L1396" s="4">
        <v>14517</v>
      </c>
      <c r="M1396" s="6">
        <v>54.055790000000002</v>
      </c>
      <c r="N1396" s="9">
        <v>-124.4777</v>
      </c>
      <c r="O1396" s="9" t="s">
        <v>148</v>
      </c>
      <c r="P1396" s="9">
        <v>45091</v>
      </c>
      <c r="Q1396" s="20">
        <v>1</v>
      </c>
      <c r="R1396" s="9" t="s">
        <v>1353</v>
      </c>
      <c r="S1396" s="11" t="s">
        <v>1355</v>
      </c>
      <c r="T1396" s="9" t="s">
        <v>644</v>
      </c>
      <c r="U1396" s="9">
        <v>800</v>
      </c>
      <c r="Z1396" s="9"/>
      <c r="AA1396" s="9" t="s">
        <v>1356</v>
      </c>
      <c r="AB1396" s="9"/>
      <c r="AC1396" s="9"/>
      <c r="AD1396" s="9"/>
      <c r="AE1396" s="9"/>
      <c r="AF1396" s="9"/>
      <c r="AG1396" s="9"/>
      <c r="AH1396" s="9"/>
      <c r="AI1396" s="9"/>
      <c r="AK1396" s="260"/>
    </row>
    <row r="1397" spans="1:72" ht="14.25" customHeight="1" x14ac:dyDescent="0.2">
      <c r="A1397" s="5"/>
      <c r="B1397" s="4">
        <v>2</v>
      </c>
      <c r="C1397" s="188" t="s">
        <v>637</v>
      </c>
      <c r="D1397" s="4">
        <v>45092</v>
      </c>
      <c r="E1397" s="188">
        <v>12489</v>
      </c>
      <c r="F1397" s="188" t="s">
        <v>1357</v>
      </c>
      <c r="G1397" s="19" t="s">
        <v>1358</v>
      </c>
      <c r="H1397" s="4" t="s">
        <v>709</v>
      </c>
      <c r="I1397" s="4" t="s">
        <v>49</v>
      </c>
      <c r="J1397" s="4" t="s">
        <v>799</v>
      </c>
      <c r="K1397" s="4">
        <v>1</v>
      </c>
      <c r="L1397" s="4">
        <v>14511</v>
      </c>
      <c r="M1397" s="222">
        <v>54.345599999999997</v>
      </c>
      <c r="N1397" s="201">
        <v>124.27643999999999</v>
      </c>
      <c r="P1397" s="201">
        <v>45092</v>
      </c>
      <c r="Q1397" s="201"/>
      <c r="R1397" s="201" t="s">
        <v>1357</v>
      </c>
      <c r="U1397" s="201">
        <v>727</v>
      </c>
      <c r="AA1397" s="201" t="s">
        <v>1359</v>
      </c>
      <c r="AK1397" s="260"/>
    </row>
    <row r="1398" spans="1:72" ht="14.25" customHeight="1" x14ac:dyDescent="0.2">
      <c r="A1398" s="5"/>
      <c r="B1398" s="4">
        <v>2</v>
      </c>
      <c r="C1398" s="188" t="s">
        <v>637</v>
      </c>
      <c r="D1398" s="4">
        <v>46094</v>
      </c>
      <c r="E1398" s="188">
        <v>2860</v>
      </c>
      <c r="F1398" s="188" t="s">
        <v>1360</v>
      </c>
      <c r="G1398" s="19" t="s">
        <v>1361</v>
      </c>
      <c r="H1398" s="4" t="s">
        <v>1362</v>
      </c>
      <c r="I1398" s="4" t="s">
        <v>641</v>
      </c>
      <c r="J1398" s="4" t="s">
        <v>755</v>
      </c>
      <c r="K1398" s="4">
        <v>1</v>
      </c>
      <c r="L1398" s="4">
        <v>3603</v>
      </c>
      <c r="M1398" s="6">
        <v>52.385559999999998</v>
      </c>
      <c r="N1398" s="9">
        <v>-119.18008</v>
      </c>
      <c r="O1398" s="9" t="s">
        <v>170</v>
      </c>
      <c r="P1398" s="9">
        <v>46094</v>
      </c>
      <c r="Q1398" s="20">
        <v>1</v>
      </c>
      <c r="R1398" s="9" t="s">
        <v>1360</v>
      </c>
      <c r="S1398" s="11" t="s">
        <v>1363</v>
      </c>
      <c r="T1398" s="9" t="s">
        <v>644</v>
      </c>
      <c r="U1398" s="9">
        <v>786</v>
      </c>
      <c r="Z1398" s="9"/>
      <c r="AA1398" s="9" t="s">
        <v>1364</v>
      </c>
      <c r="AB1398" s="9"/>
      <c r="AC1398" s="21"/>
      <c r="AD1398" s="9"/>
      <c r="AE1398" s="9"/>
      <c r="AF1398" s="9"/>
      <c r="AG1398" s="9"/>
      <c r="AH1398" s="9"/>
      <c r="AI1398" s="9"/>
      <c r="AK1398" s="260"/>
    </row>
    <row r="1399" spans="1:72" ht="14.25" customHeight="1" x14ac:dyDescent="0.2">
      <c r="A1399" s="5"/>
      <c r="B1399" s="4">
        <v>2</v>
      </c>
      <c r="C1399" s="188" t="s">
        <v>637</v>
      </c>
      <c r="D1399" s="4">
        <v>46125</v>
      </c>
      <c r="E1399" s="188">
        <v>2862</v>
      </c>
      <c r="F1399" s="188" t="s">
        <v>1365</v>
      </c>
      <c r="G1399" s="22" t="s">
        <v>1366</v>
      </c>
      <c r="H1399" s="4" t="s">
        <v>1367</v>
      </c>
      <c r="I1399" s="4" t="s">
        <v>641</v>
      </c>
      <c r="J1399" s="4" t="s">
        <v>867</v>
      </c>
      <c r="K1399" s="4">
        <v>1</v>
      </c>
      <c r="L1399" s="4">
        <v>3605</v>
      </c>
      <c r="M1399" s="223"/>
      <c r="U1399"/>
      <c r="AK1399" s="260"/>
    </row>
    <row r="1400" spans="1:72" ht="14.25" customHeight="1" x14ac:dyDescent="0.2">
      <c r="A1400" s="5"/>
      <c r="B1400" s="4">
        <v>2</v>
      </c>
      <c r="C1400" s="188" t="s">
        <v>637</v>
      </c>
      <c r="D1400" s="4">
        <v>46126</v>
      </c>
      <c r="E1400" s="188">
        <v>2863</v>
      </c>
      <c r="F1400" s="203" t="s">
        <v>1368</v>
      </c>
      <c r="G1400" s="22" t="s">
        <v>1369</v>
      </c>
      <c r="H1400" s="4" t="s">
        <v>1370</v>
      </c>
      <c r="I1400" s="4" t="s">
        <v>641</v>
      </c>
      <c r="J1400" s="4" t="s">
        <v>1371</v>
      </c>
      <c r="K1400" s="4">
        <v>1</v>
      </c>
      <c r="L1400" s="4">
        <v>3606</v>
      </c>
      <c r="M1400" s="6"/>
      <c r="N1400" s="9"/>
      <c r="O1400" s="9"/>
      <c r="P1400" s="9"/>
      <c r="Q1400" s="9"/>
      <c r="R1400" s="9"/>
      <c r="S1400" s="9"/>
      <c r="T1400" s="9"/>
      <c r="U1400" s="9"/>
      <c r="V1400" s="9"/>
      <c r="W1400" s="9"/>
      <c r="X1400" s="9"/>
      <c r="Y1400" s="9"/>
      <c r="Z1400" s="9"/>
      <c r="AA1400" s="9"/>
      <c r="AB1400" s="9"/>
      <c r="AC1400" s="9"/>
      <c r="AD1400" s="9"/>
      <c r="AE1400" s="9"/>
      <c r="AF1400" s="9"/>
      <c r="AG1400" s="9"/>
      <c r="AH1400" s="9"/>
      <c r="AI1400" s="9"/>
      <c r="AJ1400" s="9"/>
      <c r="AK1400" s="7"/>
      <c r="AL1400" s="9"/>
      <c r="AM1400" s="9"/>
      <c r="AN1400" s="9"/>
      <c r="AO1400" s="9"/>
      <c r="AP1400" s="9"/>
      <c r="AQ1400" s="9"/>
      <c r="AR1400" s="9"/>
      <c r="AS1400" s="9"/>
      <c r="AT1400" s="9"/>
      <c r="AU1400" s="9"/>
      <c r="AV1400" s="9"/>
      <c r="AW1400" s="9"/>
      <c r="AX1400" s="9"/>
      <c r="AY1400" s="9"/>
      <c r="AZ1400" s="9"/>
      <c r="BA1400" s="9"/>
      <c r="BB1400" s="9"/>
      <c r="BC1400" s="9"/>
      <c r="BD1400" s="9"/>
      <c r="BE1400" s="9"/>
      <c r="BF1400" s="9"/>
      <c r="BG1400" s="9"/>
      <c r="BH1400" s="9"/>
      <c r="BI1400" s="9"/>
      <c r="BJ1400" s="9"/>
      <c r="BK1400" s="9"/>
      <c r="BL1400" s="9"/>
      <c r="BM1400" s="9"/>
      <c r="BN1400" s="9"/>
      <c r="BO1400" s="9"/>
      <c r="BP1400" s="9"/>
      <c r="BQ1400" s="9"/>
      <c r="BR1400" s="9"/>
      <c r="BS1400" s="9"/>
      <c r="BT1400" s="9"/>
    </row>
    <row r="1401" spans="1:72" ht="14.25" customHeight="1" x14ac:dyDescent="0.2">
      <c r="A1401" s="5"/>
      <c r="B1401" s="4">
        <v>2</v>
      </c>
      <c r="C1401" s="188" t="s">
        <v>637</v>
      </c>
      <c r="D1401" s="4">
        <v>46127</v>
      </c>
      <c r="E1401" s="188">
        <v>2864</v>
      </c>
      <c r="F1401" s="203" t="s">
        <v>1372</v>
      </c>
      <c r="G1401" s="19" t="s">
        <v>1373</v>
      </c>
      <c r="H1401" s="4" t="s">
        <v>1374</v>
      </c>
      <c r="I1401" s="4" t="s">
        <v>641</v>
      </c>
      <c r="J1401" s="4" t="s">
        <v>755</v>
      </c>
      <c r="K1401" s="4">
        <v>1</v>
      </c>
      <c r="L1401" s="4">
        <v>3607</v>
      </c>
      <c r="M1401" s="6">
        <v>53.033029999999997</v>
      </c>
      <c r="N1401" s="9">
        <v>-119.2003</v>
      </c>
      <c r="O1401" s="9" t="s">
        <v>170</v>
      </c>
      <c r="P1401" s="9">
        <v>46127</v>
      </c>
      <c r="Q1401" s="20">
        <v>2</v>
      </c>
      <c r="R1401" s="9" t="s">
        <v>1372</v>
      </c>
      <c r="S1401" s="11" t="s">
        <v>1375</v>
      </c>
      <c r="T1401" s="9" t="s">
        <v>644</v>
      </c>
      <c r="U1401" s="9">
        <v>944</v>
      </c>
      <c r="V1401" s="9"/>
      <c r="W1401" s="9"/>
      <c r="X1401" s="9"/>
      <c r="Y1401" s="9"/>
      <c r="Z1401" s="9"/>
      <c r="AA1401" s="9" t="s">
        <v>1376</v>
      </c>
      <c r="AB1401" s="9"/>
      <c r="AC1401" s="9"/>
      <c r="AD1401" s="9"/>
      <c r="AE1401" s="9"/>
      <c r="AF1401" s="9"/>
      <c r="AG1401" s="9"/>
      <c r="AH1401" s="9"/>
      <c r="AI1401" s="9"/>
      <c r="AJ1401" s="9"/>
      <c r="AK1401" s="7"/>
      <c r="AL1401" s="9"/>
      <c r="AM1401" s="9"/>
      <c r="AN1401" s="9"/>
      <c r="AO1401" s="25"/>
      <c r="AP1401" s="9"/>
      <c r="AQ1401" s="9"/>
      <c r="AR1401" s="9"/>
      <c r="AS1401" s="9"/>
      <c r="AT1401" s="9"/>
      <c r="AU1401" s="9"/>
      <c r="AV1401" s="9"/>
      <c r="AW1401" s="9"/>
      <c r="AX1401" s="9"/>
      <c r="AY1401" s="9"/>
      <c r="AZ1401" s="9"/>
      <c r="BA1401" s="9"/>
      <c r="BB1401" s="9"/>
      <c r="BC1401" s="9"/>
      <c r="BD1401" s="9"/>
      <c r="BE1401" s="9"/>
      <c r="BF1401" s="9"/>
      <c r="BG1401" s="9"/>
      <c r="BH1401" s="9"/>
      <c r="BI1401" s="9"/>
      <c r="BJ1401" s="9"/>
      <c r="BK1401" s="9"/>
      <c r="BL1401" s="9"/>
      <c r="BM1401" s="9"/>
      <c r="BN1401" s="9"/>
      <c r="BO1401" s="9"/>
      <c r="BP1401" s="9"/>
      <c r="BQ1401" s="9"/>
      <c r="BR1401" s="9"/>
      <c r="BS1401" s="9"/>
      <c r="BT1401" s="9"/>
    </row>
    <row r="1402" spans="1:72" ht="14.25" customHeight="1" x14ac:dyDescent="0.2">
      <c r="A1402" s="5"/>
      <c r="B1402" s="4">
        <v>2</v>
      </c>
      <c r="C1402" s="188" t="s">
        <v>637</v>
      </c>
      <c r="D1402" s="4">
        <v>46191</v>
      </c>
      <c r="E1402" s="188">
        <v>12490</v>
      </c>
      <c r="F1402" s="188" t="s">
        <v>1377</v>
      </c>
      <c r="G1402" s="19" t="s">
        <v>1378</v>
      </c>
      <c r="H1402" s="4" t="s">
        <v>1379</v>
      </c>
      <c r="I1402" s="4" t="s">
        <v>49</v>
      </c>
      <c r="J1402" s="4" t="s">
        <v>1380</v>
      </c>
      <c r="K1402" s="4">
        <v>1</v>
      </c>
      <c r="L1402" s="4">
        <v>14512</v>
      </c>
      <c r="M1402" s="6">
        <v>52.884279999999997</v>
      </c>
      <c r="N1402" s="9">
        <v>-118.46087</v>
      </c>
      <c r="O1402" s="9" t="s">
        <v>170</v>
      </c>
      <c r="P1402" s="9">
        <v>46191</v>
      </c>
      <c r="Q1402" s="20">
        <v>3</v>
      </c>
      <c r="R1402" s="9" t="s">
        <v>1377</v>
      </c>
      <c r="S1402" s="11" t="s">
        <v>1381</v>
      </c>
      <c r="T1402" s="9" t="s">
        <v>644</v>
      </c>
      <c r="U1402" s="9">
        <v>1145</v>
      </c>
      <c r="Z1402" s="9"/>
      <c r="AA1402" s="9" t="s">
        <v>1382</v>
      </c>
      <c r="AB1402" s="9"/>
      <c r="AC1402" s="9"/>
      <c r="AD1402" s="9"/>
      <c r="AE1402" s="9"/>
      <c r="AF1402" s="9"/>
      <c r="AG1402" s="9"/>
      <c r="AH1402" s="9"/>
      <c r="AI1402" s="9"/>
      <c r="AK1402" s="260"/>
    </row>
    <row r="1403" spans="1:72" ht="14.25" customHeight="1" x14ac:dyDescent="0.2">
      <c r="A1403" s="5"/>
      <c r="B1403" s="4">
        <v>2</v>
      </c>
      <c r="C1403" s="188" t="s">
        <v>637</v>
      </c>
      <c r="D1403" s="4">
        <v>47091</v>
      </c>
      <c r="E1403" s="188">
        <v>2869</v>
      </c>
      <c r="F1403" s="203" t="s">
        <v>1383</v>
      </c>
      <c r="G1403" s="19" t="s">
        <v>1384</v>
      </c>
      <c r="H1403" s="4" t="s">
        <v>1385</v>
      </c>
      <c r="I1403" s="4" t="s">
        <v>641</v>
      </c>
      <c r="J1403" s="4" t="s">
        <v>755</v>
      </c>
      <c r="K1403" s="4">
        <v>1</v>
      </c>
      <c r="L1403" s="4">
        <v>3612</v>
      </c>
      <c r="M1403" s="6">
        <v>51.937469999999998</v>
      </c>
      <c r="N1403" s="9">
        <v>-122.98586</v>
      </c>
      <c r="O1403" s="9" t="s">
        <v>148</v>
      </c>
      <c r="P1403" s="9">
        <v>47091</v>
      </c>
      <c r="Q1403" s="20">
        <v>4</v>
      </c>
      <c r="R1403" s="9" t="s">
        <v>1383</v>
      </c>
      <c r="S1403" s="11" t="s">
        <v>1386</v>
      </c>
      <c r="T1403" s="9" t="s">
        <v>644</v>
      </c>
      <c r="U1403" s="9">
        <v>1090</v>
      </c>
      <c r="V1403" s="9"/>
      <c r="W1403" s="9"/>
      <c r="X1403" s="9"/>
      <c r="Y1403" s="9"/>
      <c r="Z1403" s="9" t="s">
        <v>645</v>
      </c>
      <c r="AA1403" s="9" t="s">
        <v>1387</v>
      </c>
      <c r="AB1403" s="9"/>
      <c r="AC1403" s="21"/>
      <c r="AD1403" s="9"/>
      <c r="AE1403" s="9"/>
      <c r="AF1403" s="9"/>
      <c r="AG1403" s="9"/>
      <c r="AH1403" s="9"/>
      <c r="AI1403" s="9"/>
      <c r="AJ1403" s="9"/>
      <c r="AK1403" s="7"/>
      <c r="AL1403" s="9"/>
      <c r="AM1403" s="9"/>
      <c r="AN1403" s="9"/>
      <c r="AO1403" s="9"/>
      <c r="AP1403" s="9"/>
      <c r="AQ1403" s="9"/>
      <c r="AR1403" s="9"/>
      <c r="AS1403" s="9"/>
      <c r="AT1403" s="9"/>
      <c r="AU1403" s="9"/>
      <c r="AV1403" s="9"/>
      <c r="AW1403" s="9"/>
      <c r="AX1403" s="9"/>
      <c r="AY1403" s="9"/>
      <c r="AZ1403" s="9"/>
      <c r="BA1403" s="9"/>
      <c r="BB1403" s="9"/>
      <c r="BC1403" s="9"/>
      <c r="BD1403" s="9"/>
      <c r="BE1403" s="9"/>
      <c r="BF1403" s="9"/>
      <c r="BG1403" s="9"/>
      <c r="BH1403" s="9"/>
      <c r="BI1403" s="9"/>
      <c r="BJ1403" s="9"/>
      <c r="BK1403" s="9"/>
      <c r="BL1403" s="9"/>
      <c r="BM1403" s="9"/>
      <c r="BN1403" s="9"/>
      <c r="BO1403" s="9"/>
      <c r="BP1403" s="9"/>
      <c r="BQ1403" s="9"/>
      <c r="BR1403" s="9"/>
      <c r="BS1403" s="9"/>
      <c r="BT1403" s="9"/>
    </row>
    <row r="1404" spans="1:72" ht="14.25" customHeight="1" x14ac:dyDescent="0.2">
      <c r="A1404" s="5"/>
      <c r="B1404" s="4">
        <v>2</v>
      </c>
      <c r="C1404" s="188" t="s">
        <v>637</v>
      </c>
      <c r="D1404" s="4">
        <v>47121</v>
      </c>
      <c r="E1404" s="188">
        <v>2873</v>
      </c>
      <c r="F1404" s="188" t="s">
        <v>1398</v>
      </c>
      <c r="G1404" s="19" t="s">
        <v>1399</v>
      </c>
      <c r="H1404" s="4" t="s">
        <v>1400</v>
      </c>
      <c r="I1404" s="4" t="s">
        <v>49</v>
      </c>
      <c r="J1404" s="4" t="s">
        <v>1401</v>
      </c>
      <c r="K1404" s="4">
        <v>1</v>
      </c>
      <c r="L1404" s="4">
        <v>3616</v>
      </c>
      <c r="M1404" s="6">
        <v>52.355690000000003</v>
      </c>
      <c r="N1404" s="9">
        <v>-126.77178000000001</v>
      </c>
      <c r="O1404" s="9" t="s">
        <v>51</v>
      </c>
      <c r="P1404" s="9">
        <v>47121</v>
      </c>
      <c r="Q1404" s="20">
        <v>6</v>
      </c>
      <c r="R1404" s="9" t="s">
        <v>1402</v>
      </c>
      <c r="S1404" s="11" t="s">
        <v>1403</v>
      </c>
      <c r="T1404" s="9" t="s">
        <v>644</v>
      </c>
      <c r="U1404" s="9">
        <v>1160</v>
      </c>
      <c r="Z1404" s="9"/>
      <c r="AA1404" s="9" t="s">
        <v>1404</v>
      </c>
      <c r="AB1404" s="9"/>
      <c r="AC1404" s="9"/>
      <c r="AD1404" s="9"/>
      <c r="AE1404" s="9"/>
      <c r="AF1404" s="9"/>
      <c r="AG1404" s="9"/>
      <c r="AH1404" s="9"/>
      <c r="AI1404" s="9"/>
      <c r="AK1404" s="260"/>
    </row>
    <row r="1405" spans="1:72" ht="14.25" customHeight="1" x14ac:dyDescent="0.2">
      <c r="A1405" s="5"/>
      <c r="B1405" s="4">
        <v>2</v>
      </c>
      <c r="C1405" s="188" t="s">
        <v>637</v>
      </c>
      <c r="D1405" s="4">
        <v>47122</v>
      </c>
      <c r="E1405" s="188">
        <v>2874</v>
      </c>
      <c r="F1405" s="203" t="s">
        <v>1405</v>
      </c>
      <c r="G1405" s="19" t="s">
        <v>1406</v>
      </c>
      <c r="H1405" s="4" t="s">
        <v>1407</v>
      </c>
      <c r="I1405" s="4" t="s">
        <v>641</v>
      </c>
      <c r="J1405" s="4" t="s">
        <v>1408</v>
      </c>
      <c r="K1405" s="4">
        <v>1</v>
      </c>
      <c r="L1405" s="4">
        <v>3617</v>
      </c>
      <c r="M1405" s="6">
        <v>52.434699999999999</v>
      </c>
      <c r="N1405" s="9">
        <v>-125.87448999999999</v>
      </c>
      <c r="O1405" s="9" t="s">
        <v>148</v>
      </c>
      <c r="P1405" s="9">
        <v>47122</v>
      </c>
      <c r="Q1405" s="20">
        <v>3</v>
      </c>
      <c r="R1405" s="9" t="s">
        <v>1405</v>
      </c>
      <c r="S1405" s="11" t="s">
        <v>1409</v>
      </c>
      <c r="T1405" s="9" t="s">
        <v>644</v>
      </c>
      <c r="U1405" s="9">
        <v>975</v>
      </c>
      <c r="V1405" s="9"/>
      <c r="W1405" s="9"/>
      <c r="X1405" s="9"/>
      <c r="Y1405" s="9"/>
      <c r="Z1405" s="9" t="s">
        <v>645</v>
      </c>
      <c r="AA1405" s="9" t="s">
        <v>1410</v>
      </c>
      <c r="AB1405" s="9"/>
      <c r="AC1405" s="21"/>
      <c r="AD1405" s="9"/>
      <c r="AE1405" s="9"/>
      <c r="AF1405" s="9"/>
      <c r="AG1405" s="9"/>
      <c r="AH1405" s="9"/>
      <c r="AI1405" s="9"/>
      <c r="AJ1405" s="9"/>
      <c r="AK1405" s="7"/>
      <c r="AL1405" s="9"/>
      <c r="AM1405" s="9"/>
      <c r="AN1405" s="9"/>
      <c r="AO1405" s="9"/>
      <c r="AP1405" s="9"/>
      <c r="AQ1405" s="9"/>
      <c r="AR1405" s="9"/>
      <c r="AS1405" s="9"/>
      <c r="AT1405" s="9"/>
      <c r="AU1405" s="9"/>
      <c r="AV1405" s="9"/>
      <c r="AW1405" s="9"/>
      <c r="AX1405" s="9"/>
      <c r="AY1405" s="9"/>
      <c r="AZ1405" s="9"/>
      <c r="BA1405" s="9"/>
      <c r="BB1405" s="9"/>
      <c r="BC1405" s="9"/>
      <c r="BD1405" s="9"/>
      <c r="BE1405" s="9"/>
      <c r="BF1405" s="9"/>
      <c r="BG1405" s="9"/>
      <c r="BH1405" s="9"/>
      <c r="BI1405" s="9"/>
      <c r="BJ1405" s="9"/>
      <c r="BK1405" s="9"/>
      <c r="BL1405" s="9"/>
      <c r="BM1405" s="9"/>
      <c r="BN1405" s="9"/>
      <c r="BO1405" s="9"/>
      <c r="BP1405" s="9"/>
      <c r="BQ1405" s="9"/>
      <c r="BR1405" s="9"/>
      <c r="BS1405" s="9"/>
      <c r="BT1405" s="9"/>
    </row>
    <row r="1406" spans="1:72" ht="14.25" customHeight="1" x14ac:dyDescent="0.2">
      <c r="A1406" s="5"/>
      <c r="B1406" s="4">
        <v>2</v>
      </c>
      <c r="C1406" s="188" t="s">
        <v>637</v>
      </c>
      <c r="D1406" s="4">
        <v>47123</v>
      </c>
      <c r="E1406" s="188">
        <v>11028</v>
      </c>
      <c r="F1406" s="188" t="s">
        <v>1411</v>
      </c>
      <c r="G1406" s="19" t="s">
        <v>1412</v>
      </c>
      <c r="H1406" s="4" t="s">
        <v>891</v>
      </c>
      <c r="I1406" s="4" t="s">
        <v>49</v>
      </c>
      <c r="J1406" s="4" t="s">
        <v>1413</v>
      </c>
      <c r="K1406" s="4">
        <v>1</v>
      </c>
      <c r="L1406" s="4">
        <v>13196</v>
      </c>
      <c r="M1406" s="6">
        <v>52.370550000000001</v>
      </c>
      <c r="N1406" s="9">
        <v>-126.75435</v>
      </c>
      <c r="O1406" s="9" t="s">
        <v>51</v>
      </c>
      <c r="P1406" s="9">
        <v>47123</v>
      </c>
      <c r="Q1406" s="20">
        <v>1</v>
      </c>
      <c r="R1406" s="9" t="s">
        <v>1411</v>
      </c>
      <c r="S1406" s="11" t="s">
        <v>1414</v>
      </c>
      <c r="T1406" s="9" t="s">
        <v>644</v>
      </c>
      <c r="U1406" s="9">
        <v>20</v>
      </c>
      <c r="Z1406" s="9"/>
      <c r="AA1406" s="9" t="s">
        <v>1415</v>
      </c>
      <c r="AB1406" s="9"/>
      <c r="AC1406" s="21"/>
      <c r="AD1406" s="9"/>
      <c r="AE1406" s="9"/>
      <c r="AF1406" s="9"/>
      <c r="AG1406" s="9"/>
      <c r="AK1406" s="260"/>
    </row>
    <row r="1407" spans="1:72" ht="14.25" customHeight="1" x14ac:dyDescent="0.2">
      <c r="A1407" s="5"/>
      <c r="B1407" s="4">
        <v>2</v>
      </c>
      <c r="C1407" s="188" t="s">
        <v>637</v>
      </c>
      <c r="D1407" s="4">
        <v>51121</v>
      </c>
      <c r="E1407" s="4">
        <v>2886</v>
      </c>
      <c r="F1407" s="188" t="s">
        <v>1416</v>
      </c>
      <c r="G1407" s="22" t="s">
        <v>1417</v>
      </c>
      <c r="H1407" s="4" t="s">
        <v>1418</v>
      </c>
      <c r="I1407" s="4" t="s">
        <v>641</v>
      </c>
      <c r="J1407" s="4" t="s">
        <v>670</v>
      </c>
      <c r="K1407" s="4">
        <v>1</v>
      </c>
      <c r="L1407" s="4">
        <v>3629</v>
      </c>
      <c r="M1407" s="223"/>
      <c r="U1407"/>
      <c r="AK1407" s="260"/>
    </row>
    <row r="1408" spans="1:72" ht="14.25" customHeight="1" x14ac:dyDescent="0.2">
      <c r="A1408" s="5"/>
      <c r="B1408" s="4">
        <v>2</v>
      </c>
      <c r="C1408" s="188" t="s">
        <v>637</v>
      </c>
      <c r="D1408" s="188">
        <v>51122</v>
      </c>
      <c r="E1408" s="4">
        <v>2887</v>
      </c>
      <c r="F1408" s="188" t="s">
        <v>1419</v>
      </c>
      <c r="G1408" s="22" t="s">
        <v>1420</v>
      </c>
      <c r="H1408" s="4" t="s">
        <v>1421</v>
      </c>
      <c r="I1408" s="4" t="s">
        <v>641</v>
      </c>
      <c r="J1408" s="4" t="s">
        <v>1371</v>
      </c>
      <c r="K1408" s="4">
        <v>1</v>
      </c>
      <c r="L1408" s="4">
        <v>3630</v>
      </c>
      <c r="M1408" s="223"/>
      <c r="U1408"/>
      <c r="AK1408" s="260"/>
    </row>
    <row r="1409" spans="1:72" ht="14.25" customHeight="1" x14ac:dyDescent="0.2">
      <c r="A1409" s="5"/>
      <c r="B1409" s="4">
        <v>2</v>
      </c>
      <c r="C1409" s="188" t="s">
        <v>637</v>
      </c>
      <c r="D1409" s="188">
        <v>51123</v>
      </c>
      <c r="E1409" s="4">
        <v>2888</v>
      </c>
      <c r="F1409" s="188" t="s">
        <v>1422</v>
      </c>
      <c r="G1409" s="22" t="s">
        <v>1423</v>
      </c>
      <c r="H1409" s="4" t="s">
        <v>1424</v>
      </c>
      <c r="I1409" s="4" t="s">
        <v>641</v>
      </c>
      <c r="J1409" s="4" t="s">
        <v>674</v>
      </c>
      <c r="K1409" s="4">
        <v>1</v>
      </c>
      <c r="L1409" s="4">
        <v>3631</v>
      </c>
      <c r="M1409" s="223"/>
      <c r="U1409"/>
      <c r="AK1409" s="260"/>
    </row>
    <row r="1410" spans="1:72" ht="14.25" customHeight="1" x14ac:dyDescent="0.2">
      <c r="A1410" s="5"/>
      <c r="B1410" s="4">
        <v>2</v>
      </c>
      <c r="C1410" s="4" t="s">
        <v>637</v>
      </c>
      <c r="D1410" s="4">
        <v>51125</v>
      </c>
      <c r="E1410" s="4">
        <v>2890</v>
      </c>
      <c r="F1410" s="4" t="s">
        <v>1430</v>
      </c>
      <c r="G1410" s="215" t="s">
        <v>1431</v>
      </c>
      <c r="H1410" s="4" t="s">
        <v>1432</v>
      </c>
      <c r="I1410" s="4" t="s">
        <v>641</v>
      </c>
      <c r="J1410" s="4" t="s">
        <v>1224</v>
      </c>
      <c r="K1410" s="4">
        <v>1</v>
      </c>
      <c r="L1410" s="4">
        <v>3633</v>
      </c>
      <c r="M1410" s="6">
        <v>56.099719999999998</v>
      </c>
      <c r="N1410" s="9">
        <v>-129.75166999999999</v>
      </c>
      <c r="O1410" s="9" t="s">
        <v>51</v>
      </c>
      <c r="P1410" s="9">
        <v>51125</v>
      </c>
      <c r="Q1410" s="20">
        <v>8</v>
      </c>
      <c r="R1410" s="9" t="s">
        <v>1430</v>
      </c>
      <c r="S1410" s="11" t="s">
        <v>1433</v>
      </c>
      <c r="T1410" s="9" t="s">
        <v>644</v>
      </c>
      <c r="U1410" s="9">
        <v>2000</v>
      </c>
      <c r="Z1410" s="9"/>
      <c r="AA1410" s="9" t="s">
        <v>1434</v>
      </c>
      <c r="AB1410" s="9"/>
      <c r="AC1410" s="9"/>
      <c r="AD1410" s="9"/>
      <c r="AE1410" s="9"/>
      <c r="AF1410" s="9"/>
      <c r="AG1410" s="9"/>
      <c r="AH1410" s="9"/>
      <c r="AI1410" s="9"/>
      <c r="AK1410" s="260"/>
    </row>
    <row r="1411" spans="1:72" ht="14.25" customHeight="1" x14ac:dyDescent="0.2">
      <c r="A1411" s="5"/>
      <c r="B1411" s="4">
        <v>2</v>
      </c>
      <c r="C1411" s="4" t="s">
        <v>637</v>
      </c>
      <c r="D1411" s="4">
        <v>51127</v>
      </c>
      <c r="E1411" s="4">
        <v>2892</v>
      </c>
      <c r="F1411" s="4" t="s">
        <v>1441</v>
      </c>
      <c r="G1411" s="215" t="s">
        <v>1442</v>
      </c>
      <c r="H1411" s="4" t="s">
        <v>1195</v>
      </c>
      <c r="I1411" s="4" t="s">
        <v>641</v>
      </c>
      <c r="J1411" s="4" t="s">
        <v>1224</v>
      </c>
      <c r="K1411" s="4">
        <v>1</v>
      </c>
      <c r="L1411" s="4">
        <v>3635</v>
      </c>
      <c r="M1411" s="6">
        <v>56.106310000000001</v>
      </c>
      <c r="N1411" s="9">
        <v>-129.65388999999999</v>
      </c>
      <c r="O1411" s="9" t="s">
        <v>51</v>
      </c>
      <c r="P1411" s="9">
        <v>51127</v>
      </c>
      <c r="Q1411" s="20">
        <v>4</v>
      </c>
      <c r="R1411" s="9" t="s">
        <v>1441</v>
      </c>
      <c r="S1411" s="11" t="s">
        <v>1443</v>
      </c>
      <c r="T1411" s="9" t="s">
        <v>644</v>
      </c>
      <c r="U1411" s="9">
        <v>540</v>
      </c>
      <c r="Z1411" s="9"/>
      <c r="AA1411" s="9" t="s">
        <v>1444</v>
      </c>
      <c r="AB1411" s="9"/>
      <c r="AC1411" s="9"/>
      <c r="AD1411" s="9"/>
      <c r="AE1411" s="9"/>
      <c r="AF1411" s="9"/>
      <c r="AG1411" s="9"/>
      <c r="AH1411" s="9"/>
      <c r="AI1411" s="9"/>
      <c r="AK1411" s="260"/>
    </row>
    <row r="1412" spans="1:72" ht="14.25" customHeight="1" x14ac:dyDescent="0.2">
      <c r="A1412" s="5"/>
      <c r="B1412" s="4">
        <v>2</v>
      </c>
      <c r="C1412" s="4" t="s">
        <v>637</v>
      </c>
      <c r="D1412" s="4">
        <v>51128</v>
      </c>
      <c r="E1412" s="4">
        <v>2893</v>
      </c>
      <c r="F1412" s="4" t="s">
        <v>1445</v>
      </c>
      <c r="G1412" s="215" t="s">
        <v>1446</v>
      </c>
      <c r="H1412" s="4" t="s">
        <v>1447</v>
      </c>
      <c r="I1412" s="4" t="s">
        <v>641</v>
      </c>
      <c r="J1412" s="4" t="s">
        <v>909</v>
      </c>
      <c r="K1412" s="4">
        <v>1</v>
      </c>
      <c r="L1412" s="4">
        <v>3636</v>
      </c>
      <c r="M1412" s="6">
        <v>56.103470000000002</v>
      </c>
      <c r="N1412" s="9">
        <v>-129.63297</v>
      </c>
      <c r="O1412" s="9" t="s">
        <v>51</v>
      </c>
      <c r="P1412" s="9">
        <v>51128</v>
      </c>
      <c r="Q1412" s="20">
        <v>3</v>
      </c>
      <c r="R1412" s="9" t="s">
        <v>1445</v>
      </c>
      <c r="S1412" s="11" t="s">
        <v>1448</v>
      </c>
      <c r="T1412" s="9" t="s">
        <v>644</v>
      </c>
      <c r="U1412" s="9">
        <v>440</v>
      </c>
      <c r="Z1412" s="9"/>
      <c r="AA1412" s="9" t="s">
        <v>1449</v>
      </c>
      <c r="AB1412" s="9"/>
      <c r="AC1412" s="21"/>
      <c r="AD1412" s="9"/>
      <c r="AE1412" s="9"/>
      <c r="AF1412" s="9"/>
      <c r="AG1412" s="9"/>
      <c r="AH1412" s="9"/>
      <c r="AI1412" s="9"/>
      <c r="AK1412" s="260"/>
    </row>
    <row r="1413" spans="1:72" ht="14.25" customHeight="1" x14ac:dyDescent="0.2">
      <c r="A1413" s="5"/>
      <c r="B1413" s="4">
        <v>2</v>
      </c>
      <c r="C1413" s="4" t="s">
        <v>637</v>
      </c>
      <c r="D1413" s="4">
        <v>51129</v>
      </c>
      <c r="E1413" s="4">
        <v>2894</v>
      </c>
      <c r="F1413" s="4" t="s">
        <v>1450</v>
      </c>
      <c r="G1413" s="215" t="s">
        <v>1451</v>
      </c>
      <c r="H1413" s="4" t="s">
        <v>1452</v>
      </c>
      <c r="I1413" s="4" t="s">
        <v>641</v>
      </c>
      <c r="J1413" s="4" t="s">
        <v>1453</v>
      </c>
      <c r="K1413" s="4">
        <v>1</v>
      </c>
      <c r="L1413" s="4">
        <v>3637</v>
      </c>
      <c r="M1413" s="6">
        <v>55.948079999999997</v>
      </c>
      <c r="N1413" s="9">
        <v>-129.98264</v>
      </c>
      <c r="O1413" s="9" t="s">
        <v>51</v>
      </c>
      <c r="P1413" s="9">
        <v>51129</v>
      </c>
      <c r="Q1413" s="20">
        <v>1</v>
      </c>
      <c r="R1413" s="9" t="s">
        <v>1450</v>
      </c>
      <c r="S1413" s="11" t="s">
        <v>1454</v>
      </c>
      <c r="T1413" s="9" t="s">
        <v>644</v>
      </c>
      <c r="U1413" s="9">
        <v>15</v>
      </c>
      <c r="Z1413" s="9" t="s">
        <v>645</v>
      </c>
      <c r="AA1413" s="9" t="s">
        <v>1455</v>
      </c>
      <c r="AB1413" s="9"/>
      <c r="AC1413" s="9"/>
      <c r="AD1413" s="9"/>
      <c r="AE1413" s="9"/>
      <c r="AF1413" s="9"/>
      <c r="AG1413" s="9"/>
      <c r="AH1413" s="9"/>
      <c r="AI1413" s="9"/>
      <c r="AK1413" s="260"/>
    </row>
    <row r="1414" spans="1:72" ht="14.25" customHeight="1" x14ac:dyDescent="0.2">
      <c r="A1414" s="5"/>
      <c r="B1414" s="4">
        <v>2</v>
      </c>
      <c r="C1414" s="4" t="s">
        <v>637</v>
      </c>
      <c r="D1414" s="4">
        <v>51130</v>
      </c>
      <c r="E1414" s="4">
        <v>2895</v>
      </c>
      <c r="F1414" s="4" t="s">
        <v>1456</v>
      </c>
      <c r="G1414" s="216" t="s">
        <v>1457</v>
      </c>
      <c r="H1414" s="4" t="s">
        <v>1458</v>
      </c>
      <c r="I1414" s="4" t="s">
        <v>641</v>
      </c>
      <c r="J1414" s="4" t="s">
        <v>1459</v>
      </c>
      <c r="K1414" s="4">
        <v>1</v>
      </c>
      <c r="L1414" s="4">
        <v>3638</v>
      </c>
      <c r="M1414" s="223"/>
      <c r="U1414"/>
      <c r="AK1414" s="260"/>
    </row>
    <row r="1415" spans="1:72" ht="14.25" customHeight="1" x14ac:dyDescent="0.2">
      <c r="A1415" s="5"/>
      <c r="B1415" s="4">
        <v>2</v>
      </c>
      <c r="C1415" s="4" t="s">
        <v>637</v>
      </c>
      <c r="D1415" s="4">
        <v>51137</v>
      </c>
      <c r="E1415" s="4">
        <v>12507</v>
      </c>
      <c r="F1415" s="9" t="s">
        <v>1460</v>
      </c>
      <c r="G1415" s="215" t="s">
        <v>1461</v>
      </c>
      <c r="H1415" s="4" t="s">
        <v>679</v>
      </c>
      <c r="I1415" s="4" t="s">
        <v>49</v>
      </c>
      <c r="J1415" s="4" t="s">
        <v>1462</v>
      </c>
      <c r="K1415" s="4">
        <v>1</v>
      </c>
      <c r="L1415" s="4">
        <v>14529</v>
      </c>
      <c r="M1415" s="6">
        <v>56.110239999999997</v>
      </c>
      <c r="N1415" s="9">
        <v>-129.51526999999999</v>
      </c>
      <c r="O1415" s="9" t="s">
        <v>51</v>
      </c>
      <c r="P1415" s="9">
        <v>51137</v>
      </c>
      <c r="Q1415" s="20">
        <v>5</v>
      </c>
      <c r="R1415" s="9" t="s">
        <v>1460</v>
      </c>
      <c r="S1415" s="11" t="s">
        <v>1463</v>
      </c>
      <c r="T1415" s="9" t="s">
        <v>644</v>
      </c>
      <c r="U1415" s="9">
        <v>1028</v>
      </c>
      <c r="V1415" s="9"/>
      <c r="W1415" s="9"/>
      <c r="X1415" s="9"/>
      <c r="Y1415" s="9"/>
      <c r="Z1415" s="9"/>
      <c r="AA1415" s="9" t="s">
        <v>1464</v>
      </c>
      <c r="AB1415" s="9"/>
      <c r="AC1415" s="9"/>
      <c r="AD1415" s="9"/>
      <c r="AE1415" s="9"/>
      <c r="AF1415" s="9"/>
      <c r="AG1415" s="9"/>
      <c r="AH1415" s="9"/>
      <c r="AI1415" s="9"/>
      <c r="AJ1415" s="9"/>
      <c r="AK1415" s="7"/>
      <c r="AL1415" s="9"/>
      <c r="AM1415" s="9"/>
      <c r="AN1415" s="9"/>
      <c r="AO1415" s="25"/>
      <c r="AP1415" s="9"/>
      <c r="AQ1415" s="9"/>
      <c r="AR1415" s="9"/>
      <c r="AS1415" s="9"/>
      <c r="AT1415" s="9"/>
      <c r="AU1415" s="9"/>
      <c r="AV1415" s="9"/>
      <c r="AW1415" s="9"/>
      <c r="AX1415" s="9"/>
      <c r="AY1415" s="9"/>
      <c r="AZ1415" s="9"/>
      <c r="BA1415" s="9"/>
      <c r="BB1415" s="9"/>
      <c r="BC1415" s="9"/>
      <c r="BD1415" s="9"/>
      <c r="BE1415" s="9"/>
      <c r="BF1415" s="9"/>
      <c r="BG1415" s="9"/>
      <c r="BH1415" s="9"/>
      <c r="BI1415" s="9"/>
      <c r="BJ1415" s="9"/>
      <c r="BK1415" s="9"/>
      <c r="BL1415" s="9"/>
      <c r="BM1415" s="9"/>
      <c r="BN1415" s="9"/>
      <c r="BO1415" s="9"/>
      <c r="BP1415" s="9"/>
      <c r="BQ1415" s="9"/>
      <c r="BR1415" s="9"/>
      <c r="BS1415" s="9"/>
      <c r="BT1415" s="9"/>
    </row>
    <row r="1416" spans="1:72" ht="14.25" customHeight="1" x14ac:dyDescent="0.2">
      <c r="A1416" s="5"/>
      <c r="B1416" s="4">
        <v>2</v>
      </c>
      <c r="C1416" s="4" t="s">
        <v>637</v>
      </c>
      <c r="D1416" s="4">
        <v>51191</v>
      </c>
      <c r="E1416" s="4">
        <v>2896</v>
      </c>
      <c r="F1416" s="4" t="s">
        <v>1465</v>
      </c>
      <c r="G1416" s="215" t="s">
        <v>1466</v>
      </c>
      <c r="H1416" s="4" t="s">
        <v>1467</v>
      </c>
      <c r="I1416" s="4" t="s">
        <v>641</v>
      </c>
      <c r="J1416" s="4" t="s">
        <v>642</v>
      </c>
      <c r="K1416" s="4">
        <v>1</v>
      </c>
      <c r="L1416" s="4">
        <v>3639</v>
      </c>
      <c r="M1416" s="6">
        <v>55.632219999999997</v>
      </c>
      <c r="N1416" s="9">
        <v>-128.67277999999999</v>
      </c>
      <c r="O1416" s="9" t="s">
        <v>51</v>
      </c>
      <c r="P1416" s="9">
        <v>51191</v>
      </c>
      <c r="Q1416" s="20">
        <v>3</v>
      </c>
      <c r="R1416" s="9" t="s">
        <v>1465</v>
      </c>
      <c r="S1416" s="11" t="s">
        <v>1468</v>
      </c>
      <c r="T1416" s="9" t="s">
        <v>644</v>
      </c>
      <c r="U1416" s="9">
        <v>356</v>
      </c>
      <c r="Z1416" s="9"/>
      <c r="AA1416" s="9" t="s">
        <v>1469</v>
      </c>
      <c r="AB1416" s="9"/>
      <c r="AC1416" s="21"/>
      <c r="AD1416" s="9"/>
      <c r="AE1416" s="9"/>
      <c r="AF1416" s="9"/>
      <c r="AG1416" s="9"/>
      <c r="AH1416" s="9"/>
      <c r="AI1416" s="9"/>
      <c r="AK1416" s="260"/>
      <c r="AO1416" s="192"/>
      <c r="AP1416" s="192"/>
      <c r="AQ1416" s="192"/>
      <c r="AR1416" s="192"/>
      <c r="AS1416" s="192"/>
      <c r="AT1416" s="192"/>
      <c r="AU1416" s="192"/>
      <c r="AV1416" s="192"/>
      <c r="AW1416" s="192"/>
      <c r="AX1416" s="192"/>
      <c r="AY1416" s="192"/>
      <c r="AZ1416" s="192"/>
      <c r="BA1416" s="192"/>
    </row>
    <row r="1417" spans="1:72" ht="14.25" customHeight="1" x14ac:dyDescent="0.2">
      <c r="A1417" s="5"/>
      <c r="B1417" s="4">
        <v>2</v>
      </c>
      <c r="C1417" s="4" t="s">
        <v>637</v>
      </c>
      <c r="D1417" s="4">
        <v>52091</v>
      </c>
      <c r="E1417" s="4">
        <v>2900</v>
      </c>
      <c r="F1417" s="4" t="s">
        <v>1475</v>
      </c>
      <c r="G1417" s="215" t="s">
        <v>1476</v>
      </c>
      <c r="H1417" s="4" t="s">
        <v>1477</v>
      </c>
      <c r="I1417" s="4" t="s">
        <v>641</v>
      </c>
      <c r="J1417" s="4" t="s">
        <v>755</v>
      </c>
      <c r="K1417" s="4">
        <v>1</v>
      </c>
      <c r="L1417" s="4">
        <v>3643</v>
      </c>
      <c r="M1417" s="6">
        <v>54.746389999999998</v>
      </c>
      <c r="N1417" s="9">
        <v>-128.26111</v>
      </c>
      <c r="O1417" s="9" t="s">
        <v>51</v>
      </c>
      <c r="P1417" s="9">
        <v>52091</v>
      </c>
      <c r="Q1417" s="20">
        <v>2</v>
      </c>
      <c r="R1417" s="9" t="s">
        <v>1475</v>
      </c>
      <c r="S1417" s="11" t="s">
        <v>1478</v>
      </c>
      <c r="T1417" s="9" t="s">
        <v>644</v>
      </c>
      <c r="U1417" s="9">
        <v>130</v>
      </c>
      <c r="Z1417" s="9" t="s">
        <v>645</v>
      </c>
      <c r="AA1417" s="9" t="s">
        <v>1479</v>
      </c>
      <c r="AB1417" s="9"/>
      <c r="AC1417" s="21"/>
      <c r="AD1417" s="9"/>
      <c r="AE1417" s="9"/>
      <c r="AF1417" s="9"/>
      <c r="AG1417" s="9"/>
      <c r="AH1417" s="9"/>
      <c r="AI1417" s="9"/>
      <c r="AK1417" s="260"/>
      <c r="AO1417" s="192"/>
      <c r="AP1417" s="192"/>
      <c r="AQ1417" s="192"/>
      <c r="AR1417" s="192"/>
      <c r="AS1417" s="192"/>
      <c r="AT1417" s="192"/>
      <c r="AU1417" s="192"/>
      <c r="AV1417" s="192"/>
      <c r="AW1417" s="192"/>
      <c r="AX1417" s="192"/>
      <c r="AY1417" s="192"/>
      <c r="AZ1417" s="192"/>
      <c r="BA1417" s="192"/>
    </row>
    <row r="1418" spans="1:72" ht="14.25" customHeight="1" x14ac:dyDescent="0.2">
      <c r="A1418" s="5"/>
      <c r="B1418" s="4">
        <v>2</v>
      </c>
      <c r="C1418" s="4" t="s">
        <v>637</v>
      </c>
      <c r="D1418" s="188">
        <v>52092</v>
      </c>
      <c r="E1418" s="4">
        <v>2901</v>
      </c>
      <c r="F1418" s="188" t="s">
        <v>1480</v>
      </c>
      <c r="G1418" s="215" t="s">
        <v>1481</v>
      </c>
      <c r="H1418" s="4" t="s">
        <v>1482</v>
      </c>
      <c r="I1418" s="4" t="s">
        <v>641</v>
      </c>
      <c r="J1418" s="4" t="s">
        <v>755</v>
      </c>
      <c r="K1418" s="4">
        <v>1</v>
      </c>
      <c r="L1418" s="4">
        <v>3644</v>
      </c>
      <c r="M1418" s="6">
        <v>54.937220000000003</v>
      </c>
      <c r="N1418" s="9">
        <v>-128.89361</v>
      </c>
      <c r="O1418" s="9" t="s">
        <v>51</v>
      </c>
      <c r="P1418" s="9">
        <v>52092</v>
      </c>
      <c r="Q1418" s="20">
        <v>2</v>
      </c>
      <c r="R1418" s="9" t="s">
        <v>1480</v>
      </c>
      <c r="S1418" s="11" t="s">
        <v>1483</v>
      </c>
      <c r="T1418" s="9" t="s">
        <v>644</v>
      </c>
      <c r="U1418" s="9">
        <v>280</v>
      </c>
      <c r="Z1418" s="9" t="s">
        <v>645</v>
      </c>
      <c r="AA1418" s="9" t="s">
        <v>1484</v>
      </c>
      <c r="AB1418" s="9"/>
      <c r="AC1418" s="21"/>
      <c r="AD1418" s="9"/>
      <c r="AE1418" s="9"/>
      <c r="AF1418" s="9"/>
      <c r="AG1418" s="9"/>
      <c r="AH1418" s="9"/>
      <c r="AI1418" s="9"/>
      <c r="AK1418" s="260"/>
    </row>
    <row r="1419" spans="1:72" ht="14.25" customHeight="1" x14ac:dyDescent="0.2">
      <c r="A1419" s="5"/>
      <c r="B1419" s="4">
        <v>2</v>
      </c>
      <c r="C1419" s="4" t="s">
        <v>637</v>
      </c>
      <c r="D1419" s="188">
        <v>52093</v>
      </c>
      <c r="E1419" s="4">
        <v>2902</v>
      </c>
      <c r="F1419" s="188" t="s">
        <v>1485</v>
      </c>
      <c r="G1419" s="215" t="s">
        <v>1486</v>
      </c>
      <c r="H1419" s="4" t="s">
        <v>1487</v>
      </c>
      <c r="I1419" s="4" t="s">
        <v>641</v>
      </c>
      <c r="J1419" s="4" t="s">
        <v>755</v>
      </c>
      <c r="K1419" s="4">
        <v>1</v>
      </c>
      <c r="L1419" s="4">
        <v>3645</v>
      </c>
      <c r="M1419" s="6">
        <v>54.302219999999998</v>
      </c>
      <c r="N1419" s="9">
        <v>-128.53778</v>
      </c>
      <c r="O1419" s="9" t="s">
        <v>51</v>
      </c>
      <c r="P1419" s="9">
        <v>52093</v>
      </c>
      <c r="Q1419" s="20">
        <v>2</v>
      </c>
      <c r="R1419" s="9" t="s">
        <v>1485</v>
      </c>
      <c r="S1419" s="11" t="s">
        <v>1488</v>
      </c>
      <c r="T1419" s="9" t="s">
        <v>644</v>
      </c>
      <c r="U1419" s="9">
        <v>220</v>
      </c>
      <c r="Z1419" s="9" t="s">
        <v>645</v>
      </c>
      <c r="AA1419" s="9" t="s">
        <v>1489</v>
      </c>
      <c r="AB1419" s="9"/>
      <c r="AC1419" s="21"/>
      <c r="AD1419" s="9"/>
      <c r="AE1419" s="9"/>
      <c r="AF1419" s="9"/>
      <c r="AG1419" s="9"/>
      <c r="AH1419" s="9"/>
      <c r="AI1419" s="9"/>
      <c r="AK1419" s="260"/>
    </row>
    <row r="1420" spans="1:72" ht="14.25" customHeight="1" x14ac:dyDescent="0.2">
      <c r="A1420" s="5"/>
      <c r="B1420" s="4">
        <v>2</v>
      </c>
      <c r="C1420" s="4" t="s">
        <v>637</v>
      </c>
      <c r="D1420" s="188">
        <v>52322</v>
      </c>
      <c r="E1420" s="4">
        <v>2904</v>
      </c>
      <c r="F1420" s="4" t="s">
        <v>1490</v>
      </c>
      <c r="G1420" s="215" t="s">
        <v>1491</v>
      </c>
      <c r="H1420" s="4" t="s">
        <v>1492</v>
      </c>
      <c r="I1420" s="4" t="s">
        <v>641</v>
      </c>
      <c r="J1420" s="4" t="s">
        <v>662</v>
      </c>
      <c r="K1420" s="4">
        <v>1</v>
      </c>
      <c r="L1420" s="4">
        <v>3647</v>
      </c>
      <c r="M1420" s="6">
        <v>54.301609999999997</v>
      </c>
      <c r="N1420" s="9">
        <v>-129.44333</v>
      </c>
      <c r="O1420" s="9" t="s">
        <v>51</v>
      </c>
      <c r="P1420" s="9">
        <v>52322</v>
      </c>
      <c r="Q1420" s="20">
        <v>7</v>
      </c>
      <c r="R1420" s="9" t="s">
        <v>1490</v>
      </c>
      <c r="S1420" s="11" t="s">
        <v>1493</v>
      </c>
      <c r="T1420" s="9" t="s">
        <v>644</v>
      </c>
      <c r="U1420" s="9">
        <v>1435</v>
      </c>
      <c r="Z1420" s="9"/>
      <c r="AA1420" s="9" t="s">
        <v>1494</v>
      </c>
      <c r="AB1420" s="9"/>
      <c r="AC1420" s="9"/>
      <c r="AD1420" s="9"/>
      <c r="AE1420" s="9"/>
      <c r="AF1420" s="9"/>
      <c r="AG1420" s="9"/>
      <c r="AH1420" s="9"/>
      <c r="AI1420" s="9"/>
      <c r="AK1420" s="260"/>
    </row>
    <row r="1421" spans="1:72" ht="14.25" customHeight="1" x14ac:dyDescent="0.2">
      <c r="A1421" s="5"/>
      <c r="B1421" s="4">
        <v>2</v>
      </c>
      <c r="C1421" s="4" t="s">
        <v>637</v>
      </c>
      <c r="D1421" s="188">
        <v>52391</v>
      </c>
      <c r="E1421" s="4">
        <v>11029</v>
      </c>
      <c r="F1421" s="188" t="s">
        <v>1508</v>
      </c>
      <c r="G1421" s="19" t="s">
        <v>1509</v>
      </c>
      <c r="H1421" s="4" t="s">
        <v>891</v>
      </c>
      <c r="I1421" s="4" t="s">
        <v>49</v>
      </c>
      <c r="J1421" s="4" t="s">
        <v>710</v>
      </c>
      <c r="K1421" s="4">
        <v>1</v>
      </c>
      <c r="L1421" s="4">
        <v>13197</v>
      </c>
      <c r="M1421" s="6">
        <v>54.208419999999997</v>
      </c>
      <c r="N1421" s="9">
        <v>-129.98168999999999</v>
      </c>
      <c r="O1421" s="9" t="s">
        <v>51</v>
      </c>
      <c r="P1421" s="9">
        <v>52391</v>
      </c>
      <c r="Q1421" s="20">
        <v>1</v>
      </c>
      <c r="R1421" s="9" t="s">
        <v>1508</v>
      </c>
      <c r="S1421" s="11" t="s">
        <v>1510</v>
      </c>
      <c r="T1421" s="9" t="s">
        <v>644</v>
      </c>
      <c r="U1421" s="9">
        <v>12</v>
      </c>
      <c r="Z1421" s="9"/>
      <c r="AA1421" s="9" t="s">
        <v>1511</v>
      </c>
      <c r="AB1421" s="9"/>
      <c r="AC1421" s="21"/>
      <c r="AD1421" s="9"/>
      <c r="AE1421" s="9"/>
      <c r="AF1421" s="9"/>
      <c r="AG1421" s="9"/>
      <c r="AH1421" s="9"/>
      <c r="AI1421" s="9"/>
      <c r="AK1421" s="260"/>
    </row>
    <row r="1422" spans="1:72" ht="14.25" customHeight="1" x14ac:dyDescent="0.2">
      <c r="A1422" s="5"/>
      <c r="B1422" s="4">
        <v>2</v>
      </c>
      <c r="C1422" s="4" t="s">
        <v>637</v>
      </c>
      <c r="D1422" s="4">
        <v>52521</v>
      </c>
      <c r="E1422" s="4">
        <v>2910</v>
      </c>
      <c r="F1422" s="4" t="s">
        <v>1518</v>
      </c>
      <c r="G1422" s="215" t="s">
        <v>1519</v>
      </c>
      <c r="H1422" s="4" t="s">
        <v>1520</v>
      </c>
      <c r="I1422" s="4" t="s">
        <v>641</v>
      </c>
      <c r="J1422" s="4" t="s">
        <v>1521</v>
      </c>
      <c r="K1422" s="4">
        <v>1</v>
      </c>
      <c r="L1422" s="4">
        <v>3653</v>
      </c>
      <c r="M1422" s="6">
        <v>55.010330000000003</v>
      </c>
      <c r="N1422" s="9">
        <v>-129.77636000000001</v>
      </c>
      <c r="O1422" s="9" t="s">
        <v>51</v>
      </c>
      <c r="P1422" s="9">
        <v>52521</v>
      </c>
      <c r="Q1422" s="20">
        <v>5</v>
      </c>
      <c r="R1422" s="9" t="s">
        <v>1518</v>
      </c>
      <c r="S1422" s="11" t="s">
        <v>1522</v>
      </c>
      <c r="T1422" s="9" t="s">
        <v>644</v>
      </c>
      <c r="U1422" s="9">
        <v>860</v>
      </c>
      <c r="Z1422" s="9"/>
      <c r="AA1422" s="9" t="s">
        <v>1523</v>
      </c>
      <c r="AB1422" s="9"/>
      <c r="AC1422" s="9"/>
      <c r="AD1422" s="9"/>
      <c r="AE1422" s="9"/>
      <c r="AF1422" s="9"/>
      <c r="AG1422" s="9"/>
      <c r="AH1422" s="9"/>
      <c r="AI1422" s="9"/>
      <c r="AK1422" s="260"/>
    </row>
    <row r="1423" spans="1:72" ht="14.25" customHeight="1" x14ac:dyDescent="0.2">
      <c r="A1423" s="5"/>
      <c r="B1423" s="4">
        <v>2</v>
      </c>
      <c r="C1423" s="4" t="s">
        <v>637</v>
      </c>
      <c r="D1423" s="188">
        <v>52522</v>
      </c>
      <c r="E1423" s="4">
        <v>2911</v>
      </c>
      <c r="F1423" s="203" t="s">
        <v>1524</v>
      </c>
      <c r="G1423" s="19" t="s">
        <v>1525</v>
      </c>
      <c r="H1423" s="4" t="s">
        <v>1526</v>
      </c>
      <c r="I1423" s="4" t="s">
        <v>641</v>
      </c>
      <c r="J1423" s="4" t="s">
        <v>1527</v>
      </c>
      <c r="K1423" s="4">
        <v>1</v>
      </c>
      <c r="L1423" s="4">
        <v>3654</v>
      </c>
      <c r="M1423" s="6">
        <v>55.001860000000001</v>
      </c>
      <c r="N1423" s="9">
        <v>-129.88126</v>
      </c>
      <c r="O1423" s="9" t="s">
        <v>51</v>
      </c>
      <c r="P1423" s="9">
        <v>52522</v>
      </c>
      <c r="Q1423" s="20">
        <v>1</v>
      </c>
      <c r="R1423" s="9" t="s">
        <v>1524</v>
      </c>
      <c r="S1423" s="11" t="s">
        <v>1528</v>
      </c>
      <c r="T1423" s="9" t="s">
        <v>644</v>
      </c>
      <c r="U1423" s="9">
        <v>30</v>
      </c>
      <c r="V1423" s="9"/>
      <c r="W1423" s="9"/>
      <c r="X1423" s="9"/>
      <c r="Y1423" s="9"/>
      <c r="Z1423" s="9" t="s">
        <v>645</v>
      </c>
      <c r="AA1423" s="9" t="s">
        <v>1529</v>
      </c>
      <c r="AB1423" s="9"/>
      <c r="AC1423" s="9"/>
      <c r="AD1423" s="9"/>
      <c r="AE1423" s="9"/>
      <c r="AF1423" s="9"/>
      <c r="AG1423" s="9"/>
      <c r="AH1423" s="9"/>
      <c r="AI1423" s="9"/>
      <c r="AJ1423" s="9"/>
      <c r="AK1423" s="7"/>
      <c r="AL1423" s="9"/>
      <c r="AM1423" s="9"/>
      <c r="AN1423" s="9"/>
      <c r="AO1423" s="9"/>
      <c r="AP1423" s="9"/>
      <c r="AQ1423" s="9"/>
      <c r="AR1423" s="9"/>
      <c r="AS1423" s="9"/>
      <c r="AT1423" s="9"/>
      <c r="AU1423" s="9"/>
      <c r="AV1423" s="9"/>
      <c r="AW1423" s="9"/>
      <c r="AX1423" s="9"/>
      <c r="AY1423" s="9"/>
      <c r="AZ1423" s="9"/>
      <c r="BA1423" s="9"/>
      <c r="BB1423" s="9"/>
      <c r="BC1423" s="9"/>
      <c r="BD1423" s="9"/>
      <c r="BE1423" s="9"/>
      <c r="BF1423" s="9"/>
      <c r="BG1423" s="9"/>
      <c r="BH1423" s="9"/>
      <c r="BI1423" s="9"/>
      <c r="BJ1423" s="9"/>
      <c r="BK1423" s="9"/>
      <c r="BL1423" s="9"/>
      <c r="BM1423" s="9"/>
      <c r="BN1423" s="9"/>
      <c r="BO1423" s="9"/>
      <c r="BP1423" s="9"/>
      <c r="BQ1423" s="9"/>
      <c r="BR1423" s="9"/>
      <c r="BS1423" s="9"/>
      <c r="BT1423" s="9"/>
    </row>
    <row r="1424" spans="1:72" ht="14.25" customHeight="1" x14ac:dyDescent="0.2">
      <c r="A1424" s="5"/>
      <c r="B1424" s="4">
        <v>2</v>
      </c>
      <c r="C1424" s="4" t="s">
        <v>637</v>
      </c>
      <c r="D1424" s="4">
        <v>52591</v>
      </c>
      <c r="E1424" s="4">
        <v>12491</v>
      </c>
      <c r="F1424" s="4" t="s">
        <v>1530</v>
      </c>
      <c r="G1424" s="216" t="s">
        <v>1531</v>
      </c>
      <c r="H1424" s="4" t="s">
        <v>709</v>
      </c>
      <c r="I1424" s="4" t="s">
        <v>49</v>
      </c>
      <c r="J1424" s="4" t="s">
        <v>710</v>
      </c>
      <c r="K1424" s="4">
        <v>1</v>
      </c>
      <c r="L1424" s="4">
        <v>14513</v>
      </c>
      <c r="M1424" s="223"/>
      <c r="U1424"/>
      <c r="AK1424" s="260"/>
    </row>
    <row r="1425" spans="1:72" ht="14.25" customHeight="1" x14ac:dyDescent="0.2">
      <c r="A1425" s="5"/>
      <c r="B1425" s="4">
        <v>2</v>
      </c>
      <c r="C1425" s="4" t="s">
        <v>637</v>
      </c>
      <c r="D1425" s="188">
        <v>53121</v>
      </c>
      <c r="E1425" s="4">
        <v>2919</v>
      </c>
      <c r="F1425" s="9" t="s">
        <v>1532</v>
      </c>
      <c r="G1425" s="216" t="s">
        <v>1533</v>
      </c>
      <c r="H1425" s="4" t="s">
        <v>1534</v>
      </c>
      <c r="I1425" s="4" t="s">
        <v>641</v>
      </c>
      <c r="J1425" s="4" t="s">
        <v>1035</v>
      </c>
      <c r="K1425" s="4">
        <v>1</v>
      </c>
      <c r="L1425" s="4">
        <v>3662</v>
      </c>
      <c r="M1425" s="6">
        <v>55.01849</v>
      </c>
      <c r="N1425" s="9">
        <v>-129.61816999999999</v>
      </c>
      <c r="O1425" s="9" t="s">
        <v>51</v>
      </c>
      <c r="P1425" s="9">
        <v>52591</v>
      </c>
      <c r="Q1425" s="20">
        <v>2</v>
      </c>
      <c r="R1425" s="9" t="s">
        <v>1530</v>
      </c>
      <c r="S1425" s="11" t="s">
        <v>1535</v>
      </c>
      <c r="T1425" s="9" t="s">
        <v>644</v>
      </c>
      <c r="U1425" s="9">
        <v>120</v>
      </c>
      <c r="X1425" s="9"/>
      <c r="Y1425" s="9"/>
      <c r="Z1425" s="9"/>
      <c r="AA1425" s="9" t="s">
        <v>1536</v>
      </c>
      <c r="AB1425" s="9"/>
      <c r="AC1425" s="9"/>
      <c r="AD1425" s="9"/>
      <c r="AE1425" s="9"/>
      <c r="AF1425" s="9"/>
      <c r="AG1425" s="9"/>
      <c r="AH1425" s="9"/>
      <c r="AI1425" s="9"/>
      <c r="AJ1425" s="9"/>
      <c r="AK1425" s="7"/>
      <c r="AL1425" s="9"/>
      <c r="AM1425" s="9"/>
      <c r="AN1425" s="9"/>
      <c r="AO1425" s="9"/>
      <c r="AP1425" s="9"/>
      <c r="AQ1425" s="9"/>
      <c r="AR1425" s="9"/>
      <c r="AS1425" s="9"/>
      <c r="AT1425" s="9"/>
      <c r="AU1425" s="9"/>
      <c r="AV1425" s="9"/>
      <c r="AW1425" s="9"/>
      <c r="AX1425" s="9"/>
      <c r="AY1425" s="9"/>
      <c r="AZ1425" s="9"/>
      <c r="BA1425" s="9"/>
      <c r="BB1425" s="9"/>
      <c r="BC1425" s="9"/>
      <c r="BD1425" s="9"/>
      <c r="BE1425" s="9"/>
      <c r="BF1425" s="9"/>
      <c r="BG1425" s="9"/>
      <c r="BH1425" s="9"/>
      <c r="BI1425" s="9"/>
      <c r="BJ1425" s="9"/>
      <c r="BK1425" s="9"/>
      <c r="BL1425" s="9"/>
      <c r="BM1425" s="9"/>
      <c r="BN1425" s="9"/>
      <c r="BO1425" s="9"/>
      <c r="BP1425" s="9"/>
      <c r="BQ1425" s="9"/>
      <c r="BR1425" s="9"/>
      <c r="BS1425" s="9"/>
      <c r="BT1425" s="9"/>
    </row>
    <row r="1426" spans="1:72" ht="14.25" customHeight="1" x14ac:dyDescent="0.2">
      <c r="A1426" s="5"/>
      <c r="B1426" s="4">
        <v>2</v>
      </c>
      <c r="C1426" s="188" t="s">
        <v>637</v>
      </c>
      <c r="D1426" s="188">
        <v>53122</v>
      </c>
      <c r="E1426" s="4">
        <v>2920</v>
      </c>
      <c r="F1426" s="188" t="s">
        <v>1537</v>
      </c>
      <c r="G1426" s="19" t="s">
        <v>1538</v>
      </c>
      <c r="H1426" s="4" t="s">
        <v>1539</v>
      </c>
      <c r="I1426" s="4" t="s">
        <v>641</v>
      </c>
      <c r="J1426" s="4" t="s">
        <v>1224</v>
      </c>
      <c r="K1426" s="4">
        <v>1</v>
      </c>
      <c r="L1426" s="4">
        <v>3663</v>
      </c>
      <c r="M1426" s="6">
        <v>56.776670000000003</v>
      </c>
      <c r="N1426" s="9">
        <v>-129.97253000000001</v>
      </c>
      <c r="O1426" s="9" t="s">
        <v>1290</v>
      </c>
      <c r="P1426" s="9">
        <v>53122</v>
      </c>
      <c r="Q1426" s="20">
        <v>4</v>
      </c>
      <c r="R1426" s="9" t="s">
        <v>1537</v>
      </c>
      <c r="S1426" s="11" t="s">
        <v>1540</v>
      </c>
      <c r="T1426" s="9" t="s">
        <v>644</v>
      </c>
      <c r="U1426" s="9">
        <v>1065</v>
      </c>
      <c r="V1426" s="9"/>
      <c r="W1426" s="9"/>
      <c r="X1426" s="9"/>
      <c r="Y1426" s="9"/>
      <c r="Z1426" s="9"/>
      <c r="AA1426" s="9" t="s">
        <v>1541</v>
      </c>
      <c r="AB1426" s="9"/>
      <c r="AC1426" s="9"/>
      <c r="AD1426" s="9"/>
      <c r="AE1426" s="9"/>
      <c r="AF1426" s="9"/>
      <c r="AG1426" s="9"/>
      <c r="AH1426" s="9"/>
      <c r="AI1426" s="9"/>
      <c r="AJ1426" s="9"/>
      <c r="AK1426" s="7"/>
      <c r="AL1426" s="9"/>
      <c r="AM1426" s="9"/>
      <c r="AN1426" s="9"/>
      <c r="AO1426" s="9"/>
      <c r="AP1426" s="9"/>
      <c r="AQ1426" s="9"/>
      <c r="AR1426" s="9"/>
      <c r="AS1426" s="9"/>
      <c r="AT1426" s="9"/>
      <c r="AU1426" s="9"/>
      <c r="AV1426" s="9"/>
      <c r="AW1426" s="9"/>
      <c r="AX1426" s="9"/>
      <c r="AY1426" s="9"/>
      <c r="AZ1426" s="9"/>
      <c r="BA1426" s="9"/>
      <c r="BB1426" s="9"/>
      <c r="BC1426" s="9"/>
      <c r="BD1426" s="9"/>
      <c r="BE1426" s="9"/>
      <c r="BF1426" s="9"/>
      <c r="BG1426" s="9"/>
      <c r="BH1426" s="9"/>
      <c r="BI1426" s="9"/>
      <c r="BJ1426" s="9"/>
      <c r="BK1426" s="9"/>
      <c r="BL1426" s="9"/>
      <c r="BM1426" s="9"/>
      <c r="BN1426" s="9"/>
      <c r="BO1426" s="9"/>
      <c r="BP1426" s="9"/>
      <c r="BQ1426" s="9"/>
      <c r="BR1426" s="9"/>
      <c r="BS1426" s="9"/>
      <c r="BT1426" s="9"/>
    </row>
    <row r="1427" spans="1:72" ht="14.25" customHeight="1" x14ac:dyDescent="0.2">
      <c r="A1427" s="5"/>
      <c r="B1427" s="4">
        <v>2</v>
      </c>
      <c r="C1427" s="4" t="s">
        <v>637</v>
      </c>
      <c r="D1427" s="188">
        <v>53123</v>
      </c>
      <c r="E1427" s="4">
        <v>2921</v>
      </c>
      <c r="F1427" s="188" t="s">
        <v>1542</v>
      </c>
      <c r="G1427" s="19" t="s">
        <v>1543</v>
      </c>
      <c r="H1427" s="4" t="s">
        <v>1544</v>
      </c>
      <c r="I1427" s="4" t="s">
        <v>641</v>
      </c>
      <c r="J1427" s="4" t="s">
        <v>1224</v>
      </c>
      <c r="K1427" s="4">
        <v>1</v>
      </c>
      <c r="L1427" s="4">
        <v>3664</v>
      </c>
      <c r="M1427" s="6">
        <v>56.946669999999997</v>
      </c>
      <c r="N1427" s="9">
        <v>-130.10694000000001</v>
      </c>
      <c r="O1427" s="9" t="s">
        <v>1290</v>
      </c>
      <c r="P1427" s="9">
        <v>53123</v>
      </c>
      <c r="Q1427" s="20">
        <v>5</v>
      </c>
      <c r="R1427" s="9" t="s">
        <v>1542</v>
      </c>
      <c r="S1427" s="11" t="s">
        <v>1545</v>
      </c>
      <c r="T1427" s="9" t="s">
        <v>644</v>
      </c>
      <c r="U1427" s="9">
        <v>1175</v>
      </c>
      <c r="V1427" s="9"/>
      <c r="W1427" s="9"/>
      <c r="X1427" s="9"/>
      <c r="Y1427" s="9"/>
      <c r="Z1427" s="9"/>
      <c r="AA1427" s="9" t="s">
        <v>1546</v>
      </c>
      <c r="AB1427" s="9"/>
      <c r="AC1427" s="9"/>
      <c r="AD1427" s="9"/>
      <c r="AE1427" s="9"/>
      <c r="AF1427" s="9"/>
      <c r="AG1427" s="9"/>
      <c r="AH1427" s="9"/>
      <c r="AI1427" s="9"/>
      <c r="AJ1427" s="9"/>
      <c r="AK1427" s="7"/>
      <c r="AL1427" s="9"/>
      <c r="AM1427" s="9"/>
      <c r="AN1427" s="9"/>
      <c r="AO1427" s="9"/>
      <c r="AP1427" s="9"/>
      <c r="AQ1427" s="9"/>
      <c r="AR1427" s="9"/>
      <c r="AS1427" s="9"/>
      <c r="AT1427" s="9"/>
      <c r="AU1427" s="9"/>
      <c r="AV1427" s="9"/>
      <c r="AW1427" s="9"/>
      <c r="AX1427" s="9"/>
      <c r="AY1427" s="9"/>
      <c r="AZ1427" s="9"/>
      <c r="BA1427" s="9"/>
      <c r="BB1427" s="9"/>
      <c r="BC1427" s="9"/>
      <c r="BD1427" s="9"/>
      <c r="BE1427" s="9"/>
      <c r="BF1427" s="9"/>
      <c r="BG1427" s="9"/>
      <c r="BH1427" s="9"/>
      <c r="BI1427" s="9"/>
      <c r="BJ1427" s="9"/>
      <c r="BK1427" s="9"/>
      <c r="BL1427" s="9"/>
      <c r="BM1427" s="9"/>
      <c r="BN1427" s="9"/>
      <c r="BO1427" s="9"/>
      <c r="BP1427" s="9"/>
      <c r="BQ1427" s="9"/>
      <c r="BR1427" s="9"/>
      <c r="BS1427" s="9"/>
      <c r="BT1427" s="9"/>
    </row>
    <row r="1428" spans="1:72" ht="14.25" customHeight="1" x14ac:dyDescent="0.2">
      <c r="A1428" s="5"/>
      <c r="B1428" s="4">
        <v>2</v>
      </c>
      <c r="C1428" s="4" t="s">
        <v>637</v>
      </c>
      <c r="D1428" s="4">
        <v>53124</v>
      </c>
      <c r="E1428" s="4">
        <v>2922</v>
      </c>
      <c r="F1428" s="9" t="s">
        <v>1547</v>
      </c>
      <c r="G1428" s="216" t="s">
        <v>1548</v>
      </c>
      <c r="H1428" s="4" t="s">
        <v>1549</v>
      </c>
      <c r="I1428" s="4" t="s">
        <v>641</v>
      </c>
      <c r="J1428" s="4" t="s">
        <v>1550</v>
      </c>
      <c r="K1428" s="4">
        <v>1</v>
      </c>
      <c r="L1428" s="4">
        <v>3665</v>
      </c>
      <c r="M1428" s="223"/>
      <c r="U1428" s="9"/>
      <c r="V1428" s="9"/>
      <c r="W1428" s="9"/>
      <c r="X1428" s="9"/>
      <c r="Y1428" s="9"/>
      <c r="Z1428" s="9"/>
      <c r="AA1428" s="9"/>
      <c r="AB1428" s="9"/>
      <c r="AC1428" s="9"/>
      <c r="AD1428" s="9"/>
      <c r="AE1428" s="9"/>
      <c r="AF1428" s="9"/>
      <c r="AG1428" s="9"/>
      <c r="AH1428" s="9"/>
      <c r="AI1428" s="9"/>
      <c r="AJ1428" s="9"/>
      <c r="AK1428" s="7"/>
      <c r="AL1428" s="9"/>
      <c r="AM1428" s="9"/>
      <c r="AN1428" s="9"/>
      <c r="AO1428" s="9"/>
      <c r="AP1428" s="9"/>
      <c r="AQ1428" s="9"/>
      <c r="AR1428" s="9"/>
      <c r="AS1428" s="9"/>
      <c r="AT1428" s="9"/>
      <c r="AU1428" s="9"/>
      <c r="AV1428" s="9"/>
      <c r="AW1428" s="9"/>
      <c r="AX1428" s="9"/>
      <c r="AY1428" s="9"/>
      <c r="AZ1428" s="9"/>
      <c r="BA1428" s="9"/>
      <c r="BB1428" s="9"/>
      <c r="BC1428" s="9"/>
      <c r="BD1428" s="9"/>
      <c r="BE1428" s="9"/>
      <c r="BF1428" s="9"/>
      <c r="BG1428" s="9"/>
      <c r="BH1428" s="9"/>
      <c r="BI1428" s="9"/>
      <c r="BJ1428" s="9"/>
      <c r="BK1428" s="9"/>
      <c r="BL1428" s="9"/>
      <c r="BM1428" s="9"/>
      <c r="BN1428" s="9"/>
      <c r="BO1428" s="9"/>
      <c r="BP1428" s="9"/>
      <c r="BQ1428" s="9"/>
      <c r="BR1428" s="9"/>
      <c r="BS1428" s="9"/>
      <c r="BT1428" s="9"/>
    </row>
    <row r="1429" spans="1:72" ht="14.25" customHeight="1" x14ac:dyDescent="0.2">
      <c r="A1429" s="5"/>
      <c r="B1429" s="4">
        <v>2</v>
      </c>
      <c r="C1429" s="4" t="s">
        <v>637</v>
      </c>
      <c r="D1429" s="188">
        <v>53125</v>
      </c>
      <c r="E1429" s="4">
        <v>2923</v>
      </c>
      <c r="F1429" s="188" t="s">
        <v>1551</v>
      </c>
      <c r="G1429" s="19" t="s">
        <v>1552</v>
      </c>
      <c r="H1429" s="4" t="s">
        <v>1553</v>
      </c>
      <c r="I1429" s="4" t="s">
        <v>641</v>
      </c>
      <c r="J1429" s="4" t="s">
        <v>1554</v>
      </c>
      <c r="K1429" s="4">
        <v>1</v>
      </c>
      <c r="L1429" s="4">
        <v>3666</v>
      </c>
      <c r="M1429" s="6">
        <v>56.753889999999998</v>
      </c>
      <c r="N1429" s="9">
        <v>-129.935</v>
      </c>
      <c r="O1429" s="9" t="s">
        <v>1290</v>
      </c>
      <c r="P1429" s="9">
        <v>53125</v>
      </c>
      <c r="Q1429" s="20">
        <v>1</v>
      </c>
      <c r="R1429" s="9" t="s">
        <v>1551</v>
      </c>
      <c r="S1429" s="11" t="s">
        <v>1555</v>
      </c>
      <c r="T1429" s="9" t="s">
        <v>644</v>
      </c>
      <c r="U1429" s="9">
        <v>588</v>
      </c>
      <c r="Y1429" s="192"/>
      <c r="Z1429" s="9"/>
      <c r="AA1429" s="9" t="s">
        <v>1556</v>
      </c>
      <c r="AB1429" s="9"/>
      <c r="AC1429" s="9"/>
      <c r="AD1429" s="9"/>
      <c r="AE1429" s="9"/>
      <c r="AF1429" s="9"/>
      <c r="AG1429" s="9"/>
      <c r="AH1429" s="9"/>
      <c r="AI1429" s="9"/>
      <c r="AK1429" s="260"/>
    </row>
    <row r="1430" spans="1:72" ht="14.25" customHeight="1" x14ac:dyDescent="0.2">
      <c r="A1430" s="5"/>
      <c r="B1430" s="4">
        <v>2</v>
      </c>
      <c r="C1430" s="4" t="s">
        <v>637</v>
      </c>
      <c r="D1430" s="188">
        <v>53126</v>
      </c>
      <c r="E1430" s="4">
        <v>2924</v>
      </c>
      <c r="F1430" s="188" t="s">
        <v>1557</v>
      </c>
      <c r="G1430" s="19" t="s">
        <v>1558</v>
      </c>
      <c r="H1430" s="4" t="s">
        <v>1553</v>
      </c>
      <c r="I1430" s="4" t="s">
        <v>641</v>
      </c>
      <c r="J1430" s="4" t="s">
        <v>1559</v>
      </c>
      <c r="K1430" s="4">
        <v>1</v>
      </c>
      <c r="L1430" s="4">
        <v>3667</v>
      </c>
      <c r="M1430" s="6">
        <v>56.928669999999997</v>
      </c>
      <c r="N1430" s="9">
        <v>-130.09049999999999</v>
      </c>
      <c r="O1430" s="9" t="s">
        <v>1290</v>
      </c>
      <c r="P1430" s="9">
        <v>53126</v>
      </c>
      <c r="Q1430" s="20">
        <v>1</v>
      </c>
      <c r="R1430" s="9" t="s">
        <v>1557</v>
      </c>
      <c r="S1430" s="11" t="s">
        <v>1560</v>
      </c>
      <c r="T1430" s="9" t="s">
        <v>644</v>
      </c>
      <c r="U1430" s="9">
        <v>504</v>
      </c>
      <c r="Z1430" s="9"/>
      <c r="AA1430" s="9" t="s">
        <v>1561</v>
      </c>
      <c r="AB1430" s="9"/>
      <c r="AC1430" s="9"/>
      <c r="AD1430" s="9"/>
      <c r="AE1430" s="9"/>
      <c r="AF1430" s="9"/>
      <c r="AG1430" s="9"/>
      <c r="AH1430" s="9"/>
      <c r="AI1430" s="9"/>
      <c r="AK1430" s="260"/>
    </row>
    <row r="1431" spans="1:72" ht="14.25" customHeight="1" x14ac:dyDescent="0.2">
      <c r="A1431" s="5"/>
      <c r="B1431" s="4">
        <v>2</v>
      </c>
      <c r="C1431" s="4" t="s">
        <v>637</v>
      </c>
      <c r="D1431" s="188">
        <v>53127</v>
      </c>
      <c r="E1431" s="4">
        <v>2925</v>
      </c>
      <c r="F1431" s="188" t="s">
        <v>1562</v>
      </c>
      <c r="G1431" s="19" t="s">
        <v>1563</v>
      </c>
      <c r="H1431" s="4" t="s">
        <v>1564</v>
      </c>
      <c r="I1431" s="4" t="s">
        <v>641</v>
      </c>
      <c r="J1431" s="4" t="s">
        <v>1565</v>
      </c>
      <c r="K1431" s="4">
        <v>1</v>
      </c>
      <c r="L1431" s="4">
        <v>3668</v>
      </c>
      <c r="M1431" s="6">
        <v>56.950830000000003</v>
      </c>
      <c r="N1431" s="9">
        <v>-130.095</v>
      </c>
      <c r="O1431" s="9" t="s">
        <v>1290</v>
      </c>
      <c r="P1431" s="9">
        <v>53127</v>
      </c>
      <c r="Q1431" s="20">
        <v>7</v>
      </c>
      <c r="R1431" s="9" t="s">
        <v>1562</v>
      </c>
      <c r="S1431" s="11" t="s">
        <v>1566</v>
      </c>
      <c r="T1431" s="9" t="s">
        <v>644</v>
      </c>
      <c r="U1431" s="9">
        <v>1540</v>
      </c>
      <c r="V1431" s="9"/>
      <c r="W1431" s="9"/>
      <c r="X1431" s="9"/>
      <c r="Y1431" s="9"/>
      <c r="Z1431" s="9"/>
      <c r="AA1431" s="9" t="s">
        <v>1567</v>
      </c>
      <c r="AB1431" s="9"/>
      <c r="AC1431" s="9"/>
      <c r="AD1431" s="9"/>
      <c r="AE1431" s="9"/>
      <c r="AF1431" s="9"/>
      <c r="AG1431" s="9"/>
      <c r="AH1431" s="9"/>
      <c r="AI1431" s="9"/>
      <c r="AJ1431" s="9"/>
      <c r="AK1431" s="7"/>
      <c r="AL1431" s="9"/>
      <c r="AM1431" s="9"/>
      <c r="AN1431" s="9"/>
      <c r="AO1431" s="9"/>
      <c r="AP1431" s="9"/>
      <c r="AQ1431" s="9"/>
      <c r="AR1431" s="9"/>
      <c r="AS1431" s="9"/>
      <c r="AT1431" s="9"/>
      <c r="AU1431" s="9"/>
      <c r="AV1431" s="9"/>
      <c r="AW1431" s="9"/>
      <c r="AX1431" s="9"/>
      <c r="AY1431" s="9"/>
      <c r="AZ1431" s="9"/>
      <c r="BA1431" s="9"/>
      <c r="BB1431" s="9"/>
      <c r="BC1431" s="9"/>
      <c r="BD1431" s="9"/>
      <c r="BE1431" s="9"/>
      <c r="BF1431" s="9"/>
      <c r="BG1431" s="9"/>
      <c r="BH1431" s="9"/>
      <c r="BI1431" s="9"/>
      <c r="BJ1431" s="9"/>
      <c r="BK1431" s="9"/>
      <c r="BL1431" s="9"/>
      <c r="BM1431" s="9"/>
      <c r="BN1431" s="9"/>
      <c r="BO1431" s="9"/>
      <c r="BP1431" s="9"/>
      <c r="BQ1431" s="9"/>
      <c r="BR1431" s="9"/>
      <c r="BS1431" s="9"/>
      <c r="BT1431" s="9"/>
    </row>
    <row r="1432" spans="1:72" ht="14.25" customHeight="1" x14ac:dyDescent="0.2">
      <c r="A1432" s="5"/>
      <c r="B1432" s="4">
        <v>2</v>
      </c>
      <c r="C1432" s="4" t="s">
        <v>637</v>
      </c>
      <c r="D1432" s="188">
        <v>53128</v>
      </c>
      <c r="E1432" s="4">
        <v>2926</v>
      </c>
      <c r="F1432" s="188" t="s">
        <v>1568</v>
      </c>
      <c r="G1432" s="19" t="s">
        <v>1569</v>
      </c>
      <c r="H1432" s="4" t="s">
        <v>1570</v>
      </c>
      <c r="I1432" s="4" t="s">
        <v>641</v>
      </c>
      <c r="J1432" s="4" t="s">
        <v>1565</v>
      </c>
      <c r="K1432" s="4">
        <v>1</v>
      </c>
      <c r="L1432" s="4">
        <v>3669</v>
      </c>
      <c r="M1432" s="6">
        <v>56.795439999999999</v>
      </c>
      <c r="N1432" s="9">
        <v>-129.97519</v>
      </c>
      <c r="O1432" s="9" t="s">
        <v>1290</v>
      </c>
      <c r="P1432" s="9">
        <v>53128</v>
      </c>
      <c r="Q1432" s="20">
        <v>7</v>
      </c>
      <c r="R1432" s="9" t="s">
        <v>1568</v>
      </c>
      <c r="S1432" s="11" t="s">
        <v>1571</v>
      </c>
      <c r="T1432" s="9" t="s">
        <v>644</v>
      </c>
      <c r="U1432" s="201">
        <v>1500</v>
      </c>
      <c r="Z1432" s="9"/>
      <c r="AA1432" s="9" t="s">
        <v>1572</v>
      </c>
      <c r="AB1432" s="9"/>
      <c r="AC1432" s="9"/>
      <c r="AD1432" s="9"/>
      <c r="AE1432" s="9"/>
      <c r="AF1432" s="9"/>
      <c r="AG1432" s="9"/>
      <c r="AH1432" s="9"/>
      <c r="AI1432" s="9"/>
      <c r="AK1432" s="260"/>
    </row>
    <row r="1433" spans="1:72" ht="14.25" customHeight="1" x14ac:dyDescent="0.2">
      <c r="A1433" s="5"/>
      <c r="B1433" s="4">
        <v>2</v>
      </c>
      <c r="C1433" s="4" t="s">
        <v>637</v>
      </c>
      <c r="D1433" s="188">
        <v>53221</v>
      </c>
      <c r="E1433" s="4">
        <v>2928</v>
      </c>
      <c r="F1433" s="203" t="s">
        <v>1586</v>
      </c>
      <c r="G1433" s="19" t="s">
        <v>1587</v>
      </c>
      <c r="H1433" s="4" t="s">
        <v>1588</v>
      </c>
      <c r="I1433" s="4" t="s">
        <v>641</v>
      </c>
      <c r="J1433" s="4" t="s">
        <v>1453</v>
      </c>
      <c r="K1433" s="4">
        <v>1</v>
      </c>
      <c r="L1433" s="4">
        <v>3671</v>
      </c>
      <c r="M1433" s="6">
        <v>59.249169999999999</v>
      </c>
      <c r="N1433" s="9">
        <v>-129.65722</v>
      </c>
      <c r="O1433" s="9" t="s">
        <v>1577</v>
      </c>
      <c r="P1433" s="9">
        <v>53221</v>
      </c>
      <c r="Q1433" s="20">
        <v>2</v>
      </c>
      <c r="R1433" s="9" t="s">
        <v>1586</v>
      </c>
      <c r="S1433" s="11" t="s">
        <v>1589</v>
      </c>
      <c r="T1433" s="9" t="s">
        <v>644</v>
      </c>
      <c r="U1433" s="9">
        <v>940</v>
      </c>
      <c r="V1433" s="9"/>
      <c r="W1433" s="9"/>
      <c r="X1433" s="9"/>
      <c r="Y1433" s="9"/>
      <c r="Z1433" s="9" t="s">
        <v>645</v>
      </c>
      <c r="AA1433" s="9" t="s">
        <v>1590</v>
      </c>
      <c r="AB1433" s="9"/>
      <c r="AC1433" s="21"/>
      <c r="AD1433" s="9"/>
      <c r="AE1433" s="9"/>
      <c r="AF1433" s="9"/>
      <c r="AG1433" s="9"/>
      <c r="AH1433" s="9"/>
      <c r="AI1433" s="9"/>
      <c r="AJ1433" s="9"/>
      <c r="AK1433" s="7"/>
      <c r="AL1433" s="9"/>
      <c r="AM1433" s="9"/>
      <c r="AN1433" s="9"/>
      <c r="AO1433" s="9"/>
      <c r="AP1433" s="9"/>
      <c r="AQ1433" s="9"/>
      <c r="AR1433" s="9"/>
      <c r="AS1433" s="9"/>
      <c r="AT1433" s="9"/>
      <c r="AU1433" s="9"/>
      <c r="AV1433" s="9"/>
      <c r="AW1433" s="9"/>
      <c r="AX1433" s="9"/>
      <c r="AY1433" s="9"/>
      <c r="AZ1433" s="9"/>
      <c r="BA1433" s="9"/>
      <c r="BB1433" s="9"/>
      <c r="BC1433" s="9"/>
      <c r="BD1433" s="9"/>
      <c r="BE1433" s="9"/>
      <c r="BF1433" s="9"/>
      <c r="BG1433" s="9"/>
      <c r="BH1433" s="9"/>
      <c r="BI1433" s="9"/>
      <c r="BJ1433" s="9"/>
      <c r="BK1433" s="9"/>
      <c r="BL1433" s="9"/>
      <c r="BM1433" s="9"/>
      <c r="BN1433" s="9"/>
      <c r="BO1433" s="9"/>
      <c r="BP1433" s="9"/>
      <c r="BQ1433" s="9"/>
      <c r="BR1433" s="9"/>
      <c r="BS1433" s="9"/>
      <c r="BT1433" s="9"/>
    </row>
    <row r="1434" spans="1:72" ht="14.25" customHeight="1" x14ac:dyDescent="0.2">
      <c r="A1434" s="5"/>
      <c r="B1434" s="4">
        <v>2</v>
      </c>
      <c r="C1434" s="4" t="s">
        <v>637</v>
      </c>
      <c r="D1434" s="188">
        <v>53222</v>
      </c>
      <c r="E1434" s="4">
        <v>12508</v>
      </c>
      <c r="F1434" s="4" t="s">
        <v>1591</v>
      </c>
      <c r="G1434" s="215" t="s">
        <v>1592</v>
      </c>
      <c r="H1434" s="4" t="s">
        <v>1593</v>
      </c>
      <c r="I1434" s="4" t="s">
        <v>49</v>
      </c>
      <c r="J1434" s="4" t="s">
        <v>1594</v>
      </c>
      <c r="K1434" s="4">
        <v>1</v>
      </c>
      <c r="L1434" s="4">
        <v>14530</v>
      </c>
      <c r="M1434" s="6">
        <v>59.258609999999997</v>
      </c>
      <c r="N1434" s="9">
        <v>-129.61832999999999</v>
      </c>
      <c r="O1434" s="9" t="s">
        <v>1577</v>
      </c>
      <c r="P1434" s="9">
        <v>53222</v>
      </c>
      <c r="Q1434" s="20">
        <v>2</v>
      </c>
      <c r="R1434" s="9" t="s">
        <v>1595</v>
      </c>
      <c r="S1434" s="11" t="s">
        <v>1596</v>
      </c>
      <c r="T1434" s="9" t="s">
        <v>644</v>
      </c>
      <c r="U1434" s="9">
        <v>915</v>
      </c>
      <c r="Z1434" s="9"/>
      <c r="AA1434" s="9" t="s">
        <v>1597</v>
      </c>
      <c r="AB1434" s="9"/>
      <c r="AC1434" s="9"/>
      <c r="AD1434" s="9"/>
      <c r="AE1434" s="9"/>
      <c r="AF1434" s="9"/>
      <c r="AG1434" s="9"/>
      <c r="AH1434" s="9"/>
      <c r="AI1434" s="9"/>
      <c r="AK1434" s="260"/>
    </row>
    <row r="1435" spans="1:72" ht="14.25" customHeight="1" x14ac:dyDescent="0.2">
      <c r="A1435" s="5"/>
      <c r="B1435" s="4">
        <v>2</v>
      </c>
      <c r="C1435" s="188" t="s">
        <v>637</v>
      </c>
      <c r="D1435" s="188">
        <v>53321</v>
      </c>
      <c r="E1435" s="4">
        <v>2930</v>
      </c>
      <c r="F1435" s="4" t="s">
        <v>1598</v>
      </c>
      <c r="G1435" s="215" t="s">
        <v>1599</v>
      </c>
      <c r="H1435" s="4" t="s">
        <v>1309</v>
      </c>
      <c r="I1435" s="4" t="s">
        <v>641</v>
      </c>
      <c r="J1435" s="4" t="s">
        <v>1453</v>
      </c>
      <c r="K1435" s="4">
        <v>1</v>
      </c>
      <c r="L1435" s="4">
        <v>3673</v>
      </c>
      <c r="M1435" s="6">
        <v>57.912779999999998</v>
      </c>
      <c r="N1435" s="9">
        <v>-131.13111000000001</v>
      </c>
      <c r="O1435" s="9" t="s">
        <v>1577</v>
      </c>
      <c r="P1435" s="9">
        <v>53321</v>
      </c>
      <c r="Q1435" s="20">
        <v>1</v>
      </c>
      <c r="R1435" s="9" t="s">
        <v>1598</v>
      </c>
      <c r="S1435" s="11" t="s">
        <v>1600</v>
      </c>
      <c r="T1435" s="9" t="s">
        <v>644</v>
      </c>
      <c r="U1435" s="9">
        <v>290</v>
      </c>
      <c r="Z1435" s="9"/>
      <c r="AA1435" s="9" t="s">
        <v>1601</v>
      </c>
      <c r="AB1435" s="9"/>
      <c r="AC1435" s="9"/>
      <c r="AD1435" s="9"/>
      <c r="AE1435" s="9"/>
      <c r="AF1435" s="9"/>
      <c r="AG1435" s="9"/>
      <c r="AH1435" s="9"/>
      <c r="AI1435" s="9"/>
      <c r="AK1435" s="260"/>
    </row>
    <row r="1436" spans="1:72" ht="14.25" customHeight="1" x14ac:dyDescent="0.2">
      <c r="A1436" s="5"/>
      <c r="B1436" s="4">
        <v>2</v>
      </c>
      <c r="C1436" s="188" t="s">
        <v>637</v>
      </c>
      <c r="D1436" s="188">
        <v>54091</v>
      </c>
      <c r="E1436" s="4">
        <v>2934</v>
      </c>
      <c r="F1436" s="4" t="s">
        <v>1602</v>
      </c>
      <c r="G1436" s="215" t="s">
        <v>1603</v>
      </c>
      <c r="H1436" s="4" t="s">
        <v>1604</v>
      </c>
      <c r="I1436" s="4" t="s">
        <v>641</v>
      </c>
      <c r="J1436" s="4" t="s">
        <v>642</v>
      </c>
      <c r="K1436" s="4">
        <v>1</v>
      </c>
      <c r="L1436" s="4">
        <v>3677</v>
      </c>
      <c r="M1436" s="6">
        <v>54.481940000000002</v>
      </c>
      <c r="N1436" s="9">
        <v>-126.74361</v>
      </c>
      <c r="O1436" s="9" t="s">
        <v>148</v>
      </c>
      <c r="P1436" s="9">
        <v>54091</v>
      </c>
      <c r="Q1436" s="20">
        <v>1</v>
      </c>
      <c r="R1436" s="9" t="s">
        <v>1602</v>
      </c>
      <c r="S1436" s="11" t="s">
        <v>1605</v>
      </c>
      <c r="T1436" s="9" t="s">
        <v>644</v>
      </c>
      <c r="U1436" s="9">
        <v>820</v>
      </c>
      <c r="Z1436" s="9" t="s">
        <v>645</v>
      </c>
      <c r="AA1436" s="9" t="s">
        <v>1606</v>
      </c>
      <c r="AB1436" s="9"/>
      <c r="AC1436" s="21"/>
      <c r="AD1436" s="9"/>
      <c r="AE1436" s="9"/>
      <c r="AF1436" s="9"/>
      <c r="AG1436" s="9"/>
      <c r="AH1436" s="9"/>
      <c r="AI1436" s="9"/>
      <c r="AK1436" s="260"/>
    </row>
    <row r="1437" spans="1:72" ht="14.25" customHeight="1" x14ac:dyDescent="0.2">
      <c r="A1437" s="5"/>
      <c r="B1437" s="4">
        <v>2</v>
      </c>
      <c r="C1437" s="4" t="s">
        <v>637</v>
      </c>
      <c r="D1437" s="4">
        <v>54092</v>
      </c>
      <c r="E1437" s="4">
        <v>12493</v>
      </c>
      <c r="F1437" s="9" t="s">
        <v>1607</v>
      </c>
      <c r="G1437" s="215" t="s">
        <v>1608</v>
      </c>
      <c r="H1437" s="4" t="s">
        <v>709</v>
      </c>
      <c r="I1437" s="4" t="s">
        <v>49</v>
      </c>
      <c r="J1437" s="4" t="s">
        <v>1170</v>
      </c>
      <c r="K1437" s="4">
        <v>1</v>
      </c>
      <c r="L1437" s="4">
        <v>14515</v>
      </c>
      <c r="M1437" s="6">
        <v>54.941429999999997</v>
      </c>
      <c r="N1437" s="9">
        <v>-127.3261</v>
      </c>
      <c r="O1437" s="9" t="s">
        <v>148</v>
      </c>
      <c r="P1437" s="9">
        <v>54092</v>
      </c>
      <c r="Q1437" s="20">
        <v>1</v>
      </c>
      <c r="R1437" s="9" t="s">
        <v>1607</v>
      </c>
      <c r="S1437" s="11" t="s">
        <v>1609</v>
      </c>
      <c r="T1437" s="9" t="s">
        <v>644</v>
      </c>
      <c r="U1437" s="9">
        <v>410</v>
      </c>
      <c r="V1437" s="9"/>
      <c r="W1437" s="9"/>
      <c r="X1437" s="9"/>
      <c r="Y1437" s="9"/>
      <c r="Z1437" s="9"/>
      <c r="AA1437" s="9" t="s">
        <v>1610</v>
      </c>
      <c r="AB1437" s="9"/>
      <c r="AC1437" s="9"/>
      <c r="AD1437" s="9"/>
      <c r="AE1437" s="9"/>
      <c r="AF1437" s="9"/>
      <c r="AG1437" s="9"/>
      <c r="AH1437" s="9"/>
      <c r="AI1437" s="9"/>
      <c r="AJ1437" s="9"/>
      <c r="AK1437" s="7"/>
      <c r="AL1437" s="9"/>
      <c r="AM1437" s="9"/>
      <c r="AN1437" s="9"/>
      <c r="AO1437" s="9"/>
      <c r="AP1437" s="9"/>
      <c r="AQ1437" s="9"/>
      <c r="AR1437" s="9"/>
      <c r="AS1437" s="9"/>
      <c r="AT1437" s="9"/>
      <c r="AU1437" s="9"/>
      <c r="AV1437" s="9"/>
      <c r="AW1437" s="9"/>
      <c r="AX1437" s="9"/>
      <c r="AY1437" s="9"/>
      <c r="AZ1437" s="9"/>
      <c r="BA1437" s="9"/>
      <c r="BB1437" s="9"/>
      <c r="BC1437" s="9"/>
      <c r="BD1437" s="9"/>
      <c r="BE1437" s="9"/>
      <c r="BF1437" s="9"/>
      <c r="BG1437" s="9"/>
      <c r="BH1437" s="9"/>
      <c r="BI1437" s="9"/>
      <c r="BJ1437" s="9"/>
      <c r="BK1437" s="9"/>
      <c r="BL1437" s="9"/>
      <c r="BM1437" s="9"/>
      <c r="BN1437" s="9"/>
      <c r="BO1437" s="9"/>
      <c r="BP1437" s="9"/>
      <c r="BQ1437" s="9"/>
      <c r="BR1437" s="9"/>
      <c r="BS1437" s="9"/>
      <c r="BT1437" s="9"/>
    </row>
    <row r="1438" spans="1:72" ht="14.25" customHeight="1" x14ac:dyDescent="0.2">
      <c r="A1438" s="5"/>
      <c r="B1438" s="4">
        <v>2</v>
      </c>
      <c r="C1438" s="4" t="s">
        <v>637</v>
      </c>
      <c r="D1438" s="4">
        <v>55091</v>
      </c>
      <c r="E1438" s="4">
        <v>2938</v>
      </c>
      <c r="F1438" s="4" t="s">
        <v>1611</v>
      </c>
      <c r="G1438" s="215" t="s">
        <v>1612</v>
      </c>
      <c r="H1438" s="4" t="s">
        <v>1613</v>
      </c>
      <c r="I1438" s="4" t="s">
        <v>641</v>
      </c>
      <c r="J1438" s="4" t="s">
        <v>642</v>
      </c>
      <c r="K1438" s="4">
        <v>1</v>
      </c>
      <c r="L1438" s="4">
        <v>3681</v>
      </c>
      <c r="M1438" s="6">
        <v>54.191670000000002</v>
      </c>
      <c r="N1438" s="9">
        <v>-125.53639</v>
      </c>
      <c r="O1438" s="9" t="s">
        <v>148</v>
      </c>
      <c r="P1438" s="9">
        <v>55091</v>
      </c>
      <c r="Q1438" s="20">
        <v>1</v>
      </c>
      <c r="R1438" s="9" t="s">
        <v>1611</v>
      </c>
      <c r="S1438" s="11" t="s">
        <v>1614</v>
      </c>
      <c r="T1438" s="9" t="s">
        <v>644</v>
      </c>
      <c r="U1438" s="9">
        <v>719</v>
      </c>
      <c r="V1438" s="9"/>
      <c r="W1438" s="9"/>
      <c r="X1438" s="9"/>
      <c r="Y1438" s="9"/>
      <c r="Z1438" s="9"/>
      <c r="AA1438" s="9" t="s">
        <v>1615</v>
      </c>
      <c r="AB1438" s="9"/>
      <c r="AC1438" s="9"/>
      <c r="AD1438" s="9"/>
      <c r="AE1438" s="9"/>
      <c r="AF1438" s="9"/>
      <c r="AG1438" s="9"/>
      <c r="AH1438" s="9"/>
      <c r="AI1438" s="9"/>
      <c r="AJ1438" s="9"/>
      <c r="AK1438" s="7"/>
      <c r="AL1438" s="9"/>
      <c r="AM1438" s="9"/>
      <c r="AN1438" s="9"/>
      <c r="AO1438" s="9"/>
      <c r="AP1438" s="9"/>
      <c r="AQ1438" s="9"/>
      <c r="AR1438" s="9"/>
      <c r="AS1438" s="9"/>
      <c r="AT1438" s="9"/>
      <c r="AU1438" s="9"/>
      <c r="AV1438" s="9"/>
      <c r="AW1438" s="9"/>
      <c r="AX1438" s="9"/>
      <c r="AY1438" s="9"/>
      <c r="AZ1438" s="9"/>
      <c r="BA1438" s="9"/>
      <c r="BB1438" s="9"/>
      <c r="BC1438" s="9"/>
      <c r="BD1438" s="9"/>
      <c r="BE1438" s="9"/>
      <c r="BF1438" s="9"/>
      <c r="BG1438" s="9"/>
      <c r="BH1438" s="9"/>
      <c r="BI1438" s="9"/>
      <c r="BJ1438" s="9"/>
      <c r="BK1438" s="9"/>
      <c r="BL1438" s="9"/>
      <c r="BM1438" s="9"/>
      <c r="BN1438" s="9"/>
      <c r="BO1438" s="9"/>
      <c r="BP1438" s="9"/>
      <c r="BQ1438" s="9"/>
      <c r="BR1438" s="9"/>
      <c r="BS1438" s="9"/>
      <c r="BT1438" s="9"/>
    </row>
    <row r="1439" spans="1:72" ht="14.25" customHeight="1" x14ac:dyDescent="0.2">
      <c r="A1439" s="5"/>
      <c r="B1439" s="4">
        <v>2</v>
      </c>
      <c r="C1439" s="4" t="s">
        <v>637</v>
      </c>
      <c r="D1439" s="188">
        <v>55092</v>
      </c>
      <c r="E1439" s="4">
        <v>12494</v>
      </c>
      <c r="F1439" s="4" t="s">
        <v>1616</v>
      </c>
      <c r="G1439" s="215" t="s">
        <v>1617</v>
      </c>
      <c r="H1439" s="4" t="s">
        <v>709</v>
      </c>
      <c r="I1439" s="4" t="s">
        <v>49</v>
      </c>
      <c r="J1439" s="4" t="s">
        <v>1170</v>
      </c>
      <c r="K1439" s="4">
        <v>1</v>
      </c>
      <c r="L1439" s="4">
        <v>14516</v>
      </c>
      <c r="M1439" s="6">
        <v>54.459440000000001</v>
      </c>
      <c r="N1439" s="9">
        <v>-126.1961</v>
      </c>
      <c r="O1439" s="9" t="s">
        <v>148</v>
      </c>
      <c r="P1439" s="9">
        <v>55092</v>
      </c>
      <c r="Q1439" s="20">
        <v>1</v>
      </c>
      <c r="R1439" s="9" t="s">
        <v>1616</v>
      </c>
      <c r="S1439" s="11" t="s">
        <v>1618</v>
      </c>
      <c r="T1439" s="9" t="s">
        <v>644</v>
      </c>
      <c r="U1439" s="9">
        <v>840</v>
      </c>
      <c r="V1439" s="9"/>
      <c r="W1439" s="9"/>
      <c r="X1439" s="9"/>
      <c r="Y1439" s="9"/>
      <c r="Z1439" s="9"/>
      <c r="AA1439" s="9" t="s">
        <v>1619</v>
      </c>
      <c r="AB1439" s="9"/>
      <c r="AC1439" s="9"/>
      <c r="AD1439" s="9"/>
      <c r="AE1439" s="9"/>
      <c r="AF1439" s="9"/>
      <c r="AG1439" s="9"/>
      <c r="AH1439" s="9"/>
      <c r="AI1439" s="9"/>
      <c r="AJ1439" s="9"/>
      <c r="AK1439" s="7"/>
      <c r="AL1439" s="9"/>
      <c r="AM1439" s="9"/>
      <c r="AN1439" s="9"/>
      <c r="AO1439" s="9"/>
      <c r="AP1439" s="9"/>
      <c r="AQ1439" s="9"/>
      <c r="AR1439" s="9"/>
      <c r="AS1439" s="9"/>
      <c r="AT1439" s="9"/>
      <c r="AU1439" s="9"/>
      <c r="AV1439" s="9"/>
      <c r="AW1439" s="9"/>
      <c r="AX1439" s="9"/>
      <c r="AY1439" s="9"/>
      <c r="AZ1439" s="9"/>
      <c r="BA1439" s="9"/>
      <c r="BB1439" s="9"/>
      <c r="BC1439" s="9"/>
      <c r="BD1439" s="9"/>
      <c r="BE1439" s="9"/>
      <c r="BF1439" s="9"/>
      <c r="BG1439" s="9"/>
      <c r="BH1439" s="9"/>
      <c r="BI1439" s="9"/>
      <c r="BJ1439" s="9"/>
      <c r="BK1439" s="9"/>
      <c r="BL1439" s="9"/>
      <c r="BM1439" s="9"/>
      <c r="BN1439" s="9"/>
      <c r="BO1439" s="9"/>
      <c r="BP1439" s="9"/>
      <c r="BQ1439" s="9"/>
      <c r="BR1439" s="9"/>
      <c r="BS1439" s="9"/>
      <c r="BT1439" s="9"/>
    </row>
    <row r="1440" spans="1:72" ht="14.25" customHeight="1" x14ac:dyDescent="0.2">
      <c r="A1440" s="5"/>
      <c r="B1440" s="4">
        <v>2</v>
      </c>
      <c r="C1440" s="188" t="s">
        <v>637</v>
      </c>
      <c r="D1440" s="188">
        <v>62091</v>
      </c>
      <c r="E1440" s="4">
        <v>11030</v>
      </c>
      <c r="F1440" s="4" t="s">
        <v>1620</v>
      </c>
      <c r="G1440" s="19" t="s">
        <v>1621</v>
      </c>
      <c r="H1440" s="4" t="s">
        <v>891</v>
      </c>
      <c r="I1440" s="4" t="s">
        <v>49</v>
      </c>
      <c r="J1440" s="4" t="s">
        <v>710</v>
      </c>
      <c r="K1440" s="4">
        <v>1</v>
      </c>
      <c r="L1440" s="4">
        <v>13198</v>
      </c>
      <c r="M1440" s="6">
        <v>48.56794</v>
      </c>
      <c r="N1440" s="9">
        <v>-123.54176</v>
      </c>
      <c r="O1440" s="9" t="s">
        <v>183</v>
      </c>
      <c r="P1440" s="9">
        <v>62091</v>
      </c>
      <c r="Q1440" s="20">
        <v>5</v>
      </c>
      <c r="R1440" s="9" t="s">
        <v>1620</v>
      </c>
      <c r="S1440" s="11" t="s">
        <v>1622</v>
      </c>
      <c r="T1440" s="9" t="s">
        <v>644</v>
      </c>
      <c r="U1440" s="9">
        <v>340</v>
      </c>
      <c r="Z1440" s="9" t="s">
        <v>645</v>
      </c>
      <c r="AA1440" s="9" t="s">
        <v>1623</v>
      </c>
      <c r="AB1440" s="9"/>
      <c r="AC1440" s="21"/>
      <c r="AD1440" s="9"/>
      <c r="AE1440" s="9"/>
      <c r="AF1440" s="9"/>
      <c r="AG1440" s="9"/>
      <c r="AH1440" s="9"/>
      <c r="AI1440" s="9"/>
      <c r="AK1440" s="260"/>
    </row>
    <row r="1441" spans="1:53" ht="14.25" customHeight="1" x14ac:dyDescent="0.2">
      <c r="A1441" s="5"/>
      <c r="B1441" s="4">
        <v>2</v>
      </c>
      <c r="C1441" s="4" t="s">
        <v>637</v>
      </c>
      <c r="D1441" s="188">
        <v>63093</v>
      </c>
      <c r="E1441" s="4">
        <v>2944</v>
      </c>
      <c r="F1441" s="4" t="s">
        <v>1624</v>
      </c>
      <c r="G1441" s="215" t="s">
        <v>1625</v>
      </c>
      <c r="H1441" s="4" t="s">
        <v>1626</v>
      </c>
      <c r="I1441" s="4" t="s">
        <v>641</v>
      </c>
      <c r="J1441" s="4" t="s">
        <v>755</v>
      </c>
      <c r="K1441" s="4">
        <v>1</v>
      </c>
      <c r="L1441" s="4">
        <v>3687</v>
      </c>
      <c r="M1441" s="6">
        <v>49.370559999999998</v>
      </c>
      <c r="N1441" s="9">
        <v>-124.61611000000001</v>
      </c>
      <c r="O1441" s="9" t="s">
        <v>183</v>
      </c>
      <c r="P1441" s="9">
        <v>63093</v>
      </c>
      <c r="Q1441" s="20">
        <v>3</v>
      </c>
      <c r="R1441" s="9" t="s">
        <v>1624</v>
      </c>
      <c r="S1441" s="11" t="s">
        <v>1627</v>
      </c>
      <c r="T1441" s="9" t="s">
        <v>644</v>
      </c>
      <c r="U1441" s="9">
        <v>115</v>
      </c>
      <c r="Z1441" s="9" t="s">
        <v>645</v>
      </c>
      <c r="AA1441" s="9" t="s">
        <v>1628</v>
      </c>
      <c r="AB1441" s="9"/>
      <c r="AC1441" s="21"/>
      <c r="AD1441" s="9"/>
      <c r="AE1441" s="9"/>
      <c r="AF1441" s="9"/>
      <c r="AG1441" s="9"/>
      <c r="AH1441" s="9"/>
      <c r="AI1441" s="9"/>
      <c r="AK1441" s="260"/>
    </row>
    <row r="1442" spans="1:53" ht="14.25" customHeight="1" x14ac:dyDescent="0.2">
      <c r="A1442" s="5"/>
      <c r="B1442" s="4">
        <v>2</v>
      </c>
      <c r="C1442" s="4" t="s">
        <v>637</v>
      </c>
      <c r="D1442" s="188">
        <v>63094</v>
      </c>
      <c r="E1442" s="4">
        <v>2945</v>
      </c>
      <c r="F1442" s="4" t="s">
        <v>1629</v>
      </c>
      <c r="G1442" s="215" t="s">
        <v>1630</v>
      </c>
      <c r="H1442" s="4" t="s">
        <v>1631</v>
      </c>
      <c r="I1442" s="4" t="s">
        <v>641</v>
      </c>
      <c r="J1442" s="4" t="s">
        <v>642</v>
      </c>
      <c r="K1442" s="4">
        <v>1</v>
      </c>
      <c r="L1442" s="4">
        <v>3688</v>
      </c>
      <c r="M1442" s="6">
        <v>49.100560000000002</v>
      </c>
      <c r="N1442" s="9">
        <v>-125.4525</v>
      </c>
      <c r="O1442" s="9" t="s">
        <v>51</v>
      </c>
      <c r="P1442" s="9">
        <v>63094</v>
      </c>
      <c r="Q1442" s="20">
        <v>1</v>
      </c>
      <c r="R1442" s="9" t="s">
        <v>1629</v>
      </c>
      <c r="S1442" s="11" t="s">
        <v>1632</v>
      </c>
      <c r="T1442" s="9" t="s">
        <v>644</v>
      </c>
      <c r="U1442" s="9">
        <v>35</v>
      </c>
      <c r="Z1442" s="9"/>
      <c r="AA1442" s="9" t="s">
        <v>1633</v>
      </c>
      <c r="AB1442" s="9"/>
      <c r="AC1442" s="9"/>
      <c r="AD1442" s="9"/>
      <c r="AE1442" s="9"/>
      <c r="AF1442" s="9"/>
      <c r="AG1442" s="9"/>
      <c r="AH1442" s="9"/>
      <c r="AI1442" s="9"/>
      <c r="AK1442" s="260"/>
    </row>
    <row r="1443" spans="1:53" ht="14.25" customHeight="1" x14ac:dyDescent="0.2">
      <c r="A1443" s="5"/>
      <c r="B1443" s="4">
        <v>2</v>
      </c>
      <c r="C1443" s="4" t="s">
        <v>637</v>
      </c>
      <c r="D1443" s="4">
        <v>64093</v>
      </c>
      <c r="E1443" s="4">
        <v>2955</v>
      </c>
      <c r="F1443" s="4" t="s">
        <v>1643</v>
      </c>
      <c r="G1443" s="215" t="s">
        <v>1644</v>
      </c>
      <c r="H1443" s="4" t="s">
        <v>1645</v>
      </c>
      <c r="I1443" s="4" t="s">
        <v>641</v>
      </c>
      <c r="J1443" s="4" t="s">
        <v>642</v>
      </c>
      <c r="K1443" s="4">
        <v>1</v>
      </c>
      <c r="L1443" s="4">
        <v>3698</v>
      </c>
      <c r="M1443" s="6">
        <v>49.830030000000001</v>
      </c>
      <c r="N1443" s="9">
        <v>-125.19006</v>
      </c>
      <c r="O1443" s="9" t="s">
        <v>183</v>
      </c>
      <c r="P1443" s="9">
        <v>64093</v>
      </c>
      <c r="Q1443" s="20">
        <v>3</v>
      </c>
      <c r="R1443" s="9" t="s">
        <v>1643</v>
      </c>
      <c r="S1443" s="11" t="s">
        <v>1646</v>
      </c>
      <c r="T1443" s="9" t="s">
        <v>644</v>
      </c>
      <c r="U1443" s="9">
        <v>100</v>
      </c>
      <c r="Z1443" s="9"/>
      <c r="AA1443" s="9" t="s">
        <v>1647</v>
      </c>
      <c r="AB1443" s="9"/>
      <c r="AC1443" s="21"/>
      <c r="AD1443" s="9"/>
      <c r="AE1443" s="9"/>
      <c r="AF1443" s="9"/>
      <c r="AG1443" s="9"/>
      <c r="AH1443" s="9"/>
      <c r="AI1443" s="9"/>
      <c r="AK1443" s="260"/>
    </row>
    <row r="1444" spans="1:53" ht="14.25" customHeight="1" x14ac:dyDescent="0.2">
      <c r="A1444" s="5"/>
      <c r="B1444" s="4">
        <v>6</v>
      </c>
      <c r="C1444" s="4" t="s">
        <v>1659</v>
      </c>
      <c r="D1444" s="188" t="s">
        <v>1679</v>
      </c>
      <c r="E1444" s="4">
        <v>2425</v>
      </c>
      <c r="F1444" s="4" t="s">
        <v>1680</v>
      </c>
      <c r="G1444" s="4" t="s">
        <v>1681</v>
      </c>
      <c r="H1444" s="4" t="s">
        <v>1663</v>
      </c>
      <c r="I1444" s="4" t="s">
        <v>1664</v>
      </c>
      <c r="J1444" s="4" t="s">
        <v>1682</v>
      </c>
      <c r="M1444" s="6">
        <v>53.72923333</v>
      </c>
      <c r="N1444" s="9">
        <v>-126.4179333</v>
      </c>
      <c r="O1444" s="9" t="s">
        <v>148</v>
      </c>
      <c r="P1444" s="201" t="s">
        <v>1683</v>
      </c>
      <c r="Q1444" s="4">
        <v>7</v>
      </c>
      <c r="R1444" s="4" t="s">
        <v>1680</v>
      </c>
      <c r="S1444" s="4" t="str">
        <f>UPPER(R1444)</f>
        <v>MOUNT WELLS</v>
      </c>
      <c r="T1444" s="4" t="s">
        <v>1659</v>
      </c>
      <c r="U1444" s="4">
        <v>1490</v>
      </c>
      <c r="AK1444" s="260"/>
    </row>
    <row r="1445" spans="1:53" ht="14.25" customHeight="1" x14ac:dyDescent="0.2">
      <c r="A1445" s="5"/>
      <c r="B1445" s="4">
        <v>6</v>
      </c>
      <c r="C1445" s="4" t="s">
        <v>1659</v>
      </c>
      <c r="D1445" s="188" t="s">
        <v>1684</v>
      </c>
      <c r="E1445" s="4">
        <v>2426</v>
      </c>
      <c r="F1445" s="4" t="s">
        <v>1685</v>
      </c>
      <c r="G1445" s="4" t="s">
        <v>1686</v>
      </c>
      <c r="H1445" s="4" t="s">
        <v>1663</v>
      </c>
      <c r="I1445" s="4" t="s">
        <v>1664</v>
      </c>
      <c r="J1445" s="4" t="s">
        <v>1682</v>
      </c>
      <c r="M1445" s="6">
        <v>53.587416670000003</v>
      </c>
      <c r="N1445" s="9">
        <v>-127.6505667</v>
      </c>
      <c r="O1445" s="9" t="s">
        <v>51</v>
      </c>
      <c r="P1445" s="201" t="s">
        <v>1687</v>
      </c>
      <c r="Q1445" s="4">
        <v>6</v>
      </c>
      <c r="R1445" s="4" t="s">
        <v>1685</v>
      </c>
      <c r="S1445" s="4" t="str">
        <f>UPPER(R1445)</f>
        <v>TAHTSA LAKE</v>
      </c>
      <c r="T1445" s="4" t="s">
        <v>1659</v>
      </c>
      <c r="U1445" s="4">
        <v>1300</v>
      </c>
      <c r="AK1445" s="260"/>
    </row>
    <row r="1446" spans="1:53" ht="14.25" customHeight="1" x14ac:dyDescent="0.2">
      <c r="A1446" s="5"/>
      <c r="B1446" s="4">
        <v>6</v>
      </c>
      <c r="C1446" s="4" t="s">
        <v>1659</v>
      </c>
      <c r="D1446" s="4" t="s">
        <v>1688</v>
      </c>
      <c r="E1446" s="4">
        <v>2427</v>
      </c>
      <c r="F1446" s="4" t="s">
        <v>1689</v>
      </c>
      <c r="G1446" s="4" t="s">
        <v>1690</v>
      </c>
      <c r="H1446" s="4" t="s">
        <v>1663</v>
      </c>
      <c r="I1446" s="4" t="s">
        <v>1664</v>
      </c>
      <c r="J1446" s="4" t="s">
        <v>1682</v>
      </c>
      <c r="M1446" s="6">
        <v>53.164766669999999</v>
      </c>
      <c r="N1446" s="9">
        <v>-126.87551670000001</v>
      </c>
      <c r="O1446" s="9" t="s">
        <v>51</v>
      </c>
      <c r="P1446" s="201" t="s">
        <v>1691</v>
      </c>
      <c r="Q1446" s="4">
        <v>7</v>
      </c>
      <c r="R1446" s="4" t="s">
        <v>1689</v>
      </c>
      <c r="S1446" s="4" t="str">
        <f>UPPER(R1446)</f>
        <v>MOUNT PONDOSY</v>
      </c>
      <c r="T1446" s="4" t="s">
        <v>1659</v>
      </c>
      <c r="U1446" s="4">
        <v>1400</v>
      </c>
      <c r="AK1446" s="260"/>
    </row>
    <row r="1447" spans="1:53" ht="14.25" customHeight="1" x14ac:dyDescent="0.2">
      <c r="B1447" s="4">
        <v>12</v>
      </c>
      <c r="C1447" s="188" t="s">
        <v>1711</v>
      </c>
      <c r="D1447" s="188">
        <v>3</v>
      </c>
      <c r="E1447" s="4">
        <v>1603</v>
      </c>
      <c r="F1447" s="211" t="s">
        <v>1712</v>
      </c>
      <c r="G1447" s="213" t="s">
        <v>1713</v>
      </c>
      <c r="H1447" s="4" t="s">
        <v>1714</v>
      </c>
      <c r="I1447" s="4" t="s">
        <v>1664</v>
      </c>
      <c r="J1447" s="4" t="s">
        <v>1715</v>
      </c>
      <c r="K1447" s="4">
        <v>1</v>
      </c>
      <c r="L1447" s="4">
        <v>2006</v>
      </c>
      <c r="M1447" s="223"/>
      <c r="U1447"/>
      <c r="AK1447" s="260"/>
      <c r="AO1447" s="4" t="s">
        <v>1712</v>
      </c>
      <c r="AP1447" s="4">
        <v>3</v>
      </c>
      <c r="AQ1447" s="4" t="s">
        <v>1716</v>
      </c>
      <c r="AR1447" s="4" t="s">
        <v>1717</v>
      </c>
      <c r="AS1447" s="4" t="s">
        <v>1718</v>
      </c>
      <c r="AT1447" s="4" t="s">
        <v>1719</v>
      </c>
      <c r="AU1447" s="4" t="s">
        <v>1703</v>
      </c>
      <c r="AV1447" s="4" t="s">
        <v>1720</v>
      </c>
      <c r="AW1447" s="4" t="s">
        <v>1705</v>
      </c>
      <c r="AX1447" s="4" t="s">
        <v>1706</v>
      </c>
      <c r="AY1447" s="4">
        <v>49</v>
      </c>
      <c r="AZ1447" s="4">
        <v>-124.7</v>
      </c>
      <c r="BA1447" s="4">
        <v>5</v>
      </c>
    </row>
    <row r="1448" spans="1:53" ht="14.25" customHeight="1" x14ac:dyDescent="0.2">
      <c r="B1448" s="4">
        <v>12</v>
      </c>
      <c r="C1448" s="4" t="s">
        <v>1711</v>
      </c>
      <c r="D1448" s="4">
        <v>4</v>
      </c>
      <c r="E1448" s="4">
        <v>1607</v>
      </c>
      <c r="F1448" s="211" t="s">
        <v>1721</v>
      </c>
      <c r="G1448" s="49" t="s">
        <v>1722</v>
      </c>
      <c r="H1448" s="4" t="s">
        <v>1714</v>
      </c>
      <c r="I1448" s="4" t="s">
        <v>1664</v>
      </c>
      <c r="J1448" s="4" t="s">
        <v>1715</v>
      </c>
      <c r="K1448" s="4">
        <v>1</v>
      </c>
      <c r="L1448" s="4">
        <v>2010</v>
      </c>
      <c r="M1448" s="223"/>
      <c r="U1448"/>
      <c r="AK1448" s="260"/>
      <c r="AO1448" s="4" t="s">
        <v>1721</v>
      </c>
      <c r="AP1448" s="4">
        <v>4</v>
      </c>
      <c r="AQ1448" s="4" t="s">
        <v>1716</v>
      </c>
      <c r="AR1448" s="4" t="s">
        <v>1717</v>
      </c>
      <c r="AS1448" s="4" t="s">
        <v>1718</v>
      </c>
      <c r="AT1448" s="4" t="s">
        <v>1719</v>
      </c>
      <c r="AU1448" s="4" t="s">
        <v>1703</v>
      </c>
      <c r="AV1448" s="4" t="s">
        <v>1720</v>
      </c>
      <c r="AW1448" s="4" t="s">
        <v>1705</v>
      </c>
      <c r="AX1448" s="4" t="s">
        <v>1723</v>
      </c>
      <c r="AY1448" s="4">
        <v>50</v>
      </c>
      <c r="AZ1448" s="4">
        <v>-126.8</v>
      </c>
      <c r="BA1448" s="4">
        <v>2</v>
      </c>
    </row>
    <row r="1449" spans="1:53" ht="14.25" customHeight="1" x14ac:dyDescent="0.2">
      <c r="B1449" s="4">
        <v>12</v>
      </c>
      <c r="C1449" s="4" t="s">
        <v>1711</v>
      </c>
      <c r="D1449" s="4">
        <v>8</v>
      </c>
      <c r="E1449" s="4">
        <v>1608</v>
      </c>
      <c r="F1449" s="211" t="s">
        <v>1724</v>
      </c>
      <c r="G1449" s="49" t="s">
        <v>1725</v>
      </c>
      <c r="H1449" s="4" t="s">
        <v>1726</v>
      </c>
      <c r="I1449" s="4" t="s">
        <v>1664</v>
      </c>
      <c r="J1449" s="4" t="s">
        <v>1715</v>
      </c>
      <c r="K1449" s="4">
        <v>1</v>
      </c>
      <c r="L1449" s="4">
        <v>2011</v>
      </c>
      <c r="M1449" s="223"/>
      <c r="U1449"/>
      <c r="AK1449" s="260"/>
      <c r="AO1449" s="4" t="s">
        <v>1724</v>
      </c>
      <c r="AP1449" s="4">
        <v>8</v>
      </c>
      <c r="AQ1449" s="4" t="s">
        <v>1716</v>
      </c>
      <c r="AR1449" s="4" t="s">
        <v>1717</v>
      </c>
      <c r="AS1449" s="4" t="s">
        <v>1718</v>
      </c>
      <c r="AT1449" s="4" t="s">
        <v>1719</v>
      </c>
      <c r="AU1449" s="4" t="s">
        <v>1703</v>
      </c>
      <c r="AV1449" s="4" t="s">
        <v>1720</v>
      </c>
      <c r="AW1449" s="4" t="s">
        <v>1705</v>
      </c>
      <c r="AX1449" s="4" t="s">
        <v>1706</v>
      </c>
      <c r="AY1449" s="4">
        <v>48.8</v>
      </c>
      <c r="AZ1449" s="4">
        <v>-124.9</v>
      </c>
      <c r="BA1449" s="4">
        <v>3</v>
      </c>
    </row>
    <row r="1450" spans="1:53" ht="14.25" customHeight="1" x14ac:dyDescent="0.2">
      <c r="B1450" s="4">
        <v>12</v>
      </c>
      <c r="C1450" s="188" t="s">
        <v>1711</v>
      </c>
      <c r="D1450" s="188">
        <v>9</v>
      </c>
      <c r="E1450" s="4">
        <v>1609</v>
      </c>
      <c r="F1450" s="211" t="s">
        <v>1727</v>
      </c>
      <c r="G1450" s="49" t="s">
        <v>1728</v>
      </c>
      <c r="H1450" s="4" t="s">
        <v>1729</v>
      </c>
      <c r="I1450" s="4" t="s">
        <v>1664</v>
      </c>
      <c r="J1450" s="4" t="s">
        <v>1715</v>
      </c>
      <c r="K1450" s="4">
        <v>1</v>
      </c>
      <c r="L1450" s="4">
        <v>2012</v>
      </c>
      <c r="M1450" s="223"/>
      <c r="U1450"/>
      <c r="AK1450" s="260"/>
      <c r="AO1450" s="4" t="s">
        <v>1727</v>
      </c>
      <c r="AP1450" s="4">
        <v>9</v>
      </c>
      <c r="AQ1450" s="4" t="s">
        <v>1716</v>
      </c>
      <c r="AR1450" s="4" t="s">
        <v>1717</v>
      </c>
      <c r="AS1450" s="4" t="s">
        <v>1718</v>
      </c>
      <c r="AT1450" s="4" t="s">
        <v>1719</v>
      </c>
      <c r="AU1450" s="4" t="s">
        <v>1703</v>
      </c>
      <c r="AV1450" s="4" t="s">
        <v>1720</v>
      </c>
      <c r="AW1450" s="4" t="s">
        <v>1705</v>
      </c>
      <c r="AX1450" s="4" t="s">
        <v>1706</v>
      </c>
      <c r="AY1450" s="4">
        <v>48.8</v>
      </c>
      <c r="AZ1450" s="4">
        <v>-125</v>
      </c>
      <c r="BA1450" s="4">
        <v>1</v>
      </c>
    </row>
    <row r="1451" spans="1:53" ht="14.25" customHeight="1" x14ac:dyDescent="0.2">
      <c r="B1451" s="4">
        <v>12</v>
      </c>
      <c r="C1451" s="4" t="s">
        <v>1711</v>
      </c>
      <c r="D1451" s="188">
        <v>10</v>
      </c>
      <c r="E1451" s="4">
        <v>1610</v>
      </c>
      <c r="F1451" s="211" t="s">
        <v>1730</v>
      </c>
      <c r="G1451" s="49" t="s">
        <v>1731</v>
      </c>
      <c r="H1451" s="4" t="s">
        <v>1732</v>
      </c>
      <c r="I1451" s="4" t="s">
        <v>1664</v>
      </c>
      <c r="J1451" s="4" t="s">
        <v>1715</v>
      </c>
      <c r="K1451" s="4">
        <v>1</v>
      </c>
      <c r="L1451" s="4">
        <v>2013</v>
      </c>
      <c r="M1451" s="223"/>
      <c r="U1451"/>
      <c r="AK1451" s="260"/>
      <c r="AO1451" s="4" t="s">
        <v>1730</v>
      </c>
      <c r="AP1451" s="4">
        <v>10</v>
      </c>
      <c r="AQ1451" s="4" t="s">
        <v>1716</v>
      </c>
      <c r="AR1451" s="4" t="s">
        <v>1717</v>
      </c>
      <c r="AS1451" s="4" t="s">
        <v>1718</v>
      </c>
      <c r="AT1451" s="4" t="s">
        <v>1719</v>
      </c>
      <c r="AU1451" s="4" t="s">
        <v>1703</v>
      </c>
      <c r="AV1451" s="4" t="s">
        <v>1720</v>
      </c>
      <c r="AW1451" s="4" t="s">
        <v>1705</v>
      </c>
      <c r="AX1451" s="4" t="s">
        <v>1710</v>
      </c>
      <c r="AY1451" s="4">
        <v>50.7</v>
      </c>
      <c r="AZ1451" s="4">
        <v>-126.3</v>
      </c>
      <c r="BA1451" s="4">
        <v>7</v>
      </c>
    </row>
    <row r="1452" spans="1:53" ht="14.25" customHeight="1" x14ac:dyDescent="0.2">
      <c r="B1452" s="4">
        <v>12</v>
      </c>
      <c r="C1452" s="4" t="s">
        <v>1711</v>
      </c>
      <c r="D1452" s="188">
        <v>12</v>
      </c>
      <c r="E1452" s="4">
        <v>1612</v>
      </c>
      <c r="F1452" s="211" t="s">
        <v>1743</v>
      </c>
      <c r="G1452" s="49" t="s">
        <v>1744</v>
      </c>
      <c r="H1452" s="4" t="s">
        <v>1745</v>
      </c>
      <c r="I1452" s="4" t="s">
        <v>1664</v>
      </c>
      <c r="J1452" s="4" t="s">
        <v>1746</v>
      </c>
      <c r="K1452" s="4">
        <v>1</v>
      </c>
      <c r="L1452" s="4">
        <v>2015</v>
      </c>
      <c r="M1452" s="223"/>
      <c r="U1452"/>
      <c r="AK1452" s="260"/>
      <c r="AO1452" s="4" t="s">
        <v>1743</v>
      </c>
      <c r="AP1452" s="4">
        <v>12</v>
      </c>
      <c r="AQ1452" s="4" t="s">
        <v>1716</v>
      </c>
      <c r="AR1452" s="4" t="s">
        <v>1717</v>
      </c>
      <c r="AS1452" s="4" t="s">
        <v>1718</v>
      </c>
      <c r="AT1452" s="4" t="s">
        <v>1719</v>
      </c>
      <c r="AU1452" s="4" t="s">
        <v>1703</v>
      </c>
      <c r="AV1452" s="4" t="s">
        <v>1720</v>
      </c>
      <c r="AW1452" s="4" t="s">
        <v>1705</v>
      </c>
      <c r="AX1452" s="4" t="s">
        <v>1747</v>
      </c>
      <c r="AY1452" s="4">
        <v>48.5</v>
      </c>
      <c r="AZ1452" s="4">
        <v>-124.3</v>
      </c>
      <c r="BA1452" s="4">
        <v>4</v>
      </c>
    </row>
    <row r="1453" spans="1:53" ht="14.25" customHeight="1" x14ac:dyDescent="0.2">
      <c r="B1453" s="4">
        <v>12</v>
      </c>
      <c r="C1453" s="4" t="s">
        <v>1711</v>
      </c>
      <c r="D1453" s="188">
        <v>13</v>
      </c>
      <c r="E1453" s="4">
        <v>1613</v>
      </c>
      <c r="F1453" s="211" t="s">
        <v>1748</v>
      </c>
      <c r="G1453" s="49" t="s">
        <v>1749</v>
      </c>
      <c r="H1453" s="4" t="s">
        <v>1750</v>
      </c>
      <c r="I1453" s="4" t="s">
        <v>1664</v>
      </c>
      <c r="J1453" s="4" t="s">
        <v>1715</v>
      </c>
      <c r="K1453" s="4">
        <v>1</v>
      </c>
      <c r="L1453" s="4">
        <v>2016</v>
      </c>
      <c r="M1453" s="223"/>
      <c r="U1453"/>
      <c r="AK1453" s="260"/>
      <c r="AO1453" s="4" t="s">
        <v>1748</v>
      </c>
      <c r="AP1453" s="4">
        <v>13</v>
      </c>
      <c r="AQ1453" s="4" t="s">
        <v>1716</v>
      </c>
      <c r="AR1453" s="4" t="s">
        <v>1717</v>
      </c>
      <c r="AS1453" s="4" t="s">
        <v>1718</v>
      </c>
      <c r="AT1453" s="4" t="s">
        <v>1719</v>
      </c>
      <c r="AU1453" s="4" t="s">
        <v>1703</v>
      </c>
      <c r="AV1453" s="4" t="s">
        <v>1720</v>
      </c>
      <c r="AW1453" s="4" t="s">
        <v>1705</v>
      </c>
      <c r="AX1453" s="4" t="s">
        <v>1706</v>
      </c>
      <c r="AY1453" s="4">
        <v>48.8</v>
      </c>
      <c r="AZ1453" s="4">
        <v>-124.8</v>
      </c>
      <c r="BA1453" s="4">
        <v>2</v>
      </c>
    </row>
    <row r="1454" spans="1:53" ht="14.25" customHeight="1" x14ac:dyDescent="0.2">
      <c r="B1454" s="4">
        <v>12</v>
      </c>
      <c r="C1454" s="4" t="s">
        <v>1711</v>
      </c>
      <c r="D1454" s="188">
        <v>14</v>
      </c>
      <c r="E1454" s="4">
        <v>1614</v>
      </c>
      <c r="F1454" s="211" t="s">
        <v>1751</v>
      </c>
      <c r="G1454" s="49" t="s">
        <v>1752</v>
      </c>
      <c r="H1454" s="4" t="s">
        <v>1753</v>
      </c>
      <c r="I1454" s="4" t="s">
        <v>1664</v>
      </c>
      <c r="J1454" s="4" t="s">
        <v>1715</v>
      </c>
      <c r="K1454" s="4">
        <v>1</v>
      </c>
      <c r="L1454" s="4">
        <v>2017</v>
      </c>
      <c r="M1454" s="223"/>
      <c r="U1454"/>
      <c r="AK1454" s="260"/>
      <c r="AO1454" s="4" t="s">
        <v>1751</v>
      </c>
      <c r="AP1454" s="4">
        <v>14</v>
      </c>
      <c r="AQ1454" s="4" t="s">
        <v>1716</v>
      </c>
      <c r="AR1454" s="4" t="s">
        <v>1717</v>
      </c>
      <c r="AS1454" s="4" t="s">
        <v>1718</v>
      </c>
      <c r="AT1454" s="4" t="s">
        <v>1719</v>
      </c>
      <c r="AU1454" s="4" t="s">
        <v>1703</v>
      </c>
      <c r="AV1454" s="4" t="s">
        <v>1720</v>
      </c>
      <c r="AW1454" s="4" t="s">
        <v>1705</v>
      </c>
      <c r="AX1454" s="4" t="s">
        <v>1747</v>
      </c>
      <c r="AY1454" s="4">
        <v>48.9</v>
      </c>
      <c r="AZ1454" s="4">
        <v>-124.5</v>
      </c>
      <c r="BA1454" s="4">
        <v>4</v>
      </c>
    </row>
    <row r="1455" spans="1:53" ht="14.25" customHeight="1" x14ac:dyDescent="0.2">
      <c r="B1455" s="4">
        <v>12</v>
      </c>
      <c r="C1455" s="4" t="s">
        <v>1711</v>
      </c>
      <c r="D1455" s="188">
        <v>15</v>
      </c>
      <c r="E1455" s="4">
        <v>1615</v>
      </c>
      <c r="F1455" s="211" t="s">
        <v>1754</v>
      </c>
      <c r="G1455" s="49" t="s">
        <v>1755</v>
      </c>
      <c r="H1455" s="4" t="s">
        <v>1756</v>
      </c>
      <c r="I1455" s="4" t="s">
        <v>1664</v>
      </c>
      <c r="J1455" s="4" t="s">
        <v>1715</v>
      </c>
      <c r="K1455" s="4">
        <v>1</v>
      </c>
      <c r="L1455" s="4">
        <v>2018</v>
      </c>
      <c r="M1455" s="223"/>
      <c r="U1455"/>
      <c r="AK1455" s="260"/>
      <c r="AO1455" s="4" t="s">
        <v>1754</v>
      </c>
      <c r="AP1455" s="4">
        <v>15</v>
      </c>
      <c r="AQ1455" s="4" t="s">
        <v>1716</v>
      </c>
      <c r="AR1455" s="4" t="s">
        <v>1717</v>
      </c>
      <c r="AS1455" s="4" t="s">
        <v>1718</v>
      </c>
      <c r="AT1455" s="4" t="s">
        <v>1719</v>
      </c>
      <c r="AU1455" s="4" t="s">
        <v>1703</v>
      </c>
      <c r="AV1455" s="4" t="s">
        <v>1720</v>
      </c>
      <c r="AW1455" s="4" t="s">
        <v>1705</v>
      </c>
      <c r="AX1455" s="4" t="s">
        <v>1706</v>
      </c>
      <c r="AY1455" s="4">
        <v>48.7</v>
      </c>
      <c r="AZ1455" s="4">
        <v>-125</v>
      </c>
      <c r="BA1455" s="4">
        <v>2</v>
      </c>
    </row>
    <row r="1456" spans="1:53" ht="14.25" customHeight="1" x14ac:dyDescent="0.2">
      <c r="B1456" s="4">
        <v>12</v>
      </c>
      <c r="C1456" s="4" t="s">
        <v>1711</v>
      </c>
      <c r="D1456" s="4">
        <v>16</v>
      </c>
      <c r="E1456" s="4">
        <v>1616</v>
      </c>
      <c r="F1456" s="211" t="s">
        <v>1757</v>
      </c>
      <c r="G1456" s="49" t="s">
        <v>1758</v>
      </c>
      <c r="H1456" s="4" t="s">
        <v>1759</v>
      </c>
      <c r="I1456" s="4" t="s">
        <v>641</v>
      </c>
      <c r="J1456" s="4" t="s">
        <v>1715</v>
      </c>
      <c r="K1456" s="4">
        <v>1</v>
      </c>
      <c r="L1456" s="4">
        <v>2019</v>
      </c>
      <c r="M1456" s="223"/>
      <c r="U1456"/>
      <c r="AK1456" s="260"/>
      <c r="AO1456" s="4" t="s">
        <v>1757</v>
      </c>
      <c r="AP1456" s="4">
        <v>16</v>
      </c>
      <c r="AQ1456" s="4" t="s">
        <v>1716</v>
      </c>
      <c r="AR1456" s="4" t="s">
        <v>1717</v>
      </c>
      <c r="AS1456" s="4" t="s">
        <v>1718</v>
      </c>
      <c r="AT1456" s="4" t="s">
        <v>1703</v>
      </c>
      <c r="AU1456" s="4" t="s">
        <v>1703</v>
      </c>
      <c r="AV1456" s="4" t="s">
        <v>1720</v>
      </c>
      <c r="AW1456" s="4" t="s">
        <v>1705</v>
      </c>
      <c r="AX1456" s="4" t="s">
        <v>1747</v>
      </c>
      <c r="AY1456" s="4">
        <v>48.578299999999999</v>
      </c>
      <c r="AZ1456" s="4">
        <v>-124.41</v>
      </c>
      <c r="BA1456" s="4">
        <v>300</v>
      </c>
    </row>
    <row r="1457" spans="2:53" ht="14.25" customHeight="1" x14ac:dyDescent="0.2">
      <c r="B1457" s="4">
        <v>12</v>
      </c>
      <c r="C1457" s="188" t="s">
        <v>1711</v>
      </c>
      <c r="D1457" s="188">
        <v>18</v>
      </c>
      <c r="E1457" s="4">
        <v>1617</v>
      </c>
      <c r="F1457" s="211" t="s">
        <v>1760</v>
      </c>
      <c r="G1457" s="49" t="s">
        <v>1761</v>
      </c>
      <c r="H1457" s="4" t="s">
        <v>1762</v>
      </c>
      <c r="I1457" s="4" t="s">
        <v>1664</v>
      </c>
      <c r="J1457" s="4" t="s">
        <v>1715</v>
      </c>
      <c r="K1457" s="4">
        <v>1</v>
      </c>
      <c r="L1457" s="4">
        <v>2020</v>
      </c>
      <c r="M1457" s="223"/>
      <c r="U1457"/>
      <c r="AK1457" s="260"/>
      <c r="AO1457" s="4" t="s">
        <v>1760</v>
      </c>
      <c r="AP1457" s="4">
        <v>18</v>
      </c>
      <c r="AQ1457" s="4" t="s">
        <v>1716</v>
      </c>
      <c r="AR1457" s="4" t="s">
        <v>1717</v>
      </c>
      <c r="AS1457" s="4" t="s">
        <v>1718</v>
      </c>
      <c r="AT1457" s="4" t="s">
        <v>1719</v>
      </c>
      <c r="AU1457" s="4" t="s">
        <v>1703</v>
      </c>
      <c r="AV1457" s="4" t="s">
        <v>1720</v>
      </c>
      <c r="AW1457" s="4" t="s">
        <v>1705</v>
      </c>
      <c r="AX1457" s="4" t="s">
        <v>1747</v>
      </c>
      <c r="AY1457" s="4">
        <v>48.8</v>
      </c>
      <c r="AZ1457" s="4">
        <v>-124.5</v>
      </c>
      <c r="BA1457" s="4">
        <v>4</v>
      </c>
    </row>
    <row r="1458" spans="2:53" ht="14.25" customHeight="1" x14ac:dyDescent="0.2">
      <c r="B1458" s="4">
        <v>12</v>
      </c>
      <c r="C1458" s="188" t="s">
        <v>1711</v>
      </c>
      <c r="D1458" s="188">
        <v>20</v>
      </c>
      <c r="E1458" s="4">
        <v>1619</v>
      </c>
      <c r="F1458" s="211" t="s">
        <v>1766</v>
      </c>
      <c r="G1458" s="49" t="s">
        <v>1767</v>
      </c>
      <c r="H1458" s="4" t="s">
        <v>1714</v>
      </c>
      <c r="I1458" s="4" t="s">
        <v>1664</v>
      </c>
      <c r="J1458" s="4" t="s">
        <v>1715</v>
      </c>
      <c r="K1458" s="4">
        <v>1</v>
      </c>
      <c r="L1458" s="4">
        <v>2022</v>
      </c>
      <c r="M1458" s="223"/>
      <c r="U1458"/>
      <c r="AK1458" s="260"/>
      <c r="AO1458" s="4" t="s">
        <v>1766</v>
      </c>
      <c r="AP1458" s="4">
        <v>20</v>
      </c>
      <c r="AQ1458" s="4" t="s">
        <v>1716</v>
      </c>
      <c r="AR1458" s="4" t="s">
        <v>1717</v>
      </c>
      <c r="AS1458" s="4" t="s">
        <v>1718</v>
      </c>
      <c r="AT1458" s="4" t="s">
        <v>1719</v>
      </c>
      <c r="AU1458" s="4" t="s">
        <v>1703</v>
      </c>
      <c r="AV1458" s="4" t="s">
        <v>1720</v>
      </c>
      <c r="AW1458" s="4" t="s">
        <v>1705</v>
      </c>
      <c r="AX1458" s="4" t="s">
        <v>1723</v>
      </c>
      <c r="AY1458" s="4">
        <v>49.8</v>
      </c>
      <c r="AZ1458" s="4">
        <v>-126.1</v>
      </c>
      <c r="BA1458" s="4">
        <v>6</v>
      </c>
    </row>
    <row r="1459" spans="2:53" ht="14.25" customHeight="1" x14ac:dyDescent="0.2">
      <c r="B1459" s="4">
        <v>12</v>
      </c>
      <c r="C1459" s="4" t="s">
        <v>1711</v>
      </c>
      <c r="D1459" s="188">
        <v>23</v>
      </c>
      <c r="E1459" s="4">
        <v>1621</v>
      </c>
      <c r="F1459" s="211" t="s">
        <v>1773</v>
      </c>
      <c r="G1459" s="49" t="s">
        <v>1774</v>
      </c>
      <c r="H1459" s="4" t="s">
        <v>1775</v>
      </c>
      <c r="I1459" s="4" t="s">
        <v>641</v>
      </c>
      <c r="J1459" s="4" t="s">
        <v>1715</v>
      </c>
      <c r="K1459" s="4">
        <v>1</v>
      </c>
      <c r="L1459" s="4">
        <v>2024</v>
      </c>
      <c r="M1459" s="223"/>
      <c r="U1459"/>
      <c r="AK1459" s="260"/>
      <c r="AO1459" s="4" t="s">
        <v>1773</v>
      </c>
      <c r="AP1459" s="4">
        <v>23</v>
      </c>
      <c r="AQ1459" s="4" t="s">
        <v>1716</v>
      </c>
      <c r="AR1459" s="4" t="s">
        <v>1717</v>
      </c>
      <c r="AS1459" s="4" t="s">
        <v>1718</v>
      </c>
      <c r="AT1459" s="4" t="s">
        <v>1703</v>
      </c>
      <c r="AU1459" s="4" t="s">
        <v>1703</v>
      </c>
      <c r="AV1459" s="4" t="s">
        <v>1720</v>
      </c>
      <c r="AW1459" s="4" t="s">
        <v>1705</v>
      </c>
      <c r="AX1459" s="4" t="s">
        <v>1706</v>
      </c>
      <c r="AY1459" s="4">
        <v>49.226700000000001</v>
      </c>
      <c r="AZ1459" s="4">
        <v>-124.9083</v>
      </c>
      <c r="BA1459" s="4">
        <v>455</v>
      </c>
    </row>
    <row r="1460" spans="2:53" ht="14.25" customHeight="1" x14ac:dyDescent="0.2">
      <c r="B1460" s="4">
        <v>12</v>
      </c>
      <c r="C1460" s="188" t="s">
        <v>1711</v>
      </c>
      <c r="D1460" s="188">
        <v>24</v>
      </c>
      <c r="E1460" s="4">
        <v>1622</v>
      </c>
      <c r="F1460" s="211" t="s">
        <v>1776</v>
      </c>
      <c r="G1460" s="49" t="s">
        <v>1777</v>
      </c>
      <c r="H1460" s="4" t="s">
        <v>1778</v>
      </c>
      <c r="I1460" s="4" t="s">
        <v>1664</v>
      </c>
      <c r="J1460" s="4" t="s">
        <v>1715</v>
      </c>
      <c r="K1460" s="4">
        <v>1</v>
      </c>
      <c r="L1460" s="4">
        <v>2025</v>
      </c>
      <c r="M1460" s="223"/>
      <c r="U1460"/>
      <c r="AK1460" s="260"/>
      <c r="AO1460" s="4" t="s">
        <v>1776</v>
      </c>
      <c r="AP1460" s="4">
        <v>24</v>
      </c>
      <c r="AQ1460" s="4" t="s">
        <v>1716</v>
      </c>
      <c r="AR1460" s="4" t="s">
        <v>1717</v>
      </c>
      <c r="AS1460" s="4" t="s">
        <v>1718</v>
      </c>
      <c r="AT1460" s="4" t="s">
        <v>1719</v>
      </c>
      <c r="AU1460" s="4" t="s">
        <v>1703</v>
      </c>
      <c r="AV1460" s="4" t="s">
        <v>1720</v>
      </c>
      <c r="AW1460" s="4" t="s">
        <v>1705</v>
      </c>
      <c r="AX1460" s="4" t="s">
        <v>1706</v>
      </c>
      <c r="AY1460" s="4">
        <v>49.2</v>
      </c>
      <c r="AZ1460" s="4">
        <v>-124.6</v>
      </c>
      <c r="BA1460" s="4">
        <v>7</v>
      </c>
    </row>
    <row r="1461" spans="2:53" ht="14.25" customHeight="1" x14ac:dyDescent="0.2">
      <c r="B1461" s="4">
        <v>12</v>
      </c>
      <c r="C1461" s="4" t="s">
        <v>1711</v>
      </c>
      <c r="D1461" s="188">
        <v>25</v>
      </c>
      <c r="E1461" s="4">
        <v>1623</v>
      </c>
      <c r="F1461" s="211" t="s">
        <v>1779</v>
      </c>
      <c r="G1461" s="49" t="s">
        <v>1780</v>
      </c>
      <c r="H1461" s="4" t="s">
        <v>1781</v>
      </c>
      <c r="I1461" s="4" t="s">
        <v>641</v>
      </c>
      <c r="J1461" s="4" t="s">
        <v>1715</v>
      </c>
      <c r="K1461" s="4">
        <v>1</v>
      </c>
      <c r="L1461" s="4">
        <v>2026</v>
      </c>
      <c r="M1461" s="223"/>
      <c r="U1461"/>
      <c r="AK1461" s="260"/>
      <c r="AO1461" s="4" t="s">
        <v>1779</v>
      </c>
      <c r="AP1461" s="4">
        <v>25</v>
      </c>
      <c r="AQ1461" s="4" t="s">
        <v>1716</v>
      </c>
      <c r="AR1461" s="4" t="s">
        <v>1717</v>
      </c>
      <c r="AS1461" s="4" t="s">
        <v>1718</v>
      </c>
      <c r="AT1461" s="4" t="s">
        <v>1703</v>
      </c>
      <c r="AU1461" s="4" t="s">
        <v>1703</v>
      </c>
      <c r="AV1461" s="4" t="s">
        <v>1720</v>
      </c>
      <c r="AW1461" s="4" t="s">
        <v>1705</v>
      </c>
      <c r="AX1461" s="4" t="s">
        <v>1747</v>
      </c>
      <c r="AY1461" s="4">
        <v>48.941699999999997</v>
      </c>
      <c r="AZ1461" s="4">
        <v>-124.1067</v>
      </c>
      <c r="BA1461" s="4">
        <v>710</v>
      </c>
    </row>
    <row r="1462" spans="2:53" ht="14.25" customHeight="1" x14ac:dyDescent="0.2">
      <c r="B1462" s="4">
        <v>12</v>
      </c>
      <c r="C1462" s="4" t="s">
        <v>1711</v>
      </c>
      <c r="D1462" s="188">
        <v>28</v>
      </c>
      <c r="E1462" s="4">
        <v>1624</v>
      </c>
      <c r="F1462" s="211" t="s">
        <v>1785</v>
      </c>
      <c r="G1462" s="49" t="s">
        <v>1786</v>
      </c>
      <c r="H1462" s="4" t="s">
        <v>1787</v>
      </c>
      <c r="I1462" s="4" t="s">
        <v>1664</v>
      </c>
      <c r="J1462" s="4" t="s">
        <v>1715</v>
      </c>
      <c r="K1462" s="4">
        <v>1</v>
      </c>
      <c r="L1462" s="4">
        <v>2027</v>
      </c>
      <c r="M1462" s="223"/>
      <c r="U1462"/>
      <c r="AK1462" s="260"/>
      <c r="AO1462" s="4" t="s">
        <v>1785</v>
      </c>
      <c r="AP1462" s="4">
        <v>28</v>
      </c>
      <c r="AQ1462" s="4" t="s">
        <v>1716</v>
      </c>
      <c r="AR1462" s="4" t="s">
        <v>1717</v>
      </c>
      <c r="AS1462" s="4" t="s">
        <v>1718</v>
      </c>
      <c r="AT1462" s="4" t="s">
        <v>1719</v>
      </c>
      <c r="AU1462" s="4" t="s">
        <v>1703</v>
      </c>
      <c r="AV1462" s="4" t="s">
        <v>1720</v>
      </c>
      <c r="AW1462" s="4" t="s">
        <v>1705</v>
      </c>
      <c r="AX1462" s="4" t="s">
        <v>1723</v>
      </c>
      <c r="AY1462" s="4">
        <v>50.5</v>
      </c>
      <c r="AZ1462" s="4">
        <v>-126</v>
      </c>
      <c r="BA1462" s="4">
        <v>0</v>
      </c>
    </row>
    <row r="1463" spans="2:53" ht="14.25" customHeight="1" x14ac:dyDescent="0.2">
      <c r="B1463" s="4">
        <v>12</v>
      </c>
      <c r="C1463" s="4" t="s">
        <v>1711</v>
      </c>
      <c r="D1463" s="188">
        <v>29</v>
      </c>
      <c r="E1463" s="4">
        <v>1625</v>
      </c>
      <c r="F1463" s="211" t="s">
        <v>1788</v>
      </c>
      <c r="G1463" s="49" t="s">
        <v>1789</v>
      </c>
      <c r="H1463" s="4" t="s">
        <v>1790</v>
      </c>
      <c r="I1463" s="4" t="s">
        <v>641</v>
      </c>
      <c r="J1463" s="4" t="s">
        <v>1715</v>
      </c>
      <c r="K1463" s="4">
        <v>1</v>
      </c>
      <c r="L1463" s="4">
        <v>2028</v>
      </c>
      <c r="M1463" s="223"/>
      <c r="U1463"/>
      <c r="AK1463" s="260"/>
      <c r="AO1463" s="4" t="s">
        <v>1791</v>
      </c>
      <c r="AP1463" s="4">
        <v>29</v>
      </c>
      <c r="AQ1463" s="4" t="s">
        <v>1716</v>
      </c>
      <c r="AR1463" s="4" t="s">
        <v>1717</v>
      </c>
      <c r="AS1463" s="4" t="s">
        <v>1718</v>
      </c>
      <c r="AT1463" s="4" t="s">
        <v>1703</v>
      </c>
      <c r="AU1463" s="4" t="s">
        <v>1703</v>
      </c>
      <c r="AV1463" s="4" t="s">
        <v>1720</v>
      </c>
      <c r="AW1463" s="4" t="s">
        <v>1705</v>
      </c>
      <c r="AX1463" s="4" t="s">
        <v>1706</v>
      </c>
      <c r="AY1463" s="4">
        <v>49.388300000000001</v>
      </c>
      <c r="AZ1463" s="4">
        <v>-125.33329999999999</v>
      </c>
      <c r="BA1463" s="4">
        <v>300</v>
      </c>
    </row>
    <row r="1464" spans="2:53" ht="14.25" customHeight="1" x14ac:dyDescent="0.2">
      <c r="B1464" s="4">
        <v>12</v>
      </c>
      <c r="C1464" s="4" t="s">
        <v>1711</v>
      </c>
      <c r="D1464" s="188">
        <v>30</v>
      </c>
      <c r="E1464" s="4">
        <v>1626</v>
      </c>
      <c r="F1464" s="211" t="s">
        <v>1792</v>
      </c>
      <c r="G1464" s="49" t="s">
        <v>1793</v>
      </c>
      <c r="H1464" s="4" t="s">
        <v>1794</v>
      </c>
      <c r="I1464" s="4" t="s">
        <v>1664</v>
      </c>
      <c r="J1464" s="4" t="s">
        <v>1715</v>
      </c>
      <c r="K1464" s="4">
        <v>1</v>
      </c>
      <c r="L1464" s="4">
        <v>2029</v>
      </c>
      <c r="M1464" s="223"/>
      <c r="U1464"/>
      <c r="AK1464" s="260"/>
      <c r="AO1464" s="4" t="s">
        <v>1792</v>
      </c>
      <c r="AP1464" s="4">
        <v>30</v>
      </c>
      <c r="AQ1464" s="4" t="s">
        <v>1716</v>
      </c>
      <c r="AR1464" s="4" t="s">
        <v>1717</v>
      </c>
      <c r="AS1464" s="4" t="s">
        <v>1718</v>
      </c>
      <c r="AT1464" s="4" t="s">
        <v>1719</v>
      </c>
      <c r="AU1464" s="4" t="s">
        <v>1703</v>
      </c>
      <c r="AV1464" s="4" t="s">
        <v>1720</v>
      </c>
      <c r="AW1464" s="4" t="s">
        <v>1705</v>
      </c>
      <c r="AX1464" s="4" t="s">
        <v>1723</v>
      </c>
      <c r="AY1464" s="4">
        <v>50.3</v>
      </c>
      <c r="AZ1464" s="4">
        <v>-126</v>
      </c>
      <c r="BA1464" s="4">
        <v>0</v>
      </c>
    </row>
    <row r="1465" spans="2:53" ht="14.25" customHeight="1" x14ac:dyDescent="0.2">
      <c r="B1465" s="4">
        <v>12</v>
      </c>
      <c r="C1465" s="4" t="s">
        <v>1711</v>
      </c>
      <c r="D1465" s="188">
        <v>31</v>
      </c>
      <c r="E1465" s="4">
        <v>1627</v>
      </c>
      <c r="F1465" s="211" t="s">
        <v>1795</v>
      </c>
      <c r="G1465" s="49" t="s">
        <v>1796</v>
      </c>
      <c r="H1465" s="4" t="s">
        <v>1797</v>
      </c>
      <c r="I1465" s="4" t="s">
        <v>1664</v>
      </c>
      <c r="J1465" s="4" t="s">
        <v>1715</v>
      </c>
      <c r="K1465" s="4">
        <v>1</v>
      </c>
      <c r="L1465" s="4">
        <v>2030</v>
      </c>
      <c r="M1465" s="223"/>
      <c r="U1465"/>
      <c r="AK1465" s="260"/>
      <c r="AO1465" s="4" t="s">
        <v>1795</v>
      </c>
      <c r="AP1465" s="4">
        <v>31</v>
      </c>
      <c r="AQ1465" s="4" t="s">
        <v>1716</v>
      </c>
      <c r="AR1465" s="4" t="s">
        <v>1717</v>
      </c>
      <c r="AS1465" s="4" t="s">
        <v>1718</v>
      </c>
      <c r="AT1465" s="4" t="s">
        <v>1719</v>
      </c>
      <c r="AU1465" s="4" t="s">
        <v>1703</v>
      </c>
      <c r="AV1465" s="4" t="s">
        <v>1720</v>
      </c>
      <c r="AW1465" s="4" t="s">
        <v>1705</v>
      </c>
      <c r="AX1465" s="4" t="s">
        <v>1723</v>
      </c>
      <c r="AY1465" s="4">
        <v>50.1</v>
      </c>
      <c r="AZ1465" s="4">
        <v>-125.7</v>
      </c>
      <c r="BA1465" s="4">
        <v>0</v>
      </c>
    </row>
    <row r="1466" spans="2:53" ht="14.25" customHeight="1" x14ac:dyDescent="0.2">
      <c r="B1466" s="4">
        <v>12</v>
      </c>
      <c r="C1466" s="4" t="s">
        <v>1711</v>
      </c>
      <c r="D1466" s="188">
        <v>32</v>
      </c>
      <c r="E1466" s="4">
        <v>1628</v>
      </c>
      <c r="F1466" s="211" t="s">
        <v>1798</v>
      </c>
      <c r="G1466" s="49" t="s">
        <v>1799</v>
      </c>
      <c r="H1466" s="4" t="s">
        <v>1800</v>
      </c>
      <c r="I1466" s="4" t="s">
        <v>1664</v>
      </c>
      <c r="J1466" s="4" t="s">
        <v>1715</v>
      </c>
      <c r="K1466" s="4">
        <v>1</v>
      </c>
      <c r="L1466" s="4">
        <v>2031</v>
      </c>
      <c r="M1466" s="223"/>
      <c r="U1466"/>
      <c r="AK1466" s="260"/>
      <c r="AO1466" s="4" t="s">
        <v>1798</v>
      </c>
      <c r="AP1466" s="4">
        <v>32</v>
      </c>
      <c r="AQ1466" s="4" t="s">
        <v>1716</v>
      </c>
      <c r="AR1466" s="4" t="s">
        <v>1717</v>
      </c>
      <c r="AS1466" s="4" t="s">
        <v>1718</v>
      </c>
      <c r="AT1466" s="4" t="s">
        <v>1719</v>
      </c>
      <c r="AU1466" s="4" t="s">
        <v>1703</v>
      </c>
      <c r="AV1466" s="4" t="s">
        <v>1720</v>
      </c>
      <c r="AW1466" s="4" t="s">
        <v>1705</v>
      </c>
      <c r="AX1466" s="4" t="s">
        <v>1747</v>
      </c>
      <c r="AY1466" s="4">
        <v>48.6</v>
      </c>
      <c r="AZ1466" s="4">
        <v>-123.8</v>
      </c>
      <c r="BA1466" s="4">
        <v>0</v>
      </c>
    </row>
    <row r="1467" spans="2:53" ht="14.25" customHeight="1" x14ac:dyDescent="0.2">
      <c r="B1467" s="4">
        <v>12</v>
      </c>
      <c r="C1467" s="4" t="s">
        <v>1711</v>
      </c>
      <c r="D1467" s="188">
        <v>34</v>
      </c>
      <c r="E1467" s="4">
        <v>1629</v>
      </c>
      <c r="F1467" s="211" t="s">
        <v>1801</v>
      </c>
      <c r="G1467" s="49" t="s">
        <v>1802</v>
      </c>
      <c r="H1467" s="4" t="s">
        <v>1803</v>
      </c>
      <c r="I1467" s="4" t="s">
        <v>1664</v>
      </c>
      <c r="J1467" s="4" t="s">
        <v>1715</v>
      </c>
      <c r="K1467" s="4">
        <v>1</v>
      </c>
      <c r="L1467" s="4">
        <v>2032</v>
      </c>
      <c r="M1467" s="223"/>
      <c r="U1467"/>
      <c r="AK1467" s="260"/>
      <c r="AO1467" s="224" t="s">
        <v>1801</v>
      </c>
      <c r="AP1467" s="224">
        <v>34</v>
      </c>
      <c r="AQ1467" s="224" t="s">
        <v>1716</v>
      </c>
      <c r="AR1467" s="224" t="s">
        <v>1717</v>
      </c>
      <c r="AS1467" s="224" t="s">
        <v>1718</v>
      </c>
      <c r="AT1467" s="224" t="s">
        <v>1719</v>
      </c>
      <c r="AU1467" s="224" t="s">
        <v>1703</v>
      </c>
      <c r="AV1467" s="224" t="s">
        <v>1720</v>
      </c>
      <c r="AW1467" s="224" t="s">
        <v>1705</v>
      </c>
      <c r="AX1467" s="224" t="s">
        <v>1747</v>
      </c>
      <c r="AY1467" s="224">
        <v>48.6</v>
      </c>
      <c r="AZ1467" s="224">
        <v>-124.3</v>
      </c>
      <c r="BA1467" s="334">
        <v>6</v>
      </c>
    </row>
    <row r="1468" spans="2:53" ht="14.25" customHeight="1" x14ac:dyDescent="0.2">
      <c r="B1468" s="4">
        <v>12</v>
      </c>
      <c r="C1468" s="4" t="s">
        <v>1711</v>
      </c>
      <c r="D1468" s="188">
        <v>35</v>
      </c>
      <c r="E1468" s="4">
        <v>1630</v>
      </c>
      <c r="F1468" s="211" t="s">
        <v>1804</v>
      </c>
      <c r="G1468" s="49" t="s">
        <v>1805</v>
      </c>
      <c r="H1468" s="4" t="s">
        <v>1806</v>
      </c>
      <c r="I1468" s="4" t="s">
        <v>1664</v>
      </c>
      <c r="J1468" s="4" t="s">
        <v>1715</v>
      </c>
      <c r="K1468" s="4">
        <v>1</v>
      </c>
      <c r="L1468" s="4">
        <v>2033</v>
      </c>
      <c r="M1468" s="223"/>
      <c r="U1468"/>
      <c r="AK1468" s="260"/>
      <c r="AO1468" s="4" t="s">
        <v>1804</v>
      </c>
      <c r="AP1468" s="4">
        <v>35</v>
      </c>
      <c r="AQ1468" s="4" t="s">
        <v>1716</v>
      </c>
      <c r="AR1468" s="4" t="s">
        <v>1717</v>
      </c>
      <c r="AS1468" s="4" t="s">
        <v>1718</v>
      </c>
      <c r="AT1468" s="4" t="s">
        <v>1719</v>
      </c>
      <c r="AU1468" s="4" t="s">
        <v>1703</v>
      </c>
      <c r="AV1468" s="4" t="s">
        <v>1720</v>
      </c>
      <c r="AW1468" s="4" t="s">
        <v>1705</v>
      </c>
      <c r="AX1468" s="4" t="s">
        <v>1723</v>
      </c>
      <c r="AY1468" s="4">
        <v>50.2</v>
      </c>
      <c r="AZ1468" s="4">
        <v>-126.1</v>
      </c>
      <c r="BA1468" s="4">
        <v>6</v>
      </c>
    </row>
    <row r="1469" spans="2:53" ht="14.25" customHeight="1" x14ac:dyDescent="0.2">
      <c r="B1469" s="4">
        <v>12</v>
      </c>
      <c r="C1469" s="4" t="s">
        <v>1711</v>
      </c>
      <c r="D1469" s="188">
        <v>36</v>
      </c>
      <c r="E1469" s="4">
        <v>1631</v>
      </c>
      <c r="F1469" s="211" t="s">
        <v>1807</v>
      </c>
      <c r="G1469" s="49" t="s">
        <v>1808</v>
      </c>
      <c r="H1469" s="4" t="s">
        <v>1809</v>
      </c>
      <c r="I1469" s="4" t="s">
        <v>641</v>
      </c>
      <c r="J1469" s="4" t="s">
        <v>1715</v>
      </c>
      <c r="K1469" s="4">
        <v>1</v>
      </c>
      <c r="L1469" s="4">
        <v>2034</v>
      </c>
      <c r="M1469" s="223"/>
      <c r="U1469"/>
      <c r="AK1469" s="260"/>
      <c r="AO1469" s="4" t="s">
        <v>1807</v>
      </c>
      <c r="AP1469" s="4">
        <v>36</v>
      </c>
      <c r="AQ1469" s="4" t="s">
        <v>1716</v>
      </c>
      <c r="AR1469" s="4" t="s">
        <v>1717</v>
      </c>
      <c r="AS1469" s="4" t="s">
        <v>1718</v>
      </c>
      <c r="AT1469" s="4" t="s">
        <v>1703</v>
      </c>
      <c r="AU1469" s="4" t="s">
        <v>1703</v>
      </c>
      <c r="AV1469" s="4" t="s">
        <v>1720</v>
      </c>
      <c r="AW1469" s="4" t="s">
        <v>1705</v>
      </c>
      <c r="AX1469" s="4" t="s">
        <v>1706</v>
      </c>
      <c r="AY1469" s="4">
        <v>49.271700000000003</v>
      </c>
      <c r="AZ1469" s="4">
        <v>-124.64830000000001</v>
      </c>
      <c r="BA1469" s="4">
        <v>974</v>
      </c>
    </row>
    <row r="1470" spans="2:53" ht="14.25" customHeight="1" x14ac:dyDescent="0.2">
      <c r="B1470" s="4">
        <v>12</v>
      </c>
      <c r="C1470" s="4" t="s">
        <v>1711</v>
      </c>
      <c r="D1470" s="4">
        <v>39</v>
      </c>
      <c r="E1470" s="4">
        <v>1633</v>
      </c>
      <c r="F1470" s="211" t="s">
        <v>1814</v>
      </c>
      <c r="G1470" s="49" t="s">
        <v>1815</v>
      </c>
      <c r="H1470" s="4" t="s">
        <v>1816</v>
      </c>
      <c r="I1470" s="4" t="s">
        <v>641</v>
      </c>
      <c r="J1470" s="4" t="s">
        <v>1715</v>
      </c>
      <c r="K1470" s="4">
        <v>1</v>
      </c>
      <c r="L1470" s="4">
        <v>2036</v>
      </c>
      <c r="M1470" s="223"/>
      <c r="U1470"/>
      <c r="AK1470" s="260"/>
      <c r="AO1470" s="4" t="s">
        <v>1817</v>
      </c>
      <c r="AP1470" s="4">
        <v>39</v>
      </c>
      <c r="AQ1470" s="4" t="s">
        <v>1716</v>
      </c>
      <c r="AR1470" s="4" t="s">
        <v>1717</v>
      </c>
      <c r="AS1470" s="4" t="s">
        <v>1718</v>
      </c>
      <c r="AT1470" s="4" t="s">
        <v>1703</v>
      </c>
      <c r="AU1470" s="4" t="s">
        <v>1703</v>
      </c>
      <c r="AV1470" s="4" t="s">
        <v>1720</v>
      </c>
      <c r="AW1470" s="4" t="s">
        <v>1705</v>
      </c>
      <c r="AX1470" s="4" t="s">
        <v>1706</v>
      </c>
      <c r="AY1470" s="4">
        <v>49.193300000000001</v>
      </c>
      <c r="AZ1470" s="4">
        <v>-125.38500000000001</v>
      </c>
      <c r="BA1470" s="4">
        <v>500</v>
      </c>
    </row>
    <row r="1471" spans="2:53" ht="14.25" customHeight="1" x14ac:dyDescent="0.2">
      <c r="B1471" s="4">
        <v>12</v>
      </c>
      <c r="C1471" s="4" t="s">
        <v>1711</v>
      </c>
      <c r="D1471" s="188">
        <v>40</v>
      </c>
      <c r="E1471" s="4">
        <v>1634</v>
      </c>
      <c r="F1471" s="211" t="s">
        <v>1818</v>
      </c>
      <c r="G1471" s="49" t="s">
        <v>1819</v>
      </c>
      <c r="H1471" s="4" t="s">
        <v>1820</v>
      </c>
      <c r="I1471" s="4" t="s">
        <v>641</v>
      </c>
      <c r="J1471" s="4" t="s">
        <v>1715</v>
      </c>
      <c r="K1471" s="4">
        <v>1</v>
      </c>
      <c r="L1471" s="4">
        <v>2037</v>
      </c>
      <c r="M1471" s="6"/>
      <c r="N1471" s="9"/>
      <c r="O1471" s="9"/>
      <c r="P1471" s="9"/>
      <c r="U1471"/>
      <c r="AK1471" s="260"/>
      <c r="AO1471" s="4" t="s">
        <v>1818</v>
      </c>
      <c r="AP1471" s="4">
        <v>40</v>
      </c>
      <c r="AQ1471" s="4" t="s">
        <v>1716</v>
      </c>
      <c r="AR1471" s="4" t="s">
        <v>1717</v>
      </c>
      <c r="AS1471" s="4" t="s">
        <v>1718</v>
      </c>
      <c r="AT1471" s="4" t="s">
        <v>1703</v>
      </c>
      <c r="AU1471" s="4" t="s">
        <v>1703</v>
      </c>
      <c r="AV1471" s="4" t="s">
        <v>1720</v>
      </c>
      <c r="AW1471" s="4" t="s">
        <v>1705</v>
      </c>
      <c r="AX1471" s="4" t="s">
        <v>1747</v>
      </c>
      <c r="AY1471" s="4">
        <v>48.406700000000001</v>
      </c>
      <c r="AZ1471" s="4">
        <v>-123.76</v>
      </c>
      <c r="BA1471" s="4">
        <v>23</v>
      </c>
    </row>
    <row r="1472" spans="2:53" ht="14.25" customHeight="1" x14ac:dyDescent="0.2">
      <c r="B1472" s="4">
        <v>12</v>
      </c>
      <c r="C1472" s="4" t="s">
        <v>1711</v>
      </c>
      <c r="D1472" s="188">
        <v>41</v>
      </c>
      <c r="E1472" s="4">
        <v>1635</v>
      </c>
      <c r="F1472" s="211" t="s">
        <v>1821</v>
      </c>
      <c r="G1472" s="49" t="s">
        <v>1822</v>
      </c>
      <c r="H1472" s="4" t="s">
        <v>1823</v>
      </c>
      <c r="I1472" s="4" t="s">
        <v>641</v>
      </c>
      <c r="J1472" s="4" t="s">
        <v>1715</v>
      </c>
      <c r="K1472" s="4">
        <v>1</v>
      </c>
      <c r="L1472" s="4">
        <v>2038</v>
      </c>
      <c r="M1472" s="223"/>
      <c r="U1472"/>
      <c r="AK1472" s="260"/>
      <c r="AO1472" s="4" t="s">
        <v>1821</v>
      </c>
      <c r="AP1472" s="4">
        <v>41</v>
      </c>
      <c r="AQ1472" s="4" t="s">
        <v>1716</v>
      </c>
      <c r="AR1472" s="4" t="s">
        <v>1717</v>
      </c>
      <c r="AS1472" s="4" t="s">
        <v>1718</v>
      </c>
      <c r="AT1472" s="4" t="s">
        <v>1703</v>
      </c>
      <c r="AU1472" s="4" t="s">
        <v>1703</v>
      </c>
      <c r="AV1472" s="4" t="s">
        <v>1720</v>
      </c>
      <c r="AW1472" s="4" t="s">
        <v>1705</v>
      </c>
      <c r="AX1472" s="4" t="s">
        <v>1723</v>
      </c>
      <c r="AY1472" s="4">
        <v>50.311700000000002</v>
      </c>
      <c r="AZ1472" s="4">
        <v>-125.58669999999999</v>
      </c>
      <c r="BA1472" s="4">
        <v>224</v>
      </c>
    </row>
    <row r="1473" spans="2:53" ht="14.25" customHeight="1" x14ac:dyDescent="0.2">
      <c r="B1473" s="4">
        <v>12</v>
      </c>
      <c r="C1473" s="4" t="s">
        <v>1711</v>
      </c>
      <c r="D1473" s="188">
        <v>43</v>
      </c>
      <c r="E1473" s="4">
        <v>1636</v>
      </c>
      <c r="F1473" s="211" t="s">
        <v>1824</v>
      </c>
      <c r="G1473" s="49" t="s">
        <v>1825</v>
      </c>
      <c r="H1473" s="4" t="s">
        <v>1714</v>
      </c>
      <c r="I1473" s="4" t="s">
        <v>1664</v>
      </c>
      <c r="J1473" s="4" t="s">
        <v>1715</v>
      </c>
      <c r="K1473" s="4">
        <v>1</v>
      </c>
      <c r="L1473" s="4">
        <v>2039</v>
      </c>
      <c r="M1473" s="223"/>
      <c r="U1473"/>
      <c r="AK1473" s="260"/>
      <c r="AO1473" s="4" t="s">
        <v>1824</v>
      </c>
      <c r="AP1473" s="4">
        <v>43</v>
      </c>
      <c r="AQ1473" s="4" t="s">
        <v>1716</v>
      </c>
      <c r="AR1473" s="4" t="s">
        <v>1717</v>
      </c>
      <c r="AS1473" s="4" t="s">
        <v>1718</v>
      </c>
      <c r="AT1473" s="4" t="s">
        <v>1719</v>
      </c>
      <c r="AU1473" s="4" t="s">
        <v>1703</v>
      </c>
      <c r="AV1473" s="4" t="s">
        <v>1720</v>
      </c>
      <c r="AW1473" s="4" t="s">
        <v>1705</v>
      </c>
      <c r="AX1473" s="4" t="s">
        <v>1706</v>
      </c>
      <c r="AY1473" s="4">
        <v>49.3</v>
      </c>
      <c r="AZ1473" s="4">
        <v>-124.2</v>
      </c>
      <c r="BA1473" s="4">
        <v>1</v>
      </c>
    </row>
    <row r="1474" spans="2:53" ht="14.25" customHeight="1" x14ac:dyDescent="0.2">
      <c r="B1474" s="4">
        <v>12</v>
      </c>
      <c r="C1474" s="4" t="s">
        <v>1711</v>
      </c>
      <c r="D1474" s="188">
        <v>46</v>
      </c>
      <c r="E1474" s="4">
        <v>1638</v>
      </c>
      <c r="F1474" s="4" t="s">
        <v>1831</v>
      </c>
      <c r="G1474" s="49" t="s">
        <v>1832</v>
      </c>
      <c r="H1474" s="4" t="s">
        <v>1833</v>
      </c>
      <c r="I1474" s="4" t="s">
        <v>641</v>
      </c>
      <c r="J1474" s="4" t="s">
        <v>1715</v>
      </c>
      <c r="K1474" s="4">
        <v>1</v>
      </c>
      <c r="L1474" s="4">
        <v>2041</v>
      </c>
      <c r="M1474" s="6"/>
      <c r="N1474" s="9"/>
      <c r="O1474" s="9"/>
      <c r="P1474" s="9"/>
      <c r="U1474"/>
      <c r="AK1474" s="260"/>
      <c r="AO1474" s="4" t="s">
        <v>1834</v>
      </c>
      <c r="AP1474" s="4">
        <v>46</v>
      </c>
      <c r="AQ1474" s="4" t="s">
        <v>1716</v>
      </c>
      <c r="AR1474" s="4" t="s">
        <v>1717</v>
      </c>
      <c r="AS1474" s="4" t="s">
        <v>1718</v>
      </c>
      <c r="AT1474" s="4" t="s">
        <v>1835</v>
      </c>
      <c r="AU1474" s="4" t="s">
        <v>1836</v>
      </c>
      <c r="AV1474" s="4" t="s">
        <v>1720</v>
      </c>
      <c r="AW1474" s="4" t="s">
        <v>1705</v>
      </c>
      <c r="AX1474" s="4" t="s">
        <v>1837</v>
      </c>
      <c r="AY1474" s="4">
        <v>49.4497</v>
      </c>
      <c r="AZ1474" s="4">
        <v>-123.72</v>
      </c>
      <c r="BA1474" s="4">
        <v>75</v>
      </c>
    </row>
    <row r="1475" spans="2:53" ht="14.25" customHeight="1" x14ac:dyDescent="0.2">
      <c r="B1475" s="4">
        <v>12</v>
      </c>
      <c r="C1475" s="4" t="s">
        <v>1711</v>
      </c>
      <c r="D1475" s="188">
        <v>47</v>
      </c>
      <c r="E1475" s="4">
        <v>1639</v>
      </c>
      <c r="F1475" s="211" t="s">
        <v>1838</v>
      </c>
      <c r="G1475" s="49" t="s">
        <v>1839</v>
      </c>
      <c r="H1475" s="4" t="s">
        <v>1840</v>
      </c>
      <c r="I1475" s="4" t="s">
        <v>641</v>
      </c>
      <c r="J1475" s="4" t="s">
        <v>1715</v>
      </c>
      <c r="K1475" s="4">
        <v>1</v>
      </c>
      <c r="L1475" s="4">
        <v>2042</v>
      </c>
      <c r="M1475" s="223"/>
      <c r="U1475"/>
      <c r="AK1475" s="260"/>
      <c r="AO1475" s="4" t="s">
        <v>1838</v>
      </c>
      <c r="AP1475" s="4">
        <v>47</v>
      </c>
      <c r="AQ1475" s="4" t="s">
        <v>1716</v>
      </c>
      <c r="AR1475" s="4" t="s">
        <v>1717</v>
      </c>
      <c r="AS1475" s="4" t="s">
        <v>1718</v>
      </c>
      <c r="AT1475" s="4" t="s">
        <v>1841</v>
      </c>
      <c r="AU1475" s="4" t="s">
        <v>1836</v>
      </c>
      <c r="AV1475" s="4" t="s">
        <v>1720</v>
      </c>
      <c r="AW1475" s="4" t="s">
        <v>1705</v>
      </c>
      <c r="AX1475" s="4" t="s">
        <v>1837</v>
      </c>
      <c r="AY1475" s="4">
        <v>49.5</v>
      </c>
      <c r="AZ1475" s="4">
        <v>-123.7</v>
      </c>
      <c r="BA1475" s="4">
        <v>100</v>
      </c>
    </row>
    <row r="1476" spans="2:53" ht="14.25" customHeight="1" x14ac:dyDescent="0.2">
      <c r="B1476" s="4">
        <v>12</v>
      </c>
      <c r="C1476" s="4" t="s">
        <v>1711</v>
      </c>
      <c r="D1476" s="188">
        <v>51</v>
      </c>
      <c r="E1476" s="4">
        <v>1641</v>
      </c>
      <c r="F1476" s="211" t="s">
        <v>1849</v>
      </c>
      <c r="G1476" s="4" t="s">
        <v>1850</v>
      </c>
      <c r="H1476" s="4" t="s">
        <v>1787</v>
      </c>
      <c r="I1476" s="4" t="s">
        <v>1664</v>
      </c>
      <c r="J1476" s="4" t="s">
        <v>1715</v>
      </c>
      <c r="K1476" s="4">
        <v>1</v>
      </c>
      <c r="L1476" s="4">
        <v>2044</v>
      </c>
      <c r="M1476" s="223"/>
      <c r="U1476"/>
      <c r="AK1476" s="260"/>
      <c r="AO1476" s="4" t="s">
        <v>1849</v>
      </c>
      <c r="AP1476" s="4">
        <v>51</v>
      </c>
      <c r="AQ1476" s="4" t="s">
        <v>1716</v>
      </c>
      <c r="AR1476" s="4" t="s">
        <v>1717</v>
      </c>
      <c r="AS1476" s="4" t="s">
        <v>1718</v>
      </c>
      <c r="AT1476" s="4" t="s">
        <v>1719</v>
      </c>
      <c r="AU1476" s="4" t="s">
        <v>1703</v>
      </c>
      <c r="AV1476" s="4" t="s">
        <v>1720</v>
      </c>
      <c r="AW1476" s="4" t="s">
        <v>1705</v>
      </c>
      <c r="AX1476" s="4" t="s">
        <v>1706</v>
      </c>
      <c r="AY1476" s="4">
        <v>49.2</v>
      </c>
      <c r="AZ1476" s="4">
        <v>-124.4</v>
      </c>
      <c r="BA1476" s="4">
        <v>7</v>
      </c>
    </row>
    <row r="1477" spans="2:53" ht="14.25" customHeight="1" x14ac:dyDescent="0.2">
      <c r="B1477" s="4">
        <v>12</v>
      </c>
      <c r="C1477" s="188" t="s">
        <v>1711</v>
      </c>
      <c r="D1477" s="188">
        <v>52</v>
      </c>
      <c r="E1477" s="4">
        <v>1642</v>
      </c>
      <c r="F1477" s="211" t="s">
        <v>1851</v>
      </c>
      <c r="G1477" s="4" t="s">
        <v>1852</v>
      </c>
      <c r="H1477" s="4" t="s">
        <v>1853</v>
      </c>
      <c r="I1477" s="4" t="s">
        <v>1664</v>
      </c>
      <c r="J1477" s="4" t="s">
        <v>1715</v>
      </c>
      <c r="K1477" s="4">
        <v>1</v>
      </c>
      <c r="L1477" s="4">
        <v>2045</v>
      </c>
      <c r="M1477" s="223"/>
      <c r="U1477"/>
      <c r="AK1477" s="260"/>
      <c r="AO1477" s="4" t="s">
        <v>1851</v>
      </c>
      <c r="AP1477" s="4">
        <v>52</v>
      </c>
      <c r="AQ1477" s="4" t="s">
        <v>1716</v>
      </c>
      <c r="AR1477" s="4" t="s">
        <v>1717</v>
      </c>
      <c r="AS1477" s="4" t="s">
        <v>1718</v>
      </c>
      <c r="AT1477" s="4" t="s">
        <v>1719</v>
      </c>
      <c r="AU1477" s="4" t="s">
        <v>1703</v>
      </c>
      <c r="AV1477" s="4" t="s">
        <v>1720</v>
      </c>
      <c r="AW1477" s="4" t="s">
        <v>1705</v>
      </c>
      <c r="AX1477" s="4" t="s">
        <v>1706</v>
      </c>
      <c r="AY1477" s="4">
        <v>49.3</v>
      </c>
      <c r="AZ1477" s="4">
        <v>-124.3</v>
      </c>
      <c r="BA1477" s="4">
        <v>1</v>
      </c>
    </row>
    <row r="1478" spans="2:53" ht="14.25" customHeight="1" x14ac:dyDescent="0.2">
      <c r="B1478" s="4">
        <v>12</v>
      </c>
      <c r="C1478" s="4" t="s">
        <v>1711</v>
      </c>
      <c r="D1478" s="188">
        <v>54</v>
      </c>
      <c r="E1478" s="4">
        <v>1644</v>
      </c>
      <c r="F1478" s="211" t="s">
        <v>1857</v>
      </c>
      <c r="G1478" s="4" t="s">
        <v>1858</v>
      </c>
      <c r="H1478" s="4" t="s">
        <v>1859</v>
      </c>
      <c r="I1478" s="4" t="s">
        <v>1664</v>
      </c>
      <c r="J1478" s="4" t="s">
        <v>1715</v>
      </c>
      <c r="K1478" s="4">
        <v>1</v>
      </c>
      <c r="L1478" s="4">
        <v>2047</v>
      </c>
      <c r="M1478" s="223"/>
      <c r="U1478"/>
      <c r="AK1478" s="260"/>
      <c r="AO1478" s="4" t="s">
        <v>1857</v>
      </c>
      <c r="AP1478" s="4">
        <v>54</v>
      </c>
      <c r="AQ1478" s="4" t="s">
        <v>1716</v>
      </c>
      <c r="AR1478" s="4" t="s">
        <v>1717</v>
      </c>
      <c r="AS1478" s="4" t="s">
        <v>1718</v>
      </c>
      <c r="AT1478" s="4" t="s">
        <v>1719</v>
      </c>
      <c r="AU1478" s="4" t="s">
        <v>1703</v>
      </c>
      <c r="AV1478" s="4" t="s">
        <v>1720</v>
      </c>
      <c r="AW1478" s="4" t="s">
        <v>1705</v>
      </c>
      <c r="AX1478" s="4" t="s">
        <v>1747</v>
      </c>
      <c r="AY1478" s="4">
        <v>48.8</v>
      </c>
      <c r="AZ1478" s="4">
        <v>-123.8</v>
      </c>
      <c r="BA1478" s="4">
        <v>1</v>
      </c>
    </row>
    <row r="1479" spans="2:53" ht="14.25" customHeight="1" x14ac:dyDescent="0.2">
      <c r="B1479" s="4">
        <v>12</v>
      </c>
      <c r="C1479" s="4" t="s">
        <v>1711</v>
      </c>
      <c r="D1479" s="188">
        <v>55</v>
      </c>
      <c r="E1479" s="4">
        <v>1645</v>
      </c>
      <c r="F1479" s="211" t="s">
        <v>1860</v>
      </c>
      <c r="G1479" s="4" t="s">
        <v>1861</v>
      </c>
      <c r="H1479" s="4" t="s">
        <v>1859</v>
      </c>
      <c r="I1479" s="4" t="s">
        <v>1664</v>
      </c>
      <c r="J1479" s="4" t="s">
        <v>1715</v>
      </c>
      <c r="K1479" s="4">
        <v>1</v>
      </c>
      <c r="L1479" s="4">
        <v>2048</v>
      </c>
      <c r="M1479" s="223"/>
      <c r="U1479"/>
      <c r="AK1479" s="260"/>
      <c r="AO1479" s="4" t="s">
        <v>1860</v>
      </c>
      <c r="AP1479" s="4">
        <v>55</v>
      </c>
      <c r="AQ1479" s="4" t="s">
        <v>1716</v>
      </c>
      <c r="AR1479" s="4" t="s">
        <v>1717</v>
      </c>
      <c r="AS1479" s="4" t="s">
        <v>1718</v>
      </c>
      <c r="AT1479" s="4" t="s">
        <v>1719</v>
      </c>
      <c r="AU1479" s="4" t="s">
        <v>1703</v>
      </c>
      <c r="AV1479" s="4" t="s">
        <v>1720</v>
      </c>
      <c r="AW1479" s="4" t="s">
        <v>1705</v>
      </c>
      <c r="AX1479" s="4" t="s">
        <v>1747</v>
      </c>
      <c r="AY1479" s="4">
        <v>48.9</v>
      </c>
      <c r="AZ1479" s="4">
        <v>-124.1</v>
      </c>
      <c r="BA1479" s="4">
        <v>7</v>
      </c>
    </row>
    <row r="1480" spans="2:53" ht="14.25" customHeight="1" x14ac:dyDescent="0.2">
      <c r="B1480" s="4">
        <v>12</v>
      </c>
      <c r="C1480" s="4" t="s">
        <v>1711</v>
      </c>
      <c r="D1480" s="188">
        <v>57</v>
      </c>
      <c r="E1480" s="4">
        <v>1647</v>
      </c>
      <c r="F1480" s="211" t="s">
        <v>1867</v>
      </c>
      <c r="G1480" s="4" t="s">
        <v>1868</v>
      </c>
      <c r="H1480" s="4" t="s">
        <v>1869</v>
      </c>
      <c r="I1480" s="4" t="s">
        <v>1664</v>
      </c>
      <c r="J1480" s="4" t="s">
        <v>1746</v>
      </c>
      <c r="K1480" s="4">
        <v>1</v>
      </c>
      <c r="L1480" s="4">
        <v>2050</v>
      </c>
      <c r="M1480" s="223"/>
      <c r="U1480"/>
      <c r="AK1480" s="260"/>
      <c r="AO1480" s="4" t="s">
        <v>1867</v>
      </c>
      <c r="AP1480" s="4">
        <v>57</v>
      </c>
      <c r="AQ1480" s="4" t="s">
        <v>1716</v>
      </c>
      <c r="AR1480" s="4" t="s">
        <v>1717</v>
      </c>
      <c r="AS1480" s="4" t="s">
        <v>1718</v>
      </c>
      <c r="AT1480" s="4" t="s">
        <v>1719</v>
      </c>
      <c r="AU1480" s="4" t="s">
        <v>1703</v>
      </c>
      <c r="AV1480" s="4" t="s">
        <v>1720</v>
      </c>
      <c r="AW1480" s="4" t="s">
        <v>1705</v>
      </c>
      <c r="AX1480" s="4" t="s">
        <v>1747</v>
      </c>
      <c r="AY1480" s="4">
        <v>48.9</v>
      </c>
      <c r="AZ1480" s="4">
        <v>-123.5</v>
      </c>
      <c r="BA1480" s="4">
        <v>1</v>
      </c>
    </row>
    <row r="1481" spans="2:53" ht="14.25" customHeight="1" x14ac:dyDescent="0.2">
      <c r="B1481" s="4">
        <v>12</v>
      </c>
      <c r="C1481" s="4" t="s">
        <v>1711</v>
      </c>
      <c r="D1481" s="188">
        <v>60</v>
      </c>
      <c r="E1481" s="4">
        <v>1649</v>
      </c>
      <c r="F1481" s="211" t="s">
        <v>1873</v>
      </c>
      <c r="G1481" s="4" t="s">
        <v>1874</v>
      </c>
      <c r="H1481" s="4" t="s">
        <v>1875</v>
      </c>
      <c r="I1481" s="4" t="s">
        <v>641</v>
      </c>
      <c r="J1481" s="4" t="s">
        <v>1715</v>
      </c>
      <c r="K1481" s="4">
        <v>1</v>
      </c>
      <c r="L1481" s="4">
        <v>2052</v>
      </c>
      <c r="M1481" s="223"/>
      <c r="U1481"/>
      <c r="AK1481" s="260"/>
      <c r="AO1481" s="4" t="s">
        <v>1873</v>
      </c>
      <c r="AP1481" s="4">
        <v>60</v>
      </c>
      <c r="AQ1481" s="4" t="s">
        <v>1716</v>
      </c>
      <c r="AR1481" s="4" t="s">
        <v>1717</v>
      </c>
      <c r="AS1481" s="4" t="s">
        <v>1718</v>
      </c>
      <c r="AT1481" s="4" t="s">
        <v>1703</v>
      </c>
      <c r="AU1481" s="4" t="s">
        <v>1703</v>
      </c>
      <c r="AV1481" s="4" t="s">
        <v>1720</v>
      </c>
      <c r="AW1481" s="4" t="s">
        <v>1705</v>
      </c>
      <c r="AX1481" s="4" t="s">
        <v>1747</v>
      </c>
      <c r="AY1481" s="4">
        <v>48.778300000000002</v>
      </c>
      <c r="AZ1481" s="4">
        <v>-123.4533</v>
      </c>
      <c r="BA1481" s="4">
        <v>150</v>
      </c>
    </row>
    <row r="1482" spans="2:53" ht="14.25" customHeight="1" x14ac:dyDescent="0.2">
      <c r="B1482" s="4">
        <v>12</v>
      </c>
      <c r="C1482" s="4" t="s">
        <v>1711</v>
      </c>
      <c r="D1482" s="188">
        <v>63</v>
      </c>
      <c r="E1482" s="4">
        <v>1650</v>
      </c>
      <c r="F1482" s="211" t="s">
        <v>1876</v>
      </c>
      <c r="G1482" s="4" t="s">
        <v>1877</v>
      </c>
      <c r="H1482" s="4" t="s">
        <v>1878</v>
      </c>
      <c r="I1482" s="4" t="s">
        <v>641</v>
      </c>
      <c r="J1482" s="4" t="s">
        <v>1715</v>
      </c>
      <c r="K1482" s="4">
        <v>1</v>
      </c>
      <c r="L1482" s="4">
        <v>2053</v>
      </c>
      <c r="M1482" s="223"/>
      <c r="U1482"/>
      <c r="AK1482" s="260"/>
      <c r="AO1482" s="4" t="s">
        <v>1876</v>
      </c>
      <c r="AP1482" s="4">
        <v>63</v>
      </c>
      <c r="AQ1482" s="4" t="s">
        <v>1716</v>
      </c>
      <c r="AR1482" s="4" t="s">
        <v>1717</v>
      </c>
      <c r="AS1482" s="4" t="s">
        <v>1718</v>
      </c>
      <c r="AT1482" s="4" t="s">
        <v>1703</v>
      </c>
      <c r="AU1482" s="4" t="s">
        <v>1703</v>
      </c>
      <c r="AV1482" s="4" t="s">
        <v>1720</v>
      </c>
      <c r="AW1482" s="4" t="s">
        <v>1705</v>
      </c>
      <c r="AX1482" s="4" t="s">
        <v>1879</v>
      </c>
      <c r="AY1482" s="4">
        <v>50.116700000000002</v>
      </c>
      <c r="AZ1482" s="4">
        <v>-123.3967</v>
      </c>
      <c r="BA1482" s="4">
        <v>200</v>
      </c>
    </row>
    <row r="1483" spans="2:53" ht="14.25" customHeight="1" x14ac:dyDescent="0.2">
      <c r="B1483" s="4">
        <v>12</v>
      </c>
      <c r="C1483" s="4" t="s">
        <v>1711</v>
      </c>
      <c r="D1483" s="188">
        <v>65</v>
      </c>
      <c r="E1483" s="4">
        <v>1651</v>
      </c>
      <c r="F1483" s="211" t="s">
        <v>1880</v>
      </c>
      <c r="G1483" s="4" t="s">
        <v>1881</v>
      </c>
      <c r="H1483" s="4" t="s">
        <v>1882</v>
      </c>
      <c r="I1483" s="4" t="s">
        <v>1664</v>
      </c>
      <c r="J1483" s="4" t="s">
        <v>1715</v>
      </c>
      <c r="K1483" s="4">
        <v>1</v>
      </c>
      <c r="L1483" s="4">
        <v>2054</v>
      </c>
      <c r="M1483" s="223"/>
      <c r="U1483"/>
      <c r="AK1483" s="260"/>
      <c r="AO1483" s="4" t="s">
        <v>1880</v>
      </c>
      <c r="AP1483" s="4">
        <v>65</v>
      </c>
      <c r="AQ1483" s="4" t="s">
        <v>1716</v>
      </c>
      <c r="AR1483" s="4" t="s">
        <v>1717</v>
      </c>
      <c r="AS1483" s="4" t="s">
        <v>1718</v>
      </c>
      <c r="AT1483" s="4" t="s">
        <v>1719</v>
      </c>
      <c r="AU1483" s="4" t="s">
        <v>1703</v>
      </c>
      <c r="AV1483" s="4" t="s">
        <v>1720</v>
      </c>
      <c r="AW1483" s="4" t="s">
        <v>1705</v>
      </c>
      <c r="AX1483" s="4" t="s">
        <v>1883</v>
      </c>
      <c r="AY1483" s="4">
        <v>49.4</v>
      </c>
      <c r="AZ1483" s="4">
        <v>-123.1</v>
      </c>
      <c r="BA1483" s="4">
        <v>11</v>
      </c>
    </row>
    <row r="1484" spans="2:53" ht="14.25" customHeight="1" x14ac:dyDescent="0.2">
      <c r="B1484" s="4">
        <v>12</v>
      </c>
      <c r="C1484" s="4" t="s">
        <v>1711</v>
      </c>
      <c r="D1484" s="188">
        <v>66</v>
      </c>
      <c r="E1484" s="4">
        <v>1652</v>
      </c>
      <c r="F1484" s="4" t="s">
        <v>1884</v>
      </c>
      <c r="G1484" s="201" t="s">
        <v>1885</v>
      </c>
      <c r="H1484" s="4" t="s">
        <v>1886</v>
      </c>
      <c r="I1484" s="4" t="s">
        <v>641</v>
      </c>
      <c r="J1484" s="4" t="s">
        <v>1715</v>
      </c>
      <c r="K1484" s="4">
        <v>1</v>
      </c>
      <c r="L1484" s="4">
        <v>2055</v>
      </c>
      <c r="M1484" s="6"/>
      <c r="N1484" s="9"/>
      <c r="O1484" s="9"/>
      <c r="P1484" s="9"/>
      <c r="Q1484" s="20"/>
      <c r="R1484" s="9"/>
      <c r="S1484" s="9"/>
      <c r="T1484" s="9"/>
      <c r="U1484" s="9"/>
      <c r="V1484" s="9"/>
      <c r="W1484" s="21"/>
      <c r="X1484" s="9"/>
      <c r="AK1484" s="260"/>
      <c r="AO1484" s="4" t="s">
        <v>1887</v>
      </c>
      <c r="AP1484" s="4">
        <v>66</v>
      </c>
      <c r="AQ1484" s="4" t="s">
        <v>1716</v>
      </c>
      <c r="AR1484" s="4" t="s">
        <v>1717</v>
      </c>
      <c r="AS1484" s="4" t="s">
        <v>1718</v>
      </c>
      <c r="AT1484" s="4" t="s">
        <v>1835</v>
      </c>
      <c r="AU1484" s="4" t="s">
        <v>1836</v>
      </c>
      <c r="AV1484" s="4" t="s">
        <v>1720</v>
      </c>
      <c r="AW1484" s="4" t="s">
        <v>1705</v>
      </c>
      <c r="AX1484" s="4" t="s">
        <v>1883</v>
      </c>
      <c r="AY1484" s="4">
        <v>49.691000000000003</v>
      </c>
      <c r="AZ1484" s="4">
        <v>-121.8596</v>
      </c>
      <c r="BA1484" s="4">
        <v>152</v>
      </c>
    </row>
    <row r="1485" spans="2:53" ht="14.25" customHeight="1" x14ac:dyDescent="0.2">
      <c r="B1485" s="4">
        <v>12</v>
      </c>
      <c r="C1485" s="4" t="s">
        <v>1711</v>
      </c>
      <c r="D1485" s="188">
        <v>68</v>
      </c>
      <c r="E1485" s="4">
        <v>1654</v>
      </c>
      <c r="F1485" s="211" t="s">
        <v>1892</v>
      </c>
      <c r="G1485" s="4" t="s">
        <v>1893</v>
      </c>
      <c r="H1485" s="4" t="s">
        <v>1894</v>
      </c>
      <c r="I1485" s="4" t="s">
        <v>641</v>
      </c>
      <c r="J1485" s="4" t="s">
        <v>1715</v>
      </c>
      <c r="K1485" s="4">
        <v>1</v>
      </c>
      <c r="L1485" s="4">
        <v>2057</v>
      </c>
      <c r="M1485" s="223"/>
      <c r="U1485"/>
      <c r="AK1485" s="260"/>
      <c r="AO1485" s="4" t="s">
        <v>1892</v>
      </c>
      <c r="AP1485" s="4">
        <v>68</v>
      </c>
      <c r="AQ1485" s="4" t="s">
        <v>1716</v>
      </c>
      <c r="AR1485" s="4" t="s">
        <v>1717</v>
      </c>
      <c r="AS1485" s="4" t="s">
        <v>1718</v>
      </c>
      <c r="AT1485" s="4" t="s">
        <v>1703</v>
      </c>
      <c r="AU1485" s="4" t="s">
        <v>1703</v>
      </c>
      <c r="AV1485" s="4" t="s">
        <v>1720</v>
      </c>
      <c r="AW1485" s="4" t="s">
        <v>1705</v>
      </c>
      <c r="AX1485" s="4" t="s">
        <v>1883</v>
      </c>
      <c r="AY1485" s="4">
        <v>49.701700000000002</v>
      </c>
      <c r="AZ1485" s="4">
        <v>-122.7</v>
      </c>
      <c r="BA1485" s="4">
        <v>401</v>
      </c>
    </row>
    <row r="1486" spans="2:53" ht="14.25" customHeight="1" x14ac:dyDescent="0.2">
      <c r="B1486" s="4">
        <v>12</v>
      </c>
      <c r="C1486" s="4" t="s">
        <v>1711</v>
      </c>
      <c r="D1486" s="188">
        <v>73</v>
      </c>
      <c r="E1486" s="4">
        <v>1657</v>
      </c>
      <c r="F1486" s="211" t="s">
        <v>1905</v>
      </c>
      <c r="G1486" s="4" t="s">
        <v>1906</v>
      </c>
      <c r="H1486" s="4" t="s">
        <v>1907</v>
      </c>
      <c r="I1486" s="4" t="s">
        <v>1664</v>
      </c>
      <c r="J1486" s="4" t="s">
        <v>1715</v>
      </c>
      <c r="K1486" s="4">
        <v>1</v>
      </c>
      <c r="L1486" s="4">
        <v>2060</v>
      </c>
      <c r="M1486" s="223"/>
      <c r="U1486"/>
      <c r="AK1486" s="260"/>
      <c r="AO1486" s="4" t="s">
        <v>1905</v>
      </c>
      <c r="AP1486" s="4">
        <v>73</v>
      </c>
      <c r="AQ1486" s="4" t="s">
        <v>1716</v>
      </c>
      <c r="AR1486" s="4" t="s">
        <v>1717</v>
      </c>
      <c r="AS1486" s="4" t="s">
        <v>1718</v>
      </c>
      <c r="AT1486" s="4" t="s">
        <v>1719</v>
      </c>
      <c r="AU1486" s="4" t="s">
        <v>1703</v>
      </c>
      <c r="AV1486" s="4" t="s">
        <v>1720</v>
      </c>
      <c r="AW1486" s="4" t="s">
        <v>1705</v>
      </c>
      <c r="AX1486" s="4" t="s">
        <v>1883</v>
      </c>
      <c r="AY1486" s="4">
        <v>49.2</v>
      </c>
      <c r="AZ1486" s="4">
        <v>-122.3</v>
      </c>
      <c r="BA1486" s="4">
        <v>5</v>
      </c>
    </row>
    <row r="1487" spans="2:53" ht="14.25" customHeight="1" x14ac:dyDescent="0.2">
      <c r="B1487" s="4">
        <v>12</v>
      </c>
      <c r="C1487" s="4" t="s">
        <v>1711</v>
      </c>
      <c r="D1487" s="4">
        <v>76</v>
      </c>
      <c r="E1487" s="4">
        <v>1660</v>
      </c>
      <c r="F1487" s="211" t="s">
        <v>1916</v>
      </c>
      <c r="G1487" s="4" t="s">
        <v>1917</v>
      </c>
      <c r="H1487" s="4" t="s">
        <v>1714</v>
      </c>
      <c r="I1487" s="4" t="s">
        <v>1664</v>
      </c>
      <c r="J1487" s="4" t="s">
        <v>1715</v>
      </c>
      <c r="K1487" s="4">
        <v>1</v>
      </c>
      <c r="L1487" s="4">
        <v>2063</v>
      </c>
      <c r="M1487" s="223"/>
      <c r="U1487"/>
      <c r="AK1487" s="260"/>
      <c r="AO1487" s="4" t="s">
        <v>1916</v>
      </c>
      <c r="AP1487" s="4">
        <v>76</v>
      </c>
      <c r="AQ1487" s="4" t="s">
        <v>1716</v>
      </c>
      <c r="AR1487" s="4" t="s">
        <v>1717</v>
      </c>
      <c r="AS1487" s="4" t="s">
        <v>1718</v>
      </c>
      <c r="AT1487" s="4" t="s">
        <v>1719</v>
      </c>
      <c r="AU1487" s="4" t="s">
        <v>1703</v>
      </c>
      <c r="AV1487" s="4" t="s">
        <v>1720</v>
      </c>
      <c r="AW1487" s="4" t="s">
        <v>1705</v>
      </c>
      <c r="AX1487" s="4" t="s">
        <v>1879</v>
      </c>
      <c r="AY1487" s="4">
        <v>49.7</v>
      </c>
      <c r="AZ1487" s="4">
        <v>-123.1</v>
      </c>
      <c r="BA1487" s="4">
        <v>0</v>
      </c>
    </row>
    <row r="1488" spans="2:53" ht="14.25" customHeight="1" x14ac:dyDescent="0.2">
      <c r="B1488" s="4">
        <v>12</v>
      </c>
      <c r="C1488" s="4" t="s">
        <v>1711</v>
      </c>
      <c r="D1488" s="188">
        <v>78</v>
      </c>
      <c r="E1488" s="4">
        <v>1661</v>
      </c>
      <c r="F1488" s="211" t="s">
        <v>1918</v>
      </c>
      <c r="G1488" s="4" t="s">
        <v>1919</v>
      </c>
      <c r="H1488" s="4" t="s">
        <v>1920</v>
      </c>
      <c r="I1488" s="4" t="s">
        <v>1664</v>
      </c>
      <c r="J1488" s="4" t="s">
        <v>1715</v>
      </c>
      <c r="K1488" s="4">
        <v>1</v>
      </c>
      <c r="L1488" s="4">
        <v>2064</v>
      </c>
      <c r="M1488" s="223"/>
      <c r="U1488"/>
      <c r="AK1488" s="260"/>
      <c r="AO1488" s="4" t="s">
        <v>1918</v>
      </c>
      <c r="AP1488" s="4">
        <v>78</v>
      </c>
      <c r="AQ1488" s="4" t="s">
        <v>1716</v>
      </c>
      <c r="AR1488" s="4" t="s">
        <v>1717</v>
      </c>
      <c r="AS1488" s="4" t="s">
        <v>1718</v>
      </c>
      <c r="AT1488" s="4" t="s">
        <v>1719</v>
      </c>
      <c r="AU1488" s="4" t="s">
        <v>1703</v>
      </c>
      <c r="AV1488" s="4" t="s">
        <v>1720</v>
      </c>
      <c r="AW1488" s="4" t="s">
        <v>1705</v>
      </c>
      <c r="AX1488" s="4" t="s">
        <v>1879</v>
      </c>
      <c r="AY1488" s="4">
        <v>50.2</v>
      </c>
      <c r="AZ1488" s="4">
        <v>-123.6</v>
      </c>
      <c r="BA1488" s="4">
        <v>5</v>
      </c>
    </row>
    <row r="1489" spans="2:53" ht="14.25" customHeight="1" x14ac:dyDescent="0.2">
      <c r="B1489" s="4">
        <v>12</v>
      </c>
      <c r="C1489" s="4" t="s">
        <v>1711</v>
      </c>
      <c r="D1489" s="4">
        <v>79</v>
      </c>
      <c r="E1489" s="4">
        <v>1662</v>
      </c>
      <c r="F1489" s="211" t="s">
        <v>1921</v>
      </c>
      <c r="G1489" s="4" t="s">
        <v>1922</v>
      </c>
      <c r="H1489" s="4" t="s">
        <v>1714</v>
      </c>
      <c r="I1489" s="4" t="s">
        <v>1664</v>
      </c>
      <c r="J1489" s="4" t="s">
        <v>1715</v>
      </c>
      <c r="K1489" s="4">
        <v>1</v>
      </c>
      <c r="L1489" s="4">
        <v>2065</v>
      </c>
      <c r="M1489" s="223"/>
      <c r="U1489"/>
      <c r="AK1489" s="260"/>
      <c r="AO1489" s="4" t="s">
        <v>1921</v>
      </c>
      <c r="AP1489" s="4">
        <v>79</v>
      </c>
      <c r="AQ1489" s="4" t="s">
        <v>1716</v>
      </c>
      <c r="AR1489" s="4" t="s">
        <v>1717</v>
      </c>
      <c r="AS1489" s="4" t="s">
        <v>1718</v>
      </c>
      <c r="AT1489" s="4" t="s">
        <v>1719</v>
      </c>
      <c r="AU1489" s="4" t="s">
        <v>1703</v>
      </c>
      <c r="AV1489" s="4" t="s">
        <v>1720</v>
      </c>
      <c r="AW1489" s="4" t="s">
        <v>1705</v>
      </c>
      <c r="AX1489" s="4" t="s">
        <v>1710</v>
      </c>
      <c r="AY1489" s="4">
        <v>51.1</v>
      </c>
      <c r="AZ1489" s="4">
        <v>-125.6</v>
      </c>
      <c r="BA1489" s="4">
        <v>0</v>
      </c>
    </row>
    <row r="1490" spans="2:53" ht="14.25" customHeight="1" x14ac:dyDescent="0.2">
      <c r="B1490" s="4">
        <v>12</v>
      </c>
      <c r="C1490" s="188" t="s">
        <v>1711</v>
      </c>
      <c r="D1490" s="188">
        <v>80</v>
      </c>
      <c r="E1490" s="4">
        <v>1663</v>
      </c>
      <c r="F1490" s="211" t="s">
        <v>1923</v>
      </c>
      <c r="G1490" s="188" t="s">
        <v>1924</v>
      </c>
      <c r="H1490" s="4" t="s">
        <v>1794</v>
      </c>
      <c r="I1490" s="4" t="s">
        <v>1664</v>
      </c>
      <c r="J1490" s="4" t="s">
        <v>1715</v>
      </c>
      <c r="K1490" s="4">
        <v>1</v>
      </c>
      <c r="L1490" s="4">
        <v>2066</v>
      </c>
      <c r="M1490" s="223"/>
      <c r="U1490"/>
      <c r="AK1490" s="260"/>
      <c r="AO1490" s="4" t="s">
        <v>1923</v>
      </c>
      <c r="AP1490" s="4">
        <v>80</v>
      </c>
      <c r="AQ1490" s="4" t="s">
        <v>1716</v>
      </c>
      <c r="AR1490" s="4" t="s">
        <v>1717</v>
      </c>
      <c r="AS1490" s="4" t="s">
        <v>1718</v>
      </c>
      <c r="AT1490" s="4" t="s">
        <v>1719</v>
      </c>
      <c r="AU1490" s="4" t="s">
        <v>1703</v>
      </c>
      <c r="AV1490" s="4" t="s">
        <v>1720</v>
      </c>
      <c r="AW1490" s="4" t="s">
        <v>1705</v>
      </c>
      <c r="AX1490" s="4" t="s">
        <v>1837</v>
      </c>
      <c r="AY1490" s="4">
        <v>50.2</v>
      </c>
      <c r="AZ1490" s="4">
        <v>-125.1</v>
      </c>
      <c r="BA1490" s="4">
        <v>0</v>
      </c>
    </row>
    <row r="1491" spans="2:53" ht="14.25" customHeight="1" x14ac:dyDescent="0.2">
      <c r="B1491" s="4">
        <v>12</v>
      </c>
      <c r="C1491" s="4" t="s">
        <v>1711</v>
      </c>
      <c r="D1491" s="188">
        <v>81</v>
      </c>
      <c r="E1491" s="4">
        <v>1664</v>
      </c>
      <c r="F1491" s="211" t="s">
        <v>1925</v>
      </c>
      <c r="G1491" s="4" t="s">
        <v>1926</v>
      </c>
      <c r="H1491" s="4" t="s">
        <v>1800</v>
      </c>
      <c r="I1491" s="4" t="s">
        <v>1664</v>
      </c>
      <c r="J1491" s="4" t="s">
        <v>1715</v>
      </c>
      <c r="K1491" s="4">
        <v>1</v>
      </c>
      <c r="L1491" s="4">
        <v>2067</v>
      </c>
      <c r="M1491" s="223"/>
      <c r="U1491"/>
      <c r="AK1491" s="260"/>
      <c r="AO1491" s="4" t="s">
        <v>1925</v>
      </c>
      <c r="AP1491" s="4">
        <v>81</v>
      </c>
      <c r="AQ1491" s="4" t="s">
        <v>1716</v>
      </c>
      <c r="AR1491" s="4" t="s">
        <v>1717</v>
      </c>
      <c r="AS1491" s="4" t="s">
        <v>1718</v>
      </c>
      <c r="AT1491" s="4" t="s">
        <v>1719</v>
      </c>
      <c r="AU1491" s="4" t="s">
        <v>1703</v>
      </c>
      <c r="AV1491" s="4" t="s">
        <v>1720</v>
      </c>
      <c r="AW1491" s="4" t="s">
        <v>1705</v>
      </c>
      <c r="AX1491" s="4" t="s">
        <v>1837</v>
      </c>
      <c r="AY1491" s="4">
        <v>50.3</v>
      </c>
      <c r="AZ1491" s="4">
        <v>-124.3</v>
      </c>
      <c r="BA1491" s="4">
        <v>0</v>
      </c>
    </row>
    <row r="1492" spans="2:53" ht="14.25" customHeight="1" x14ac:dyDescent="0.2">
      <c r="B1492" s="4">
        <v>12</v>
      </c>
      <c r="C1492" s="188" t="s">
        <v>1711</v>
      </c>
      <c r="D1492" s="188">
        <v>84</v>
      </c>
      <c r="E1492" s="4">
        <v>1666</v>
      </c>
      <c r="F1492" s="211" t="s">
        <v>1932</v>
      </c>
      <c r="G1492" s="4" t="s">
        <v>1933</v>
      </c>
      <c r="H1492" s="4" t="s">
        <v>1934</v>
      </c>
      <c r="I1492" s="188" t="s">
        <v>1664</v>
      </c>
      <c r="J1492" s="4" t="s">
        <v>1746</v>
      </c>
      <c r="K1492" s="4">
        <v>1</v>
      </c>
      <c r="L1492" s="4">
        <v>2069</v>
      </c>
      <c r="M1492" s="223"/>
      <c r="U1492"/>
      <c r="AK1492" s="260"/>
      <c r="AO1492" s="4" t="s">
        <v>1932</v>
      </c>
      <c r="AP1492" s="4">
        <v>84</v>
      </c>
      <c r="AQ1492" s="4" t="s">
        <v>1716</v>
      </c>
      <c r="AR1492" s="4" t="s">
        <v>1717</v>
      </c>
      <c r="AS1492" s="4" t="s">
        <v>1718</v>
      </c>
      <c r="AT1492" s="4" t="s">
        <v>1719</v>
      </c>
      <c r="AU1492" s="4" t="s">
        <v>1703</v>
      </c>
      <c r="AV1492" s="4" t="s">
        <v>1720</v>
      </c>
      <c r="AW1492" s="4" t="s">
        <v>1705</v>
      </c>
      <c r="AX1492" s="4" t="s">
        <v>1723</v>
      </c>
      <c r="AY1492" s="4">
        <v>50.7</v>
      </c>
      <c r="AZ1492" s="4">
        <v>-125.2</v>
      </c>
      <c r="BA1492" s="4">
        <v>7</v>
      </c>
    </row>
    <row r="1493" spans="2:53" ht="14.25" customHeight="1" x14ac:dyDescent="0.2">
      <c r="B1493" s="4">
        <v>12</v>
      </c>
      <c r="C1493" s="4" t="s">
        <v>1711</v>
      </c>
      <c r="D1493" s="188">
        <v>85</v>
      </c>
      <c r="E1493" s="4">
        <v>1667</v>
      </c>
      <c r="F1493" s="211" t="s">
        <v>1935</v>
      </c>
      <c r="G1493" s="4" t="s">
        <v>1936</v>
      </c>
      <c r="H1493" s="4" t="s">
        <v>1937</v>
      </c>
      <c r="I1493" s="4" t="s">
        <v>641</v>
      </c>
      <c r="J1493" s="4" t="s">
        <v>1715</v>
      </c>
      <c r="K1493" s="4">
        <v>1</v>
      </c>
      <c r="L1493" s="4">
        <v>2070</v>
      </c>
      <c r="M1493" s="223"/>
      <c r="U1493"/>
      <c r="AK1493" s="260"/>
      <c r="AO1493" s="4" t="s">
        <v>1935</v>
      </c>
      <c r="AP1493" s="4">
        <v>85</v>
      </c>
      <c r="AQ1493" s="4" t="s">
        <v>1716</v>
      </c>
      <c r="AR1493" s="4" t="s">
        <v>1717</v>
      </c>
      <c r="AS1493" s="4" t="s">
        <v>1718</v>
      </c>
      <c r="AT1493" s="4" t="s">
        <v>1703</v>
      </c>
      <c r="AU1493" s="4" t="s">
        <v>1703</v>
      </c>
      <c r="AV1493" s="4" t="s">
        <v>1720</v>
      </c>
      <c r="AW1493" s="4" t="s">
        <v>1705</v>
      </c>
      <c r="AX1493" s="4" t="s">
        <v>1837</v>
      </c>
      <c r="AY1493" s="4">
        <v>49.756700000000002</v>
      </c>
      <c r="AZ1493" s="4">
        <v>-123.50830000000001</v>
      </c>
      <c r="BA1493" s="4">
        <v>18</v>
      </c>
    </row>
    <row r="1494" spans="2:53" ht="14.25" customHeight="1" x14ac:dyDescent="0.2">
      <c r="B1494" s="4">
        <v>12</v>
      </c>
      <c r="C1494" s="4" t="s">
        <v>1711</v>
      </c>
      <c r="D1494" s="188">
        <v>87</v>
      </c>
      <c r="E1494" s="4">
        <v>1669</v>
      </c>
      <c r="F1494" s="211" t="s">
        <v>1941</v>
      </c>
      <c r="G1494" s="4" t="s">
        <v>1942</v>
      </c>
      <c r="H1494" s="4" t="s">
        <v>1943</v>
      </c>
      <c r="I1494" s="4" t="s">
        <v>641</v>
      </c>
      <c r="J1494" s="4" t="s">
        <v>1715</v>
      </c>
      <c r="K1494" s="4">
        <v>1</v>
      </c>
      <c r="L1494" s="4">
        <v>2072</v>
      </c>
      <c r="M1494" s="223"/>
      <c r="U1494"/>
      <c r="AK1494" s="260"/>
      <c r="AO1494" s="4" t="s">
        <v>1941</v>
      </c>
      <c r="AP1494" s="4">
        <v>87</v>
      </c>
      <c r="AQ1494" s="4" t="s">
        <v>1716</v>
      </c>
      <c r="AR1494" s="4" t="s">
        <v>1717</v>
      </c>
      <c r="AS1494" s="4" t="s">
        <v>1718</v>
      </c>
      <c r="AT1494" s="4" t="s">
        <v>1703</v>
      </c>
      <c r="AU1494" s="4" t="s">
        <v>1703</v>
      </c>
      <c r="AV1494" s="4" t="s">
        <v>1720</v>
      </c>
      <c r="AW1494" s="4" t="s">
        <v>1705</v>
      </c>
      <c r="AX1494" s="4" t="s">
        <v>1710</v>
      </c>
      <c r="AY1494" s="4">
        <v>50.8</v>
      </c>
      <c r="AZ1494" s="4">
        <v>-125.8</v>
      </c>
      <c r="BA1494" s="4">
        <v>300</v>
      </c>
    </row>
    <row r="1495" spans="2:53" ht="14.25" customHeight="1" x14ac:dyDescent="0.2">
      <c r="B1495" s="4">
        <v>12</v>
      </c>
      <c r="C1495" s="4" t="s">
        <v>1711</v>
      </c>
      <c r="D1495" s="188">
        <v>91</v>
      </c>
      <c r="E1495" s="4">
        <v>1670</v>
      </c>
      <c r="F1495" s="211" t="s">
        <v>1949</v>
      </c>
      <c r="G1495" s="4" t="s">
        <v>1950</v>
      </c>
      <c r="H1495" s="4" t="s">
        <v>1951</v>
      </c>
      <c r="I1495" s="4" t="s">
        <v>1664</v>
      </c>
      <c r="J1495" s="4" t="s">
        <v>1715</v>
      </c>
      <c r="K1495" s="4">
        <v>1</v>
      </c>
      <c r="L1495" s="4">
        <v>2073</v>
      </c>
      <c r="M1495" s="223"/>
      <c r="U1495"/>
      <c r="AK1495" s="260"/>
      <c r="AO1495" s="4" t="s">
        <v>1949</v>
      </c>
      <c r="AP1495" s="4">
        <v>91</v>
      </c>
      <c r="AQ1495" s="4" t="s">
        <v>1716</v>
      </c>
      <c r="AR1495" s="4" t="s">
        <v>1717</v>
      </c>
      <c r="AS1495" s="4" t="s">
        <v>1718</v>
      </c>
      <c r="AT1495" s="4" t="s">
        <v>1719</v>
      </c>
      <c r="AU1495" s="4" t="s">
        <v>1703</v>
      </c>
      <c r="AV1495" s="4" t="s">
        <v>1720</v>
      </c>
      <c r="AW1495" s="4" t="s">
        <v>1705</v>
      </c>
      <c r="AX1495" s="4" t="s">
        <v>1952</v>
      </c>
      <c r="AY1495" s="4">
        <v>53.7</v>
      </c>
      <c r="AZ1495" s="4">
        <v>-132.30000000000001</v>
      </c>
      <c r="BA1495" s="4">
        <v>0</v>
      </c>
    </row>
    <row r="1496" spans="2:53" ht="14.25" customHeight="1" x14ac:dyDescent="0.2">
      <c r="B1496" s="4">
        <v>12</v>
      </c>
      <c r="C1496" s="4" t="s">
        <v>1711</v>
      </c>
      <c r="D1496" s="188">
        <v>97</v>
      </c>
      <c r="E1496" s="4">
        <v>1672</v>
      </c>
      <c r="F1496" s="211" t="s">
        <v>1956</v>
      </c>
      <c r="G1496" s="4" t="s">
        <v>1957</v>
      </c>
      <c r="H1496" s="4" t="s">
        <v>1958</v>
      </c>
      <c r="I1496" s="4" t="s">
        <v>641</v>
      </c>
      <c r="J1496" s="4" t="s">
        <v>1715</v>
      </c>
      <c r="K1496" s="4">
        <v>1</v>
      </c>
      <c r="L1496" s="4">
        <v>2075</v>
      </c>
      <c r="M1496" s="223"/>
      <c r="U1496"/>
      <c r="AK1496" s="260"/>
      <c r="AO1496" s="4" t="s">
        <v>1956</v>
      </c>
      <c r="AP1496" s="4">
        <v>97</v>
      </c>
      <c r="AQ1496" s="4" t="s">
        <v>1716</v>
      </c>
      <c r="AR1496" s="4" t="s">
        <v>1717</v>
      </c>
      <c r="AS1496" s="4" t="s">
        <v>1718</v>
      </c>
      <c r="AT1496" s="4" t="s">
        <v>1719</v>
      </c>
      <c r="AU1496" s="4" t="s">
        <v>1959</v>
      </c>
      <c r="AV1496" s="4" t="s">
        <v>1720</v>
      </c>
      <c r="AW1496" s="4" t="s">
        <v>1947</v>
      </c>
      <c r="AX1496" s="4" t="s">
        <v>1952</v>
      </c>
      <c r="AY1496" s="4">
        <v>53.15</v>
      </c>
      <c r="AZ1496" s="4">
        <v>-131.86000000000001</v>
      </c>
      <c r="BA1496" s="4">
        <v>287</v>
      </c>
    </row>
    <row r="1497" spans="2:53" ht="14.25" customHeight="1" x14ac:dyDescent="0.2">
      <c r="B1497" s="4">
        <v>12</v>
      </c>
      <c r="C1497" s="4" t="s">
        <v>1711</v>
      </c>
      <c r="D1497" s="188">
        <v>98</v>
      </c>
      <c r="E1497" s="4">
        <v>1673</v>
      </c>
      <c r="F1497" s="211" t="s">
        <v>1960</v>
      </c>
      <c r="G1497" s="4" t="s">
        <v>1961</v>
      </c>
      <c r="H1497" s="4" t="s">
        <v>1962</v>
      </c>
      <c r="I1497" s="4" t="s">
        <v>641</v>
      </c>
      <c r="J1497" s="4" t="s">
        <v>1715</v>
      </c>
      <c r="K1497" s="4">
        <v>1</v>
      </c>
      <c r="L1497" s="4">
        <v>2076</v>
      </c>
      <c r="M1497" s="223"/>
      <c r="U1497"/>
      <c r="AK1497" s="260"/>
      <c r="AO1497" s="4" t="s">
        <v>1960</v>
      </c>
      <c r="AP1497" s="4">
        <v>98</v>
      </c>
      <c r="AQ1497" s="4" t="s">
        <v>1716</v>
      </c>
      <c r="AR1497" s="4" t="s">
        <v>1717</v>
      </c>
      <c r="AS1497" s="4" t="s">
        <v>1718</v>
      </c>
      <c r="AT1497" s="4" t="s">
        <v>1703</v>
      </c>
      <c r="AU1497" s="4" t="s">
        <v>1703</v>
      </c>
      <c r="AV1497" s="4" t="s">
        <v>1720</v>
      </c>
      <c r="AW1497" s="4" t="s">
        <v>1947</v>
      </c>
      <c r="AX1497" s="4" t="s">
        <v>1948</v>
      </c>
      <c r="AY1497" s="4">
        <v>55.458300000000001</v>
      </c>
      <c r="AZ1497" s="4">
        <v>-129.47499999999999</v>
      </c>
      <c r="BA1497" s="4">
        <v>100</v>
      </c>
    </row>
    <row r="1498" spans="2:53" ht="14.25" customHeight="1" x14ac:dyDescent="0.2">
      <c r="B1498" s="4">
        <v>12</v>
      </c>
      <c r="C1498" s="4" t="s">
        <v>1711</v>
      </c>
      <c r="D1498" s="188">
        <v>99</v>
      </c>
      <c r="E1498" s="4">
        <v>1674</v>
      </c>
      <c r="F1498" s="211" t="s">
        <v>1963</v>
      </c>
      <c r="G1498" s="4" t="s">
        <v>1964</v>
      </c>
      <c r="H1498" s="4" t="s">
        <v>1714</v>
      </c>
      <c r="I1498" s="4" t="s">
        <v>1664</v>
      </c>
      <c r="J1498" s="4" t="s">
        <v>1715</v>
      </c>
      <c r="K1498" s="4">
        <v>1</v>
      </c>
      <c r="L1498" s="4">
        <v>2077</v>
      </c>
      <c r="M1498" s="223"/>
      <c r="U1498"/>
      <c r="AK1498" s="260"/>
      <c r="AO1498" s="4" t="s">
        <v>1963</v>
      </c>
      <c r="AP1498" s="4">
        <v>99</v>
      </c>
      <c r="AQ1498" s="4" t="s">
        <v>1716</v>
      </c>
      <c r="AR1498" s="4" t="s">
        <v>1717</v>
      </c>
      <c r="AS1498" s="4" t="s">
        <v>1718</v>
      </c>
      <c r="AT1498" s="4" t="s">
        <v>1719</v>
      </c>
      <c r="AU1498" s="4" t="s">
        <v>1703</v>
      </c>
      <c r="AV1498" s="4" t="s">
        <v>1720</v>
      </c>
      <c r="AW1498" s="4" t="s">
        <v>1705</v>
      </c>
      <c r="AX1498" s="4" t="s">
        <v>1965</v>
      </c>
      <c r="AY1498" s="4">
        <v>52.5</v>
      </c>
      <c r="AZ1498" s="4">
        <v>-126.3</v>
      </c>
      <c r="BA1498" s="4">
        <v>0</v>
      </c>
    </row>
    <row r="1499" spans="2:53" ht="14.25" customHeight="1" x14ac:dyDescent="0.2">
      <c r="B1499" s="4">
        <v>12</v>
      </c>
      <c r="C1499" s="4" t="s">
        <v>1711</v>
      </c>
      <c r="D1499" s="188">
        <v>104</v>
      </c>
      <c r="E1499" s="4">
        <v>1676</v>
      </c>
      <c r="F1499" s="211" t="s">
        <v>1974</v>
      </c>
      <c r="G1499" s="4" t="s">
        <v>1975</v>
      </c>
      <c r="H1499" s="4" t="s">
        <v>1976</v>
      </c>
      <c r="I1499" s="4" t="s">
        <v>641</v>
      </c>
      <c r="J1499" s="4" t="s">
        <v>1715</v>
      </c>
      <c r="K1499" s="4">
        <v>1</v>
      </c>
      <c r="L1499" s="4">
        <v>2079</v>
      </c>
      <c r="M1499" s="223"/>
      <c r="U1499"/>
      <c r="AK1499" s="260"/>
      <c r="AO1499" s="4" t="s">
        <v>1974</v>
      </c>
      <c r="AP1499" s="4">
        <v>104</v>
      </c>
      <c r="AQ1499" s="4" t="s">
        <v>1716</v>
      </c>
      <c r="AR1499" s="4" t="s">
        <v>1717</v>
      </c>
      <c r="AS1499" s="4" t="s">
        <v>1718</v>
      </c>
      <c r="AT1499" s="4" t="s">
        <v>1703</v>
      </c>
      <c r="AU1499" s="4" t="s">
        <v>1703</v>
      </c>
      <c r="AV1499" s="4" t="s">
        <v>1720</v>
      </c>
      <c r="AW1499" s="4" t="s">
        <v>1947</v>
      </c>
      <c r="AX1499" s="4" t="s">
        <v>1973</v>
      </c>
      <c r="AY1499" s="4">
        <v>53.563299999999998</v>
      </c>
      <c r="AZ1499" s="4">
        <v>-127.94329999999999</v>
      </c>
      <c r="BA1499" s="4">
        <v>17</v>
      </c>
    </row>
    <row r="1500" spans="2:53" ht="14.25" customHeight="1" x14ac:dyDescent="0.2">
      <c r="B1500" s="4">
        <v>12</v>
      </c>
      <c r="C1500" s="4" t="s">
        <v>1711</v>
      </c>
      <c r="D1500" s="188">
        <v>116</v>
      </c>
      <c r="E1500" s="4">
        <v>1684</v>
      </c>
      <c r="F1500" s="211" t="s">
        <v>2000</v>
      </c>
      <c r="G1500" s="4" t="s">
        <v>2001</v>
      </c>
      <c r="H1500" s="4" t="s">
        <v>2002</v>
      </c>
      <c r="I1500" s="4" t="s">
        <v>1664</v>
      </c>
      <c r="J1500" s="4" t="s">
        <v>1715</v>
      </c>
      <c r="K1500" s="4">
        <v>1</v>
      </c>
      <c r="L1500" s="4">
        <v>2087</v>
      </c>
      <c r="M1500" s="223"/>
      <c r="U1500"/>
      <c r="AK1500" s="260"/>
      <c r="AO1500" s="4" t="s">
        <v>2000</v>
      </c>
      <c r="AP1500" s="4">
        <v>116</v>
      </c>
      <c r="AQ1500" s="4" t="s">
        <v>1716</v>
      </c>
      <c r="AR1500" s="4" t="s">
        <v>1717</v>
      </c>
      <c r="AS1500" s="4" t="s">
        <v>1718</v>
      </c>
      <c r="AT1500" s="4" t="s">
        <v>1719</v>
      </c>
      <c r="AU1500" s="4" t="s">
        <v>1703</v>
      </c>
      <c r="AV1500" s="4" t="s">
        <v>1720</v>
      </c>
      <c r="AW1500" s="4" t="s">
        <v>2003</v>
      </c>
      <c r="AX1500" s="4" t="s">
        <v>2004</v>
      </c>
      <c r="AY1500" s="4">
        <v>57.9</v>
      </c>
      <c r="AZ1500" s="4">
        <v>-120.3</v>
      </c>
      <c r="BA1500" s="4">
        <v>0</v>
      </c>
    </row>
    <row r="1501" spans="2:53" ht="14.25" customHeight="1" x14ac:dyDescent="0.2">
      <c r="B1501" s="4">
        <v>12</v>
      </c>
      <c r="C1501" s="4" t="s">
        <v>1711</v>
      </c>
      <c r="D1501" s="188">
        <v>121</v>
      </c>
      <c r="E1501" s="4">
        <v>1689</v>
      </c>
      <c r="F1501" s="4" t="s">
        <v>2019</v>
      </c>
      <c r="G1501" s="4" t="s">
        <v>2020</v>
      </c>
      <c r="H1501" s="4" t="s">
        <v>2021</v>
      </c>
      <c r="I1501" s="4" t="s">
        <v>641</v>
      </c>
      <c r="J1501" s="4" t="s">
        <v>1736</v>
      </c>
      <c r="K1501" s="4">
        <v>1</v>
      </c>
      <c r="L1501" s="4">
        <v>2092</v>
      </c>
      <c r="M1501" s="6">
        <v>57.78181</v>
      </c>
      <c r="N1501" s="9">
        <v>-120.2368</v>
      </c>
      <c r="O1501" s="9" t="s">
        <v>153</v>
      </c>
      <c r="P1501" s="9">
        <v>121</v>
      </c>
      <c r="Q1501" s="20">
        <v>3</v>
      </c>
      <c r="R1501" s="9" t="s">
        <v>2019</v>
      </c>
      <c r="S1501" s="9" t="s">
        <v>1737</v>
      </c>
      <c r="T1501" s="9">
        <v>729</v>
      </c>
      <c r="U1501" s="9" t="s">
        <v>645</v>
      </c>
      <c r="V1501" s="9"/>
      <c r="W1501" s="21">
        <v>31413</v>
      </c>
      <c r="X1501" s="9" t="s">
        <v>1738</v>
      </c>
      <c r="AK1501" s="260"/>
      <c r="AO1501" s="4" t="s">
        <v>2019</v>
      </c>
      <c r="AP1501" s="4">
        <v>121</v>
      </c>
      <c r="AQ1501" s="4" t="s">
        <v>1716</v>
      </c>
      <c r="AR1501" s="4" t="s">
        <v>1739</v>
      </c>
      <c r="AS1501" s="4" t="s">
        <v>1740</v>
      </c>
      <c r="AT1501" s="4" t="s">
        <v>1741</v>
      </c>
      <c r="AU1501" s="4" t="s">
        <v>1742</v>
      </c>
      <c r="AV1501" s="4" t="s">
        <v>1720</v>
      </c>
      <c r="AW1501" s="4" t="s">
        <v>2003</v>
      </c>
      <c r="AX1501" s="4" t="s">
        <v>2004</v>
      </c>
      <c r="AY1501" s="4">
        <v>57.781799999999997</v>
      </c>
      <c r="AZ1501" s="4">
        <v>-120.2368</v>
      </c>
      <c r="BA1501" s="4">
        <v>722</v>
      </c>
    </row>
    <row r="1502" spans="2:53" ht="14.25" customHeight="1" x14ac:dyDescent="0.2">
      <c r="B1502" s="4">
        <v>12</v>
      </c>
      <c r="C1502" s="4" t="s">
        <v>1711</v>
      </c>
      <c r="D1502" s="188">
        <v>123</v>
      </c>
      <c r="E1502" s="4">
        <v>1690</v>
      </c>
      <c r="F1502" s="211" t="s">
        <v>2025</v>
      </c>
      <c r="G1502" s="4" t="s">
        <v>2026</v>
      </c>
      <c r="H1502" s="4" t="s">
        <v>2027</v>
      </c>
      <c r="I1502" s="4" t="s">
        <v>1664</v>
      </c>
      <c r="J1502" s="4" t="s">
        <v>1715</v>
      </c>
      <c r="K1502" s="4">
        <v>1</v>
      </c>
      <c r="L1502" s="4">
        <v>2093</v>
      </c>
      <c r="M1502" s="223"/>
      <c r="U1502"/>
      <c r="AK1502" s="260"/>
      <c r="AO1502" s="4" t="s">
        <v>2025</v>
      </c>
      <c r="AP1502" s="4">
        <v>123</v>
      </c>
      <c r="AQ1502" s="4" t="s">
        <v>1716</v>
      </c>
      <c r="AR1502" s="4" t="s">
        <v>1717</v>
      </c>
      <c r="AS1502" s="4" t="s">
        <v>1718</v>
      </c>
      <c r="AT1502" s="4" t="s">
        <v>1719</v>
      </c>
      <c r="AU1502" s="4" t="s">
        <v>1703</v>
      </c>
      <c r="AV1502" s="4" t="s">
        <v>1720</v>
      </c>
      <c r="AW1502" s="4" t="s">
        <v>2003</v>
      </c>
      <c r="AX1502" s="4" t="s">
        <v>2024</v>
      </c>
      <c r="AY1502" s="4">
        <v>56.3</v>
      </c>
      <c r="AZ1502" s="4">
        <v>-122.2</v>
      </c>
      <c r="BA1502" s="4">
        <v>7</v>
      </c>
    </row>
    <row r="1503" spans="2:53" ht="14.25" customHeight="1" x14ac:dyDescent="0.2">
      <c r="B1503" s="4">
        <v>12</v>
      </c>
      <c r="C1503" s="4" t="s">
        <v>1711</v>
      </c>
      <c r="D1503" s="188">
        <v>124</v>
      </c>
      <c r="E1503" s="4">
        <v>1691</v>
      </c>
      <c r="F1503" s="4" t="s">
        <v>2028</v>
      </c>
      <c r="G1503" s="4" t="s">
        <v>2029</v>
      </c>
      <c r="H1503" s="4" t="s">
        <v>2030</v>
      </c>
      <c r="I1503" s="4" t="s">
        <v>641</v>
      </c>
      <c r="J1503" s="4" t="s">
        <v>1736</v>
      </c>
      <c r="K1503" s="4">
        <v>1</v>
      </c>
      <c r="L1503" s="4">
        <v>2094</v>
      </c>
      <c r="M1503" s="6">
        <v>56.434640000000002</v>
      </c>
      <c r="N1503" s="9">
        <v>-122.45766999999999</v>
      </c>
      <c r="O1503" s="9" t="s">
        <v>153</v>
      </c>
      <c r="P1503" s="9">
        <v>124</v>
      </c>
      <c r="Q1503" s="20">
        <v>5</v>
      </c>
      <c r="R1503" s="9" t="s">
        <v>2028</v>
      </c>
      <c r="S1503" s="9" t="s">
        <v>1737</v>
      </c>
      <c r="T1503" s="9">
        <v>768</v>
      </c>
      <c r="U1503" s="9" t="s">
        <v>645</v>
      </c>
      <c r="V1503" s="9"/>
      <c r="W1503" s="21">
        <v>28856</v>
      </c>
      <c r="X1503" s="9" t="s">
        <v>1738</v>
      </c>
      <c r="AK1503" s="260"/>
      <c r="AO1503" s="4" t="s">
        <v>2028</v>
      </c>
      <c r="AP1503" s="4">
        <v>124</v>
      </c>
      <c r="AQ1503" s="4" t="s">
        <v>1716</v>
      </c>
      <c r="AR1503" s="4" t="s">
        <v>1739</v>
      </c>
      <c r="AS1503" s="4" t="s">
        <v>1740</v>
      </c>
      <c r="AT1503" s="4" t="s">
        <v>1741</v>
      </c>
      <c r="AU1503" s="4" t="s">
        <v>1742</v>
      </c>
      <c r="AV1503" s="4" t="s">
        <v>1720</v>
      </c>
      <c r="AW1503" s="4" t="s">
        <v>2003</v>
      </c>
      <c r="AX1503" s="4" t="s">
        <v>2004</v>
      </c>
      <c r="AY1503" s="4">
        <v>56.434600000000003</v>
      </c>
      <c r="AZ1503" s="4">
        <v>-122.4576</v>
      </c>
      <c r="BA1503" s="4">
        <v>759</v>
      </c>
    </row>
    <row r="1504" spans="2:53" ht="14.25" customHeight="1" x14ac:dyDescent="0.2">
      <c r="B1504" s="4">
        <v>12</v>
      </c>
      <c r="C1504" s="4" t="s">
        <v>1711</v>
      </c>
      <c r="D1504" s="188">
        <v>125</v>
      </c>
      <c r="E1504" s="4">
        <v>1692</v>
      </c>
      <c r="F1504" s="211" t="s">
        <v>2031</v>
      </c>
      <c r="G1504" s="4" t="s">
        <v>2032</v>
      </c>
      <c r="H1504" s="4" t="s">
        <v>2033</v>
      </c>
      <c r="I1504" s="4" t="s">
        <v>1664</v>
      </c>
      <c r="J1504" s="4" t="s">
        <v>1715</v>
      </c>
      <c r="K1504" s="4">
        <v>1</v>
      </c>
      <c r="L1504" s="4">
        <v>2095</v>
      </c>
      <c r="M1504" s="223"/>
      <c r="U1504"/>
      <c r="AK1504" s="260"/>
      <c r="AO1504" s="4" t="s">
        <v>2031</v>
      </c>
      <c r="AP1504" s="4">
        <v>125</v>
      </c>
      <c r="AQ1504" s="4" t="s">
        <v>1716</v>
      </c>
      <c r="AR1504" s="4" t="s">
        <v>1717</v>
      </c>
      <c r="AS1504" s="4" t="s">
        <v>1718</v>
      </c>
      <c r="AT1504" s="4" t="s">
        <v>1719</v>
      </c>
      <c r="AU1504" s="4" t="s">
        <v>1703</v>
      </c>
      <c r="AV1504" s="4" t="s">
        <v>1720</v>
      </c>
      <c r="AW1504" s="4" t="s">
        <v>2003</v>
      </c>
      <c r="AX1504" s="4" t="s">
        <v>2024</v>
      </c>
      <c r="AY1504" s="4">
        <v>56.1</v>
      </c>
      <c r="AZ1504" s="4">
        <v>-122.4</v>
      </c>
      <c r="BA1504" s="4">
        <v>9</v>
      </c>
    </row>
    <row r="1505" spans="2:53" ht="14.25" customHeight="1" x14ac:dyDescent="0.2">
      <c r="B1505" s="4">
        <v>12</v>
      </c>
      <c r="C1505" s="4" t="s">
        <v>1711</v>
      </c>
      <c r="D1505" s="188">
        <v>126</v>
      </c>
      <c r="E1505" s="4">
        <v>1693</v>
      </c>
      <c r="F1505" s="4" t="s">
        <v>2034</v>
      </c>
      <c r="G1505" s="4" t="s">
        <v>2035</v>
      </c>
      <c r="H1505" s="4" t="s">
        <v>2036</v>
      </c>
      <c r="I1505" s="4" t="s">
        <v>641</v>
      </c>
      <c r="J1505" s="4" t="s">
        <v>1736</v>
      </c>
      <c r="K1505" s="4">
        <v>1</v>
      </c>
      <c r="L1505" s="4">
        <v>2096</v>
      </c>
      <c r="M1505" s="6">
        <v>58.865850000000002</v>
      </c>
      <c r="N1505" s="9">
        <v>-125.3107</v>
      </c>
      <c r="O1505" s="9" t="s">
        <v>1577</v>
      </c>
      <c r="P1505" s="9">
        <v>126</v>
      </c>
      <c r="Q1505" s="20">
        <v>1</v>
      </c>
      <c r="R1505" s="9" t="s">
        <v>2034</v>
      </c>
      <c r="S1505" s="9" t="s">
        <v>1737</v>
      </c>
      <c r="T1505" s="9">
        <v>711</v>
      </c>
      <c r="U1505" s="9" t="s">
        <v>645</v>
      </c>
      <c r="V1505" s="9"/>
      <c r="W1505" s="21">
        <v>29587</v>
      </c>
      <c r="X1505" s="9" t="s">
        <v>1738</v>
      </c>
      <c r="AK1505" s="260"/>
      <c r="AO1505" s="4" t="s">
        <v>2034</v>
      </c>
      <c r="AP1505" s="4">
        <v>126</v>
      </c>
      <c r="AQ1505" s="4" t="s">
        <v>1716</v>
      </c>
      <c r="AR1505" s="4" t="s">
        <v>1739</v>
      </c>
      <c r="AS1505" s="4" t="s">
        <v>1740</v>
      </c>
      <c r="AT1505" s="4" t="s">
        <v>1741</v>
      </c>
      <c r="AU1505" s="4" t="s">
        <v>1742</v>
      </c>
      <c r="AV1505" s="4" t="s">
        <v>1720</v>
      </c>
      <c r="AW1505" s="4" t="s">
        <v>2003</v>
      </c>
      <c r="AX1505" s="4" t="s">
        <v>2009</v>
      </c>
      <c r="AY1505" s="4">
        <v>58.865900000000003</v>
      </c>
      <c r="AZ1505" s="4">
        <v>-125.3107</v>
      </c>
      <c r="BA1505" s="4">
        <v>702</v>
      </c>
    </row>
    <row r="1506" spans="2:53" ht="14.25" customHeight="1" x14ac:dyDescent="0.2">
      <c r="B1506" s="4">
        <v>12</v>
      </c>
      <c r="C1506" s="4" t="s">
        <v>1711</v>
      </c>
      <c r="D1506" s="188">
        <v>128</v>
      </c>
      <c r="E1506" s="4">
        <v>1695</v>
      </c>
      <c r="F1506" s="211" t="s">
        <v>2044</v>
      </c>
      <c r="G1506" s="4" t="s">
        <v>2045</v>
      </c>
      <c r="H1506" s="4" t="s">
        <v>2046</v>
      </c>
      <c r="I1506" s="4" t="s">
        <v>1664</v>
      </c>
      <c r="J1506" s="4" t="s">
        <v>1715</v>
      </c>
      <c r="K1506" s="4">
        <v>1</v>
      </c>
      <c r="L1506" s="4">
        <v>2098</v>
      </c>
      <c r="M1506" s="223"/>
      <c r="U1506"/>
      <c r="AK1506" s="260"/>
      <c r="AO1506" s="4" t="s">
        <v>2044</v>
      </c>
      <c r="AP1506" s="4">
        <v>128</v>
      </c>
      <c r="AQ1506" s="4" t="s">
        <v>1716</v>
      </c>
      <c r="AR1506" s="4" t="s">
        <v>1717</v>
      </c>
      <c r="AS1506" s="4" t="s">
        <v>1718</v>
      </c>
      <c r="AT1506" s="4" t="s">
        <v>1719</v>
      </c>
      <c r="AU1506" s="4" t="s">
        <v>1703</v>
      </c>
      <c r="AV1506" s="4" t="s">
        <v>1720</v>
      </c>
      <c r="AW1506" s="4" t="s">
        <v>2003</v>
      </c>
      <c r="AX1506" s="4" t="s">
        <v>2024</v>
      </c>
      <c r="AY1506" s="4">
        <v>54.8</v>
      </c>
      <c r="AZ1506" s="4">
        <v>-120.6</v>
      </c>
      <c r="BA1506" s="4">
        <v>11</v>
      </c>
    </row>
    <row r="1507" spans="2:53" ht="14.25" customHeight="1" x14ac:dyDescent="0.2">
      <c r="B1507" s="4">
        <v>12</v>
      </c>
      <c r="C1507" s="4" t="s">
        <v>1711</v>
      </c>
      <c r="D1507" s="188">
        <v>130</v>
      </c>
      <c r="E1507" s="4">
        <v>1697</v>
      </c>
      <c r="F1507" s="211" t="s">
        <v>2051</v>
      </c>
      <c r="G1507" s="4" t="s">
        <v>2052</v>
      </c>
      <c r="H1507" s="4" t="s">
        <v>2053</v>
      </c>
      <c r="I1507" s="4" t="s">
        <v>1664</v>
      </c>
      <c r="J1507" s="4" t="s">
        <v>1715</v>
      </c>
      <c r="K1507" s="4">
        <v>1</v>
      </c>
      <c r="L1507" s="4">
        <v>2100</v>
      </c>
      <c r="M1507" s="223"/>
      <c r="U1507"/>
      <c r="AK1507" s="260"/>
      <c r="AO1507" s="4" t="s">
        <v>2051</v>
      </c>
      <c r="AP1507" s="4">
        <v>130</v>
      </c>
      <c r="AQ1507" s="4" t="s">
        <v>1716</v>
      </c>
      <c r="AR1507" s="4" t="s">
        <v>1717</v>
      </c>
      <c r="AS1507" s="4" t="s">
        <v>1718</v>
      </c>
      <c r="AT1507" s="4" t="s">
        <v>1719</v>
      </c>
      <c r="AU1507" s="4" t="s">
        <v>1703</v>
      </c>
      <c r="AV1507" s="4" t="s">
        <v>1720</v>
      </c>
      <c r="AW1507" s="4" t="s">
        <v>2003</v>
      </c>
      <c r="AX1507" s="4" t="s">
        <v>2004</v>
      </c>
      <c r="AY1507" s="4">
        <v>57.4</v>
      </c>
      <c r="AZ1507" s="4">
        <v>-122.9</v>
      </c>
      <c r="BA1507" s="4">
        <v>0</v>
      </c>
    </row>
    <row r="1508" spans="2:53" ht="14.25" customHeight="1" x14ac:dyDescent="0.2">
      <c r="B1508" s="4">
        <v>12</v>
      </c>
      <c r="C1508" s="4" t="s">
        <v>1711</v>
      </c>
      <c r="D1508" s="188">
        <v>132</v>
      </c>
      <c r="E1508" s="4">
        <v>1699</v>
      </c>
      <c r="F1508" s="4" t="s">
        <v>2057</v>
      </c>
      <c r="G1508" s="4" t="s">
        <v>2058</v>
      </c>
      <c r="H1508" s="4" t="s">
        <v>2059</v>
      </c>
      <c r="I1508" s="4" t="s">
        <v>641</v>
      </c>
      <c r="J1508" s="4" t="s">
        <v>1736</v>
      </c>
      <c r="K1508" s="4">
        <v>1</v>
      </c>
      <c r="L1508" s="4">
        <v>2102</v>
      </c>
      <c r="M1508" s="193">
        <v>56.034700000000001</v>
      </c>
      <c r="N1508" s="4">
        <v>-121.99021</v>
      </c>
      <c r="O1508" s="4" t="s">
        <v>153</v>
      </c>
      <c r="P1508" s="4">
        <v>132</v>
      </c>
      <c r="Q1508" s="4">
        <v>3</v>
      </c>
      <c r="R1508" s="4" t="s">
        <v>2057</v>
      </c>
      <c r="S1508" s="4" t="s">
        <v>1737</v>
      </c>
      <c r="T1508" s="4">
        <v>704</v>
      </c>
      <c r="U1508"/>
      <c r="W1508" s="4">
        <v>31413</v>
      </c>
      <c r="X1508" s="4" t="s">
        <v>1738</v>
      </c>
      <c r="AK1508" s="260"/>
      <c r="AO1508" s="4" t="s">
        <v>2057</v>
      </c>
      <c r="AP1508" s="4">
        <v>132</v>
      </c>
      <c r="AQ1508" s="4" t="s">
        <v>1700</v>
      </c>
      <c r="AR1508" s="4" t="s">
        <v>1739</v>
      </c>
      <c r="AS1508" s="4" t="s">
        <v>1740</v>
      </c>
      <c r="AT1508" s="4" t="s">
        <v>1835</v>
      </c>
      <c r="AU1508" s="4" t="s">
        <v>1772</v>
      </c>
      <c r="AV1508" s="4" t="s">
        <v>1720</v>
      </c>
      <c r="AW1508" s="4" t="s">
        <v>2003</v>
      </c>
      <c r="AX1508" s="4" t="s">
        <v>2024</v>
      </c>
      <c r="AY1508" s="4">
        <v>56.034700000000001</v>
      </c>
      <c r="AZ1508" s="4">
        <v>-121.9903</v>
      </c>
      <c r="BA1508" s="4">
        <v>697</v>
      </c>
    </row>
    <row r="1509" spans="2:53" ht="14.25" customHeight="1" x14ac:dyDescent="0.2">
      <c r="B1509" s="4">
        <v>12</v>
      </c>
      <c r="C1509" s="4" t="s">
        <v>1711</v>
      </c>
      <c r="D1509" s="188">
        <v>133</v>
      </c>
      <c r="E1509" s="4">
        <v>1700</v>
      </c>
      <c r="F1509" s="211" t="s">
        <v>2060</v>
      </c>
      <c r="G1509" s="4" t="s">
        <v>2061</v>
      </c>
      <c r="H1509" s="4" t="s">
        <v>2062</v>
      </c>
      <c r="I1509" s="4" t="s">
        <v>1664</v>
      </c>
      <c r="J1509" s="4" t="s">
        <v>1715</v>
      </c>
      <c r="K1509" s="4">
        <v>1</v>
      </c>
      <c r="L1509" s="4">
        <v>2103</v>
      </c>
      <c r="M1509" s="223"/>
      <c r="U1509"/>
      <c r="AK1509" s="260"/>
      <c r="AO1509" s="4" t="s">
        <v>2060</v>
      </c>
      <c r="AP1509" s="4">
        <v>133</v>
      </c>
      <c r="AQ1509" s="4" t="s">
        <v>1716</v>
      </c>
      <c r="AR1509" s="4" t="s">
        <v>1717</v>
      </c>
      <c r="AS1509" s="4" t="s">
        <v>1718</v>
      </c>
      <c r="AT1509" s="4" t="s">
        <v>1719</v>
      </c>
      <c r="AU1509" s="4" t="s">
        <v>1703</v>
      </c>
      <c r="AV1509" s="4" t="s">
        <v>1720</v>
      </c>
      <c r="AW1509" s="4" t="s">
        <v>2003</v>
      </c>
      <c r="AX1509" s="4" t="s">
        <v>2004</v>
      </c>
      <c r="AY1509" s="4">
        <v>57.3</v>
      </c>
      <c r="AZ1509" s="4">
        <v>-122.8</v>
      </c>
      <c r="BA1509" s="4">
        <v>10</v>
      </c>
    </row>
    <row r="1510" spans="2:53" ht="14.25" customHeight="1" x14ac:dyDescent="0.2">
      <c r="B1510" s="4">
        <v>12</v>
      </c>
      <c r="C1510" s="4" t="s">
        <v>1711</v>
      </c>
      <c r="D1510" s="188">
        <v>134</v>
      </c>
      <c r="E1510" s="4">
        <v>1701</v>
      </c>
      <c r="F1510" s="211" t="s">
        <v>2063</v>
      </c>
      <c r="G1510" s="4" t="s">
        <v>2064</v>
      </c>
      <c r="H1510" s="4" t="s">
        <v>2065</v>
      </c>
      <c r="I1510" s="4" t="s">
        <v>1664</v>
      </c>
      <c r="J1510" s="4" t="s">
        <v>1715</v>
      </c>
      <c r="K1510" s="4">
        <v>1</v>
      </c>
      <c r="L1510" s="4">
        <v>2104</v>
      </c>
      <c r="M1510" s="223"/>
      <c r="U1510"/>
      <c r="AK1510" s="260"/>
      <c r="AO1510" s="4" t="s">
        <v>2063</v>
      </c>
      <c r="AP1510" s="4">
        <v>134</v>
      </c>
      <c r="AQ1510" s="4" t="s">
        <v>1716</v>
      </c>
      <c r="AR1510" s="4" t="s">
        <v>1717</v>
      </c>
      <c r="AS1510" s="4" t="s">
        <v>1718</v>
      </c>
      <c r="AT1510" s="4" t="s">
        <v>1719</v>
      </c>
      <c r="AU1510" s="4" t="s">
        <v>1703</v>
      </c>
      <c r="AV1510" s="4" t="s">
        <v>1720</v>
      </c>
      <c r="AW1510" s="4" t="s">
        <v>2003</v>
      </c>
      <c r="AX1510" s="4" t="s">
        <v>2004</v>
      </c>
      <c r="AY1510" s="4">
        <v>56.7</v>
      </c>
      <c r="AZ1510" s="4">
        <v>-120.1</v>
      </c>
      <c r="BA1510" s="4">
        <v>8</v>
      </c>
    </row>
    <row r="1511" spans="2:53" ht="14.25" customHeight="1" x14ac:dyDescent="0.2">
      <c r="B1511" s="4">
        <v>12</v>
      </c>
      <c r="C1511" s="4" t="s">
        <v>1711</v>
      </c>
      <c r="D1511" s="188">
        <v>137</v>
      </c>
      <c r="E1511" s="4">
        <v>1704</v>
      </c>
      <c r="F1511" s="211" t="s">
        <v>2072</v>
      </c>
      <c r="G1511" s="4" t="s">
        <v>2073</v>
      </c>
      <c r="H1511" s="4" t="s">
        <v>2074</v>
      </c>
      <c r="I1511" s="4" t="s">
        <v>1664</v>
      </c>
      <c r="J1511" s="4" t="s">
        <v>1715</v>
      </c>
      <c r="K1511" s="4">
        <v>1</v>
      </c>
      <c r="L1511" s="4">
        <v>2107</v>
      </c>
      <c r="M1511" s="223"/>
      <c r="U1511"/>
      <c r="AK1511" s="260"/>
      <c r="AO1511" s="4" t="s">
        <v>2072</v>
      </c>
      <c r="AP1511" s="4">
        <v>137</v>
      </c>
      <c r="AQ1511" s="4" t="s">
        <v>1716</v>
      </c>
      <c r="AR1511" s="4" t="s">
        <v>1717</v>
      </c>
      <c r="AS1511" s="4" t="s">
        <v>1718</v>
      </c>
      <c r="AT1511" s="4" t="s">
        <v>1719</v>
      </c>
      <c r="AU1511" s="4" t="s">
        <v>1703</v>
      </c>
      <c r="AV1511" s="4" t="s">
        <v>1720</v>
      </c>
      <c r="AW1511" s="4" t="s">
        <v>2003</v>
      </c>
      <c r="AX1511" s="4" t="s">
        <v>2024</v>
      </c>
      <c r="AY1511" s="4">
        <v>56.1</v>
      </c>
      <c r="AZ1511" s="4">
        <v>-122.3</v>
      </c>
      <c r="BA1511" s="4">
        <v>8</v>
      </c>
    </row>
    <row r="1512" spans="2:53" ht="15" customHeight="1" x14ac:dyDescent="0.2">
      <c r="B1512" s="4">
        <v>12</v>
      </c>
      <c r="C1512" s="4" t="s">
        <v>1711</v>
      </c>
      <c r="D1512" s="188">
        <v>138</v>
      </c>
      <c r="E1512" s="4">
        <v>1705</v>
      </c>
      <c r="F1512" s="4" t="s">
        <v>2075</v>
      </c>
      <c r="G1512" s="4" t="s">
        <v>2076</v>
      </c>
      <c r="H1512" s="4" t="s">
        <v>2077</v>
      </c>
      <c r="I1512" s="4" t="s">
        <v>641</v>
      </c>
      <c r="J1512" s="4" t="s">
        <v>1865</v>
      </c>
      <c r="K1512" s="4">
        <v>1</v>
      </c>
      <c r="L1512" s="4">
        <v>2108</v>
      </c>
      <c r="M1512" s="193">
        <v>54.633029999999998</v>
      </c>
      <c r="N1512" s="4">
        <v>-120.57621</v>
      </c>
      <c r="O1512" s="4" t="s">
        <v>1290</v>
      </c>
      <c r="P1512" s="4">
        <v>138</v>
      </c>
      <c r="Q1512" s="4">
        <v>6</v>
      </c>
      <c r="R1512" s="4" t="s">
        <v>2075</v>
      </c>
      <c r="S1512" s="4" t="s">
        <v>1737</v>
      </c>
      <c r="T1512" s="4">
        <v>1306</v>
      </c>
      <c r="U1512"/>
      <c r="W1512" s="4">
        <v>32143</v>
      </c>
      <c r="X1512" s="4" t="s">
        <v>1738</v>
      </c>
      <c r="AK1512" s="260"/>
      <c r="AO1512" s="4" t="s">
        <v>2075</v>
      </c>
      <c r="AP1512" s="4">
        <v>138</v>
      </c>
      <c r="AQ1512" s="4" t="s">
        <v>1700</v>
      </c>
      <c r="AR1512" s="4" t="s">
        <v>1739</v>
      </c>
      <c r="AS1512" s="4" t="s">
        <v>1740</v>
      </c>
      <c r="AT1512" s="4" t="s">
        <v>1835</v>
      </c>
      <c r="AU1512" s="4" t="s">
        <v>1959</v>
      </c>
      <c r="AV1512" s="4" t="s">
        <v>1720</v>
      </c>
      <c r="AW1512" s="4" t="s">
        <v>2003</v>
      </c>
      <c r="AX1512" s="4" t="s">
        <v>2024</v>
      </c>
      <c r="AY1512" s="4">
        <v>54.633000000000003</v>
      </c>
      <c r="AZ1512" s="4">
        <v>-120.5762</v>
      </c>
      <c r="BA1512" s="4">
        <v>1306</v>
      </c>
    </row>
    <row r="1513" spans="2:53" ht="14.25" customHeight="1" x14ac:dyDescent="0.2">
      <c r="B1513" s="4">
        <v>12</v>
      </c>
      <c r="C1513" s="4" t="s">
        <v>1711</v>
      </c>
      <c r="D1513" s="4">
        <v>139</v>
      </c>
      <c r="E1513" s="4">
        <v>1706</v>
      </c>
      <c r="F1513" s="211" t="s">
        <v>2078</v>
      </c>
      <c r="G1513" s="4" t="s">
        <v>2079</v>
      </c>
      <c r="H1513" s="4" t="s">
        <v>2080</v>
      </c>
      <c r="I1513" s="4" t="s">
        <v>1664</v>
      </c>
      <c r="J1513" s="4" t="s">
        <v>1715</v>
      </c>
      <c r="K1513" s="4">
        <v>1</v>
      </c>
      <c r="L1513" s="4">
        <v>2109</v>
      </c>
      <c r="M1513" s="223"/>
      <c r="U1513"/>
      <c r="AK1513" s="260"/>
      <c r="AO1513" s="4" t="s">
        <v>2078</v>
      </c>
      <c r="AP1513" s="4">
        <v>139</v>
      </c>
      <c r="AQ1513" s="4" t="s">
        <v>1716</v>
      </c>
      <c r="AR1513" s="4" t="s">
        <v>1717</v>
      </c>
      <c r="AS1513" s="4" t="s">
        <v>1718</v>
      </c>
      <c r="AT1513" s="4" t="s">
        <v>1719</v>
      </c>
      <c r="AU1513" s="4" t="s">
        <v>1703</v>
      </c>
      <c r="AV1513" s="4" t="s">
        <v>1720</v>
      </c>
      <c r="AW1513" s="4" t="s">
        <v>2003</v>
      </c>
      <c r="AX1513" s="4" t="s">
        <v>2024</v>
      </c>
      <c r="AY1513" s="4">
        <v>55.2</v>
      </c>
      <c r="AZ1513" s="4">
        <v>-121.6</v>
      </c>
      <c r="BA1513" s="4">
        <v>8</v>
      </c>
    </row>
    <row r="1514" spans="2:53" ht="14.25" customHeight="1" x14ac:dyDescent="0.2">
      <c r="B1514" s="4">
        <v>12</v>
      </c>
      <c r="C1514" s="188" t="s">
        <v>1711</v>
      </c>
      <c r="D1514" s="188">
        <v>141</v>
      </c>
      <c r="E1514" s="4">
        <v>1708</v>
      </c>
      <c r="F1514" s="4" t="s">
        <v>2084</v>
      </c>
      <c r="G1514" s="4" t="s">
        <v>2085</v>
      </c>
      <c r="H1514" s="4" t="s">
        <v>2086</v>
      </c>
      <c r="I1514" s="4" t="s">
        <v>641</v>
      </c>
      <c r="J1514" s="4" t="s">
        <v>1865</v>
      </c>
      <c r="K1514" s="4">
        <v>1</v>
      </c>
      <c r="L1514" s="4">
        <v>2111</v>
      </c>
      <c r="M1514" s="193">
        <v>55.579880000000003</v>
      </c>
      <c r="N1514" s="4">
        <v>-124.23197999999999</v>
      </c>
      <c r="O1514" s="4" t="s">
        <v>1290</v>
      </c>
      <c r="P1514" s="4">
        <v>141</v>
      </c>
      <c r="Q1514" s="4">
        <v>4</v>
      </c>
      <c r="R1514" s="4" t="s">
        <v>2084</v>
      </c>
      <c r="S1514" s="4" t="s">
        <v>1737</v>
      </c>
      <c r="T1514" s="4">
        <v>1047</v>
      </c>
      <c r="U1514"/>
      <c r="W1514" s="4">
        <v>25569</v>
      </c>
      <c r="X1514" s="4" t="s">
        <v>1738</v>
      </c>
      <c r="AK1514" s="260"/>
      <c r="AO1514" s="4" t="s">
        <v>2084</v>
      </c>
      <c r="AP1514" s="4">
        <v>141</v>
      </c>
      <c r="AQ1514" s="4" t="s">
        <v>1716</v>
      </c>
      <c r="AR1514" s="4" t="s">
        <v>1739</v>
      </c>
      <c r="AS1514" s="4" t="s">
        <v>1740</v>
      </c>
      <c r="AT1514" s="4" t="s">
        <v>1741</v>
      </c>
      <c r="AU1514" s="4" t="s">
        <v>1742</v>
      </c>
      <c r="AV1514" s="4" t="s">
        <v>1720</v>
      </c>
      <c r="AW1514" s="4" t="s">
        <v>2003</v>
      </c>
      <c r="AX1514" s="4" t="s">
        <v>2087</v>
      </c>
      <c r="AY1514" s="4">
        <v>55.579799999999999</v>
      </c>
      <c r="AZ1514" s="4">
        <v>-124.2321</v>
      </c>
      <c r="BA1514" s="4">
        <v>1038</v>
      </c>
    </row>
    <row r="1515" spans="2:53" ht="14.25" customHeight="1" x14ac:dyDescent="0.2">
      <c r="B1515" s="9">
        <v>12</v>
      </c>
      <c r="C1515" s="4" t="s">
        <v>1711</v>
      </c>
      <c r="D1515" s="188">
        <v>147</v>
      </c>
      <c r="E1515" s="4">
        <v>1712</v>
      </c>
      <c r="F1515" s="211" t="s">
        <v>2100</v>
      </c>
      <c r="G1515" s="4" t="s">
        <v>2101</v>
      </c>
      <c r="H1515" s="4" t="s">
        <v>2102</v>
      </c>
      <c r="I1515" s="4" t="s">
        <v>1664</v>
      </c>
      <c r="J1515" s="4" t="s">
        <v>1715</v>
      </c>
      <c r="K1515" s="4">
        <v>1</v>
      </c>
      <c r="L1515" s="4">
        <v>2115</v>
      </c>
      <c r="M1515" s="223"/>
      <c r="U1515"/>
      <c r="Y1515" s="9"/>
      <c r="AK1515" s="260"/>
      <c r="AO1515" s="4" t="s">
        <v>2100</v>
      </c>
      <c r="AP1515" s="4">
        <v>147</v>
      </c>
      <c r="AQ1515" s="4" t="s">
        <v>1716</v>
      </c>
      <c r="AR1515" s="4" t="s">
        <v>1717</v>
      </c>
      <c r="AS1515" s="4" t="s">
        <v>1718</v>
      </c>
      <c r="AT1515" s="4" t="s">
        <v>1719</v>
      </c>
      <c r="AU1515" s="4" t="s">
        <v>1703</v>
      </c>
      <c r="AV1515" s="4" t="s">
        <v>1720</v>
      </c>
      <c r="AW1515" s="4" t="s">
        <v>2003</v>
      </c>
      <c r="AX1515" s="4" t="s">
        <v>2091</v>
      </c>
      <c r="AY1515" s="4">
        <v>54.4</v>
      </c>
      <c r="AZ1515" s="4">
        <v>-122.8</v>
      </c>
      <c r="BA1515" s="4">
        <v>0</v>
      </c>
    </row>
    <row r="1516" spans="2:53" ht="14.25" customHeight="1" x14ac:dyDescent="0.2">
      <c r="B1516" s="9">
        <v>12</v>
      </c>
      <c r="C1516" s="4" t="s">
        <v>1711</v>
      </c>
      <c r="D1516" s="4">
        <v>150</v>
      </c>
      <c r="E1516" s="4">
        <v>1715</v>
      </c>
      <c r="F1516" s="211" t="s">
        <v>2108</v>
      </c>
      <c r="G1516" s="4" t="s">
        <v>2109</v>
      </c>
      <c r="H1516" s="4" t="s">
        <v>2110</v>
      </c>
      <c r="I1516" s="4" t="s">
        <v>1664</v>
      </c>
      <c r="J1516" s="4" t="s">
        <v>1715</v>
      </c>
      <c r="K1516" s="4">
        <v>1</v>
      </c>
      <c r="L1516" s="4">
        <v>2118</v>
      </c>
      <c r="M1516" s="223"/>
      <c r="U1516"/>
      <c r="Y1516" s="9"/>
      <c r="AK1516" s="260"/>
      <c r="AO1516" s="4" t="s">
        <v>2108</v>
      </c>
      <c r="AP1516" s="4">
        <v>150</v>
      </c>
      <c r="AQ1516" s="4" t="s">
        <v>1716</v>
      </c>
      <c r="AR1516" s="4" t="s">
        <v>1717</v>
      </c>
      <c r="AS1516" s="4" t="s">
        <v>1718</v>
      </c>
      <c r="AT1516" s="4" t="s">
        <v>1719</v>
      </c>
      <c r="AU1516" s="4" t="s">
        <v>1703</v>
      </c>
      <c r="AV1516" s="4" t="s">
        <v>1720</v>
      </c>
      <c r="AW1516" s="4" t="s">
        <v>2003</v>
      </c>
      <c r="AX1516" s="4" t="s">
        <v>2099</v>
      </c>
      <c r="AY1516" s="4">
        <v>55</v>
      </c>
      <c r="AZ1516" s="4">
        <v>-124.3</v>
      </c>
      <c r="BA1516" s="4">
        <v>10</v>
      </c>
    </row>
    <row r="1517" spans="2:53" ht="14.25" customHeight="1" x14ac:dyDescent="0.2">
      <c r="B1517" s="9">
        <v>12</v>
      </c>
      <c r="C1517" s="4" t="s">
        <v>1711</v>
      </c>
      <c r="D1517" s="188">
        <v>151</v>
      </c>
      <c r="E1517" s="4">
        <v>1716</v>
      </c>
      <c r="F1517" s="4" t="s">
        <v>2111</v>
      </c>
      <c r="G1517" s="188" t="s">
        <v>2112</v>
      </c>
      <c r="H1517" s="4" t="s">
        <v>2113</v>
      </c>
      <c r="I1517" s="4" t="s">
        <v>641</v>
      </c>
      <c r="J1517" s="4" t="s">
        <v>1736</v>
      </c>
      <c r="K1517" s="4">
        <v>1</v>
      </c>
      <c r="L1517" s="4">
        <v>2119</v>
      </c>
      <c r="M1517" s="6">
        <v>56.364330000000002</v>
      </c>
      <c r="N1517" s="9">
        <v>-123.36556</v>
      </c>
      <c r="O1517" s="9" t="s">
        <v>1290</v>
      </c>
      <c r="P1517" s="9">
        <v>151</v>
      </c>
      <c r="Q1517" s="20">
        <v>5</v>
      </c>
      <c r="R1517" s="9" t="s">
        <v>2111</v>
      </c>
      <c r="S1517" s="9" t="s">
        <v>1737</v>
      </c>
      <c r="T1517" s="9">
        <v>1108</v>
      </c>
      <c r="U1517" s="9"/>
      <c r="V1517" s="9"/>
      <c r="W1517" s="21">
        <v>31778</v>
      </c>
      <c r="X1517" s="9" t="s">
        <v>1738</v>
      </c>
      <c r="Y1517" s="9"/>
      <c r="AK1517" s="260"/>
      <c r="AO1517" s="4" t="s">
        <v>2111</v>
      </c>
      <c r="AP1517" s="4">
        <v>151</v>
      </c>
      <c r="AQ1517" s="4" t="s">
        <v>1716</v>
      </c>
      <c r="AR1517" s="4" t="s">
        <v>1739</v>
      </c>
      <c r="AS1517" s="4" t="s">
        <v>1740</v>
      </c>
      <c r="AT1517" s="4" t="s">
        <v>1741</v>
      </c>
      <c r="AU1517" s="4" t="s">
        <v>1742</v>
      </c>
      <c r="AV1517" s="4" t="s">
        <v>1720</v>
      </c>
      <c r="AW1517" s="4" t="s">
        <v>2003</v>
      </c>
      <c r="AX1517" s="4" t="s">
        <v>2087</v>
      </c>
      <c r="AY1517" s="4">
        <v>56.3643</v>
      </c>
      <c r="AZ1517" s="4">
        <v>-123.3655</v>
      </c>
      <c r="BA1517" s="4">
        <v>1103</v>
      </c>
    </row>
    <row r="1518" spans="2:53" ht="14.25" customHeight="1" x14ac:dyDescent="0.2">
      <c r="B1518" s="9">
        <v>12</v>
      </c>
      <c r="C1518" s="4" t="s">
        <v>1711</v>
      </c>
      <c r="D1518" s="188">
        <v>168</v>
      </c>
      <c r="E1518" s="4">
        <v>1731</v>
      </c>
      <c r="F1518" s="211" t="s">
        <v>2173</v>
      </c>
      <c r="G1518" s="4" t="s">
        <v>2174</v>
      </c>
      <c r="H1518" s="4" t="s">
        <v>2175</v>
      </c>
      <c r="I1518" s="4" t="s">
        <v>1664</v>
      </c>
      <c r="J1518" s="4" t="s">
        <v>1746</v>
      </c>
      <c r="K1518" s="4">
        <v>1</v>
      </c>
      <c r="L1518" s="4">
        <v>2134</v>
      </c>
      <c r="M1518" s="223"/>
      <c r="U1518"/>
      <c r="Y1518" s="9"/>
      <c r="AK1518" s="260"/>
      <c r="AO1518" s="4" t="s">
        <v>2173</v>
      </c>
      <c r="AP1518" s="4">
        <v>168</v>
      </c>
      <c r="AQ1518" s="4" t="s">
        <v>1716</v>
      </c>
      <c r="AR1518" s="4" t="s">
        <v>1717</v>
      </c>
      <c r="AS1518" s="4" t="s">
        <v>1718</v>
      </c>
      <c r="AT1518" s="4" t="s">
        <v>1719</v>
      </c>
      <c r="AU1518" s="4" t="s">
        <v>1703</v>
      </c>
      <c r="AV1518" s="4" t="s">
        <v>1720</v>
      </c>
      <c r="AW1518" s="4" t="s">
        <v>1947</v>
      </c>
      <c r="AX1518" s="4" t="s">
        <v>2153</v>
      </c>
      <c r="AY1518" s="4">
        <v>54.8</v>
      </c>
      <c r="AZ1518" s="4">
        <v>-126.1</v>
      </c>
      <c r="BA1518" s="4">
        <v>0</v>
      </c>
    </row>
    <row r="1519" spans="2:53" ht="14.25" customHeight="1" x14ac:dyDescent="0.2">
      <c r="B1519" s="9">
        <v>12</v>
      </c>
      <c r="C1519" s="4" t="s">
        <v>1711</v>
      </c>
      <c r="D1519" s="4">
        <v>174</v>
      </c>
      <c r="E1519" s="4">
        <v>1737</v>
      </c>
      <c r="F1519" s="211" t="s">
        <v>2190</v>
      </c>
      <c r="G1519" s="4" t="s">
        <v>2191</v>
      </c>
      <c r="H1519" s="4" t="s">
        <v>2192</v>
      </c>
      <c r="I1519" s="4" t="s">
        <v>1664</v>
      </c>
      <c r="J1519" s="4" t="s">
        <v>1715</v>
      </c>
      <c r="K1519" s="4">
        <v>1</v>
      </c>
      <c r="L1519" s="4">
        <v>2140</v>
      </c>
      <c r="M1519" s="223"/>
      <c r="U1519"/>
      <c r="Y1519" s="9"/>
      <c r="AK1519" s="260"/>
      <c r="AO1519" s="4" t="s">
        <v>2190</v>
      </c>
      <c r="AP1519" s="4">
        <v>174</v>
      </c>
      <c r="AQ1519" s="4" t="s">
        <v>1716</v>
      </c>
      <c r="AR1519" s="4" t="s">
        <v>1717</v>
      </c>
      <c r="AS1519" s="4" t="s">
        <v>1718</v>
      </c>
      <c r="AT1519" s="4" t="s">
        <v>1719</v>
      </c>
      <c r="AU1519" s="4" t="s">
        <v>1703</v>
      </c>
      <c r="AV1519" s="4" t="s">
        <v>1720</v>
      </c>
      <c r="AW1519" s="4" t="s">
        <v>2193</v>
      </c>
      <c r="AX1519" s="4" t="s">
        <v>2194</v>
      </c>
      <c r="AY1519" s="4">
        <v>53.3</v>
      </c>
      <c r="AZ1519" s="4">
        <v>-124.1</v>
      </c>
      <c r="BA1519" s="4">
        <v>12</v>
      </c>
    </row>
    <row r="1520" spans="2:53" ht="14.25" customHeight="1" x14ac:dyDescent="0.2">
      <c r="B1520" s="9">
        <v>12</v>
      </c>
      <c r="C1520" s="188" t="s">
        <v>1711</v>
      </c>
      <c r="D1520" s="188">
        <v>175</v>
      </c>
      <c r="E1520" s="4">
        <v>1738</v>
      </c>
      <c r="F1520" s="188" t="s">
        <v>2195</v>
      </c>
      <c r="G1520" s="188" t="s">
        <v>2196</v>
      </c>
      <c r="H1520" s="4" t="s">
        <v>2197</v>
      </c>
      <c r="I1520" s="4" t="s">
        <v>641</v>
      </c>
      <c r="J1520" s="4" t="s">
        <v>1736</v>
      </c>
      <c r="K1520" s="4">
        <v>1</v>
      </c>
      <c r="L1520" s="4">
        <v>2141</v>
      </c>
      <c r="M1520" s="6">
        <v>53.865389999999998</v>
      </c>
      <c r="N1520" s="9">
        <v>-123.32317</v>
      </c>
      <c r="O1520" s="9" t="s">
        <v>1290</v>
      </c>
      <c r="P1520" s="9">
        <v>175</v>
      </c>
      <c r="Q1520" s="20">
        <v>2</v>
      </c>
      <c r="R1520" s="9" t="s">
        <v>2195</v>
      </c>
      <c r="S1520" s="9" t="s">
        <v>1737</v>
      </c>
      <c r="T1520" s="9">
        <v>858</v>
      </c>
      <c r="U1520" s="9"/>
      <c r="V1520" s="9"/>
      <c r="W1520" s="21">
        <v>33970</v>
      </c>
      <c r="X1520" s="4" t="s">
        <v>1738</v>
      </c>
      <c r="Y1520" s="9"/>
      <c r="AK1520" s="260"/>
      <c r="AO1520" s="4" t="s">
        <v>2195</v>
      </c>
      <c r="AP1520" s="4">
        <v>175</v>
      </c>
      <c r="AQ1520" s="4" t="s">
        <v>1700</v>
      </c>
      <c r="AR1520" s="4" t="s">
        <v>1739</v>
      </c>
      <c r="AS1520" s="4" t="s">
        <v>1740</v>
      </c>
      <c r="AT1520" s="4" t="s">
        <v>1741</v>
      </c>
      <c r="AU1520" s="4" t="s">
        <v>1959</v>
      </c>
      <c r="AV1520" s="4" t="s">
        <v>1720</v>
      </c>
      <c r="AW1520" s="4" t="s">
        <v>2003</v>
      </c>
      <c r="AX1520" s="4" t="s">
        <v>2091</v>
      </c>
      <c r="AY1520" s="4">
        <v>53.865400000000001</v>
      </c>
      <c r="AZ1520" s="4">
        <v>-123.3232</v>
      </c>
      <c r="BA1520" s="4">
        <v>858</v>
      </c>
    </row>
    <row r="1521" spans="2:53" ht="14.25" customHeight="1" x14ac:dyDescent="0.2">
      <c r="B1521" s="9">
        <v>12</v>
      </c>
      <c r="C1521" s="188" t="s">
        <v>1711</v>
      </c>
      <c r="D1521" s="188">
        <v>176</v>
      </c>
      <c r="E1521" s="4">
        <v>1739</v>
      </c>
      <c r="F1521" s="16" t="s">
        <v>2198</v>
      </c>
      <c r="G1521" s="188" t="s">
        <v>2199</v>
      </c>
      <c r="H1521" s="4" t="s">
        <v>2200</v>
      </c>
      <c r="I1521" s="4" t="s">
        <v>1664</v>
      </c>
      <c r="J1521" s="4" t="s">
        <v>1746</v>
      </c>
      <c r="K1521" s="4">
        <v>1</v>
      </c>
      <c r="L1521" s="4">
        <v>2142</v>
      </c>
      <c r="M1521" s="223"/>
      <c r="U1521"/>
      <c r="Y1521" s="9"/>
      <c r="AK1521" s="260"/>
      <c r="AO1521" s="208" t="s">
        <v>2198</v>
      </c>
      <c r="AP1521" s="4">
        <v>176</v>
      </c>
      <c r="AQ1521" s="4" t="s">
        <v>1716</v>
      </c>
      <c r="AR1521" s="4" t="s">
        <v>1717</v>
      </c>
      <c r="AS1521" s="4" t="s">
        <v>1718</v>
      </c>
      <c r="AT1521" s="4" t="s">
        <v>1719</v>
      </c>
      <c r="AU1521" s="4" t="s">
        <v>1703</v>
      </c>
      <c r="AV1521" s="4" t="s">
        <v>1720</v>
      </c>
      <c r="AW1521" s="4" t="s">
        <v>2003</v>
      </c>
      <c r="AX1521" s="4" t="s">
        <v>2139</v>
      </c>
      <c r="AY1521" s="4">
        <v>53.8</v>
      </c>
      <c r="AZ1521" s="4">
        <v>-125</v>
      </c>
      <c r="BA1521" s="4">
        <v>11</v>
      </c>
    </row>
    <row r="1522" spans="2:53" ht="14.25" customHeight="1" x14ac:dyDescent="0.2">
      <c r="B1522" s="9">
        <v>12</v>
      </c>
      <c r="C1522" s="188" t="s">
        <v>1711</v>
      </c>
      <c r="D1522" s="188">
        <v>177</v>
      </c>
      <c r="E1522" s="4">
        <v>1740</v>
      </c>
      <c r="F1522" s="16" t="s">
        <v>2201</v>
      </c>
      <c r="G1522" s="188" t="s">
        <v>2202</v>
      </c>
      <c r="H1522" s="4" t="s">
        <v>2203</v>
      </c>
      <c r="I1522" s="4" t="s">
        <v>1664</v>
      </c>
      <c r="J1522" s="4" t="s">
        <v>1715</v>
      </c>
      <c r="K1522" s="4">
        <v>1</v>
      </c>
      <c r="L1522" s="4">
        <v>2143</v>
      </c>
      <c r="M1522" s="223"/>
      <c r="U1522"/>
      <c r="Y1522" s="9"/>
      <c r="AK1522" s="260"/>
      <c r="AO1522" s="4" t="s">
        <v>2201</v>
      </c>
      <c r="AP1522" s="4">
        <v>177</v>
      </c>
      <c r="AQ1522" s="4" t="s">
        <v>1716</v>
      </c>
      <c r="AR1522" s="4" t="s">
        <v>1717</v>
      </c>
      <c r="AS1522" s="4" t="s">
        <v>1718</v>
      </c>
      <c r="AT1522" s="4" t="s">
        <v>1719</v>
      </c>
      <c r="AU1522" s="4" t="s">
        <v>1703</v>
      </c>
      <c r="AV1522" s="4" t="s">
        <v>1720</v>
      </c>
      <c r="AW1522" s="4" t="s">
        <v>2003</v>
      </c>
      <c r="AX1522" s="4" t="s">
        <v>2139</v>
      </c>
      <c r="AY1522" s="4">
        <v>54.2</v>
      </c>
      <c r="AZ1522" s="4">
        <v>-124.5</v>
      </c>
      <c r="BA1522" s="4">
        <v>9</v>
      </c>
    </row>
    <row r="1523" spans="2:53" ht="14.25" customHeight="1" x14ac:dyDescent="0.2">
      <c r="B1523" s="9">
        <v>12</v>
      </c>
      <c r="C1523" s="188" t="s">
        <v>1711</v>
      </c>
      <c r="D1523" s="188">
        <v>179</v>
      </c>
      <c r="E1523" s="4">
        <v>1742</v>
      </c>
      <c r="F1523" s="188" t="s">
        <v>2208</v>
      </c>
      <c r="G1523" s="188" t="s">
        <v>2209</v>
      </c>
      <c r="H1523" s="4" t="s">
        <v>2210</v>
      </c>
      <c r="I1523" s="4" t="s">
        <v>641</v>
      </c>
      <c r="J1523" s="4" t="s">
        <v>1865</v>
      </c>
      <c r="K1523" s="4">
        <v>1</v>
      </c>
      <c r="L1523" s="4">
        <v>2145</v>
      </c>
      <c r="M1523" s="6">
        <v>53.942520000000002</v>
      </c>
      <c r="N1523" s="9">
        <v>-126.9278</v>
      </c>
      <c r="O1523" s="9" t="s">
        <v>148</v>
      </c>
      <c r="P1523" s="9">
        <v>179</v>
      </c>
      <c r="Q1523" s="20">
        <v>3</v>
      </c>
      <c r="R1523" s="9" t="s">
        <v>2208</v>
      </c>
      <c r="S1523" s="9" t="s">
        <v>1737</v>
      </c>
      <c r="T1523" s="9">
        <v>954</v>
      </c>
      <c r="U1523" s="9" t="s">
        <v>645</v>
      </c>
      <c r="V1523" s="9" t="s">
        <v>2147</v>
      </c>
      <c r="W1523" s="21">
        <v>31048</v>
      </c>
      <c r="X1523" s="4" t="s">
        <v>1738</v>
      </c>
      <c r="Y1523" s="9"/>
      <c r="AK1523" s="260"/>
      <c r="AO1523" s="4" t="s">
        <v>2208</v>
      </c>
      <c r="AP1523" s="4">
        <v>179</v>
      </c>
      <c r="AQ1523" s="4" t="s">
        <v>1716</v>
      </c>
      <c r="AR1523" s="4" t="s">
        <v>1739</v>
      </c>
      <c r="AS1523" s="4" t="s">
        <v>1740</v>
      </c>
      <c r="AT1523" s="4" t="s">
        <v>1741</v>
      </c>
      <c r="AU1523" s="4" t="s">
        <v>1959</v>
      </c>
      <c r="AV1523" s="4" t="s">
        <v>1720</v>
      </c>
      <c r="AW1523" s="4" t="s">
        <v>1947</v>
      </c>
      <c r="AX1523" s="4" t="s">
        <v>2153</v>
      </c>
      <c r="AY1523" s="4">
        <v>53.942500000000003</v>
      </c>
      <c r="AZ1523" s="4">
        <v>-126.9278</v>
      </c>
      <c r="BA1523" s="4">
        <v>954</v>
      </c>
    </row>
    <row r="1524" spans="2:53" ht="14.25" customHeight="1" x14ac:dyDescent="0.2">
      <c r="B1524" s="9">
        <v>12</v>
      </c>
      <c r="C1524" s="4" t="s">
        <v>1711</v>
      </c>
      <c r="D1524" s="188">
        <v>185</v>
      </c>
      <c r="E1524" s="4">
        <v>1747</v>
      </c>
      <c r="F1524" s="211" t="s">
        <v>2224</v>
      </c>
      <c r="G1524" s="4" t="s">
        <v>2225</v>
      </c>
      <c r="H1524" s="4" t="s">
        <v>2226</v>
      </c>
      <c r="I1524" s="4" t="s">
        <v>1664</v>
      </c>
      <c r="J1524" s="4" t="s">
        <v>1715</v>
      </c>
      <c r="K1524" s="4">
        <v>1</v>
      </c>
      <c r="L1524" s="4">
        <v>2150</v>
      </c>
      <c r="M1524" s="223"/>
      <c r="U1524"/>
      <c r="Y1524" s="9"/>
      <c r="AK1524" s="260"/>
      <c r="AO1524" s="4" t="s">
        <v>2224</v>
      </c>
      <c r="AP1524" s="4">
        <v>185</v>
      </c>
      <c r="AQ1524" s="4" t="s">
        <v>1716</v>
      </c>
      <c r="AR1524" s="4" t="s">
        <v>1717</v>
      </c>
      <c r="AS1524" s="4" t="s">
        <v>1718</v>
      </c>
      <c r="AT1524" s="4" t="s">
        <v>1719</v>
      </c>
      <c r="AU1524" s="4" t="s">
        <v>1703</v>
      </c>
      <c r="AV1524" s="4" t="s">
        <v>1720</v>
      </c>
      <c r="AW1524" s="4" t="s">
        <v>2003</v>
      </c>
      <c r="AX1524" s="4" t="s">
        <v>2091</v>
      </c>
      <c r="AY1524" s="4">
        <v>53.6</v>
      </c>
      <c r="AZ1524" s="4">
        <v>-123</v>
      </c>
      <c r="BA1524" s="4">
        <v>7</v>
      </c>
    </row>
    <row r="1525" spans="2:53" ht="14.25" customHeight="1" x14ac:dyDescent="0.2">
      <c r="B1525" s="9">
        <v>12</v>
      </c>
      <c r="C1525" s="4" t="s">
        <v>1711</v>
      </c>
      <c r="D1525" s="188">
        <v>188</v>
      </c>
      <c r="E1525" s="4">
        <v>1749</v>
      </c>
      <c r="F1525" s="211" t="s">
        <v>2232</v>
      </c>
      <c r="G1525" s="4" t="s">
        <v>2233</v>
      </c>
      <c r="H1525" s="4" t="s">
        <v>2234</v>
      </c>
      <c r="I1525" s="4" t="s">
        <v>1664</v>
      </c>
      <c r="J1525" s="4" t="s">
        <v>1715</v>
      </c>
      <c r="K1525" s="4">
        <v>1</v>
      </c>
      <c r="L1525" s="4">
        <v>2152</v>
      </c>
      <c r="M1525" s="223"/>
      <c r="U1525"/>
      <c r="Y1525" s="9"/>
      <c r="AK1525" s="260"/>
      <c r="AO1525" s="4" t="s">
        <v>2232</v>
      </c>
      <c r="AP1525" s="4">
        <v>188</v>
      </c>
      <c r="AQ1525" s="4" t="s">
        <v>1716</v>
      </c>
      <c r="AR1525" s="4" t="s">
        <v>1717</v>
      </c>
      <c r="AS1525" s="4" t="s">
        <v>1718</v>
      </c>
      <c r="AT1525" s="4" t="s">
        <v>1719</v>
      </c>
      <c r="AU1525" s="4" t="s">
        <v>1703</v>
      </c>
      <c r="AV1525" s="4" t="s">
        <v>1720</v>
      </c>
      <c r="AW1525" s="4" t="s">
        <v>2193</v>
      </c>
      <c r="AX1525" s="4" t="s">
        <v>2194</v>
      </c>
      <c r="AY1525" s="4">
        <v>53</v>
      </c>
      <c r="AZ1525" s="4">
        <v>-122.2</v>
      </c>
      <c r="BA1525" s="4">
        <v>10</v>
      </c>
    </row>
    <row r="1526" spans="2:53" ht="14.25" customHeight="1" x14ac:dyDescent="0.2">
      <c r="B1526" s="9">
        <v>12</v>
      </c>
      <c r="C1526" s="4" t="s">
        <v>1711</v>
      </c>
      <c r="D1526" s="188">
        <v>191</v>
      </c>
      <c r="E1526" s="4">
        <v>1752</v>
      </c>
      <c r="F1526" s="4" t="s">
        <v>2241</v>
      </c>
      <c r="G1526" s="4" t="s">
        <v>2242</v>
      </c>
      <c r="H1526" s="4" t="s">
        <v>2243</v>
      </c>
      <c r="I1526" s="4" t="s">
        <v>641</v>
      </c>
      <c r="J1526" s="4" t="s">
        <v>1715</v>
      </c>
      <c r="K1526" s="4">
        <v>1</v>
      </c>
      <c r="L1526" s="4">
        <v>2155</v>
      </c>
      <c r="M1526" s="223"/>
      <c r="U1526"/>
      <c r="Y1526" s="9"/>
      <c r="AK1526" s="260"/>
      <c r="AO1526" s="4" t="s">
        <v>2244</v>
      </c>
      <c r="AP1526" s="4">
        <v>191</v>
      </c>
      <c r="AQ1526" s="4" t="s">
        <v>1716</v>
      </c>
      <c r="AR1526" s="4" t="s">
        <v>1717</v>
      </c>
      <c r="AS1526" s="4" t="s">
        <v>1718</v>
      </c>
      <c r="AT1526" s="4" t="s">
        <v>1835</v>
      </c>
      <c r="AU1526" s="4" t="s">
        <v>1959</v>
      </c>
      <c r="AV1526" s="4" t="s">
        <v>1720</v>
      </c>
      <c r="AW1526" s="4" t="s">
        <v>2003</v>
      </c>
      <c r="AX1526" s="4" t="s">
        <v>2091</v>
      </c>
      <c r="AY1526" s="4">
        <v>54.077800000000003</v>
      </c>
      <c r="AZ1526" s="4">
        <v>-121.8263</v>
      </c>
      <c r="BA1526" s="4">
        <v>638</v>
      </c>
    </row>
    <row r="1527" spans="2:53" ht="14.25" customHeight="1" x14ac:dyDescent="0.2">
      <c r="B1527" s="9">
        <v>12</v>
      </c>
      <c r="C1527" s="4" t="s">
        <v>1711</v>
      </c>
      <c r="D1527" s="188">
        <v>192</v>
      </c>
      <c r="E1527" s="4">
        <v>1753</v>
      </c>
      <c r="F1527" s="4" t="s">
        <v>2245</v>
      </c>
      <c r="G1527" s="4" t="s">
        <v>2246</v>
      </c>
      <c r="H1527" s="4" t="s">
        <v>2247</v>
      </c>
      <c r="I1527" s="4" t="s">
        <v>641</v>
      </c>
      <c r="J1527" s="4" t="s">
        <v>1736</v>
      </c>
      <c r="K1527" s="4">
        <v>1</v>
      </c>
      <c r="L1527" s="4">
        <v>2156</v>
      </c>
      <c r="M1527" s="6">
        <v>53.928890000000003</v>
      </c>
      <c r="N1527" s="9">
        <v>-120.63569</v>
      </c>
      <c r="O1527" s="9" t="s">
        <v>1290</v>
      </c>
      <c r="P1527" s="9">
        <v>192</v>
      </c>
      <c r="Q1527" s="20">
        <v>3</v>
      </c>
      <c r="R1527" s="9" t="s">
        <v>2245</v>
      </c>
      <c r="S1527" s="9" t="s">
        <v>1737</v>
      </c>
      <c r="T1527" s="9">
        <v>975</v>
      </c>
      <c r="U1527" s="9"/>
      <c r="V1527" s="9"/>
      <c r="W1527" s="21">
        <v>31413</v>
      </c>
      <c r="X1527" s="9" t="s">
        <v>1738</v>
      </c>
      <c r="Y1527" s="9"/>
      <c r="AK1527" s="260"/>
      <c r="AO1527" s="4" t="s">
        <v>2245</v>
      </c>
      <c r="AP1527" s="4">
        <v>192</v>
      </c>
      <c r="AQ1527" s="4" t="s">
        <v>1716</v>
      </c>
      <c r="AR1527" s="4" t="s">
        <v>1739</v>
      </c>
      <c r="AS1527" s="4" t="s">
        <v>1740</v>
      </c>
      <c r="AT1527" s="4" t="s">
        <v>1741</v>
      </c>
      <c r="AU1527" s="4" t="s">
        <v>1742</v>
      </c>
      <c r="AV1527" s="4" t="s">
        <v>1720</v>
      </c>
      <c r="AW1527" s="4" t="s">
        <v>2003</v>
      </c>
      <c r="AX1527" s="4" t="s">
        <v>2091</v>
      </c>
      <c r="AY1527" s="4">
        <v>53.928899999999999</v>
      </c>
      <c r="AZ1527" s="4">
        <v>-120.63549999999999</v>
      </c>
      <c r="BA1527" s="4">
        <v>979</v>
      </c>
    </row>
    <row r="1528" spans="2:53" ht="14.25" customHeight="1" x14ac:dyDescent="0.2">
      <c r="B1528" s="9">
        <v>12</v>
      </c>
      <c r="C1528" s="4" t="s">
        <v>1711</v>
      </c>
      <c r="D1528" s="188">
        <v>196</v>
      </c>
      <c r="E1528" s="4">
        <v>1757</v>
      </c>
      <c r="F1528" s="211" t="s">
        <v>2263</v>
      </c>
      <c r="G1528" s="4" t="s">
        <v>2264</v>
      </c>
      <c r="H1528" s="4" t="s">
        <v>1900</v>
      </c>
      <c r="I1528" s="4" t="s">
        <v>1664</v>
      </c>
      <c r="J1528" s="4" t="s">
        <v>1715</v>
      </c>
      <c r="K1528" s="4">
        <v>1</v>
      </c>
      <c r="L1528" s="4">
        <v>2160</v>
      </c>
      <c r="M1528" s="223"/>
      <c r="U1528"/>
      <c r="Y1528" s="9"/>
      <c r="AK1528" s="260"/>
      <c r="AO1528" s="4" t="s">
        <v>2263</v>
      </c>
      <c r="AP1528" s="4">
        <v>196</v>
      </c>
      <c r="AQ1528" s="4" t="s">
        <v>1716</v>
      </c>
      <c r="AR1528" s="4" t="s">
        <v>1717</v>
      </c>
      <c r="AS1528" s="4" t="s">
        <v>1718</v>
      </c>
      <c r="AT1528" s="4" t="s">
        <v>1719</v>
      </c>
      <c r="AU1528" s="4" t="s">
        <v>1703</v>
      </c>
      <c r="AV1528" s="4" t="s">
        <v>1720</v>
      </c>
      <c r="AW1528" s="4" t="s">
        <v>2003</v>
      </c>
      <c r="AX1528" s="4" t="s">
        <v>2258</v>
      </c>
      <c r="AY1528" s="4">
        <v>53</v>
      </c>
      <c r="AZ1528" s="4">
        <v>-119.6</v>
      </c>
      <c r="BA1528" s="4">
        <v>8</v>
      </c>
    </row>
    <row r="1529" spans="2:53" ht="14.25" customHeight="1" x14ac:dyDescent="0.2">
      <c r="B1529" s="9">
        <v>12</v>
      </c>
      <c r="C1529" s="4" t="s">
        <v>1711</v>
      </c>
      <c r="D1529" s="188">
        <v>197</v>
      </c>
      <c r="E1529" s="4">
        <v>1758</v>
      </c>
      <c r="F1529" s="211" t="s">
        <v>2265</v>
      </c>
      <c r="G1529" s="4" t="s">
        <v>2266</v>
      </c>
      <c r="H1529" s="4" t="s">
        <v>1900</v>
      </c>
      <c r="I1529" s="4" t="s">
        <v>1664</v>
      </c>
      <c r="J1529" s="4" t="s">
        <v>1715</v>
      </c>
      <c r="K1529" s="4">
        <v>1</v>
      </c>
      <c r="L1529" s="4">
        <v>2161</v>
      </c>
      <c r="M1529" s="223"/>
      <c r="U1529"/>
      <c r="Y1529" s="9"/>
      <c r="AK1529" s="260"/>
      <c r="AO1529" s="4" t="s">
        <v>2265</v>
      </c>
      <c r="AP1529" s="4">
        <v>197</v>
      </c>
      <c r="AQ1529" s="4" t="s">
        <v>1716</v>
      </c>
      <c r="AR1529" s="4" t="s">
        <v>1717</v>
      </c>
      <c r="AS1529" s="4" t="s">
        <v>1718</v>
      </c>
      <c r="AT1529" s="4" t="s">
        <v>1719</v>
      </c>
      <c r="AU1529" s="4" t="s">
        <v>1703</v>
      </c>
      <c r="AV1529" s="4" t="s">
        <v>1720</v>
      </c>
      <c r="AW1529" s="4" t="s">
        <v>2003</v>
      </c>
      <c r="AX1529" s="4" t="s">
        <v>2258</v>
      </c>
      <c r="AY1529" s="4">
        <v>53.4</v>
      </c>
      <c r="AZ1529" s="4">
        <v>-120.4</v>
      </c>
      <c r="BA1529" s="4">
        <v>0</v>
      </c>
    </row>
    <row r="1530" spans="2:53" ht="14.25" customHeight="1" x14ac:dyDescent="0.2">
      <c r="B1530" s="9">
        <v>12</v>
      </c>
      <c r="C1530" s="4" t="s">
        <v>1711</v>
      </c>
      <c r="D1530" s="188">
        <v>201</v>
      </c>
      <c r="E1530" s="4">
        <v>1761</v>
      </c>
      <c r="F1530" s="4" t="s">
        <v>2273</v>
      </c>
      <c r="G1530" s="4" t="s">
        <v>2274</v>
      </c>
      <c r="H1530" s="4" t="s">
        <v>2275</v>
      </c>
      <c r="I1530" s="4" t="s">
        <v>641</v>
      </c>
      <c r="J1530" s="4" t="s">
        <v>1736</v>
      </c>
      <c r="K1530" s="4">
        <v>1</v>
      </c>
      <c r="L1530" s="4">
        <v>2164</v>
      </c>
      <c r="M1530" s="6">
        <v>53.935969999999998</v>
      </c>
      <c r="N1530" s="9">
        <v>-124.77672</v>
      </c>
      <c r="O1530" s="9" t="s">
        <v>148</v>
      </c>
      <c r="P1530" s="9">
        <v>654</v>
      </c>
      <c r="Q1530" s="20">
        <v>3</v>
      </c>
      <c r="R1530" s="9" t="s">
        <v>2276</v>
      </c>
      <c r="S1530" s="9" t="s">
        <v>1737</v>
      </c>
      <c r="T1530" s="9">
        <v>961</v>
      </c>
      <c r="U1530" s="9"/>
      <c r="V1530" s="9" t="s">
        <v>2147</v>
      </c>
      <c r="W1530" s="21">
        <v>35796</v>
      </c>
      <c r="X1530" s="9" t="s">
        <v>1738</v>
      </c>
      <c r="Y1530" s="9"/>
      <c r="AK1530" s="260"/>
      <c r="AO1530" s="4" t="s">
        <v>2273</v>
      </c>
      <c r="AP1530" s="4">
        <v>201</v>
      </c>
      <c r="AQ1530" s="4" t="s">
        <v>1716</v>
      </c>
      <c r="AR1530" s="4" t="s">
        <v>1717</v>
      </c>
      <c r="AS1530" s="4" t="s">
        <v>1740</v>
      </c>
      <c r="AT1530" s="4" t="s">
        <v>1835</v>
      </c>
      <c r="AU1530" s="4" t="s">
        <v>1742</v>
      </c>
      <c r="AV1530" s="4" t="s">
        <v>1720</v>
      </c>
      <c r="AW1530" s="4" t="s">
        <v>2003</v>
      </c>
      <c r="AX1530" s="4" t="s">
        <v>2258</v>
      </c>
      <c r="AY1530" s="4">
        <v>53.345399999999998</v>
      </c>
      <c r="AZ1530" s="4">
        <v>-119.7132</v>
      </c>
      <c r="BA1530" s="4">
        <v>1179</v>
      </c>
    </row>
    <row r="1531" spans="2:53" ht="14.25" customHeight="1" x14ac:dyDescent="0.2">
      <c r="B1531" s="9">
        <v>12</v>
      </c>
      <c r="C1531" s="4" t="s">
        <v>1711</v>
      </c>
      <c r="D1531" s="188">
        <v>202</v>
      </c>
      <c r="E1531" s="4">
        <v>1762</v>
      </c>
      <c r="F1531" s="4" t="s">
        <v>2277</v>
      </c>
      <c r="G1531" s="4" t="s">
        <v>2278</v>
      </c>
      <c r="H1531" s="4" t="s">
        <v>2279</v>
      </c>
      <c r="I1531" s="4" t="s">
        <v>641</v>
      </c>
      <c r="J1531" s="4" t="s">
        <v>1715</v>
      </c>
      <c r="K1531" s="4">
        <v>1</v>
      </c>
      <c r="L1531" s="4">
        <v>2165</v>
      </c>
      <c r="M1531" s="223"/>
      <c r="U1531"/>
      <c r="Y1531" s="9"/>
      <c r="AK1531" s="260"/>
      <c r="AO1531" s="4" t="s">
        <v>2280</v>
      </c>
      <c r="AP1531" s="4">
        <v>202</v>
      </c>
      <c r="AQ1531" s="4" t="s">
        <v>1716</v>
      </c>
      <c r="AR1531" s="4" t="s">
        <v>1717</v>
      </c>
      <c r="AS1531" s="4" t="s">
        <v>1718</v>
      </c>
      <c r="AT1531" s="4" t="s">
        <v>2161</v>
      </c>
      <c r="AU1531" s="4" t="s">
        <v>2162</v>
      </c>
      <c r="AV1531" s="4" t="s">
        <v>1720</v>
      </c>
      <c r="AW1531" s="4" t="s">
        <v>2003</v>
      </c>
      <c r="AX1531" s="4" t="s">
        <v>2258</v>
      </c>
      <c r="AY1531" s="4">
        <v>52.7027</v>
      </c>
      <c r="AZ1531" s="4">
        <v>-118.4701</v>
      </c>
      <c r="BA1531" s="4">
        <v>1667</v>
      </c>
    </row>
    <row r="1532" spans="2:53" ht="14.25" customHeight="1" x14ac:dyDescent="0.2">
      <c r="B1532" s="9">
        <v>12</v>
      </c>
      <c r="C1532" s="4" t="s">
        <v>1711</v>
      </c>
      <c r="D1532" s="188">
        <v>204</v>
      </c>
      <c r="E1532" s="4">
        <v>1763</v>
      </c>
      <c r="F1532" s="211" t="s">
        <v>2284</v>
      </c>
      <c r="G1532" s="4" t="s">
        <v>2285</v>
      </c>
      <c r="H1532" s="4" t="s">
        <v>2286</v>
      </c>
      <c r="I1532" s="4" t="s">
        <v>1664</v>
      </c>
      <c r="J1532" s="4" t="s">
        <v>1715</v>
      </c>
      <c r="K1532" s="4">
        <v>1</v>
      </c>
      <c r="L1532" s="4">
        <v>2166</v>
      </c>
      <c r="M1532" s="223"/>
      <c r="U1532"/>
      <c r="Y1532" s="9"/>
      <c r="AK1532" s="260"/>
      <c r="AO1532" s="4" t="s">
        <v>2284</v>
      </c>
      <c r="AP1532" s="4">
        <v>204</v>
      </c>
      <c r="AQ1532" s="4" t="s">
        <v>1716</v>
      </c>
      <c r="AR1532" s="4" t="s">
        <v>1717</v>
      </c>
      <c r="AS1532" s="4" t="s">
        <v>1718</v>
      </c>
      <c r="AT1532" s="4" t="s">
        <v>1719</v>
      </c>
      <c r="AU1532" s="4" t="s">
        <v>1703</v>
      </c>
      <c r="AV1532" s="4" t="s">
        <v>1720</v>
      </c>
      <c r="AW1532" s="4" t="s">
        <v>2193</v>
      </c>
      <c r="AX1532" s="4" t="s">
        <v>2287</v>
      </c>
      <c r="AY1532" s="4">
        <v>51.4</v>
      </c>
      <c r="AZ1532" s="4">
        <v>-121.7</v>
      </c>
      <c r="BA1532" s="4">
        <v>11</v>
      </c>
    </row>
    <row r="1533" spans="2:53" ht="14.25" customHeight="1" x14ac:dyDescent="0.2">
      <c r="B1533" s="9">
        <v>12</v>
      </c>
      <c r="C1533" s="4" t="s">
        <v>1711</v>
      </c>
      <c r="D1533" s="188">
        <v>206</v>
      </c>
      <c r="E1533" s="4">
        <v>1764</v>
      </c>
      <c r="F1533" s="4" t="s">
        <v>2292</v>
      </c>
      <c r="G1533" s="4" t="s">
        <v>2293</v>
      </c>
      <c r="H1533" s="4" t="s">
        <v>2294</v>
      </c>
      <c r="I1533" s="4" t="s">
        <v>641</v>
      </c>
      <c r="J1533" s="4" t="s">
        <v>1865</v>
      </c>
      <c r="K1533" s="4">
        <v>1</v>
      </c>
      <c r="L1533" s="4">
        <v>2167</v>
      </c>
      <c r="M1533" s="6">
        <v>52.534999999999997</v>
      </c>
      <c r="N1533" s="9">
        <v>-123.25</v>
      </c>
      <c r="O1533" s="9" t="s">
        <v>148</v>
      </c>
      <c r="P1533" s="9">
        <v>206</v>
      </c>
      <c r="Q1533" s="20">
        <v>4</v>
      </c>
      <c r="R1533" s="9" t="s">
        <v>2292</v>
      </c>
      <c r="S1533" s="9" t="s">
        <v>1737</v>
      </c>
      <c r="T1533" s="4">
        <v>1085</v>
      </c>
      <c r="U1533"/>
      <c r="W1533" s="4">
        <v>25569</v>
      </c>
      <c r="X1533" s="4" t="s">
        <v>1738</v>
      </c>
      <c r="Y1533" s="9"/>
      <c r="AK1533" s="260"/>
      <c r="AO1533" s="4" t="s">
        <v>2292</v>
      </c>
      <c r="AP1533" s="4">
        <v>206</v>
      </c>
      <c r="AQ1533" s="4" t="s">
        <v>1716</v>
      </c>
      <c r="AR1533" s="4" t="s">
        <v>1739</v>
      </c>
      <c r="AS1533" s="4" t="s">
        <v>1740</v>
      </c>
      <c r="AT1533" s="4" t="s">
        <v>1741</v>
      </c>
      <c r="AU1533" s="4" t="s">
        <v>1742</v>
      </c>
      <c r="AV1533" s="4" t="s">
        <v>1720</v>
      </c>
      <c r="AW1533" s="4" t="s">
        <v>2193</v>
      </c>
      <c r="AX1533" s="4" t="s">
        <v>2291</v>
      </c>
      <c r="AY1533" s="4">
        <v>52.542200000000001</v>
      </c>
      <c r="AZ1533" s="4">
        <v>-123.35</v>
      </c>
      <c r="BA1533" s="4">
        <v>1085</v>
      </c>
    </row>
    <row r="1534" spans="2:53" ht="14.25" customHeight="1" x14ac:dyDescent="0.2">
      <c r="B1534" s="9">
        <v>12</v>
      </c>
      <c r="C1534" s="4" t="s">
        <v>1711</v>
      </c>
      <c r="D1534" s="188">
        <v>208</v>
      </c>
      <c r="E1534" s="4">
        <v>1765</v>
      </c>
      <c r="F1534" s="4" t="s">
        <v>2295</v>
      </c>
      <c r="G1534" s="4" t="s">
        <v>2296</v>
      </c>
      <c r="H1534" s="4" t="s">
        <v>2297</v>
      </c>
      <c r="I1534" s="4" t="s">
        <v>641</v>
      </c>
      <c r="J1534" s="4" t="s">
        <v>1736</v>
      </c>
      <c r="K1534" s="4">
        <v>1</v>
      </c>
      <c r="L1534" s="4">
        <v>2168</v>
      </c>
      <c r="M1534" s="6">
        <v>51.906669999999998</v>
      </c>
      <c r="N1534" s="9">
        <v>-124.605</v>
      </c>
      <c r="O1534" s="9" t="s">
        <v>148</v>
      </c>
      <c r="P1534" s="9">
        <v>208</v>
      </c>
      <c r="Q1534" s="20">
        <v>2</v>
      </c>
      <c r="R1534" s="9" t="s">
        <v>2298</v>
      </c>
      <c r="S1534" s="9" t="s">
        <v>1737</v>
      </c>
      <c r="T1534" s="4">
        <v>945</v>
      </c>
      <c r="U1534" s="4" t="s">
        <v>645</v>
      </c>
      <c r="W1534" s="4">
        <v>29221</v>
      </c>
      <c r="X1534" s="4" t="s">
        <v>1738</v>
      </c>
      <c r="Y1534" s="9"/>
      <c r="AK1534" s="260"/>
      <c r="AO1534" s="4" t="s">
        <v>2295</v>
      </c>
      <c r="AP1534" s="4">
        <v>208</v>
      </c>
      <c r="AQ1534" s="4" t="s">
        <v>1700</v>
      </c>
      <c r="AR1534" s="4" t="s">
        <v>1739</v>
      </c>
      <c r="AS1534" s="4" t="s">
        <v>1740</v>
      </c>
      <c r="AT1534" s="4" t="s">
        <v>1741</v>
      </c>
      <c r="AU1534" s="4" t="s">
        <v>1959</v>
      </c>
      <c r="AV1534" s="4" t="s">
        <v>1720</v>
      </c>
      <c r="AW1534" s="4" t="s">
        <v>2193</v>
      </c>
      <c r="AX1534" s="4" t="s">
        <v>2283</v>
      </c>
      <c r="AY1534" s="4">
        <v>51.906700000000001</v>
      </c>
      <c r="AZ1534" s="4">
        <v>-124.605</v>
      </c>
      <c r="BA1534" s="4">
        <v>945</v>
      </c>
    </row>
    <row r="1535" spans="2:53" ht="14.25" customHeight="1" x14ac:dyDescent="0.2">
      <c r="B1535" s="9">
        <v>12</v>
      </c>
      <c r="C1535" s="4" t="s">
        <v>1711</v>
      </c>
      <c r="D1535" s="188">
        <v>211</v>
      </c>
      <c r="E1535" s="4">
        <v>1768</v>
      </c>
      <c r="F1535" s="4" t="s">
        <v>2305</v>
      </c>
      <c r="G1535" s="4" t="s">
        <v>2306</v>
      </c>
      <c r="H1535" s="4" t="s">
        <v>2307</v>
      </c>
      <c r="I1535" s="4" t="s">
        <v>641</v>
      </c>
      <c r="J1535" s="4" t="s">
        <v>1736</v>
      </c>
      <c r="K1535" s="4">
        <v>1</v>
      </c>
      <c r="L1535" s="4">
        <v>2171</v>
      </c>
      <c r="M1535" s="6">
        <v>52.957500000000003</v>
      </c>
      <c r="N1535" s="9">
        <v>-123.5958</v>
      </c>
      <c r="O1535" s="9" t="s">
        <v>148</v>
      </c>
      <c r="P1535" s="9">
        <v>211</v>
      </c>
      <c r="Q1535" s="20">
        <v>2</v>
      </c>
      <c r="R1535" s="9" t="s">
        <v>2305</v>
      </c>
      <c r="S1535" s="9" t="s">
        <v>1737</v>
      </c>
      <c r="T1535" s="4">
        <v>910</v>
      </c>
      <c r="U1535" s="4" t="s">
        <v>645</v>
      </c>
      <c r="V1535" s="4" t="s">
        <v>1830</v>
      </c>
      <c r="W1535" s="4">
        <v>29587</v>
      </c>
      <c r="X1535" s="4" t="s">
        <v>1738</v>
      </c>
      <c r="Y1535" s="9"/>
      <c r="AK1535" s="260"/>
      <c r="AO1535" s="4" t="s">
        <v>2305</v>
      </c>
      <c r="AP1535" s="4">
        <v>211</v>
      </c>
      <c r="AQ1535" s="4" t="s">
        <v>1716</v>
      </c>
      <c r="AR1535" s="4" t="s">
        <v>1739</v>
      </c>
      <c r="AS1535" s="4" t="s">
        <v>1740</v>
      </c>
      <c r="AT1535" s="4" t="s">
        <v>1741</v>
      </c>
      <c r="AU1535" s="4" t="s">
        <v>1742</v>
      </c>
      <c r="AV1535" s="4" t="s">
        <v>1720</v>
      </c>
      <c r="AW1535" s="4" t="s">
        <v>2193</v>
      </c>
      <c r="AX1535" s="4" t="s">
        <v>2194</v>
      </c>
      <c r="AY1535" s="4">
        <v>52.957500000000003</v>
      </c>
      <c r="AZ1535" s="4">
        <v>-123.5958</v>
      </c>
      <c r="BA1535" s="4">
        <v>910</v>
      </c>
    </row>
    <row r="1536" spans="2:53" ht="14.25" customHeight="1" x14ac:dyDescent="0.2">
      <c r="B1536" s="9">
        <v>12</v>
      </c>
      <c r="C1536" s="4" t="s">
        <v>1711</v>
      </c>
      <c r="D1536" s="188">
        <v>213</v>
      </c>
      <c r="E1536" s="4">
        <v>1770</v>
      </c>
      <c r="F1536" s="4" t="s">
        <v>2312</v>
      </c>
      <c r="G1536" s="4" t="s">
        <v>2313</v>
      </c>
      <c r="H1536" s="4" t="s">
        <v>2314</v>
      </c>
      <c r="I1536" s="4" t="s">
        <v>641</v>
      </c>
      <c r="J1536" s="4" t="s">
        <v>1736</v>
      </c>
      <c r="K1536" s="4">
        <v>1</v>
      </c>
      <c r="L1536" s="4">
        <v>2173</v>
      </c>
      <c r="M1536" s="6">
        <v>52.456670000000003</v>
      </c>
      <c r="N1536" s="9">
        <v>-125.30333</v>
      </c>
      <c r="O1536" s="9" t="s">
        <v>148</v>
      </c>
      <c r="P1536" s="224">
        <v>213</v>
      </c>
      <c r="Q1536" s="20">
        <v>4</v>
      </c>
      <c r="R1536" s="9" t="s">
        <v>2315</v>
      </c>
      <c r="S1536" s="9" t="s">
        <v>1737</v>
      </c>
      <c r="T1536" s="4">
        <v>1096</v>
      </c>
      <c r="U1536" s="4" t="s">
        <v>645</v>
      </c>
      <c r="V1536" s="4" t="s">
        <v>1830</v>
      </c>
      <c r="W1536" s="4">
        <v>29587</v>
      </c>
      <c r="X1536" s="4" t="s">
        <v>1738</v>
      </c>
      <c r="Y1536" s="9"/>
      <c r="AK1536" s="260"/>
      <c r="AO1536" s="4" t="s">
        <v>2312</v>
      </c>
      <c r="AP1536" s="4">
        <v>213</v>
      </c>
      <c r="AQ1536" s="4" t="s">
        <v>1700</v>
      </c>
      <c r="AR1536" s="4" t="s">
        <v>1739</v>
      </c>
      <c r="AS1536" s="4" t="s">
        <v>1740</v>
      </c>
      <c r="AT1536" s="4" t="s">
        <v>1741</v>
      </c>
      <c r="AU1536" s="4" t="s">
        <v>1959</v>
      </c>
      <c r="AV1536" s="4" t="s">
        <v>1720</v>
      </c>
      <c r="AW1536" s="4" t="s">
        <v>2193</v>
      </c>
      <c r="AX1536" s="4" t="s">
        <v>2283</v>
      </c>
      <c r="AY1536" s="4">
        <v>52.460599999999999</v>
      </c>
      <c r="AZ1536" s="4">
        <v>-125.307</v>
      </c>
      <c r="BA1536" s="4">
        <v>1097</v>
      </c>
    </row>
    <row r="1537" spans="2:53" ht="14.25" customHeight="1" x14ac:dyDescent="0.2">
      <c r="B1537" s="9">
        <v>12</v>
      </c>
      <c r="C1537" s="188" t="s">
        <v>1711</v>
      </c>
      <c r="D1537" s="188">
        <v>214</v>
      </c>
      <c r="E1537" s="4">
        <v>1771</v>
      </c>
      <c r="F1537" s="211" t="s">
        <v>2316</v>
      </c>
      <c r="G1537" s="4" t="s">
        <v>2317</v>
      </c>
      <c r="H1537" s="4" t="s">
        <v>1900</v>
      </c>
      <c r="I1537" s="4" t="s">
        <v>1664</v>
      </c>
      <c r="J1537" s="4" t="s">
        <v>1715</v>
      </c>
      <c r="K1537" s="4">
        <v>1</v>
      </c>
      <c r="L1537" s="4">
        <v>2174</v>
      </c>
      <c r="M1537" s="223"/>
      <c r="U1537"/>
      <c r="Y1537" s="9"/>
      <c r="AK1537" s="260"/>
      <c r="AO1537" s="4" t="s">
        <v>2316</v>
      </c>
      <c r="AP1537" s="4">
        <v>214</v>
      </c>
      <c r="AQ1537" s="4" t="s">
        <v>1716</v>
      </c>
      <c r="AR1537" s="4" t="s">
        <v>1717</v>
      </c>
      <c r="AS1537" s="4" t="s">
        <v>1718</v>
      </c>
      <c r="AT1537" s="4" t="s">
        <v>1719</v>
      </c>
      <c r="AU1537" s="4" t="s">
        <v>1703</v>
      </c>
      <c r="AV1537" s="4" t="s">
        <v>1720</v>
      </c>
      <c r="AW1537" s="4" t="s">
        <v>2193</v>
      </c>
      <c r="AX1537" s="4" t="s">
        <v>2283</v>
      </c>
      <c r="AY1537" s="4">
        <v>52</v>
      </c>
      <c r="AZ1537" s="4">
        <v>-125</v>
      </c>
      <c r="BA1537" s="4">
        <v>9</v>
      </c>
    </row>
    <row r="1538" spans="2:53" ht="14.25" customHeight="1" x14ac:dyDescent="0.2">
      <c r="B1538" s="9">
        <v>12</v>
      </c>
      <c r="C1538" s="4" t="s">
        <v>1711</v>
      </c>
      <c r="D1538" s="188">
        <v>215</v>
      </c>
      <c r="E1538" s="4">
        <v>1772</v>
      </c>
      <c r="F1538" s="211" t="s">
        <v>2318</v>
      </c>
      <c r="G1538" s="4" t="s">
        <v>2319</v>
      </c>
      <c r="H1538" s="4" t="s">
        <v>2320</v>
      </c>
      <c r="I1538" s="4" t="s">
        <v>1664</v>
      </c>
      <c r="J1538" s="4" t="s">
        <v>1746</v>
      </c>
      <c r="K1538" s="4">
        <v>1</v>
      </c>
      <c r="L1538" s="4">
        <v>2175</v>
      </c>
      <c r="M1538" s="223"/>
      <c r="U1538"/>
      <c r="Y1538" s="9"/>
      <c r="AK1538" s="260"/>
      <c r="AO1538" s="4" t="s">
        <v>2318</v>
      </c>
      <c r="AP1538" s="4">
        <v>215</v>
      </c>
      <c r="AQ1538" s="4" t="s">
        <v>1716</v>
      </c>
      <c r="AR1538" s="4" t="s">
        <v>1717</v>
      </c>
      <c r="AS1538" s="4" t="s">
        <v>1718</v>
      </c>
      <c r="AT1538" s="4" t="s">
        <v>1719</v>
      </c>
      <c r="AU1538" s="4" t="s">
        <v>1703</v>
      </c>
      <c r="AV1538" s="4" t="s">
        <v>1720</v>
      </c>
      <c r="AW1538" s="4" t="s">
        <v>2193</v>
      </c>
      <c r="AX1538" s="4" t="s">
        <v>2283</v>
      </c>
      <c r="AY1538" s="4">
        <v>51.6</v>
      </c>
      <c r="AZ1538" s="4">
        <v>-124.4</v>
      </c>
      <c r="BA1538" s="4">
        <v>12</v>
      </c>
    </row>
    <row r="1539" spans="2:53" ht="14.25" customHeight="1" x14ac:dyDescent="0.2">
      <c r="B1539" s="9">
        <v>12</v>
      </c>
      <c r="C1539" s="4" t="s">
        <v>1711</v>
      </c>
      <c r="D1539" s="188">
        <v>216</v>
      </c>
      <c r="E1539" s="4">
        <v>1773</v>
      </c>
      <c r="F1539" s="4" t="s">
        <v>2321</v>
      </c>
      <c r="G1539" s="4" t="s">
        <v>2322</v>
      </c>
      <c r="H1539" s="4" t="s">
        <v>2323</v>
      </c>
      <c r="I1539" s="4" t="s">
        <v>641</v>
      </c>
      <c r="J1539" s="4" t="s">
        <v>1865</v>
      </c>
      <c r="K1539" s="4">
        <v>1</v>
      </c>
      <c r="L1539" s="4">
        <v>2176</v>
      </c>
      <c r="M1539" s="6">
        <v>51.48</v>
      </c>
      <c r="N1539" s="9">
        <v>-123.81833</v>
      </c>
      <c r="O1539" s="9" t="s">
        <v>148</v>
      </c>
      <c r="P1539" s="9">
        <v>216</v>
      </c>
      <c r="Q1539" s="20">
        <v>6</v>
      </c>
      <c r="R1539" s="9" t="s">
        <v>2321</v>
      </c>
      <c r="S1539" s="9" t="s">
        <v>1737</v>
      </c>
      <c r="T1539" s="9">
        <v>1220</v>
      </c>
      <c r="U1539" s="9"/>
      <c r="V1539" s="9"/>
      <c r="W1539" s="21">
        <v>29952</v>
      </c>
      <c r="X1539" s="9" t="s">
        <v>1738</v>
      </c>
      <c r="Y1539" s="9"/>
      <c r="AK1539" s="260"/>
      <c r="AO1539" s="4" t="s">
        <v>2321</v>
      </c>
      <c r="AP1539" s="4">
        <v>216</v>
      </c>
      <c r="AQ1539" s="4" t="s">
        <v>1716</v>
      </c>
      <c r="AR1539" s="4" t="s">
        <v>1739</v>
      </c>
      <c r="AS1539" s="4" t="s">
        <v>1740</v>
      </c>
      <c r="AT1539" s="4" t="s">
        <v>1741</v>
      </c>
      <c r="AU1539" s="4" t="s">
        <v>1742</v>
      </c>
      <c r="AV1539" s="4" t="s">
        <v>1720</v>
      </c>
      <c r="AW1539" s="4" t="s">
        <v>2193</v>
      </c>
      <c r="AX1539" s="4" t="s">
        <v>2283</v>
      </c>
      <c r="AY1539" s="4">
        <v>51.48</v>
      </c>
      <c r="AZ1539" s="4">
        <v>-123.81829999999999</v>
      </c>
      <c r="BA1539" s="4">
        <v>1220</v>
      </c>
    </row>
    <row r="1540" spans="2:53" ht="14.25" customHeight="1" x14ac:dyDescent="0.2">
      <c r="B1540" s="9">
        <v>12</v>
      </c>
      <c r="C1540" s="4" t="s">
        <v>1711</v>
      </c>
      <c r="D1540" s="4">
        <v>218</v>
      </c>
      <c r="E1540" s="4">
        <v>1775</v>
      </c>
      <c r="F1540" s="4" t="s">
        <v>2327</v>
      </c>
      <c r="G1540" s="4" t="s">
        <v>2328</v>
      </c>
      <c r="H1540" s="4" t="s">
        <v>2329</v>
      </c>
      <c r="I1540" s="4" t="s">
        <v>641</v>
      </c>
      <c r="J1540" s="4" t="s">
        <v>1865</v>
      </c>
      <c r="K1540" s="4">
        <v>1</v>
      </c>
      <c r="L1540" s="4">
        <v>2178</v>
      </c>
      <c r="M1540" s="6">
        <v>51.506999999999998</v>
      </c>
      <c r="N1540" s="9">
        <v>-121.16200000000001</v>
      </c>
      <c r="O1540" s="9" t="s">
        <v>148</v>
      </c>
      <c r="P1540" s="9">
        <v>218</v>
      </c>
      <c r="Q1540" s="20">
        <v>5</v>
      </c>
      <c r="R1540" s="9" t="s">
        <v>2327</v>
      </c>
      <c r="S1540" s="9" t="s">
        <v>1737</v>
      </c>
      <c r="T1540" s="9">
        <v>1158</v>
      </c>
      <c r="U1540" s="9"/>
      <c r="V1540" s="9"/>
      <c r="W1540" s="21">
        <v>31778</v>
      </c>
      <c r="X1540" s="9" t="s">
        <v>1738</v>
      </c>
      <c r="Y1540" s="9"/>
      <c r="AK1540" s="260"/>
      <c r="AO1540" s="4" t="s">
        <v>2327</v>
      </c>
      <c r="AP1540" s="4">
        <v>218</v>
      </c>
      <c r="AQ1540" s="4" t="s">
        <v>1700</v>
      </c>
      <c r="AR1540" s="4" t="s">
        <v>1739</v>
      </c>
      <c r="AS1540" s="4" t="s">
        <v>1740</v>
      </c>
      <c r="AT1540" s="4" t="s">
        <v>1741</v>
      </c>
      <c r="AU1540" s="4" t="s">
        <v>1959</v>
      </c>
      <c r="AV1540" s="4" t="s">
        <v>1720</v>
      </c>
      <c r="AW1540" s="4" t="s">
        <v>2193</v>
      </c>
      <c r="AX1540" s="4" t="s">
        <v>2287</v>
      </c>
      <c r="AY1540" s="4">
        <v>51.506999999999998</v>
      </c>
      <c r="AZ1540" s="4">
        <v>-121.16200000000001</v>
      </c>
      <c r="BA1540" s="4">
        <v>1158</v>
      </c>
    </row>
    <row r="1541" spans="2:53" ht="14.25" customHeight="1" x14ac:dyDescent="0.2">
      <c r="B1541" s="9">
        <v>12</v>
      </c>
      <c r="C1541" s="4" t="s">
        <v>1711</v>
      </c>
      <c r="D1541" s="188">
        <v>219</v>
      </c>
      <c r="E1541" s="4">
        <v>1776</v>
      </c>
      <c r="F1541" s="211" t="s">
        <v>2330</v>
      </c>
      <c r="G1541" s="4" t="s">
        <v>2331</v>
      </c>
      <c r="H1541" s="4" t="s">
        <v>2332</v>
      </c>
      <c r="I1541" s="4" t="s">
        <v>641</v>
      </c>
      <c r="J1541" s="4" t="s">
        <v>1715</v>
      </c>
      <c r="K1541" s="4">
        <v>1</v>
      </c>
      <c r="L1541" s="4">
        <v>2179</v>
      </c>
      <c r="M1541" s="223"/>
      <c r="U1541"/>
      <c r="Y1541" s="9"/>
      <c r="AK1541" s="260"/>
      <c r="AO1541" s="4" t="s">
        <v>2330</v>
      </c>
      <c r="AP1541" s="4">
        <v>219</v>
      </c>
      <c r="AQ1541" s="4" t="s">
        <v>1716</v>
      </c>
      <c r="AR1541" s="4" t="s">
        <v>1717</v>
      </c>
      <c r="AS1541" s="4" t="s">
        <v>1718</v>
      </c>
      <c r="AT1541" s="4" t="s">
        <v>1703</v>
      </c>
      <c r="AU1541" s="4" t="s">
        <v>1703</v>
      </c>
      <c r="AV1541" s="4" t="s">
        <v>1720</v>
      </c>
      <c r="AW1541" s="4" t="s">
        <v>2193</v>
      </c>
      <c r="AX1541" s="4" t="s">
        <v>2194</v>
      </c>
      <c r="AY1541" s="4">
        <v>52.953299999999999</v>
      </c>
      <c r="AZ1541" s="4">
        <v>-124.00830000000001</v>
      </c>
      <c r="BA1541" s="4">
        <v>862</v>
      </c>
    </row>
    <row r="1542" spans="2:53" ht="14.25" customHeight="1" x14ac:dyDescent="0.2">
      <c r="B1542" s="9">
        <v>12</v>
      </c>
      <c r="C1542" s="4" t="s">
        <v>1711</v>
      </c>
      <c r="D1542" s="188">
        <v>220</v>
      </c>
      <c r="E1542" s="4">
        <v>1777</v>
      </c>
      <c r="F1542" s="211" t="s">
        <v>2333</v>
      </c>
      <c r="G1542" s="4" t="s">
        <v>2334</v>
      </c>
      <c r="H1542" s="4" t="s">
        <v>2335</v>
      </c>
      <c r="I1542" s="4" t="s">
        <v>641</v>
      </c>
      <c r="J1542" s="4" t="s">
        <v>1746</v>
      </c>
      <c r="K1542" s="4">
        <v>1</v>
      </c>
      <c r="L1542" s="4">
        <v>2180</v>
      </c>
      <c r="M1542" s="223"/>
      <c r="U1542"/>
      <c r="Y1542" s="9"/>
      <c r="AK1542" s="260"/>
      <c r="AO1542" s="4" t="s">
        <v>2333</v>
      </c>
      <c r="AP1542" s="4">
        <v>220</v>
      </c>
      <c r="AQ1542" s="4" t="s">
        <v>1716</v>
      </c>
      <c r="AR1542" s="4" t="s">
        <v>1717</v>
      </c>
      <c r="AS1542" s="4" t="s">
        <v>1718</v>
      </c>
      <c r="AT1542" s="4" t="s">
        <v>1703</v>
      </c>
      <c r="AU1542" s="4" t="s">
        <v>1703</v>
      </c>
      <c r="AV1542" s="4" t="s">
        <v>1720</v>
      </c>
      <c r="AW1542" s="4" t="s">
        <v>2193</v>
      </c>
      <c r="AX1542" s="4" t="s">
        <v>2291</v>
      </c>
      <c r="AY1542" s="4">
        <v>51.7</v>
      </c>
      <c r="AZ1542" s="4">
        <v>-123.2</v>
      </c>
      <c r="BA1542" s="4">
        <v>11</v>
      </c>
    </row>
    <row r="1543" spans="2:53" ht="14.25" customHeight="1" x14ac:dyDescent="0.2">
      <c r="B1543" s="9">
        <v>12</v>
      </c>
      <c r="C1543" s="4" t="s">
        <v>1711</v>
      </c>
      <c r="D1543" s="188">
        <v>221</v>
      </c>
      <c r="E1543" s="4">
        <v>1778</v>
      </c>
      <c r="F1543" s="4" t="s">
        <v>2336</v>
      </c>
      <c r="G1543" s="4" t="s">
        <v>2337</v>
      </c>
      <c r="H1543" s="4" t="s">
        <v>2338</v>
      </c>
      <c r="I1543" s="4" t="s">
        <v>641</v>
      </c>
      <c r="J1543" s="4" t="s">
        <v>1736</v>
      </c>
      <c r="K1543" s="4">
        <v>1</v>
      </c>
      <c r="L1543" s="4">
        <v>2181</v>
      </c>
      <c r="M1543" s="6">
        <v>52.710099999999997</v>
      </c>
      <c r="N1543" s="9">
        <v>-124.48224999999999</v>
      </c>
      <c r="O1543" s="9" t="s">
        <v>148</v>
      </c>
      <c r="P1543" s="224">
        <v>221</v>
      </c>
      <c r="Q1543" s="20">
        <v>8</v>
      </c>
      <c r="R1543" s="9" t="s">
        <v>2336</v>
      </c>
      <c r="S1543" s="9" t="s">
        <v>1737</v>
      </c>
      <c r="T1543" s="9">
        <v>1666</v>
      </c>
      <c r="U1543" s="9"/>
      <c r="V1543" s="9"/>
      <c r="W1543" s="21">
        <v>33604</v>
      </c>
      <c r="X1543" s="9" t="s">
        <v>1738</v>
      </c>
      <c r="Y1543" s="9"/>
      <c r="AK1543" s="260"/>
      <c r="AO1543" s="4" t="s">
        <v>2336</v>
      </c>
      <c r="AP1543" s="4">
        <v>221</v>
      </c>
      <c r="AQ1543" s="4" t="s">
        <v>1700</v>
      </c>
      <c r="AR1543" s="4" t="s">
        <v>1739</v>
      </c>
      <c r="AS1543" s="4" t="s">
        <v>1740</v>
      </c>
      <c r="AT1543" s="4" t="s">
        <v>1741</v>
      </c>
      <c r="AU1543" s="4" t="s">
        <v>1959</v>
      </c>
      <c r="AV1543" s="4" t="s">
        <v>1720</v>
      </c>
      <c r="AW1543" s="4" t="s">
        <v>2193</v>
      </c>
      <c r="AX1543" s="4" t="s">
        <v>2283</v>
      </c>
      <c r="AY1543" s="4">
        <v>52.710099999999997</v>
      </c>
      <c r="AZ1543" s="4">
        <v>-124.48220000000001</v>
      </c>
      <c r="BA1543" s="4">
        <v>1666</v>
      </c>
    </row>
    <row r="1544" spans="2:53" ht="14.25" customHeight="1" x14ac:dyDescent="0.2">
      <c r="B1544" s="9">
        <v>12</v>
      </c>
      <c r="C1544" s="4" t="s">
        <v>1711</v>
      </c>
      <c r="D1544" s="188">
        <v>222</v>
      </c>
      <c r="E1544" s="4">
        <v>1779</v>
      </c>
      <c r="F1544" s="4" t="s">
        <v>2339</v>
      </c>
      <c r="G1544" s="4" t="s">
        <v>2340</v>
      </c>
      <c r="H1544" s="4" t="s">
        <v>2341</v>
      </c>
      <c r="I1544" s="4" t="s">
        <v>641</v>
      </c>
      <c r="J1544" s="4" t="s">
        <v>1865</v>
      </c>
      <c r="K1544" s="4">
        <v>1</v>
      </c>
      <c r="L1544" s="4">
        <v>2182</v>
      </c>
      <c r="M1544" s="6">
        <v>51.45167</v>
      </c>
      <c r="N1544" s="9">
        <v>-122.66167</v>
      </c>
      <c r="O1544" s="9" t="s">
        <v>148</v>
      </c>
      <c r="P1544" s="9">
        <v>222</v>
      </c>
      <c r="Q1544" s="20">
        <v>8</v>
      </c>
      <c r="R1544" s="9" t="s">
        <v>2339</v>
      </c>
      <c r="S1544" s="9" t="s">
        <v>1737</v>
      </c>
      <c r="T1544" s="9">
        <v>1675</v>
      </c>
      <c r="U1544" s="9"/>
      <c r="V1544" s="9"/>
      <c r="W1544" s="21">
        <v>33604</v>
      </c>
      <c r="X1544" s="9" t="s">
        <v>1738</v>
      </c>
      <c r="Y1544" s="9"/>
      <c r="AK1544" s="260"/>
      <c r="AO1544" s="4" t="s">
        <v>2339</v>
      </c>
      <c r="AP1544" s="4">
        <v>222</v>
      </c>
      <c r="AQ1544" s="4" t="s">
        <v>1700</v>
      </c>
      <c r="AR1544" s="4" t="s">
        <v>1739</v>
      </c>
      <c r="AS1544" s="4" t="s">
        <v>1740</v>
      </c>
      <c r="AT1544" s="4" t="s">
        <v>1741</v>
      </c>
      <c r="AU1544" s="4" t="s">
        <v>1959</v>
      </c>
      <c r="AV1544" s="4" t="s">
        <v>1720</v>
      </c>
      <c r="AW1544" s="4" t="s">
        <v>2193</v>
      </c>
      <c r="AX1544" s="4" t="s">
        <v>2291</v>
      </c>
      <c r="AY1544" s="4">
        <v>51.451700000000002</v>
      </c>
      <c r="AZ1544" s="4">
        <v>-122.6617</v>
      </c>
      <c r="BA1544" s="4">
        <v>1675</v>
      </c>
    </row>
    <row r="1545" spans="2:53" ht="14.25" customHeight="1" x14ac:dyDescent="0.2">
      <c r="B1545" s="9">
        <v>12</v>
      </c>
      <c r="C1545" s="4" t="s">
        <v>1711</v>
      </c>
      <c r="D1545" s="188">
        <v>223</v>
      </c>
      <c r="E1545" s="4">
        <v>1780</v>
      </c>
      <c r="F1545" s="211" t="s">
        <v>2342</v>
      </c>
      <c r="G1545" s="4" t="s">
        <v>2343</v>
      </c>
      <c r="H1545" s="4" t="s">
        <v>2344</v>
      </c>
      <c r="I1545" s="4" t="s">
        <v>641</v>
      </c>
      <c r="J1545" s="4" t="s">
        <v>1746</v>
      </c>
      <c r="K1545" s="4">
        <v>1</v>
      </c>
      <c r="L1545" s="4">
        <v>2183</v>
      </c>
      <c r="M1545" s="223"/>
      <c r="U1545"/>
      <c r="Y1545" s="9"/>
      <c r="AK1545" s="260"/>
      <c r="AO1545" s="4" t="s">
        <v>2342</v>
      </c>
      <c r="AP1545" s="4">
        <v>223</v>
      </c>
      <c r="AQ1545" s="4" t="s">
        <v>1716</v>
      </c>
      <c r="AR1545" s="4" t="s">
        <v>1717</v>
      </c>
      <c r="AS1545" s="4" t="s">
        <v>1718</v>
      </c>
      <c r="AT1545" s="4" t="s">
        <v>1703</v>
      </c>
      <c r="AU1545" s="4" t="s">
        <v>1703</v>
      </c>
      <c r="AV1545" s="4" t="s">
        <v>1720</v>
      </c>
      <c r="AW1545" s="4" t="s">
        <v>2193</v>
      </c>
      <c r="AX1545" s="4" t="s">
        <v>2291</v>
      </c>
      <c r="AY1545" s="4">
        <v>52.3</v>
      </c>
      <c r="AZ1545" s="4">
        <v>-122.4</v>
      </c>
      <c r="BA1545" s="4">
        <v>0</v>
      </c>
    </row>
    <row r="1546" spans="2:53" ht="14.25" customHeight="1" x14ac:dyDescent="0.2">
      <c r="B1546" s="9">
        <v>12</v>
      </c>
      <c r="C1546" s="4" t="s">
        <v>1711</v>
      </c>
      <c r="D1546" s="188">
        <v>224</v>
      </c>
      <c r="E1546" s="4">
        <v>1781</v>
      </c>
      <c r="F1546" s="211" t="s">
        <v>2345</v>
      </c>
      <c r="G1546" s="4" t="s">
        <v>2346</v>
      </c>
      <c r="H1546" s="4" t="s">
        <v>2347</v>
      </c>
      <c r="I1546" s="4" t="s">
        <v>641</v>
      </c>
      <c r="J1546" s="4" t="s">
        <v>1715</v>
      </c>
      <c r="K1546" s="4">
        <v>1</v>
      </c>
      <c r="L1546" s="4">
        <v>2184</v>
      </c>
      <c r="M1546" s="223"/>
      <c r="U1546"/>
      <c r="Y1546" s="9"/>
      <c r="AK1546" s="260"/>
      <c r="AO1546" s="4" t="s">
        <v>2345</v>
      </c>
      <c r="AP1546" s="4">
        <v>224</v>
      </c>
      <c r="AQ1546" s="4" t="s">
        <v>1716</v>
      </c>
      <c r="AR1546" s="4" t="s">
        <v>1717</v>
      </c>
      <c r="AS1546" s="4" t="s">
        <v>1718</v>
      </c>
      <c r="AT1546" s="4" t="s">
        <v>1703</v>
      </c>
      <c r="AU1546" s="4" t="s">
        <v>1703</v>
      </c>
      <c r="AV1546" s="4" t="s">
        <v>1720</v>
      </c>
      <c r="AW1546" s="4" t="s">
        <v>2193</v>
      </c>
      <c r="AX1546" s="4" t="s">
        <v>2291</v>
      </c>
      <c r="AY1546" s="4">
        <v>52.6083</v>
      </c>
      <c r="AZ1546" s="4">
        <v>-122.1217</v>
      </c>
      <c r="BA1546" s="4">
        <v>853</v>
      </c>
    </row>
    <row r="1547" spans="2:53" ht="14.25" customHeight="1" x14ac:dyDescent="0.2">
      <c r="B1547" s="9">
        <v>12</v>
      </c>
      <c r="C1547" s="4" t="s">
        <v>1711</v>
      </c>
      <c r="D1547" s="4">
        <v>226</v>
      </c>
      <c r="E1547" s="4">
        <v>1783</v>
      </c>
      <c r="F1547" s="4" t="s">
        <v>2351</v>
      </c>
      <c r="G1547" s="4" t="s">
        <v>2352</v>
      </c>
      <c r="H1547" s="4" t="s">
        <v>2353</v>
      </c>
      <c r="I1547" s="4" t="s">
        <v>641</v>
      </c>
      <c r="J1547" s="4" t="s">
        <v>1736</v>
      </c>
      <c r="K1547" s="4">
        <v>1</v>
      </c>
      <c r="L1547" s="4">
        <v>2186</v>
      </c>
      <c r="M1547" s="6">
        <v>51.70167</v>
      </c>
      <c r="N1547" s="9">
        <v>-124.875</v>
      </c>
      <c r="O1547" s="9" t="s">
        <v>148</v>
      </c>
      <c r="P1547" s="9">
        <v>226</v>
      </c>
      <c r="Q1547" s="20">
        <v>2</v>
      </c>
      <c r="R1547" s="9" t="s">
        <v>2351</v>
      </c>
      <c r="S1547" s="9" t="s">
        <v>1737</v>
      </c>
      <c r="T1547" s="9">
        <v>915</v>
      </c>
      <c r="U1547" s="9"/>
      <c r="V1547" s="9"/>
      <c r="W1547" s="21">
        <v>32509</v>
      </c>
      <c r="X1547" s="9" t="s">
        <v>1738</v>
      </c>
      <c r="Y1547" s="9"/>
      <c r="AK1547" s="260"/>
      <c r="AO1547" s="4" t="s">
        <v>2351</v>
      </c>
      <c r="AP1547" s="4">
        <v>226</v>
      </c>
      <c r="AQ1547" s="4" t="s">
        <v>1716</v>
      </c>
      <c r="AR1547" s="4" t="s">
        <v>1739</v>
      </c>
      <c r="AS1547" s="4" t="s">
        <v>1740</v>
      </c>
      <c r="AT1547" s="4" t="s">
        <v>1741</v>
      </c>
      <c r="AU1547" s="4" t="s">
        <v>1742</v>
      </c>
      <c r="AV1547" s="4" t="s">
        <v>1720</v>
      </c>
      <c r="AW1547" s="4" t="s">
        <v>2193</v>
      </c>
      <c r="AX1547" s="4" t="s">
        <v>2283</v>
      </c>
      <c r="AY1547" s="4">
        <v>51.701700000000002</v>
      </c>
      <c r="AZ1547" s="4">
        <v>-124.875</v>
      </c>
      <c r="BA1547" s="4">
        <v>915</v>
      </c>
    </row>
    <row r="1548" spans="2:53" ht="14.25" customHeight="1" x14ac:dyDescent="0.2">
      <c r="B1548" s="9">
        <v>12</v>
      </c>
      <c r="C1548" s="4" t="s">
        <v>1711</v>
      </c>
      <c r="D1548" s="188">
        <v>227</v>
      </c>
      <c r="E1548" s="4">
        <v>1784</v>
      </c>
      <c r="F1548" s="4" t="s">
        <v>2354</v>
      </c>
      <c r="G1548" s="4" t="s">
        <v>2355</v>
      </c>
      <c r="H1548" s="4" t="s">
        <v>2350</v>
      </c>
      <c r="I1548" s="4" t="s">
        <v>641</v>
      </c>
      <c r="J1548" s="4" t="s">
        <v>1736</v>
      </c>
      <c r="K1548" s="4">
        <v>1</v>
      </c>
      <c r="L1548" s="4">
        <v>2187</v>
      </c>
      <c r="M1548" s="6">
        <v>52.47</v>
      </c>
      <c r="N1548" s="9">
        <v>-121.74167</v>
      </c>
      <c r="O1548" s="9" t="s">
        <v>170</v>
      </c>
      <c r="P1548" s="9">
        <v>227</v>
      </c>
      <c r="Q1548" s="20">
        <v>2</v>
      </c>
      <c r="R1548" s="9" t="s">
        <v>2354</v>
      </c>
      <c r="S1548" s="9" t="s">
        <v>1737</v>
      </c>
      <c r="T1548" s="9">
        <v>1081</v>
      </c>
      <c r="U1548" s="9" t="s">
        <v>645</v>
      </c>
      <c r="V1548" s="9"/>
      <c r="W1548" s="21">
        <v>29587</v>
      </c>
      <c r="X1548" s="9" t="s">
        <v>1738</v>
      </c>
      <c r="Y1548" s="9"/>
      <c r="AK1548" s="260"/>
      <c r="AO1548" s="4" t="s">
        <v>2354</v>
      </c>
      <c r="AP1548" s="4">
        <v>227</v>
      </c>
      <c r="AQ1548" s="4" t="s">
        <v>1700</v>
      </c>
      <c r="AR1548" s="4" t="s">
        <v>1739</v>
      </c>
      <c r="AS1548" s="4" t="s">
        <v>1740</v>
      </c>
      <c r="AT1548" s="4" t="s">
        <v>1741</v>
      </c>
      <c r="AU1548" s="4" t="s">
        <v>1959</v>
      </c>
      <c r="AV1548" s="4" t="s">
        <v>1720</v>
      </c>
      <c r="AW1548" s="4" t="s">
        <v>2193</v>
      </c>
      <c r="AX1548" s="4" t="s">
        <v>2356</v>
      </c>
      <c r="AY1548" s="4">
        <v>52.47</v>
      </c>
      <c r="AZ1548" s="4">
        <v>-121.74169999999999</v>
      </c>
      <c r="BA1548" s="4">
        <v>1081</v>
      </c>
    </row>
    <row r="1549" spans="2:53" ht="14.25" customHeight="1" x14ac:dyDescent="0.2">
      <c r="B1549" s="9">
        <v>12</v>
      </c>
      <c r="C1549" s="4" t="s">
        <v>1711</v>
      </c>
      <c r="D1549" s="188">
        <v>228</v>
      </c>
      <c r="E1549" s="4">
        <v>1785</v>
      </c>
      <c r="F1549" s="4" t="s">
        <v>2357</v>
      </c>
      <c r="G1549" s="4" t="s">
        <v>2358</v>
      </c>
      <c r="H1549" s="4" t="s">
        <v>2359</v>
      </c>
      <c r="I1549" s="4" t="s">
        <v>641</v>
      </c>
      <c r="J1549" s="4" t="s">
        <v>1865</v>
      </c>
      <c r="K1549" s="4">
        <v>1</v>
      </c>
      <c r="L1549" s="4">
        <v>2188</v>
      </c>
      <c r="M1549" s="193">
        <v>52.91</v>
      </c>
      <c r="N1549" s="4">
        <v>-122.065</v>
      </c>
      <c r="O1549" s="4" t="s">
        <v>148</v>
      </c>
      <c r="P1549" s="4">
        <v>228</v>
      </c>
      <c r="Q1549" s="4">
        <v>3</v>
      </c>
      <c r="R1549" s="4" t="s">
        <v>2357</v>
      </c>
      <c r="S1549" s="4" t="s">
        <v>1737</v>
      </c>
      <c r="T1549" s="4">
        <v>1006</v>
      </c>
      <c r="U1549"/>
      <c r="W1549" s="4">
        <v>31778</v>
      </c>
      <c r="X1549" s="4" t="s">
        <v>1738</v>
      </c>
      <c r="Y1549" s="9"/>
      <c r="AK1549" s="260"/>
      <c r="AO1549" s="4" t="s">
        <v>2357</v>
      </c>
      <c r="AP1549" s="4">
        <v>228</v>
      </c>
      <c r="AQ1549" s="4" t="s">
        <v>1700</v>
      </c>
      <c r="AR1549" s="4" t="s">
        <v>1739</v>
      </c>
      <c r="AS1549" s="4" t="s">
        <v>1740</v>
      </c>
      <c r="AT1549" s="4" t="s">
        <v>1741</v>
      </c>
      <c r="AU1549" s="4" t="s">
        <v>1959</v>
      </c>
      <c r="AV1549" s="4" t="s">
        <v>1720</v>
      </c>
      <c r="AW1549" s="4" t="s">
        <v>2193</v>
      </c>
      <c r="AX1549" s="4" t="s">
        <v>2194</v>
      </c>
      <c r="AY1549" s="4">
        <v>52.91</v>
      </c>
      <c r="AZ1549" s="4">
        <v>-122.065</v>
      </c>
      <c r="BA1549" s="4">
        <v>1006</v>
      </c>
    </row>
    <row r="1550" spans="2:53" ht="14.25" customHeight="1" x14ac:dyDescent="0.2">
      <c r="B1550" s="9">
        <v>12</v>
      </c>
      <c r="C1550" s="4" t="s">
        <v>1711</v>
      </c>
      <c r="D1550" s="188">
        <v>231</v>
      </c>
      <c r="E1550" s="4">
        <v>1787</v>
      </c>
      <c r="F1550" s="211" t="s">
        <v>2365</v>
      </c>
      <c r="G1550" s="4" t="s">
        <v>2366</v>
      </c>
      <c r="H1550" s="4" t="s">
        <v>2367</v>
      </c>
      <c r="I1550" s="4" t="s">
        <v>641</v>
      </c>
      <c r="J1550" s="4" t="s">
        <v>1715</v>
      </c>
      <c r="K1550" s="4">
        <v>1</v>
      </c>
      <c r="L1550" s="4">
        <v>2190</v>
      </c>
      <c r="M1550" s="223"/>
      <c r="U1550"/>
      <c r="Y1550" s="9"/>
      <c r="AK1550" s="260"/>
      <c r="AO1550" s="4" t="s">
        <v>2365</v>
      </c>
      <c r="AP1550" s="4">
        <v>231</v>
      </c>
      <c r="AQ1550" s="4" t="s">
        <v>1716</v>
      </c>
      <c r="AR1550" s="4" t="s">
        <v>1717</v>
      </c>
      <c r="AS1550" s="4" t="s">
        <v>1718</v>
      </c>
      <c r="AT1550" s="4" t="s">
        <v>1703</v>
      </c>
      <c r="AU1550" s="4" t="s">
        <v>1703</v>
      </c>
      <c r="AV1550" s="4" t="s">
        <v>1720</v>
      </c>
      <c r="AW1550" s="4" t="s">
        <v>2368</v>
      </c>
      <c r="AX1550" s="4" t="s">
        <v>2369</v>
      </c>
      <c r="AY1550" s="4">
        <v>51.411700000000003</v>
      </c>
      <c r="AZ1550" s="4">
        <v>-120.34</v>
      </c>
      <c r="BA1550" s="4">
        <v>1432</v>
      </c>
    </row>
    <row r="1551" spans="2:53" ht="14.25" customHeight="1" x14ac:dyDescent="0.2">
      <c r="B1551" s="9">
        <v>12</v>
      </c>
      <c r="C1551" s="4" t="s">
        <v>1711</v>
      </c>
      <c r="D1551" s="188">
        <v>234</v>
      </c>
      <c r="E1551" s="4">
        <v>1790</v>
      </c>
      <c r="F1551" s="4" t="s">
        <v>2377</v>
      </c>
      <c r="G1551" s="4" t="s">
        <v>2378</v>
      </c>
      <c r="H1551" s="4" t="s">
        <v>2379</v>
      </c>
      <c r="I1551" s="4" t="s">
        <v>641</v>
      </c>
      <c r="J1551" s="4" t="s">
        <v>1736</v>
      </c>
      <c r="K1551" s="4">
        <v>1</v>
      </c>
      <c r="L1551" s="4">
        <v>2193</v>
      </c>
      <c r="M1551" s="193">
        <v>51.912999999999997</v>
      </c>
      <c r="N1551" s="4">
        <v>-121.389</v>
      </c>
      <c r="O1551" s="4" t="s">
        <v>148</v>
      </c>
      <c r="P1551" s="4">
        <v>234</v>
      </c>
      <c r="Q1551" s="4">
        <v>5</v>
      </c>
      <c r="R1551" s="4" t="s">
        <v>2377</v>
      </c>
      <c r="S1551" s="4" t="s">
        <v>1737</v>
      </c>
      <c r="T1551" s="4">
        <v>1161</v>
      </c>
      <c r="U1551"/>
      <c r="W1551" s="4">
        <v>32874</v>
      </c>
      <c r="X1551" s="4" t="s">
        <v>1738</v>
      </c>
      <c r="Y1551" s="9"/>
      <c r="AK1551" s="260"/>
      <c r="AO1551" s="4" t="s">
        <v>2377</v>
      </c>
      <c r="AP1551" s="4">
        <v>234</v>
      </c>
      <c r="AQ1551" s="4" t="s">
        <v>1700</v>
      </c>
      <c r="AR1551" s="4" t="s">
        <v>1739</v>
      </c>
      <c r="AS1551" s="4" t="s">
        <v>1740</v>
      </c>
      <c r="AT1551" s="4" t="s">
        <v>1741</v>
      </c>
      <c r="AU1551" s="4" t="s">
        <v>1959</v>
      </c>
      <c r="AV1551" s="4" t="s">
        <v>1720</v>
      </c>
      <c r="AW1551" s="4" t="s">
        <v>2193</v>
      </c>
      <c r="AX1551" s="4" t="s">
        <v>2287</v>
      </c>
      <c r="AY1551" s="4">
        <v>51.912999999999997</v>
      </c>
      <c r="AZ1551" s="4">
        <v>-121.389</v>
      </c>
      <c r="BA1551" s="4">
        <v>1161</v>
      </c>
    </row>
    <row r="1552" spans="2:53" ht="14.25" customHeight="1" x14ac:dyDescent="0.2">
      <c r="B1552" s="9">
        <v>12</v>
      </c>
      <c r="C1552" s="188" t="s">
        <v>1711</v>
      </c>
      <c r="D1552" s="188">
        <v>235</v>
      </c>
      <c r="E1552" s="4">
        <v>1791</v>
      </c>
      <c r="F1552" s="188" t="s">
        <v>2380</v>
      </c>
      <c r="G1552" s="188" t="s">
        <v>2381</v>
      </c>
      <c r="H1552" s="4" t="s">
        <v>2382</v>
      </c>
      <c r="I1552" s="4" t="s">
        <v>641</v>
      </c>
      <c r="J1552" s="4" t="s">
        <v>1891</v>
      </c>
      <c r="K1552" s="4">
        <v>1</v>
      </c>
      <c r="L1552" s="4">
        <v>2194</v>
      </c>
      <c r="M1552" s="193">
        <v>51.237769999999998</v>
      </c>
      <c r="N1552" s="4">
        <v>-120.99762</v>
      </c>
      <c r="O1552" s="4" t="s">
        <v>148</v>
      </c>
      <c r="P1552" s="4">
        <v>235</v>
      </c>
      <c r="Q1552" s="4">
        <v>5</v>
      </c>
      <c r="R1552" s="4" t="s">
        <v>2380</v>
      </c>
      <c r="S1552" s="4" t="s">
        <v>1737</v>
      </c>
      <c r="T1552" s="4">
        <v>1170</v>
      </c>
      <c r="U1552"/>
      <c r="W1552" s="4">
        <v>36892</v>
      </c>
      <c r="X1552" s="4" t="s">
        <v>1738</v>
      </c>
      <c r="Y1552" s="9"/>
      <c r="AK1552" s="260"/>
      <c r="AO1552" s="4" t="s">
        <v>2380</v>
      </c>
      <c r="AP1552" s="4">
        <v>235</v>
      </c>
      <c r="AQ1552" s="4" t="s">
        <v>1700</v>
      </c>
      <c r="AR1552" s="4" t="s">
        <v>1739</v>
      </c>
      <c r="AS1552" s="4" t="s">
        <v>1740</v>
      </c>
      <c r="AT1552" s="4" t="s">
        <v>1741</v>
      </c>
      <c r="AU1552" s="4" t="s">
        <v>1959</v>
      </c>
      <c r="AV1552" s="4" t="s">
        <v>1720</v>
      </c>
      <c r="AW1552" s="4" t="s">
        <v>2193</v>
      </c>
      <c r="AX1552" s="4" t="s">
        <v>2287</v>
      </c>
      <c r="AY1552" s="4">
        <v>51.2378</v>
      </c>
      <c r="AZ1552" s="4">
        <v>-120.99760000000001</v>
      </c>
      <c r="BA1552" s="4">
        <v>1170</v>
      </c>
    </row>
    <row r="1553" spans="1:72" ht="14.25" customHeight="1" x14ac:dyDescent="0.2">
      <c r="B1553" s="9">
        <v>12</v>
      </c>
      <c r="C1553" s="188" t="s">
        <v>1711</v>
      </c>
      <c r="D1553" s="188">
        <v>236</v>
      </c>
      <c r="E1553" s="4">
        <v>1792</v>
      </c>
      <c r="F1553" s="188" t="s">
        <v>2383</v>
      </c>
      <c r="G1553" s="188" t="s">
        <v>2384</v>
      </c>
      <c r="H1553" s="4" t="s">
        <v>2385</v>
      </c>
      <c r="I1553" s="4" t="s">
        <v>641</v>
      </c>
      <c r="J1553" s="4" t="s">
        <v>1736</v>
      </c>
      <c r="K1553" s="4">
        <v>1</v>
      </c>
      <c r="L1553" s="4">
        <v>2195</v>
      </c>
      <c r="M1553" s="193">
        <v>51.375</v>
      </c>
      <c r="N1553" s="4">
        <v>-121.71666999999999</v>
      </c>
      <c r="O1553" s="4" t="s">
        <v>148</v>
      </c>
      <c r="P1553" s="4">
        <v>236</v>
      </c>
      <c r="Q1553" s="4">
        <v>4</v>
      </c>
      <c r="R1553" s="4" t="s">
        <v>2383</v>
      </c>
      <c r="S1553" s="4" t="s">
        <v>1737</v>
      </c>
      <c r="T1553" s="4">
        <v>1070</v>
      </c>
      <c r="U1553"/>
      <c r="W1553" s="4">
        <v>33239</v>
      </c>
      <c r="X1553" s="4" t="s">
        <v>1738</v>
      </c>
      <c r="Y1553" s="9"/>
      <c r="AK1553" s="260"/>
      <c r="AO1553" s="4" t="s">
        <v>2383</v>
      </c>
      <c r="AP1553" s="4">
        <v>236</v>
      </c>
      <c r="AQ1553" s="4" t="s">
        <v>1700</v>
      </c>
      <c r="AR1553" s="4" t="s">
        <v>1739</v>
      </c>
      <c r="AS1553" s="4" t="s">
        <v>1740</v>
      </c>
      <c r="AT1553" s="4" t="s">
        <v>1741</v>
      </c>
      <c r="AU1553" s="4" t="s">
        <v>1959</v>
      </c>
      <c r="AV1553" s="4" t="s">
        <v>1720</v>
      </c>
      <c r="AW1553" s="4" t="s">
        <v>2193</v>
      </c>
      <c r="AX1553" s="4" t="s">
        <v>2287</v>
      </c>
      <c r="AY1553" s="4">
        <v>51.375</v>
      </c>
      <c r="AZ1553" s="4">
        <v>-121.7167</v>
      </c>
      <c r="BA1553" s="4">
        <v>1070</v>
      </c>
    </row>
    <row r="1554" spans="1:72" ht="14.25" customHeight="1" x14ac:dyDescent="0.2">
      <c r="B1554" s="9">
        <v>12</v>
      </c>
      <c r="C1554" s="4" t="s">
        <v>1711</v>
      </c>
      <c r="D1554" s="188">
        <v>237</v>
      </c>
      <c r="E1554" s="4">
        <v>1793</v>
      </c>
      <c r="F1554" s="16" t="s">
        <v>2386</v>
      </c>
      <c r="G1554" s="4" t="s">
        <v>2387</v>
      </c>
      <c r="H1554" s="4" t="s">
        <v>2388</v>
      </c>
      <c r="I1554" s="4" t="s">
        <v>1664</v>
      </c>
      <c r="J1554" s="4" t="s">
        <v>1715</v>
      </c>
      <c r="K1554" s="4">
        <v>1</v>
      </c>
      <c r="L1554" s="4">
        <v>2196</v>
      </c>
      <c r="M1554" s="223"/>
      <c r="U1554"/>
      <c r="Y1554" s="9"/>
      <c r="AK1554" s="260"/>
      <c r="AO1554" s="4" t="s">
        <v>2386</v>
      </c>
      <c r="AP1554" s="4">
        <v>237</v>
      </c>
      <c r="AQ1554" s="4" t="s">
        <v>1716</v>
      </c>
      <c r="AR1554" s="4" t="s">
        <v>1717</v>
      </c>
      <c r="AS1554" s="4" t="s">
        <v>1718</v>
      </c>
      <c r="AT1554" s="4" t="s">
        <v>1703</v>
      </c>
      <c r="AU1554" s="4" t="s">
        <v>1703</v>
      </c>
      <c r="AV1554" s="4" t="s">
        <v>1720</v>
      </c>
      <c r="AW1554" s="4" t="s">
        <v>2193</v>
      </c>
      <c r="AX1554" s="4" t="s">
        <v>2356</v>
      </c>
      <c r="AY1554" s="4">
        <v>52.2</v>
      </c>
      <c r="AZ1554" s="4">
        <v>-121.2</v>
      </c>
      <c r="BA1554" s="4">
        <v>8</v>
      </c>
    </row>
    <row r="1555" spans="1:72" ht="14.25" customHeight="1" x14ac:dyDescent="0.2">
      <c r="B1555" s="9">
        <v>12</v>
      </c>
      <c r="C1555" s="188" t="s">
        <v>1711</v>
      </c>
      <c r="D1555" s="188">
        <v>240</v>
      </c>
      <c r="E1555" s="4">
        <v>1795</v>
      </c>
      <c r="F1555" s="16" t="s">
        <v>2393</v>
      </c>
      <c r="G1555" s="188" t="s">
        <v>2394</v>
      </c>
      <c r="H1555" s="4" t="s">
        <v>2027</v>
      </c>
      <c r="I1555" s="4" t="s">
        <v>1664</v>
      </c>
      <c r="J1555" s="4" t="s">
        <v>1715</v>
      </c>
      <c r="K1555" s="4">
        <v>1</v>
      </c>
      <c r="L1555" s="4">
        <v>2198</v>
      </c>
      <c r="M1555" s="223"/>
      <c r="U1555"/>
      <c r="Y1555" s="9"/>
      <c r="AK1555" s="260"/>
      <c r="AO1555" s="4" t="s">
        <v>2393</v>
      </c>
      <c r="AP1555" s="4">
        <v>240</v>
      </c>
      <c r="AQ1555" s="4" t="s">
        <v>1716</v>
      </c>
      <c r="AR1555" s="4" t="s">
        <v>1717</v>
      </c>
      <c r="AS1555" s="4" t="s">
        <v>1718</v>
      </c>
      <c r="AT1555" s="4" t="s">
        <v>1719</v>
      </c>
      <c r="AU1555" s="4" t="s">
        <v>1703</v>
      </c>
      <c r="AV1555" s="4" t="s">
        <v>1720</v>
      </c>
      <c r="AW1555" s="4" t="s">
        <v>2368</v>
      </c>
      <c r="AX1555" s="4" t="s">
        <v>2369</v>
      </c>
      <c r="AY1555" s="4">
        <v>51.2</v>
      </c>
      <c r="AZ1555" s="4">
        <v>-120.1</v>
      </c>
      <c r="BA1555" s="4">
        <v>4</v>
      </c>
    </row>
    <row r="1556" spans="1:72" ht="14.25" customHeight="1" x14ac:dyDescent="0.2">
      <c r="B1556" s="9">
        <v>12</v>
      </c>
      <c r="C1556" s="188" t="s">
        <v>1711</v>
      </c>
      <c r="D1556" s="188">
        <v>241</v>
      </c>
      <c r="E1556" s="4">
        <v>1796</v>
      </c>
      <c r="F1556" s="16" t="s">
        <v>2395</v>
      </c>
      <c r="G1556" s="188" t="s">
        <v>2396</v>
      </c>
      <c r="H1556" s="4" t="s">
        <v>2397</v>
      </c>
      <c r="I1556" s="4" t="s">
        <v>1664</v>
      </c>
      <c r="J1556" s="4" t="s">
        <v>1715</v>
      </c>
      <c r="K1556" s="4">
        <v>1</v>
      </c>
      <c r="L1556" s="4">
        <v>2199</v>
      </c>
      <c r="M1556" s="223"/>
      <c r="U1556"/>
      <c r="Y1556" s="9"/>
      <c r="AK1556" s="260"/>
      <c r="AO1556" s="4" t="s">
        <v>2395</v>
      </c>
      <c r="AP1556" s="4">
        <v>241</v>
      </c>
      <c r="AQ1556" s="4" t="s">
        <v>1716</v>
      </c>
      <c r="AR1556" s="4" t="s">
        <v>1717</v>
      </c>
      <c r="AS1556" s="4" t="s">
        <v>1718</v>
      </c>
      <c r="AT1556" s="4" t="s">
        <v>1703</v>
      </c>
      <c r="AU1556" s="4" t="s">
        <v>1703</v>
      </c>
      <c r="AV1556" s="4" t="s">
        <v>1720</v>
      </c>
      <c r="AW1556" s="4" t="s">
        <v>2193</v>
      </c>
      <c r="AX1556" s="4" t="s">
        <v>2194</v>
      </c>
      <c r="AY1556" s="4">
        <v>52.9</v>
      </c>
      <c r="AZ1556" s="4">
        <v>-122.1</v>
      </c>
      <c r="BA1556" s="4">
        <v>10</v>
      </c>
    </row>
    <row r="1557" spans="1:72" ht="14.25" customHeight="1" x14ac:dyDescent="0.2">
      <c r="B1557" s="9">
        <v>12</v>
      </c>
      <c r="C1557" s="188" t="s">
        <v>1711</v>
      </c>
      <c r="D1557" s="188">
        <v>242</v>
      </c>
      <c r="E1557" s="4">
        <v>1797</v>
      </c>
      <c r="F1557" s="16" t="s">
        <v>2398</v>
      </c>
      <c r="G1557" s="188" t="s">
        <v>2399</v>
      </c>
      <c r="H1557" s="4" t="s">
        <v>2400</v>
      </c>
      <c r="I1557" s="4" t="s">
        <v>641</v>
      </c>
      <c r="J1557" s="4" t="s">
        <v>1715</v>
      </c>
      <c r="K1557" s="4">
        <v>1</v>
      </c>
      <c r="L1557" s="4">
        <v>2200</v>
      </c>
      <c r="M1557" s="223"/>
      <c r="U1557"/>
      <c r="Y1557" s="9"/>
      <c r="AK1557" s="260"/>
      <c r="AO1557" s="4" t="s">
        <v>2398</v>
      </c>
      <c r="AP1557" s="4">
        <v>242</v>
      </c>
      <c r="AQ1557" s="4" t="s">
        <v>1716</v>
      </c>
      <c r="AR1557" s="4" t="s">
        <v>1717</v>
      </c>
      <c r="AS1557" s="4" t="s">
        <v>1718</v>
      </c>
      <c r="AT1557" s="4" t="s">
        <v>1703</v>
      </c>
      <c r="AU1557" s="4" t="s">
        <v>1703</v>
      </c>
      <c r="AV1557" s="4" t="s">
        <v>1720</v>
      </c>
      <c r="AW1557" s="4" t="s">
        <v>2368</v>
      </c>
      <c r="AX1557" s="4" t="s">
        <v>2401</v>
      </c>
      <c r="AY1557" s="4">
        <v>51.924999999999997</v>
      </c>
      <c r="AZ1557" s="4">
        <v>-120.03</v>
      </c>
      <c r="BA1557" s="4">
        <v>762</v>
      </c>
    </row>
    <row r="1558" spans="1:72" ht="14.25" customHeight="1" x14ac:dyDescent="0.2">
      <c r="B1558" s="9">
        <v>12</v>
      </c>
      <c r="C1558" s="188" t="s">
        <v>1711</v>
      </c>
      <c r="D1558" s="188">
        <v>245</v>
      </c>
      <c r="E1558" s="4">
        <v>1800</v>
      </c>
      <c r="F1558" s="16" t="s">
        <v>2408</v>
      </c>
      <c r="G1558" s="188" t="s">
        <v>2409</v>
      </c>
      <c r="H1558" s="4" t="s">
        <v>2410</v>
      </c>
      <c r="I1558" s="4" t="s">
        <v>1664</v>
      </c>
      <c r="J1558" s="4" t="s">
        <v>1715</v>
      </c>
      <c r="K1558" s="4">
        <v>1</v>
      </c>
      <c r="L1558" s="4">
        <v>2203</v>
      </c>
      <c r="M1558" s="223"/>
      <c r="U1558"/>
      <c r="Y1558" s="9"/>
      <c r="AK1558" s="260"/>
      <c r="AO1558" s="4" t="s">
        <v>2408</v>
      </c>
      <c r="AP1558" s="4">
        <v>245</v>
      </c>
      <c r="AQ1558" s="4" t="s">
        <v>1716</v>
      </c>
      <c r="AR1558" s="4" t="s">
        <v>1717</v>
      </c>
      <c r="AS1558" s="4" t="s">
        <v>1718</v>
      </c>
      <c r="AT1558" s="4" t="s">
        <v>1703</v>
      </c>
      <c r="AU1558" s="4" t="s">
        <v>1703</v>
      </c>
      <c r="AV1558" s="4" t="s">
        <v>1720</v>
      </c>
      <c r="AW1558" s="4" t="s">
        <v>2368</v>
      </c>
      <c r="AX1558" s="4" t="s">
        <v>2401</v>
      </c>
      <c r="AY1558" s="4">
        <v>51.7</v>
      </c>
      <c r="AZ1558" s="4">
        <v>-120.4</v>
      </c>
      <c r="BA1558" s="4">
        <v>11</v>
      </c>
    </row>
    <row r="1559" spans="1:72" ht="14.25" customHeight="1" x14ac:dyDescent="0.2">
      <c r="B1559" s="9">
        <v>12</v>
      </c>
      <c r="C1559" s="188" t="s">
        <v>1711</v>
      </c>
      <c r="D1559" s="188">
        <v>246</v>
      </c>
      <c r="E1559" s="4">
        <v>1801</v>
      </c>
      <c r="F1559" s="16" t="s">
        <v>2411</v>
      </c>
      <c r="G1559" s="188" t="s">
        <v>2412</v>
      </c>
      <c r="H1559" s="4" t="s">
        <v>2413</v>
      </c>
      <c r="I1559" s="4" t="s">
        <v>1664</v>
      </c>
      <c r="J1559" s="4" t="s">
        <v>1715</v>
      </c>
      <c r="K1559" s="4">
        <v>1</v>
      </c>
      <c r="L1559" s="4">
        <v>2204</v>
      </c>
      <c r="M1559" s="223"/>
      <c r="U1559"/>
      <c r="Y1559" s="9"/>
      <c r="AK1559" s="260"/>
      <c r="AO1559" s="4" t="s">
        <v>2411</v>
      </c>
      <c r="AP1559" s="4">
        <v>246</v>
      </c>
      <c r="AQ1559" s="4" t="s">
        <v>1716</v>
      </c>
      <c r="AR1559" s="4" t="s">
        <v>1717</v>
      </c>
      <c r="AS1559" s="4" t="s">
        <v>1718</v>
      </c>
      <c r="AT1559" s="4" t="s">
        <v>1719</v>
      </c>
      <c r="AU1559" s="4" t="s">
        <v>1703</v>
      </c>
      <c r="AV1559" s="4" t="s">
        <v>1720</v>
      </c>
      <c r="AW1559" s="4" t="s">
        <v>2193</v>
      </c>
      <c r="AX1559" s="4" t="s">
        <v>2287</v>
      </c>
      <c r="AY1559" s="4">
        <v>51.9</v>
      </c>
      <c r="AZ1559" s="4">
        <v>-120.9</v>
      </c>
      <c r="BA1559" s="4">
        <v>11</v>
      </c>
    </row>
    <row r="1560" spans="1:72" ht="14.25" customHeight="1" x14ac:dyDescent="0.2">
      <c r="B1560" s="9">
        <v>12</v>
      </c>
      <c r="C1560" s="188" t="s">
        <v>1711</v>
      </c>
      <c r="D1560" s="188">
        <v>248</v>
      </c>
      <c r="E1560" s="4">
        <v>1802</v>
      </c>
      <c r="F1560" s="16" t="s">
        <v>2414</v>
      </c>
      <c r="G1560" s="188" t="s">
        <v>2415</v>
      </c>
      <c r="H1560" s="4" t="s">
        <v>1859</v>
      </c>
      <c r="I1560" s="4" t="s">
        <v>1664</v>
      </c>
      <c r="J1560" s="4" t="s">
        <v>1715</v>
      </c>
      <c r="K1560" s="4">
        <v>1</v>
      </c>
      <c r="L1560" s="4">
        <v>2205</v>
      </c>
      <c r="M1560" s="223"/>
      <c r="U1560"/>
      <c r="Y1560" s="9"/>
      <c r="AK1560" s="260"/>
      <c r="AO1560" s="208" t="s">
        <v>2414</v>
      </c>
      <c r="AP1560" s="4">
        <v>248</v>
      </c>
      <c r="AQ1560" s="4" t="s">
        <v>1716</v>
      </c>
      <c r="AR1560" s="4" t="s">
        <v>1717</v>
      </c>
      <c r="AS1560" s="4" t="s">
        <v>1718</v>
      </c>
      <c r="AT1560" s="4" t="s">
        <v>1703</v>
      </c>
      <c r="AU1560" s="4" t="s">
        <v>1703</v>
      </c>
      <c r="AV1560" s="4" t="s">
        <v>1720</v>
      </c>
      <c r="AW1560" s="4" t="s">
        <v>2368</v>
      </c>
      <c r="AX1560" s="4" t="s">
        <v>2369</v>
      </c>
      <c r="AY1560" s="4">
        <v>51.4</v>
      </c>
      <c r="AZ1560" s="4">
        <v>-120.4</v>
      </c>
      <c r="BA1560" s="4">
        <v>13</v>
      </c>
    </row>
    <row r="1561" spans="1:72" ht="14.25" customHeight="1" x14ac:dyDescent="0.2">
      <c r="B1561" s="9">
        <v>12</v>
      </c>
      <c r="C1561" s="188" t="s">
        <v>1711</v>
      </c>
      <c r="D1561" s="188">
        <v>249</v>
      </c>
      <c r="E1561" s="4">
        <v>1803</v>
      </c>
      <c r="F1561" s="16" t="s">
        <v>2416</v>
      </c>
      <c r="G1561" s="188" t="s">
        <v>2417</v>
      </c>
      <c r="H1561" s="4" t="s">
        <v>2418</v>
      </c>
      <c r="I1561" s="4" t="s">
        <v>641</v>
      </c>
      <c r="J1561" s="4" t="s">
        <v>1715</v>
      </c>
      <c r="K1561" s="4">
        <v>1</v>
      </c>
      <c r="L1561" s="4">
        <v>2206</v>
      </c>
      <c r="M1561" s="223"/>
      <c r="U1561"/>
      <c r="Y1561" s="9"/>
      <c r="AK1561" s="260"/>
      <c r="AO1561" s="4" t="s">
        <v>2416</v>
      </c>
      <c r="AP1561" s="4">
        <v>249</v>
      </c>
      <c r="AQ1561" s="4" t="s">
        <v>1716</v>
      </c>
      <c r="AR1561" s="4" t="s">
        <v>1717</v>
      </c>
      <c r="AS1561" s="4" t="s">
        <v>1718</v>
      </c>
      <c r="AT1561" s="4" t="s">
        <v>1703</v>
      </c>
      <c r="AU1561" s="4" t="s">
        <v>1703</v>
      </c>
      <c r="AV1561" s="4" t="s">
        <v>1720</v>
      </c>
      <c r="AW1561" s="4" t="s">
        <v>2368</v>
      </c>
      <c r="AX1561" s="4" t="s">
        <v>2401</v>
      </c>
      <c r="AY1561" s="4">
        <v>51.585000000000001</v>
      </c>
      <c r="AZ1561" s="4">
        <v>-119.6733</v>
      </c>
      <c r="BA1561" s="4">
        <v>792</v>
      </c>
    </row>
    <row r="1562" spans="1:72" ht="14.25" customHeight="1" x14ac:dyDescent="0.2">
      <c r="A1562" s="192"/>
      <c r="B1562" s="203">
        <v>12</v>
      </c>
      <c r="C1562" s="188" t="s">
        <v>1711</v>
      </c>
      <c r="D1562" s="188">
        <v>251</v>
      </c>
      <c r="E1562" s="188">
        <v>1805</v>
      </c>
      <c r="F1562" s="188" t="s">
        <v>2423</v>
      </c>
      <c r="G1562" s="188" t="s">
        <v>2424</v>
      </c>
      <c r="H1562" s="188" t="s">
        <v>2379</v>
      </c>
      <c r="I1562" s="188" t="s">
        <v>641</v>
      </c>
      <c r="J1562" s="188" t="s">
        <v>1865</v>
      </c>
      <c r="K1562" s="188">
        <v>1</v>
      </c>
      <c r="L1562" s="188">
        <v>2208</v>
      </c>
      <c r="M1562" s="305">
        <v>51.966999999999999</v>
      </c>
      <c r="N1562" s="188">
        <v>-120.608</v>
      </c>
      <c r="O1562" s="188" t="s">
        <v>170</v>
      </c>
      <c r="P1562" s="188">
        <v>251</v>
      </c>
      <c r="Q1562" s="188">
        <v>3</v>
      </c>
      <c r="R1562" s="188" t="s">
        <v>2423</v>
      </c>
      <c r="S1562" s="188" t="s">
        <v>1737</v>
      </c>
      <c r="T1562" s="188">
        <v>1170</v>
      </c>
      <c r="U1562" s="192"/>
      <c r="V1562" s="192"/>
      <c r="W1562" s="188">
        <v>32509</v>
      </c>
      <c r="X1562" s="188" t="s">
        <v>1738</v>
      </c>
      <c r="Y1562" s="203"/>
      <c r="Z1562" s="192"/>
      <c r="AA1562" s="192"/>
      <c r="AB1562" s="192"/>
      <c r="AC1562" s="192"/>
      <c r="AD1562" s="192"/>
      <c r="AE1562" s="192"/>
      <c r="AF1562" s="192"/>
      <c r="AG1562" s="192"/>
      <c r="AH1562" s="192"/>
      <c r="AI1562" s="192"/>
      <c r="AJ1562" s="192"/>
      <c r="AK1562" s="261"/>
      <c r="AL1562" s="192"/>
      <c r="AM1562" s="192"/>
      <c r="AN1562" s="192"/>
      <c r="AO1562" s="208" t="s">
        <v>2423</v>
      </c>
      <c r="AP1562" s="188">
        <v>251</v>
      </c>
      <c r="AQ1562" s="188" t="s">
        <v>1716</v>
      </c>
      <c r="AR1562" s="188" t="s">
        <v>1739</v>
      </c>
      <c r="AS1562" s="188" t="s">
        <v>1740</v>
      </c>
      <c r="AT1562" s="188" t="s">
        <v>1741</v>
      </c>
      <c r="AU1562" s="188" t="s">
        <v>1742</v>
      </c>
      <c r="AV1562" s="188" t="s">
        <v>1720</v>
      </c>
      <c r="AW1562" s="188" t="s">
        <v>2193</v>
      </c>
      <c r="AX1562" s="188" t="s">
        <v>2287</v>
      </c>
      <c r="AY1562" s="188">
        <v>51.966999999999999</v>
      </c>
      <c r="AZ1562" s="188">
        <v>-120.608</v>
      </c>
      <c r="BA1562" s="188">
        <v>1170</v>
      </c>
      <c r="BB1562" s="192"/>
      <c r="BC1562" s="192"/>
      <c r="BD1562" s="192"/>
      <c r="BE1562" s="192"/>
      <c r="BF1562" s="192"/>
      <c r="BG1562" s="192"/>
      <c r="BH1562" s="192"/>
      <c r="BI1562" s="192"/>
      <c r="BJ1562" s="192"/>
      <c r="BK1562" s="192"/>
      <c r="BL1562" s="192"/>
      <c r="BM1562" s="192"/>
      <c r="BN1562" s="192"/>
      <c r="BO1562" s="192"/>
      <c r="BP1562" s="192"/>
      <c r="BQ1562" s="192"/>
      <c r="BR1562" s="192"/>
      <c r="BS1562" s="192"/>
      <c r="BT1562" s="192"/>
    </row>
    <row r="1563" spans="1:72" ht="14.25" customHeight="1" x14ac:dyDescent="0.2">
      <c r="B1563" s="9">
        <v>12</v>
      </c>
      <c r="C1563" s="4" t="s">
        <v>1711</v>
      </c>
      <c r="D1563" s="188">
        <v>252</v>
      </c>
      <c r="E1563" s="4">
        <v>1806</v>
      </c>
      <c r="F1563" s="16" t="s">
        <v>2425</v>
      </c>
      <c r="G1563" s="4" t="s">
        <v>2426</v>
      </c>
      <c r="H1563" s="4" t="s">
        <v>2427</v>
      </c>
      <c r="I1563" s="4" t="s">
        <v>641</v>
      </c>
      <c r="J1563" s="4" t="s">
        <v>1746</v>
      </c>
      <c r="K1563" s="4">
        <v>1</v>
      </c>
      <c r="L1563" s="4">
        <v>2209</v>
      </c>
      <c r="M1563" s="223"/>
      <c r="U1563"/>
      <c r="Y1563" s="9"/>
      <c r="AK1563" s="260"/>
      <c r="AO1563" s="4" t="s">
        <v>2425</v>
      </c>
      <c r="AP1563" s="4">
        <v>252</v>
      </c>
      <c r="AQ1563" s="4" t="s">
        <v>1716</v>
      </c>
      <c r="AR1563" s="4" t="s">
        <v>1717</v>
      </c>
      <c r="AS1563" s="4" t="s">
        <v>1718</v>
      </c>
      <c r="AT1563" s="4" t="s">
        <v>1703</v>
      </c>
      <c r="AU1563" s="4" t="s">
        <v>1703</v>
      </c>
      <c r="AV1563" s="4" t="s">
        <v>1720</v>
      </c>
      <c r="AW1563" s="4" t="s">
        <v>2193</v>
      </c>
      <c r="AX1563" s="4" t="s">
        <v>2287</v>
      </c>
      <c r="AY1563" s="4">
        <v>51.061</v>
      </c>
      <c r="AZ1563" s="4">
        <v>-121.182</v>
      </c>
      <c r="BA1563" s="4">
        <v>1600</v>
      </c>
    </row>
    <row r="1564" spans="1:72" ht="14.25" customHeight="1" x14ac:dyDescent="0.2">
      <c r="B1564" s="9">
        <v>12</v>
      </c>
      <c r="C1564" s="188" t="s">
        <v>1711</v>
      </c>
      <c r="D1564" s="188">
        <v>255</v>
      </c>
      <c r="E1564" s="4">
        <v>1808</v>
      </c>
      <c r="F1564" s="188" t="s">
        <v>2431</v>
      </c>
      <c r="G1564" s="4" t="s">
        <v>2432</v>
      </c>
      <c r="H1564" s="4" t="s">
        <v>2433</v>
      </c>
      <c r="I1564" s="4" t="s">
        <v>641</v>
      </c>
      <c r="J1564" s="4" t="s">
        <v>1865</v>
      </c>
      <c r="K1564" s="4">
        <v>1</v>
      </c>
      <c r="L1564" s="4">
        <v>2211</v>
      </c>
      <c r="M1564" s="193">
        <v>52.615000000000002</v>
      </c>
      <c r="N1564" s="4">
        <v>-121.51333</v>
      </c>
      <c r="O1564" s="4" t="s">
        <v>170</v>
      </c>
      <c r="P1564" s="4">
        <v>255</v>
      </c>
      <c r="Q1564" s="4">
        <v>2</v>
      </c>
      <c r="R1564" s="4" t="s">
        <v>2431</v>
      </c>
      <c r="S1564" s="4" t="s">
        <v>1737</v>
      </c>
      <c r="T1564" s="4">
        <v>1046</v>
      </c>
      <c r="U1564" s="4" t="s">
        <v>645</v>
      </c>
      <c r="V1564" s="4" t="s">
        <v>1813</v>
      </c>
      <c r="W1564" s="4">
        <v>25569</v>
      </c>
      <c r="X1564" s="4" t="s">
        <v>1738</v>
      </c>
      <c r="Y1564" s="9"/>
      <c r="AK1564" s="260"/>
      <c r="AO1564" s="4" t="s">
        <v>2431</v>
      </c>
      <c r="AP1564" s="4">
        <v>255</v>
      </c>
      <c r="AQ1564" s="4" t="s">
        <v>1716</v>
      </c>
      <c r="AR1564" s="4" t="s">
        <v>1739</v>
      </c>
      <c r="AS1564" s="4" t="s">
        <v>1740</v>
      </c>
      <c r="AT1564" s="4" t="s">
        <v>1741</v>
      </c>
      <c r="AU1564" s="4" t="s">
        <v>1742</v>
      </c>
      <c r="AV1564" s="4" t="s">
        <v>1720</v>
      </c>
      <c r="AW1564" s="4" t="s">
        <v>2193</v>
      </c>
      <c r="AX1564" s="4" t="s">
        <v>2356</v>
      </c>
      <c r="AY1564" s="4">
        <v>52.615000000000002</v>
      </c>
      <c r="AZ1564" s="4">
        <v>-121.5133</v>
      </c>
      <c r="BA1564" s="4">
        <v>1046</v>
      </c>
    </row>
    <row r="1565" spans="1:72" ht="14.25" customHeight="1" x14ac:dyDescent="0.2">
      <c r="B1565" s="9">
        <v>12</v>
      </c>
      <c r="C1565" s="188" t="s">
        <v>1711</v>
      </c>
      <c r="D1565" s="188">
        <v>256</v>
      </c>
      <c r="E1565" s="4">
        <v>1809</v>
      </c>
      <c r="F1565" s="16" t="s">
        <v>2434</v>
      </c>
      <c r="G1565" s="188" t="s">
        <v>2435</v>
      </c>
      <c r="H1565" s="4" t="s">
        <v>2436</v>
      </c>
      <c r="I1565" s="4" t="s">
        <v>641</v>
      </c>
      <c r="J1565" s="4" t="s">
        <v>1715</v>
      </c>
      <c r="K1565" s="4">
        <v>1</v>
      </c>
      <c r="L1565" s="4">
        <v>2212</v>
      </c>
      <c r="M1565" s="223"/>
      <c r="U1565"/>
      <c r="Y1565" s="9"/>
      <c r="AK1565" s="260"/>
      <c r="AO1565" s="4" t="s">
        <v>2434</v>
      </c>
      <c r="AP1565" s="4">
        <v>256</v>
      </c>
      <c r="AQ1565" s="4" t="s">
        <v>1716</v>
      </c>
      <c r="AR1565" s="4" t="s">
        <v>1717</v>
      </c>
      <c r="AS1565" s="4" t="s">
        <v>1718</v>
      </c>
      <c r="AT1565" s="4" t="s">
        <v>1703</v>
      </c>
      <c r="AU1565" s="4" t="s">
        <v>1703</v>
      </c>
      <c r="AV1565" s="4" t="s">
        <v>1720</v>
      </c>
      <c r="AW1565" s="4" t="s">
        <v>2368</v>
      </c>
      <c r="AX1565" s="4" t="s">
        <v>2401</v>
      </c>
      <c r="AY1565" s="4">
        <v>52.5</v>
      </c>
      <c r="AZ1565" s="4">
        <v>-120.3</v>
      </c>
      <c r="BA1565" s="4">
        <v>9</v>
      </c>
    </row>
    <row r="1566" spans="1:72" ht="14.25" customHeight="1" x14ac:dyDescent="0.2">
      <c r="B1566" s="9">
        <v>12</v>
      </c>
      <c r="C1566" s="4" t="s">
        <v>1711</v>
      </c>
      <c r="D1566" s="188">
        <v>258</v>
      </c>
      <c r="E1566" s="4">
        <v>1811</v>
      </c>
      <c r="F1566" s="16" t="s">
        <v>2444</v>
      </c>
      <c r="G1566" s="4" t="s">
        <v>2445</v>
      </c>
      <c r="H1566" s="4" t="s">
        <v>2446</v>
      </c>
      <c r="I1566" s="4" t="s">
        <v>641</v>
      </c>
      <c r="J1566" s="4" t="s">
        <v>1715</v>
      </c>
      <c r="K1566" s="4">
        <v>1</v>
      </c>
      <c r="L1566" s="4">
        <v>2214</v>
      </c>
      <c r="M1566" s="6"/>
      <c r="N1566" s="9"/>
      <c r="O1566" s="9"/>
      <c r="P1566" s="9"/>
      <c r="Q1566" s="20"/>
      <c r="R1566" s="9"/>
      <c r="S1566" s="9"/>
      <c r="T1566" s="9"/>
      <c r="U1566" s="9"/>
      <c r="V1566" s="9"/>
      <c r="W1566" s="58"/>
      <c r="X1566" s="9"/>
      <c r="Y1566" s="9"/>
      <c r="AK1566" s="260"/>
      <c r="AO1566" s="4" t="s">
        <v>2444</v>
      </c>
      <c r="AP1566" s="4">
        <v>258</v>
      </c>
      <c r="AQ1566" s="4" t="s">
        <v>1716</v>
      </c>
      <c r="AR1566" s="4" t="s">
        <v>1717</v>
      </c>
      <c r="AS1566" s="4" t="s">
        <v>1718</v>
      </c>
      <c r="AT1566" s="4" t="s">
        <v>1703</v>
      </c>
      <c r="AU1566" s="4" t="s">
        <v>1703</v>
      </c>
      <c r="AV1566" s="4" t="s">
        <v>1720</v>
      </c>
      <c r="AW1566" s="4" t="s">
        <v>2368</v>
      </c>
      <c r="AX1566" s="4" t="s">
        <v>2401</v>
      </c>
      <c r="AY1566" s="4">
        <v>51.781700000000001</v>
      </c>
      <c r="AZ1566" s="4">
        <v>-119.3267</v>
      </c>
      <c r="BA1566" s="4">
        <v>518</v>
      </c>
    </row>
    <row r="1567" spans="1:72" ht="14.25" customHeight="1" x14ac:dyDescent="0.2">
      <c r="B1567" s="9">
        <v>12</v>
      </c>
      <c r="C1567" s="188" t="s">
        <v>1711</v>
      </c>
      <c r="D1567" s="188">
        <v>259</v>
      </c>
      <c r="E1567" s="4">
        <v>1812</v>
      </c>
      <c r="F1567" s="16" t="s">
        <v>2447</v>
      </c>
      <c r="G1567" s="188" t="s">
        <v>2448</v>
      </c>
      <c r="H1567" s="4" t="s">
        <v>2449</v>
      </c>
      <c r="I1567" s="4" t="s">
        <v>1664</v>
      </c>
      <c r="J1567" s="4" t="s">
        <v>1746</v>
      </c>
      <c r="K1567" s="4">
        <v>1</v>
      </c>
      <c r="L1567" s="4">
        <v>2215</v>
      </c>
      <c r="M1567" s="223"/>
      <c r="U1567"/>
      <c r="Y1567" s="9"/>
      <c r="AK1567" s="260"/>
      <c r="AO1567" s="4" t="s">
        <v>2447</v>
      </c>
      <c r="AP1567" s="4">
        <v>259</v>
      </c>
      <c r="AQ1567" s="4" t="s">
        <v>1716</v>
      </c>
      <c r="AR1567" s="4" t="s">
        <v>1717</v>
      </c>
      <c r="AS1567" s="4" t="s">
        <v>1718</v>
      </c>
      <c r="AT1567" s="4" t="s">
        <v>1719</v>
      </c>
      <c r="AU1567" s="4" t="s">
        <v>1703</v>
      </c>
      <c r="AV1567" s="4" t="s">
        <v>1720</v>
      </c>
      <c r="AW1567" s="4" t="s">
        <v>2193</v>
      </c>
      <c r="AX1567" s="4" t="s">
        <v>2356</v>
      </c>
      <c r="AY1567" s="4">
        <v>52.1</v>
      </c>
      <c r="AZ1567" s="4">
        <v>-120.9</v>
      </c>
      <c r="BA1567" s="4">
        <v>15</v>
      </c>
    </row>
    <row r="1568" spans="1:72" ht="14.25" customHeight="1" x14ac:dyDescent="0.2">
      <c r="B1568" s="9">
        <v>12</v>
      </c>
      <c r="C1568" s="188" t="s">
        <v>1711</v>
      </c>
      <c r="D1568" s="188">
        <v>260</v>
      </c>
      <c r="E1568" s="4">
        <v>1813</v>
      </c>
      <c r="F1568" s="16" t="s">
        <v>2450</v>
      </c>
      <c r="G1568" s="188" t="s">
        <v>2451</v>
      </c>
      <c r="H1568" s="4" t="s">
        <v>2452</v>
      </c>
      <c r="I1568" s="4" t="s">
        <v>1664</v>
      </c>
      <c r="J1568" s="4" t="s">
        <v>1715</v>
      </c>
      <c r="K1568" s="4">
        <v>1</v>
      </c>
      <c r="L1568" s="4">
        <v>2216</v>
      </c>
      <c r="M1568" s="223"/>
      <c r="U1568"/>
      <c r="Y1568" s="9"/>
      <c r="AK1568" s="260"/>
      <c r="AO1568" s="4" t="s">
        <v>2450</v>
      </c>
      <c r="AP1568" s="4">
        <v>260</v>
      </c>
      <c r="AQ1568" s="4" t="s">
        <v>1716</v>
      </c>
      <c r="AR1568" s="4" t="s">
        <v>1717</v>
      </c>
      <c r="AS1568" s="4" t="s">
        <v>1718</v>
      </c>
      <c r="AT1568" s="4" t="s">
        <v>1703</v>
      </c>
      <c r="AU1568" s="4" t="s">
        <v>1703</v>
      </c>
      <c r="AV1568" s="4" t="s">
        <v>1720</v>
      </c>
      <c r="AW1568" s="4" t="s">
        <v>2193</v>
      </c>
      <c r="AX1568" s="4" t="s">
        <v>2194</v>
      </c>
      <c r="AY1568" s="4">
        <v>53.3</v>
      </c>
      <c r="AZ1568" s="4">
        <v>-121.4</v>
      </c>
      <c r="BA1568" s="4">
        <v>9</v>
      </c>
    </row>
    <row r="1569" spans="1:72" ht="14.25" customHeight="1" x14ac:dyDescent="0.2">
      <c r="B1569" s="9">
        <v>12</v>
      </c>
      <c r="C1569" s="188" t="s">
        <v>1711</v>
      </c>
      <c r="D1569" s="188">
        <v>261</v>
      </c>
      <c r="E1569" s="4">
        <v>1814</v>
      </c>
      <c r="F1569" s="16" t="s">
        <v>2453</v>
      </c>
      <c r="G1569" s="188" t="s">
        <v>2454</v>
      </c>
      <c r="H1569" s="4" t="s">
        <v>2455</v>
      </c>
      <c r="I1569" s="4" t="s">
        <v>641</v>
      </c>
      <c r="J1569" s="4" t="s">
        <v>1715</v>
      </c>
      <c r="K1569" s="4">
        <v>1</v>
      </c>
      <c r="L1569" s="4">
        <v>2217</v>
      </c>
      <c r="M1569" s="6"/>
      <c r="N1569" s="9"/>
      <c r="O1569" s="9"/>
      <c r="P1569" s="9"/>
      <c r="Q1569" s="20"/>
      <c r="R1569" s="9"/>
      <c r="S1569" s="9"/>
      <c r="T1569" s="9"/>
      <c r="U1569" s="9"/>
      <c r="V1569" s="9"/>
      <c r="W1569" s="58"/>
      <c r="X1569" s="9"/>
      <c r="Y1569" s="9"/>
      <c r="AK1569" s="260"/>
      <c r="AO1569" s="4" t="s">
        <v>2453</v>
      </c>
      <c r="AP1569" s="4">
        <v>261</v>
      </c>
      <c r="AQ1569" s="4" t="s">
        <v>1716</v>
      </c>
      <c r="AR1569" s="4" t="s">
        <v>1717</v>
      </c>
      <c r="AS1569" s="4" t="s">
        <v>1718</v>
      </c>
      <c r="AT1569" s="4" t="s">
        <v>1703</v>
      </c>
      <c r="AU1569" s="4" t="s">
        <v>1703</v>
      </c>
      <c r="AV1569" s="4" t="s">
        <v>1720</v>
      </c>
      <c r="AW1569" s="4" t="s">
        <v>2368</v>
      </c>
      <c r="AX1569" s="4" t="s">
        <v>2258</v>
      </c>
      <c r="AY1569" s="4">
        <v>52.6</v>
      </c>
      <c r="AZ1569" s="4">
        <v>-119.2</v>
      </c>
      <c r="BA1569" s="4">
        <v>10</v>
      </c>
    </row>
    <row r="1570" spans="1:72" ht="14.25" customHeight="1" x14ac:dyDescent="0.2">
      <c r="B1570" s="9">
        <v>12</v>
      </c>
      <c r="C1570" s="4" t="s">
        <v>1711</v>
      </c>
      <c r="D1570" s="188">
        <v>262</v>
      </c>
      <c r="E1570" s="4">
        <v>1815</v>
      </c>
      <c r="F1570" s="188" t="s">
        <v>2456</v>
      </c>
      <c r="G1570" s="4" t="s">
        <v>2457</v>
      </c>
      <c r="H1570" s="4" t="s">
        <v>2458</v>
      </c>
      <c r="I1570" s="4" t="s">
        <v>641</v>
      </c>
      <c r="J1570" s="4" t="s">
        <v>1736</v>
      </c>
      <c r="K1570" s="4">
        <v>1</v>
      </c>
      <c r="L1570" s="4">
        <v>2218</v>
      </c>
      <c r="M1570" s="6">
        <v>53.261670000000002</v>
      </c>
      <c r="N1570" s="9">
        <v>-121.76167</v>
      </c>
      <c r="O1570" s="9" t="s">
        <v>170</v>
      </c>
      <c r="P1570" s="9">
        <v>262</v>
      </c>
      <c r="Q1570" s="20">
        <v>4</v>
      </c>
      <c r="R1570" s="9" t="s">
        <v>2456</v>
      </c>
      <c r="S1570" s="9" t="s">
        <v>1737</v>
      </c>
      <c r="T1570" s="9">
        <v>1355</v>
      </c>
      <c r="U1570" s="9" t="s">
        <v>645</v>
      </c>
      <c r="V1570" s="9"/>
      <c r="W1570" s="21">
        <v>31778</v>
      </c>
      <c r="X1570" s="9" t="s">
        <v>1738</v>
      </c>
      <c r="Y1570" s="9"/>
      <c r="AK1570" s="260"/>
      <c r="AO1570" s="208" t="s">
        <v>2456</v>
      </c>
      <c r="AP1570" s="4">
        <v>262</v>
      </c>
      <c r="AQ1570" s="4" t="s">
        <v>1716</v>
      </c>
      <c r="AR1570" s="4" t="s">
        <v>1739</v>
      </c>
      <c r="AS1570" s="4" t="s">
        <v>1740</v>
      </c>
      <c r="AT1570" s="4" t="s">
        <v>1741</v>
      </c>
      <c r="AU1570" s="4" t="s">
        <v>1742</v>
      </c>
      <c r="AV1570" s="4" t="s">
        <v>1720</v>
      </c>
      <c r="AW1570" s="4" t="s">
        <v>2193</v>
      </c>
      <c r="AX1570" s="4" t="s">
        <v>2194</v>
      </c>
      <c r="AY1570" s="4">
        <v>53.261699999999998</v>
      </c>
      <c r="AZ1570" s="4">
        <v>-121.7617</v>
      </c>
      <c r="BA1570" s="4">
        <v>1355</v>
      </c>
    </row>
    <row r="1571" spans="1:72" ht="14.25" customHeight="1" x14ac:dyDescent="0.2">
      <c r="B1571" s="9">
        <v>12</v>
      </c>
      <c r="C1571" s="188" t="s">
        <v>1711</v>
      </c>
      <c r="D1571" s="188">
        <v>263</v>
      </c>
      <c r="E1571" s="4">
        <v>1816</v>
      </c>
      <c r="F1571" s="188" t="s">
        <v>2459</v>
      </c>
      <c r="G1571" s="188" t="s">
        <v>2460</v>
      </c>
      <c r="H1571" s="4" t="s">
        <v>2250</v>
      </c>
      <c r="I1571" s="4" t="s">
        <v>641</v>
      </c>
      <c r="J1571" s="4" t="s">
        <v>1736</v>
      </c>
      <c r="K1571" s="4">
        <v>1</v>
      </c>
      <c r="L1571" s="4">
        <v>2219</v>
      </c>
      <c r="M1571" s="6">
        <v>52.91</v>
      </c>
      <c r="N1571" s="9">
        <v>-120.91167</v>
      </c>
      <c r="O1571" s="9" t="s">
        <v>170</v>
      </c>
      <c r="P1571" s="9">
        <v>263</v>
      </c>
      <c r="Q1571" s="20">
        <v>2</v>
      </c>
      <c r="R1571" s="9" t="s">
        <v>2459</v>
      </c>
      <c r="S1571" s="9" t="s">
        <v>1737</v>
      </c>
      <c r="T1571" s="9">
        <v>1108</v>
      </c>
      <c r="U1571" s="9"/>
      <c r="V1571" s="9"/>
      <c r="W1571" s="21">
        <v>31778</v>
      </c>
      <c r="X1571" s="9" t="s">
        <v>1738</v>
      </c>
      <c r="Y1571" s="9"/>
      <c r="AK1571" s="260"/>
      <c r="AO1571" s="208" t="s">
        <v>2459</v>
      </c>
      <c r="AP1571" s="4">
        <v>263</v>
      </c>
      <c r="AQ1571" s="4" t="s">
        <v>1716</v>
      </c>
      <c r="AR1571" s="4" t="s">
        <v>1739</v>
      </c>
      <c r="AS1571" s="4" t="s">
        <v>1740</v>
      </c>
      <c r="AT1571" s="4" t="s">
        <v>1741</v>
      </c>
      <c r="AU1571" s="4" t="s">
        <v>1742</v>
      </c>
      <c r="AV1571" s="4" t="s">
        <v>1720</v>
      </c>
      <c r="AW1571" s="4" t="s">
        <v>2193</v>
      </c>
      <c r="AX1571" s="4" t="s">
        <v>2194</v>
      </c>
      <c r="AY1571" s="4">
        <v>52.91</v>
      </c>
      <c r="AZ1571" s="4">
        <v>-120.9117</v>
      </c>
      <c r="BA1571" s="4">
        <v>1108</v>
      </c>
    </row>
    <row r="1572" spans="1:72" ht="14.25" customHeight="1" x14ac:dyDescent="0.2">
      <c r="B1572" s="9">
        <v>12</v>
      </c>
      <c r="C1572" s="188" t="s">
        <v>1711</v>
      </c>
      <c r="D1572" s="188">
        <v>264</v>
      </c>
      <c r="E1572" s="4">
        <v>1817</v>
      </c>
      <c r="F1572" s="188" t="s">
        <v>2461</v>
      </c>
      <c r="G1572" s="188" t="s">
        <v>2462</v>
      </c>
      <c r="H1572" s="4" t="s">
        <v>2463</v>
      </c>
      <c r="I1572" s="4" t="s">
        <v>641</v>
      </c>
      <c r="J1572" s="4" t="s">
        <v>1736</v>
      </c>
      <c r="K1572" s="4">
        <v>1</v>
      </c>
      <c r="L1572" s="4">
        <v>2220</v>
      </c>
      <c r="M1572" s="6">
        <v>52.391269999999999</v>
      </c>
      <c r="N1572" s="9">
        <v>-120.985</v>
      </c>
      <c r="O1572" s="9" t="s">
        <v>170</v>
      </c>
      <c r="P1572" s="9">
        <v>264</v>
      </c>
      <c r="Q1572" s="20">
        <v>2</v>
      </c>
      <c r="R1572" s="9" t="s">
        <v>2461</v>
      </c>
      <c r="S1572" s="9" t="s">
        <v>1737</v>
      </c>
      <c r="T1572" s="9">
        <v>1015</v>
      </c>
      <c r="U1572" s="9"/>
      <c r="V1572" s="9"/>
      <c r="W1572" s="21">
        <v>32143</v>
      </c>
      <c r="X1572" s="9" t="s">
        <v>1738</v>
      </c>
      <c r="Y1572" s="9"/>
      <c r="AK1572" s="260"/>
      <c r="AO1572" s="208" t="s">
        <v>2461</v>
      </c>
      <c r="AP1572" s="4">
        <v>264</v>
      </c>
      <c r="AQ1572" s="4" t="s">
        <v>1716</v>
      </c>
      <c r="AR1572" s="4" t="s">
        <v>1739</v>
      </c>
      <c r="AS1572" s="4" t="s">
        <v>1740</v>
      </c>
      <c r="AT1572" s="4" t="s">
        <v>1741</v>
      </c>
      <c r="AU1572" s="4" t="s">
        <v>1742</v>
      </c>
      <c r="AV1572" s="4" t="s">
        <v>1720</v>
      </c>
      <c r="AW1572" s="4" t="s">
        <v>2193</v>
      </c>
      <c r="AX1572" s="4" t="s">
        <v>2356</v>
      </c>
      <c r="AY1572" s="4">
        <v>52.3917</v>
      </c>
      <c r="AZ1572" s="4">
        <v>-120.985</v>
      </c>
      <c r="BA1572" s="4">
        <v>1015</v>
      </c>
    </row>
    <row r="1573" spans="1:72" ht="14.25" customHeight="1" x14ac:dyDescent="0.2">
      <c r="B1573" s="9">
        <v>12</v>
      </c>
      <c r="C1573" s="203" t="s">
        <v>1711</v>
      </c>
      <c r="D1573" s="203">
        <v>265</v>
      </c>
      <c r="E1573" s="9">
        <v>1818</v>
      </c>
      <c r="F1573" s="16" t="s">
        <v>2464</v>
      </c>
      <c r="G1573" s="9" t="s">
        <v>2465</v>
      </c>
      <c r="H1573" s="9" t="s">
        <v>2466</v>
      </c>
      <c r="I1573" s="9" t="s">
        <v>641</v>
      </c>
      <c r="J1573" s="9" t="s">
        <v>1715</v>
      </c>
      <c r="K1573" s="9">
        <v>1</v>
      </c>
      <c r="L1573" s="4">
        <v>2221</v>
      </c>
      <c r="M1573" s="223"/>
      <c r="N1573" s="9"/>
      <c r="O1573" s="9"/>
      <c r="P1573" s="9"/>
      <c r="Q1573" s="9"/>
      <c r="R1573" s="9"/>
      <c r="S1573" s="9"/>
      <c r="T1573" s="9"/>
      <c r="U1573" s="9"/>
      <c r="V1573" s="9"/>
      <c r="W1573" s="9"/>
      <c r="X1573" s="9"/>
      <c r="Y1573" s="9"/>
      <c r="AK1573" s="260"/>
      <c r="AO1573" s="4" t="s">
        <v>2464</v>
      </c>
      <c r="AP1573" s="4">
        <v>265</v>
      </c>
      <c r="AQ1573" s="4" t="s">
        <v>1716</v>
      </c>
      <c r="AR1573" s="4" t="s">
        <v>1717</v>
      </c>
      <c r="AS1573" s="4" t="s">
        <v>1718</v>
      </c>
      <c r="AT1573" s="4" t="s">
        <v>1703</v>
      </c>
      <c r="AU1573" s="4" t="s">
        <v>1703</v>
      </c>
      <c r="AV1573" s="4" t="s">
        <v>1720</v>
      </c>
      <c r="AW1573" s="4" t="s">
        <v>2368</v>
      </c>
      <c r="AX1573" s="4" t="s">
        <v>2258</v>
      </c>
      <c r="AY1573" s="4">
        <v>52.546700000000001</v>
      </c>
      <c r="AZ1573" s="4">
        <v>-119.495</v>
      </c>
      <c r="BA1573" s="4">
        <v>914</v>
      </c>
    </row>
    <row r="1574" spans="1:72" ht="14.25" customHeight="1" x14ac:dyDescent="0.2">
      <c r="B1574" s="4">
        <v>12</v>
      </c>
      <c r="C1574" s="4" t="s">
        <v>1711</v>
      </c>
      <c r="D1574" s="188">
        <v>268</v>
      </c>
      <c r="E1574" s="4">
        <v>1821</v>
      </c>
      <c r="F1574" s="16" t="s">
        <v>2473</v>
      </c>
      <c r="G1574" s="4" t="s">
        <v>2474</v>
      </c>
      <c r="H1574" s="4" t="s">
        <v>2475</v>
      </c>
      <c r="I1574" s="4" t="s">
        <v>641</v>
      </c>
      <c r="J1574" s="4" t="s">
        <v>1715</v>
      </c>
      <c r="K1574" s="4">
        <v>1</v>
      </c>
      <c r="L1574" s="4">
        <v>2224</v>
      </c>
      <c r="M1574" s="223"/>
      <c r="U1574"/>
      <c r="AK1574" s="260"/>
      <c r="AO1574" s="4" t="s">
        <v>2473</v>
      </c>
      <c r="AP1574" s="4">
        <v>268</v>
      </c>
      <c r="AQ1574" s="4" t="s">
        <v>1716</v>
      </c>
      <c r="AR1574" s="4" t="s">
        <v>1717</v>
      </c>
      <c r="AS1574" s="4" t="s">
        <v>1718</v>
      </c>
      <c r="AT1574" s="4" t="s">
        <v>1703</v>
      </c>
      <c r="AU1574" s="4" t="s">
        <v>1703</v>
      </c>
      <c r="AV1574" s="4" t="s">
        <v>1720</v>
      </c>
      <c r="AW1574" s="4" t="s">
        <v>2368</v>
      </c>
      <c r="AX1574" s="4" t="s">
        <v>2401</v>
      </c>
      <c r="AY1574" s="4">
        <v>51.833300000000001</v>
      </c>
      <c r="AZ1574" s="4">
        <v>-119.1367</v>
      </c>
      <c r="BA1574" s="4">
        <v>975</v>
      </c>
    </row>
    <row r="1575" spans="1:72" ht="14.25" customHeight="1" x14ac:dyDescent="0.2">
      <c r="B1575" s="4">
        <v>12</v>
      </c>
      <c r="C1575" s="188" t="s">
        <v>1711</v>
      </c>
      <c r="D1575" s="188">
        <v>269</v>
      </c>
      <c r="E1575" s="4">
        <v>1822</v>
      </c>
      <c r="F1575" s="16" t="s">
        <v>2476</v>
      </c>
      <c r="G1575" s="188" t="s">
        <v>2477</v>
      </c>
      <c r="H1575" s="4" t="s">
        <v>2478</v>
      </c>
      <c r="I1575" s="4" t="s">
        <v>641</v>
      </c>
      <c r="J1575" s="4" t="s">
        <v>1715</v>
      </c>
      <c r="K1575" s="4">
        <v>1</v>
      </c>
      <c r="L1575" s="4">
        <v>2225</v>
      </c>
      <c r="M1575" s="223"/>
      <c r="U1575"/>
      <c r="AK1575" s="260"/>
      <c r="AO1575" s="4" t="s">
        <v>2476</v>
      </c>
      <c r="AP1575" s="4">
        <v>269</v>
      </c>
      <c r="AQ1575" s="4" t="s">
        <v>1716</v>
      </c>
      <c r="AR1575" s="4" t="s">
        <v>1717</v>
      </c>
      <c r="AS1575" s="4" t="s">
        <v>1718</v>
      </c>
      <c r="AT1575" s="4" t="s">
        <v>1703</v>
      </c>
      <c r="AU1575" s="4" t="s">
        <v>1703</v>
      </c>
      <c r="AV1575" s="4" t="s">
        <v>1720</v>
      </c>
      <c r="AW1575" s="4" t="s">
        <v>2368</v>
      </c>
      <c r="AX1575" s="4" t="s">
        <v>2401</v>
      </c>
      <c r="AY1575" s="4">
        <v>51.816699999999997</v>
      </c>
      <c r="AZ1575" s="4">
        <v>-119.6567</v>
      </c>
      <c r="BA1575" s="4">
        <v>701</v>
      </c>
    </row>
    <row r="1576" spans="1:72" ht="14.25" customHeight="1" x14ac:dyDescent="0.2">
      <c r="B1576" s="4">
        <v>12</v>
      </c>
      <c r="C1576" s="4" t="s">
        <v>1711</v>
      </c>
      <c r="D1576" s="188">
        <v>271</v>
      </c>
      <c r="E1576" s="4">
        <v>1824</v>
      </c>
      <c r="F1576" s="4" t="s">
        <v>2482</v>
      </c>
      <c r="G1576" s="4" t="s">
        <v>2483</v>
      </c>
      <c r="H1576" s="4" t="s">
        <v>2484</v>
      </c>
      <c r="I1576" s="4" t="s">
        <v>641</v>
      </c>
      <c r="J1576" s="4" t="s">
        <v>1715</v>
      </c>
      <c r="K1576" s="4">
        <v>1</v>
      </c>
      <c r="L1576" s="4">
        <v>2227</v>
      </c>
      <c r="M1576" s="223"/>
      <c r="U1576"/>
      <c r="AK1576" s="260"/>
      <c r="AO1576" s="4" t="s">
        <v>2485</v>
      </c>
      <c r="AP1576" s="4">
        <v>271</v>
      </c>
      <c r="AQ1576" s="4" t="s">
        <v>1716</v>
      </c>
      <c r="AR1576" s="4" t="s">
        <v>1717</v>
      </c>
      <c r="AS1576" s="4" t="s">
        <v>1718</v>
      </c>
      <c r="AT1576" s="4" t="s">
        <v>1835</v>
      </c>
      <c r="AU1576" s="4" t="s">
        <v>2162</v>
      </c>
      <c r="AV1576" s="4" t="s">
        <v>1720</v>
      </c>
      <c r="AW1576" s="4" t="s">
        <v>2193</v>
      </c>
      <c r="AX1576" s="4" t="s">
        <v>2356</v>
      </c>
      <c r="AY1576" s="4">
        <v>52.625</v>
      </c>
      <c r="AZ1576" s="4">
        <v>-120.3583</v>
      </c>
      <c r="BA1576" s="4">
        <v>910</v>
      </c>
    </row>
    <row r="1577" spans="1:72" ht="14.25" customHeight="1" x14ac:dyDescent="0.2">
      <c r="B1577" s="4">
        <v>12</v>
      </c>
      <c r="C1577" s="4" t="s">
        <v>1711</v>
      </c>
      <c r="D1577" s="188">
        <v>272</v>
      </c>
      <c r="E1577" s="4">
        <v>1825</v>
      </c>
      <c r="F1577" s="211" t="s">
        <v>2486</v>
      </c>
      <c r="G1577" s="4" t="s">
        <v>2487</v>
      </c>
      <c r="H1577" s="4" t="s">
        <v>2488</v>
      </c>
      <c r="I1577" s="4" t="s">
        <v>641</v>
      </c>
      <c r="J1577" s="4" t="s">
        <v>1715</v>
      </c>
      <c r="K1577" s="4">
        <v>1</v>
      </c>
      <c r="L1577" s="4">
        <v>2228</v>
      </c>
      <c r="M1577" s="6"/>
      <c r="U1577"/>
      <c r="AK1577" s="7"/>
      <c r="AO1577" s="4" t="s">
        <v>2486</v>
      </c>
      <c r="AP1577" s="4">
        <v>272</v>
      </c>
      <c r="AQ1577" s="4" t="s">
        <v>1716</v>
      </c>
      <c r="AR1577" s="4" t="s">
        <v>1717</v>
      </c>
      <c r="AS1577" s="4" t="s">
        <v>1718</v>
      </c>
      <c r="AT1577" s="4" t="s">
        <v>1719</v>
      </c>
      <c r="AU1577" s="4" t="s">
        <v>2489</v>
      </c>
      <c r="AV1577" s="4" t="s">
        <v>1720</v>
      </c>
      <c r="AW1577" s="4" t="s">
        <v>2368</v>
      </c>
      <c r="AX1577" s="4" t="s">
        <v>2401</v>
      </c>
      <c r="AY1577" s="4">
        <v>51.875</v>
      </c>
      <c r="AZ1577" s="4">
        <v>-119.2167</v>
      </c>
      <c r="BA1577" s="4">
        <v>2133</v>
      </c>
    </row>
    <row r="1578" spans="1:72" ht="14.25" customHeight="1" x14ac:dyDescent="0.2">
      <c r="B1578" s="4">
        <v>12</v>
      </c>
      <c r="C1578" s="4" t="s">
        <v>1711</v>
      </c>
      <c r="D1578" s="188">
        <v>273</v>
      </c>
      <c r="E1578" s="4">
        <v>1826</v>
      </c>
      <c r="F1578" s="211" t="s">
        <v>2490</v>
      </c>
      <c r="G1578" s="4" t="s">
        <v>2491</v>
      </c>
      <c r="H1578" s="4" t="s">
        <v>1714</v>
      </c>
      <c r="I1578" s="4" t="s">
        <v>1664</v>
      </c>
      <c r="J1578" s="4" t="s">
        <v>1715</v>
      </c>
      <c r="K1578" s="4">
        <v>1</v>
      </c>
      <c r="L1578" s="4">
        <v>2229</v>
      </c>
      <c r="M1578" s="6"/>
      <c r="U1578"/>
      <c r="AK1578" s="7"/>
      <c r="AO1578" s="4" t="s">
        <v>2490</v>
      </c>
      <c r="AP1578" s="4">
        <v>273</v>
      </c>
      <c r="AQ1578" s="4" t="s">
        <v>1716</v>
      </c>
      <c r="AR1578" s="4" t="s">
        <v>1717</v>
      </c>
      <c r="AS1578" s="4" t="s">
        <v>1718</v>
      </c>
      <c r="AT1578" s="4" t="s">
        <v>1719</v>
      </c>
      <c r="AU1578" s="4" t="s">
        <v>1703</v>
      </c>
      <c r="AV1578" s="4" t="s">
        <v>1720</v>
      </c>
      <c r="AW1578" s="4" t="s">
        <v>2368</v>
      </c>
      <c r="AX1578" s="4" t="s">
        <v>2492</v>
      </c>
      <c r="AY1578" s="4">
        <v>50.1</v>
      </c>
      <c r="AZ1578" s="4">
        <v>-120.4</v>
      </c>
      <c r="BA1578" s="4">
        <v>15</v>
      </c>
    </row>
    <row r="1579" spans="1:72" ht="14.25" customHeight="1" x14ac:dyDescent="0.2">
      <c r="B1579" s="4">
        <v>12</v>
      </c>
      <c r="C1579" s="4" t="s">
        <v>1711</v>
      </c>
      <c r="D1579" s="188">
        <v>275</v>
      </c>
      <c r="E1579" s="4">
        <v>1827</v>
      </c>
      <c r="F1579" s="211" t="s">
        <v>2493</v>
      </c>
      <c r="G1579" s="4" t="s">
        <v>2494</v>
      </c>
      <c r="H1579" s="4" t="s">
        <v>2495</v>
      </c>
      <c r="I1579" s="4" t="s">
        <v>1664</v>
      </c>
      <c r="J1579" s="4" t="s">
        <v>1715</v>
      </c>
      <c r="K1579" s="4">
        <v>1</v>
      </c>
      <c r="L1579" s="4">
        <v>2230</v>
      </c>
      <c r="M1579" s="6"/>
      <c r="U1579"/>
      <c r="AK1579" s="7"/>
      <c r="AO1579" s="4" t="s">
        <v>2493</v>
      </c>
      <c r="AP1579" s="4">
        <v>275</v>
      </c>
      <c r="AQ1579" s="4" t="s">
        <v>1716</v>
      </c>
      <c r="AR1579" s="4" t="s">
        <v>1717</v>
      </c>
      <c r="AS1579" s="4" t="s">
        <v>1718</v>
      </c>
      <c r="AT1579" s="4" t="s">
        <v>1719</v>
      </c>
      <c r="AU1579" s="4" t="s">
        <v>1703</v>
      </c>
      <c r="AV1579" s="4" t="s">
        <v>1720</v>
      </c>
      <c r="AW1579" s="4" t="s">
        <v>2368</v>
      </c>
      <c r="AX1579" s="4" t="s">
        <v>2369</v>
      </c>
      <c r="AY1579" s="4">
        <v>50.7</v>
      </c>
      <c r="AZ1579" s="4">
        <v>-120.3</v>
      </c>
      <c r="BA1579" s="4">
        <v>3</v>
      </c>
    </row>
    <row r="1580" spans="1:72" ht="14.25" customHeight="1" x14ac:dyDescent="0.2">
      <c r="B1580" s="4">
        <v>12</v>
      </c>
      <c r="C1580" s="4" t="s">
        <v>1711</v>
      </c>
      <c r="D1580" s="188">
        <v>278</v>
      </c>
      <c r="E1580" s="4">
        <v>1828</v>
      </c>
      <c r="F1580" s="211" t="s">
        <v>2496</v>
      </c>
      <c r="G1580" s="4" t="s">
        <v>2497</v>
      </c>
      <c r="H1580" s="4" t="s">
        <v>2498</v>
      </c>
      <c r="I1580" s="4" t="s">
        <v>641</v>
      </c>
      <c r="J1580" s="4" t="s">
        <v>1715</v>
      </c>
      <c r="K1580" s="4">
        <v>1</v>
      </c>
      <c r="L1580" s="4">
        <v>2231</v>
      </c>
      <c r="M1580" s="6"/>
      <c r="U1580"/>
      <c r="AK1580" s="7"/>
      <c r="AO1580" s="4" t="s">
        <v>2496</v>
      </c>
      <c r="AP1580" s="4">
        <v>278</v>
      </c>
      <c r="AQ1580" s="4" t="s">
        <v>1716</v>
      </c>
      <c r="AR1580" s="4" t="s">
        <v>1717</v>
      </c>
      <c r="AS1580" s="4" t="s">
        <v>1718</v>
      </c>
      <c r="AT1580" s="4" t="s">
        <v>1703</v>
      </c>
      <c r="AU1580" s="4" t="s">
        <v>1703</v>
      </c>
      <c r="AV1580" s="4" t="s">
        <v>1720</v>
      </c>
      <c r="AW1580" s="4" t="s">
        <v>2368</v>
      </c>
      <c r="AX1580" s="4" t="s">
        <v>2492</v>
      </c>
      <c r="AY1580" s="4">
        <v>49.323300000000003</v>
      </c>
      <c r="AZ1580" s="4">
        <v>-120.795</v>
      </c>
      <c r="BA1580" s="4">
        <v>1615</v>
      </c>
    </row>
    <row r="1581" spans="1:72" ht="14.25" customHeight="1" x14ac:dyDescent="0.2">
      <c r="B1581" s="4">
        <v>12</v>
      </c>
      <c r="C1581" s="4" t="s">
        <v>1711</v>
      </c>
      <c r="D1581" s="188">
        <v>282</v>
      </c>
      <c r="E1581" s="4">
        <v>1832</v>
      </c>
      <c r="F1581" s="211" t="s">
        <v>2510</v>
      </c>
      <c r="G1581" s="4" t="s">
        <v>2511</v>
      </c>
      <c r="H1581" s="4" t="s">
        <v>2512</v>
      </c>
      <c r="I1581" s="4" t="s">
        <v>641</v>
      </c>
      <c r="J1581" s="4" t="s">
        <v>1715</v>
      </c>
      <c r="K1581" s="4">
        <v>1</v>
      </c>
      <c r="L1581" s="4">
        <v>2235</v>
      </c>
      <c r="M1581" s="6"/>
      <c r="U1581"/>
      <c r="AK1581" s="7"/>
      <c r="AO1581" s="4" t="s">
        <v>2510</v>
      </c>
      <c r="AP1581" s="4">
        <v>282</v>
      </c>
      <c r="AQ1581" s="4" t="s">
        <v>1716</v>
      </c>
      <c r="AR1581" s="4" t="s">
        <v>1717</v>
      </c>
      <c r="AS1581" s="4" t="s">
        <v>1718</v>
      </c>
      <c r="AT1581" s="4" t="s">
        <v>1703</v>
      </c>
      <c r="AU1581" s="4" t="s">
        <v>1703</v>
      </c>
      <c r="AV1581" s="4" t="s">
        <v>1720</v>
      </c>
      <c r="AW1581" s="4" t="s">
        <v>2368</v>
      </c>
      <c r="AX1581" s="4" t="s">
        <v>2492</v>
      </c>
      <c r="AY1581" s="4">
        <v>49.7667</v>
      </c>
      <c r="AZ1581" s="4">
        <v>-120.4217</v>
      </c>
      <c r="BA1581" s="4">
        <v>1341</v>
      </c>
    </row>
    <row r="1582" spans="1:72" ht="14.25" customHeight="1" x14ac:dyDescent="0.2">
      <c r="B1582" s="4">
        <v>12</v>
      </c>
      <c r="C1582" s="4" t="s">
        <v>1711</v>
      </c>
      <c r="D1582" s="188">
        <v>284</v>
      </c>
      <c r="E1582" s="4">
        <v>1834</v>
      </c>
      <c r="F1582" s="211" t="s">
        <v>2517</v>
      </c>
      <c r="G1582" s="4" t="s">
        <v>2518</v>
      </c>
      <c r="H1582" s="4" t="s">
        <v>2519</v>
      </c>
      <c r="I1582" s="4" t="s">
        <v>641</v>
      </c>
      <c r="J1582" s="4" t="s">
        <v>1715</v>
      </c>
      <c r="K1582" s="4">
        <v>1</v>
      </c>
      <c r="L1582" s="4">
        <v>2237</v>
      </c>
      <c r="M1582" s="6"/>
      <c r="U1582"/>
      <c r="AK1582" s="7"/>
      <c r="AO1582" s="4" t="s">
        <v>2517</v>
      </c>
      <c r="AP1582" s="4">
        <v>284</v>
      </c>
      <c r="AQ1582" s="4" t="s">
        <v>1716</v>
      </c>
      <c r="AR1582" s="4" t="s">
        <v>1717</v>
      </c>
      <c r="AS1582" s="4" t="s">
        <v>1718</v>
      </c>
      <c r="AT1582" s="4" t="s">
        <v>1703</v>
      </c>
      <c r="AU1582" s="4" t="s">
        <v>1703</v>
      </c>
      <c r="AV1582" s="4" t="s">
        <v>1720</v>
      </c>
      <c r="AW1582" s="4" t="s">
        <v>2368</v>
      </c>
      <c r="AX1582" s="4" t="s">
        <v>2492</v>
      </c>
      <c r="AY1582" s="4">
        <v>49.931699999999999</v>
      </c>
      <c r="AZ1582" s="4">
        <v>-121.1183</v>
      </c>
      <c r="BA1582" s="4">
        <v>1036</v>
      </c>
    </row>
    <row r="1583" spans="1:72" ht="14.25" customHeight="1" x14ac:dyDescent="0.2">
      <c r="A1583" s="192"/>
      <c r="B1583" s="188">
        <v>12</v>
      </c>
      <c r="C1583" s="188" t="s">
        <v>1711</v>
      </c>
      <c r="D1583" s="188">
        <v>285</v>
      </c>
      <c r="E1583" s="188">
        <v>1835</v>
      </c>
      <c r="F1583" s="16" t="s">
        <v>2520</v>
      </c>
      <c r="G1583" s="188" t="s">
        <v>2521</v>
      </c>
      <c r="H1583" s="188" t="s">
        <v>2027</v>
      </c>
      <c r="I1583" s="188" t="s">
        <v>1664</v>
      </c>
      <c r="J1583" s="188" t="s">
        <v>1715</v>
      </c>
      <c r="K1583" s="188">
        <v>1</v>
      </c>
      <c r="L1583" s="188">
        <v>2238</v>
      </c>
      <c r="M1583" s="226"/>
      <c r="N1583" s="192"/>
      <c r="O1583" s="192"/>
      <c r="P1583" s="192"/>
      <c r="Q1583" s="192"/>
      <c r="R1583" s="192"/>
      <c r="S1583" s="192"/>
      <c r="T1583" s="192"/>
      <c r="U1583" s="192"/>
      <c r="V1583" s="192"/>
      <c r="W1583" s="192"/>
      <c r="X1583" s="192"/>
      <c r="Y1583" s="192"/>
      <c r="Z1583" s="192"/>
      <c r="AA1583" s="192"/>
      <c r="AB1583" s="192"/>
      <c r="AC1583" s="192"/>
      <c r="AD1583" s="192"/>
      <c r="AE1583" s="192"/>
      <c r="AF1583" s="192"/>
      <c r="AG1583" s="192"/>
      <c r="AH1583" s="192"/>
      <c r="AI1583" s="192"/>
      <c r="AJ1583" s="192"/>
      <c r="AK1583" s="266"/>
      <c r="AL1583" s="192"/>
      <c r="AM1583" s="192"/>
      <c r="AN1583" s="192"/>
      <c r="AO1583" s="188" t="s">
        <v>2520</v>
      </c>
      <c r="AP1583" s="188">
        <v>285</v>
      </c>
      <c r="AQ1583" s="188" t="s">
        <v>1716</v>
      </c>
      <c r="AR1583" s="188" t="s">
        <v>1717</v>
      </c>
      <c r="AS1583" s="188" t="s">
        <v>1718</v>
      </c>
      <c r="AT1583" s="188" t="s">
        <v>1719</v>
      </c>
      <c r="AU1583" s="188" t="s">
        <v>1703</v>
      </c>
      <c r="AV1583" s="188" t="s">
        <v>1720</v>
      </c>
      <c r="AW1583" s="188" t="s">
        <v>2368</v>
      </c>
      <c r="AX1583" s="188" t="s">
        <v>2522</v>
      </c>
      <c r="AY1583" s="188">
        <v>50.2</v>
      </c>
      <c r="AZ1583" s="188">
        <v>-119</v>
      </c>
      <c r="BA1583" s="188">
        <v>0</v>
      </c>
      <c r="BB1583" s="192"/>
      <c r="BC1583" s="192"/>
      <c r="BD1583" s="192"/>
      <c r="BE1583" s="192"/>
      <c r="BF1583" s="192"/>
      <c r="BG1583" s="192"/>
      <c r="BH1583" s="192"/>
      <c r="BI1583" s="192"/>
      <c r="BJ1583" s="192"/>
      <c r="BK1583" s="192"/>
      <c r="BL1583" s="192"/>
      <c r="BM1583" s="192"/>
      <c r="BN1583" s="192"/>
      <c r="BO1583" s="192"/>
      <c r="BP1583" s="192"/>
      <c r="BQ1583" s="192"/>
      <c r="BR1583" s="192"/>
      <c r="BS1583" s="192"/>
      <c r="BT1583" s="192"/>
    </row>
    <row r="1584" spans="1:72" ht="14.25" customHeight="1" x14ac:dyDescent="0.2">
      <c r="B1584" s="4">
        <v>12</v>
      </c>
      <c r="C1584" s="4" t="s">
        <v>1711</v>
      </c>
      <c r="D1584" s="188">
        <v>287</v>
      </c>
      <c r="E1584" s="4">
        <v>1837</v>
      </c>
      <c r="F1584" s="211" t="s">
        <v>2526</v>
      </c>
      <c r="G1584" s="4" t="s">
        <v>2527</v>
      </c>
      <c r="H1584" s="4" t="s">
        <v>2528</v>
      </c>
      <c r="I1584" s="4" t="s">
        <v>1664</v>
      </c>
      <c r="J1584" s="4" t="s">
        <v>1715</v>
      </c>
      <c r="K1584" s="4">
        <v>1</v>
      </c>
      <c r="L1584" s="4">
        <v>2240</v>
      </c>
      <c r="M1584" s="6"/>
      <c r="U1584"/>
      <c r="AK1584" s="7"/>
      <c r="AO1584" s="4" t="s">
        <v>2529</v>
      </c>
      <c r="AP1584" s="4">
        <v>287</v>
      </c>
      <c r="AQ1584" s="4" t="s">
        <v>1716</v>
      </c>
      <c r="AR1584" s="4" t="s">
        <v>1717</v>
      </c>
      <c r="AS1584" s="4" t="s">
        <v>1718</v>
      </c>
      <c r="AT1584" s="4" t="s">
        <v>1703</v>
      </c>
      <c r="AU1584" s="4" t="s">
        <v>1703</v>
      </c>
      <c r="AV1584" s="4" t="s">
        <v>1720</v>
      </c>
      <c r="AW1584" s="4" t="s">
        <v>2368</v>
      </c>
      <c r="AX1584" s="4" t="s">
        <v>2505</v>
      </c>
      <c r="AY1584" s="4">
        <v>50.8</v>
      </c>
      <c r="AZ1584" s="4">
        <v>-122.8</v>
      </c>
      <c r="BA1584" s="4">
        <v>0</v>
      </c>
    </row>
    <row r="1585" spans="2:53" ht="14.25" customHeight="1" x14ac:dyDescent="0.2">
      <c r="B1585" s="4">
        <v>12</v>
      </c>
      <c r="C1585" s="4" t="s">
        <v>1711</v>
      </c>
      <c r="D1585" s="188">
        <v>288</v>
      </c>
      <c r="E1585" s="4">
        <v>1838</v>
      </c>
      <c r="F1585" s="16" t="s">
        <v>2530</v>
      </c>
      <c r="G1585" s="4" t="s">
        <v>2531</v>
      </c>
      <c r="H1585" s="4" t="s">
        <v>1787</v>
      </c>
      <c r="I1585" s="4" t="s">
        <v>1664</v>
      </c>
      <c r="J1585" s="4" t="s">
        <v>1715</v>
      </c>
      <c r="K1585" s="4">
        <v>1</v>
      </c>
      <c r="L1585" s="4">
        <v>2241</v>
      </c>
      <c r="M1585" s="6"/>
      <c r="U1585"/>
      <c r="AK1585" s="7"/>
      <c r="AO1585" s="4" t="s">
        <v>2530</v>
      </c>
      <c r="AP1585" s="4">
        <v>288</v>
      </c>
      <c r="AQ1585" s="4" t="s">
        <v>1716</v>
      </c>
      <c r="AR1585" s="4" t="s">
        <v>1717</v>
      </c>
      <c r="AS1585" s="4" t="s">
        <v>1718</v>
      </c>
      <c r="AT1585" s="4" t="s">
        <v>1719</v>
      </c>
      <c r="AU1585" s="4" t="s">
        <v>1703</v>
      </c>
      <c r="AV1585" s="4" t="s">
        <v>1720</v>
      </c>
      <c r="AW1585" s="4" t="s">
        <v>2368</v>
      </c>
      <c r="AX1585" s="4" t="s">
        <v>2522</v>
      </c>
      <c r="AY1585" s="4">
        <v>50.3</v>
      </c>
      <c r="AZ1585" s="4">
        <v>-119.3</v>
      </c>
      <c r="BA1585" s="4">
        <v>0</v>
      </c>
    </row>
    <row r="1586" spans="2:53" ht="14.25" customHeight="1" x14ac:dyDescent="0.2">
      <c r="B1586" s="4">
        <v>12</v>
      </c>
      <c r="C1586" s="188" t="s">
        <v>1711</v>
      </c>
      <c r="D1586" s="188">
        <v>289</v>
      </c>
      <c r="E1586" s="4">
        <v>1839</v>
      </c>
      <c r="F1586" s="16" t="s">
        <v>2532</v>
      </c>
      <c r="G1586" s="188" t="s">
        <v>2533</v>
      </c>
      <c r="H1586" s="4" t="s">
        <v>2534</v>
      </c>
      <c r="I1586" s="4" t="s">
        <v>1664</v>
      </c>
      <c r="J1586" s="4" t="s">
        <v>1746</v>
      </c>
      <c r="K1586" s="4">
        <v>1</v>
      </c>
      <c r="L1586" s="4">
        <v>2242</v>
      </c>
      <c r="M1586" s="6"/>
      <c r="U1586"/>
      <c r="AK1586" s="260"/>
      <c r="AO1586" s="4" t="s">
        <v>2532</v>
      </c>
      <c r="AP1586" s="4">
        <v>289</v>
      </c>
      <c r="AQ1586" s="4" t="s">
        <v>1716</v>
      </c>
      <c r="AR1586" s="4" t="s">
        <v>1717</v>
      </c>
      <c r="AS1586" s="4" t="s">
        <v>1718</v>
      </c>
      <c r="AT1586" s="4" t="s">
        <v>1719</v>
      </c>
      <c r="AU1586" s="4" t="s">
        <v>1703</v>
      </c>
      <c r="AV1586" s="4" t="s">
        <v>1720</v>
      </c>
      <c r="AW1586" s="4" t="s">
        <v>2368</v>
      </c>
      <c r="AX1586" s="4" t="s">
        <v>2522</v>
      </c>
      <c r="AY1586" s="4">
        <v>50.2</v>
      </c>
      <c r="AZ1586" s="4">
        <v>-119.3</v>
      </c>
      <c r="BA1586" s="4">
        <v>4</v>
      </c>
    </row>
    <row r="1587" spans="2:53" ht="14.25" customHeight="1" x14ac:dyDescent="0.2">
      <c r="B1587" s="4">
        <v>12</v>
      </c>
      <c r="C1587" s="4" t="s">
        <v>1711</v>
      </c>
      <c r="D1587" s="4">
        <v>290</v>
      </c>
      <c r="E1587" s="4">
        <v>1840</v>
      </c>
      <c r="F1587" s="211" t="s">
        <v>2535</v>
      </c>
      <c r="G1587" s="4" t="s">
        <v>2536</v>
      </c>
      <c r="H1587" s="4" t="s">
        <v>2537</v>
      </c>
      <c r="I1587" s="4" t="s">
        <v>641</v>
      </c>
      <c r="J1587" s="4" t="s">
        <v>1715</v>
      </c>
      <c r="K1587" s="4">
        <v>1</v>
      </c>
      <c r="L1587" s="4">
        <v>2243</v>
      </c>
      <c r="M1587" s="6"/>
      <c r="U1587"/>
      <c r="AK1587" s="260"/>
      <c r="AO1587" s="4" t="s">
        <v>2535</v>
      </c>
      <c r="AP1587" s="4">
        <v>290</v>
      </c>
      <c r="AQ1587" s="4" t="s">
        <v>1716</v>
      </c>
      <c r="AR1587" s="4" t="s">
        <v>1717</v>
      </c>
      <c r="AS1587" s="4" t="s">
        <v>1718</v>
      </c>
      <c r="AT1587" s="4" t="s">
        <v>1703</v>
      </c>
      <c r="AU1587" s="4" t="s">
        <v>1703</v>
      </c>
      <c r="AV1587" s="4" t="s">
        <v>1720</v>
      </c>
      <c r="AW1587" s="4" t="s">
        <v>2368</v>
      </c>
      <c r="AX1587" s="4" t="s">
        <v>2522</v>
      </c>
      <c r="AY1587" s="4">
        <v>50.4133</v>
      </c>
      <c r="AZ1587" s="4">
        <v>-119.9967</v>
      </c>
      <c r="BA1587" s="4">
        <v>1462</v>
      </c>
    </row>
    <row r="1588" spans="2:53" ht="14.25" customHeight="1" x14ac:dyDescent="0.2">
      <c r="B1588" s="4">
        <v>12</v>
      </c>
      <c r="C1588" s="4" t="s">
        <v>1711</v>
      </c>
      <c r="D1588" s="188">
        <v>293</v>
      </c>
      <c r="E1588" s="4">
        <v>1843</v>
      </c>
      <c r="F1588" s="211" t="s">
        <v>2546</v>
      </c>
      <c r="G1588" s="4" t="s">
        <v>2547</v>
      </c>
      <c r="H1588" s="4" t="s">
        <v>2548</v>
      </c>
      <c r="I1588" s="4" t="s">
        <v>1664</v>
      </c>
      <c r="J1588" s="4" t="s">
        <v>1715</v>
      </c>
      <c r="K1588" s="4">
        <v>1</v>
      </c>
      <c r="L1588" s="4">
        <v>2246</v>
      </c>
      <c r="M1588" s="6"/>
      <c r="U1588"/>
      <c r="AK1588" s="260"/>
      <c r="AO1588" s="4" t="s">
        <v>2546</v>
      </c>
      <c r="AP1588" s="4">
        <v>293</v>
      </c>
      <c r="AQ1588" s="4" t="s">
        <v>1716</v>
      </c>
      <c r="AR1588" s="4" t="s">
        <v>1717</v>
      </c>
      <c r="AS1588" s="4" t="s">
        <v>1718</v>
      </c>
      <c r="AT1588" s="4" t="s">
        <v>1719</v>
      </c>
      <c r="AU1588" s="4" t="s">
        <v>1703</v>
      </c>
      <c r="AV1588" s="4" t="s">
        <v>1720</v>
      </c>
      <c r="AW1588" s="4" t="s">
        <v>1705</v>
      </c>
      <c r="AY1588" s="4">
        <v>49</v>
      </c>
      <c r="AZ1588" s="4">
        <v>-120.8</v>
      </c>
      <c r="BA1588" s="4">
        <v>0</v>
      </c>
    </row>
    <row r="1589" spans="2:53" ht="14.25" customHeight="1" x14ac:dyDescent="0.2">
      <c r="B1589" s="4">
        <v>12</v>
      </c>
      <c r="C1589" s="4" t="s">
        <v>1711</v>
      </c>
      <c r="D1589" s="4">
        <v>295</v>
      </c>
      <c r="E1589" s="4">
        <v>1845</v>
      </c>
      <c r="F1589" s="211" t="s">
        <v>2553</v>
      </c>
      <c r="G1589" s="4" t="s">
        <v>2554</v>
      </c>
      <c r="H1589" s="4" t="s">
        <v>2555</v>
      </c>
      <c r="I1589" s="4" t="s">
        <v>1664</v>
      </c>
      <c r="J1589" s="4" t="s">
        <v>1715</v>
      </c>
      <c r="K1589" s="4">
        <v>1</v>
      </c>
      <c r="L1589" s="4">
        <v>2248</v>
      </c>
      <c r="M1589" s="6"/>
      <c r="N1589" s="9"/>
      <c r="P1589" s="9"/>
      <c r="R1589" s="9"/>
      <c r="T1589" s="9"/>
      <c r="U1589"/>
      <c r="AK1589" s="260"/>
      <c r="AO1589" s="4" t="s">
        <v>2553</v>
      </c>
      <c r="AP1589" s="4">
        <v>295</v>
      </c>
      <c r="AQ1589" s="4" t="s">
        <v>1716</v>
      </c>
      <c r="AR1589" s="4" t="s">
        <v>1717</v>
      </c>
      <c r="AS1589" s="4" t="s">
        <v>1718</v>
      </c>
      <c r="AT1589" s="4" t="s">
        <v>1719</v>
      </c>
      <c r="AU1589" s="4" t="s">
        <v>1703</v>
      </c>
      <c r="AV1589" s="4" t="s">
        <v>1720</v>
      </c>
      <c r="AW1589" s="4" t="s">
        <v>2368</v>
      </c>
      <c r="AX1589" s="4" t="s">
        <v>2369</v>
      </c>
      <c r="AY1589" s="4">
        <v>50.7</v>
      </c>
      <c r="AZ1589" s="4">
        <v>-121.4</v>
      </c>
      <c r="BA1589" s="4">
        <v>20</v>
      </c>
    </row>
    <row r="1590" spans="2:53" ht="14.25" customHeight="1" x14ac:dyDescent="0.2">
      <c r="B1590" s="4">
        <v>12</v>
      </c>
      <c r="C1590" s="4" t="s">
        <v>1711</v>
      </c>
      <c r="D1590" s="188">
        <v>296</v>
      </c>
      <c r="E1590" s="4">
        <v>1846</v>
      </c>
      <c r="F1590" s="16" t="s">
        <v>2556</v>
      </c>
      <c r="G1590" s="4" t="s">
        <v>2557</v>
      </c>
      <c r="H1590" s="4" t="s">
        <v>2558</v>
      </c>
      <c r="I1590" s="4" t="s">
        <v>1664</v>
      </c>
      <c r="J1590" s="4" t="s">
        <v>1746</v>
      </c>
      <c r="K1590" s="4">
        <v>1</v>
      </c>
      <c r="L1590" s="4">
        <v>2249</v>
      </c>
      <c r="M1590" s="6"/>
      <c r="U1590"/>
      <c r="AK1590" s="260"/>
      <c r="AO1590" s="4" t="s">
        <v>2556</v>
      </c>
      <c r="AP1590" s="4">
        <v>296</v>
      </c>
      <c r="AQ1590" s="4" t="s">
        <v>1716</v>
      </c>
      <c r="AR1590" s="4" t="s">
        <v>1717</v>
      </c>
      <c r="AS1590" s="4" t="s">
        <v>1718</v>
      </c>
      <c r="AT1590" s="4" t="s">
        <v>1719</v>
      </c>
      <c r="AU1590" s="4" t="s">
        <v>1703</v>
      </c>
      <c r="AV1590" s="4" t="s">
        <v>1720</v>
      </c>
      <c r="AW1590" s="4" t="s">
        <v>2368</v>
      </c>
      <c r="AX1590" s="4" t="s">
        <v>2369</v>
      </c>
      <c r="AY1590" s="4">
        <v>50.9</v>
      </c>
      <c r="AZ1590" s="4">
        <v>-119.8</v>
      </c>
      <c r="BA1590" s="4">
        <v>14</v>
      </c>
    </row>
    <row r="1591" spans="2:53" ht="14.25" customHeight="1" x14ac:dyDescent="0.2">
      <c r="B1591" s="4">
        <v>12</v>
      </c>
      <c r="C1591" s="4" t="s">
        <v>1711</v>
      </c>
      <c r="D1591" s="188">
        <v>299</v>
      </c>
      <c r="E1591" s="4">
        <v>1849</v>
      </c>
      <c r="F1591" s="16" t="s">
        <v>2566</v>
      </c>
      <c r="G1591" s="4" t="s">
        <v>2567</v>
      </c>
      <c r="H1591" s="4" t="s">
        <v>2568</v>
      </c>
      <c r="I1591" s="4" t="s">
        <v>641</v>
      </c>
      <c r="J1591" s="4" t="s">
        <v>1715</v>
      </c>
      <c r="K1591" s="4">
        <v>1</v>
      </c>
      <c r="L1591" s="4">
        <v>2252</v>
      </c>
      <c r="M1591" s="6"/>
      <c r="N1591" s="9"/>
      <c r="R1591" s="9"/>
      <c r="T1591" s="9"/>
      <c r="U1591"/>
      <c r="AK1591" s="260"/>
      <c r="AO1591" s="4" t="s">
        <v>2566</v>
      </c>
      <c r="AP1591" s="4">
        <v>299</v>
      </c>
      <c r="AQ1591" s="4" t="s">
        <v>1716</v>
      </c>
      <c r="AR1591" s="4" t="s">
        <v>1717</v>
      </c>
      <c r="AS1591" s="4" t="s">
        <v>1718</v>
      </c>
      <c r="AT1591" s="4" t="s">
        <v>1703</v>
      </c>
      <c r="AU1591" s="4" t="s">
        <v>1703</v>
      </c>
      <c r="AV1591" s="4" t="s">
        <v>1720</v>
      </c>
      <c r="AW1591" s="4" t="s">
        <v>2368</v>
      </c>
      <c r="AX1591" s="4" t="s">
        <v>2369</v>
      </c>
      <c r="AY1591" s="4">
        <v>50.6</v>
      </c>
      <c r="AZ1591" s="4">
        <v>-120.3</v>
      </c>
      <c r="BA1591" s="4">
        <v>5</v>
      </c>
    </row>
    <row r="1592" spans="2:53" ht="14.25" customHeight="1" x14ac:dyDescent="0.2">
      <c r="B1592" s="4">
        <v>12</v>
      </c>
      <c r="C1592" s="4" t="s">
        <v>1711</v>
      </c>
      <c r="D1592" s="188">
        <v>303</v>
      </c>
      <c r="E1592" s="4">
        <v>1853</v>
      </c>
      <c r="F1592" s="16" t="s">
        <v>2577</v>
      </c>
      <c r="G1592" s="4" t="s">
        <v>2578</v>
      </c>
      <c r="H1592" s="4" t="s">
        <v>2579</v>
      </c>
      <c r="I1592" s="4" t="s">
        <v>641</v>
      </c>
      <c r="J1592" s="4" t="s">
        <v>1715</v>
      </c>
      <c r="K1592" s="4">
        <v>1</v>
      </c>
      <c r="L1592" s="4">
        <v>2256</v>
      </c>
      <c r="M1592" s="6"/>
      <c r="N1592" s="9"/>
      <c r="P1592" s="9"/>
      <c r="R1592" s="9"/>
      <c r="T1592" s="9"/>
      <c r="U1592"/>
      <c r="AK1592" s="260"/>
      <c r="AO1592" s="4" t="s">
        <v>2577</v>
      </c>
      <c r="AP1592" s="4">
        <v>303</v>
      </c>
      <c r="AQ1592" s="4" t="s">
        <v>1716</v>
      </c>
      <c r="AR1592" s="4" t="s">
        <v>1717</v>
      </c>
      <c r="AS1592" s="4" t="s">
        <v>1718</v>
      </c>
      <c r="AT1592" s="4" t="s">
        <v>1703</v>
      </c>
      <c r="AU1592" s="4" t="s">
        <v>1703</v>
      </c>
      <c r="AV1592" s="4" t="s">
        <v>1720</v>
      </c>
      <c r="AW1592" s="4" t="s">
        <v>2368</v>
      </c>
      <c r="AX1592" s="4" t="s">
        <v>2369</v>
      </c>
      <c r="AY1592" s="4">
        <v>50.7</v>
      </c>
      <c r="AZ1592" s="4">
        <v>-120.6</v>
      </c>
      <c r="BA1592" s="4">
        <v>7</v>
      </c>
    </row>
    <row r="1593" spans="2:53" ht="14.25" customHeight="1" x14ac:dyDescent="0.2">
      <c r="B1593" s="4">
        <v>12</v>
      </c>
      <c r="C1593" s="4" t="s">
        <v>1711</v>
      </c>
      <c r="D1593" s="188">
        <v>304</v>
      </c>
      <c r="E1593" s="4">
        <v>1854</v>
      </c>
      <c r="F1593" s="16" t="s">
        <v>2580</v>
      </c>
      <c r="G1593" s="4" t="s">
        <v>2581</v>
      </c>
      <c r="H1593" s="4" t="s">
        <v>2579</v>
      </c>
      <c r="I1593" s="4" t="s">
        <v>641</v>
      </c>
      <c r="J1593" s="4" t="s">
        <v>1715</v>
      </c>
      <c r="K1593" s="4">
        <v>1</v>
      </c>
      <c r="L1593" s="4">
        <v>2257</v>
      </c>
      <c r="M1593" s="6"/>
      <c r="U1593"/>
      <c r="AK1593" s="260"/>
      <c r="AO1593" s="4" t="s">
        <v>2580</v>
      </c>
      <c r="AP1593" s="4">
        <v>304</v>
      </c>
      <c r="AQ1593" s="4" t="s">
        <v>1716</v>
      </c>
      <c r="AR1593" s="4" t="s">
        <v>1717</v>
      </c>
      <c r="AS1593" s="4" t="s">
        <v>1718</v>
      </c>
      <c r="AT1593" s="4" t="s">
        <v>1703</v>
      </c>
      <c r="AU1593" s="4" t="s">
        <v>1703</v>
      </c>
      <c r="AV1593" s="4" t="s">
        <v>1720</v>
      </c>
      <c r="AW1593" s="4" t="s">
        <v>2368</v>
      </c>
      <c r="AX1593" s="4" t="s">
        <v>2369</v>
      </c>
      <c r="AY1593" s="4">
        <v>50.8</v>
      </c>
      <c r="AZ1593" s="4">
        <v>-120.6</v>
      </c>
      <c r="BA1593" s="4">
        <v>12</v>
      </c>
    </row>
    <row r="1594" spans="2:53" ht="14.25" customHeight="1" x14ac:dyDescent="0.2">
      <c r="B1594" s="4">
        <v>12</v>
      </c>
      <c r="C1594" s="4" t="s">
        <v>1711</v>
      </c>
      <c r="D1594" s="188">
        <v>308</v>
      </c>
      <c r="E1594" s="4">
        <v>1858</v>
      </c>
      <c r="F1594" s="16" t="s">
        <v>2593</v>
      </c>
      <c r="G1594" s="4" t="s">
        <v>2594</v>
      </c>
      <c r="H1594" s="4" t="s">
        <v>2595</v>
      </c>
      <c r="I1594" s="4" t="s">
        <v>641</v>
      </c>
      <c r="J1594" s="4" t="s">
        <v>1715</v>
      </c>
      <c r="K1594" s="4">
        <v>1</v>
      </c>
      <c r="L1594" s="4">
        <v>2261</v>
      </c>
      <c r="M1594" s="6"/>
      <c r="U1594"/>
      <c r="AK1594" s="260"/>
      <c r="AO1594" s="4" t="s">
        <v>2593</v>
      </c>
      <c r="AP1594" s="4">
        <v>308</v>
      </c>
      <c r="AQ1594" s="4" t="s">
        <v>1716</v>
      </c>
      <c r="AR1594" s="4" t="s">
        <v>1717</v>
      </c>
      <c r="AS1594" s="4" t="s">
        <v>1718</v>
      </c>
      <c r="AT1594" s="4" t="s">
        <v>1703</v>
      </c>
      <c r="AU1594" s="4" t="s">
        <v>1703</v>
      </c>
      <c r="AV1594" s="4" t="s">
        <v>1720</v>
      </c>
      <c r="AW1594" s="4" t="s">
        <v>2368</v>
      </c>
      <c r="AX1594" s="4" t="s">
        <v>2505</v>
      </c>
      <c r="AY1594" s="4">
        <v>51.051699999999997</v>
      </c>
      <c r="AZ1594" s="4">
        <v>-122.7683</v>
      </c>
      <c r="BA1594" s="4">
        <v>1432</v>
      </c>
    </row>
    <row r="1595" spans="2:53" ht="14.25" customHeight="1" x14ac:dyDescent="0.2">
      <c r="B1595" s="4">
        <v>12</v>
      </c>
      <c r="C1595" s="4" t="s">
        <v>1711</v>
      </c>
      <c r="D1595" s="188">
        <v>310</v>
      </c>
      <c r="E1595" s="4">
        <v>1860</v>
      </c>
      <c r="F1595" s="16" t="s">
        <v>2600</v>
      </c>
      <c r="G1595" s="4" t="s">
        <v>2601</v>
      </c>
      <c r="H1595" s="4" t="s">
        <v>2602</v>
      </c>
      <c r="I1595" s="4" t="s">
        <v>641</v>
      </c>
      <c r="J1595" s="4" t="s">
        <v>1715</v>
      </c>
      <c r="K1595" s="4">
        <v>1</v>
      </c>
      <c r="L1595" s="4">
        <v>2263</v>
      </c>
      <c r="M1595" s="6"/>
      <c r="N1595" s="9"/>
      <c r="R1595" s="9"/>
      <c r="T1595" s="9"/>
      <c r="U1595"/>
      <c r="AK1595" s="260"/>
      <c r="AO1595" s="208" t="s">
        <v>2600</v>
      </c>
      <c r="AP1595" s="4">
        <v>310</v>
      </c>
      <c r="AQ1595" s="4" t="s">
        <v>1716</v>
      </c>
      <c r="AR1595" s="4" t="s">
        <v>1717</v>
      </c>
      <c r="AS1595" s="4" t="s">
        <v>1718</v>
      </c>
      <c r="AT1595" s="4" t="s">
        <v>1703</v>
      </c>
      <c r="AU1595" s="4" t="s">
        <v>1703</v>
      </c>
      <c r="AV1595" s="4" t="s">
        <v>1720</v>
      </c>
      <c r="AW1595" s="4" t="s">
        <v>2368</v>
      </c>
      <c r="AX1595" s="4" t="s">
        <v>2492</v>
      </c>
      <c r="AY1595" s="4">
        <v>50.263300000000001</v>
      </c>
      <c r="AZ1595" s="4">
        <v>-121.1533</v>
      </c>
      <c r="BA1595" s="4">
        <v>853</v>
      </c>
    </row>
    <row r="1596" spans="2:53" ht="14.25" customHeight="1" x14ac:dyDescent="0.2">
      <c r="B1596" s="4">
        <v>12</v>
      </c>
      <c r="C1596" s="4" t="s">
        <v>1711</v>
      </c>
      <c r="D1596" s="188">
        <v>312</v>
      </c>
      <c r="E1596" s="4">
        <v>1862</v>
      </c>
      <c r="F1596" s="16" t="s">
        <v>2607</v>
      </c>
      <c r="G1596" s="4" t="s">
        <v>2608</v>
      </c>
      <c r="H1596" s="4" t="s">
        <v>2609</v>
      </c>
      <c r="I1596" s="4" t="s">
        <v>641</v>
      </c>
      <c r="J1596" s="4" t="s">
        <v>1715</v>
      </c>
      <c r="K1596" s="4">
        <v>1</v>
      </c>
      <c r="L1596" s="4">
        <v>2265</v>
      </c>
      <c r="M1596" s="6"/>
      <c r="U1596"/>
      <c r="AK1596" s="260"/>
      <c r="AO1596" s="208" t="s">
        <v>2607</v>
      </c>
      <c r="AP1596" s="4">
        <v>312</v>
      </c>
      <c r="AQ1596" s="4" t="s">
        <v>1716</v>
      </c>
      <c r="AR1596" s="4" t="s">
        <v>1717</v>
      </c>
      <c r="AS1596" s="4" t="s">
        <v>1718</v>
      </c>
      <c r="AT1596" s="4" t="s">
        <v>1703</v>
      </c>
      <c r="AU1596" s="4" t="s">
        <v>1703</v>
      </c>
      <c r="AV1596" s="4" t="s">
        <v>1720</v>
      </c>
      <c r="AW1596" s="4" t="s">
        <v>2368</v>
      </c>
      <c r="AX1596" s="4" t="s">
        <v>2369</v>
      </c>
      <c r="AY1596" s="4">
        <v>50.968299999999999</v>
      </c>
      <c r="AZ1596" s="4">
        <v>-120.4867</v>
      </c>
      <c r="BA1596" s="4">
        <v>1646</v>
      </c>
    </row>
    <row r="1597" spans="2:53" ht="14.25" customHeight="1" x14ac:dyDescent="0.2">
      <c r="B1597" s="4">
        <v>12</v>
      </c>
      <c r="C1597" s="4" t="s">
        <v>1711</v>
      </c>
      <c r="D1597" s="188">
        <v>313</v>
      </c>
      <c r="E1597" s="4">
        <v>1863</v>
      </c>
      <c r="F1597" s="16" t="s">
        <v>2610</v>
      </c>
      <c r="G1597" s="4" t="s">
        <v>2611</v>
      </c>
      <c r="H1597" s="4" t="s">
        <v>2612</v>
      </c>
      <c r="I1597" s="4" t="s">
        <v>1664</v>
      </c>
      <c r="J1597" s="4" t="s">
        <v>1715</v>
      </c>
      <c r="K1597" s="4">
        <v>1</v>
      </c>
      <c r="L1597" s="4">
        <v>2266</v>
      </c>
      <c r="M1597" s="6"/>
      <c r="N1597" s="9"/>
      <c r="P1597" s="9"/>
      <c r="R1597" s="9"/>
      <c r="T1597" s="9"/>
      <c r="U1597"/>
      <c r="AK1597" s="260"/>
      <c r="AO1597" s="4" t="s">
        <v>2610</v>
      </c>
      <c r="AP1597" s="4">
        <v>313</v>
      </c>
      <c r="AQ1597" s="4" t="s">
        <v>1716</v>
      </c>
      <c r="AR1597" s="4" t="s">
        <v>1717</v>
      </c>
      <c r="AS1597" s="4" t="s">
        <v>1718</v>
      </c>
      <c r="AT1597" s="4" t="s">
        <v>1703</v>
      </c>
      <c r="AU1597" s="4" t="s">
        <v>1703</v>
      </c>
      <c r="AV1597" s="4" t="s">
        <v>1720</v>
      </c>
      <c r="AW1597" s="4" t="s">
        <v>2368</v>
      </c>
      <c r="AX1597" s="4" t="s">
        <v>2369</v>
      </c>
      <c r="AY1597" s="4">
        <v>50.887999999999998</v>
      </c>
      <c r="AZ1597" s="4">
        <v>-119.83799999999999</v>
      </c>
      <c r="BA1597" s="4">
        <v>1615</v>
      </c>
    </row>
    <row r="1598" spans="2:53" ht="14.25" customHeight="1" x14ac:dyDescent="0.2">
      <c r="B1598" s="4">
        <v>12</v>
      </c>
      <c r="C1598" s="4" t="s">
        <v>1711</v>
      </c>
      <c r="D1598" s="188">
        <v>314</v>
      </c>
      <c r="E1598" s="4">
        <v>1864</v>
      </c>
      <c r="F1598" s="16" t="s">
        <v>2613</v>
      </c>
      <c r="G1598" s="4" t="s">
        <v>2614</v>
      </c>
      <c r="H1598" s="4" t="s">
        <v>2615</v>
      </c>
      <c r="I1598" s="4" t="s">
        <v>641</v>
      </c>
      <c r="J1598" s="4" t="s">
        <v>1715</v>
      </c>
      <c r="K1598" s="4">
        <v>1</v>
      </c>
      <c r="L1598" s="4">
        <v>2267</v>
      </c>
      <c r="M1598" s="6"/>
      <c r="N1598" s="9"/>
      <c r="P1598" s="9"/>
      <c r="R1598" s="9"/>
      <c r="T1598" s="9"/>
      <c r="U1598"/>
      <c r="AK1598" s="260"/>
      <c r="AO1598" s="4" t="s">
        <v>2613</v>
      </c>
      <c r="AP1598" s="4">
        <v>314</v>
      </c>
      <c r="AQ1598" s="4" t="s">
        <v>1716</v>
      </c>
      <c r="AR1598" s="4" t="s">
        <v>1717</v>
      </c>
      <c r="AS1598" s="4" t="s">
        <v>1718</v>
      </c>
      <c r="AT1598" s="4" t="s">
        <v>1703</v>
      </c>
      <c r="AU1598" s="4" t="s">
        <v>1703</v>
      </c>
      <c r="AV1598" s="4" t="s">
        <v>1720</v>
      </c>
      <c r="AW1598" s="4" t="s">
        <v>2193</v>
      </c>
      <c r="AX1598" s="4" t="s">
        <v>2283</v>
      </c>
      <c r="AY1598" s="4">
        <v>51.3</v>
      </c>
      <c r="AZ1598" s="4">
        <v>-124.7</v>
      </c>
      <c r="BA1598" s="4">
        <v>10</v>
      </c>
    </row>
    <row r="1599" spans="2:53" ht="14.25" customHeight="1" x14ac:dyDescent="0.2">
      <c r="B1599" s="4">
        <v>12</v>
      </c>
      <c r="C1599" s="4" t="s">
        <v>1711</v>
      </c>
      <c r="D1599" s="188">
        <v>315</v>
      </c>
      <c r="E1599" s="4">
        <v>1865</v>
      </c>
      <c r="F1599" s="16" t="s">
        <v>2616</v>
      </c>
      <c r="G1599" s="4" t="s">
        <v>2617</v>
      </c>
      <c r="H1599" s="4" t="s">
        <v>2618</v>
      </c>
      <c r="I1599" s="4" t="s">
        <v>641</v>
      </c>
      <c r="J1599" s="4" t="s">
        <v>1746</v>
      </c>
      <c r="K1599" s="4">
        <v>1</v>
      </c>
      <c r="L1599" s="4">
        <v>2268</v>
      </c>
      <c r="M1599" s="6"/>
      <c r="N1599" s="9"/>
      <c r="P1599" s="9"/>
      <c r="R1599" s="9"/>
      <c r="T1599" s="9"/>
      <c r="U1599"/>
      <c r="AK1599" s="260"/>
      <c r="AO1599" s="208" t="s">
        <v>2616</v>
      </c>
      <c r="AP1599" s="4">
        <v>315</v>
      </c>
      <c r="AQ1599" s="4" t="s">
        <v>1716</v>
      </c>
      <c r="AR1599" s="4" t="s">
        <v>1717</v>
      </c>
      <c r="AS1599" s="4" t="s">
        <v>1718</v>
      </c>
      <c r="AT1599" s="4" t="s">
        <v>1703</v>
      </c>
      <c r="AU1599" s="4" t="s">
        <v>1703</v>
      </c>
      <c r="AV1599" s="4" t="s">
        <v>1720</v>
      </c>
      <c r="AW1599" s="4" t="s">
        <v>1705</v>
      </c>
      <c r="AX1599" s="4" t="s">
        <v>1879</v>
      </c>
      <c r="AY1599" s="4">
        <v>50.351700000000001</v>
      </c>
      <c r="AZ1599" s="4">
        <v>-122.7967</v>
      </c>
      <c r="BA1599" s="4">
        <v>774</v>
      </c>
    </row>
    <row r="1600" spans="2:53" ht="14.25" customHeight="1" x14ac:dyDescent="0.2">
      <c r="B1600" s="4">
        <v>12</v>
      </c>
      <c r="C1600" s="4" t="s">
        <v>1711</v>
      </c>
      <c r="D1600" s="188">
        <v>319</v>
      </c>
      <c r="E1600" s="4">
        <v>1868</v>
      </c>
      <c r="F1600" s="16" t="s">
        <v>2624</v>
      </c>
      <c r="G1600" s="4" t="s">
        <v>2625</v>
      </c>
      <c r="H1600" s="4" t="s">
        <v>2626</v>
      </c>
      <c r="I1600" s="4" t="s">
        <v>641</v>
      </c>
      <c r="J1600" s="4" t="s">
        <v>1715</v>
      </c>
      <c r="K1600" s="4">
        <v>1</v>
      </c>
      <c r="L1600" s="4">
        <v>2271</v>
      </c>
      <c r="M1600" s="6"/>
      <c r="N1600" s="9"/>
      <c r="P1600" s="9"/>
      <c r="R1600" s="9"/>
      <c r="T1600" s="9"/>
      <c r="U1600"/>
      <c r="AK1600" s="260"/>
      <c r="AO1600" s="4" t="s">
        <v>2624</v>
      </c>
      <c r="AP1600" s="4">
        <v>319</v>
      </c>
      <c r="AQ1600" s="4" t="s">
        <v>1716</v>
      </c>
      <c r="AR1600" s="4" t="s">
        <v>1717</v>
      </c>
      <c r="AS1600" s="4" t="s">
        <v>1718</v>
      </c>
      <c r="AT1600" s="4" t="s">
        <v>1703</v>
      </c>
      <c r="AU1600" s="4" t="s">
        <v>1703</v>
      </c>
      <c r="AV1600" s="4" t="s">
        <v>1720</v>
      </c>
      <c r="AW1600" s="4" t="s">
        <v>2368</v>
      </c>
      <c r="AX1600" s="4" t="s">
        <v>2492</v>
      </c>
      <c r="AY1600" s="4">
        <v>49.308300000000003</v>
      </c>
      <c r="AZ1600" s="4">
        <v>-120.2183</v>
      </c>
      <c r="BA1600" s="4">
        <v>1402</v>
      </c>
    </row>
    <row r="1601" spans="2:53" ht="14.25" customHeight="1" x14ac:dyDescent="0.2">
      <c r="B1601" s="4">
        <v>12</v>
      </c>
      <c r="C1601" s="188" t="s">
        <v>1711</v>
      </c>
      <c r="D1601" s="188">
        <v>320</v>
      </c>
      <c r="E1601" s="4">
        <v>1869</v>
      </c>
      <c r="F1601" s="16" t="s">
        <v>2627</v>
      </c>
      <c r="G1601" s="4" t="s">
        <v>2628</v>
      </c>
      <c r="H1601" s="4" t="s">
        <v>2629</v>
      </c>
      <c r="I1601" s="4" t="s">
        <v>641</v>
      </c>
      <c r="J1601" s="4" t="s">
        <v>1715</v>
      </c>
      <c r="K1601" s="4">
        <v>1</v>
      </c>
      <c r="L1601" s="4">
        <v>2272</v>
      </c>
      <c r="M1601" s="6"/>
      <c r="N1601" s="9"/>
      <c r="R1601" s="9"/>
      <c r="T1601" s="9"/>
      <c r="U1601"/>
      <c r="AK1601" s="260"/>
      <c r="AO1601" s="4" t="s">
        <v>2627</v>
      </c>
      <c r="AP1601" s="4">
        <v>320</v>
      </c>
      <c r="AQ1601" s="4" t="s">
        <v>1716</v>
      </c>
      <c r="AR1601" s="4" t="s">
        <v>1717</v>
      </c>
      <c r="AS1601" s="4" t="s">
        <v>1718</v>
      </c>
      <c r="AT1601" s="4" t="s">
        <v>1703</v>
      </c>
      <c r="AU1601" s="4" t="s">
        <v>1703</v>
      </c>
      <c r="AV1601" s="4" t="s">
        <v>1720</v>
      </c>
      <c r="AW1601" s="4" t="s">
        <v>2368</v>
      </c>
      <c r="AX1601" s="4" t="s">
        <v>2492</v>
      </c>
      <c r="AY1601" s="4">
        <v>50.313299999999998</v>
      </c>
      <c r="AZ1601" s="4">
        <v>-120.9267</v>
      </c>
      <c r="BA1601" s="4">
        <v>1402</v>
      </c>
    </row>
    <row r="1602" spans="2:53" ht="14.25" customHeight="1" x14ac:dyDescent="0.2">
      <c r="B1602" s="4">
        <v>12</v>
      </c>
      <c r="C1602" s="4" t="s">
        <v>1711</v>
      </c>
      <c r="D1602" s="188">
        <v>323</v>
      </c>
      <c r="E1602" s="4">
        <v>1872</v>
      </c>
      <c r="F1602" s="211" t="s">
        <v>2637</v>
      </c>
      <c r="G1602" s="4" t="s">
        <v>2638</v>
      </c>
      <c r="H1602" s="4" t="s">
        <v>2639</v>
      </c>
      <c r="I1602" s="4" t="s">
        <v>641</v>
      </c>
      <c r="J1602" s="4" t="s">
        <v>1715</v>
      </c>
      <c r="K1602" s="4">
        <v>1</v>
      </c>
      <c r="L1602" s="4">
        <v>2275</v>
      </c>
      <c r="M1602" s="6"/>
      <c r="N1602" s="9"/>
      <c r="R1602" s="9"/>
      <c r="T1602" s="9"/>
      <c r="U1602"/>
      <c r="AK1602" s="260"/>
      <c r="AO1602" s="4" t="s">
        <v>2637</v>
      </c>
      <c r="AP1602" s="4">
        <v>323</v>
      </c>
      <c r="AQ1602" s="4" t="s">
        <v>1716</v>
      </c>
      <c r="AR1602" s="4" t="s">
        <v>1717</v>
      </c>
      <c r="AS1602" s="4" t="s">
        <v>1718</v>
      </c>
      <c r="AT1602" s="4" t="s">
        <v>1703</v>
      </c>
      <c r="AU1602" s="4" t="s">
        <v>1703</v>
      </c>
      <c r="AV1602" s="4" t="s">
        <v>1720</v>
      </c>
      <c r="AW1602" s="4" t="s">
        <v>2368</v>
      </c>
      <c r="AX1602" s="4" t="s">
        <v>2369</v>
      </c>
      <c r="AY1602" s="4">
        <v>50.6</v>
      </c>
      <c r="AZ1602" s="4">
        <v>-120.5</v>
      </c>
      <c r="BA1602" s="4">
        <v>12</v>
      </c>
    </row>
    <row r="1603" spans="2:53" ht="14.25" customHeight="1" x14ac:dyDescent="0.2">
      <c r="B1603" s="4">
        <v>12</v>
      </c>
      <c r="C1603" s="4" t="s">
        <v>1711</v>
      </c>
      <c r="D1603" s="188">
        <v>324</v>
      </c>
      <c r="E1603" s="4">
        <v>1873</v>
      </c>
      <c r="F1603" s="211" t="s">
        <v>2640</v>
      </c>
      <c r="G1603" s="4" t="s">
        <v>2641</v>
      </c>
      <c r="H1603" s="4" t="s">
        <v>2642</v>
      </c>
      <c r="I1603" s="4" t="s">
        <v>641</v>
      </c>
      <c r="J1603" s="4" t="s">
        <v>1715</v>
      </c>
      <c r="K1603" s="4">
        <v>1</v>
      </c>
      <c r="L1603" s="4">
        <v>2276</v>
      </c>
      <c r="M1603" s="6"/>
      <c r="N1603" s="9"/>
      <c r="P1603" s="9"/>
      <c r="R1603" s="9"/>
      <c r="T1603" s="9"/>
      <c r="U1603"/>
      <c r="AK1603" s="260"/>
      <c r="AO1603" s="4" t="s">
        <v>2640</v>
      </c>
      <c r="AP1603" s="4">
        <v>324</v>
      </c>
      <c r="AQ1603" s="4" t="s">
        <v>1716</v>
      </c>
      <c r="AR1603" s="4" t="s">
        <v>1717</v>
      </c>
      <c r="AS1603" s="4" t="s">
        <v>1718</v>
      </c>
      <c r="AT1603" s="4" t="s">
        <v>1719</v>
      </c>
      <c r="AU1603" s="4" t="s">
        <v>1836</v>
      </c>
      <c r="AV1603" s="4" t="s">
        <v>1720</v>
      </c>
      <c r="AW1603" s="4" t="s">
        <v>1705</v>
      </c>
      <c r="AX1603" s="4" t="s">
        <v>1883</v>
      </c>
      <c r="AY1603" s="4">
        <v>49.854999999999997</v>
      </c>
      <c r="AZ1603" s="4">
        <v>-121.435</v>
      </c>
      <c r="BA1603" s="4">
        <v>150</v>
      </c>
    </row>
    <row r="1604" spans="2:53" ht="14.25" customHeight="1" x14ac:dyDescent="0.2">
      <c r="B1604" s="4">
        <v>12</v>
      </c>
      <c r="C1604" s="188" t="s">
        <v>1711</v>
      </c>
      <c r="D1604" s="188">
        <v>325</v>
      </c>
      <c r="E1604" s="4">
        <v>1874</v>
      </c>
      <c r="F1604" s="188" t="s">
        <v>2643</v>
      </c>
      <c r="G1604" s="188" t="s">
        <v>2644</v>
      </c>
      <c r="H1604" s="4" t="s">
        <v>2645</v>
      </c>
      <c r="I1604" s="4" t="s">
        <v>641</v>
      </c>
      <c r="J1604" s="4" t="s">
        <v>1715</v>
      </c>
      <c r="K1604" s="4">
        <v>1</v>
      </c>
      <c r="L1604" s="4">
        <v>2277</v>
      </c>
      <c r="M1604" s="6">
        <v>50.500250000000001</v>
      </c>
      <c r="N1604" s="9">
        <v>-119.7013889</v>
      </c>
      <c r="O1604" s="4" t="s">
        <v>142</v>
      </c>
      <c r="P1604" s="9">
        <v>1359</v>
      </c>
      <c r="Q1604" s="4">
        <v>3</v>
      </c>
      <c r="R1604" s="9" t="s">
        <v>2646</v>
      </c>
      <c r="S1604" s="4" t="s">
        <v>1737</v>
      </c>
      <c r="T1604" s="9">
        <v>1153</v>
      </c>
      <c r="U1604"/>
      <c r="W1604" s="4">
        <v>43614</v>
      </c>
      <c r="X1604" s="4" t="s">
        <v>1738</v>
      </c>
      <c r="AK1604" s="260"/>
      <c r="AO1604" s="4" t="s">
        <v>2647</v>
      </c>
      <c r="AP1604" s="4">
        <v>325</v>
      </c>
      <c r="AQ1604" s="4" t="s">
        <v>1716</v>
      </c>
      <c r="AR1604" s="4" t="s">
        <v>1717</v>
      </c>
      <c r="AS1604" s="4" t="s">
        <v>1718</v>
      </c>
      <c r="AT1604" s="4" t="s">
        <v>1835</v>
      </c>
      <c r="AU1604" s="4" t="s">
        <v>1836</v>
      </c>
      <c r="AV1604" s="4" t="s">
        <v>1720</v>
      </c>
      <c r="AW1604" s="4" t="s">
        <v>2368</v>
      </c>
      <c r="AX1604" s="4" t="s">
        <v>2492</v>
      </c>
      <c r="AY1604" s="4">
        <v>49.38</v>
      </c>
      <c r="AZ1604" s="4">
        <v>-120.1533</v>
      </c>
      <c r="BA1604" s="4">
        <v>579</v>
      </c>
    </row>
    <row r="1605" spans="2:53" ht="14.25" customHeight="1" x14ac:dyDescent="0.2">
      <c r="B1605" s="4">
        <v>12</v>
      </c>
      <c r="C1605" s="4" t="s">
        <v>1711</v>
      </c>
      <c r="D1605" s="4">
        <v>329</v>
      </c>
      <c r="E1605" s="4">
        <v>1877</v>
      </c>
      <c r="F1605" s="211" t="s">
        <v>2654</v>
      </c>
      <c r="G1605" s="4" t="s">
        <v>2655</v>
      </c>
      <c r="H1605" s="4" t="s">
        <v>2656</v>
      </c>
      <c r="I1605" s="4" t="s">
        <v>1664</v>
      </c>
      <c r="J1605" s="4" t="s">
        <v>1715</v>
      </c>
      <c r="K1605" s="4">
        <v>1</v>
      </c>
      <c r="L1605" s="4">
        <v>2280</v>
      </c>
      <c r="M1605" s="6"/>
      <c r="N1605" s="9"/>
      <c r="R1605" s="9"/>
      <c r="T1605" s="9"/>
      <c r="U1605"/>
      <c r="AK1605" s="260"/>
      <c r="AO1605" s="4" t="s">
        <v>2654</v>
      </c>
      <c r="AP1605" s="4">
        <v>329</v>
      </c>
      <c r="AQ1605" s="4" t="s">
        <v>1716</v>
      </c>
      <c r="AR1605" s="4" t="s">
        <v>1717</v>
      </c>
      <c r="AS1605" s="4" t="s">
        <v>1718</v>
      </c>
      <c r="AT1605" s="4" t="s">
        <v>1719</v>
      </c>
      <c r="AU1605" s="4" t="s">
        <v>1703</v>
      </c>
      <c r="AV1605" s="4" t="s">
        <v>1720</v>
      </c>
      <c r="AW1605" s="4" t="s">
        <v>2368</v>
      </c>
      <c r="AX1605" s="4" t="s">
        <v>2516</v>
      </c>
      <c r="AY1605" s="4">
        <v>49.7</v>
      </c>
      <c r="AZ1605" s="4">
        <v>-119.3</v>
      </c>
      <c r="BA1605" s="4">
        <v>0</v>
      </c>
    </row>
    <row r="1606" spans="2:53" ht="14.25" customHeight="1" x14ac:dyDescent="0.2">
      <c r="B1606" s="4">
        <v>12</v>
      </c>
      <c r="C1606" s="188" t="s">
        <v>1711</v>
      </c>
      <c r="D1606" s="188">
        <v>330</v>
      </c>
      <c r="E1606" s="4">
        <v>1878</v>
      </c>
      <c r="F1606" s="211" t="s">
        <v>2657</v>
      </c>
      <c r="G1606" s="4" t="s">
        <v>2658</v>
      </c>
      <c r="H1606" s="4" t="s">
        <v>2659</v>
      </c>
      <c r="I1606" s="4" t="s">
        <v>641</v>
      </c>
      <c r="J1606" s="4" t="s">
        <v>1715</v>
      </c>
      <c r="K1606" s="4">
        <v>1</v>
      </c>
      <c r="L1606" s="4">
        <v>2281</v>
      </c>
      <c r="M1606" s="6"/>
      <c r="N1606" s="9"/>
      <c r="P1606" s="9"/>
      <c r="R1606" s="9"/>
      <c r="T1606" s="9"/>
      <c r="U1606"/>
      <c r="AK1606" s="260"/>
      <c r="AO1606" s="208" t="s">
        <v>2657</v>
      </c>
      <c r="AP1606" s="4">
        <v>330</v>
      </c>
      <c r="AQ1606" s="4" t="s">
        <v>1716</v>
      </c>
      <c r="AR1606" s="4" t="s">
        <v>1717</v>
      </c>
      <c r="AS1606" s="4" t="s">
        <v>1718</v>
      </c>
      <c r="AT1606" s="4" t="s">
        <v>1703</v>
      </c>
      <c r="AU1606" s="4" t="s">
        <v>1703</v>
      </c>
      <c r="AV1606" s="4" t="s">
        <v>1720</v>
      </c>
      <c r="AW1606" s="4" t="s">
        <v>2368</v>
      </c>
      <c r="AX1606" s="4" t="s">
        <v>2522</v>
      </c>
      <c r="AY1606" s="4">
        <v>50.1233</v>
      </c>
      <c r="AZ1606" s="4">
        <v>-118.9833</v>
      </c>
      <c r="BA1606" s="4">
        <v>1402</v>
      </c>
    </row>
    <row r="1607" spans="2:53" ht="14.25" customHeight="1" x14ac:dyDescent="0.2">
      <c r="B1607" s="4">
        <v>12</v>
      </c>
      <c r="C1607" s="4" t="s">
        <v>1711</v>
      </c>
      <c r="D1607" s="4">
        <v>332</v>
      </c>
      <c r="E1607" s="4">
        <v>1880</v>
      </c>
      <c r="F1607" s="211" t="s">
        <v>2664</v>
      </c>
      <c r="G1607" s="4" t="s">
        <v>2665</v>
      </c>
      <c r="H1607" s="4" t="s">
        <v>1794</v>
      </c>
      <c r="I1607" s="4" t="s">
        <v>1664</v>
      </c>
      <c r="J1607" s="4" t="s">
        <v>1715</v>
      </c>
      <c r="K1607" s="4">
        <v>1</v>
      </c>
      <c r="L1607" s="4">
        <v>2283</v>
      </c>
      <c r="M1607" s="6"/>
      <c r="N1607" s="9"/>
      <c r="P1607" s="9"/>
      <c r="R1607" s="9"/>
      <c r="T1607" s="9"/>
      <c r="U1607"/>
      <c r="AK1607" s="260"/>
      <c r="AO1607" s="208" t="s">
        <v>2664</v>
      </c>
      <c r="AP1607" s="4">
        <v>332</v>
      </c>
      <c r="AQ1607" s="4" t="s">
        <v>1716</v>
      </c>
      <c r="AR1607" s="4" t="s">
        <v>1717</v>
      </c>
      <c r="AS1607" s="4" t="s">
        <v>1718</v>
      </c>
      <c r="AT1607" s="4" t="s">
        <v>1719</v>
      </c>
      <c r="AU1607" s="4" t="s">
        <v>1703</v>
      </c>
      <c r="AV1607" s="4" t="s">
        <v>1720</v>
      </c>
      <c r="AW1607" s="4" t="s">
        <v>2368</v>
      </c>
      <c r="AX1607" s="4" t="s">
        <v>2492</v>
      </c>
      <c r="AY1607" s="4">
        <v>49.7</v>
      </c>
      <c r="AZ1607" s="4">
        <v>-120.3</v>
      </c>
      <c r="BA1607" s="4">
        <v>10</v>
      </c>
    </row>
    <row r="1608" spans="2:53" ht="14.25" customHeight="1" x14ac:dyDescent="0.2">
      <c r="B1608" s="4">
        <v>12</v>
      </c>
      <c r="C1608" s="188" t="s">
        <v>1711</v>
      </c>
      <c r="D1608" s="188">
        <v>333</v>
      </c>
      <c r="E1608" s="4">
        <v>1881</v>
      </c>
      <c r="F1608" s="16" t="s">
        <v>2666</v>
      </c>
      <c r="G1608" s="188" t="s">
        <v>2667</v>
      </c>
      <c r="H1608" s="4" t="s">
        <v>2668</v>
      </c>
      <c r="I1608" s="4" t="s">
        <v>641</v>
      </c>
      <c r="J1608" s="4" t="s">
        <v>1715</v>
      </c>
      <c r="K1608" s="4">
        <v>1</v>
      </c>
      <c r="L1608" s="4">
        <v>2284</v>
      </c>
      <c r="M1608" s="6"/>
      <c r="U1608"/>
      <c r="AK1608" s="260"/>
      <c r="AO1608" s="4" t="s">
        <v>2666</v>
      </c>
      <c r="AP1608" s="4">
        <v>333</v>
      </c>
      <c r="AQ1608" s="4" t="s">
        <v>1716</v>
      </c>
      <c r="AR1608" s="4" t="s">
        <v>1717</v>
      </c>
      <c r="AS1608" s="4" t="s">
        <v>1718</v>
      </c>
      <c r="AT1608" s="4" t="s">
        <v>1703</v>
      </c>
      <c r="AU1608" s="4" t="s">
        <v>1703</v>
      </c>
      <c r="AV1608" s="4" t="s">
        <v>1720</v>
      </c>
      <c r="AW1608" s="4" t="s">
        <v>2368</v>
      </c>
      <c r="AY1608" s="4">
        <v>49</v>
      </c>
      <c r="AZ1608" s="4">
        <v>-119.7</v>
      </c>
      <c r="BA1608" s="4">
        <v>4</v>
      </c>
    </row>
    <row r="1609" spans="2:53" ht="14.25" customHeight="1" x14ac:dyDescent="0.2">
      <c r="B1609" s="4">
        <v>12</v>
      </c>
      <c r="C1609" s="4" t="s">
        <v>1711</v>
      </c>
      <c r="D1609" s="188">
        <v>335</v>
      </c>
      <c r="E1609" s="4">
        <v>1883</v>
      </c>
      <c r="F1609" s="211" t="s">
        <v>2672</v>
      </c>
      <c r="G1609" s="4" t="s">
        <v>2673</v>
      </c>
      <c r="H1609" s="4" t="s">
        <v>2674</v>
      </c>
      <c r="I1609" s="4" t="s">
        <v>1664</v>
      </c>
      <c r="J1609" s="4" t="s">
        <v>1746</v>
      </c>
      <c r="K1609" s="4">
        <v>1</v>
      </c>
      <c r="L1609" s="4">
        <v>2286</v>
      </c>
      <c r="M1609" s="6"/>
      <c r="U1609"/>
      <c r="AK1609" s="260"/>
      <c r="AO1609" s="208" t="s">
        <v>2672</v>
      </c>
      <c r="AP1609" s="4">
        <v>335</v>
      </c>
      <c r="AQ1609" s="4" t="s">
        <v>1716</v>
      </c>
      <c r="AR1609" s="4" t="s">
        <v>1717</v>
      </c>
      <c r="AS1609" s="4" t="s">
        <v>1718</v>
      </c>
      <c r="AT1609" s="4" t="s">
        <v>1719</v>
      </c>
      <c r="AU1609" s="4" t="s">
        <v>1703</v>
      </c>
      <c r="AV1609" s="4" t="s">
        <v>1720</v>
      </c>
      <c r="AW1609" s="4" t="s">
        <v>2368</v>
      </c>
      <c r="AX1609" s="4" t="s">
        <v>2516</v>
      </c>
      <c r="AY1609" s="4">
        <v>49.7</v>
      </c>
      <c r="AZ1609" s="4">
        <v>-119.2</v>
      </c>
      <c r="BA1609" s="4">
        <v>12</v>
      </c>
    </row>
    <row r="1610" spans="2:53" ht="14.25" customHeight="1" x14ac:dyDescent="0.2">
      <c r="B1610" s="4">
        <v>12</v>
      </c>
      <c r="C1610" s="4" t="s">
        <v>1711</v>
      </c>
      <c r="D1610" s="188">
        <v>336</v>
      </c>
      <c r="E1610" s="4">
        <v>1884</v>
      </c>
      <c r="F1610" s="211" t="s">
        <v>2675</v>
      </c>
      <c r="G1610" s="4" t="s">
        <v>2676</v>
      </c>
      <c r="H1610" s="4" t="s">
        <v>2677</v>
      </c>
      <c r="I1610" s="4" t="s">
        <v>641</v>
      </c>
      <c r="J1610" s="4" t="s">
        <v>1715</v>
      </c>
      <c r="K1610" s="4">
        <v>1</v>
      </c>
      <c r="L1610" s="4">
        <v>2287</v>
      </c>
      <c r="M1610" s="6"/>
      <c r="U1610"/>
      <c r="AK1610" s="260"/>
      <c r="AO1610" s="208" t="s">
        <v>2675</v>
      </c>
      <c r="AP1610" s="4">
        <v>336</v>
      </c>
      <c r="AQ1610" s="4" t="s">
        <v>1716</v>
      </c>
      <c r="AR1610" s="4" t="s">
        <v>1717</v>
      </c>
      <c r="AS1610" s="4" t="s">
        <v>1718</v>
      </c>
      <c r="AT1610" s="4" t="s">
        <v>1719</v>
      </c>
      <c r="AU1610" s="4" t="s">
        <v>1959</v>
      </c>
      <c r="AV1610" s="4" t="s">
        <v>1720</v>
      </c>
      <c r="AW1610" s="4" t="s">
        <v>2368</v>
      </c>
      <c r="AX1610" s="4" t="s">
        <v>2516</v>
      </c>
      <c r="AY1610" s="4">
        <v>49.736699999999999</v>
      </c>
      <c r="AZ1610" s="4">
        <v>-119.1767</v>
      </c>
      <c r="BA1610" s="4">
        <v>1250</v>
      </c>
    </row>
    <row r="1611" spans="2:53" ht="14.25" customHeight="1" x14ac:dyDescent="0.2">
      <c r="B1611" s="4">
        <v>12</v>
      </c>
      <c r="C1611" s="188" t="s">
        <v>1711</v>
      </c>
      <c r="D1611" s="188">
        <v>338</v>
      </c>
      <c r="E1611" s="4">
        <v>1885</v>
      </c>
      <c r="F1611" s="211" t="s">
        <v>2678</v>
      </c>
      <c r="G1611" s="4" t="s">
        <v>2679</v>
      </c>
      <c r="H1611" s="4" t="s">
        <v>2680</v>
      </c>
      <c r="I1611" s="4" t="s">
        <v>641</v>
      </c>
      <c r="J1611" s="4" t="s">
        <v>1715</v>
      </c>
      <c r="K1611" s="4">
        <v>1</v>
      </c>
      <c r="L1611" s="4">
        <v>2288</v>
      </c>
      <c r="M1611" s="6"/>
      <c r="N1611" s="9"/>
      <c r="O1611" s="9"/>
      <c r="P1611" s="9"/>
      <c r="Q1611" s="20"/>
      <c r="R1611" s="9"/>
      <c r="S1611" s="9"/>
      <c r="T1611" s="9"/>
      <c r="U1611" s="9"/>
      <c r="V1611" s="9"/>
      <c r="W1611" s="21"/>
      <c r="X1611" s="9"/>
      <c r="AK1611" s="260"/>
      <c r="AO1611" s="4" t="s">
        <v>2678</v>
      </c>
      <c r="AP1611" s="4">
        <v>338</v>
      </c>
      <c r="AQ1611" s="4" t="s">
        <v>1716</v>
      </c>
      <c r="AR1611" s="4" t="s">
        <v>1717</v>
      </c>
      <c r="AS1611" s="4" t="s">
        <v>1718</v>
      </c>
      <c r="AT1611" s="4" t="s">
        <v>1703</v>
      </c>
      <c r="AU1611" s="4" t="s">
        <v>1703</v>
      </c>
      <c r="AV1611" s="4" t="s">
        <v>1720</v>
      </c>
      <c r="AW1611" s="4" t="s">
        <v>2368</v>
      </c>
      <c r="AX1611" s="4" t="s">
        <v>2516</v>
      </c>
      <c r="AY1611" s="4">
        <v>49.57</v>
      </c>
      <c r="AZ1611" s="4">
        <v>-119.825</v>
      </c>
      <c r="BA1611" s="4">
        <v>1189</v>
      </c>
    </row>
    <row r="1612" spans="2:53" ht="14.25" customHeight="1" x14ac:dyDescent="0.2">
      <c r="B1612" s="4">
        <v>12</v>
      </c>
      <c r="C1612" s="4" t="s">
        <v>1711</v>
      </c>
      <c r="D1612" s="188">
        <v>340</v>
      </c>
      <c r="E1612" s="4">
        <v>1886</v>
      </c>
      <c r="F1612" s="211" t="s">
        <v>2681</v>
      </c>
      <c r="G1612" s="4" t="s">
        <v>2682</v>
      </c>
      <c r="H1612" s="4" t="s">
        <v>2683</v>
      </c>
      <c r="I1612" s="4" t="s">
        <v>641</v>
      </c>
      <c r="J1612" s="4" t="s">
        <v>1715</v>
      </c>
      <c r="K1612" s="4">
        <v>1</v>
      </c>
      <c r="L1612" s="4">
        <v>2289</v>
      </c>
      <c r="M1612" s="6"/>
      <c r="N1612" s="9"/>
      <c r="P1612" s="9"/>
      <c r="R1612" s="9"/>
      <c r="T1612" s="9"/>
      <c r="U1612"/>
      <c r="AK1612" s="260"/>
      <c r="AO1612" s="4" t="s">
        <v>2681</v>
      </c>
      <c r="AP1612" s="4">
        <v>340</v>
      </c>
      <c r="AQ1612" s="4" t="s">
        <v>1716</v>
      </c>
      <c r="AR1612" s="4" t="s">
        <v>1717</v>
      </c>
      <c r="AS1612" s="4" t="s">
        <v>1718</v>
      </c>
      <c r="AT1612" s="4" t="s">
        <v>1703</v>
      </c>
      <c r="AU1612" s="4" t="s">
        <v>1703</v>
      </c>
      <c r="AV1612" s="4" t="s">
        <v>1720</v>
      </c>
      <c r="AW1612" s="4" t="s">
        <v>2368</v>
      </c>
      <c r="AX1612" s="4" t="s">
        <v>2516</v>
      </c>
      <c r="AY1612" s="4">
        <v>49.055</v>
      </c>
      <c r="AZ1612" s="4">
        <v>-119.5117</v>
      </c>
      <c r="BA1612" s="4">
        <v>305</v>
      </c>
    </row>
    <row r="1613" spans="2:53" ht="14.25" customHeight="1" x14ac:dyDescent="0.2">
      <c r="B1613" s="4">
        <v>12</v>
      </c>
      <c r="C1613" s="4" t="s">
        <v>1711</v>
      </c>
      <c r="D1613" s="188">
        <v>341</v>
      </c>
      <c r="E1613" s="4">
        <v>1887</v>
      </c>
      <c r="F1613" s="211" t="s">
        <v>2684</v>
      </c>
      <c r="G1613" s="4" t="s">
        <v>2685</v>
      </c>
      <c r="H1613" s="4" t="s">
        <v>2686</v>
      </c>
      <c r="I1613" s="4" t="s">
        <v>641</v>
      </c>
      <c r="J1613" s="4" t="s">
        <v>1715</v>
      </c>
      <c r="K1613" s="4">
        <v>1</v>
      </c>
      <c r="L1613" s="4">
        <v>2290</v>
      </c>
      <c r="M1613" s="6"/>
      <c r="N1613" s="9"/>
      <c r="P1613" s="9"/>
      <c r="R1613" s="9"/>
      <c r="T1613" s="9"/>
      <c r="U1613"/>
      <c r="AK1613" s="260"/>
      <c r="AO1613" s="208" t="s">
        <v>2684</v>
      </c>
      <c r="AP1613" s="4">
        <v>341</v>
      </c>
      <c r="AQ1613" s="4" t="s">
        <v>1716</v>
      </c>
      <c r="AR1613" s="4" t="s">
        <v>1717</v>
      </c>
      <c r="AS1613" s="4" t="s">
        <v>1718</v>
      </c>
      <c r="AT1613" s="4" t="s">
        <v>1703</v>
      </c>
      <c r="AU1613" s="4" t="s">
        <v>1703</v>
      </c>
      <c r="AV1613" s="4" t="s">
        <v>1720</v>
      </c>
      <c r="AW1613" s="4" t="s">
        <v>2368</v>
      </c>
      <c r="AX1613" s="4" t="s">
        <v>2522</v>
      </c>
      <c r="AY1613" s="4">
        <v>50.236699999999999</v>
      </c>
      <c r="AZ1613" s="4">
        <v>-119.27670000000001</v>
      </c>
      <c r="BA1613" s="4">
        <v>457</v>
      </c>
    </row>
    <row r="1614" spans="2:53" ht="14.25" customHeight="1" x14ac:dyDescent="0.2">
      <c r="B1614" s="4">
        <v>12</v>
      </c>
      <c r="C1614" s="188" t="s">
        <v>1711</v>
      </c>
      <c r="D1614" s="188">
        <v>345</v>
      </c>
      <c r="E1614" s="4">
        <v>1890</v>
      </c>
      <c r="F1614" s="16" t="s">
        <v>2695</v>
      </c>
      <c r="G1614" s="188" t="s">
        <v>2696</v>
      </c>
      <c r="H1614" s="4" t="s">
        <v>2697</v>
      </c>
      <c r="I1614" s="4" t="s">
        <v>641</v>
      </c>
      <c r="J1614" s="4" t="s">
        <v>1715</v>
      </c>
      <c r="K1614" s="4">
        <v>1</v>
      </c>
      <c r="L1614" s="4">
        <v>2293</v>
      </c>
      <c r="M1614" s="6"/>
      <c r="N1614" s="9"/>
      <c r="R1614" s="9"/>
      <c r="T1614" s="9"/>
      <c r="U1614"/>
      <c r="AK1614" s="260"/>
      <c r="AO1614" s="4" t="s">
        <v>2695</v>
      </c>
      <c r="AP1614" s="4">
        <v>345</v>
      </c>
      <c r="AQ1614" s="4" t="s">
        <v>1716</v>
      </c>
      <c r="AR1614" s="4" t="s">
        <v>1717</v>
      </c>
      <c r="AS1614" s="4" t="s">
        <v>1718</v>
      </c>
      <c r="AT1614" s="4" t="s">
        <v>1719</v>
      </c>
      <c r="AU1614" s="4" t="s">
        <v>1959</v>
      </c>
      <c r="AV1614" s="4" t="s">
        <v>1720</v>
      </c>
      <c r="AW1614" s="4" t="s">
        <v>2698</v>
      </c>
      <c r="AX1614" s="4" t="s">
        <v>2699</v>
      </c>
      <c r="AY1614" s="4">
        <v>51.828800000000001</v>
      </c>
      <c r="AZ1614" s="4">
        <v>-118.3612</v>
      </c>
      <c r="BA1614" s="4">
        <v>832</v>
      </c>
    </row>
    <row r="1615" spans="2:53" ht="14.25" customHeight="1" x14ac:dyDescent="0.2">
      <c r="B1615" s="4">
        <v>12</v>
      </c>
      <c r="C1615" s="188" t="s">
        <v>1711</v>
      </c>
      <c r="D1615" s="188">
        <v>347</v>
      </c>
      <c r="E1615" s="4">
        <v>1892</v>
      </c>
      <c r="F1615" s="211" t="s">
        <v>2704</v>
      </c>
      <c r="G1615" s="188" t="s">
        <v>2705</v>
      </c>
      <c r="H1615" s="4" t="s">
        <v>2706</v>
      </c>
      <c r="I1615" s="4" t="s">
        <v>1664</v>
      </c>
      <c r="J1615" s="4" t="s">
        <v>1715</v>
      </c>
      <c r="K1615" s="4">
        <v>1</v>
      </c>
      <c r="L1615" s="4">
        <v>2295</v>
      </c>
      <c r="M1615" s="6"/>
      <c r="N1615" s="9"/>
      <c r="R1615" s="9"/>
      <c r="U1615"/>
      <c r="AK1615" s="260"/>
      <c r="AO1615" s="208" t="s">
        <v>2704</v>
      </c>
      <c r="AP1615" s="4">
        <v>347</v>
      </c>
      <c r="AQ1615" s="4" t="s">
        <v>1716</v>
      </c>
      <c r="AR1615" s="4" t="s">
        <v>1717</v>
      </c>
      <c r="AS1615" s="4" t="s">
        <v>1718</v>
      </c>
      <c r="AT1615" s="4" t="s">
        <v>1719</v>
      </c>
      <c r="AU1615" s="4" t="s">
        <v>1703</v>
      </c>
      <c r="AV1615" s="4" t="s">
        <v>1720</v>
      </c>
      <c r="AW1615" s="4" t="s">
        <v>2368</v>
      </c>
      <c r="AX1615" s="4" t="s">
        <v>2707</v>
      </c>
      <c r="AY1615" s="4">
        <v>50.8</v>
      </c>
      <c r="AZ1615" s="4">
        <v>-119</v>
      </c>
      <c r="BA1615" s="4">
        <v>0</v>
      </c>
    </row>
    <row r="1616" spans="2:53" ht="14.25" customHeight="1" x14ac:dyDescent="0.2">
      <c r="B1616" s="4">
        <v>12</v>
      </c>
      <c r="C1616" s="4" t="s">
        <v>1711</v>
      </c>
      <c r="D1616" s="188">
        <v>348</v>
      </c>
      <c r="E1616" s="4">
        <v>1893</v>
      </c>
      <c r="F1616" s="211" t="s">
        <v>2708</v>
      </c>
      <c r="G1616" s="4" t="s">
        <v>2709</v>
      </c>
      <c r="H1616" s="4" t="s">
        <v>2710</v>
      </c>
      <c r="I1616" s="4" t="s">
        <v>1664</v>
      </c>
      <c r="J1616" s="4" t="s">
        <v>1715</v>
      </c>
      <c r="K1616" s="4">
        <v>1</v>
      </c>
      <c r="L1616" s="4">
        <v>2296</v>
      </c>
      <c r="M1616" s="6"/>
      <c r="U1616"/>
      <c r="AK1616" s="260"/>
      <c r="AO1616" s="4" t="s">
        <v>2708</v>
      </c>
      <c r="AP1616" s="4">
        <v>348</v>
      </c>
      <c r="AQ1616" s="4" t="s">
        <v>1716</v>
      </c>
      <c r="AR1616" s="4" t="s">
        <v>1717</v>
      </c>
      <c r="AS1616" s="4" t="s">
        <v>1718</v>
      </c>
      <c r="AT1616" s="4" t="s">
        <v>1719</v>
      </c>
      <c r="AU1616" s="4" t="s">
        <v>1703</v>
      </c>
      <c r="AV1616" s="4" t="s">
        <v>1720</v>
      </c>
      <c r="AW1616" s="4" t="s">
        <v>2368</v>
      </c>
      <c r="AX1616" s="4" t="s">
        <v>2401</v>
      </c>
      <c r="AY1616" s="4">
        <v>51.3</v>
      </c>
      <c r="AZ1616" s="4">
        <v>-119.5</v>
      </c>
      <c r="BA1616" s="4">
        <v>0</v>
      </c>
    </row>
    <row r="1617" spans="2:53" ht="14.25" customHeight="1" x14ac:dyDescent="0.2">
      <c r="B1617" s="4">
        <v>12</v>
      </c>
      <c r="C1617" s="4" t="s">
        <v>1711</v>
      </c>
      <c r="D1617" s="188">
        <v>349</v>
      </c>
      <c r="E1617" s="4">
        <v>1894</v>
      </c>
      <c r="F1617" s="211" t="s">
        <v>2711</v>
      </c>
      <c r="G1617" s="4" t="s">
        <v>2712</v>
      </c>
      <c r="H1617" s="4" t="s">
        <v>2713</v>
      </c>
      <c r="I1617" s="4" t="s">
        <v>1664</v>
      </c>
      <c r="J1617" s="4" t="s">
        <v>1715</v>
      </c>
      <c r="K1617" s="4">
        <v>1</v>
      </c>
      <c r="L1617" s="4">
        <v>2297</v>
      </c>
      <c r="M1617" s="6"/>
      <c r="N1617" s="9"/>
      <c r="P1617" s="9"/>
      <c r="R1617" s="9"/>
      <c r="T1617" s="9"/>
      <c r="U1617"/>
      <c r="AK1617" s="260"/>
      <c r="AO1617" s="208" t="s">
        <v>2711</v>
      </c>
      <c r="AP1617" s="4">
        <v>349</v>
      </c>
      <c r="AQ1617" s="4" t="s">
        <v>1716</v>
      </c>
      <c r="AR1617" s="4" t="s">
        <v>1717</v>
      </c>
      <c r="AS1617" s="4" t="s">
        <v>1718</v>
      </c>
      <c r="AT1617" s="4" t="s">
        <v>1719</v>
      </c>
      <c r="AU1617" s="4" t="s">
        <v>1703</v>
      </c>
      <c r="AV1617" s="4" t="s">
        <v>1720</v>
      </c>
      <c r="AW1617" s="4" t="s">
        <v>2698</v>
      </c>
      <c r="AX1617" s="4" t="s">
        <v>2699</v>
      </c>
      <c r="AY1617" s="4">
        <v>51.2</v>
      </c>
      <c r="AZ1617" s="4">
        <v>-118.2</v>
      </c>
      <c r="BA1617" s="4">
        <v>5</v>
      </c>
    </row>
    <row r="1618" spans="2:53" ht="14.25" customHeight="1" x14ac:dyDescent="0.2">
      <c r="B1618" s="4">
        <v>12</v>
      </c>
      <c r="C1618" s="4" t="s">
        <v>1711</v>
      </c>
      <c r="D1618" s="188">
        <v>350</v>
      </c>
      <c r="E1618" s="4">
        <v>1895</v>
      </c>
      <c r="F1618" s="211" t="s">
        <v>2714</v>
      </c>
      <c r="G1618" s="4" t="s">
        <v>2715</v>
      </c>
      <c r="H1618" s="4" t="s">
        <v>2716</v>
      </c>
      <c r="I1618" s="4" t="s">
        <v>641</v>
      </c>
      <c r="J1618" s="4" t="s">
        <v>1715</v>
      </c>
      <c r="K1618" s="4">
        <v>1</v>
      </c>
      <c r="L1618" s="4">
        <v>2298</v>
      </c>
      <c r="M1618" s="6"/>
      <c r="N1618" s="9"/>
      <c r="P1618" s="9"/>
      <c r="R1618" s="9"/>
      <c r="T1618" s="9"/>
      <c r="U1618"/>
      <c r="AK1618" s="260"/>
      <c r="AO1618" s="4" t="s">
        <v>2714</v>
      </c>
      <c r="AP1618" s="4">
        <v>350</v>
      </c>
      <c r="AQ1618" s="4" t="s">
        <v>1716</v>
      </c>
      <c r="AR1618" s="4" t="s">
        <v>1717</v>
      </c>
      <c r="AS1618" s="4" t="s">
        <v>1718</v>
      </c>
      <c r="AT1618" s="4" t="s">
        <v>1835</v>
      </c>
      <c r="AU1618" s="4" t="s">
        <v>1959</v>
      </c>
      <c r="AV1618" s="4" t="s">
        <v>1720</v>
      </c>
      <c r="AW1618" s="4" t="s">
        <v>2368</v>
      </c>
      <c r="AX1618" s="4" t="s">
        <v>2707</v>
      </c>
      <c r="AY1618" s="4">
        <v>50.92</v>
      </c>
      <c r="AZ1618" s="4">
        <v>-118.9633</v>
      </c>
      <c r="BA1618" s="4">
        <v>1250</v>
      </c>
    </row>
    <row r="1619" spans="2:53" ht="14.25" customHeight="1" x14ac:dyDescent="0.2">
      <c r="B1619" s="4">
        <v>12</v>
      </c>
      <c r="C1619" s="4" t="s">
        <v>1711</v>
      </c>
      <c r="D1619" s="188">
        <v>351</v>
      </c>
      <c r="E1619" s="4">
        <v>1896</v>
      </c>
      <c r="F1619" s="211" t="s">
        <v>2717</v>
      </c>
      <c r="G1619" s="4" t="s">
        <v>2718</v>
      </c>
      <c r="H1619" s="4" t="s">
        <v>2719</v>
      </c>
      <c r="I1619" s="4" t="s">
        <v>641</v>
      </c>
      <c r="J1619" s="4" t="s">
        <v>1715</v>
      </c>
      <c r="K1619" s="4">
        <v>1</v>
      </c>
      <c r="L1619" s="4">
        <v>2299</v>
      </c>
      <c r="M1619" s="6"/>
      <c r="U1619"/>
      <c r="AK1619" s="260"/>
      <c r="AO1619" s="4" t="s">
        <v>2717</v>
      </c>
      <c r="AP1619" s="4">
        <v>351</v>
      </c>
      <c r="AQ1619" s="4" t="s">
        <v>1716</v>
      </c>
      <c r="AR1619" s="4" t="s">
        <v>1717</v>
      </c>
      <c r="AS1619" s="4" t="s">
        <v>1718</v>
      </c>
      <c r="AT1619" s="4" t="s">
        <v>1703</v>
      </c>
      <c r="AU1619" s="4" t="s">
        <v>1703</v>
      </c>
      <c r="AV1619" s="4" t="s">
        <v>1720</v>
      </c>
      <c r="AW1619" s="4" t="s">
        <v>2368</v>
      </c>
      <c r="AX1619" s="4" t="s">
        <v>2522</v>
      </c>
      <c r="AY1619" s="4">
        <v>50.611699999999999</v>
      </c>
      <c r="AZ1619" s="4">
        <v>-118.6467</v>
      </c>
      <c r="BA1619" s="4">
        <v>1768</v>
      </c>
    </row>
    <row r="1620" spans="2:53" ht="14.25" customHeight="1" x14ac:dyDescent="0.2">
      <c r="B1620" s="4">
        <v>12</v>
      </c>
      <c r="C1620" s="4" t="s">
        <v>1711</v>
      </c>
      <c r="D1620" s="188">
        <v>353</v>
      </c>
      <c r="E1620" s="4">
        <v>1898</v>
      </c>
      <c r="F1620" s="211" t="s">
        <v>2724</v>
      </c>
      <c r="G1620" s="4" t="s">
        <v>2725</v>
      </c>
      <c r="H1620" s="4" t="s">
        <v>2726</v>
      </c>
      <c r="I1620" s="4" t="s">
        <v>641</v>
      </c>
      <c r="J1620" s="4" t="s">
        <v>1715</v>
      </c>
      <c r="K1620" s="4">
        <v>1</v>
      </c>
      <c r="L1620" s="4">
        <v>2301</v>
      </c>
      <c r="M1620" s="6"/>
      <c r="N1620" s="9"/>
      <c r="P1620" s="9"/>
      <c r="R1620" s="9"/>
      <c r="T1620" s="9"/>
      <c r="U1620"/>
      <c r="AK1620" s="260"/>
      <c r="AO1620" s="4" t="s">
        <v>2724</v>
      </c>
      <c r="AP1620" s="4">
        <v>353</v>
      </c>
      <c r="AQ1620" s="4" t="s">
        <v>1716</v>
      </c>
      <c r="AR1620" s="4" t="s">
        <v>1717</v>
      </c>
      <c r="AS1620" s="4" t="s">
        <v>1718</v>
      </c>
      <c r="AT1620" s="4" t="s">
        <v>1703</v>
      </c>
      <c r="AU1620" s="4" t="s">
        <v>1703</v>
      </c>
      <c r="AV1620" s="4" t="s">
        <v>1720</v>
      </c>
      <c r="AW1620" s="4" t="s">
        <v>2368</v>
      </c>
      <c r="AX1620" s="4" t="s">
        <v>2707</v>
      </c>
      <c r="AY1620" s="4">
        <v>51.01</v>
      </c>
      <c r="AZ1620" s="4">
        <v>-119.39830000000001</v>
      </c>
      <c r="BA1620" s="4">
        <v>1097</v>
      </c>
    </row>
    <row r="1621" spans="2:53" ht="14.25" customHeight="1" x14ac:dyDescent="0.2">
      <c r="B1621" s="4">
        <v>12</v>
      </c>
      <c r="C1621" s="188" t="s">
        <v>1711</v>
      </c>
      <c r="D1621" s="188">
        <v>354</v>
      </c>
      <c r="E1621" s="4">
        <v>1899</v>
      </c>
      <c r="F1621" s="16" t="s">
        <v>2727</v>
      </c>
      <c r="G1621" s="4" t="s">
        <v>2728</v>
      </c>
      <c r="H1621" s="4" t="s">
        <v>2729</v>
      </c>
      <c r="I1621" s="4" t="s">
        <v>1664</v>
      </c>
      <c r="J1621" s="4" t="s">
        <v>1715</v>
      </c>
      <c r="K1621" s="4">
        <v>1</v>
      </c>
      <c r="L1621" s="4">
        <v>2302</v>
      </c>
      <c r="M1621" s="6"/>
      <c r="U1621"/>
      <c r="AK1621" s="260"/>
      <c r="AO1621" s="208" t="s">
        <v>2727</v>
      </c>
      <c r="AP1621" s="4">
        <v>354</v>
      </c>
      <c r="AQ1621" s="4" t="s">
        <v>1716</v>
      </c>
      <c r="AR1621" s="4" t="s">
        <v>1717</v>
      </c>
      <c r="AS1621" s="4" t="s">
        <v>1718</v>
      </c>
      <c r="AT1621" s="4" t="s">
        <v>1719</v>
      </c>
      <c r="AU1621" s="4" t="s">
        <v>1703</v>
      </c>
      <c r="AV1621" s="4" t="s">
        <v>1720</v>
      </c>
      <c r="AW1621" s="4" t="s">
        <v>2368</v>
      </c>
      <c r="AX1621" s="4" t="s">
        <v>2707</v>
      </c>
      <c r="AY1621" s="4">
        <v>50.7</v>
      </c>
      <c r="AZ1621" s="4">
        <v>-118.7</v>
      </c>
      <c r="BA1621" s="4">
        <v>13</v>
      </c>
    </row>
    <row r="1622" spans="2:53" ht="14.25" customHeight="1" x14ac:dyDescent="0.2">
      <c r="B1622" s="4">
        <v>12</v>
      </c>
      <c r="C1622" s="4" t="s">
        <v>1711</v>
      </c>
      <c r="D1622" s="4">
        <v>355</v>
      </c>
      <c r="E1622" s="4">
        <v>1900</v>
      </c>
      <c r="F1622" s="211" t="s">
        <v>2730</v>
      </c>
      <c r="G1622" s="4" t="s">
        <v>2731</v>
      </c>
      <c r="H1622" s="4" t="s">
        <v>2732</v>
      </c>
      <c r="I1622" s="4" t="s">
        <v>641</v>
      </c>
      <c r="J1622" s="4" t="s">
        <v>1715</v>
      </c>
      <c r="K1622" s="4">
        <v>1</v>
      </c>
      <c r="L1622" s="4">
        <v>2303</v>
      </c>
      <c r="M1622" s="6"/>
      <c r="N1622" s="9"/>
      <c r="P1622" s="9"/>
      <c r="R1622" s="9"/>
      <c r="T1622" s="9"/>
      <c r="U1622"/>
      <c r="AK1622" s="260"/>
      <c r="AO1622" s="4" t="s">
        <v>2730</v>
      </c>
      <c r="AP1622" s="4">
        <v>355</v>
      </c>
      <c r="AQ1622" s="4" t="s">
        <v>1716</v>
      </c>
      <c r="AR1622" s="4" t="s">
        <v>1717</v>
      </c>
      <c r="AS1622" s="4" t="s">
        <v>1718</v>
      </c>
      <c r="AT1622" s="4" t="s">
        <v>1719</v>
      </c>
      <c r="AU1622" s="4" t="s">
        <v>1959</v>
      </c>
      <c r="AV1622" s="4" t="s">
        <v>1720</v>
      </c>
      <c r="AW1622" s="4" t="s">
        <v>2698</v>
      </c>
      <c r="AX1622" s="4" t="s">
        <v>2699</v>
      </c>
      <c r="AY1622" s="4">
        <v>51.7453</v>
      </c>
      <c r="AZ1622" s="4">
        <v>-118.65779999999999</v>
      </c>
      <c r="BA1622" s="4">
        <v>632</v>
      </c>
    </row>
    <row r="1623" spans="2:53" ht="14.25" customHeight="1" x14ac:dyDescent="0.2">
      <c r="B1623" s="4">
        <v>12</v>
      </c>
      <c r="C1623" s="4" t="s">
        <v>1711</v>
      </c>
      <c r="D1623" s="188">
        <v>356</v>
      </c>
      <c r="E1623" s="4">
        <v>1901</v>
      </c>
      <c r="F1623" s="211" t="s">
        <v>2733</v>
      </c>
      <c r="G1623" s="4" t="s">
        <v>2734</v>
      </c>
      <c r="H1623" s="4" t="s">
        <v>2735</v>
      </c>
      <c r="I1623" s="4" t="s">
        <v>641</v>
      </c>
      <c r="J1623" s="4" t="s">
        <v>1746</v>
      </c>
      <c r="K1623" s="4">
        <v>1</v>
      </c>
      <c r="L1623" s="4">
        <v>2304</v>
      </c>
      <c r="M1623" s="6"/>
      <c r="U1623"/>
      <c r="AK1623" s="260"/>
      <c r="AO1623" s="208" t="s">
        <v>2733</v>
      </c>
      <c r="AP1623" s="4">
        <v>356</v>
      </c>
      <c r="AQ1623" s="4" t="s">
        <v>1716</v>
      </c>
      <c r="AR1623" s="4" t="s">
        <v>1717</v>
      </c>
      <c r="AS1623" s="4" t="s">
        <v>1718</v>
      </c>
      <c r="AT1623" s="4" t="s">
        <v>1703</v>
      </c>
      <c r="AU1623" s="4" t="s">
        <v>1703</v>
      </c>
      <c r="AV1623" s="4" t="s">
        <v>1720</v>
      </c>
      <c r="AW1623" s="4" t="s">
        <v>2698</v>
      </c>
      <c r="AX1623" s="4" t="s">
        <v>2258</v>
      </c>
      <c r="AY1623" s="4">
        <v>52.2</v>
      </c>
      <c r="AZ1623" s="4">
        <v>-118.5</v>
      </c>
      <c r="BA1623" s="4">
        <v>12</v>
      </c>
    </row>
    <row r="1624" spans="2:53" ht="14.25" customHeight="1" x14ac:dyDescent="0.2">
      <c r="B1624" s="4">
        <v>12</v>
      </c>
      <c r="C1624" s="4" t="s">
        <v>1711</v>
      </c>
      <c r="D1624" s="188">
        <v>357</v>
      </c>
      <c r="E1624" s="4">
        <v>1902</v>
      </c>
      <c r="F1624" s="211" t="s">
        <v>2736</v>
      </c>
      <c r="G1624" s="4" t="s">
        <v>2737</v>
      </c>
      <c r="H1624" s="4" t="s">
        <v>2738</v>
      </c>
      <c r="I1624" s="4" t="s">
        <v>641</v>
      </c>
      <c r="J1624" s="4" t="s">
        <v>1715</v>
      </c>
      <c r="K1624" s="4">
        <v>1</v>
      </c>
      <c r="L1624" s="4">
        <v>2305</v>
      </c>
      <c r="M1624" s="6"/>
      <c r="U1624"/>
      <c r="AK1624" s="260"/>
      <c r="AO1624" s="4" t="s">
        <v>2736</v>
      </c>
      <c r="AP1624" s="4">
        <v>357</v>
      </c>
      <c r="AQ1624" s="4" t="s">
        <v>1716</v>
      </c>
      <c r="AR1624" s="4" t="s">
        <v>1717</v>
      </c>
      <c r="AS1624" s="4" t="s">
        <v>1718</v>
      </c>
      <c r="AT1624" s="4" t="s">
        <v>1703</v>
      </c>
      <c r="AU1624" s="4" t="s">
        <v>1703</v>
      </c>
      <c r="AV1624" s="4" t="s">
        <v>1720</v>
      </c>
      <c r="AW1624" s="4" t="s">
        <v>2368</v>
      </c>
      <c r="AX1624" s="4" t="s">
        <v>2707</v>
      </c>
      <c r="AY1624" s="4">
        <v>50.698300000000003</v>
      </c>
      <c r="AZ1624" s="4">
        <v>-118.75830000000001</v>
      </c>
      <c r="BA1624" s="4">
        <v>640</v>
      </c>
    </row>
    <row r="1625" spans="2:53" ht="14.25" customHeight="1" x14ac:dyDescent="0.2">
      <c r="B1625" s="4">
        <v>12</v>
      </c>
      <c r="C1625" s="4" t="s">
        <v>1711</v>
      </c>
      <c r="D1625" s="188">
        <v>359</v>
      </c>
      <c r="E1625" s="4">
        <v>1904</v>
      </c>
      <c r="F1625" s="211" t="s">
        <v>2742</v>
      </c>
      <c r="G1625" s="4" t="s">
        <v>2743</v>
      </c>
      <c r="H1625" s="4" t="s">
        <v>2744</v>
      </c>
      <c r="I1625" s="4" t="s">
        <v>1664</v>
      </c>
      <c r="J1625" s="4" t="s">
        <v>1715</v>
      </c>
      <c r="K1625" s="4">
        <v>1</v>
      </c>
      <c r="L1625" s="4">
        <v>2307</v>
      </c>
      <c r="M1625" s="6"/>
      <c r="U1625"/>
      <c r="AK1625" s="260"/>
      <c r="AO1625" s="208" t="s">
        <v>2742</v>
      </c>
      <c r="AP1625" s="4">
        <v>359</v>
      </c>
      <c r="AQ1625" s="4" t="s">
        <v>1716</v>
      </c>
      <c r="AR1625" s="4" t="s">
        <v>1717</v>
      </c>
      <c r="AS1625" s="4" t="s">
        <v>1718</v>
      </c>
      <c r="AT1625" s="4" t="s">
        <v>1719</v>
      </c>
      <c r="AU1625" s="4" t="s">
        <v>1703</v>
      </c>
      <c r="AV1625" s="4" t="s">
        <v>1720</v>
      </c>
      <c r="AW1625" s="4" t="s">
        <v>2368</v>
      </c>
      <c r="AX1625" s="4" t="s">
        <v>2522</v>
      </c>
      <c r="AY1625" s="4">
        <v>50.4</v>
      </c>
      <c r="AZ1625" s="4">
        <v>-118.7</v>
      </c>
      <c r="BA1625" s="4">
        <v>4</v>
      </c>
    </row>
    <row r="1626" spans="2:53" ht="14.25" customHeight="1" x14ac:dyDescent="0.2">
      <c r="B1626" s="4">
        <v>12</v>
      </c>
      <c r="C1626" s="4" t="s">
        <v>1711</v>
      </c>
      <c r="D1626" s="188">
        <v>360</v>
      </c>
      <c r="E1626" s="4">
        <v>1905</v>
      </c>
      <c r="F1626" s="211" t="s">
        <v>2745</v>
      </c>
      <c r="G1626" s="4" t="s">
        <v>2746</v>
      </c>
      <c r="H1626" s="4" t="s">
        <v>2747</v>
      </c>
      <c r="I1626" s="4" t="s">
        <v>641</v>
      </c>
      <c r="J1626" s="4" t="s">
        <v>1715</v>
      </c>
      <c r="K1626" s="4">
        <v>1</v>
      </c>
      <c r="L1626" s="4">
        <v>2308</v>
      </c>
      <c r="M1626" s="6"/>
      <c r="U1626"/>
      <c r="AK1626" s="260"/>
      <c r="AO1626" s="4" t="s">
        <v>2745</v>
      </c>
      <c r="AP1626" s="4">
        <v>360</v>
      </c>
      <c r="AQ1626" s="4" t="s">
        <v>1716</v>
      </c>
      <c r="AR1626" s="4" t="s">
        <v>1717</v>
      </c>
      <c r="AS1626" s="4" t="s">
        <v>1718</v>
      </c>
      <c r="AT1626" s="4" t="s">
        <v>1703</v>
      </c>
      <c r="AU1626" s="4" t="s">
        <v>1703</v>
      </c>
      <c r="AV1626" s="4" t="s">
        <v>1720</v>
      </c>
      <c r="AW1626" s="4" t="s">
        <v>2368</v>
      </c>
      <c r="AX1626" s="4" t="s">
        <v>2401</v>
      </c>
      <c r="AY1626" s="4">
        <v>51.265000000000001</v>
      </c>
      <c r="AZ1626" s="4">
        <v>-119.44</v>
      </c>
      <c r="BA1626" s="4">
        <v>1067</v>
      </c>
    </row>
    <row r="1627" spans="2:53" ht="14.25" customHeight="1" x14ac:dyDescent="0.2">
      <c r="B1627" s="4">
        <v>12</v>
      </c>
      <c r="C1627" s="4" t="s">
        <v>1711</v>
      </c>
      <c r="D1627" s="188">
        <v>361</v>
      </c>
      <c r="E1627" s="4">
        <v>1906</v>
      </c>
      <c r="F1627" s="4" t="s">
        <v>2748</v>
      </c>
      <c r="G1627" s="188" t="s">
        <v>2749</v>
      </c>
      <c r="H1627" s="4" t="s">
        <v>2750</v>
      </c>
      <c r="I1627" s="4" t="s">
        <v>641</v>
      </c>
      <c r="J1627" s="4" t="s">
        <v>1736</v>
      </c>
      <c r="K1627" s="4">
        <v>1</v>
      </c>
      <c r="L1627" s="4">
        <v>2309</v>
      </c>
      <c r="M1627" s="6">
        <v>51.997219999999999</v>
      </c>
      <c r="N1627" s="9">
        <v>-118.10250000000001</v>
      </c>
      <c r="O1627" s="4" t="s">
        <v>170</v>
      </c>
      <c r="P1627" s="9">
        <v>361</v>
      </c>
      <c r="Q1627" s="4">
        <v>3</v>
      </c>
      <c r="R1627" s="9" t="s">
        <v>2748</v>
      </c>
      <c r="S1627" s="4" t="s">
        <v>1737</v>
      </c>
      <c r="T1627" s="9">
        <v>1200</v>
      </c>
      <c r="U1627"/>
      <c r="W1627" s="4">
        <v>31413</v>
      </c>
      <c r="X1627" s="4" t="s">
        <v>1738</v>
      </c>
      <c r="AK1627" s="260"/>
      <c r="AO1627" s="4" t="s">
        <v>2748</v>
      </c>
      <c r="AP1627" s="4">
        <v>361</v>
      </c>
      <c r="AQ1627" s="4" t="s">
        <v>1716</v>
      </c>
      <c r="AR1627" s="4" t="s">
        <v>1739</v>
      </c>
      <c r="AS1627" s="4" t="s">
        <v>1740</v>
      </c>
      <c r="AT1627" s="4" t="s">
        <v>1741</v>
      </c>
      <c r="AU1627" s="4" t="s">
        <v>1742</v>
      </c>
      <c r="AV1627" s="4" t="s">
        <v>1720</v>
      </c>
      <c r="AW1627" s="4" t="s">
        <v>2698</v>
      </c>
      <c r="AX1627" s="4" t="s">
        <v>2699</v>
      </c>
      <c r="AY1627" s="4">
        <v>51.997199999999999</v>
      </c>
      <c r="AZ1627" s="4">
        <v>-118.10250000000001</v>
      </c>
      <c r="BA1627" s="4">
        <v>1200</v>
      </c>
    </row>
    <row r="1628" spans="2:53" ht="14.25" customHeight="1" x14ac:dyDescent="0.2">
      <c r="B1628" s="4">
        <v>12</v>
      </c>
      <c r="C1628" s="4" t="s">
        <v>1711</v>
      </c>
      <c r="D1628" s="188">
        <v>364</v>
      </c>
      <c r="E1628" s="4">
        <v>1909</v>
      </c>
      <c r="F1628" s="211" t="s">
        <v>2759</v>
      </c>
      <c r="G1628" s="4" t="s">
        <v>2760</v>
      </c>
      <c r="H1628" s="4" t="s">
        <v>2761</v>
      </c>
      <c r="I1628" s="4" t="s">
        <v>641</v>
      </c>
      <c r="J1628" s="4" t="s">
        <v>1715</v>
      </c>
      <c r="K1628" s="4">
        <v>1</v>
      </c>
      <c r="L1628" s="4">
        <v>2312</v>
      </c>
      <c r="M1628" s="6"/>
      <c r="N1628" s="9"/>
      <c r="P1628" s="9"/>
      <c r="R1628" s="9"/>
      <c r="U1628"/>
      <c r="AK1628" s="260"/>
      <c r="AO1628" s="208" t="s">
        <v>2759</v>
      </c>
      <c r="AP1628" s="4">
        <v>364</v>
      </c>
      <c r="AQ1628" s="4" t="s">
        <v>1716</v>
      </c>
      <c r="AR1628" s="4" t="s">
        <v>1717</v>
      </c>
      <c r="AS1628" s="4" t="s">
        <v>1718</v>
      </c>
      <c r="AT1628" s="4" t="s">
        <v>1719</v>
      </c>
      <c r="AU1628" s="4" t="s">
        <v>1959</v>
      </c>
      <c r="AV1628" s="4" t="s">
        <v>1720</v>
      </c>
      <c r="AW1628" s="4" t="s">
        <v>2698</v>
      </c>
      <c r="AX1628" s="4" t="s">
        <v>2699</v>
      </c>
      <c r="AY1628" s="4">
        <v>51.470799999999997</v>
      </c>
      <c r="AZ1628" s="4">
        <v>-118.1855</v>
      </c>
      <c r="BA1628" s="4">
        <v>761</v>
      </c>
    </row>
    <row r="1629" spans="2:53" ht="14.25" customHeight="1" x14ac:dyDescent="0.2">
      <c r="B1629" s="4">
        <v>12</v>
      </c>
      <c r="C1629" s="4" t="s">
        <v>1711</v>
      </c>
      <c r="D1629" s="188">
        <v>365</v>
      </c>
      <c r="E1629" s="4">
        <v>1910</v>
      </c>
      <c r="F1629" s="211" t="s">
        <v>2762</v>
      </c>
      <c r="G1629" s="4" t="s">
        <v>2763</v>
      </c>
      <c r="H1629" s="4" t="s">
        <v>2764</v>
      </c>
      <c r="I1629" s="4" t="s">
        <v>641</v>
      </c>
      <c r="J1629" s="4" t="s">
        <v>1715</v>
      </c>
      <c r="K1629" s="4">
        <v>1</v>
      </c>
      <c r="L1629" s="4">
        <v>2313</v>
      </c>
      <c r="M1629" s="6"/>
      <c r="N1629" s="9"/>
      <c r="P1629" s="9"/>
      <c r="R1629" s="9"/>
      <c r="T1629" s="9"/>
      <c r="U1629"/>
      <c r="AK1629" s="260"/>
      <c r="AO1629" s="208" t="s">
        <v>2762</v>
      </c>
      <c r="AP1629" s="4">
        <v>365</v>
      </c>
      <c r="AQ1629" s="4" t="s">
        <v>1716</v>
      </c>
      <c r="AR1629" s="4" t="s">
        <v>1717</v>
      </c>
      <c r="AS1629" s="4" t="s">
        <v>1718</v>
      </c>
      <c r="AT1629" s="4" t="s">
        <v>1719</v>
      </c>
      <c r="AU1629" s="4" t="s">
        <v>1959</v>
      </c>
      <c r="AV1629" s="4" t="s">
        <v>1720</v>
      </c>
      <c r="AW1629" s="4" t="s">
        <v>2698</v>
      </c>
      <c r="AX1629" s="4" t="s">
        <v>2699</v>
      </c>
      <c r="AY1629" s="4">
        <v>50.7288</v>
      </c>
      <c r="AZ1629" s="4">
        <v>-117.943</v>
      </c>
      <c r="BA1629" s="4">
        <v>1000</v>
      </c>
    </row>
    <row r="1630" spans="2:53" ht="14.25" customHeight="1" x14ac:dyDescent="0.2">
      <c r="B1630" s="4">
        <v>12</v>
      </c>
      <c r="C1630" s="4" t="s">
        <v>1711</v>
      </c>
      <c r="D1630" s="188">
        <v>367</v>
      </c>
      <c r="E1630" s="4">
        <v>1912</v>
      </c>
      <c r="F1630" s="4" t="s">
        <v>2769</v>
      </c>
      <c r="G1630" s="4" t="s">
        <v>2770</v>
      </c>
      <c r="H1630" s="4" t="s">
        <v>2771</v>
      </c>
      <c r="I1630" s="4" t="s">
        <v>641</v>
      </c>
      <c r="J1630" s="4" t="s">
        <v>1736</v>
      </c>
      <c r="K1630" s="4">
        <v>1</v>
      </c>
      <c r="L1630" s="4">
        <v>2315</v>
      </c>
      <c r="M1630" s="6">
        <v>51.042169999999999</v>
      </c>
      <c r="N1630" s="9">
        <v>-116.36382999999999</v>
      </c>
      <c r="O1630" s="4" t="s">
        <v>170</v>
      </c>
      <c r="P1630" s="9">
        <v>367</v>
      </c>
      <c r="Q1630" s="4">
        <v>3</v>
      </c>
      <c r="R1630" s="9" t="s">
        <v>2769</v>
      </c>
      <c r="S1630" s="4" t="s">
        <v>1737</v>
      </c>
      <c r="T1630" s="4">
        <v>1300</v>
      </c>
      <c r="U1630"/>
      <c r="W1630" s="4">
        <v>34335</v>
      </c>
      <c r="X1630" s="4" t="s">
        <v>1738</v>
      </c>
      <c r="AK1630" s="260"/>
      <c r="AO1630" s="208" t="s">
        <v>2769</v>
      </c>
      <c r="AP1630" s="4">
        <v>367</v>
      </c>
      <c r="AQ1630" s="4" t="s">
        <v>1700</v>
      </c>
      <c r="AR1630" s="4" t="s">
        <v>1739</v>
      </c>
      <c r="AS1630" s="4" t="s">
        <v>1740</v>
      </c>
      <c r="AT1630" s="4" t="s">
        <v>1741</v>
      </c>
      <c r="AU1630" s="4" t="s">
        <v>1959</v>
      </c>
      <c r="AV1630" s="4" t="s">
        <v>1720</v>
      </c>
      <c r="AW1630" s="4" t="s">
        <v>2698</v>
      </c>
      <c r="AX1630" s="4" t="s">
        <v>2699</v>
      </c>
      <c r="AY1630" s="4">
        <v>51.042200000000001</v>
      </c>
      <c r="AZ1630" s="4">
        <v>-116.3638</v>
      </c>
      <c r="BA1630" s="4">
        <v>1300</v>
      </c>
    </row>
    <row r="1631" spans="2:53" ht="14.25" customHeight="1" x14ac:dyDescent="0.2">
      <c r="B1631" s="4">
        <v>12</v>
      </c>
      <c r="C1631" s="4" t="s">
        <v>1711</v>
      </c>
      <c r="D1631" s="188">
        <v>369</v>
      </c>
      <c r="E1631" s="4">
        <v>1913</v>
      </c>
      <c r="F1631" s="211" t="s">
        <v>2772</v>
      </c>
      <c r="G1631" s="188" t="s">
        <v>2773</v>
      </c>
      <c r="H1631" s="4" t="s">
        <v>2774</v>
      </c>
      <c r="I1631" s="4" t="s">
        <v>1664</v>
      </c>
      <c r="J1631" s="4" t="s">
        <v>1715</v>
      </c>
      <c r="K1631" s="4">
        <v>1</v>
      </c>
      <c r="L1631" s="4">
        <v>2316</v>
      </c>
      <c r="M1631" s="6"/>
      <c r="N1631" s="9"/>
      <c r="P1631" s="9"/>
      <c r="R1631" s="9"/>
      <c r="U1631"/>
      <c r="AK1631" s="260"/>
      <c r="AO1631" s="208" t="s">
        <v>2772</v>
      </c>
      <c r="AP1631" s="4">
        <v>369</v>
      </c>
      <c r="AQ1631" s="4" t="s">
        <v>1716</v>
      </c>
      <c r="AR1631" s="4" t="s">
        <v>1717</v>
      </c>
      <c r="AS1631" s="4" t="s">
        <v>1718</v>
      </c>
      <c r="AT1631" s="4" t="s">
        <v>1719</v>
      </c>
      <c r="AU1631" s="4" t="s">
        <v>1703</v>
      </c>
      <c r="AV1631" s="4" t="s">
        <v>1720</v>
      </c>
      <c r="AW1631" s="4" t="s">
        <v>2698</v>
      </c>
      <c r="AX1631" s="4" t="s">
        <v>2768</v>
      </c>
      <c r="AY1631" s="4">
        <v>50.9</v>
      </c>
      <c r="AZ1631" s="4">
        <v>-116.4</v>
      </c>
      <c r="BA1631" s="4">
        <v>0</v>
      </c>
    </row>
    <row r="1632" spans="2:53" ht="14.25" customHeight="1" x14ac:dyDescent="0.2">
      <c r="B1632" s="4">
        <v>12</v>
      </c>
      <c r="C1632" s="4" t="s">
        <v>1711</v>
      </c>
      <c r="D1632" s="188">
        <v>370</v>
      </c>
      <c r="E1632" s="4">
        <v>1914</v>
      </c>
      <c r="F1632" s="211" t="s">
        <v>2775</v>
      </c>
      <c r="G1632" s="4" t="s">
        <v>2776</v>
      </c>
      <c r="H1632" s="4" t="s">
        <v>2777</v>
      </c>
      <c r="I1632" s="4" t="s">
        <v>1664</v>
      </c>
      <c r="J1632" s="4" t="s">
        <v>1746</v>
      </c>
      <c r="K1632" s="4">
        <v>1</v>
      </c>
      <c r="L1632" s="4">
        <v>2317</v>
      </c>
      <c r="M1632" s="6"/>
      <c r="N1632" s="9"/>
      <c r="P1632" s="9"/>
      <c r="R1632" s="9"/>
      <c r="U1632"/>
      <c r="AK1632" s="260"/>
      <c r="AO1632" s="4" t="s">
        <v>2775</v>
      </c>
      <c r="AP1632" s="4">
        <v>370</v>
      </c>
      <c r="AQ1632" s="4" t="s">
        <v>1716</v>
      </c>
      <c r="AR1632" s="4" t="s">
        <v>1717</v>
      </c>
      <c r="AS1632" s="4" t="s">
        <v>1718</v>
      </c>
      <c r="AT1632" s="4" t="s">
        <v>1719</v>
      </c>
      <c r="AU1632" s="4" t="s">
        <v>1703</v>
      </c>
      <c r="AV1632" s="4" t="s">
        <v>1720</v>
      </c>
      <c r="AW1632" s="4" t="s">
        <v>2698</v>
      </c>
      <c r="AX1632" s="4" t="s">
        <v>2699</v>
      </c>
      <c r="AY1632" s="4">
        <v>52</v>
      </c>
      <c r="AZ1632" s="4">
        <v>-118</v>
      </c>
      <c r="BA1632" s="4">
        <v>9</v>
      </c>
    </row>
    <row r="1633" spans="2:53" ht="14.25" customHeight="1" x14ac:dyDescent="0.2">
      <c r="B1633" s="4">
        <v>12</v>
      </c>
      <c r="C1633" s="4" t="s">
        <v>1711</v>
      </c>
      <c r="D1633" s="188">
        <v>373</v>
      </c>
      <c r="E1633" s="4">
        <v>1916</v>
      </c>
      <c r="F1633" s="211" t="s">
        <v>2781</v>
      </c>
      <c r="G1633" s="4" t="s">
        <v>2782</v>
      </c>
      <c r="H1633" s="4" t="s">
        <v>2783</v>
      </c>
      <c r="I1633" s="4" t="s">
        <v>641</v>
      </c>
      <c r="J1633" s="4" t="s">
        <v>1715</v>
      </c>
      <c r="K1633" s="4">
        <v>1</v>
      </c>
      <c r="L1633" s="4">
        <v>2319</v>
      </c>
      <c r="M1633" s="6"/>
      <c r="N1633" s="9"/>
      <c r="P1633" s="9"/>
      <c r="R1633" s="9"/>
      <c r="U1633"/>
      <c r="AK1633" s="260"/>
      <c r="AO1633" s="4" t="s">
        <v>2781</v>
      </c>
      <c r="AP1633" s="4">
        <v>373</v>
      </c>
      <c r="AQ1633" s="4" t="s">
        <v>1716</v>
      </c>
      <c r="AR1633" s="4" t="s">
        <v>1717</v>
      </c>
      <c r="AS1633" s="4" t="s">
        <v>1718</v>
      </c>
      <c r="AT1633" s="4" t="s">
        <v>1719</v>
      </c>
      <c r="AU1633" s="4" t="s">
        <v>1836</v>
      </c>
      <c r="AV1633" s="4" t="s">
        <v>1720</v>
      </c>
      <c r="AW1633" s="4" t="s">
        <v>2698</v>
      </c>
      <c r="AX1633" s="4" t="s">
        <v>2768</v>
      </c>
      <c r="AY1633" s="4">
        <v>50.845799999999997</v>
      </c>
      <c r="AZ1633" s="4">
        <v>-116.33799999999999</v>
      </c>
      <c r="BA1633" s="4">
        <v>938</v>
      </c>
    </row>
    <row r="1634" spans="2:53" ht="14.25" customHeight="1" x14ac:dyDescent="0.2">
      <c r="B1634" s="4">
        <v>12</v>
      </c>
      <c r="C1634" s="4" t="s">
        <v>1711</v>
      </c>
      <c r="D1634" s="188">
        <v>374</v>
      </c>
      <c r="E1634" s="4">
        <v>1917</v>
      </c>
      <c r="F1634" s="4" t="s">
        <v>2784</v>
      </c>
      <c r="G1634" s="4" t="s">
        <v>2785</v>
      </c>
      <c r="H1634" s="4" t="s">
        <v>2750</v>
      </c>
      <c r="I1634" s="4" t="s">
        <v>641</v>
      </c>
      <c r="J1634" s="4" t="s">
        <v>1736</v>
      </c>
      <c r="K1634" s="4">
        <v>1</v>
      </c>
      <c r="L1634" s="4">
        <v>2320</v>
      </c>
      <c r="M1634" s="6">
        <v>51.716169999999998</v>
      </c>
      <c r="N1634" s="9">
        <v>-117.54167</v>
      </c>
      <c r="O1634" s="9" t="s">
        <v>170</v>
      </c>
      <c r="P1634" s="9">
        <v>374</v>
      </c>
      <c r="Q1634" s="20">
        <v>2</v>
      </c>
      <c r="R1634" s="9" t="s">
        <v>2784</v>
      </c>
      <c r="S1634" s="9" t="s">
        <v>1737</v>
      </c>
      <c r="T1634" s="9">
        <v>1000</v>
      </c>
      <c r="U1634" s="9"/>
      <c r="V1634" s="9"/>
      <c r="W1634" s="21">
        <v>31413</v>
      </c>
      <c r="X1634" s="9" t="s">
        <v>1738</v>
      </c>
      <c r="AK1634" s="260"/>
      <c r="AO1634" s="208" t="s">
        <v>2784</v>
      </c>
      <c r="AP1634" s="4">
        <v>374</v>
      </c>
      <c r="AQ1634" s="4" t="s">
        <v>1716</v>
      </c>
      <c r="AR1634" s="4" t="s">
        <v>1739</v>
      </c>
      <c r="AS1634" s="4" t="s">
        <v>1740</v>
      </c>
      <c r="AT1634" s="4" t="s">
        <v>1741</v>
      </c>
      <c r="AU1634" s="4" t="s">
        <v>1742</v>
      </c>
      <c r="AV1634" s="4" t="s">
        <v>1720</v>
      </c>
      <c r="AW1634" s="4" t="s">
        <v>2698</v>
      </c>
      <c r="AX1634" s="4" t="s">
        <v>2699</v>
      </c>
      <c r="AY1634" s="4">
        <v>51.716200000000001</v>
      </c>
      <c r="AZ1634" s="4">
        <v>-117.54170000000001</v>
      </c>
      <c r="BA1634" s="4">
        <v>1000</v>
      </c>
    </row>
    <row r="1635" spans="2:53" ht="14.25" customHeight="1" x14ac:dyDescent="0.2">
      <c r="B1635" s="4">
        <v>12</v>
      </c>
      <c r="C1635" s="4" t="s">
        <v>1711</v>
      </c>
      <c r="D1635" s="188">
        <v>375</v>
      </c>
      <c r="E1635" s="4">
        <v>1918</v>
      </c>
      <c r="F1635" s="211" t="s">
        <v>2786</v>
      </c>
      <c r="G1635" s="4" t="s">
        <v>2787</v>
      </c>
      <c r="H1635" s="4" t="s">
        <v>2788</v>
      </c>
      <c r="I1635" s="4" t="s">
        <v>641</v>
      </c>
      <c r="J1635" s="4" t="s">
        <v>1715</v>
      </c>
      <c r="K1635" s="4">
        <v>1</v>
      </c>
      <c r="L1635" s="4">
        <v>2321</v>
      </c>
      <c r="M1635" s="6"/>
      <c r="N1635" s="9"/>
      <c r="P1635" s="9"/>
      <c r="R1635" s="9"/>
      <c r="U1635"/>
      <c r="AK1635" s="260"/>
      <c r="AO1635" s="4" t="s">
        <v>2786</v>
      </c>
      <c r="AP1635" s="4">
        <v>375</v>
      </c>
      <c r="AQ1635" s="4" t="s">
        <v>1716</v>
      </c>
      <c r="AR1635" s="4" t="s">
        <v>1717</v>
      </c>
      <c r="AS1635" s="4" t="s">
        <v>1718</v>
      </c>
      <c r="AT1635" s="4" t="s">
        <v>1719</v>
      </c>
      <c r="AU1635" s="4" t="s">
        <v>1959</v>
      </c>
      <c r="AV1635" s="4" t="s">
        <v>1720</v>
      </c>
      <c r="AW1635" s="4" t="s">
        <v>2698</v>
      </c>
      <c r="AX1635" s="4" t="s">
        <v>2699</v>
      </c>
      <c r="AY1635" s="4">
        <v>51.431199999999997</v>
      </c>
      <c r="AZ1635" s="4">
        <v>-117.16379999999999</v>
      </c>
      <c r="BA1635" s="4">
        <v>1300</v>
      </c>
    </row>
    <row r="1636" spans="2:53" ht="14.25" customHeight="1" x14ac:dyDescent="0.2">
      <c r="B1636" s="4">
        <v>12</v>
      </c>
      <c r="C1636" s="4" t="s">
        <v>1711</v>
      </c>
      <c r="D1636" s="188">
        <v>376</v>
      </c>
      <c r="E1636" s="4">
        <v>1919</v>
      </c>
      <c r="F1636" s="4" t="s">
        <v>2789</v>
      </c>
      <c r="G1636" s="4" t="s">
        <v>2790</v>
      </c>
      <c r="H1636" s="4" t="s">
        <v>2791</v>
      </c>
      <c r="I1636" s="4" t="s">
        <v>641</v>
      </c>
      <c r="J1636" s="4" t="s">
        <v>1736</v>
      </c>
      <c r="K1636" s="4">
        <v>1</v>
      </c>
      <c r="L1636" s="4">
        <v>2322</v>
      </c>
      <c r="M1636" s="6">
        <v>51.751330000000003</v>
      </c>
      <c r="N1636" s="9">
        <v>-117.76133</v>
      </c>
      <c r="O1636" s="9" t="s">
        <v>170</v>
      </c>
      <c r="P1636" s="9">
        <v>376</v>
      </c>
      <c r="Q1636" s="20">
        <v>8</v>
      </c>
      <c r="R1636" s="9" t="s">
        <v>2792</v>
      </c>
      <c r="S1636" s="9" t="s">
        <v>1737</v>
      </c>
      <c r="T1636" s="9">
        <v>2438</v>
      </c>
      <c r="U1636" s="9"/>
      <c r="V1636" s="9"/>
      <c r="W1636" s="21">
        <v>35796</v>
      </c>
      <c r="X1636" s="9" t="s">
        <v>1738</v>
      </c>
      <c r="AA1636" s="9"/>
      <c r="AC1636" s="9"/>
      <c r="AK1636" s="260"/>
      <c r="AO1636" s="208" t="s">
        <v>2793</v>
      </c>
      <c r="AP1636" s="4">
        <v>376</v>
      </c>
      <c r="AQ1636" s="4" t="s">
        <v>1700</v>
      </c>
      <c r="AR1636" s="4" t="s">
        <v>1701</v>
      </c>
      <c r="AS1636" s="4" t="s">
        <v>1740</v>
      </c>
      <c r="AT1636" s="4" t="s">
        <v>1835</v>
      </c>
      <c r="AU1636" s="4" t="s">
        <v>2489</v>
      </c>
      <c r="AV1636" s="4" t="s">
        <v>1720</v>
      </c>
      <c r="AW1636" s="4" t="s">
        <v>2698</v>
      </c>
      <c r="AX1636" s="4" t="s">
        <v>2699</v>
      </c>
      <c r="AY1636" s="4">
        <v>51.751300000000001</v>
      </c>
      <c r="AZ1636" s="4">
        <v>-117.76130000000001</v>
      </c>
      <c r="BA1636" s="4">
        <v>2438</v>
      </c>
    </row>
    <row r="1637" spans="2:53" ht="14.25" customHeight="1" x14ac:dyDescent="0.2">
      <c r="B1637" s="4">
        <v>12</v>
      </c>
      <c r="C1637" s="4" t="s">
        <v>1711</v>
      </c>
      <c r="D1637" s="188">
        <v>377</v>
      </c>
      <c r="E1637" s="4">
        <v>1920</v>
      </c>
      <c r="F1637" s="211" t="s">
        <v>2794</v>
      </c>
      <c r="G1637" s="4" t="s">
        <v>2795</v>
      </c>
      <c r="H1637" s="4" t="s">
        <v>2796</v>
      </c>
      <c r="I1637" s="4" t="s">
        <v>641</v>
      </c>
      <c r="J1637" s="4" t="s">
        <v>1715</v>
      </c>
      <c r="K1637" s="4">
        <v>1</v>
      </c>
      <c r="L1637" s="4">
        <v>2323</v>
      </c>
      <c r="M1637" s="6"/>
      <c r="N1637" s="9"/>
      <c r="P1637" s="9"/>
      <c r="R1637" s="9"/>
      <c r="U1637"/>
      <c r="AK1637" s="260"/>
      <c r="AO1637" s="4" t="s">
        <v>2794</v>
      </c>
      <c r="AP1637" s="4">
        <v>377</v>
      </c>
      <c r="AQ1637" s="4" t="s">
        <v>1716</v>
      </c>
      <c r="AR1637" s="4" t="s">
        <v>1717</v>
      </c>
      <c r="AS1637" s="4" t="s">
        <v>1718</v>
      </c>
      <c r="AT1637" s="4" t="s">
        <v>1703</v>
      </c>
      <c r="AU1637" s="4" t="s">
        <v>1703</v>
      </c>
      <c r="AV1637" s="4" t="s">
        <v>1720</v>
      </c>
      <c r="AW1637" s="4" t="s">
        <v>2698</v>
      </c>
      <c r="AX1637" s="4" t="s">
        <v>2797</v>
      </c>
      <c r="AY1637" s="4">
        <v>50.252499999999998</v>
      </c>
      <c r="AZ1637" s="4">
        <v>-117.77630000000001</v>
      </c>
      <c r="BA1637" s="4">
        <v>651</v>
      </c>
    </row>
    <row r="1638" spans="2:53" ht="14.25" customHeight="1" x14ac:dyDescent="0.2">
      <c r="B1638" s="4">
        <v>12</v>
      </c>
      <c r="C1638" s="4" t="s">
        <v>1711</v>
      </c>
      <c r="D1638" s="188">
        <v>378</v>
      </c>
      <c r="E1638" s="4">
        <v>1921</v>
      </c>
      <c r="F1638" s="211" t="s">
        <v>2798</v>
      </c>
      <c r="G1638" s="188" t="s">
        <v>2799</v>
      </c>
      <c r="H1638" s="4" t="s">
        <v>2800</v>
      </c>
      <c r="I1638" s="4" t="s">
        <v>641</v>
      </c>
      <c r="J1638" s="4" t="s">
        <v>1715</v>
      </c>
      <c r="K1638" s="4">
        <v>1</v>
      </c>
      <c r="L1638" s="4">
        <v>2324</v>
      </c>
      <c r="M1638" s="6"/>
      <c r="N1638" s="9"/>
      <c r="P1638" s="9"/>
      <c r="R1638" s="9"/>
      <c r="U1638"/>
      <c r="AA1638" s="9"/>
      <c r="AC1638" s="9"/>
      <c r="AK1638" s="260"/>
      <c r="AO1638" s="4" t="s">
        <v>2798</v>
      </c>
      <c r="AP1638" s="4">
        <v>378</v>
      </c>
      <c r="AQ1638" s="4" t="s">
        <v>1716</v>
      </c>
      <c r="AR1638" s="4" t="s">
        <v>1717</v>
      </c>
      <c r="AS1638" s="4" t="s">
        <v>1718</v>
      </c>
      <c r="AT1638" s="4" t="s">
        <v>1703</v>
      </c>
      <c r="AU1638" s="4" t="s">
        <v>1703</v>
      </c>
      <c r="AV1638" s="4" t="s">
        <v>1720</v>
      </c>
      <c r="AW1638" s="4" t="s">
        <v>2698</v>
      </c>
      <c r="AX1638" s="4" t="s">
        <v>2801</v>
      </c>
      <c r="AY1638" s="4">
        <v>49.747</v>
      </c>
      <c r="AZ1638" s="4">
        <v>-116.851</v>
      </c>
      <c r="BA1638" s="4">
        <v>701</v>
      </c>
    </row>
    <row r="1639" spans="2:53" ht="14.25" customHeight="1" x14ac:dyDescent="0.2">
      <c r="B1639" s="4">
        <v>12</v>
      </c>
      <c r="C1639" s="4" t="s">
        <v>1711</v>
      </c>
      <c r="D1639" s="188">
        <v>379</v>
      </c>
      <c r="E1639" s="4">
        <v>1922</v>
      </c>
      <c r="F1639" s="188" t="s">
        <v>2802</v>
      </c>
      <c r="G1639" s="4" t="s">
        <v>2803</v>
      </c>
      <c r="H1639" s="4" t="s">
        <v>2804</v>
      </c>
      <c r="I1639" s="4" t="s">
        <v>641</v>
      </c>
      <c r="J1639" s="4" t="s">
        <v>1865</v>
      </c>
      <c r="K1639" s="4">
        <v>1</v>
      </c>
      <c r="L1639" s="4">
        <v>2325</v>
      </c>
      <c r="M1639" s="6">
        <v>50.365830000000003</v>
      </c>
      <c r="N1639" s="9">
        <v>-117.0645</v>
      </c>
      <c r="O1639" s="9" t="s">
        <v>170</v>
      </c>
      <c r="P1639" s="9">
        <v>379</v>
      </c>
      <c r="Q1639" s="20">
        <v>1</v>
      </c>
      <c r="R1639" s="9" t="s">
        <v>2802</v>
      </c>
      <c r="S1639" s="9" t="s">
        <v>1737</v>
      </c>
      <c r="T1639" s="9">
        <v>800</v>
      </c>
      <c r="U1639" s="9"/>
      <c r="V1639" s="9"/>
      <c r="W1639" s="21">
        <v>28856</v>
      </c>
      <c r="X1639" s="9" t="s">
        <v>1738</v>
      </c>
      <c r="AK1639" s="260"/>
      <c r="AO1639" s="208" t="s">
        <v>2802</v>
      </c>
      <c r="AP1639" s="4">
        <v>379</v>
      </c>
      <c r="AQ1639" s="4" t="s">
        <v>1716</v>
      </c>
      <c r="AR1639" s="4" t="s">
        <v>1739</v>
      </c>
      <c r="AS1639" s="4" t="s">
        <v>1740</v>
      </c>
      <c r="AT1639" s="4" t="s">
        <v>1741</v>
      </c>
      <c r="AU1639" s="4" t="s">
        <v>1742</v>
      </c>
      <c r="AV1639" s="4" t="s">
        <v>1720</v>
      </c>
      <c r="AW1639" s="4" t="s">
        <v>2698</v>
      </c>
      <c r="AX1639" s="4" t="s">
        <v>2801</v>
      </c>
      <c r="AY1639" s="4">
        <v>50.3658</v>
      </c>
      <c r="AZ1639" s="4">
        <v>-117.0645</v>
      </c>
      <c r="BA1639" s="4">
        <v>800</v>
      </c>
    </row>
    <row r="1640" spans="2:53" ht="14.25" customHeight="1" x14ac:dyDescent="0.2">
      <c r="B1640" s="4">
        <v>12</v>
      </c>
      <c r="C1640" s="4" t="s">
        <v>1711</v>
      </c>
      <c r="D1640" s="188">
        <v>380</v>
      </c>
      <c r="E1640" s="4">
        <v>1923</v>
      </c>
      <c r="F1640" s="4" t="s">
        <v>2805</v>
      </c>
      <c r="G1640" s="4" t="s">
        <v>2806</v>
      </c>
      <c r="H1640" s="4" t="s">
        <v>2807</v>
      </c>
      <c r="I1640" s="4" t="s">
        <v>641</v>
      </c>
      <c r="J1640" s="4" t="s">
        <v>1891</v>
      </c>
      <c r="K1640" s="4">
        <v>1</v>
      </c>
      <c r="L1640" s="4">
        <v>2326</v>
      </c>
      <c r="M1640" s="6">
        <v>49.906500000000001</v>
      </c>
      <c r="N1640" s="9">
        <v>-116.85509999999999</v>
      </c>
      <c r="O1640" s="9" t="s">
        <v>170</v>
      </c>
      <c r="P1640" s="9">
        <v>380</v>
      </c>
      <c r="Q1640" s="20">
        <v>2</v>
      </c>
      <c r="R1640" s="9" t="s">
        <v>2805</v>
      </c>
      <c r="S1640" s="9" t="s">
        <v>1737</v>
      </c>
      <c r="T1640" s="9">
        <v>1019</v>
      </c>
      <c r="U1640" s="9"/>
      <c r="V1640" s="9"/>
      <c r="W1640" s="21">
        <v>36892</v>
      </c>
      <c r="X1640" s="9" t="s">
        <v>1738</v>
      </c>
      <c r="AK1640" s="260"/>
      <c r="AO1640" s="4" t="s">
        <v>2805</v>
      </c>
      <c r="AP1640" s="4">
        <v>380</v>
      </c>
      <c r="AQ1640" s="4" t="s">
        <v>1700</v>
      </c>
      <c r="AR1640" s="4" t="s">
        <v>1739</v>
      </c>
      <c r="AS1640" s="4" t="s">
        <v>1740</v>
      </c>
      <c r="AT1640" s="4" t="s">
        <v>1741</v>
      </c>
      <c r="AU1640" s="4" t="s">
        <v>1959</v>
      </c>
      <c r="AV1640" s="4" t="s">
        <v>1720</v>
      </c>
      <c r="AW1640" s="4" t="s">
        <v>2698</v>
      </c>
      <c r="AX1640" s="4" t="s">
        <v>2801</v>
      </c>
      <c r="AY1640" s="4">
        <v>49.906500000000001</v>
      </c>
      <c r="AZ1640" s="4">
        <v>-116.85509999999999</v>
      </c>
      <c r="BA1640" s="4">
        <v>1019</v>
      </c>
    </row>
    <row r="1641" spans="2:53" ht="14.25" customHeight="1" x14ac:dyDescent="0.2">
      <c r="B1641" s="4">
        <v>12</v>
      </c>
      <c r="C1641" s="4" t="s">
        <v>1711</v>
      </c>
      <c r="D1641" s="188">
        <v>381</v>
      </c>
      <c r="E1641" s="4">
        <v>1924</v>
      </c>
      <c r="F1641" s="211" t="s">
        <v>2808</v>
      </c>
      <c r="G1641" s="4" t="s">
        <v>2809</v>
      </c>
      <c r="H1641" s="4" t="s">
        <v>2810</v>
      </c>
      <c r="I1641" s="4" t="s">
        <v>1664</v>
      </c>
      <c r="J1641" s="4" t="s">
        <v>1715</v>
      </c>
      <c r="K1641" s="4">
        <v>1</v>
      </c>
      <c r="L1641" s="4">
        <v>2327</v>
      </c>
      <c r="M1641" s="6"/>
      <c r="N1641" s="9"/>
      <c r="P1641" s="9"/>
      <c r="R1641" s="9"/>
      <c r="U1641"/>
      <c r="AK1641" s="260"/>
      <c r="AO1641" s="208" t="s">
        <v>2808</v>
      </c>
      <c r="AP1641" s="4">
        <v>381</v>
      </c>
      <c r="AQ1641" s="4" t="s">
        <v>1716</v>
      </c>
      <c r="AR1641" s="4" t="s">
        <v>1717</v>
      </c>
      <c r="AS1641" s="4" t="s">
        <v>1718</v>
      </c>
      <c r="AT1641" s="4" t="s">
        <v>1719</v>
      </c>
      <c r="AU1641" s="4" t="s">
        <v>1703</v>
      </c>
      <c r="AV1641" s="4" t="s">
        <v>1720</v>
      </c>
      <c r="AW1641" s="4" t="s">
        <v>2698</v>
      </c>
      <c r="AX1641" s="4" t="s">
        <v>2797</v>
      </c>
      <c r="AY1641" s="4">
        <v>50.3</v>
      </c>
      <c r="AZ1641" s="4">
        <v>-117.9</v>
      </c>
      <c r="BA1641" s="4">
        <v>0</v>
      </c>
    </row>
    <row r="1642" spans="2:53" ht="14.25" customHeight="1" x14ac:dyDescent="0.2">
      <c r="B1642" s="4">
        <v>12</v>
      </c>
      <c r="C1642" s="4" t="s">
        <v>1711</v>
      </c>
      <c r="D1642" s="188">
        <v>382</v>
      </c>
      <c r="E1642" s="4">
        <v>1925</v>
      </c>
      <c r="F1642" s="211" t="s">
        <v>2811</v>
      </c>
      <c r="G1642" s="4" t="s">
        <v>2812</v>
      </c>
      <c r="H1642" s="4" t="s">
        <v>2813</v>
      </c>
      <c r="I1642" s="4" t="s">
        <v>1664</v>
      </c>
      <c r="J1642" s="4" t="s">
        <v>1715</v>
      </c>
      <c r="K1642" s="4">
        <v>1</v>
      </c>
      <c r="L1642" s="4">
        <v>2328</v>
      </c>
      <c r="M1642" s="6"/>
      <c r="N1642" s="9"/>
      <c r="P1642" s="9"/>
      <c r="R1642" s="9"/>
      <c r="U1642"/>
      <c r="AK1642" s="260"/>
      <c r="AO1642" s="4" t="s">
        <v>2811</v>
      </c>
      <c r="AP1642" s="4">
        <v>382</v>
      </c>
      <c r="AQ1642" s="4" t="s">
        <v>1716</v>
      </c>
      <c r="AR1642" s="4" t="s">
        <v>1717</v>
      </c>
      <c r="AS1642" s="4" t="s">
        <v>1718</v>
      </c>
      <c r="AT1642" s="4" t="s">
        <v>1703</v>
      </c>
      <c r="AU1642" s="4" t="s">
        <v>1703</v>
      </c>
      <c r="AV1642" s="4" t="s">
        <v>1720</v>
      </c>
      <c r="AW1642" s="4" t="s">
        <v>2698</v>
      </c>
      <c r="AY1642" s="4">
        <v>49</v>
      </c>
      <c r="AZ1642" s="4">
        <v>-116.5</v>
      </c>
      <c r="BA1642" s="4">
        <v>0</v>
      </c>
    </row>
    <row r="1643" spans="2:53" ht="14.25" customHeight="1" x14ac:dyDescent="0.2">
      <c r="B1643" s="4">
        <v>12</v>
      </c>
      <c r="C1643" s="4" t="s">
        <v>1711</v>
      </c>
      <c r="D1643" s="188">
        <v>385</v>
      </c>
      <c r="E1643" s="4">
        <v>1928</v>
      </c>
      <c r="F1643" s="4" t="s">
        <v>2822</v>
      </c>
      <c r="G1643" s="4" t="s">
        <v>2823</v>
      </c>
      <c r="H1643" s="4" t="s">
        <v>2804</v>
      </c>
      <c r="I1643" s="4" t="s">
        <v>641</v>
      </c>
      <c r="J1643" s="4" t="s">
        <v>1865</v>
      </c>
      <c r="K1643" s="4">
        <v>1</v>
      </c>
      <c r="L1643" s="4">
        <v>2331</v>
      </c>
      <c r="M1643" s="6">
        <v>50.780830000000002</v>
      </c>
      <c r="N1643" s="9">
        <v>-117.18049999999999</v>
      </c>
      <c r="O1643" s="9" t="s">
        <v>170</v>
      </c>
      <c r="P1643" s="9">
        <v>385</v>
      </c>
      <c r="Q1643" s="20">
        <v>4</v>
      </c>
      <c r="R1643" s="9" t="s">
        <v>2822</v>
      </c>
      <c r="S1643" s="9" t="s">
        <v>1737</v>
      </c>
      <c r="T1643" s="9">
        <v>1376</v>
      </c>
      <c r="U1643" s="9"/>
      <c r="V1643" s="9"/>
      <c r="W1643" s="21">
        <v>29587</v>
      </c>
      <c r="X1643" s="9" t="s">
        <v>1738</v>
      </c>
      <c r="AK1643" s="260"/>
      <c r="AO1643" s="4" t="s">
        <v>2822</v>
      </c>
      <c r="AP1643" s="4">
        <v>385</v>
      </c>
      <c r="AQ1643" s="4" t="s">
        <v>1716</v>
      </c>
      <c r="AR1643" s="4" t="s">
        <v>1739</v>
      </c>
      <c r="AS1643" s="4" t="s">
        <v>1740</v>
      </c>
      <c r="AT1643" s="4" t="s">
        <v>1741</v>
      </c>
      <c r="AU1643" s="4" t="s">
        <v>1742</v>
      </c>
      <c r="AV1643" s="4" t="s">
        <v>1720</v>
      </c>
      <c r="AW1643" s="4" t="s">
        <v>2698</v>
      </c>
      <c r="AX1643" s="4" t="s">
        <v>2801</v>
      </c>
      <c r="AY1643" s="4">
        <v>50.780799999999999</v>
      </c>
      <c r="AZ1643" s="4">
        <v>-117.18049999999999</v>
      </c>
      <c r="BA1643" s="4">
        <v>1376</v>
      </c>
    </row>
    <row r="1644" spans="2:53" ht="14.25" customHeight="1" x14ac:dyDescent="0.2">
      <c r="B1644" s="4">
        <v>12</v>
      </c>
      <c r="C1644" s="4" t="s">
        <v>1711</v>
      </c>
      <c r="D1644" s="188">
        <v>386</v>
      </c>
      <c r="E1644" s="4">
        <v>1929</v>
      </c>
      <c r="F1644" s="211" t="s">
        <v>2824</v>
      </c>
      <c r="G1644" s="4" t="s">
        <v>2825</v>
      </c>
      <c r="H1644" s="4" t="s">
        <v>2826</v>
      </c>
      <c r="I1644" s="4" t="s">
        <v>1664</v>
      </c>
      <c r="J1644" s="4" t="s">
        <v>1715</v>
      </c>
      <c r="K1644" s="4">
        <v>1</v>
      </c>
      <c r="L1644" s="4">
        <v>2332</v>
      </c>
      <c r="M1644" s="6"/>
      <c r="N1644" s="9"/>
      <c r="P1644" s="9"/>
      <c r="R1644" s="9"/>
      <c r="U1644"/>
      <c r="AK1644" s="260"/>
      <c r="AO1644" s="4" t="s">
        <v>2824</v>
      </c>
      <c r="AP1644" s="4">
        <v>386</v>
      </c>
      <c r="AQ1644" s="4" t="s">
        <v>1716</v>
      </c>
      <c r="AR1644" s="4" t="s">
        <v>1717</v>
      </c>
      <c r="AS1644" s="4" t="s">
        <v>1718</v>
      </c>
      <c r="AT1644" s="4" t="s">
        <v>1719</v>
      </c>
      <c r="AU1644" s="4" t="s">
        <v>1703</v>
      </c>
      <c r="AV1644" s="4" t="s">
        <v>1720</v>
      </c>
      <c r="AW1644" s="4" t="s">
        <v>2368</v>
      </c>
      <c r="AX1644" s="4" t="s">
        <v>2827</v>
      </c>
      <c r="AY1644" s="4">
        <v>49.8</v>
      </c>
      <c r="AZ1644" s="4">
        <v>-118.5</v>
      </c>
      <c r="BA1644" s="4">
        <v>12</v>
      </c>
    </row>
    <row r="1645" spans="2:53" ht="14.25" customHeight="1" x14ac:dyDescent="0.2">
      <c r="B1645" s="4">
        <v>12</v>
      </c>
      <c r="C1645" s="4" t="s">
        <v>1711</v>
      </c>
      <c r="D1645" s="188">
        <v>389</v>
      </c>
      <c r="E1645" s="4">
        <v>1932</v>
      </c>
      <c r="F1645" s="211" t="s">
        <v>2834</v>
      </c>
      <c r="G1645" s="4" t="s">
        <v>2835</v>
      </c>
      <c r="H1645" s="4" t="s">
        <v>2836</v>
      </c>
      <c r="I1645" s="4" t="s">
        <v>641</v>
      </c>
      <c r="J1645" s="4" t="s">
        <v>1715</v>
      </c>
      <c r="K1645" s="4">
        <v>1</v>
      </c>
      <c r="L1645" s="4">
        <v>2335</v>
      </c>
      <c r="M1645" s="6"/>
      <c r="U1645"/>
      <c r="AK1645" s="260"/>
      <c r="AO1645" s="4" t="s">
        <v>2834</v>
      </c>
      <c r="AP1645" s="4">
        <v>389</v>
      </c>
      <c r="AQ1645" s="4" t="s">
        <v>1716</v>
      </c>
      <c r="AR1645" s="4" t="s">
        <v>1717</v>
      </c>
      <c r="AS1645" s="4" t="s">
        <v>1718</v>
      </c>
      <c r="AT1645" s="4" t="s">
        <v>1703</v>
      </c>
      <c r="AU1645" s="4" t="s">
        <v>1703</v>
      </c>
      <c r="AV1645" s="4" t="s">
        <v>1720</v>
      </c>
      <c r="AW1645" s="4" t="s">
        <v>2698</v>
      </c>
      <c r="AX1645" s="4" t="s">
        <v>2801</v>
      </c>
      <c r="AY1645" s="4">
        <v>50.253300000000003</v>
      </c>
      <c r="AZ1645" s="4">
        <v>-116.8967</v>
      </c>
      <c r="BA1645" s="4">
        <v>2259</v>
      </c>
    </row>
    <row r="1646" spans="2:53" ht="14.25" customHeight="1" x14ac:dyDescent="0.2">
      <c r="B1646" s="4">
        <v>12</v>
      </c>
      <c r="C1646" s="4" t="s">
        <v>1711</v>
      </c>
      <c r="D1646" s="188">
        <v>392</v>
      </c>
      <c r="E1646" s="4">
        <v>1935</v>
      </c>
      <c r="F1646" s="4" t="s">
        <v>2844</v>
      </c>
      <c r="G1646" s="4" t="s">
        <v>2845</v>
      </c>
      <c r="H1646" s="4" t="s">
        <v>2846</v>
      </c>
      <c r="I1646" s="4" t="s">
        <v>641</v>
      </c>
      <c r="J1646" s="4" t="s">
        <v>1736</v>
      </c>
      <c r="K1646" s="4">
        <v>1</v>
      </c>
      <c r="L1646" s="4">
        <v>2338</v>
      </c>
      <c r="M1646" s="6">
        <v>49.030700000000003</v>
      </c>
      <c r="N1646" s="9">
        <v>-118.4156</v>
      </c>
      <c r="O1646" s="9" t="s">
        <v>142</v>
      </c>
      <c r="P1646" s="9">
        <v>392</v>
      </c>
      <c r="Q1646" s="20">
        <v>1</v>
      </c>
      <c r="R1646" s="9" t="s">
        <v>2844</v>
      </c>
      <c r="S1646" s="9" t="s">
        <v>1737</v>
      </c>
      <c r="T1646" s="9">
        <v>630</v>
      </c>
      <c r="U1646" s="9"/>
      <c r="V1646" s="9"/>
      <c r="W1646" s="21">
        <v>29587</v>
      </c>
      <c r="X1646" s="9" t="s">
        <v>1738</v>
      </c>
      <c r="AK1646" s="260"/>
      <c r="AO1646" s="4" t="s">
        <v>2844</v>
      </c>
      <c r="AP1646" s="4">
        <v>392</v>
      </c>
      <c r="AQ1646" s="4" t="s">
        <v>1700</v>
      </c>
      <c r="AR1646" s="4" t="s">
        <v>1739</v>
      </c>
      <c r="AS1646" s="4" t="s">
        <v>1740</v>
      </c>
      <c r="AT1646" s="4" t="s">
        <v>1741</v>
      </c>
      <c r="AU1646" s="4" t="s">
        <v>1772</v>
      </c>
      <c r="AV1646" s="4" t="s">
        <v>1720</v>
      </c>
      <c r="AW1646" s="4" t="s">
        <v>2698</v>
      </c>
      <c r="AX1646" s="4" t="s">
        <v>2827</v>
      </c>
      <c r="AY1646" s="4">
        <v>49.030700000000003</v>
      </c>
      <c r="AZ1646" s="4">
        <v>-118.4156</v>
      </c>
      <c r="BA1646" s="4">
        <v>630</v>
      </c>
    </row>
    <row r="1647" spans="2:53" ht="14.25" customHeight="1" x14ac:dyDescent="0.2">
      <c r="B1647" s="4">
        <v>12</v>
      </c>
      <c r="C1647" s="188" t="s">
        <v>1711</v>
      </c>
      <c r="D1647" s="188">
        <v>393</v>
      </c>
      <c r="E1647" s="4">
        <v>1936</v>
      </c>
      <c r="F1647" s="4" t="s">
        <v>2847</v>
      </c>
      <c r="G1647" s="4" t="s">
        <v>2848</v>
      </c>
      <c r="H1647" s="4" t="s">
        <v>2849</v>
      </c>
      <c r="I1647" s="4" t="s">
        <v>641</v>
      </c>
      <c r="J1647" s="4" t="s">
        <v>1865</v>
      </c>
      <c r="K1647" s="4">
        <v>1</v>
      </c>
      <c r="L1647" s="4">
        <v>2339</v>
      </c>
      <c r="M1647" s="6">
        <v>49.526670000000003</v>
      </c>
      <c r="N1647" s="9">
        <v>-118.36033</v>
      </c>
      <c r="O1647" s="9" t="s">
        <v>170</v>
      </c>
      <c r="P1647" s="9">
        <v>393</v>
      </c>
      <c r="Q1647" s="20">
        <v>1</v>
      </c>
      <c r="R1647" s="9" t="s">
        <v>2847</v>
      </c>
      <c r="S1647" s="9" t="s">
        <v>1737</v>
      </c>
      <c r="T1647" s="9">
        <v>866</v>
      </c>
      <c r="U1647" s="9"/>
      <c r="V1647" s="9"/>
      <c r="W1647" s="21">
        <v>29587</v>
      </c>
      <c r="X1647" s="9" t="s">
        <v>1738</v>
      </c>
      <c r="AK1647" s="260"/>
      <c r="AO1647" s="4" t="s">
        <v>2847</v>
      </c>
      <c r="AP1647" s="4">
        <v>393</v>
      </c>
      <c r="AQ1647" s="4" t="s">
        <v>1716</v>
      </c>
      <c r="AR1647" s="4" t="s">
        <v>1739</v>
      </c>
      <c r="AS1647" s="4" t="s">
        <v>1740</v>
      </c>
      <c r="AT1647" s="4" t="s">
        <v>1741</v>
      </c>
      <c r="AU1647" s="4" t="s">
        <v>1742</v>
      </c>
      <c r="AV1647" s="4" t="s">
        <v>1720</v>
      </c>
      <c r="AW1647" s="4" t="s">
        <v>2698</v>
      </c>
      <c r="AX1647" s="4" t="s">
        <v>2827</v>
      </c>
      <c r="AY1647" s="4">
        <v>49.526699999999998</v>
      </c>
      <c r="AZ1647" s="4">
        <v>-118.3603</v>
      </c>
      <c r="BA1647" s="4">
        <v>866</v>
      </c>
    </row>
    <row r="1648" spans="2:53" ht="14.25" customHeight="1" x14ac:dyDescent="0.2">
      <c r="B1648" s="4">
        <v>12</v>
      </c>
      <c r="C1648" s="4" t="s">
        <v>1711</v>
      </c>
      <c r="D1648" s="188">
        <v>394</v>
      </c>
      <c r="E1648" s="4">
        <v>1937</v>
      </c>
      <c r="F1648" s="4" t="s">
        <v>2850</v>
      </c>
      <c r="G1648" s="4" t="s">
        <v>2851</v>
      </c>
      <c r="H1648" s="4" t="s">
        <v>2852</v>
      </c>
      <c r="I1648" s="4" t="s">
        <v>641</v>
      </c>
      <c r="J1648" s="4" t="s">
        <v>1736</v>
      </c>
      <c r="K1648" s="4">
        <v>1</v>
      </c>
      <c r="L1648" s="4">
        <v>2340</v>
      </c>
      <c r="M1648" s="6">
        <v>49.052</v>
      </c>
      <c r="N1648" s="4">
        <v>-118.93667000000001</v>
      </c>
      <c r="O1648" s="4" t="s">
        <v>142</v>
      </c>
      <c r="P1648" s="4">
        <v>394</v>
      </c>
      <c r="Q1648" s="4">
        <v>1</v>
      </c>
      <c r="R1648" s="4" t="s">
        <v>2850</v>
      </c>
      <c r="S1648" s="4" t="s">
        <v>1737</v>
      </c>
      <c r="T1648" s="4">
        <v>609</v>
      </c>
      <c r="U1648" s="4" t="s">
        <v>645</v>
      </c>
      <c r="W1648" s="4">
        <v>32874</v>
      </c>
      <c r="X1648" s="4" t="s">
        <v>1738</v>
      </c>
      <c r="AK1648" s="260"/>
      <c r="AO1648" s="208" t="s">
        <v>2850</v>
      </c>
      <c r="AP1648" s="4">
        <v>394</v>
      </c>
      <c r="AQ1648" s="4" t="s">
        <v>1700</v>
      </c>
      <c r="AR1648" s="4" t="s">
        <v>1739</v>
      </c>
      <c r="AS1648" s="4" t="s">
        <v>1740</v>
      </c>
      <c r="AT1648" s="4" t="s">
        <v>1741</v>
      </c>
      <c r="AU1648" s="4" t="s">
        <v>1772</v>
      </c>
      <c r="AV1648" s="4" t="s">
        <v>1720</v>
      </c>
      <c r="AW1648" s="4" t="s">
        <v>2698</v>
      </c>
      <c r="AX1648" s="4" t="s">
        <v>2827</v>
      </c>
      <c r="AY1648" s="4">
        <v>49.052</v>
      </c>
      <c r="AZ1648" s="4">
        <v>-118.9367</v>
      </c>
      <c r="BA1648" s="4">
        <v>609</v>
      </c>
    </row>
    <row r="1649" spans="1:53" ht="14.25" customHeight="1" x14ac:dyDescent="0.2">
      <c r="B1649" s="4">
        <v>12</v>
      </c>
      <c r="C1649" s="4" t="s">
        <v>1711</v>
      </c>
      <c r="D1649" s="188">
        <v>396</v>
      </c>
      <c r="E1649" s="4">
        <v>1938</v>
      </c>
      <c r="F1649" s="4" t="s">
        <v>2855</v>
      </c>
      <c r="G1649" s="4" t="s">
        <v>2856</v>
      </c>
      <c r="H1649" s="4" t="s">
        <v>2857</v>
      </c>
      <c r="I1649" s="4" t="s">
        <v>641</v>
      </c>
      <c r="J1649" s="4" t="s">
        <v>1865</v>
      </c>
      <c r="K1649" s="4">
        <v>1</v>
      </c>
      <c r="L1649" s="4">
        <v>2341</v>
      </c>
      <c r="M1649" s="6">
        <v>49.698999999999998</v>
      </c>
      <c r="N1649" s="4">
        <v>-118.081</v>
      </c>
      <c r="O1649" s="4" t="s">
        <v>170</v>
      </c>
      <c r="P1649" s="4">
        <v>396</v>
      </c>
      <c r="Q1649" s="4">
        <v>4</v>
      </c>
      <c r="R1649" s="4" t="s">
        <v>2855</v>
      </c>
      <c r="S1649" s="4" t="s">
        <v>1737</v>
      </c>
      <c r="T1649" s="4">
        <v>1432</v>
      </c>
      <c r="U1649"/>
      <c r="W1649" s="4">
        <v>36526</v>
      </c>
      <c r="X1649" s="4" t="s">
        <v>1738</v>
      </c>
      <c r="AK1649" s="260"/>
      <c r="AO1649" s="4" t="s">
        <v>2855</v>
      </c>
      <c r="AP1649" s="4">
        <v>396</v>
      </c>
      <c r="AQ1649" s="4" t="s">
        <v>1716</v>
      </c>
      <c r="AR1649" s="4" t="s">
        <v>1739</v>
      </c>
      <c r="AS1649" s="4" t="s">
        <v>1740</v>
      </c>
      <c r="AT1649" s="4" t="s">
        <v>1741</v>
      </c>
      <c r="AU1649" s="4" t="s">
        <v>1742</v>
      </c>
      <c r="AV1649" s="4" t="s">
        <v>1720</v>
      </c>
      <c r="AW1649" s="4" t="s">
        <v>2698</v>
      </c>
      <c r="AX1649" s="4" t="s">
        <v>2797</v>
      </c>
      <c r="AY1649" s="4">
        <v>49.698999999999998</v>
      </c>
      <c r="AZ1649" s="4">
        <v>-118.081</v>
      </c>
      <c r="BA1649" s="4">
        <v>1432</v>
      </c>
    </row>
    <row r="1650" spans="1:53" ht="14.25" customHeight="1" x14ac:dyDescent="0.2">
      <c r="B1650" s="4">
        <v>12</v>
      </c>
      <c r="C1650" s="4" t="s">
        <v>1711</v>
      </c>
      <c r="D1650" s="188">
        <v>397</v>
      </c>
      <c r="E1650" s="4">
        <v>1939</v>
      </c>
      <c r="F1650" s="211" t="s">
        <v>2858</v>
      </c>
      <c r="G1650" s="4" t="s">
        <v>2859</v>
      </c>
      <c r="H1650" s="4" t="s">
        <v>1900</v>
      </c>
      <c r="I1650" s="4" t="s">
        <v>1664</v>
      </c>
      <c r="J1650" s="4" t="s">
        <v>1715</v>
      </c>
      <c r="K1650" s="4">
        <v>1</v>
      </c>
      <c r="L1650" s="4">
        <v>2342</v>
      </c>
      <c r="M1650" s="6"/>
      <c r="U1650"/>
      <c r="AK1650" s="260"/>
      <c r="AO1650" s="208" t="s">
        <v>2858</v>
      </c>
      <c r="AP1650" s="4">
        <v>397</v>
      </c>
      <c r="AQ1650" s="4" t="s">
        <v>1716</v>
      </c>
      <c r="AR1650" s="4" t="s">
        <v>1717</v>
      </c>
      <c r="AS1650" s="4" t="s">
        <v>1718</v>
      </c>
      <c r="AT1650" s="4" t="s">
        <v>1719</v>
      </c>
      <c r="AU1650" s="4" t="s">
        <v>1703</v>
      </c>
      <c r="AV1650" s="4" t="s">
        <v>1720</v>
      </c>
      <c r="AW1650" s="4" t="s">
        <v>2698</v>
      </c>
      <c r="AY1650" s="4">
        <v>49</v>
      </c>
      <c r="AZ1650" s="4">
        <v>-117.3</v>
      </c>
      <c r="BA1650" s="4">
        <v>0</v>
      </c>
    </row>
    <row r="1651" spans="1:53" ht="14.25" customHeight="1" x14ac:dyDescent="0.2">
      <c r="B1651" s="4">
        <v>12</v>
      </c>
      <c r="C1651" s="4" t="s">
        <v>1711</v>
      </c>
      <c r="D1651" s="188">
        <v>399</v>
      </c>
      <c r="E1651" s="4">
        <v>1941</v>
      </c>
      <c r="F1651" s="211" t="s">
        <v>2864</v>
      </c>
      <c r="G1651" s="4" t="s">
        <v>2865</v>
      </c>
      <c r="H1651" s="4" t="s">
        <v>2866</v>
      </c>
      <c r="I1651" s="4" t="s">
        <v>1664</v>
      </c>
      <c r="J1651" s="4" t="s">
        <v>1746</v>
      </c>
      <c r="K1651" s="4">
        <v>1</v>
      </c>
      <c r="L1651" s="4">
        <v>2344</v>
      </c>
      <c r="M1651" s="6"/>
      <c r="U1651"/>
      <c r="AK1651" s="260"/>
      <c r="AO1651" s="4" t="s">
        <v>2864</v>
      </c>
      <c r="AP1651" s="4">
        <v>399</v>
      </c>
      <c r="AQ1651" s="4" t="s">
        <v>1716</v>
      </c>
      <c r="AR1651" s="4" t="s">
        <v>1717</v>
      </c>
      <c r="AS1651" s="4" t="s">
        <v>1718</v>
      </c>
      <c r="AT1651" s="4" t="s">
        <v>1719</v>
      </c>
      <c r="AU1651" s="4" t="s">
        <v>1703</v>
      </c>
      <c r="AV1651" s="4" t="s">
        <v>1720</v>
      </c>
      <c r="AW1651" s="4" t="s">
        <v>2698</v>
      </c>
      <c r="AX1651" s="4" t="s">
        <v>2801</v>
      </c>
      <c r="AY1651" s="4">
        <v>49.6</v>
      </c>
      <c r="AZ1651" s="4">
        <v>-117</v>
      </c>
      <c r="BA1651" s="4">
        <v>0</v>
      </c>
    </row>
    <row r="1652" spans="1:53" ht="14.25" customHeight="1" x14ac:dyDescent="0.2">
      <c r="B1652" s="4">
        <v>12</v>
      </c>
      <c r="C1652" s="4" t="s">
        <v>1711</v>
      </c>
      <c r="D1652" s="188">
        <v>400</v>
      </c>
      <c r="E1652" s="4">
        <v>1942</v>
      </c>
      <c r="F1652" s="211" t="s">
        <v>2867</v>
      </c>
      <c r="G1652" s="4" t="s">
        <v>2868</v>
      </c>
      <c r="H1652" s="4" t="s">
        <v>2869</v>
      </c>
      <c r="I1652" s="4" t="s">
        <v>1664</v>
      </c>
      <c r="J1652" s="4" t="s">
        <v>1715</v>
      </c>
      <c r="K1652" s="4">
        <v>1</v>
      </c>
      <c r="L1652" s="4">
        <v>2345</v>
      </c>
      <c r="M1652" s="6"/>
      <c r="U1652"/>
      <c r="AK1652" s="260"/>
      <c r="AO1652" s="208" t="s">
        <v>2867</v>
      </c>
      <c r="AP1652" s="4">
        <v>400</v>
      </c>
      <c r="AQ1652" s="4" t="s">
        <v>1716</v>
      </c>
      <c r="AR1652" s="4" t="s">
        <v>1717</v>
      </c>
      <c r="AS1652" s="4" t="s">
        <v>1718</v>
      </c>
      <c r="AT1652" s="4" t="s">
        <v>1719</v>
      </c>
      <c r="AU1652" s="4" t="s">
        <v>1703</v>
      </c>
      <c r="AV1652" s="4" t="s">
        <v>1720</v>
      </c>
      <c r="AW1652" s="4" t="s">
        <v>2698</v>
      </c>
      <c r="AX1652" s="4" t="s">
        <v>2801</v>
      </c>
      <c r="AY1652" s="4">
        <v>49.6</v>
      </c>
      <c r="AZ1652" s="4">
        <v>-117.1</v>
      </c>
      <c r="BA1652" s="4">
        <v>0</v>
      </c>
    </row>
    <row r="1653" spans="1:53" ht="14.25" customHeight="1" x14ac:dyDescent="0.2">
      <c r="B1653" s="4">
        <v>12</v>
      </c>
      <c r="C1653" s="4" t="s">
        <v>1711</v>
      </c>
      <c r="D1653" s="188">
        <v>401</v>
      </c>
      <c r="E1653" s="4">
        <v>1943</v>
      </c>
      <c r="F1653" s="4" t="s">
        <v>1278</v>
      </c>
      <c r="G1653" s="4" t="s">
        <v>2870</v>
      </c>
      <c r="H1653" s="4" t="s">
        <v>2871</v>
      </c>
      <c r="I1653" s="4" t="s">
        <v>641</v>
      </c>
      <c r="J1653" s="4" t="s">
        <v>1865</v>
      </c>
      <c r="K1653" s="4">
        <v>1</v>
      </c>
      <c r="L1653" s="4">
        <v>2346</v>
      </c>
      <c r="M1653" s="6">
        <v>49.125329999999998</v>
      </c>
      <c r="N1653" s="9">
        <v>-116.16383</v>
      </c>
      <c r="O1653" s="9" t="s">
        <v>170</v>
      </c>
      <c r="P1653" s="9">
        <v>401</v>
      </c>
      <c r="Q1653" s="20">
        <v>2</v>
      </c>
      <c r="R1653" s="9" t="s">
        <v>1278</v>
      </c>
      <c r="S1653" s="9" t="s">
        <v>1737</v>
      </c>
      <c r="T1653" s="9">
        <v>1098</v>
      </c>
      <c r="U1653" s="9"/>
      <c r="V1653" s="9"/>
      <c r="W1653" s="21">
        <v>31413</v>
      </c>
      <c r="X1653" s="9" t="s">
        <v>1738</v>
      </c>
      <c r="AK1653" s="260"/>
      <c r="AO1653" s="208" t="s">
        <v>1278</v>
      </c>
      <c r="AP1653" s="4">
        <v>401</v>
      </c>
      <c r="AQ1653" s="4" t="s">
        <v>1700</v>
      </c>
      <c r="AR1653" s="4" t="s">
        <v>1739</v>
      </c>
      <c r="AS1653" s="4" t="s">
        <v>1740</v>
      </c>
      <c r="AT1653" s="4" t="s">
        <v>1741</v>
      </c>
      <c r="AU1653" s="4" t="s">
        <v>1959</v>
      </c>
      <c r="AV1653" s="4" t="s">
        <v>1720</v>
      </c>
      <c r="AW1653" s="4" t="s">
        <v>2698</v>
      </c>
      <c r="AX1653" s="4" t="s">
        <v>2801</v>
      </c>
      <c r="AY1653" s="4">
        <v>49.125300000000003</v>
      </c>
      <c r="AZ1653" s="4">
        <v>-116.16379999999999</v>
      </c>
      <c r="BA1653" s="4">
        <v>1098</v>
      </c>
    </row>
    <row r="1654" spans="1:53" ht="14.25" customHeight="1" x14ac:dyDescent="0.2">
      <c r="B1654" s="4">
        <v>12</v>
      </c>
      <c r="C1654" s="4" t="s">
        <v>1711</v>
      </c>
      <c r="D1654" s="4">
        <v>403</v>
      </c>
      <c r="E1654" s="4">
        <v>1945</v>
      </c>
      <c r="F1654" s="211" t="s">
        <v>2874</v>
      </c>
      <c r="G1654" s="4" t="s">
        <v>2875</v>
      </c>
      <c r="H1654" s="4" t="s">
        <v>2876</v>
      </c>
      <c r="I1654" s="4" t="s">
        <v>641</v>
      </c>
      <c r="J1654" s="4" t="s">
        <v>1715</v>
      </c>
      <c r="K1654" s="4">
        <v>1</v>
      </c>
      <c r="L1654" s="4">
        <v>2348</v>
      </c>
      <c r="M1654" s="6"/>
      <c r="N1654" s="9"/>
      <c r="R1654" s="9"/>
      <c r="T1654" s="9"/>
      <c r="U1654"/>
      <c r="AK1654" s="260"/>
      <c r="AO1654" s="4" t="s">
        <v>2874</v>
      </c>
      <c r="AP1654" s="4">
        <v>403</v>
      </c>
      <c r="AQ1654" s="4" t="s">
        <v>1716</v>
      </c>
      <c r="AR1654" s="4" t="s">
        <v>1717</v>
      </c>
      <c r="AS1654" s="4" t="s">
        <v>1718</v>
      </c>
      <c r="AT1654" s="4" t="s">
        <v>1703</v>
      </c>
      <c r="AU1654" s="4" t="s">
        <v>1703</v>
      </c>
      <c r="AV1654" s="4" t="s">
        <v>1720</v>
      </c>
      <c r="AW1654" s="4" t="s">
        <v>2698</v>
      </c>
      <c r="AX1654" s="4" t="s">
        <v>2801</v>
      </c>
      <c r="AY1654" s="4">
        <v>49.6</v>
      </c>
      <c r="AZ1654" s="4">
        <v>-117.3</v>
      </c>
      <c r="BA1654" s="4">
        <v>6</v>
      </c>
    </row>
    <row r="1655" spans="1:53" ht="14.25" customHeight="1" x14ac:dyDescent="0.2">
      <c r="A1655" s="192"/>
      <c r="B1655" s="188">
        <v>12</v>
      </c>
      <c r="C1655" s="188" t="s">
        <v>1711</v>
      </c>
      <c r="D1655" s="188">
        <v>404</v>
      </c>
      <c r="E1655" s="188">
        <v>1946</v>
      </c>
      <c r="F1655" s="188" t="s">
        <v>2877</v>
      </c>
      <c r="G1655" s="188" t="s">
        <v>2878</v>
      </c>
      <c r="H1655" s="188" t="s">
        <v>2879</v>
      </c>
      <c r="I1655" s="188" t="s">
        <v>641</v>
      </c>
      <c r="J1655" s="188" t="s">
        <v>1736</v>
      </c>
      <c r="K1655" s="188">
        <v>1</v>
      </c>
      <c r="L1655" s="188">
        <v>2349</v>
      </c>
      <c r="M1655" s="226">
        <v>49.496670000000002</v>
      </c>
      <c r="N1655" s="203">
        <v>-117.44750000000001</v>
      </c>
      <c r="O1655" s="203" t="s">
        <v>170</v>
      </c>
      <c r="P1655" s="203">
        <v>404</v>
      </c>
      <c r="Q1655" s="245">
        <v>2</v>
      </c>
      <c r="R1655" s="203" t="s">
        <v>2877</v>
      </c>
      <c r="S1655" s="203" t="s">
        <v>1737</v>
      </c>
      <c r="T1655" s="203">
        <v>997</v>
      </c>
      <c r="U1655" s="203" t="s">
        <v>645</v>
      </c>
      <c r="V1655" s="203"/>
      <c r="W1655" s="256">
        <v>33239</v>
      </c>
      <c r="X1655" s="203" t="s">
        <v>1738</v>
      </c>
      <c r="Y1655" s="192"/>
      <c r="Z1655" s="192"/>
      <c r="AA1655" s="192"/>
      <c r="AB1655" s="192"/>
      <c r="AC1655" s="192"/>
      <c r="AD1655" s="192"/>
      <c r="AE1655" s="192"/>
      <c r="AF1655" s="192"/>
      <c r="AI1655" s="192"/>
      <c r="AK1655" s="260"/>
      <c r="AO1655" s="4" t="s">
        <v>2877</v>
      </c>
      <c r="AP1655" s="4">
        <v>404</v>
      </c>
      <c r="AQ1655" s="4" t="s">
        <v>1700</v>
      </c>
      <c r="AR1655" s="4" t="s">
        <v>1739</v>
      </c>
      <c r="AS1655" s="4" t="s">
        <v>1740</v>
      </c>
      <c r="AT1655" s="4" t="s">
        <v>1741</v>
      </c>
      <c r="AU1655" s="4" t="s">
        <v>1772</v>
      </c>
      <c r="AV1655" s="4" t="s">
        <v>1720</v>
      </c>
      <c r="AW1655" s="4" t="s">
        <v>2698</v>
      </c>
      <c r="AX1655" s="4" t="s">
        <v>2801</v>
      </c>
      <c r="AY1655" s="4">
        <v>49.496699999999997</v>
      </c>
      <c r="AZ1655" s="4">
        <v>-117.44750000000001</v>
      </c>
      <c r="BA1655" s="4">
        <v>997</v>
      </c>
    </row>
    <row r="1656" spans="1:53" ht="14.25" customHeight="1" x14ac:dyDescent="0.2">
      <c r="A1656" s="192"/>
      <c r="B1656" s="188">
        <v>12</v>
      </c>
      <c r="C1656" s="188" t="s">
        <v>1711</v>
      </c>
      <c r="D1656" s="188">
        <v>405</v>
      </c>
      <c r="E1656" s="188">
        <v>1947</v>
      </c>
      <c r="F1656" s="16" t="s">
        <v>2880</v>
      </c>
      <c r="G1656" s="188" t="s">
        <v>2881</v>
      </c>
      <c r="H1656" s="188" t="s">
        <v>2882</v>
      </c>
      <c r="I1656" s="188" t="s">
        <v>641</v>
      </c>
      <c r="J1656" s="188" t="s">
        <v>1715</v>
      </c>
      <c r="K1656" s="188">
        <v>1</v>
      </c>
      <c r="L1656" s="188">
        <v>2350</v>
      </c>
      <c r="M1656" s="226"/>
      <c r="N1656" s="203"/>
      <c r="O1656" s="192"/>
      <c r="P1656" s="203"/>
      <c r="Q1656" s="192"/>
      <c r="R1656" s="203"/>
      <c r="S1656" s="192"/>
      <c r="T1656" s="203"/>
      <c r="U1656" s="192"/>
      <c r="V1656" s="192"/>
      <c r="W1656" s="192"/>
      <c r="X1656" s="192"/>
      <c r="Y1656" s="192"/>
      <c r="Z1656" s="192"/>
      <c r="AA1656" s="192"/>
      <c r="AB1656" s="192"/>
      <c r="AC1656" s="192"/>
      <c r="AD1656" s="192"/>
      <c r="AE1656" s="192"/>
      <c r="AF1656" s="192"/>
      <c r="AI1656" s="192"/>
      <c r="AK1656" s="260"/>
      <c r="AO1656" s="4" t="s">
        <v>2880</v>
      </c>
      <c r="AP1656" s="4">
        <v>405</v>
      </c>
      <c r="AQ1656" s="4" t="s">
        <v>1716</v>
      </c>
      <c r="AR1656" s="4" t="s">
        <v>1717</v>
      </c>
      <c r="AS1656" s="4" t="s">
        <v>1718</v>
      </c>
      <c r="AT1656" s="4" t="s">
        <v>1703</v>
      </c>
      <c r="AU1656" s="4" t="s">
        <v>1703</v>
      </c>
      <c r="AV1656" s="4" t="s">
        <v>1720</v>
      </c>
      <c r="AW1656" s="4" t="s">
        <v>2698</v>
      </c>
      <c r="AX1656" s="4" t="s">
        <v>2797</v>
      </c>
      <c r="AY1656" s="4">
        <v>49.8</v>
      </c>
      <c r="AZ1656" s="4">
        <v>-118.2</v>
      </c>
      <c r="BA1656" s="4">
        <v>15</v>
      </c>
    </row>
    <row r="1657" spans="1:53" ht="14.25" customHeight="1" x14ac:dyDescent="0.2">
      <c r="B1657" s="188">
        <v>12</v>
      </c>
      <c r="C1657" s="188" t="s">
        <v>1711</v>
      </c>
      <c r="D1657" s="188">
        <v>406</v>
      </c>
      <c r="E1657" s="188">
        <v>1948</v>
      </c>
      <c r="F1657" s="188" t="s">
        <v>2883</v>
      </c>
      <c r="G1657" s="188" t="s">
        <v>2884</v>
      </c>
      <c r="H1657" s="188" t="s">
        <v>2885</v>
      </c>
      <c r="I1657" s="188" t="s">
        <v>641</v>
      </c>
      <c r="J1657" s="188" t="s">
        <v>1736</v>
      </c>
      <c r="K1657" s="188">
        <v>1</v>
      </c>
      <c r="L1657" s="188">
        <v>2351</v>
      </c>
      <c r="M1657" s="226">
        <v>49.784669999999998</v>
      </c>
      <c r="N1657" s="203">
        <v>-117.44</v>
      </c>
      <c r="O1657" s="203" t="s">
        <v>170</v>
      </c>
      <c r="P1657" s="203">
        <v>406</v>
      </c>
      <c r="Q1657" s="245">
        <v>3</v>
      </c>
      <c r="R1657" s="203" t="s">
        <v>2883</v>
      </c>
      <c r="S1657" s="203" t="s">
        <v>1737</v>
      </c>
      <c r="T1657" s="203">
        <v>1230</v>
      </c>
      <c r="U1657" s="203" t="s">
        <v>645</v>
      </c>
      <c r="V1657" s="203"/>
      <c r="W1657" s="256">
        <v>33604</v>
      </c>
      <c r="X1657" s="203" t="s">
        <v>1738</v>
      </c>
      <c r="Y1657" s="192"/>
      <c r="Z1657" s="192"/>
      <c r="AA1657" s="192"/>
      <c r="AB1657" s="192"/>
      <c r="AC1657" s="192"/>
      <c r="AD1657" s="192"/>
      <c r="AE1657" s="192"/>
      <c r="AF1657" s="192"/>
      <c r="AI1657" s="192"/>
      <c r="AK1657" s="260"/>
      <c r="AO1657" s="4" t="s">
        <v>2883</v>
      </c>
      <c r="AP1657" s="4">
        <v>406</v>
      </c>
      <c r="AQ1657" s="4" t="s">
        <v>1700</v>
      </c>
      <c r="AR1657" s="4" t="s">
        <v>1739</v>
      </c>
      <c r="AS1657" s="4" t="s">
        <v>1740</v>
      </c>
      <c r="AT1657" s="4" t="s">
        <v>1741</v>
      </c>
      <c r="AU1657" s="4" t="s">
        <v>1772</v>
      </c>
      <c r="AV1657" s="4" t="s">
        <v>1720</v>
      </c>
      <c r="AW1657" s="4" t="s">
        <v>2698</v>
      </c>
      <c r="AX1657" s="4" t="s">
        <v>2797</v>
      </c>
      <c r="AY1657" s="4">
        <v>49.784700000000001</v>
      </c>
      <c r="AZ1657" s="4">
        <v>-117.44</v>
      </c>
      <c r="BA1657" s="4">
        <v>1230</v>
      </c>
    </row>
    <row r="1658" spans="1:53" ht="14.25" customHeight="1" x14ac:dyDescent="0.2">
      <c r="B1658" s="4">
        <v>12</v>
      </c>
      <c r="C1658" s="4" t="s">
        <v>1711</v>
      </c>
      <c r="D1658" s="188">
        <v>407</v>
      </c>
      <c r="E1658" s="4">
        <v>1949</v>
      </c>
      <c r="F1658" s="188" t="s">
        <v>2886</v>
      </c>
      <c r="G1658" s="188" t="s">
        <v>2887</v>
      </c>
      <c r="H1658" s="4" t="s">
        <v>2888</v>
      </c>
      <c r="I1658" s="4" t="s">
        <v>641</v>
      </c>
      <c r="J1658" s="4" t="s">
        <v>1736</v>
      </c>
      <c r="K1658" s="4">
        <v>1</v>
      </c>
      <c r="L1658" s="4">
        <v>2352</v>
      </c>
      <c r="M1658" s="6">
        <v>49.2545</v>
      </c>
      <c r="N1658" s="9">
        <v>-117.99417</v>
      </c>
      <c r="O1658" s="9" t="s">
        <v>170</v>
      </c>
      <c r="P1658" s="9">
        <v>407</v>
      </c>
      <c r="Q1658" s="20">
        <v>4</v>
      </c>
      <c r="R1658" s="9" t="s">
        <v>2886</v>
      </c>
      <c r="S1658" s="9" t="s">
        <v>1737</v>
      </c>
      <c r="T1658" s="9">
        <v>1397</v>
      </c>
      <c r="U1658" s="9"/>
      <c r="V1658" s="9"/>
      <c r="W1658" s="21">
        <v>33604</v>
      </c>
      <c r="X1658" s="9" t="s">
        <v>1738</v>
      </c>
      <c r="AK1658" s="260"/>
      <c r="AO1658" s="4" t="s">
        <v>2886</v>
      </c>
      <c r="AP1658" s="4">
        <v>407</v>
      </c>
      <c r="AQ1658" s="4" t="s">
        <v>1716</v>
      </c>
      <c r="AR1658" s="4" t="s">
        <v>1739</v>
      </c>
      <c r="AS1658" s="4" t="s">
        <v>1740</v>
      </c>
      <c r="AT1658" s="4" t="s">
        <v>1741</v>
      </c>
      <c r="AU1658" s="4" t="s">
        <v>1742</v>
      </c>
      <c r="AV1658" s="4" t="s">
        <v>1720</v>
      </c>
      <c r="AW1658" s="4" t="s">
        <v>2698</v>
      </c>
      <c r="AX1658" s="4" t="s">
        <v>2797</v>
      </c>
      <c r="AY1658" s="4">
        <v>49.2545</v>
      </c>
      <c r="AZ1658" s="4">
        <v>-117.99420000000001</v>
      </c>
      <c r="BA1658" s="4">
        <v>1397</v>
      </c>
    </row>
    <row r="1659" spans="1:53" ht="14.25" customHeight="1" x14ac:dyDescent="0.2">
      <c r="A1659" s="192"/>
      <c r="B1659" s="188">
        <v>12</v>
      </c>
      <c r="C1659" s="188" t="s">
        <v>1711</v>
      </c>
      <c r="D1659" s="188">
        <v>408</v>
      </c>
      <c r="E1659" s="188">
        <v>1950</v>
      </c>
      <c r="F1659" s="188" t="s">
        <v>2889</v>
      </c>
      <c r="G1659" s="188" t="s">
        <v>2890</v>
      </c>
      <c r="H1659" s="188" t="s">
        <v>2891</v>
      </c>
      <c r="I1659" s="188" t="s">
        <v>641</v>
      </c>
      <c r="J1659" s="188" t="s">
        <v>1865</v>
      </c>
      <c r="K1659" s="188">
        <v>1</v>
      </c>
      <c r="L1659" s="188">
        <v>2353</v>
      </c>
      <c r="M1659" s="226">
        <v>49.502499999999998</v>
      </c>
      <c r="N1659" s="203">
        <v>-117.78700000000001</v>
      </c>
      <c r="O1659" s="203" t="s">
        <v>170</v>
      </c>
      <c r="P1659" s="203">
        <v>408</v>
      </c>
      <c r="Q1659" s="245">
        <v>8</v>
      </c>
      <c r="R1659" s="203" t="s">
        <v>2889</v>
      </c>
      <c r="S1659" s="203" t="s">
        <v>1737</v>
      </c>
      <c r="T1659" s="203">
        <v>2423</v>
      </c>
      <c r="U1659" s="203"/>
      <c r="V1659" s="203"/>
      <c r="W1659" s="256">
        <v>33604</v>
      </c>
      <c r="X1659" s="203" t="s">
        <v>1738</v>
      </c>
      <c r="Y1659" s="192"/>
      <c r="Z1659" s="192"/>
      <c r="AA1659" s="192"/>
      <c r="AB1659" s="192"/>
      <c r="AC1659" s="192"/>
      <c r="AD1659" s="192"/>
      <c r="AE1659" s="192"/>
      <c r="AF1659" s="192"/>
      <c r="AI1659" s="192"/>
      <c r="AK1659" s="260"/>
      <c r="AO1659" s="4" t="s">
        <v>2892</v>
      </c>
      <c r="AP1659" s="4">
        <v>408</v>
      </c>
      <c r="AQ1659" s="4" t="s">
        <v>1700</v>
      </c>
      <c r="AR1659" s="4" t="s">
        <v>1701</v>
      </c>
      <c r="AS1659" s="4" t="s">
        <v>1740</v>
      </c>
      <c r="AT1659" s="4" t="s">
        <v>1835</v>
      </c>
      <c r="AU1659" s="4" t="s">
        <v>2489</v>
      </c>
      <c r="AV1659" s="4" t="s">
        <v>1720</v>
      </c>
      <c r="AW1659" s="4" t="s">
        <v>2698</v>
      </c>
      <c r="AX1659" s="4" t="s">
        <v>2797</v>
      </c>
      <c r="AY1659" s="4">
        <v>49.502499999999998</v>
      </c>
      <c r="AZ1659" s="4">
        <v>-117.78700000000001</v>
      </c>
      <c r="BA1659" s="4">
        <v>2423</v>
      </c>
    </row>
    <row r="1660" spans="1:53" ht="14.25" customHeight="1" x14ac:dyDescent="0.2">
      <c r="B1660" s="4">
        <v>12</v>
      </c>
      <c r="C1660" s="188" t="s">
        <v>1711</v>
      </c>
      <c r="D1660" s="4">
        <v>410</v>
      </c>
      <c r="E1660" s="4">
        <v>1951</v>
      </c>
      <c r="F1660" s="211" t="s">
        <v>2893</v>
      </c>
      <c r="G1660" s="4" t="s">
        <v>2894</v>
      </c>
      <c r="H1660" s="4" t="s">
        <v>2895</v>
      </c>
      <c r="I1660" s="4" t="s">
        <v>641</v>
      </c>
      <c r="J1660" s="4" t="s">
        <v>1715</v>
      </c>
      <c r="K1660" s="4">
        <v>1</v>
      </c>
      <c r="L1660" s="4">
        <v>2354</v>
      </c>
      <c r="M1660" s="6"/>
      <c r="N1660" s="9"/>
      <c r="P1660" s="9"/>
      <c r="R1660" s="9"/>
      <c r="T1660" s="9"/>
      <c r="U1660"/>
      <c r="AK1660" s="260"/>
      <c r="AO1660" s="4" t="s">
        <v>2893</v>
      </c>
      <c r="AP1660" s="4">
        <v>410</v>
      </c>
      <c r="AQ1660" s="4" t="s">
        <v>1716</v>
      </c>
      <c r="AR1660" s="4" t="s">
        <v>1717</v>
      </c>
      <c r="AS1660" s="4" t="s">
        <v>1718</v>
      </c>
      <c r="AT1660" s="4" t="s">
        <v>1703</v>
      </c>
      <c r="AU1660" s="4" t="s">
        <v>1703</v>
      </c>
      <c r="AV1660" s="4" t="s">
        <v>1720</v>
      </c>
      <c r="AW1660" s="4" t="s">
        <v>2698</v>
      </c>
      <c r="AX1660" s="4" t="s">
        <v>2768</v>
      </c>
      <c r="AY1660" s="4">
        <v>50.172199999999997</v>
      </c>
      <c r="AZ1660" s="4">
        <v>-116.0217</v>
      </c>
      <c r="BA1660" s="4">
        <v>1301</v>
      </c>
    </row>
    <row r="1661" spans="1:53" ht="14.25" customHeight="1" x14ac:dyDescent="0.2">
      <c r="B1661" s="4">
        <v>12</v>
      </c>
      <c r="C1661" s="4" t="s">
        <v>1711</v>
      </c>
      <c r="D1661" s="188">
        <v>413</v>
      </c>
      <c r="E1661" s="4">
        <v>1954</v>
      </c>
      <c r="F1661" s="211" t="s">
        <v>2903</v>
      </c>
      <c r="G1661" s="4" t="s">
        <v>2904</v>
      </c>
      <c r="H1661" s="4" t="s">
        <v>1714</v>
      </c>
      <c r="I1661" s="4" t="s">
        <v>1664</v>
      </c>
      <c r="J1661" s="4" t="s">
        <v>1715</v>
      </c>
      <c r="K1661" s="4">
        <v>1</v>
      </c>
      <c r="L1661" s="4">
        <v>2357</v>
      </c>
      <c r="M1661" s="6"/>
      <c r="U1661"/>
      <c r="AK1661" s="260"/>
      <c r="AO1661" s="4" t="s">
        <v>2903</v>
      </c>
      <c r="AP1661" s="4">
        <v>413</v>
      </c>
      <c r="AQ1661" s="4" t="s">
        <v>1716</v>
      </c>
      <c r="AR1661" s="4" t="s">
        <v>1717</v>
      </c>
      <c r="AS1661" s="4" t="s">
        <v>1718</v>
      </c>
      <c r="AT1661" s="4" t="s">
        <v>1719</v>
      </c>
      <c r="AU1661" s="4" t="s">
        <v>1703</v>
      </c>
      <c r="AV1661" s="4" t="s">
        <v>1720</v>
      </c>
      <c r="AW1661" s="4" t="s">
        <v>2698</v>
      </c>
      <c r="AX1661" s="4" t="s">
        <v>2768</v>
      </c>
      <c r="AY1661" s="4">
        <v>50.5</v>
      </c>
      <c r="AZ1661" s="4">
        <v>-116</v>
      </c>
      <c r="BA1661" s="4">
        <v>0</v>
      </c>
    </row>
    <row r="1662" spans="1:53" ht="14.25" customHeight="1" x14ac:dyDescent="0.2">
      <c r="B1662" s="4">
        <v>12</v>
      </c>
      <c r="C1662" s="4" t="s">
        <v>1711</v>
      </c>
      <c r="D1662" s="188">
        <v>414</v>
      </c>
      <c r="E1662" s="4">
        <v>1955</v>
      </c>
      <c r="F1662" s="211" t="s">
        <v>2905</v>
      </c>
      <c r="G1662" s="4" t="s">
        <v>2906</v>
      </c>
      <c r="H1662" s="4" t="s">
        <v>2907</v>
      </c>
      <c r="I1662" s="4" t="s">
        <v>1664</v>
      </c>
      <c r="J1662" s="4" t="s">
        <v>1715</v>
      </c>
      <c r="K1662" s="4">
        <v>1</v>
      </c>
      <c r="L1662" s="4">
        <v>2358</v>
      </c>
      <c r="M1662" s="6"/>
      <c r="N1662" s="9"/>
      <c r="R1662" s="9"/>
      <c r="T1662" s="9"/>
      <c r="U1662"/>
      <c r="AK1662" s="260"/>
      <c r="AO1662" s="4" t="s">
        <v>2905</v>
      </c>
      <c r="AP1662" s="4">
        <v>414</v>
      </c>
      <c r="AQ1662" s="4" t="s">
        <v>1716</v>
      </c>
      <c r="AR1662" s="4" t="s">
        <v>1717</v>
      </c>
      <c r="AS1662" s="4" t="s">
        <v>1718</v>
      </c>
      <c r="AT1662" s="4" t="s">
        <v>1719</v>
      </c>
      <c r="AU1662" s="4" t="s">
        <v>1703</v>
      </c>
      <c r="AV1662" s="4" t="s">
        <v>1720</v>
      </c>
      <c r="AW1662" s="4" t="s">
        <v>2698</v>
      </c>
      <c r="AY1662" s="4">
        <v>49</v>
      </c>
      <c r="AZ1662" s="4">
        <v>-114.5</v>
      </c>
      <c r="BA1662" s="4">
        <v>0</v>
      </c>
    </row>
    <row r="1663" spans="1:53" ht="14.25" customHeight="1" x14ac:dyDescent="0.2">
      <c r="B1663" s="4">
        <v>12</v>
      </c>
      <c r="C1663" s="4" t="s">
        <v>1711</v>
      </c>
      <c r="D1663" s="188">
        <v>416</v>
      </c>
      <c r="E1663" s="4">
        <v>1956</v>
      </c>
      <c r="F1663" s="211" t="s">
        <v>2910</v>
      </c>
      <c r="G1663" s="4" t="s">
        <v>2911</v>
      </c>
      <c r="H1663" s="4" t="s">
        <v>2912</v>
      </c>
      <c r="I1663" s="4" t="s">
        <v>641</v>
      </c>
      <c r="J1663" s="4" t="s">
        <v>1715</v>
      </c>
      <c r="K1663" s="4">
        <v>1</v>
      </c>
      <c r="L1663" s="4">
        <v>2359</v>
      </c>
      <c r="M1663" s="6"/>
      <c r="N1663" s="9"/>
      <c r="R1663" s="9"/>
      <c r="T1663" s="9"/>
      <c r="U1663"/>
      <c r="AK1663" s="260"/>
      <c r="AO1663" s="4" t="s">
        <v>2910</v>
      </c>
      <c r="AP1663" s="4">
        <v>416</v>
      </c>
      <c r="AQ1663" s="4" t="s">
        <v>1716</v>
      </c>
      <c r="AR1663" s="4" t="s">
        <v>1717</v>
      </c>
      <c r="AS1663" s="4" t="s">
        <v>1718</v>
      </c>
      <c r="AT1663" s="4" t="s">
        <v>1703</v>
      </c>
      <c r="AU1663" s="4" t="s">
        <v>1703</v>
      </c>
      <c r="AV1663" s="4" t="s">
        <v>1720</v>
      </c>
      <c r="AW1663" s="4" t="s">
        <v>2698</v>
      </c>
      <c r="AX1663" s="4" t="s">
        <v>2902</v>
      </c>
      <c r="AY1663" s="4">
        <v>49.3</v>
      </c>
      <c r="AZ1663" s="4">
        <v>-115.2</v>
      </c>
      <c r="BA1663" s="4">
        <v>10</v>
      </c>
    </row>
    <row r="1664" spans="1:53" ht="14.25" customHeight="1" x14ac:dyDescent="0.2">
      <c r="B1664" s="4">
        <v>12</v>
      </c>
      <c r="C1664" s="188" t="s">
        <v>1711</v>
      </c>
      <c r="D1664" s="4">
        <v>420</v>
      </c>
      <c r="E1664" s="4">
        <v>1960</v>
      </c>
      <c r="F1664" s="211" t="s">
        <v>2922</v>
      </c>
      <c r="G1664" s="4" t="s">
        <v>2923</v>
      </c>
      <c r="H1664" s="4" t="s">
        <v>2924</v>
      </c>
      <c r="I1664" s="4" t="s">
        <v>1664</v>
      </c>
      <c r="J1664" s="4" t="s">
        <v>1715</v>
      </c>
      <c r="K1664" s="4">
        <v>1</v>
      </c>
      <c r="L1664" s="4">
        <v>2363</v>
      </c>
      <c r="M1664" s="6"/>
      <c r="N1664" s="9"/>
      <c r="O1664" s="9"/>
      <c r="Q1664" s="9"/>
      <c r="R1664" s="9"/>
      <c r="T1664" s="9"/>
      <c r="U1664"/>
      <c r="AK1664" s="260"/>
      <c r="AO1664" s="4" t="s">
        <v>2922</v>
      </c>
      <c r="AP1664" s="4">
        <v>420</v>
      </c>
      <c r="AQ1664" s="4" t="s">
        <v>1716</v>
      </c>
      <c r="AR1664" s="4" t="s">
        <v>1717</v>
      </c>
      <c r="AS1664" s="4" t="s">
        <v>1718</v>
      </c>
      <c r="AT1664" s="4" t="s">
        <v>1719</v>
      </c>
      <c r="AU1664" s="4" t="s">
        <v>1703</v>
      </c>
      <c r="AV1664" s="4" t="s">
        <v>1720</v>
      </c>
      <c r="AW1664" s="4" t="s">
        <v>2698</v>
      </c>
      <c r="AX1664" s="4" t="s">
        <v>2902</v>
      </c>
      <c r="AY1664" s="4">
        <v>49.8</v>
      </c>
      <c r="AZ1664" s="4">
        <v>-115.2</v>
      </c>
      <c r="BA1664" s="4">
        <v>17</v>
      </c>
    </row>
    <row r="1665" spans="2:53" ht="14.25" customHeight="1" x14ac:dyDescent="0.2">
      <c r="B1665" s="4">
        <v>12</v>
      </c>
      <c r="C1665" s="188" t="s">
        <v>1711</v>
      </c>
      <c r="D1665" s="188">
        <v>421</v>
      </c>
      <c r="E1665" s="4">
        <v>1961</v>
      </c>
      <c r="F1665" s="4" t="s">
        <v>2925</v>
      </c>
      <c r="G1665" s="4" t="s">
        <v>2926</v>
      </c>
      <c r="H1665" s="4" t="s">
        <v>2842</v>
      </c>
      <c r="I1665" s="4" t="s">
        <v>641</v>
      </c>
      <c r="J1665" s="4" t="s">
        <v>1865</v>
      </c>
      <c r="K1665" s="4">
        <v>1</v>
      </c>
      <c r="L1665" s="4">
        <v>2364</v>
      </c>
      <c r="M1665" s="6">
        <v>49.784500000000001</v>
      </c>
      <c r="N1665" s="9">
        <v>-116.383</v>
      </c>
      <c r="O1665" s="9" t="s">
        <v>170</v>
      </c>
      <c r="P1665" s="9">
        <v>421</v>
      </c>
      <c r="Q1665" s="20">
        <v>5</v>
      </c>
      <c r="R1665" s="9" t="s">
        <v>2925</v>
      </c>
      <c r="S1665" s="9" t="s">
        <v>1737</v>
      </c>
      <c r="T1665" s="9">
        <v>1608</v>
      </c>
      <c r="U1665" s="9"/>
      <c r="V1665" s="9"/>
      <c r="W1665" s="21">
        <v>31413</v>
      </c>
      <c r="X1665" s="9" t="s">
        <v>1738</v>
      </c>
      <c r="AK1665" s="260"/>
      <c r="AO1665" s="4" t="s">
        <v>2925</v>
      </c>
      <c r="AP1665" s="4">
        <v>421</v>
      </c>
      <c r="AQ1665" s="4" t="s">
        <v>1716</v>
      </c>
      <c r="AR1665" s="4" t="s">
        <v>1739</v>
      </c>
      <c r="AS1665" s="4" t="s">
        <v>1740</v>
      </c>
      <c r="AT1665" s="4" t="s">
        <v>1741</v>
      </c>
      <c r="AU1665" s="4" t="s">
        <v>1742</v>
      </c>
      <c r="AV1665" s="4" t="s">
        <v>1720</v>
      </c>
      <c r="AW1665" s="4" t="s">
        <v>2698</v>
      </c>
      <c r="AX1665" s="4" t="s">
        <v>2902</v>
      </c>
      <c r="AY1665" s="4">
        <v>49.784500000000001</v>
      </c>
      <c r="AZ1665" s="4">
        <v>-116.383</v>
      </c>
      <c r="BA1665" s="4">
        <v>1608</v>
      </c>
    </row>
    <row r="1666" spans="2:53" ht="14.25" customHeight="1" x14ac:dyDescent="0.2">
      <c r="B1666" s="4">
        <v>12</v>
      </c>
      <c r="C1666" s="188" t="s">
        <v>1711</v>
      </c>
      <c r="D1666" s="4">
        <v>422</v>
      </c>
      <c r="E1666" s="4">
        <v>1962</v>
      </c>
      <c r="F1666" s="211" t="s">
        <v>2927</v>
      </c>
      <c r="G1666" s="4" t="s">
        <v>2928</v>
      </c>
      <c r="H1666" s="4" t="s">
        <v>2929</v>
      </c>
      <c r="I1666" s="4" t="s">
        <v>641</v>
      </c>
      <c r="J1666" s="4" t="s">
        <v>1715</v>
      </c>
      <c r="K1666" s="4">
        <v>1</v>
      </c>
      <c r="L1666" s="4">
        <v>2365</v>
      </c>
      <c r="M1666" s="6"/>
      <c r="U1666"/>
      <c r="AK1666" s="260"/>
      <c r="AO1666" s="4" t="s">
        <v>2927</v>
      </c>
      <c r="AP1666" s="4">
        <v>422</v>
      </c>
      <c r="AQ1666" s="4" t="s">
        <v>1716</v>
      </c>
      <c r="AR1666" s="4" t="s">
        <v>1717</v>
      </c>
      <c r="AS1666" s="4" t="s">
        <v>1718</v>
      </c>
      <c r="AT1666" s="4" t="s">
        <v>1719</v>
      </c>
      <c r="AU1666" s="4" t="s">
        <v>1959</v>
      </c>
      <c r="AV1666" s="4" t="s">
        <v>1720</v>
      </c>
      <c r="AW1666" s="4" t="s">
        <v>2698</v>
      </c>
      <c r="AX1666" s="4" t="s">
        <v>2902</v>
      </c>
      <c r="AY1666" s="4">
        <v>49.902500000000003</v>
      </c>
      <c r="AZ1666" s="4">
        <v>-115.1388</v>
      </c>
      <c r="BA1666" s="4">
        <v>1326</v>
      </c>
    </row>
    <row r="1667" spans="2:53" ht="14.25" customHeight="1" x14ac:dyDescent="0.2">
      <c r="B1667" s="4">
        <v>12</v>
      </c>
      <c r="C1667" s="4" t="s">
        <v>1711</v>
      </c>
      <c r="D1667" s="188">
        <v>423</v>
      </c>
      <c r="E1667" s="4">
        <v>1963</v>
      </c>
      <c r="F1667" s="4" t="s">
        <v>2930</v>
      </c>
      <c r="G1667" s="4" t="s">
        <v>2931</v>
      </c>
      <c r="H1667" s="4" t="s">
        <v>2932</v>
      </c>
      <c r="I1667" s="4" t="s">
        <v>641</v>
      </c>
      <c r="J1667" s="4" t="s">
        <v>1715</v>
      </c>
      <c r="K1667" s="4">
        <v>1</v>
      </c>
      <c r="L1667" s="4">
        <v>2366</v>
      </c>
      <c r="M1667" s="6"/>
      <c r="N1667" s="9"/>
      <c r="O1667" s="9"/>
      <c r="P1667" s="224"/>
      <c r="Q1667" s="20"/>
      <c r="R1667" s="9"/>
      <c r="S1667" s="9"/>
      <c r="T1667" s="9"/>
      <c r="U1667" s="9"/>
      <c r="V1667" s="9"/>
      <c r="W1667" s="21"/>
      <c r="X1667" s="9"/>
      <c r="AK1667" s="260"/>
      <c r="AO1667" s="237" t="s">
        <v>2933</v>
      </c>
      <c r="AP1667" s="4">
        <v>423</v>
      </c>
      <c r="AQ1667" s="4" t="s">
        <v>1716</v>
      </c>
      <c r="AR1667" s="4" t="s">
        <v>1717</v>
      </c>
      <c r="AS1667" s="4" t="s">
        <v>1718</v>
      </c>
      <c r="AT1667" s="4" t="s">
        <v>1719</v>
      </c>
      <c r="AU1667" s="4" t="s">
        <v>2443</v>
      </c>
      <c r="AV1667" s="4" t="s">
        <v>1720</v>
      </c>
      <c r="AW1667" s="4" t="s">
        <v>2698</v>
      </c>
      <c r="AX1667" s="4" t="s">
        <v>2902</v>
      </c>
      <c r="AY1667" s="4">
        <v>49.456200000000003</v>
      </c>
      <c r="AZ1667" s="4">
        <v>-115.6263</v>
      </c>
      <c r="BA1667" s="4">
        <v>2262</v>
      </c>
    </row>
    <row r="1668" spans="2:53" ht="14.25" customHeight="1" x14ac:dyDescent="0.2">
      <c r="B1668" s="4">
        <v>12</v>
      </c>
      <c r="C1668" s="4" t="s">
        <v>1711</v>
      </c>
      <c r="D1668" s="188">
        <v>425</v>
      </c>
      <c r="E1668" s="4">
        <v>1964</v>
      </c>
      <c r="F1668" s="4" t="s">
        <v>2934</v>
      </c>
      <c r="G1668" s="4" t="s">
        <v>2935</v>
      </c>
      <c r="H1668" s="4" t="s">
        <v>2936</v>
      </c>
      <c r="I1668" s="4" t="s">
        <v>641</v>
      </c>
      <c r="J1668" s="4" t="s">
        <v>1829</v>
      </c>
      <c r="K1668" s="4">
        <v>1</v>
      </c>
      <c r="L1668" s="4">
        <v>2367</v>
      </c>
      <c r="M1668" s="6">
        <v>50.14508</v>
      </c>
      <c r="N1668" s="9">
        <v>-115.97723000000001</v>
      </c>
      <c r="O1668" s="9" t="s">
        <v>170</v>
      </c>
      <c r="P1668" s="9">
        <v>425</v>
      </c>
      <c r="Q1668" s="20">
        <v>3</v>
      </c>
      <c r="R1668" s="9" t="s">
        <v>2934</v>
      </c>
      <c r="S1668" s="9" t="s">
        <v>1737</v>
      </c>
      <c r="T1668" s="9">
        <v>1190</v>
      </c>
      <c r="U1668" s="9" t="s">
        <v>645</v>
      </c>
      <c r="V1668" s="9"/>
      <c r="W1668" s="21">
        <v>37257</v>
      </c>
      <c r="X1668" s="9" t="s">
        <v>1738</v>
      </c>
      <c r="AK1668" s="260"/>
      <c r="AO1668" s="208" t="s">
        <v>2934</v>
      </c>
      <c r="AP1668" s="4">
        <v>425</v>
      </c>
      <c r="AQ1668" s="4" t="s">
        <v>1700</v>
      </c>
      <c r="AR1668" s="4" t="s">
        <v>1739</v>
      </c>
      <c r="AS1668" s="4" t="s">
        <v>1740</v>
      </c>
      <c r="AT1668" s="4" t="s">
        <v>1741</v>
      </c>
      <c r="AU1668" s="4" t="s">
        <v>1959</v>
      </c>
      <c r="AV1668" s="4" t="s">
        <v>1720</v>
      </c>
      <c r="AW1668" s="4" t="s">
        <v>2698</v>
      </c>
      <c r="AX1668" s="4" t="s">
        <v>2768</v>
      </c>
      <c r="AY1668" s="4">
        <v>50.145099999999999</v>
      </c>
      <c r="AZ1668" s="4">
        <v>-115.9772</v>
      </c>
      <c r="BA1668" s="4">
        <v>1190</v>
      </c>
    </row>
    <row r="1669" spans="2:53" ht="14.25" customHeight="1" x14ac:dyDescent="0.2">
      <c r="B1669" s="4">
        <v>12</v>
      </c>
      <c r="C1669" s="4" t="s">
        <v>1711</v>
      </c>
      <c r="D1669" s="188">
        <v>436</v>
      </c>
      <c r="E1669" s="4">
        <v>1973</v>
      </c>
      <c r="F1669" s="211" t="s">
        <v>2967</v>
      </c>
      <c r="G1669" s="4" t="s">
        <v>2968</v>
      </c>
      <c r="H1669" s="4" t="s">
        <v>2969</v>
      </c>
      <c r="I1669" s="4" t="s">
        <v>1664</v>
      </c>
      <c r="J1669" s="4" t="s">
        <v>1715</v>
      </c>
      <c r="K1669" s="4">
        <v>1</v>
      </c>
      <c r="L1669" s="4">
        <v>2376</v>
      </c>
      <c r="M1669" s="6"/>
      <c r="U1669"/>
      <c r="AK1669" s="260"/>
      <c r="AO1669" s="208" t="s">
        <v>2967</v>
      </c>
      <c r="AP1669" s="4">
        <v>436</v>
      </c>
      <c r="AQ1669" s="4" t="s">
        <v>1716</v>
      </c>
      <c r="AR1669" s="4" t="s">
        <v>1717</v>
      </c>
      <c r="AS1669" s="4" t="s">
        <v>1718</v>
      </c>
      <c r="AT1669" s="4" t="s">
        <v>1719</v>
      </c>
      <c r="AU1669" s="4" t="s">
        <v>1703</v>
      </c>
      <c r="AV1669" s="4" t="s">
        <v>1720</v>
      </c>
      <c r="AW1669" s="4" t="s">
        <v>2003</v>
      </c>
      <c r="AX1669" s="4" t="s">
        <v>2024</v>
      </c>
      <c r="AY1669" s="4">
        <v>55.3</v>
      </c>
      <c r="AZ1669" s="4">
        <v>-120.1</v>
      </c>
      <c r="BA1669" s="4">
        <v>7</v>
      </c>
    </row>
    <row r="1670" spans="2:53" ht="14.25" customHeight="1" x14ac:dyDescent="0.2">
      <c r="B1670" s="4">
        <v>12</v>
      </c>
      <c r="C1670" s="4" t="s">
        <v>1711</v>
      </c>
      <c r="D1670" s="188">
        <v>440</v>
      </c>
      <c r="E1670" s="4">
        <v>1976</v>
      </c>
      <c r="F1670" s="4" t="s">
        <v>2976</v>
      </c>
      <c r="G1670" s="201" t="s">
        <v>2977</v>
      </c>
      <c r="H1670" s="4" t="s">
        <v>2978</v>
      </c>
      <c r="I1670" s="4" t="s">
        <v>641</v>
      </c>
      <c r="J1670" s="4" t="s">
        <v>1736</v>
      </c>
      <c r="K1670" s="4">
        <v>1</v>
      </c>
      <c r="L1670" s="4">
        <v>2379</v>
      </c>
      <c r="M1670" s="6">
        <v>59.722670000000001</v>
      </c>
      <c r="N1670" s="9">
        <v>-127.33514</v>
      </c>
      <c r="O1670" s="9" t="s">
        <v>1577</v>
      </c>
      <c r="P1670" s="9">
        <v>440</v>
      </c>
      <c r="Q1670" s="20">
        <v>1</v>
      </c>
      <c r="R1670" s="9" t="s">
        <v>2976</v>
      </c>
      <c r="S1670" s="9" t="s">
        <v>1737</v>
      </c>
      <c r="T1670" s="9">
        <v>731</v>
      </c>
      <c r="U1670" s="9"/>
      <c r="V1670" s="9"/>
      <c r="W1670" s="21">
        <v>35065</v>
      </c>
      <c r="X1670" s="9" t="s">
        <v>1738</v>
      </c>
      <c r="AK1670" s="260"/>
      <c r="AO1670" s="4" t="s">
        <v>2976</v>
      </c>
      <c r="AP1670" s="4">
        <v>440</v>
      </c>
      <c r="AQ1670" s="4" t="s">
        <v>1716</v>
      </c>
      <c r="AR1670" s="4" t="s">
        <v>1739</v>
      </c>
      <c r="AS1670" s="4" t="s">
        <v>1740</v>
      </c>
      <c r="AT1670" s="4" t="s">
        <v>1741</v>
      </c>
      <c r="AU1670" s="4" t="s">
        <v>1742</v>
      </c>
      <c r="AV1670" s="4" t="s">
        <v>1720</v>
      </c>
      <c r="AW1670" s="4" t="s">
        <v>2003</v>
      </c>
      <c r="AX1670" s="4" t="s">
        <v>2009</v>
      </c>
      <c r="AY1670" s="4">
        <v>59.7226</v>
      </c>
      <c r="AZ1670" s="4">
        <v>-127.33499999999999</v>
      </c>
      <c r="BA1670" s="4">
        <v>735</v>
      </c>
    </row>
    <row r="1671" spans="2:53" ht="14.25" customHeight="1" x14ac:dyDescent="0.2">
      <c r="B1671" s="4">
        <v>12</v>
      </c>
      <c r="C1671" s="4" t="s">
        <v>1711</v>
      </c>
      <c r="D1671" s="188">
        <v>441</v>
      </c>
      <c r="E1671" s="4">
        <v>1977</v>
      </c>
      <c r="F1671" s="211" t="s">
        <v>2979</v>
      </c>
      <c r="G1671" s="4" t="s">
        <v>2980</v>
      </c>
      <c r="H1671" s="4" t="s">
        <v>2981</v>
      </c>
      <c r="I1671" s="4" t="s">
        <v>1664</v>
      </c>
      <c r="J1671" s="4" t="s">
        <v>1715</v>
      </c>
      <c r="K1671" s="4">
        <v>1</v>
      </c>
      <c r="L1671" s="4">
        <v>2380</v>
      </c>
      <c r="M1671" s="6"/>
      <c r="U1671"/>
      <c r="AK1671" s="260"/>
      <c r="AO1671" s="4" t="s">
        <v>2979</v>
      </c>
      <c r="AP1671" s="4">
        <v>441</v>
      </c>
      <c r="AQ1671" s="4" t="s">
        <v>1716</v>
      </c>
      <c r="AR1671" s="4" t="s">
        <v>1717</v>
      </c>
      <c r="AS1671" s="4" t="s">
        <v>1718</v>
      </c>
      <c r="AT1671" s="4" t="s">
        <v>1719</v>
      </c>
      <c r="AU1671" s="4" t="s">
        <v>1703</v>
      </c>
      <c r="AV1671" s="4" t="s">
        <v>1720</v>
      </c>
      <c r="AW1671" s="4" t="s">
        <v>1947</v>
      </c>
      <c r="AX1671" s="4" t="s">
        <v>2009</v>
      </c>
      <c r="AY1671" s="4">
        <v>59.7</v>
      </c>
      <c r="AZ1671" s="4">
        <v>-127</v>
      </c>
      <c r="BA1671" s="4">
        <v>5</v>
      </c>
    </row>
    <row r="1672" spans="2:53" ht="14.25" customHeight="1" x14ac:dyDescent="0.2">
      <c r="B1672" s="4">
        <v>12</v>
      </c>
      <c r="C1672" s="4" t="s">
        <v>1711</v>
      </c>
      <c r="D1672" s="188">
        <v>442</v>
      </c>
      <c r="E1672" s="4">
        <v>1978</v>
      </c>
      <c r="F1672" s="211" t="s">
        <v>2982</v>
      </c>
      <c r="G1672" s="4" t="s">
        <v>2983</v>
      </c>
      <c r="H1672" s="4" t="s">
        <v>2984</v>
      </c>
      <c r="I1672" s="4" t="s">
        <v>1664</v>
      </c>
      <c r="J1672" s="4" t="s">
        <v>1746</v>
      </c>
      <c r="K1672" s="4">
        <v>1</v>
      </c>
      <c r="L1672" s="4">
        <v>2381</v>
      </c>
      <c r="M1672" s="6"/>
      <c r="N1672" s="9"/>
      <c r="P1672" s="9"/>
      <c r="R1672" s="9"/>
      <c r="T1672" s="9"/>
      <c r="U1672"/>
      <c r="AK1672" s="260"/>
      <c r="AO1672" s="208" t="s">
        <v>2982</v>
      </c>
      <c r="AP1672" s="4">
        <v>442</v>
      </c>
      <c r="AQ1672" s="4" t="s">
        <v>1716</v>
      </c>
      <c r="AR1672" s="4" t="s">
        <v>1717</v>
      </c>
      <c r="AS1672" s="4" t="s">
        <v>1718</v>
      </c>
      <c r="AT1672" s="4" t="s">
        <v>1719</v>
      </c>
      <c r="AU1672" s="4" t="s">
        <v>1703</v>
      </c>
      <c r="AV1672" s="4" t="s">
        <v>1720</v>
      </c>
      <c r="AW1672" s="4" t="s">
        <v>1947</v>
      </c>
      <c r="AX1672" s="4" t="s">
        <v>2009</v>
      </c>
      <c r="AY1672" s="4">
        <v>59.1</v>
      </c>
      <c r="AZ1672" s="4">
        <v>-128.1</v>
      </c>
      <c r="BA1672" s="4">
        <v>0</v>
      </c>
    </row>
    <row r="1673" spans="2:53" ht="14.25" customHeight="1" x14ac:dyDescent="0.2">
      <c r="B1673" s="4">
        <v>12</v>
      </c>
      <c r="C1673" s="4" t="s">
        <v>1711</v>
      </c>
      <c r="D1673" s="4">
        <v>443</v>
      </c>
      <c r="E1673" s="4">
        <v>1979</v>
      </c>
      <c r="F1673" s="211" t="s">
        <v>2985</v>
      </c>
      <c r="G1673" s="4" t="s">
        <v>2986</v>
      </c>
      <c r="H1673" s="4" t="s">
        <v>2987</v>
      </c>
      <c r="I1673" s="4" t="s">
        <v>1664</v>
      </c>
      <c r="J1673" s="4" t="s">
        <v>1715</v>
      </c>
      <c r="K1673" s="4">
        <v>1</v>
      </c>
      <c r="L1673" s="4">
        <v>2382</v>
      </c>
      <c r="M1673" s="6"/>
      <c r="U1673"/>
      <c r="AK1673" s="260"/>
      <c r="AO1673" s="4" t="s">
        <v>2985</v>
      </c>
      <c r="AP1673" s="4">
        <v>443</v>
      </c>
      <c r="AQ1673" s="4" t="s">
        <v>1716</v>
      </c>
      <c r="AR1673" s="4" t="s">
        <v>1717</v>
      </c>
      <c r="AS1673" s="4" t="s">
        <v>1718</v>
      </c>
      <c r="AT1673" s="4" t="s">
        <v>1719</v>
      </c>
      <c r="AU1673" s="4" t="s">
        <v>1703</v>
      </c>
      <c r="AV1673" s="4" t="s">
        <v>1720</v>
      </c>
      <c r="AW1673" s="4" t="s">
        <v>1947</v>
      </c>
      <c r="AX1673" s="4" t="s">
        <v>1986</v>
      </c>
      <c r="AY1673" s="4">
        <v>59.3</v>
      </c>
      <c r="AZ1673" s="4">
        <v>-129.30000000000001</v>
      </c>
      <c r="BA1673" s="4">
        <v>8</v>
      </c>
    </row>
    <row r="1674" spans="2:53" ht="14.25" customHeight="1" x14ac:dyDescent="0.2">
      <c r="B1674" s="4">
        <v>12</v>
      </c>
      <c r="C1674" s="4" t="s">
        <v>1711</v>
      </c>
      <c r="D1674" s="188">
        <v>444</v>
      </c>
      <c r="E1674" s="4">
        <v>1980</v>
      </c>
      <c r="F1674" s="4" t="s">
        <v>2988</v>
      </c>
      <c r="G1674" s="4" t="s">
        <v>2989</v>
      </c>
      <c r="H1674" s="4" t="s">
        <v>2990</v>
      </c>
      <c r="I1674" s="4" t="s">
        <v>641</v>
      </c>
      <c r="J1674" s="4" t="s">
        <v>1736</v>
      </c>
      <c r="K1674" s="4">
        <v>1</v>
      </c>
      <c r="L1674" s="4">
        <v>2383</v>
      </c>
      <c r="M1674" s="9">
        <v>58.726979999999998</v>
      </c>
      <c r="N1674" s="9">
        <v>-127.12496</v>
      </c>
      <c r="O1674" s="9" t="s">
        <v>1577</v>
      </c>
      <c r="P1674" s="9">
        <v>444</v>
      </c>
      <c r="Q1674" s="20">
        <v>1</v>
      </c>
      <c r="R1674" s="9" t="s">
        <v>2988</v>
      </c>
      <c r="S1674" s="9" t="s">
        <v>1737</v>
      </c>
      <c r="T1674" s="9">
        <v>687</v>
      </c>
      <c r="U1674" s="9"/>
      <c r="V1674" s="9"/>
      <c r="W1674" s="21">
        <v>31413</v>
      </c>
      <c r="X1674" s="9" t="s">
        <v>1738</v>
      </c>
      <c r="AO1674" s="4" t="s">
        <v>2988</v>
      </c>
      <c r="AP1674" s="4">
        <v>444</v>
      </c>
      <c r="AQ1674" s="4" t="s">
        <v>1716</v>
      </c>
      <c r="AR1674" s="4" t="s">
        <v>2441</v>
      </c>
      <c r="AS1674" s="4" t="s">
        <v>1740</v>
      </c>
      <c r="AT1674" s="4" t="s">
        <v>1741</v>
      </c>
      <c r="AU1674" s="4" t="s">
        <v>1742</v>
      </c>
      <c r="AV1674" s="4" t="s">
        <v>1720</v>
      </c>
      <c r="AW1674" s="4" t="s">
        <v>2003</v>
      </c>
      <c r="AX1674" s="4" t="s">
        <v>2009</v>
      </c>
      <c r="AY1674" s="4">
        <v>58.726999999999997</v>
      </c>
      <c r="AZ1674" s="4">
        <v>-127.125</v>
      </c>
      <c r="BA1674" s="4">
        <v>687</v>
      </c>
    </row>
    <row r="1675" spans="2:53" ht="14.25" customHeight="1" x14ac:dyDescent="0.2">
      <c r="B1675" s="4">
        <v>12</v>
      </c>
      <c r="C1675" s="4" t="s">
        <v>1711</v>
      </c>
      <c r="D1675" s="188">
        <v>480</v>
      </c>
      <c r="E1675" s="4">
        <v>12335</v>
      </c>
      <c r="F1675" s="4" t="s">
        <v>3004</v>
      </c>
      <c r="G1675" s="4" t="s">
        <v>3005</v>
      </c>
      <c r="H1675" s="4" t="s">
        <v>3006</v>
      </c>
      <c r="I1675" s="4" t="s">
        <v>49</v>
      </c>
      <c r="J1675" s="4" t="s">
        <v>1746</v>
      </c>
      <c r="K1675" s="4">
        <v>1</v>
      </c>
      <c r="L1675" s="4">
        <v>14391</v>
      </c>
      <c r="M1675" s="9"/>
      <c r="N1675" s="9"/>
      <c r="O1675" s="9"/>
      <c r="P1675" s="9"/>
      <c r="Q1675" s="20"/>
      <c r="R1675" s="9"/>
      <c r="S1675" s="9"/>
      <c r="T1675" s="9"/>
      <c r="U1675" s="9"/>
      <c r="V1675" s="9"/>
      <c r="W1675" s="21"/>
      <c r="X1675" s="9"/>
      <c r="AO1675" s="4" t="s">
        <v>3004</v>
      </c>
      <c r="AP1675" s="4">
        <v>480</v>
      </c>
      <c r="AQ1675" s="4" t="s">
        <v>1700</v>
      </c>
      <c r="AR1675" s="4" t="s">
        <v>1701</v>
      </c>
      <c r="AS1675" s="4" t="s">
        <v>1740</v>
      </c>
      <c r="AT1675" s="4" t="s">
        <v>1835</v>
      </c>
      <c r="AU1675" s="4" t="s">
        <v>2489</v>
      </c>
      <c r="AV1675" s="4" t="s">
        <v>1720</v>
      </c>
      <c r="AW1675" s="4" t="s">
        <v>2368</v>
      </c>
      <c r="AX1675" s="4" t="s">
        <v>2522</v>
      </c>
      <c r="AY1675" s="4">
        <v>50.368200000000002</v>
      </c>
      <c r="AZ1675" s="4">
        <v>-119.0654</v>
      </c>
      <c r="BA1675" s="4">
        <v>1880</v>
      </c>
    </row>
    <row r="1676" spans="2:53" ht="14.25" customHeight="1" x14ac:dyDescent="0.2">
      <c r="B1676" s="4">
        <v>12</v>
      </c>
      <c r="C1676" s="4" t="s">
        <v>1711</v>
      </c>
      <c r="D1676" s="188">
        <v>521</v>
      </c>
      <c r="E1676" s="4">
        <v>1986</v>
      </c>
      <c r="F1676" s="211" t="s">
        <v>3013</v>
      </c>
      <c r="G1676" s="9" t="s">
        <v>3014</v>
      </c>
      <c r="H1676" s="4" t="s">
        <v>3015</v>
      </c>
      <c r="I1676" s="4" t="s">
        <v>1664</v>
      </c>
      <c r="J1676" s="4" t="s">
        <v>1746</v>
      </c>
      <c r="K1676" s="4">
        <v>1</v>
      </c>
      <c r="L1676" s="4">
        <v>2389</v>
      </c>
      <c r="M1676" s="9"/>
      <c r="U1676"/>
      <c r="AO1676" s="4" t="s">
        <v>3013</v>
      </c>
      <c r="AP1676" s="4">
        <v>521</v>
      </c>
      <c r="AQ1676" s="4" t="s">
        <v>1716</v>
      </c>
      <c r="AR1676" s="4" t="s">
        <v>1717</v>
      </c>
      <c r="AS1676" s="4" t="s">
        <v>1718</v>
      </c>
      <c r="AT1676" s="4" t="s">
        <v>1719</v>
      </c>
      <c r="AU1676" s="4" t="s">
        <v>1703</v>
      </c>
      <c r="AV1676" s="4" t="s">
        <v>1720</v>
      </c>
      <c r="AW1676" s="4" t="s">
        <v>1705</v>
      </c>
      <c r="AX1676" s="4" t="s">
        <v>1706</v>
      </c>
      <c r="AY1676" s="4">
        <v>49</v>
      </c>
      <c r="AZ1676" s="4">
        <v>-125</v>
      </c>
      <c r="BA1676" s="4">
        <v>40</v>
      </c>
    </row>
    <row r="1677" spans="2:53" ht="14.25" customHeight="1" x14ac:dyDescent="0.2">
      <c r="B1677" s="4">
        <v>12</v>
      </c>
      <c r="C1677" s="4" t="s">
        <v>1711</v>
      </c>
      <c r="D1677" s="4">
        <v>523</v>
      </c>
      <c r="E1677" s="4">
        <v>1988</v>
      </c>
      <c r="F1677" s="211" t="s">
        <v>3019</v>
      </c>
      <c r="G1677" s="9" t="s">
        <v>3020</v>
      </c>
      <c r="H1677" s="4" t="s">
        <v>3021</v>
      </c>
      <c r="I1677" s="4" t="s">
        <v>1664</v>
      </c>
      <c r="J1677" s="4" t="s">
        <v>1715</v>
      </c>
      <c r="K1677" s="4">
        <v>1</v>
      </c>
      <c r="L1677" s="4">
        <v>2391</v>
      </c>
      <c r="M1677" s="9"/>
      <c r="U1677"/>
      <c r="AO1677" s="4" t="s">
        <v>3019</v>
      </c>
      <c r="AP1677" s="4">
        <v>523</v>
      </c>
      <c r="AQ1677" s="4" t="s">
        <v>1716</v>
      </c>
      <c r="AR1677" s="4" t="s">
        <v>1717</v>
      </c>
      <c r="AS1677" s="4" t="s">
        <v>1718</v>
      </c>
      <c r="AT1677" s="4" t="s">
        <v>1719</v>
      </c>
      <c r="AU1677" s="4" t="s">
        <v>1703</v>
      </c>
      <c r="AV1677" s="4" t="s">
        <v>1720</v>
      </c>
      <c r="AW1677" s="4" t="s">
        <v>1705</v>
      </c>
      <c r="AX1677" s="4" t="s">
        <v>1706</v>
      </c>
      <c r="AY1677" s="4">
        <v>49.4</v>
      </c>
      <c r="AZ1677" s="4">
        <v>-126.3</v>
      </c>
      <c r="BA1677" s="4">
        <v>0</v>
      </c>
    </row>
    <row r="1678" spans="2:53" ht="14.25" customHeight="1" x14ac:dyDescent="0.2">
      <c r="B1678" s="4">
        <v>12</v>
      </c>
      <c r="C1678" s="4" t="s">
        <v>1711</v>
      </c>
      <c r="D1678" s="188">
        <v>524</v>
      </c>
      <c r="E1678" s="4">
        <v>1989</v>
      </c>
      <c r="F1678" s="16" t="s">
        <v>3022</v>
      </c>
      <c r="G1678" s="9" t="s">
        <v>3023</v>
      </c>
      <c r="H1678" s="4" t="s">
        <v>3024</v>
      </c>
      <c r="I1678" s="4" t="s">
        <v>1664</v>
      </c>
      <c r="J1678" s="4" t="s">
        <v>1715</v>
      </c>
      <c r="K1678" s="4">
        <v>1</v>
      </c>
      <c r="L1678" s="4">
        <v>2392</v>
      </c>
      <c r="M1678" s="9"/>
      <c r="U1678"/>
      <c r="AO1678" s="4" t="s">
        <v>3022</v>
      </c>
      <c r="AP1678" s="4">
        <v>524</v>
      </c>
      <c r="AQ1678" s="4" t="s">
        <v>1716</v>
      </c>
      <c r="AR1678" s="4" t="s">
        <v>1717</v>
      </c>
      <c r="AS1678" s="4" t="s">
        <v>1718</v>
      </c>
      <c r="AT1678" s="4" t="s">
        <v>1719</v>
      </c>
      <c r="AU1678" s="4" t="s">
        <v>1703</v>
      </c>
      <c r="AV1678" s="4" t="s">
        <v>1720</v>
      </c>
      <c r="AW1678" s="4" t="s">
        <v>1705</v>
      </c>
      <c r="AX1678" s="4" t="s">
        <v>1706</v>
      </c>
      <c r="AY1678" s="4">
        <v>49.1</v>
      </c>
      <c r="AZ1678" s="4">
        <v>-125.6</v>
      </c>
      <c r="BA1678" s="4">
        <v>8</v>
      </c>
    </row>
    <row r="1679" spans="2:53" ht="14.25" customHeight="1" x14ac:dyDescent="0.2">
      <c r="B1679" s="4">
        <v>12</v>
      </c>
      <c r="C1679" s="188" t="s">
        <v>1711</v>
      </c>
      <c r="D1679" s="188">
        <v>525</v>
      </c>
      <c r="E1679" s="4">
        <v>1990</v>
      </c>
      <c r="F1679" s="16" t="s">
        <v>3025</v>
      </c>
      <c r="G1679" s="188" t="s">
        <v>3026</v>
      </c>
      <c r="H1679" s="4" t="s">
        <v>3027</v>
      </c>
      <c r="I1679" s="4" t="s">
        <v>1664</v>
      </c>
      <c r="J1679" s="4" t="s">
        <v>1715</v>
      </c>
      <c r="K1679" s="4">
        <v>1</v>
      </c>
      <c r="L1679" s="4">
        <v>2393</v>
      </c>
      <c r="M1679" s="9"/>
      <c r="U1679"/>
      <c r="AO1679" s="4" t="s">
        <v>3025</v>
      </c>
      <c r="AP1679" s="4">
        <v>525</v>
      </c>
      <c r="AQ1679" s="4" t="s">
        <v>1716</v>
      </c>
      <c r="AR1679" s="4" t="s">
        <v>1717</v>
      </c>
      <c r="AS1679" s="4" t="s">
        <v>1718</v>
      </c>
      <c r="AT1679" s="4" t="s">
        <v>1719</v>
      </c>
      <c r="AU1679" s="4" t="s">
        <v>1703</v>
      </c>
      <c r="AV1679" s="4" t="s">
        <v>1720</v>
      </c>
      <c r="AW1679" s="4" t="s">
        <v>1705</v>
      </c>
      <c r="AX1679" s="4" t="s">
        <v>1706</v>
      </c>
      <c r="AY1679" s="4">
        <v>49.2</v>
      </c>
      <c r="AZ1679" s="4">
        <v>-125.7</v>
      </c>
      <c r="BA1679" s="4">
        <v>0</v>
      </c>
    </row>
    <row r="1680" spans="2:53" ht="14.25" customHeight="1" x14ac:dyDescent="0.2">
      <c r="B1680" s="4">
        <v>12</v>
      </c>
      <c r="C1680" s="188" t="s">
        <v>1711</v>
      </c>
      <c r="D1680" s="188">
        <v>526</v>
      </c>
      <c r="E1680" s="4">
        <v>1991</v>
      </c>
      <c r="F1680" s="16" t="s">
        <v>3028</v>
      </c>
      <c r="G1680" s="4" t="s">
        <v>3029</v>
      </c>
      <c r="H1680" s="4" t="s">
        <v>3030</v>
      </c>
      <c r="I1680" s="4" t="s">
        <v>1664</v>
      </c>
      <c r="J1680" s="4" t="s">
        <v>1715</v>
      </c>
      <c r="K1680" s="4">
        <v>1</v>
      </c>
      <c r="L1680" s="4">
        <v>2394</v>
      </c>
      <c r="M1680" s="9"/>
      <c r="U1680"/>
      <c r="AO1680" s="4" t="s">
        <v>3028</v>
      </c>
      <c r="AP1680" s="4">
        <v>526</v>
      </c>
      <c r="AQ1680" s="4" t="s">
        <v>1716</v>
      </c>
      <c r="AR1680" s="4" t="s">
        <v>1717</v>
      </c>
      <c r="AS1680" s="4" t="s">
        <v>1718</v>
      </c>
      <c r="AT1680" s="4" t="s">
        <v>1719</v>
      </c>
      <c r="AU1680" s="4" t="s">
        <v>1703</v>
      </c>
      <c r="AV1680" s="4" t="s">
        <v>1720</v>
      </c>
      <c r="AW1680" s="4" t="s">
        <v>1705</v>
      </c>
      <c r="AX1680" s="4" t="s">
        <v>1706</v>
      </c>
      <c r="AY1680" s="4">
        <v>49.1</v>
      </c>
      <c r="AZ1680" s="4">
        <v>-125</v>
      </c>
      <c r="BA1680" s="4">
        <v>1</v>
      </c>
    </row>
    <row r="1681" spans="1:72" ht="14.25" customHeight="1" x14ac:dyDescent="0.2">
      <c r="B1681" s="4">
        <v>12</v>
      </c>
      <c r="C1681" s="4" t="s">
        <v>1711</v>
      </c>
      <c r="D1681" s="203">
        <v>527</v>
      </c>
      <c r="E1681" s="4">
        <v>1992</v>
      </c>
      <c r="F1681" s="211" t="s">
        <v>3031</v>
      </c>
      <c r="G1681" s="4" t="s">
        <v>3032</v>
      </c>
      <c r="H1681" s="4" t="s">
        <v>3030</v>
      </c>
      <c r="I1681" s="4" t="s">
        <v>1664</v>
      </c>
      <c r="J1681" s="4" t="s">
        <v>1715</v>
      </c>
      <c r="K1681" s="4">
        <v>1</v>
      </c>
      <c r="L1681" s="4">
        <v>2395</v>
      </c>
      <c r="M1681" s="9"/>
      <c r="U1681"/>
      <c r="AO1681" s="4" t="s">
        <v>3031</v>
      </c>
      <c r="AP1681" s="4">
        <v>527</v>
      </c>
      <c r="AQ1681" s="4" t="s">
        <v>1716</v>
      </c>
      <c r="AR1681" s="4" t="s">
        <v>1717</v>
      </c>
      <c r="AS1681" s="4" t="s">
        <v>1718</v>
      </c>
      <c r="AT1681" s="4" t="s">
        <v>1719</v>
      </c>
      <c r="AU1681" s="4" t="s">
        <v>1703</v>
      </c>
      <c r="AV1681" s="4" t="s">
        <v>1720</v>
      </c>
      <c r="AW1681" s="4" t="s">
        <v>1705</v>
      </c>
      <c r="AX1681" s="4" t="s">
        <v>1710</v>
      </c>
      <c r="AY1681" s="4">
        <v>50.7</v>
      </c>
      <c r="AZ1681" s="4">
        <v>-127.5</v>
      </c>
      <c r="BA1681" s="4">
        <v>1</v>
      </c>
    </row>
    <row r="1682" spans="1:72" ht="14.25" customHeight="1" x14ac:dyDescent="0.2">
      <c r="B1682" s="4">
        <v>12</v>
      </c>
      <c r="C1682" s="4" t="s">
        <v>1711</v>
      </c>
      <c r="D1682" s="203">
        <v>528</v>
      </c>
      <c r="E1682" s="4">
        <v>1993</v>
      </c>
      <c r="F1682" s="211" t="s">
        <v>3033</v>
      </c>
      <c r="G1682" s="4" t="s">
        <v>3034</v>
      </c>
      <c r="H1682" s="4" t="s">
        <v>3035</v>
      </c>
      <c r="I1682" s="4" t="s">
        <v>1664</v>
      </c>
      <c r="J1682" s="4" t="s">
        <v>1746</v>
      </c>
      <c r="K1682" s="4">
        <v>1</v>
      </c>
      <c r="L1682" s="4">
        <v>2396</v>
      </c>
      <c r="M1682" s="9"/>
      <c r="U1682"/>
      <c r="AO1682" s="4" t="s">
        <v>3033</v>
      </c>
      <c r="AP1682" s="4">
        <v>528</v>
      </c>
      <c r="AQ1682" s="4" t="s">
        <v>1716</v>
      </c>
      <c r="AR1682" s="4" t="s">
        <v>1717</v>
      </c>
      <c r="AS1682" s="4" t="s">
        <v>1718</v>
      </c>
      <c r="AT1682" s="4" t="s">
        <v>1719</v>
      </c>
      <c r="AU1682" s="4" t="s">
        <v>1703</v>
      </c>
      <c r="AV1682" s="4" t="s">
        <v>1720</v>
      </c>
      <c r="AW1682" s="4" t="s">
        <v>1705</v>
      </c>
      <c r="AX1682" s="4" t="s">
        <v>1710</v>
      </c>
      <c r="AY1682" s="4">
        <v>50.9</v>
      </c>
      <c r="AZ1682" s="4">
        <v>-126.9</v>
      </c>
      <c r="BA1682" s="4">
        <v>2</v>
      </c>
    </row>
    <row r="1683" spans="1:72" ht="14.25" customHeight="1" x14ac:dyDescent="0.2">
      <c r="B1683" s="4">
        <v>12</v>
      </c>
      <c r="C1683" s="4" t="s">
        <v>1711</v>
      </c>
      <c r="D1683" s="188">
        <v>530</v>
      </c>
      <c r="E1683" s="4">
        <v>1995</v>
      </c>
      <c r="F1683" s="211" t="s">
        <v>3039</v>
      </c>
      <c r="G1683" s="4" t="s">
        <v>3040</v>
      </c>
      <c r="H1683" s="4" t="s">
        <v>3041</v>
      </c>
      <c r="I1683" s="4" t="s">
        <v>1664</v>
      </c>
      <c r="J1683" s="4" t="s">
        <v>1715</v>
      </c>
      <c r="K1683" s="4">
        <v>1</v>
      </c>
      <c r="L1683" s="4">
        <v>2398</v>
      </c>
      <c r="M1683" s="9"/>
      <c r="U1683"/>
      <c r="AO1683" s="4" t="s">
        <v>3039</v>
      </c>
      <c r="AP1683" s="4">
        <v>530</v>
      </c>
      <c r="AQ1683" s="4" t="s">
        <v>1716</v>
      </c>
      <c r="AR1683" s="4" t="s">
        <v>1717</v>
      </c>
      <c r="AS1683" s="4" t="s">
        <v>1718</v>
      </c>
      <c r="AT1683" s="4" t="s">
        <v>1719</v>
      </c>
      <c r="AU1683" s="4" t="s">
        <v>1703</v>
      </c>
      <c r="AV1683" s="4" t="s">
        <v>1720</v>
      </c>
      <c r="AW1683" s="4" t="s">
        <v>1705</v>
      </c>
      <c r="AX1683" s="4" t="s">
        <v>1706</v>
      </c>
      <c r="AY1683" s="4">
        <v>49.280299999999997</v>
      </c>
      <c r="AZ1683" s="4">
        <v>-125.9014</v>
      </c>
      <c r="BA1683" s="4">
        <v>1</v>
      </c>
    </row>
    <row r="1684" spans="1:72" ht="14.25" customHeight="1" x14ac:dyDescent="0.2">
      <c r="B1684" s="4">
        <v>12</v>
      </c>
      <c r="C1684" s="4" t="s">
        <v>1711</v>
      </c>
      <c r="D1684" s="188">
        <v>531</v>
      </c>
      <c r="E1684" s="4">
        <v>1996</v>
      </c>
      <c r="F1684" s="211" t="s">
        <v>3042</v>
      </c>
      <c r="G1684" s="4" t="s">
        <v>3043</v>
      </c>
      <c r="H1684" s="4" t="s">
        <v>3044</v>
      </c>
      <c r="I1684" s="4" t="s">
        <v>1664</v>
      </c>
      <c r="J1684" s="4" t="s">
        <v>1715</v>
      </c>
      <c r="K1684" s="4">
        <v>1</v>
      </c>
      <c r="L1684" s="4">
        <v>2399</v>
      </c>
      <c r="M1684" s="9"/>
      <c r="U1684"/>
      <c r="AO1684" s="4" t="s">
        <v>3042</v>
      </c>
      <c r="AP1684" s="4">
        <v>531</v>
      </c>
      <c r="AQ1684" s="4" t="s">
        <v>1716</v>
      </c>
      <c r="AR1684" s="4" t="s">
        <v>1717</v>
      </c>
      <c r="AS1684" s="4" t="s">
        <v>1718</v>
      </c>
      <c r="AT1684" s="4" t="s">
        <v>1719</v>
      </c>
      <c r="AU1684" s="4" t="s">
        <v>1703</v>
      </c>
      <c r="AV1684" s="4" t="s">
        <v>1720</v>
      </c>
      <c r="AW1684" s="4" t="s">
        <v>1705</v>
      </c>
      <c r="AX1684" s="4" t="s">
        <v>1706</v>
      </c>
      <c r="AY1684" s="4">
        <v>49.6</v>
      </c>
      <c r="AZ1684" s="4">
        <v>-126.5</v>
      </c>
      <c r="BA1684" s="4">
        <v>0</v>
      </c>
    </row>
    <row r="1685" spans="1:72" ht="14.25" customHeight="1" x14ac:dyDescent="0.2">
      <c r="B1685" s="4">
        <v>12</v>
      </c>
      <c r="C1685" s="4" t="s">
        <v>1711</v>
      </c>
      <c r="D1685" s="188">
        <v>532</v>
      </c>
      <c r="E1685" s="4">
        <v>1997</v>
      </c>
      <c r="F1685" s="211" t="s">
        <v>3045</v>
      </c>
      <c r="G1685" s="4" t="s">
        <v>3046</v>
      </c>
      <c r="H1685" s="4" t="s">
        <v>3047</v>
      </c>
      <c r="I1685" s="4" t="s">
        <v>1664</v>
      </c>
      <c r="J1685" s="4" t="s">
        <v>1746</v>
      </c>
      <c r="K1685" s="4">
        <v>1</v>
      </c>
      <c r="L1685" s="4">
        <v>2400</v>
      </c>
      <c r="M1685" s="9"/>
      <c r="U1685"/>
      <c r="AO1685" s="4" t="s">
        <v>3045</v>
      </c>
      <c r="AP1685" s="4">
        <v>532</v>
      </c>
      <c r="AQ1685" s="4" t="s">
        <v>1716</v>
      </c>
      <c r="AR1685" s="4" t="s">
        <v>1717</v>
      </c>
      <c r="AS1685" s="4" t="s">
        <v>1718</v>
      </c>
      <c r="AT1685" s="4" t="s">
        <v>1719</v>
      </c>
      <c r="AU1685" s="4" t="s">
        <v>1703</v>
      </c>
      <c r="AV1685" s="4" t="s">
        <v>1720</v>
      </c>
      <c r="AW1685" s="4" t="s">
        <v>1705</v>
      </c>
      <c r="AX1685" s="4" t="s">
        <v>1706</v>
      </c>
      <c r="AY1685" s="4">
        <v>49.4</v>
      </c>
      <c r="AZ1685" s="4">
        <v>-126.5</v>
      </c>
      <c r="BA1685" s="4">
        <v>30</v>
      </c>
    </row>
    <row r="1686" spans="1:72" ht="14.25" customHeight="1" x14ac:dyDescent="0.2">
      <c r="B1686" s="4">
        <v>12</v>
      </c>
      <c r="C1686" s="4" t="s">
        <v>1711</v>
      </c>
      <c r="D1686" s="188">
        <v>533</v>
      </c>
      <c r="E1686" s="4">
        <v>1998</v>
      </c>
      <c r="F1686" s="16" t="s">
        <v>3048</v>
      </c>
      <c r="G1686" s="4" t="s">
        <v>3049</v>
      </c>
      <c r="H1686" s="4" t="s">
        <v>3050</v>
      </c>
      <c r="I1686" s="4" t="s">
        <v>1664</v>
      </c>
      <c r="J1686" s="4" t="s">
        <v>1715</v>
      </c>
      <c r="K1686" s="4">
        <v>1</v>
      </c>
      <c r="L1686" s="4">
        <v>2401</v>
      </c>
      <c r="M1686" s="9"/>
      <c r="U1686"/>
      <c r="AO1686" s="4" t="s">
        <v>3048</v>
      </c>
      <c r="AP1686" s="4">
        <v>533</v>
      </c>
      <c r="AQ1686" s="4" t="s">
        <v>1716</v>
      </c>
      <c r="AR1686" s="4" t="s">
        <v>1717</v>
      </c>
      <c r="AS1686" s="4" t="s">
        <v>1718</v>
      </c>
      <c r="AT1686" s="4" t="s">
        <v>1719</v>
      </c>
      <c r="AU1686" s="4" t="s">
        <v>1703</v>
      </c>
      <c r="AV1686" s="4" t="s">
        <v>1720</v>
      </c>
      <c r="AW1686" s="4" t="s">
        <v>1705</v>
      </c>
      <c r="AX1686" s="4" t="s">
        <v>1706</v>
      </c>
      <c r="AY1686" s="4">
        <v>48.9</v>
      </c>
      <c r="AZ1686" s="4">
        <v>-125</v>
      </c>
      <c r="BA1686" s="4">
        <v>2</v>
      </c>
    </row>
    <row r="1687" spans="1:72" ht="14.25" customHeight="1" x14ac:dyDescent="0.2">
      <c r="B1687" s="4">
        <v>12</v>
      </c>
      <c r="C1687" s="4" t="s">
        <v>1711</v>
      </c>
      <c r="D1687" s="188">
        <v>534</v>
      </c>
      <c r="E1687" s="4">
        <v>1999</v>
      </c>
      <c r="F1687" s="211" t="s">
        <v>3051</v>
      </c>
      <c r="G1687" s="4" t="s">
        <v>3052</v>
      </c>
      <c r="H1687" s="4" t="s">
        <v>3053</v>
      </c>
      <c r="I1687" s="4" t="s">
        <v>1664</v>
      </c>
      <c r="J1687" s="4" t="s">
        <v>1746</v>
      </c>
      <c r="K1687" s="4">
        <v>1</v>
      </c>
      <c r="L1687" s="4">
        <v>2402</v>
      </c>
      <c r="M1687" s="9"/>
      <c r="U1687"/>
      <c r="AO1687" s="4" t="s">
        <v>3051</v>
      </c>
      <c r="AP1687" s="4">
        <v>534</v>
      </c>
      <c r="AQ1687" s="4" t="s">
        <v>1716</v>
      </c>
      <c r="AR1687" s="4" t="s">
        <v>1717</v>
      </c>
      <c r="AS1687" s="4" t="s">
        <v>1718</v>
      </c>
      <c r="AT1687" s="4" t="s">
        <v>1719</v>
      </c>
      <c r="AU1687" s="4" t="s">
        <v>1703</v>
      </c>
      <c r="AV1687" s="4" t="s">
        <v>1720</v>
      </c>
      <c r="AW1687" s="4" t="s">
        <v>1705</v>
      </c>
      <c r="AX1687" s="4" t="s">
        <v>1706</v>
      </c>
      <c r="AY1687" s="4">
        <v>49.2</v>
      </c>
      <c r="AZ1687" s="4">
        <v>-125.4</v>
      </c>
      <c r="BA1687" s="4">
        <v>1</v>
      </c>
    </row>
    <row r="1688" spans="1:72" ht="14.25" customHeight="1" x14ac:dyDescent="0.2">
      <c r="B1688" s="4">
        <v>12</v>
      </c>
      <c r="C1688" s="4" t="s">
        <v>1711</v>
      </c>
      <c r="D1688" s="188">
        <v>535</v>
      </c>
      <c r="E1688" s="4">
        <v>2000</v>
      </c>
      <c r="F1688" s="211" t="s">
        <v>3054</v>
      </c>
      <c r="G1688" s="4" t="s">
        <v>3055</v>
      </c>
      <c r="H1688" s="4" t="s">
        <v>3056</v>
      </c>
      <c r="I1688" s="4" t="s">
        <v>1664</v>
      </c>
      <c r="J1688" s="4" t="s">
        <v>1715</v>
      </c>
      <c r="K1688" s="4">
        <v>1</v>
      </c>
      <c r="L1688" s="4">
        <v>2403</v>
      </c>
      <c r="M1688" s="9"/>
      <c r="U1688"/>
      <c r="AO1688" s="4" t="s">
        <v>3054</v>
      </c>
      <c r="AP1688" s="4">
        <v>535</v>
      </c>
      <c r="AQ1688" s="4" t="s">
        <v>1716</v>
      </c>
      <c r="AR1688" s="4" t="s">
        <v>1717</v>
      </c>
      <c r="AS1688" s="4" t="s">
        <v>1718</v>
      </c>
      <c r="AT1688" s="4" t="s">
        <v>1719</v>
      </c>
      <c r="AU1688" s="4" t="s">
        <v>1703</v>
      </c>
      <c r="AV1688" s="4" t="s">
        <v>1720</v>
      </c>
      <c r="AW1688" s="4" t="s">
        <v>1705</v>
      </c>
      <c r="AX1688" s="4" t="s">
        <v>1837</v>
      </c>
      <c r="AY1688" s="4">
        <v>50</v>
      </c>
      <c r="AZ1688" s="4">
        <v>-124</v>
      </c>
      <c r="BA1688" s="4">
        <v>0</v>
      </c>
    </row>
    <row r="1689" spans="1:72" ht="14.25" customHeight="1" x14ac:dyDescent="0.2">
      <c r="B1689" s="4">
        <v>12</v>
      </c>
      <c r="C1689" s="4" t="s">
        <v>1711</v>
      </c>
      <c r="D1689" s="188">
        <v>539</v>
      </c>
      <c r="E1689" s="4">
        <v>2002</v>
      </c>
      <c r="F1689" s="211" t="s">
        <v>3060</v>
      </c>
      <c r="G1689" s="4" t="s">
        <v>3061</v>
      </c>
      <c r="H1689" s="4" t="s">
        <v>3062</v>
      </c>
      <c r="I1689" s="4" t="s">
        <v>641</v>
      </c>
      <c r="J1689" s="4" t="s">
        <v>1715</v>
      </c>
      <c r="K1689" s="4">
        <v>1</v>
      </c>
      <c r="L1689" s="4">
        <v>2405</v>
      </c>
      <c r="M1689" s="9"/>
      <c r="U1689"/>
      <c r="AO1689" s="4" t="s">
        <v>3060</v>
      </c>
      <c r="AP1689" s="4">
        <v>539</v>
      </c>
      <c r="AQ1689" s="4" t="s">
        <v>1716</v>
      </c>
      <c r="AR1689" s="4" t="s">
        <v>1717</v>
      </c>
      <c r="AS1689" s="4" t="s">
        <v>1718</v>
      </c>
      <c r="AT1689" s="4" t="s">
        <v>1703</v>
      </c>
      <c r="AU1689" s="4" t="s">
        <v>1703</v>
      </c>
      <c r="AV1689" s="4" t="s">
        <v>1720</v>
      </c>
      <c r="AW1689" s="4" t="s">
        <v>1705</v>
      </c>
      <c r="AX1689" s="4" t="s">
        <v>1723</v>
      </c>
      <c r="AY1689" s="4">
        <v>50.2</v>
      </c>
      <c r="AZ1689" s="4">
        <v>-125.2</v>
      </c>
      <c r="BA1689" s="4">
        <v>50</v>
      </c>
    </row>
    <row r="1690" spans="1:72" ht="14.25" customHeight="1" x14ac:dyDescent="0.2">
      <c r="A1690" s="192"/>
      <c r="B1690" s="188">
        <v>12</v>
      </c>
      <c r="C1690" s="188" t="s">
        <v>1711</v>
      </c>
      <c r="D1690" s="188">
        <v>540</v>
      </c>
      <c r="E1690" s="188">
        <v>2003</v>
      </c>
      <c r="F1690" s="16" t="s">
        <v>3063</v>
      </c>
      <c r="G1690" s="188" t="s">
        <v>3064</v>
      </c>
      <c r="H1690" s="188" t="s">
        <v>3065</v>
      </c>
      <c r="I1690" s="188" t="s">
        <v>1664</v>
      </c>
      <c r="J1690" s="188" t="s">
        <v>1715</v>
      </c>
      <c r="K1690" s="188">
        <v>1</v>
      </c>
      <c r="L1690" s="188">
        <v>2406</v>
      </c>
      <c r="M1690" s="203"/>
      <c r="N1690" s="192"/>
      <c r="O1690" s="192"/>
      <c r="P1690" s="192"/>
      <c r="Q1690" s="192"/>
      <c r="R1690" s="192"/>
      <c r="S1690" s="192"/>
      <c r="T1690" s="192"/>
      <c r="U1690" s="192"/>
      <c r="V1690" s="192"/>
      <c r="W1690" s="192"/>
      <c r="X1690" s="192"/>
      <c r="Y1690" s="192"/>
      <c r="Z1690" s="192"/>
      <c r="AA1690" s="192"/>
      <c r="AB1690" s="192"/>
      <c r="AC1690" s="192"/>
      <c r="AD1690" s="192"/>
      <c r="AE1690" s="192"/>
      <c r="AF1690" s="192"/>
      <c r="AG1690" s="192"/>
      <c r="AH1690" s="192"/>
      <c r="AI1690" s="192"/>
      <c r="AJ1690" s="192"/>
      <c r="AK1690" s="192"/>
      <c r="AL1690" s="192"/>
      <c r="AM1690" s="192"/>
      <c r="AN1690" s="192"/>
      <c r="AO1690" s="188" t="s">
        <v>3063</v>
      </c>
      <c r="AP1690" s="188">
        <v>540</v>
      </c>
      <c r="AQ1690" s="188" t="s">
        <v>1716</v>
      </c>
      <c r="AR1690" s="188" t="s">
        <v>1717</v>
      </c>
      <c r="AS1690" s="188" t="s">
        <v>1718</v>
      </c>
      <c r="AT1690" s="188" t="s">
        <v>1719</v>
      </c>
      <c r="AU1690" s="188" t="s">
        <v>1703</v>
      </c>
      <c r="AV1690" s="188" t="s">
        <v>1720</v>
      </c>
      <c r="AW1690" s="188" t="s">
        <v>1705</v>
      </c>
      <c r="AX1690" s="188" t="s">
        <v>1747</v>
      </c>
      <c r="AY1690" s="188">
        <v>48.6</v>
      </c>
      <c r="AZ1690" s="188">
        <v>-123.6</v>
      </c>
      <c r="BA1690" s="188">
        <v>7</v>
      </c>
      <c r="BB1690" s="192"/>
      <c r="BC1690" s="192"/>
      <c r="BD1690" s="192"/>
      <c r="BE1690" s="192"/>
      <c r="BF1690" s="192"/>
      <c r="BG1690" s="192"/>
      <c r="BH1690" s="192"/>
      <c r="BI1690" s="192"/>
      <c r="BJ1690" s="192"/>
      <c r="BK1690" s="192"/>
      <c r="BL1690" s="192"/>
      <c r="BM1690" s="192"/>
      <c r="BN1690" s="192"/>
      <c r="BO1690" s="192"/>
      <c r="BP1690" s="192"/>
      <c r="BQ1690" s="192"/>
      <c r="BR1690" s="192"/>
      <c r="BS1690" s="192"/>
      <c r="BT1690" s="192"/>
    </row>
    <row r="1691" spans="1:72" ht="14.25" customHeight="1" x14ac:dyDescent="0.2">
      <c r="A1691" s="192"/>
      <c r="B1691" s="188">
        <v>12</v>
      </c>
      <c r="C1691" s="188" t="s">
        <v>1711</v>
      </c>
      <c r="D1691" s="188">
        <v>541</v>
      </c>
      <c r="E1691" s="188">
        <v>2004</v>
      </c>
      <c r="F1691" s="16" t="s">
        <v>3066</v>
      </c>
      <c r="G1691" s="188" t="s">
        <v>3067</v>
      </c>
      <c r="H1691" s="188" t="s">
        <v>3068</v>
      </c>
      <c r="I1691" s="188" t="s">
        <v>1664</v>
      </c>
      <c r="J1691" s="188" t="s">
        <v>1715</v>
      </c>
      <c r="K1691" s="188">
        <v>1</v>
      </c>
      <c r="L1691" s="188">
        <v>2407</v>
      </c>
      <c r="M1691" s="203"/>
      <c r="N1691" s="192"/>
      <c r="O1691" s="192"/>
      <c r="P1691" s="192"/>
      <c r="Q1691" s="192"/>
      <c r="R1691" s="192"/>
      <c r="S1691" s="192"/>
      <c r="T1691" s="192"/>
      <c r="U1691" s="192"/>
      <c r="V1691" s="192"/>
      <c r="W1691" s="192"/>
      <c r="X1691" s="192"/>
      <c r="Y1691" s="192"/>
      <c r="Z1691" s="192"/>
      <c r="AA1691" s="192"/>
      <c r="AB1691" s="192"/>
      <c r="AC1691" s="192"/>
      <c r="AD1691" s="192"/>
      <c r="AE1691" s="192"/>
      <c r="AF1691" s="192"/>
      <c r="AG1691" s="192"/>
      <c r="AH1691" s="192"/>
      <c r="AI1691" s="192"/>
      <c r="AJ1691" s="192"/>
      <c r="AK1691" s="192"/>
      <c r="AL1691" s="192"/>
      <c r="AM1691" s="192"/>
      <c r="AN1691" s="192"/>
      <c r="AO1691" s="188" t="s">
        <v>3066</v>
      </c>
      <c r="AP1691" s="188">
        <v>541</v>
      </c>
      <c r="AQ1691" s="188" t="s">
        <v>1716</v>
      </c>
      <c r="AR1691" s="188" t="s">
        <v>1717</v>
      </c>
      <c r="AS1691" s="188" t="s">
        <v>1718</v>
      </c>
      <c r="AT1691" s="188" t="s">
        <v>1719</v>
      </c>
      <c r="AU1691" s="188" t="s">
        <v>1703</v>
      </c>
      <c r="AV1691" s="188" t="s">
        <v>1720</v>
      </c>
      <c r="AW1691" s="188" t="s">
        <v>1705</v>
      </c>
      <c r="AX1691" s="188" t="s">
        <v>1706</v>
      </c>
      <c r="AY1691" s="188">
        <v>49.4</v>
      </c>
      <c r="AZ1691" s="188">
        <v>-124.3</v>
      </c>
      <c r="BA1691" s="188">
        <v>1</v>
      </c>
      <c r="BB1691" s="192"/>
      <c r="BC1691" s="192"/>
      <c r="BD1691" s="192"/>
      <c r="BE1691" s="192"/>
      <c r="BF1691" s="192"/>
      <c r="BG1691" s="192"/>
      <c r="BH1691" s="192"/>
      <c r="BI1691" s="192"/>
      <c r="BJ1691" s="192"/>
      <c r="BK1691" s="192"/>
      <c r="BL1691" s="192"/>
      <c r="BM1691" s="192"/>
      <c r="BN1691" s="192"/>
      <c r="BO1691" s="192"/>
      <c r="BP1691" s="192"/>
      <c r="BQ1691" s="192"/>
      <c r="BR1691" s="192"/>
      <c r="BS1691" s="192"/>
      <c r="BT1691" s="192"/>
    </row>
    <row r="1692" spans="1:72" ht="14.25" customHeight="1" x14ac:dyDescent="0.2">
      <c r="B1692" s="4">
        <v>12</v>
      </c>
      <c r="C1692" s="4" t="s">
        <v>1711</v>
      </c>
      <c r="D1692" s="4">
        <v>542</v>
      </c>
      <c r="E1692" s="4">
        <v>2005</v>
      </c>
      <c r="F1692" s="211" t="s">
        <v>3069</v>
      </c>
      <c r="G1692" s="4" t="s">
        <v>3070</v>
      </c>
      <c r="H1692" s="4" t="s">
        <v>3071</v>
      </c>
      <c r="I1692" s="4" t="s">
        <v>1664</v>
      </c>
      <c r="J1692" s="4" t="s">
        <v>1715</v>
      </c>
      <c r="K1692" s="4">
        <v>1</v>
      </c>
      <c r="L1692" s="4">
        <v>2408</v>
      </c>
      <c r="M1692" s="9"/>
      <c r="U1692"/>
      <c r="AO1692" s="4" t="s">
        <v>3069</v>
      </c>
      <c r="AP1692" s="4">
        <v>542</v>
      </c>
      <c r="AQ1692" s="4" t="s">
        <v>1716</v>
      </c>
      <c r="AR1692" s="4" t="s">
        <v>1717</v>
      </c>
      <c r="AS1692" s="4" t="s">
        <v>1718</v>
      </c>
      <c r="AT1692" s="4" t="s">
        <v>1719</v>
      </c>
      <c r="AU1692" s="4" t="s">
        <v>1703</v>
      </c>
      <c r="AV1692" s="4" t="s">
        <v>1720</v>
      </c>
      <c r="AW1692" s="4" t="s">
        <v>1705</v>
      </c>
      <c r="AX1692" s="4" t="s">
        <v>1706</v>
      </c>
      <c r="AY1692" s="4">
        <v>49.5</v>
      </c>
      <c r="AZ1692" s="4">
        <v>-124.9</v>
      </c>
      <c r="BA1692" s="4">
        <v>0</v>
      </c>
    </row>
    <row r="1693" spans="1:72" ht="14.25" customHeight="1" x14ac:dyDescent="0.2">
      <c r="B1693" s="4">
        <v>12</v>
      </c>
      <c r="C1693" s="4" t="s">
        <v>1711</v>
      </c>
      <c r="D1693" s="4">
        <v>544</v>
      </c>
      <c r="E1693" s="4">
        <v>2006</v>
      </c>
      <c r="F1693" s="211" t="s">
        <v>3078</v>
      </c>
      <c r="G1693" s="4" t="s">
        <v>3079</v>
      </c>
      <c r="H1693" s="4" t="s">
        <v>3080</v>
      </c>
      <c r="I1693" s="4" t="s">
        <v>1664</v>
      </c>
      <c r="J1693" s="4" t="s">
        <v>1746</v>
      </c>
      <c r="K1693" s="4">
        <v>1</v>
      </c>
      <c r="L1693" s="4">
        <v>2409</v>
      </c>
      <c r="M1693" s="9"/>
      <c r="U1693"/>
      <c r="AO1693" s="4" t="s">
        <v>3078</v>
      </c>
      <c r="AP1693" s="4">
        <v>544</v>
      </c>
      <c r="AQ1693" s="4" t="s">
        <v>1716</v>
      </c>
      <c r="AR1693" s="4" t="s">
        <v>1717</v>
      </c>
      <c r="AS1693" s="4" t="s">
        <v>1718</v>
      </c>
      <c r="AT1693" s="4" t="s">
        <v>1719</v>
      </c>
      <c r="AU1693" s="4" t="s">
        <v>1703</v>
      </c>
      <c r="AV1693" s="4" t="s">
        <v>1720</v>
      </c>
      <c r="AW1693" s="4" t="s">
        <v>1705</v>
      </c>
      <c r="AX1693" s="4" t="s">
        <v>1706</v>
      </c>
      <c r="AY1693" s="4">
        <v>49.6</v>
      </c>
      <c r="AZ1693" s="4">
        <v>-124.7</v>
      </c>
      <c r="BA1693" s="4">
        <v>0</v>
      </c>
    </row>
    <row r="1694" spans="1:72" ht="14.25" customHeight="1" x14ac:dyDescent="0.2">
      <c r="B1694" s="4">
        <v>12</v>
      </c>
      <c r="C1694" s="188" t="s">
        <v>1711</v>
      </c>
      <c r="D1694" s="188">
        <v>545</v>
      </c>
      <c r="E1694" s="4">
        <v>2007</v>
      </c>
      <c r="F1694" s="16" t="s">
        <v>3081</v>
      </c>
      <c r="G1694" s="188" t="s">
        <v>3082</v>
      </c>
      <c r="H1694" s="4" t="s">
        <v>3083</v>
      </c>
      <c r="I1694" s="4" t="s">
        <v>1664</v>
      </c>
      <c r="J1694" s="4" t="s">
        <v>1715</v>
      </c>
      <c r="K1694" s="4">
        <v>1</v>
      </c>
      <c r="L1694" s="4">
        <v>2410</v>
      </c>
      <c r="M1694" s="203"/>
      <c r="N1694" s="192"/>
      <c r="O1694" s="192"/>
      <c r="P1694" s="192"/>
      <c r="Q1694" s="192"/>
      <c r="R1694" s="192"/>
      <c r="S1694" s="192"/>
      <c r="T1694" s="192"/>
      <c r="U1694" s="192"/>
      <c r="AO1694" s="4" t="s">
        <v>3081</v>
      </c>
      <c r="AP1694" s="4">
        <v>545</v>
      </c>
      <c r="AQ1694" s="4" t="s">
        <v>1716</v>
      </c>
      <c r="AR1694" s="4" t="s">
        <v>1717</v>
      </c>
      <c r="AS1694" s="4" t="s">
        <v>1718</v>
      </c>
      <c r="AT1694" s="4" t="s">
        <v>1719</v>
      </c>
      <c r="AU1694" s="4" t="s">
        <v>1703</v>
      </c>
      <c r="AV1694" s="4" t="s">
        <v>1720</v>
      </c>
      <c r="AW1694" s="4" t="s">
        <v>1705</v>
      </c>
      <c r="AX1694" s="4" t="s">
        <v>1747</v>
      </c>
      <c r="AY1694" s="4">
        <v>48.6</v>
      </c>
      <c r="AZ1694" s="4">
        <v>-124</v>
      </c>
      <c r="BA1694" s="4">
        <v>7</v>
      </c>
    </row>
    <row r="1695" spans="1:72" ht="14.25" customHeight="1" x14ac:dyDescent="0.2">
      <c r="B1695" s="4">
        <v>12</v>
      </c>
      <c r="C1695" s="188" t="s">
        <v>1711</v>
      </c>
      <c r="D1695" s="188">
        <v>546</v>
      </c>
      <c r="E1695" s="4">
        <v>2008</v>
      </c>
      <c r="F1695" s="16" t="s">
        <v>3084</v>
      </c>
      <c r="G1695" s="188" t="s">
        <v>3085</v>
      </c>
      <c r="H1695" s="4" t="s">
        <v>3086</v>
      </c>
      <c r="I1695" s="4" t="s">
        <v>1664</v>
      </c>
      <c r="J1695" s="4" t="s">
        <v>1715</v>
      </c>
      <c r="K1695" s="4">
        <v>1</v>
      </c>
      <c r="L1695" s="4">
        <v>2411</v>
      </c>
      <c r="M1695" s="9"/>
      <c r="U1695"/>
      <c r="AO1695" s="4" t="s">
        <v>3084</v>
      </c>
      <c r="AP1695" s="4">
        <v>546</v>
      </c>
      <c r="AQ1695" s="4" t="s">
        <v>1716</v>
      </c>
      <c r="AR1695" s="4" t="s">
        <v>1717</v>
      </c>
      <c r="AS1695" s="4" t="s">
        <v>1718</v>
      </c>
      <c r="AT1695" s="4" t="s">
        <v>1719</v>
      </c>
      <c r="AU1695" s="4" t="s">
        <v>1703</v>
      </c>
      <c r="AV1695" s="4" t="s">
        <v>1720</v>
      </c>
      <c r="AW1695" s="4" t="s">
        <v>1705</v>
      </c>
      <c r="AX1695" s="4" t="s">
        <v>1747</v>
      </c>
      <c r="AY1695" s="4">
        <v>49</v>
      </c>
      <c r="AZ1695" s="4">
        <v>-124</v>
      </c>
      <c r="BA1695" s="4">
        <v>0</v>
      </c>
    </row>
    <row r="1696" spans="1:72" ht="14.25" customHeight="1" x14ac:dyDescent="0.2">
      <c r="B1696" s="4">
        <v>12</v>
      </c>
      <c r="C1696" s="188" t="s">
        <v>1711</v>
      </c>
      <c r="D1696" s="188">
        <v>547</v>
      </c>
      <c r="E1696" s="188">
        <v>2009</v>
      </c>
      <c r="F1696" s="16" t="s">
        <v>3087</v>
      </c>
      <c r="G1696" s="203" t="s">
        <v>3088</v>
      </c>
      <c r="H1696" s="188" t="s">
        <v>3089</v>
      </c>
      <c r="I1696" s="188" t="s">
        <v>641</v>
      </c>
      <c r="J1696" s="188" t="s">
        <v>1715</v>
      </c>
      <c r="K1696" s="188">
        <v>1</v>
      </c>
      <c r="L1696" s="188">
        <v>2412</v>
      </c>
      <c r="M1696" s="9"/>
      <c r="U1696"/>
      <c r="AO1696" s="4" t="s">
        <v>3087</v>
      </c>
      <c r="AP1696" s="4">
        <v>547</v>
      </c>
      <c r="AQ1696" s="4" t="s">
        <v>1716</v>
      </c>
      <c r="AR1696" s="4" t="s">
        <v>1717</v>
      </c>
      <c r="AS1696" s="4" t="s">
        <v>1718</v>
      </c>
      <c r="AT1696" s="4" t="s">
        <v>1703</v>
      </c>
      <c r="AU1696" s="4" t="s">
        <v>1703</v>
      </c>
      <c r="AV1696" s="4" t="s">
        <v>1720</v>
      </c>
      <c r="AW1696" s="4" t="s">
        <v>1705</v>
      </c>
      <c r="AX1696" s="4" t="s">
        <v>1706</v>
      </c>
      <c r="AY1696" s="4">
        <v>49.186700000000002</v>
      </c>
      <c r="AZ1696" s="4">
        <v>-123.83329999999999</v>
      </c>
      <c r="BA1696" s="4">
        <v>25</v>
      </c>
    </row>
    <row r="1697" spans="2:72" ht="14.25" customHeight="1" x14ac:dyDescent="0.2">
      <c r="B1697" s="4">
        <v>12</v>
      </c>
      <c r="C1697" s="4" t="s">
        <v>1711</v>
      </c>
      <c r="D1697" s="4">
        <v>548</v>
      </c>
      <c r="E1697" s="4">
        <v>2010</v>
      </c>
      <c r="F1697" s="211" t="s">
        <v>3090</v>
      </c>
      <c r="G1697" s="4" t="s">
        <v>3070</v>
      </c>
      <c r="H1697" s="4" t="s">
        <v>3091</v>
      </c>
      <c r="I1697" s="4" t="s">
        <v>1664</v>
      </c>
      <c r="J1697" s="4" t="s">
        <v>1715</v>
      </c>
      <c r="K1697" s="4">
        <v>1</v>
      </c>
      <c r="L1697" s="4">
        <v>2413</v>
      </c>
      <c r="M1697" s="9"/>
      <c r="U1697"/>
      <c r="AO1697" s="4" t="s">
        <v>3090</v>
      </c>
      <c r="AP1697" s="4">
        <v>548</v>
      </c>
      <c r="AQ1697" s="4" t="s">
        <v>1716</v>
      </c>
      <c r="AR1697" s="4" t="s">
        <v>1717</v>
      </c>
      <c r="AS1697" s="4" t="s">
        <v>1718</v>
      </c>
      <c r="AT1697" s="4" t="s">
        <v>1719</v>
      </c>
      <c r="AU1697" s="4" t="s">
        <v>1703</v>
      </c>
      <c r="AV1697" s="4" t="s">
        <v>1720</v>
      </c>
      <c r="AW1697" s="4" t="s">
        <v>1705</v>
      </c>
      <c r="AX1697" s="4" t="s">
        <v>1706</v>
      </c>
      <c r="AY1697" s="4">
        <v>49.5</v>
      </c>
      <c r="AZ1697" s="4">
        <v>-124.9</v>
      </c>
      <c r="BA1697" s="4">
        <v>0</v>
      </c>
    </row>
    <row r="1698" spans="2:72" ht="14.25" customHeight="1" x14ac:dyDescent="0.2">
      <c r="B1698" s="4">
        <v>12</v>
      </c>
      <c r="C1698" s="4" t="s">
        <v>1711</v>
      </c>
      <c r="D1698" s="4">
        <v>549</v>
      </c>
      <c r="E1698" s="4">
        <v>2011</v>
      </c>
      <c r="F1698" s="211" t="s">
        <v>3092</v>
      </c>
      <c r="G1698" s="4" t="s">
        <v>3093</v>
      </c>
      <c r="H1698" s="4" t="s">
        <v>3094</v>
      </c>
      <c r="I1698" s="4" t="s">
        <v>1664</v>
      </c>
      <c r="J1698" s="4" t="s">
        <v>1746</v>
      </c>
      <c r="K1698" s="4">
        <v>1</v>
      </c>
      <c r="L1698" s="4">
        <v>2414</v>
      </c>
      <c r="M1698" s="9"/>
      <c r="U1698"/>
      <c r="AO1698" s="4" t="s">
        <v>3092</v>
      </c>
      <c r="AP1698" s="4">
        <v>549</v>
      </c>
      <c r="AQ1698" s="4" t="s">
        <v>1716</v>
      </c>
      <c r="AR1698" s="4" t="s">
        <v>1717</v>
      </c>
      <c r="AS1698" s="4" t="s">
        <v>1718</v>
      </c>
      <c r="AT1698" s="4" t="s">
        <v>1719</v>
      </c>
      <c r="AU1698" s="4" t="s">
        <v>1703</v>
      </c>
      <c r="AV1698" s="4" t="s">
        <v>1720</v>
      </c>
      <c r="AW1698" s="4" t="s">
        <v>1705</v>
      </c>
      <c r="AX1698" s="4" t="s">
        <v>1837</v>
      </c>
      <c r="AY1698" s="4">
        <v>49.566000000000003</v>
      </c>
      <c r="AZ1698" s="4">
        <v>-123.383</v>
      </c>
      <c r="BA1698" s="4">
        <v>4</v>
      </c>
    </row>
    <row r="1699" spans="2:72" ht="14.25" customHeight="1" x14ac:dyDescent="0.2">
      <c r="B1699" s="4">
        <v>12</v>
      </c>
      <c r="C1699" s="4" t="s">
        <v>1711</v>
      </c>
      <c r="D1699" s="4">
        <v>552</v>
      </c>
      <c r="E1699" s="4">
        <v>2014</v>
      </c>
      <c r="F1699" s="211" t="s">
        <v>3101</v>
      </c>
      <c r="G1699" s="4" t="s">
        <v>3102</v>
      </c>
      <c r="H1699" s="4" t="s">
        <v>3103</v>
      </c>
      <c r="I1699" s="4" t="s">
        <v>1664</v>
      </c>
      <c r="J1699" s="4" t="s">
        <v>1715</v>
      </c>
      <c r="K1699" s="4">
        <v>1</v>
      </c>
      <c r="L1699" s="4">
        <v>2417</v>
      </c>
      <c r="M1699" s="9"/>
      <c r="U1699"/>
      <c r="AO1699" s="4" t="s">
        <v>3101</v>
      </c>
      <c r="AP1699" s="4">
        <v>552</v>
      </c>
      <c r="AQ1699" s="4" t="s">
        <v>1716</v>
      </c>
      <c r="AR1699" s="4" t="s">
        <v>1717</v>
      </c>
      <c r="AS1699" s="4" t="s">
        <v>1718</v>
      </c>
      <c r="AT1699" s="4" t="s">
        <v>1719</v>
      </c>
      <c r="AU1699" s="4" t="s">
        <v>1703</v>
      </c>
      <c r="AV1699" s="4" t="s">
        <v>1720</v>
      </c>
      <c r="AW1699" s="4" t="s">
        <v>1705</v>
      </c>
      <c r="AY1699" s="4">
        <v>49</v>
      </c>
      <c r="AZ1699" s="4">
        <v>-121</v>
      </c>
      <c r="BA1699" s="4">
        <v>11</v>
      </c>
    </row>
    <row r="1700" spans="2:72" ht="14.25" customHeight="1" x14ac:dyDescent="0.2">
      <c r="B1700" s="4">
        <v>12</v>
      </c>
      <c r="C1700" s="188" t="s">
        <v>1711</v>
      </c>
      <c r="D1700" s="188">
        <v>558</v>
      </c>
      <c r="E1700" s="4">
        <v>2016</v>
      </c>
      <c r="F1700" s="16" t="s">
        <v>3136</v>
      </c>
      <c r="G1700" s="188" t="s">
        <v>3137</v>
      </c>
      <c r="H1700" s="4" t="s">
        <v>3138</v>
      </c>
      <c r="I1700" s="4" t="s">
        <v>1664</v>
      </c>
      <c r="J1700" s="4" t="s">
        <v>1715</v>
      </c>
      <c r="K1700" s="4">
        <v>1</v>
      </c>
      <c r="L1700" s="4">
        <v>2419</v>
      </c>
      <c r="M1700" s="9"/>
      <c r="P1700" s="192"/>
      <c r="U1700"/>
      <c r="AO1700" s="4" t="s">
        <v>3136</v>
      </c>
      <c r="AP1700" s="4">
        <v>558</v>
      </c>
      <c r="AQ1700" s="4" t="s">
        <v>1716</v>
      </c>
      <c r="AR1700" s="4" t="s">
        <v>1717</v>
      </c>
      <c r="AS1700" s="4" t="s">
        <v>1718</v>
      </c>
      <c r="AT1700" s="4" t="s">
        <v>1719</v>
      </c>
      <c r="AU1700" s="4" t="s">
        <v>1703</v>
      </c>
      <c r="AV1700" s="4" t="s">
        <v>1720</v>
      </c>
      <c r="AW1700" s="4" t="s">
        <v>1705</v>
      </c>
      <c r="AX1700" s="4" t="s">
        <v>1710</v>
      </c>
      <c r="AY1700" s="4">
        <v>51.1</v>
      </c>
      <c r="AZ1700" s="4">
        <v>-125.6</v>
      </c>
      <c r="BA1700" s="4">
        <v>10</v>
      </c>
    </row>
    <row r="1701" spans="2:72" ht="14.25" customHeight="1" x14ac:dyDescent="0.2">
      <c r="B1701" s="4">
        <v>12</v>
      </c>
      <c r="C1701" s="4" t="s">
        <v>1711</v>
      </c>
      <c r="D1701" s="4">
        <v>559</v>
      </c>
      <c r="E1701" s="4">
        <v>2017</v>
      </c>
      <c r="F1701" s="16" t="s">
        <v>3139</v>
      </c>
      <c r="G1701" s="188" t="s">
        <v>3140</v>
      </c>
      <c r="H1701" s="4" t="s">
        <v>3141</v>
      </c>
      <c r="I1701" s="4" t="s">
        <v>1664</v>
      </c>
      <c r="J1701" s="4" t="s">
        <v>1715</v>
      </c>
      <c r="K1701" s="4">
        <v>1</v>
      </c>
      <c r="L1701" s="4">
        <v>2420</v>
      </c>
      <c r="M1701" s="203"/>
      <c r="N1701" s="192"/>
      <c r="O1701" s="192"/>
      <c r="P1701" s="192"/>
      <c r="Q1701" s="192"/>
      <c r="R1701" s="192"/>
      <c r="S1701" s="192"/>
      <c r="T1701" s="192"/>
      <c r="U1701" s="192"/>
      <c r="V1701" s="192"/>
      <c r="W1701" s="192"/>
      <c r="X1701" s="192"/>
      <c r="Y1701" s="192"/>
      <c r="Z1701" s="192"/>
      <c r="AA1701" s="192"/>
      <c r="AB1701" s="192"/>
      <c r="AC1701" s="192"/>
      <c r="AD1701" s="192"/>
      <c r="AE1701" s="192"/>
      <c r="AF1701" s="192"/>
      <c r="AG1701" s="192"/>
      <c r="AH1701" s="192"/>
      <c r="AI1701" s="192"/>
      <c r="AJ1701" s="192"/>
      <c r="AK1701" s="192"/>
      <c r="AL1701" s="192"/>
      <c r="AM1701" s="192"/>
      <c r="AN1701" s="192"/>
      <c r="AO1701" s="188" t="s">
        <v>3139</v>
      </c>
      <c r="AP1701" s="188">
        <v>559</v>
      </c>
      <c r="AQ1701" s="188" t="s">
        <v>1716</v>
      </c>
      <c r="AR1701" s="188" t="s">
        <v>1717</v>
      </c>
      <c r="AS1701" s="188" t="s">
        <v>1718</v>
      </c>
      <c r="AT1701" s="188" t="s">
        <v>1719</v>
      </c>
      <c r="AU1701" s="188" t="s">
        <v>1703</v>
      </c>
      <c r="AV1701" s="188" t="s">
        <v>1720</v>
      </c>
      <c r="AW1701" s="188" t="s">
        <v>1705</v>
      </c>
      <c r="AX1701" s="188" t="s">
        <v>1837</v>
      </c>
      <c r="AY1701" s="188">
        <v>50.1</v>
      </c>
      <c r="AZ1701" s="188">
        <v>-124</v>
      </c>
      <c r="BA1701" s="188">
        <v>1</v>
      </c>
      <c r="BB1701" s="192"/>
      <c r="BC1701" s="192"/>
      <c r="BD1701" s="192"/>
      <c r="BE1701" s="192"/>
      <c r="BF1701" s="192"/>
      <c r="BG1701" s="192"/>
      <c r="BH1701" s="192"/>
      <c r="BI1701" s="192"/>
      <c r="BJ1701" s="192"/>
      <c r="BK1701" s="192"/>
      <c r="BL1701" s="192"/>
      <c r="BM1701" s="192"/>
      <c r="BN1701" s="192"/>
      <c r="BO1701" s="192"/>
      <c r="BP1701" s="192"/>
      <c r="BQ1701" s="192"/>
      <c r="BR1701" s="192"/>
      <c r="BS1701" s="192"/>
      <c r="BT1701" s="192"/>
    </row>
    <row r="1702" spans="2:72" ht="14.25" customHeight="1" x14ac:dyDescent="0.2">
      <c r="B1702" s="4">
        <v>12</v>
      </c>
      <c r="C1702" s="4" t="s">
        <v>1711</v>
      </c>
      <c r="D1702" s="4">
        <v>560</v>
      </c>
      <c r="E1702" s="4">
        <v>2018</v>
      </c>
      <c r="F1702" s="16" t="s">
        <v>3142</v>
      </c>
      <c r="G1702" s="188" t="s">
        <v>3143</v>
      </c>
      <c r="H1702" s="4" t="s">
        <v>3144</v>
      </c>
      <c r="I1702" s="4" t="s">
        <v>1664</v>
      </c>
      <c r="J1702" s="4" t="s">
        <v>1746</v>
      </c>
      <c r="K1702" s="4">
        <v>1</v>
      </c>
      <c r="L1702" s="4">
        <v>2421</v>
      </c>
      <c r="M1702" s="203"/>
      <c r="N1702" s="192"/>
      <c r="O1702" s="192"/>
      <c r="P1702" s="192"/>
      <c r="Q1702" s="192"/>
      <c r="R1702" s="192"/>
      <c r="S1702" s="192"/>
      <c r="T1702" s="192"/>
      <c r="U1702" s="192"/>
      <c r="V1702" s="192"/>
      <c r="W1702" s="192"/>
      <c r="X1702" s="192"/>
      <c r="Y1702" s="192"/>
      <c r="Z1702" s="192"/>
      <c r="AA1702" s="192"/>
      <c r="AB1702" s="192"/>
      <c r="AC1702" s="192"/>
      <c r="AD1702" s="192"/>
      <c r="AE1702" s="192"/>
      <c r="AF1702" s="192"/>
      <c r="AG1702" s="192"/>
      <c r="AH1702" s="192"/>
      <c r="AI1702" s="192"/>
      <c r="AJ1702" s="192"/>
      <c r="AK1702" s="192"/>
      <c r="AL1702" s="192"/>
      <c r="AM1702" s="192"/>
      <c r="AN1702" s="192"/>
      <c r="AO1702" s="188" t="s">
        <v>3142</v>
      </c>
      <c r="AP1702" s="188">
        <v>560</v>
      </c>
      <c r="AQ1702" s="188" t="s">
        <v>1716</v>
      </c>
      <c r="AR1702" s="188" t="s">
        <v>1717</v>
      </c>
      <c r="AS1702" s="188" t="s">
        <v>1718</v>
      </c>
      <c r="AT1702" s="188" t="s">
        <v>1719</v>
      </c>
      <c r="AU1702" s="188" t="s">
        <v>1703</v>
      </c>
      <c r="AV1702" s="188" t="s">
        <v>1720</v>
      </c>
      <c r="AW1702" s="188" t="s">
        <v>1947</v>
      </c>
      <c r="AX1702" s="188" t="s">
        <v>1948</v>
      </c>
      <c r="AY1702" s="188">
        <v>53.3</v>
      </c>
      <c r="AZ1702" s="188">
        <v>-128.4</v>
      </c>
      <c r="BA1702" s="188">
        <v>2</v>
      </c>
      <c r="BB1702" s="192"/>
      <c r="BC1702" s="192"/>
      <c r="BD1702" s="192"/>
      <c r="BE1702" s="192"/>
      <c r="BF1702" s="192"/>
      <c r="BG1702" s="192"/>
      <c r="BH1702" s="192"/>
      <c r="BI1702" s="192"/>
      <c r="BJ1702" s="192"/>
      <c r="BK1702" s="192"/>
      <c r="BL1702" s="192"/>
      <c r="BM1702" s="192"/>
      <c r="BN1702" s="192"/>
      <c r="BO1702" s="192"/>
      <c r="BP1702" s="192"/>
      <c r="BQ1702" s="192"/>
      <c r="BR1702" s="192"/>
      <c r="BS1702" s="192"/>
      <c r="BT1702" s="192"/>
    </row>
    <row r="1703" spans="2:72" ht="14.25" customHeight="1" x14ac:dyDescent="0.2">
      <c r="B1703" s="4">
        <v>12</v>
      </c>
      <c r="C1703" s="4" t="s">
        <v>1711</v>
      </c>
      <c r="D1703" s="4">
        <v>561</v>
      </c>
      <c r="E1703" s="4">
        <v>2019</v>
      </c>
      <c r="F1703" s="16" t="s">
        <v>3145</v>
      </c>
      <c r="G1703" s="188" t="s">
        <v>3146</v>
      </c>
      <c r="H1703" s="4" t="s">
        <v>3147</v>
      </c>
      <c r="I1703" s="4" t="s">
        <v>1664</v>
      </c>
      <c r="J1703" s="4" t="s">
        <v>1715</v>
      </c>
      <c r="K1703" s="4">
        <v>1</v>
      </c>
      <c r="L1703" s="4">
        <v>2422</v>
      </c>
      <c r="M1703" s="9"/>
      <c r="U1703" s="192"/>
      <c r="V1703" s="192"/>
      <c r="W1703" s="192"/>
      <c r="X1703" s="192"/>
      <c r="Y1703" s="192"/>
      <c r="Z1703" s="192"/>
      <c r="AA1703" s="192"/>
      <c r="AB1703" s="192"/>
      <c r="AC1703" s="192"/>
      <c r="AD1703" s="192"/>
      <c r="AE1703" s="192"/>
      <c r="AF1703" s="192"/>
      <c r="AG1703" s="192"/>
      <c r="AH1703" s="192"/>
      <c r="AI1703" s="192"/>
      <c r="AJ1703" s="192"/>
      <c r="AK1703" s="192"/>
      <c r="AL1703" s="192"/>
      <c r="AM1703" s="192"/>
      <c r="AN1703" s="192"/>
      <c r="AO1703" s="188" t="s">
        <v>3145</v>
      </c>
      <c r="AP1703" s="188">
        <v>561</v>
      </c>
      <c r="AQ1703" s="188" t="s">
        <v>1716</v>
      </c>
      <c r="AR1703" s="188" t="s">
        <v>1717</v>
      </c>
      <c r="AS1703" s="188" t="s">
        <v>1718</v>
      </c>
      <c r="AT1703" s="188" t="s">
        <v>1719</v>
      </c>
      <c r="AU1703" s="188" t="s">
        <v>1703</v>
      </c>
      <c r="AV1703" s="188" t="s">
        <v>1720</v>
      </c>
      <c r="AW1703" s="188" t="s">
        <v>1705</v>
      </c>
      <c r="AX1703" s="188" t="s">
        <v>1965</v>
      </c>
      <c r="AY1703" s="188">
        <v>51.4</v>
      </c>
      <c r="AZ1703" s="188">
        <v>-127.5</v>
      </c>
      <c r="BA1703" s="188">
        <v>1</v>
      </c>
      <c r="BB1703" s="192"/>
      <c r="BC1703" s="192"/>
      <c r="BD1703" s="192"/>
      <c r="BE1703" s="192"/>
      <c r="BF1703" s="192"/>
      <c r="BG1703" s="192"/>
      <c r="BH1703" s="192"/>
      <c r="BI1703" s="192"/>
      <c r="BJ1703" s="192"/>
      <c r="BK1703" s="192"/>
      <c r="BL1703" s="192"/>
      <c r="BM1703" s="192"/>
      <c r="BN1703" s="192"/>
      <c r="BO1703" s="192"/>
      <c r="BP1703" s="192"/>
      <c r="BQ1703" s="192"/>
      <c r="BR1703" s="192"/>
      <c r="BS1703" s="192"/>
      <c r="BT1703" s="192"/>
    </row>
    <row r="1704" spans="2:72" ht="14.25" customHeight="1" x14ac:dyDescent="0.2">
      <c r="B1704" s="4">
        <v>12</v>
      </c>
      <c r="C1704" s="4" t="s">
        <v>1711</v>
      </c>
      <c r="D1704" s="188">
        <v>562</v>
      </c>
      <c r="E1704" s="4">
        <v>2020</v>
      </c>
      <c r="F1704" s="16" t="s">
        <v>3148</v>
      </c>
      <c r="G1704" s="9" t="s">
        <v>3149</v>
      </c>
      <c r="H1704" s="4" t="s">
        <v>3150</v>
      </c>
      <c r="I1704" s="4" t="s">
        <v>1664</v>
      </c>
      <c r="J1704" s="4" t="s">
        <v>1715</v>
      </c>
      <c r="K1704" s="4">
        <v>1</v>
      </c>
      <c r="L1704" s="4">
        <v>2423</v>
      </c>
      <c r="M1704" s="9"/>
      <c r="P1704" s="192"/>
      <c r="R1704" s="192"/>
      <c r="U1704"/>
      <c r="AO1704" s="4" t="s">
        <v>3148</v>
      </c>
      <c r="AP1704" s="4">
        <v>562</v>
      </c>
      <c r="AQ1704" s="4" t="s">
        <v>1716</v>
      </c>
      <c r="AR1704" s="4" t="s">
        <v>1717</v>
      </c>
      <c r="AS1704" s="4" t="s">
        <v>1718</v>
      </c>
      <c r="AT1704" s="4" t="s">
        <v>1719</v>
      </c>
      <c r="AU1704" s="4" t="s">
        <v>1703</v>
      </c>
      <c r="AV1704" s="4" t="s">
        <v>1720</v>
      </c>
      <c r="AW1704" s="4" t="s">
        <v>1705</v>
      </c>
      <c r="AX1704" s="4" t="s">
        <v>1965</v>
      </c>
      <c r="AY1704" s="4">
        <v>51.7</v>
      </c>
      <c r="AZ1704" s="4">
        <v>-127.3</v>
      </c>
      <c r="BA1704" s="4">
        <v>1</v>
      </c>
    </row>
    <row r="1705" spans="2:72" ht="14.25" customHeight="1" x14ac:dyDescent="0.2">
      <c r="B1705" s="4">
        <v>12</v>
      </c>
      <c r="C1705" s="4" t="s">
        <v>1711</v>
      </c>
      <c r="D1705" s="4">
        <v>563</v>
      </c>
      <c r="E1705" s="4">
        <v>2021</v>
      </c>
      <c r="F1705" s="211" t="s">
        <v>3151</v>
      </c>
      <c r="G1705" s="9" t="s">
        <v>3152</v>
      </c>
      <c r="H1705" s="4" t="s">
        <v>3153</v>
      </c>
      <c r="I1705" s="4" t="s">
        <v>1664</v>
      </c>
      <c r="J1705" s="4" t="s">
        <v>1715</v>
      </c>
      <c r="K1705" s="4">
        <v>1</v>
      </c>
      <c r="L1705" s="4">
        <v>2424</v>
      </c>
      <c r="M1705" s="9"/>
      <c r="U1705"/>
      <c r="AO1705" s="4" t="s">
        <v>3151</v>
      </c>
      <c r="AP1705" s="4">
        <v>563</v>
      </c>
      <c r="AQ1705" s="4" t="s">
        <v>1716</v>
      </c>
      <c r="AR1705" s="4" t="s">
        <v>1717</v>
      </c>
      <c r="AS1705" s="4" t="s">
        <v>1718</v>
      </c>
      <c r="AT1705" s="4" t="s">
        <v>1719</v>
      </c>
      <c r="AU1705" s="4" t="s">
        <v>1703</v>
      </c>
      <c r="AV1705" s="4" t="s">
        <v>1720</v>
      </c>
      <c r="AW1705" s="4" t="s">
        <v>1705</v>
      </c>
      <c r="AX1705" s="4" t="s">
        <v>1965</v>
      </c>
      <c r="AY1705" s="4">
        <v>51.9</v>
      </c>
      <c r="AZ1705" s="4">
        <v>-127.4</v>
      </c>
      <c r="BA1705" s="4">
        <v>1</v>
      </c>
    </row>
    <row r="1706" spans="2:72" ht="14.25" customHeight="1" x14ac:dyDescent="0.2">
      <c r="B1706" s="4">
        <v>12</v>
      </c>
      <c r="C1706" s="4" t="s">
        <v>1711</v>
      </c>
      <c r="D1706" s="4">
        <v>564</v>
      </c>
      <c r="E1706" s="4">
        <v>2022</v>
      </c>
      <c r="F1706" s="16" t="s">
        <v>3154</v>
      </c>
      <c r="G1706" s="188" t="s">
        <v>3155</v>
      </c>
      <c r="H1706" s="4" t="s">
        <v>3156</v>
      </c>
      <c r="I1706" s="4" t="s">
        <v>1664</v>
      </c>
      <c r="J1706" s="4" t="s">
        <v>1715</v>
      </c>
      <c r="K1706" s="4">
        <v>1</v>
      </c>
      <c r="L1706" s="4">
        <v>2425</v>
      </c>
      <c r="M1706" s="9"/>
      <c r="U1706"/>
      <c r="AO1706" s="4" t="s">
        <v>3154</v>
      </c>
      <c r="AP1706" s="4">
        <v>564</v>
      </c>
      <c r="AQ1706" s="4" t="s">
        <v>1716</v>
      </c>
      <c r="AR1706" s="4" t="s">
        <v>1717</v>
      </c>
      <c r="AS1706" s="4" t="s">
        <v>1718</v>
      </c>
      <c r="AT1706" s="4" t="s">
        <v>1719</v>
      </c>
      <c r="AU1706" s="4" t="s">
        <v>1703</v>
      </c>
      <c r="AV1706" s="4" t="s">
        <v>1720</v>
      </c>
      <c r="AW1706" s="4" t="s">
        <v>1705</v>
      </c>
      <c r="AX1706" s="4" t="s">
        <v>1965</v>
      </c>
      <c r="AY1706" s="4">
        <v>52.1</v>
      </c>
      <c r="AZ1706" s="4">
        <v>-127.4</v>
      </c>
      <c r="BA1706" s="4">
        <v>1</v>
      </c>
    </row>
    <row r="1707" spans="2:72" ht="14.25" customHeight="1" x14ac:dyDescent="0.2">
      <c r="B1707" s="4">
        <v>12</v>
      </c>
      <c r="C1707" s="4" t="s">
        <v>1711</v>
      </c>
      <c r="D1707" s="4">
        <v>565</v>
      </c>
      <c r="E1707" s="4">
        <v>2023</v>
      </c>
      <c r="F1707" s="16" t="s">
        <v>3157</v>
      </c>
      <c r="G1707" s="203" t="s">
        <v>3158</v>
      </c>
      <c r="H1707" s="4" t="s">
        <v>3159</v>
      </c>
      <c r="I1707" s="4" t="s">
        <v>1664</v>
      </c>
      <c r="J1707" s="4" t="s">
        <v>1715</v>
      </c>
      <c r="K1707" s="4">
        <v>1</v>
      </c>
      <c r="L1707" s="4">
        <v>2426</v>
      </c>
      <c r="M1707" s="9"/>
      <c r="U1707"/>
      <c r="AO1707" s="4" t="s">
        <v>3157</v>
      </c>
      <c r="AP1707" s="4">
        <v>565</v>
      </c>
      <c r="AQ1707" s="4" t="s">
        <v>1716</v>
      </c>
      <c r="AR1707" s="4" t="s">
        <v>1717</v>
      </c>
      <c r="AS1707" s="4" t="s">
        <v>1718</v>
      </c>
      <c r="AT1707" s="4" t="s">
        <v>1719</v>
      </c>
      <c r="AU1707" s="4" t="s">
        <v>1703</v>
      </c>
      <c r="AV1707" s="4" t="s">
        <v>1720</v>
      </c>
      <c r="AW1707" s="4" t="s">
        <v>1705</v>
      </c>
      <c r="AX1707" s="4" t="s">
        <v>1965</v>
      </c>
      <c r="AY1707" s="4">
        <v>52</v>
      </c>
      <c r="AZ1707" s="4">
        <v>-127.7</v>
      </c>
      <c r="BA1707" s="4">
        <v>1</v>
      </c>
    </row>
    <row r="1708" spans="2:72" ht="14.25" customHeight="1" x14ac:dyDescent="0.2">
      <c r="B1708" s="4">
        <v>12</v>
      </c>
      <c r="C1708" s="4" t="s">
        <v>1711</v>
      </c>
      <c r="D1708" s="4">
        <v>566</v>
      </c>
      <c r="E1708" s="4">
        <v>2024</v>
      </c>
      <c r="F1708" s="16" t="s">
        <v>3160</v>
      </c>
      <c r="G1708" s="9" t="s">
        <v>3161</v>
      </c>
      <c r="H1708" s="4" t="s">
        <v>3162</v>
      </c>
      <c r="I1708" s="4" t="s">
        <v>1664</v>
      </c>
      <c r="J1708" s="4" t="s">
        <v>1746</v>
      </c>
      <c r="K1708" s="4">
        <v>1</v>
      </c>
      <c r="L1708" s="4">
        <v>2427</v>
      </c>
      <c r="M1708" s="203"/>
      <c r="N1708" s="192"/>
      <c r="O1708" s="192"/>
      <c r="P1708" s="192"/>
      <c r="Q1708" s="192"/>
      <c r="R1708" s="192"/>
      <c r="S1708" s="192"/>
      <c r="T1708" s="192"/>
      <c r="U1708" s="192"/>
      <c r="V1708" s="192"/>
      <c r="W1708" s="192"/>
      <c r="X1708" s="192"/>
      <c r="Y1708" s="192"/>
      <c r="Z1708" s="192"/>
      <c r="AA1708" s="192"/>
      <c r="AB1708" s="192"/>
      <c r="AC1708" s="192"/>
      <c r="AD1708" s="192"/>
      <c r="AE1708" s="192"/>
      <c r="AF1708" s="192"/>
      <c r="AG1708" s="192"/>
      <c r="AH1708" s="192"/>
      <c r="AI1708" s="192"/>
      <c r="AJ1708" s="192"/>
      <c r="AK1708" s="192"/>
      <c r="AL1708" s="192"/>
      <c r="AM1708" s="192"/>
      <c r="AN1708" s="192"/>
      <c r="AO1708" s="188" t="s">
        <v>3160</v>
      </c>
      <c r="AP1708" s="188">
        <v>566</v>
      </c>
      <c r="AQ1708" s="188" t="s">
        <v>1716</v>
      </c>
      <c r="AR1708" s="188" t="s">
        <v>1717</v>
      </c>
      <c r="AS1708" s="188" t="s">
        <v>1718</v>
      </c>
      <c r="AT1708" s="188" t="s">
        <v>1719</v>
      </c>
      <c r="AU1708" s="188" t="s">
        <v>1703</v>
      </c>
      <c r="AV1708" s="188" t="s">
        <v>1720</v>
      </c>
      <c r="AW1708" s="188" t="s">
        <v>1705</v>
      </c>
      <c r="AX1708" s="188" t="s">
        <v>1965</v>
      </c>
      <c r="AY1708" s="188">
        <v>52.4</v>
      </c>
      <c r="AZ1708" s="188">
        <v>-126.7</v>
      </c>
      <c r="BA1708" s="188">
        <v>1</v>
      </c>
      <c r="BB1708" s="192"/>
      <c r="BC1708" s="192"/>
      <c r="BD1708" s="192"/>
      <c r="BE1708" s="192"/>
      <c r="BF1708" s="192"/>
      <c r="BG1708" s="192"/>
      <c r="BH1708" s="192"/>
      <c r="BI1708" s="192"/>
      <c r="BJ1708" s="192"/>
      <c r="BK1708" s="192"/>
      <c r="BL1708" s="192"/>
      <c r="BM1708" s="192"/>
      <c r="BN1708" s="192"/>
      <c r="BO1708" s="192"/>
      <c r="BP1708" s="192"/>
      <c r="BQ1708" s="192"/>
      <c r="BR1708" s="192"/>
      <c r="BS1708" s="192"/>
      <c r="BT1708" s="192"/>
    </row>
    <row r="1709" spans="2:72" ht="14.25" customHeight="1" x14ac:dyDescent="0.2">
      <c r="B1709" s="4">
        <v>12</v>
      </c>
      <c r="C1709" s="4" t="s">
        <v>1711</v>
      </c>
      <c r="D1709" s="4">
        <v>567</v>
      </c>
      <c r="E1709" s="4">
        <v>2025</v>
      </c>
      <c r="F1709" s="16" t="s">
        <v>3163</v>
      </c>
      <c r="G1709" s="9" t="s">
        <v>3164</v>
      </c>
      <c r="H1709" s="4" t="s">
        <v>3165</v>
      </c>
      <c r="I1709" s="4" t="s">
        <v>1664</v>
      </c>
      <c r="J1709" s="4" t="s">
        <v>1746</v>
      </c>
      <c r="K1709" s="4">
        <v>1</v>
      </c>
      <c r="L1709" s="4">
        <v>2428</v>
      </c>
      <c r="M1709" s="203"/>
      <c r="N1709" s="192"/>
      <c r="O1709" s="192"/>
      <c r="P1709" s="192"/>
      <c r="Q1709" s="192"/>
      <c r="R1709" s="192"/>
      <c r="S1709" s="192"/>
      <c r="T1709" s="192"/>
      <c r="U1709" s="192"/>
      <c r="V1709" s="192"/>
      <c r="W1709" s="192"/>
      <c r="X1709" s="192"/>
      <c r="Y1709" s="192"/>
      <c r="Z1709" s="192"/>
      <c r="AA1709" s="192"/>
      <c r="AB1709" s="192"/>
      <c r="AC1709" s="192"/>
      <c r="AD1709" s="192"/>
      <c r="AE1709" s="192"/>
      <c r="AF1709" s="192"/>
      <c r="AG1709" s="192"/>
      <c r="AH1709" s="192"/>
      <c r="AI1709" s="192"/>
      <c r="AJ1709" s="192"/>
      <c r="AK1709" s="192"/>
      <c r="AL1709" s="192"/>
      <c r="AM1709" s="192"/>
      <c r="AN1709" s="192"/>
      <c r="AO1709" s="188" t="s">
        <v>3163</v>
      </c>
      <c r="AP1709" s="188">
        <v>567</v>
      </c>
      <c r="AQ1709" s="188" t="s">
        <v>1716</v>
      </c>
      <c r="AR1709" s="188" t="s">
        <v>1717</v>
      </c>
      <c r="AS1709" s="188" t="s">
        <v>1718</v>
      </c>
      <c r="AT1709" s="188" t="s">
        <v>1719</v>
      </c>
      <c r="AU1709" s="188" t="s">
        <v>1703</v>
      </c>
      <c r="AV1709" s="188" t="s">
        <v>1720</v>
      </c>
      <c r="AW1709" s="188" t="s">
        <v>1947</v>
      </c>
      <c r="AX1709" s="188" t="s">
        <v>1948</v>
      </c>
      <c r="AY1709" s="188">
        <v>54.3</v>
      </c>
      <c r="AZ1709" s="188">
        <v>-129.80000000000001</v>
      </c>
      <c r="BA1709" s="188">
        <v>2</v>
      </c>
      <c r="BB1709" s="192"/>
      <c r="BC1709" s="192"/>
      <c r="BD1709" s="192"/>
      <c r="BE1709" s="192"/>
      <c r="BF1709" s="192"/>
      <c r="BG1709" s="192"/>
      <c r="BH1709" s="192"/>
      <c r="BI1709" s="192"/>
      <c r="BJ1709" s="192"/>
      <c r="BK1709" s="192"/>
      <c r="BL1709" s="192"/>
      <c r="BM1709" s="192"/>
      <c r="BN1709" s="192"/>
      <c r="BO1709" s="192"/>
      <c r="BP1709" s="192"/>
      <c r="BQ1709" s="192"/>
      <c r="BR1709" s="192"/>
      <c r="BS1709" s="192"/>
      <c r="BT1709" s="192"/>
    </row>
    <row r="1710" spans="2:72" ht="14.25" customHeight="1" x14ac:dyDescent="0.2">
      <c r="B1710" s="4">
        <v>12</v>
      </c>
      <c r="C1710" s="4" t="s">
        <v>1711</v>
      </c>
      <c r="D1710" s="4">
        <v>568</v>
      </c>
      <c r="E1710" s="4">
        <v>2026</v>
      </c>
      <c r="F1710" s="16" t="s">
        <v>3166</v>
      </c>
      <c r="G1710" s="9" t="s">
        <v>3167</v>
      </c>
      <c r="H1710" s="4" t="s">
        <v>3168</v>
      </c>
      <c r="I1710" s="4" t="s">
        <v>1664</v>
      </c>
      <c r="J1710" s="4" t="s">
        <v>1715</v>
      </c>
      <c r="K1710" s="4">
        <v>1</v>
      </c>
      <c r="L1710" s="4">
        <v>2429</v>
      </c>
      <c r="M1710" s="203"/>
      <c r="N1710" s="192"/>
      <c r="O1710" s="192"/>
      <c r="P1710" s="192"/>
      <c r="Q1710" s="192"/>
      <c r="R1710" s="192"/>
      <c r="S1710" s="192"/>
      <c r="T1710" s="192"/>
      <c r="U1710" s="192"/>
      <c r="V1710" s="192"/>
      <c r="W1710" s="192"/>
      <c r="X1710" s="192"/>
      <c r="Y1710" s="192"/>
      <c r="Z1710" s="192"/>
      <c r="AA1710" s="192"/>
      <c r="AB1710" s="192"/>
      <c r="AC1710" s="192"/>
      <c r="AD1710" s="192"/>
      <c r="AE1710" s="192"/>
      <c r="AF1710" s="192"/>
      <c r="AG1710" s="192"/>
      <c r="AH1710" s="192"/>
      <c r="AI1710" s="192"/>
      <c r="AJ1710" s="192"/>
      <c r="AK1710" s="192"/>
      <c r="AL1710" s="192"/>
      <c r="AM1710" s="192"/>
      <c r="AN1710" s="192"/>
      <c r="AO1710" s="188" t="s">
        <v>3166</v>
      </c>
      <c r="AP1710" s="188">
        <v>568</v>
      </c>
      <c r="AQ1710" s="188" t="s">
        <v>1716</v>
      </c>
      <c r="AR1710" s="188" t="s">
        <v>1717</v>
      </c>
      <c r="AS1710" s="188" t="s">
        <v>1718</v>
      </c>
      <c r="AT1710" s="188" t="s">
        <v>1719</v>
      </c>
      <c r="AU1710" s="188" t="s">
        <v>1703</v>
      </c>
      <c r="AV1710" s="188" t="s">
        <v>1720</v>
      </c>
      <c r="AW1710" s="188" t="s">
        <v>1705</v>
      </c>
      <c r="AX1710" s="188" t="s">
        <v>1965</v>
      </c>
      <c r="AY1710" s="188">
        <v>52.5</v>
      </c>
      <c r="AZ1710" s="188">
        <v>-127.6</v>
      </c>
      <c r="BA1710" s="188">
        <v>2</v>
      </c>
      <c r="BB1710" s="192"/>
      <c r="BC1710" s="192"/>
      <c r="BD1710" s="192"/>
      <c r="BE1710" s="192"/>
      <c r="BF1710" s="192"/>
      <c r="BG1710" s="192"/>
      <c r="BH1710" s="192"/>
      <c r="BI1710" s="192"/>
      <c r="BJ1710" s="192"/>
      <c r="BK1710" s="192"/>
      <c r="BL1710" s="192"/>
      <c r="BM1710" s="192"/>
      <c r="BN1710" s="192"/>
      <c r="BO1710" s="192"/>
      <c r="BP1710" s="192"/>
      <c r="BQ1710" s="192"/>
      <c r="BR1710" s="192"/>
      <c r="BS1710" s="192"/>
      <c r="BT1710" s="192"/>
    </row>
    <row r="1711" spans="2:72" ht="14.25" customHeight="1" x14ac:dyDescent="0.2">
      <c r="B1711" s="4">
        <v>12</v>
      </c>
      <c r="C1711" s="4" t="s">
        <v>1711</v>
      </c>
      <c r="D1711" s="4">
        <v>569</v>
      </c>
      <c r="E1711" s="4">
        <v>2027</v>
      </c>
      <c r="F1711" s="16" t="s">
        <v>3169</v>
      </c>
      <c r="G1711" s="188" t="s">
        <v>3170</v>
      </c>
      <c r="H1711" s="4" t="s">
        <v>3171</v>
      </c>
      <c r="I1711" s="4" t="s">
        <v>1664</v>
      </c>
      <c r="J1711" s="4" t="s">
        <v>1746</v>
      </c>
      <c r="K1711" s="4">
        <v>1</v>
      </c>
      <c r="L1711" s="4">
        <v>2430</v>
      </c>
      <c r="M1711" s="9"/>
      <c r="U1711"/>
      <c r="AO1711" s="4" t="s">
        <v>3169</v>
      </c>
      <c r="AP1711" s="4">
        <v>569</v>
      </c>
      <c r="AQ1711" s="4" t="s">
        <v>1716</v>
      </c>
      <c r="AR1711" s="4" t="s">
        <v>1717</v>
      </c>
      <c r="AS1711" s="4" t="s">
        <v>1718</v>
      </c>
      <c r="AT1711" s="4" t="s">
        <v>1719</v>
      </c>
      <c r="AU1711" s="4" t="s">
        <v>1703</v>
      </c>
      <c r="AV1711" s="4" t="s">
        <v>1720</v>
      </c>
      <c r="AW1711" s="4" t="s">
        <v>1705</v>
      </c>
      <c r="AX1711" s="4" t="s">
        <v>1965</v>
      </c>
      <c r="AY1711" s="4">
        <v>52.3</v>
      </c>
      <c r="AZ1711" s="4">
        <v>-127.3</v>
      </c>
      <c r="BA1711" s="4">
        <v>0</v>
      </c>
    </row>
    <row r="1712" spans="2:72" ht="14.25" customHeight="1" x14ac:dyDescent="0.2">
      <c r="B1712" s="4">
        <v>12</v>
      </c>
      <c r="C1712" s="4" t="s">
        <v>1711</v>
      </c>
      <c r="D1712" s="4">
        <v>571</v>
      </c>
      <c r="E1712" s="4">
        <v>2029</v>
      </c>
      <c r="F1712" s="16" t="s">
        <v>3175</v>
      </c>
      <c r="G1712" s="188" t="s">
        <v>3176</v>
      </c>
      <c r="H1712" s="4" t="s">
        <v>3177</v>
      </c>
      <c r="I1712" s="4" t="s">
        <v>1664</v>
      </c>
      <c r="J1712" s="4" t="s">
        <v>1715</v>
      </c>
      <c r="K1712" s="4">
        <v>1</v>
      </c>
      <c r="L1712" s="4">
        <v>2432</v>
      </c>
      <c r="M1712" s="9"/>
      <c r="U1712"/>
      <c r="AO1712" s="4" t="s">
        <v>3175</v>
      </c>
      <c r="AP1712" s="4">
        <v>571</v>
      </c>
      <c r="AQ1712" s="4" t="s">
        <v>1716</v>
      </c>
      <c r="AR1712" s="4" t="s">
        <v>1717</v>
      </c>
      <c r="AS1712" s="4" t="s">
        <v>1718</v>
      </c>
      <c r="AT1712" s="4" t="s">
        <v>1719</v>
      </c>
      <c r="AU1712" s="4" t="s">
        <v>1703</v>
      </c>
      <c r="AV1712" s="4" t="s">
        <v>1720</v>
      </c>
      <c r="AW1712" s="4" t="s">
        <v>1947</v>
      </c>
      <c r="AX1712" s="4" t="s">
        <v>1948</v>
      </c>
      <c r="AY1712" s="4">
        <v>54.2</v>
      </c>
      <c r="AZ1712" s="4">
        <v>-129.80000000000001</v>
      </c>
      <c r="BA1712" s="4">
        <v>0</v>
      </c>
    </row>
    <row r="1713" spans="2:72" ht="14.25" customHeight="1" x14ac:dyDescent="0.2">
      <c r="B1713" s="4">
        <v>12</v>
      </c>
      <c r="C1713" s="4" t="s">
        <v>1711</v>
      </c>
      <c r="D1713" s="4">
        <v>572</v>
      </c>
      <c r="E1713" s="4">
        <v>2030</v>
      </c>
      <c r="F1713" s="16" t="s">
        <v>3178</v>
      </c>
      <c r="G1713" s="4" t="s">
        <v>3179</v>
      </c>
      <c r="H1713" s="4" t="s">
        <v>3180</v>
      </c>
      <c r="I1713" s="4" t="s">
        <v>1664</v>
      </c>
      <c r="J1713" s="4" t="s">
        <v>1746</v>
      </c>
      <c r="K1713" s="4">
        <v>1</v>
      </c>
      <c r="L1713" s="4">
        <v>2433</v>
      </c>
      <c r="M1713" s="203"/>
      <c r="N1713" s="192"/>
      <c r="O1713" s="192"/>
      <c r="P1713" s="192"/>
      <c r="Q1713" s="192"/>
      <c r="R1713" s="192"/>
      <c r="S1713" s="192"/>
      <c r="T1713" s="192"/>
      <c r="U1713" s="192"/>
      <c r="V1713" s="192"/>
      <c r="W1713" s="192"/>
      <c r="X1713" s="192"/>
      <c r="Y1713" s="192"/>
      <c r="Z1713" s="192"/>
      <c r="AA1713" s="192"/>
      <c r="AB1713" s="192"/>
      <c r="AC1713" s="192"/>
      <c r="AD1713" s="192"/>
      <c r="AE1713" s="192"/>
      <c r="AF1713" s="192"/>
      <c r="AG1713" s="192"/>
      <c r="AH1713" s="192"/>
      <c r="AI1713" s="192"/>
      <c r="AJ1713" s="192"/>
      <c r="AK1713" s="192"/>
      <c r="AL1713" s="192"/>
      <c r="AM1713" s="192"/>
      <c r="AN1713" s="192"/>
      <c r="AO1713" s="188" t="s">
        <v>3178</v>
      </c>
      <c r="AP1713" s="188">
        <v>572</v>
      </c>
      <c r="AQ1713" s="188" t="s">
        <v>1716</v>
      </c>
      <c r="AR1713" s="188" t="s">
        <v>1717</v>
      </c>
      <c r="AS1713" s="188" t="s">
        <v>1718</v>
      </c>
      <c r="AT1713" s="188" t="s">
        <v>1719</v>
      </c>
      <c r="AU1713" s="188" t="s">
        <v>1703</v>
      </c>
      <c r="AV1713" s="188" t="s">
        <v>1720</v>
      </c>
      <c r="AW1713" s="188" t="s">
        <v>1947</v>
      </c>
      <c r="AX1713" s="188" t="s">
        <v>1948</v>
      </c>
      <c r="AY1713" s="188">
        <v>53.3</v>
      </c>
      <c r="AZ1713" s="188">
        <v>-128.5</v>
      </c>
      <c r="BA1713" s="188">
        <v>1</v>
      </c>
      <c r="BB1713" s="192"/>
      <c r="BC1713" s="192"/>
      <c r="BD1713" s="192"/>
      <c r="BE1713" s="192"/>
      <c r="BF1713" s="192"/>
      <c r="BG1713" s="192"/>
      <c r="BH1713" s="192"/>
      <c r="BI1713" s="192"/>
      <c r="BJ1713" s="192"/>
      <c r="BK1713" s="192"/>
      <c r="BL1713" s="192"/>
      <c r="BM1713" s="192"/>
      <c r="BN1713" s="192"/>
      <c r="BO1713" s="192"/>
      <c r="BP1713" s="192"/>
      <c r="BQ1713" s="192"/>
      <c r="BR1713" s="192"/>
      <c r="BS1713" s="192"/>
      <c r="BT1713" s="192"/>
    </row>
    <row r="1714" spans="2:72" ht="14.25" customHeight="1" x14ac:dyDescent="0.2">
      <c r="B1714" s="4">
        <v>12</v>
      </c>
      <c r="C1714" s="4" t="s">
        <v>1711</v>
      </c>
      <c r="D1714" s="4">
        <v>575</v>
      </c>
      <c r="E1714" s="4">
        <v>2032</v>
      </c>
      <c r="F1714" s="16" t="s">
        <v>3184</v>
      </c>
      <c r="G1714" s="4" t="s">
        <v>3185</v>
      </c>
      <c r="H1714" s="4" t="s">
        <v>3186</v>
      </c>
      <c r="I1714" s="4" t="s">
        <v>1664</v>
      </c>
      <c r="J1714" s="4" t="s">
        <v>1746</v>
      </c>
      <c r="K1714" s="4">
        <v>1</v>
      </c>
      <c r="L1714" s="4">
        <v>2435</v>
      </c>
      <c r="M1714" s="9"/>
      <c r="U1714" s="192"/>
      <c r="V1714" s="192"/>
      <c r="W1714" s="192"/>
      <c r="X1714" s="192"/>
      <c r="Y1714" s="192"/>
      <c r="Z1714" s="192"/>
      <c r="AA1714" s="192"/>
      <c r="AB1714" s="192"/>
      <c r="AC1714" s="192"/>
      <c r="AD1714" s="192"/>
      <c r="AE1714" s="192"/>
      <c r="AF1714" s="192"/>
      <c r="AG1714" s="192"/>
      <c r="AH1714" s="192"/>
      <c r="AI1714" s="192"/>
      <c r="AJ1714" s="192"/>
      <c r="AK1714" s="192"/>
      <c r="AL1714" s="192"/>
      <c r="AM1714" s="192"/>
      <c r="AN1714" s="192"/>
      <c r="AO1714" s="188" t="s">
        <v>3184</v>
      </c>
      <c r="AP1714" s="188">
        <v>575</v>
      </c>
      <c r="AQ1714" s="188" t="s">
        <v>1716</v>
      </c>
      <c r="AR1714" s="188" t="s">
        <v>1717</v>
      </c>
      <c r="AS1714" s="188" t="s">
        <v>1718</v>
      </c>
      <c r="AT1714" s="188" t="s">
        <v>1719</v>
      </c>
      <c r="AU1714" s="188" t="s">
        <v>1703</v>
      </c>
      <c r="AV1714" s="188" t="s">
        <v>1720</v>
      </c>
      <c r="AW1714" s="188" t="s">
        <v>1705</v>
      </c>
      <c r="AX1714" s="188" t="s">
        <v>1965</v>
      </c>
      <c r="AY1714" s="188">
        <v>52.7</v>
      </c>
      <c r="AZ1714" s="188">
        <v>-128.30000000000001</v>
      </c>
      <c r="BA1714" s="188">
        <v>1</v>
      </c>
      <c r="BB1714" s="192"/>
      <c r="BC1714" s="192"/>
      <c r="BD1714" s="192"/>
      <c r="BE1714" s="192"/>
      <c r="BF1714" s="192"/>
      <c r="BG1714" s="192"/>
      <c r="BH1714" s="192"/>
      <c r="BI1714" s="192"/>
      <c r="BJ1714" s="192"/>
      <c r="BK1714" s="192"/>
      <c r="BL1714" s="192"/>
      <c r="BM1714" s="192"/>
      <c r="BN1714" s="192"/>
      <c r="BO1714" s="192"/>
      <c r="BP1714" s="192"/>
      <c r="BQ1714" s="192"/>
      <c r="BR1714" s="192"/>
      <c r="BS1714" s="192"/>
      <c r="BT1714" s="192"/>
    </row>
    <row r="1715" spans="2:72" ht="14.25" customHeight="1" x14ac:dyDescent="0.2">
      <c r="B1715" s="4">
        <v>12</v>
      </c>
      <c r="C1715" s="4" t="s">
        <v>1711</v>
      </c>
      <c r="D1715" s="4">
        <v>579</v>
      </c>
      <c r="E1715" s="4">
        <v>2036</v>
      </c>
      <c r="F1715" s="211" t="s">
        <v>3196</v>
      </c>
      <c r="G1715" s="4" t="s">
        <v>3197</v>
      </c>
      <c r="H1715" s="4" t="s">
        <v>3198</v>
      </c>
      <c r="I1715" s="4" t="s">
        <v>1664</v>
      </c>
      <c r="J1715" s="4" t="s">
        <v>1715</v>
      </c>
      <c r="K1715" s="4">
        <v>1</v>
      </c>
      <c r="L1715" s="4">
        <v>2439</v>
      </c>
      <c r="M1715" s="9"/>
      <c r="U1715"/>
      <c r="AO1715" s="4" t="s">
        <v>3196</v>
      </c>
      <c r="AP1715" s="4">
        <v>579</v>
      </c>
      <c r="AQ1715" s="4" t="s">
        <v>1716</v>
      </c>
      <c r="AR1715" s="4" t="s">
        <v>1717</v>
      </c>
      <c r="AS1715" s="4" t="s">
        <v>1718</v>
      </c>
      <c r="AT1715" s="4" t="s">
        <v>1719</v>
      </c>
      <c r="AU1715" s="4" t="s">
        <v>1703</v>
      </c>
      <c r="AV1715" s="4" t="s">
        <v>1720</v>
      </c>
      <c r="AW1715" s="4" t="s">
        <v>1705</v>
      </c>
      <c r="AX1715" s="4" t="s">
        <v>1965</v>
      </c>
      <c r="AY1715" s="4">
        <v>52.2</v>
      </c>
      <c r="AZ1715" s="4">
        <v>-126.8</v>
      </c>
      <c r="BA1715" s="4">
        <v>1</v>
      </c>
    </row>
    <row r="1716" spans="2:72" ht="14.25" customHeight="1" x14ac:dyDescent="0.2">
      <c r="B1716" s="4">
        <v>12</v>
      </c>
      <c r="C1716" s="4" t="s">
        <v>1711</v>
      </c>
      <c r="D1716" s="4">
        <v>580</v>
      </c>
      <c r="E1716" s="4">
        <v>2037</v>
      </c>
      <c r="F1716" s="16" t="s">
        <v>3199</v>
      </c>
      <c r="G1716" s="4" t="s">
        <v>3200</v>
      </c>
      <c r="H1716" s="4" t="s">
        <v>3201</v>
      </c>
      <c r="I1716" s="4" t="s">
        <v>1664</v>
      </c>
      <c r="J1716" s="4" t="s">
        <v>1715</v>
      </c>
      <c r="K1716" s="4">
        <v>1</v>
      </c>
      <c r="L1716" s="4">
        <v>2440</v>
      </c>
      <c r="M1716" s="203"/>
      <c r="N1716" s="192"/>
      <c r="O1716" s="192"/>
      <c r="P1716" s="192"/>
      <c r="Q1716" s="192"/>
      <c r="R1716" s="192"/>
      <c r="S1716" s="192"/>
      <c r="T1716" s="192"/>
      <c r="U1716" s="192"/>
      <c r="V1716" s="192"/>
      <c r="W1716" s="192"/>
      <c r="X1716" s="192"/>
      <c r="Y1716" s="192"/>
      <c r="Z1716" s="192"/>
      <c r="AA1716" s="192"/>
      <c r="AB1716" s="192"/>
      <c r="AC1716" s="192"/>
      <c r="AD1716" s="192"/>
      <c r="AE1716" s="192"/>
      <c r="AF1716" s="192"/>
      <c r="AG1716" s="192"/>
      <c r="AH1716" s="192"/>
      <c r="AI1716" s="192"/>
      <c r="AJ1716" s="192"/>
      <c r="AK1716" s="192"/>
      <c r="AL1716" s="192"/>
      <c r="AM1716" s="192"/>
      <c r="AN1716" s="192"/>
      <c r="AO1716" s="188" t="s">
        <v>3199</v>
      </c>
      <c r="AP1716" s="188">
        <v>580</v>
      </c>
      <c r="AQ1716" s="188" t="s">
        <v>1716</v>
      </c>
      <c r="AR1716" s="188" t="s">
        <v>1717</v>
      </c>
      <c r="AS1716" s="188" t="s">
        <v>1718</v>
      </c>
      <c r="AT1716" s="188" t="s">
        <v>1719</v>
      </c>
      <c r="AU1716" s="188" t="s">
        <v>1703</v>
      </c>
      <c r="AV1716" s="188" t="s">
        <v>1720</v>
      </c>
      <c r="AW1716" s="188" t="s">
        <v>1705</v>
      </c>
      <c r="AX1716" s="188" t="s">
        <v>1965</v>
      </c>
      <c r="AY1716" s="188">
        <v>51.6</v>
      </c>
      <c r="AZ1716" s="188">
        <v>-126.7</v>
      </c>
      <c r="BA1716" s="188">
        <v>1</v>
      </c>
      <c r="BB1716" s="192"/>
      <c r="BC1716" s="192"/>
      <c r="BD1716" s="192"/>
      <c r="BE1716" s="192"/>
      <c r="BF1716" s="192"/>
      <c r="BG1716" s="192"/>
      <c r="BH1716" s="192"/>
      <c r="BI1716" s="192"/>
      <c r="BJ1716" s="192"/>
      <c r="BK1716" s="192"/>
      <c r="BL1716" s="192"/>
      <c r="BM1716" s="192"/>
      <c r="BN1716" s="192"/>
      <c r="BO1716" s="192"/>
      <c r="BP1716" s="192"/>
      <c r="BQ1716" s="192"/>
      <c r="BR1716" s="192"/>
      <c r="BS1716" s="192"/>
      <c r="BT1716" s="192"/>
    </row>
    <row r="1717" spans="2:72" ht="14.25" customHeight="1" x14ac:dyDescent="0.2">
      <c r="B1717" s="4">
        <v>12</v>
      </c>
      <c r="C1717" s="188" t="s">
        <v>1711</v>
      </c>
      <c r="D1717" s="4">
        <v>581</v>
      </c>
      <c r="E1717" s="4">
        <v>2038</v>
      </c>
      <c r="F1717" s="211" t="s">
        <v>3202</v>
      </c>
      <c r="G1717" s="4" t="s">
        <v>3203</v>
      </c>
      <c r="H1717" s="4" t="s">
        <v>3159</v>
      </c>
      <c r="I1717" s="4" t="s">
        <v>1664</v>
      </c>
      <c r="J1717" s="4" t="s">
        <v>1715</v>
      </c>
      <c r="K1717" s="4">
        <v>1</v>
      </c>
      <c r="L1717" s="4">
        <v>2441</v>
      </c>
      <c r="M1717" s="203"/>
      <c r="N1717" s="192"/>
      <c r="O1717" s="192"/>
      <c r="P1717" s="192"/>
      <c r="Q1717" s="192"/>
      <c r="R1717" s="192"/>
      <c r="S1717" s="192"/>
      <c r="T1717" s="192"/>
      <c r="U1717" s="192"/>
      <c r="V1717" s="192"/>
      <c r="W1717" s="192"/>
      <c r="X1717" s="192"/>
      <c r="Y1717" s="192"/>
      <c r="Z1717" s="192"/>
      <c r="AA1717" s="192"/>
      <c r="AB1717" s="192"/>
      <c r="AC1717" s="192"/>
      <c r="AD1717" s="192"/>
      <c r="AE1717" s="192"/>
      <c r="AF1717" s="192"/>
      <c r="AG1717" s="192"/>
      <c r="AH1717" s="192"/>
      <c r="AI1717" s="192"/>
      <c r="AJ1717" s="192"/>
      <c r="AK1717" s="192"/>
      <c r="AL1717" s="192"/>
      <c r="AM1717" s="192"/>
      <c r="AN1717" s="192"/>
      <c r="AO1717" s="188" t="s">
        <v>3202</v>
      </c>
      <c r="AP1717" s="188">
        <v>581</v>
      </c>
      <c r="AQ1717" s="188" t="s">
        <v>1716</v>
      </c>
      <c r="AR1717" s="188" t="s">
        <v>1717</v>
      </c>
      <c r="AS1717" s="188" t="s">
        <v>1718</v>
      </c>
      <c r="AT1717" s="188" t="s">
        <v>1719</v>
      </c>
      <c r="AU1717" s="188" t="s">
        <v>1703</v>
      </c>
      <c r="AV1717" s="188" t="s">
        <v>1720</v>
      </c>
      <c r="AW1717" s="188" t="s">
        <v>1705</v>
      </c>
      <c r="AX1717" s="188" t="s">
        <v>1965</v>
      </c>
      <c r="AY1717" s="188">
        <v>51.8</v>
      </c>
      <c r="AZ1717" s="188">
        <v>-126.6</v>
      </c>
      <c r="BA1717" s="188">
        <v>1</v>
      </c>
      <c r="BB1717" s="192"/>
      <c r="BC1717" s="192"/>
      <c r="BD1717" s="192"/>
      <c r="BE1717" s="192"/>
      <c r="BF1717" s="192"/>
      <c r="BG1717" s="192"/>
      <c r="BH1717" s="192"/>
      <c r="BI1717" s="192"/>
      <c r="BJ1717" s="192"/>
      <c r="BK1717" s="192"/>
      <c r="BL1717" s="192"/>
      <c r="BM1717" s="192"/>
      <c r="BN1717" s="192"/>
      <c r="BO1717" s="192"/>
      <c r="BP1717" s="192"/>
      <c r="BQ1717" s="192"/>
      <c r="BR1717" s="192"/>
      <c r="BS1717" s="192"/>
      <c r="BT1717" s="192"/>
    </row>
    <row r="1718" spans="2:72" ht="14.25" customHeight="1" x14ac:dyDescent="0.2">
      <c r="B1718" s="4">
        <v>12</v>
      </c>
      <c r="C1718" s="188" t="s">
        <v>1711</v>
      </c>
      <c r="D1718" s="188">
        <v>582</v>
      </c>
      <c r="E1718" s="4">
        <v>2039</v>
      </c>
      <c r="F1718" s="16" t="s">
        <v>3204</v>
      </c>
      <c r="G1718" s="188" t="s">
        <v>3205</v>
      </c>
      <c r="H1718" s="4" t="s">
        <v>3159</v>
      </c>
      <c r="I1718" s="4" t="s">
        <v>1664</v>
      </c>
      <c r="J1718" s="4" t="s">
        <v>1715</v>
      </c>
      <c r="K1718" s="4">
        <v>1</v>
      </c>
      <c r="L1718" s="4">
        <v>2442</v>
      </c>
      <c r="M1718" s="203"/>
      <c r="N1718" s="192"/>
      <c r="O1718" s="192"/>
      <c r="P1718" s="192"/>
      <c r="Q1718" s="192"/>
      <c r="R1718" s="192"/>
      <c r="S1718" s="192"/>
      <c r="T1718" s="192"/>
      <c r="U1718" s="192"/>
      <c r="V1718" s="192"/>
      <c r="W1718" s="192"/>
      <c r="X1718" s="192"/>
      <c r="Y1718" s="192"/>
      <c r="Z1718" s="192"/>
      <c r="AA1718" s="192"/>
      <c r="AB1718" s="192"/>
      <c r="AC1718" s="192"/>
      <c r="AD1718" s="192"/>
      <c r="AE1718" s="192"/>
      <c r="AF1718" s="192"/>
      <c r="AG1718" s="192"/>
      <c r="AH1718" s="192"/>
      <c r="AI1718" s="192"/>
      <c r="AJ1718" s="192"/>
      <c r="AK1718" s="192"/>
      <c r="AL1718" s="192"/>
      <c r="AM1718" s="192"/>
      <c r="AN1718" s="192"/>
      <c r="AO1718" s="188" t="s">
        <v>3204</v>
      </c>
      <c r="AP1718" s="188">
        <v>582</v>
      </c>
      <c r="AQ1718" s="188" t="s">
        <v>1716</v>
      </c>
      <c r="AR1718" s="188" t="s">
        <v>1717</v>
      </c>
      <c r="AS1718" s="188" t="s">
        <v>1718</v>
      </c>
      <c r="AT1718" s="188" t="s">
        <v>1719</v>
      </c>
      <c r="AU1718" s="188" t="s">
        <v>1703</v>
      </c>
      <c r="AV1718" s="188" t="s">
        <v>1720</v>
      </c>
      <c r="AW1718" s="188" t="s">
        <v>1705</v>
      </c>
      <c r="AX1718" s="188" t="s">
        <v>1965</v>
      </c>
      <c r="AY1718" s="188">
        <v>51.8</v>
      </c>
      <c r="AZ1718" s="188">
        <v>-126.7</v>
      </c>
      <c r="BA1718" s="188">
        <v>1</v>
      </c>
      <c r="BB1718" s="192"/>
      <c r="BC1718" s="192"/>
      <c r="BD1718" s="192"/>
      <c r="BE1718" s="192"/>
      <c r="BF1718" s="192"/>
      <c r="BG1718" s="192"/>
      <c r="BH1718" s="192"/>
      <c r="BI1718" s="192"/>
      <c r="BJ1718" s="192"/>
      <c r="BK1718" s="192"/>
      <c r="BL1718" s="192"/>
      <c r="BM1718" s="192"/>
      <c r="BN1718" s="192"/>
      <c r="BO1718" s="192"/>
      <c r="BP1718" s="192"/>
      <c r="BQ1718" s="192"/>
      <c r="BR1718" s="192"/>
      <c r="BS1718" s="192"/>
      <c r="BT1718" s="192"/>
    </row>
    <row r="1719" spans="2:72" ht="14.25" customHeight="1" x14ac:dyDescent="0.2">
      <c r="B1719" s="4">
        <v>12</v>
      </c>
      <c r="C1719" s="4" t="s">
        <v>1711</v>
      </c>
      <c r="D1719" s="4">
        <v>583</v>
      </c>
      <c r="E1719" s="4">
        <v>2040</v>
      </c>
      <c r="F1719" s="211" t="s">
        <v>3206</v>
      </c>
      <c r="G1719" s="4" t="s">
        <v>3207</v>
      </c>
      <c r="H1719" s="4" t="s">
        <v>3208</v>
      </c>
      <c r="I1719" s="4" t="s">
        <v>1664</v>
      </c>
      <c r="J1719" s="4" t="s">
        <v>1715</v>
      </c>
      <c r="K1719" s="4">
        <v>1</v>
      </c>
      <c r="L1719" s="4">
        <v>2443</v>
      </c>
      <c r="M1719" s="9"/>
      <c r="U1719"/>
      <c r="AO1719" s="4" t="s">
        <v>3206</v>
      </c>
      <c r="AP1719" s="4">
        <v>583</v>
      </c>
      <c r="AQ1719" s="4" t="s">
        <v>1716</v>
      </c>
      <c r="AR1719" s="4" t="s">
        <v>1717</v>
      </c>
      <c r="AS1719" s="4" t="s">
        <v>1718</v>
      </c>
      <c r="AT1719" s="4" t="s">
        <v>1719</v>
      </c>
      <c r="AU1719" s="4" t="s">
        <v>1703</v>
      </c>
      <c r="AV1719" s="4" t="s">
        <v>1720</v>
      </c>
      <c r="AW1719" s="4" t="s">
        <v>1705</v>
      </c>
      <c r="AX1719" s="4" t="s">
        <v>1837</v>
      </c>
      <c r="AY1719" s="4">
        <v>50</v>
      </c>
      <c r="AZ1719" s="4">
        <v>-124</v>
      </c>
      <c r="BA1719" s="4">
        <v>1</v>
      </c>
    </row>
    <row r="1720" spans="2:72" ht="14.25" customHeight="1" x14ac:dyDescent="0.2">
      <c r="B1720" s="4">
        <v>12</v>
      </c>
      <c r="C1720" s="4" t="s">
        <v>1711</v>
      </c>
      <c r="D1720" s="4">
        <v>584</v>
      </c>
      <c r="E1720" s="4">
        <v>2041</v>
      </c>
      <c r="F1720" s="16" t="s">
        <v>3209</v>
      </c>
      <c r="G1720" s="4" t="s">
        <v>3210</v>
      </c>
      <c r="H1720" s="4" t="s">
        <v>3211</v>
      </c>
      <c r="I1720" s="4" t="s">
        <v>1664</v>
      </c>
      <c r="J1720" s="4" t="s">
        <v>1715</v>
      </c>
      <c r="K1720" s="4">
        <v>1</v>
      </c>
      <c r="L1720" s="4">
        <v>2444</v>
      </c>
      <c r="M1720" s="203"/>
      <c r="N1720" s="192"/>
      <c r="O1720" s="192"/>
      <c r="P1720" s="192"/>
      <c r="Q1720" s="192"/>
      <c r="R1720" s="192"/>
      <c r="S1720" s="192"/>
      <c r="T1720" s="192"/>
      <c r="U1720" s="192"/>
      <c r="V1720" s="192"/>
      <c r="W1720" s="192"/>
      <c r="X1720" s="192"/>
      <c r="Y1720" s="192"/>
      <c r="Z1720" s="192"/>
      <c r="AA1720" s="192"/>
      <c r="AB1720" s="192"/>
      <c r="AC1720" s="192"/>
      <c r="AD1720" s="192"/>
      <c r="AE1720" s="192"/>
      <c r="AF1720" s="192"/>
      <c r="AG1720" s="192"/>
      <c r="AH1720" s="192"/>
      <c r="AI1720" s="192"/>
      <c r="AJ1720" s="192"/>
      <c r="AK1720" s="192"/>
      <c r="AL1720" s="192"/>
      <c r="AM1720" s="192"/>
      <c r="AN1720" s="192"/>
      <c r="AO1720" s="188" t="s">
        <v>3209</v>
      </c>
      <c r="AP1720" s="188">
        <v>584</v>
      </c>
      <c r="AQ1720" s="188" t="s">
        <v>1716</v>
      </c>
      <c r="AR1720" s="188" t="s">
        <v>1717</v>
      </c>
      <c r="AS1720" s="188" t="s">
        <v>1718</v>
      </c>
      <c r="AT1720" s="188" t="s">
        <v>1719</v>
      </c>
      <c r="AU1720" s="188" t="s">
        <v>1703</v>
      </c>
      <c r="AV1720" s="188" t="s">
        <v>1720</v>
      </c>
      <c r="AW1720" s="188" t="s">
        <v>1705</v>
      </c>
      <c r="AX1720" s="188" t="s">
        <v>2153</v>
      </c>
      <c r="AY1720" s="188">
        <v>53.5</v>
      </c>
      <c r="AZ1720" s="188">
        <v>-127.4</v>
      </c>
      <c r="BA1720" s="188">
        <v>19</v>
      </c>
      <c r="BB1720" s="192"/>
      <c r="BC1720" s="192"/>
      <c r="BD1720" s="192"/>
      <c r="BE1720" s="192"/>
      <c r="BF1720" s="192"/>
      <c r="BG1720" s="192"/>
      <c r="BH1720" s="192"/>
      <c r="BI1720" s="192"/>
      <c r="BJ1720" s="192"/>
      <c r="BK1720" s="192"/>
      <c r="BL1720" s="192"/>
      <c r="BM1720" s="192"/>
      <c r="BN1720" s="192"/>
      <c r="BO1720" s="192"/>
      <c r="BP1720" s="192"/>
      <c r="BQ1720" s="192"/>
      <c r="BR1720" s="192"/>
      <c r="BS1720" s="192"/>
      <c r="BT1720" s="192"/>
    </row>
    <row r="1721" spans="2:72" ht="14.25" customHeight="1" x14ac:dyDescent="0.2">
      <c r="B1721" s="4">
        <v>12</v>
      </c>
      <c r="C1721" s="4" t="s">
        <v>1711</v>
      </c>
      <c r="D1721" s="4">
        <v>585</v>
      </c>
      <c r="E1721" s="4">
        <v>2042</v>
      </c>
      <c r="F1721" s="16" t="s">
        <v>3212</v>
      </c>
      <c r="G1721" s="4" t="s">
        <v>3213</v>
      </c>
      <c r="H1721" s="4" t="s">
        <v>3214</v>
      </c>
      <c r="I1721" s="4" t="s">
        <v>641</v>
      </c>
      <c r="J1721" s="4" t="s">
        <v>1746</v>
      </c>
      <c r="K1721" s="4">
        <v>1</v>
      </c>
      <c r="L1721" s="4">
        <v>2445</v>
      </c>
      <c r="M1721" s="203"/>
      <c r="N1721" s="192"/>
      <c r="O1721" s="192"/>
      <c r="P1721" s="192"/>
      <c r="Q1721" s="192"/>
      <c r="R1721" s="192"/>
      <c r="S1721" s="192"/>
      <c r="T1721" s="192"/>
      <c r="U1721" s="192"/>
      <c r="V1721" s="192"/>
      <c r="W1721" s="192"/>
      <c r="X1721" s="192"/>
      <c r="Y1721" s="192"/>
      <c r="Z1721" s="192"/>
      <c r="AA1721" s="192"/>
      <c r="AB1721" s="192"/>
      <c r="AC1721" s="192"/>
      <c r="AD1721" s="192"/>
      <c r="AE1721" s="192"/>
      <c r="AF1721" s="192"/>
      <c r="AG1721" s="192"/>
      <c r="AH1721" s="192"/>
      <c r="AI1721" s="192"/>
      <c r="AJ1721" s="192"/>
      <c r="AK1721" s="192"/>
      <c r="AL1721" s="192"/>
      <c r="AM1721" s="192"/>
      <c r="AN1721" s="192"/>
      <c r="AO1721" s="188" t="s">
        <v>3212</v>
      </c>
      <c r="AP1721" s="188">
        <v>585</v>
      </c>
      <c r="AQ1721" s="188" t="s">
        <v>1716</v>
      </c>
      <c r="AR1721" s="188" t="s">
        <v>1717</v>
      </c>
      <c r="AS1721" s="188" t="s">
        <v>1718</v>
      </c>
      <c r="AT1721" s="188" t="s">
        <v>1719</v>
      </c>
      <c r="AU1721" s="188" t="s">
        <v>1959</v>
      </c>
      <c r="AV1721" s="188" t="s">
        <v>1720</v>
      </c>
      <c r="AW1721" s="188" t="s">
        <v>1705</v>
      </c>
      <c r="AX1721" s="188" t="s">
        <v>1965</v>
      </c>
      <c r="AY1721" s="188">
        <v>52.383600000000001</v>
      </c>
      <c r="AZ1721" s="188">
        <v>-126.5913</v>
      </c>
      <c r="BA1721" s="188">
        <v>50</v>
      </c>
      <c r="BB1721" s="192"/>
      <c r="BC1721" s="192"/>
      <c r="BD1721" s="192"/>
      <c r="BE1721" s="192"/>
      <c r="BF1721" s="192"/>
      <c r="BG1721" s="192"/>
      <c r="BH1721" s="192"/>
      <c r="BI1721" s="192"/>
      <c r="BJ1721" s="192"/>
      <c r="BK1721" s="192"/>
      <c r="BL1721" s="192"/>
      <c r="BM1721" s="192"/>
      <c r="BN1721" s="192"/>
      <c r="BO1721" s="192"/>
      <c r="BP1721" s="192"/>
      <c r="BQ1721" s="192"/>
      <c r="BR1721" s="192"/>
      <c r="BS1721" s="192"/>
      <c r="BT1721" s="192"/>
    </row>
    <row r="1722" spans="2:72" ht="14.25" customHeight="1" x14ac:dyDescent="0.2">
      <c r="B1722" s="4">
        <v>12</v>
      </c>
      <c r="C1722" s="4" t="s">
        <v>1711</v>
      </c>
      <c r="D1722" s="4">
        <v>586</v>
      </c>
      <c r="E1722" s="4">
        <v>2043</v>
      </c>
      <c r="F1722" s="16" t="s">
        <v>3215</v>
      </c>
      <c r="G1722" s="4" t="s">
        <v>3216</v>
      </c>
      <c r="H1722" s="4" t="s">
        <v>3217</v>
      </c>
      <c r="I1722" s="4" t="s">
        <v>1664</v>
      </c>
      <c r="J1722" s="4" t="s">
        <v>1715</v>
      </c>
      <c r="K1722" s="4">
        <v>1</v>
      </c>
      <c r="L1722" s="4">
        <v>2446</v>
      </c>
      <c r="M1722" s="9"/>
      <c r="U1722"/>
      <c r="AO1722" s="4" t="s">
        <v>3215</v>
      </c>
      <c r="AP1722" s="4">
        <v>586</v>
      </c>
      <c r="AQ1722" s="4" t="s">
        <v>1716</v>
      </c>
      <c r="AR1722" s="4" t="s">
        <v>1717</v>
      </c>
      <c r="AS1722" s="4" t="s">
        <v>1718</v>
      </c>
      <c r="AT1722" s="4" t="s">
        <v>1703</v>
      </c>
      <c r="AU1722" s="4" t="s">
        <v>1703</v>
      </c>
      <c r="AV1722" s="4" t="s">
        <v>1720</v>
      </c>
      <c r="AW1722" s="4" t="s">
        <v>1705</v>
      </c>
      <c r="AX1722" s="4" t="s">
        <v>1965</v>
      </c>
      <c r="AY1722" s="4">
        <v>52.3</v>
      </c>
      <c r="AZ1722" s="4">
        <v>-126.5</v>
      </c>
      <c r="BA1722" s="4">
        <v>1</v>
      </c>
    </row>
    <row r="1723" spans="2:72" ht="14.25" customHeight="1" x14ac:dyDescent="0.2">
      <c r="B1723" s="4">
        <v>12</v>
      </c>
      <c r="C1723" s="4" t="s">
        <v>1711</v>
      </c>
      <c r="D1723" s="4">
        <v>588</v>
      </c>
      <c r="E1723" s="4">
        <v>2045</v>
      </c>
      <c r="F1723" s="211" t="s">
        <v>3221</v>
      </c>
      <c r="G1723" s="4" t="s">
        <v>3222</v>
      </c>
      <c r="H1723" s="4" t="s">
        <v>3223</v>
      </c>
      <c r="I1723" s="4" t="s">
        <v>1664</v>
      </c>
      <c r="J1723" s="4" t="s">
        <v>1746</v>
      </c>
      <c r="K1723" s="4">
        <v>1</v>
      </c>
      <c r="L1723" s="4">
        <v>2448</v>
      </c>
      <c r="M1723" s="9"/>
      <c r="U1723"/>
      <c r="AO1723" s="4" t="s">
        <v>3221</v>
      </c>
      <c r="AP1723" s="4">
        <v>588</v>
      </c>
      <c r="AQ1723" s="4" t="s">
        <v>1716</v>
      </c>
      <c r="AR1723" s="4" t="s">
        <v>1717</v>
      </c>
      <c r="AS1723" s="4" t="s">
        <v>1718</v>
      </c>
      <c r="AT1723" s="4" t="s">
        <v>1719</v>
      </c>
      <c r="AU1723" s="4" t="s">
        <v>1703</v>
      </c>
      <c r="AV1723" s="4" t="s">
        <v>1720</v>
      </c>
      <c r="AW1723" s="4" t="s">
        <v>1705</v>
      </c>
      <c r="AX1723" s="4" t="s">
        <v>1965</v>
      </c>
      <c r="AY1723" s="4">
        <v>52.12</v>
      </c>
      <c r="AZ1723" s="4">
        <v>-127.93300000000001</v>
      </c>
      <c r="BA1723" s="4">
        <v>5</v>
      </c>
    </row>
    <row r="1724" spans="2:72" ht="14.25" customHeight="1" x14ac:dyDescent="0.2">
      <c r="B1724" s="4">
        <v>12</v>
      </c>
      <c r="C1724" s="4" t="s">
        <v>1711</v>
      </c>
      <c r="D1724" s="4">
        <v>589</v>
      </c>
      <c r="E1724" s="4">
        <v>2046</v>
      </c>
      <c r="F1724" s="211" t="s">
        <v>3224</v>
      </c>
      <c r="G1724" s="4" t="s">
        <v>3225</v>
      </c>
      <c r="H1724" s="4" t="s">
        <v>3226</v>
      </c>
      <c r="I1724" s="4" t="s">
        <v>1664</v>
      </c>
      <c r="J1724" s="4" t="s">
        <v>1715</v>
      </c>
      <c r="K1724" s="4">
        <v>1</v>
      </c>
      <c r="L1724" s="4">
        <v>2449</v>
      </c>
      <c r="M1724" s="9"/>
      <c r="U1724"/>
      <c r="AO1724" s="4" t="s">
        <v>3224</v>
      </c>
      <c r="AP1724" s="4">
        <v>589</v>
      </c>
      <c r="AQ1724" s="4" t="s">
        <v>1716</v>
      </c>
      <c r="AR1724" s="4" t="s">
        <v>1717</v>
      </c>
      <c r="AS1724" s="4" t="s">
        <v>1718</v>
      </c>
      <c r="AT1724" s="4" t="s">
        <v>1719</v>
      </c>
      <c r="AU1724" s="4" t="s">
        <v>1703</v>
      </c>
      <c r="AV1724" s="4" t="s">
        <v>1720</v>
      </c>
      <c r="AW1724" s="4" t="s">
        <v>1947</v>
      </c>
      <c r="AX1724" s="4" t="s">
        <v>1973</v>
      </c>
      <c r="AY1724" s="4">
        <v>54.1</v>
      </c>
      <c r="AZ1724" s="4">
        <v>-128.6</v>
      </c>
      <c r="BA1724" s="4">
        <v>13</v>
      </c>
    </row>
    <row r="1725" spans="2:72" ht="14.25" customHeight="1" x14ac:dyDescent="0.2">
      <c r="B1725" s="4">
        <v>12</v>
      </c>
      <c r="C1725" s="4" t="s">
        <v>1711</v>
      </c>
      <c r="D1725" s="4">
        <v>590</v>
      </c>
      <c r="E1725" s="4">
        <v>2047</v>
      </c>
      <c r="F1725" s="16" t="s">
        <v>3227</v>
      </c>
      <c r="G1725" s="4" t="s">
        <v>3228</v>
      </c>
      <c r="H1725" s="4" t="s">
        <v>3229</v>
      </c>
      <c r="I1725" s="4" t="s">
        <v>1664</v>
      </c>
      <c r="J1725" s="4" t="s">
        <v>1715</v>
      </c>
      <c r="K1725" s="4">
        <v>1</v>
      </c>
      <c r="L1725" s="4">
        <v>2450</v>
      </c>
      <c r="M1725" s="203"/>
      <c r="N1725" s="192"/>
      <c r="O1725" s="192"/>
      <c r="P1725" s="192"/>
      <c r="Q1725" s="192"/>
      <c r="R1725" s="192"/>
      <c r="S1725" s="192"/>
      <c r="T1725" s="192"/>
      <c r="U1725" s="192"/>
      <c r="V1725" s="192"/>
      <c r="W1725" s="192"/>
      <c r="X1725" s="192"/>
      <c r="Y1725" s="192"/>
      <c r="Z1725" s="192"/>
      <c r="AA1725" s="192"/>
      <c r="AB1725" s="192"/>
      <c r="AC1725" s="192"/>
      <c r="AD1725" s="192"/>
      <c r="AE1725" s="192"/>
      <c r="AF1725" s="192"/>
      <c r="AG1725" s="192"/>
      <c r="AH1725" s="192"/>
      <c r="AI1725" s="192"/>
      <c r="AJ1725" s="192"/>
      <c r="AK1725" s="192"/>
      <c r="AL1725" s="192"/>
      <c r="AM1725" s="192"/>
      <c r="AN1725" s="192"/>
      <c r="AO1725" s="188" t="s">
        <v>3227</v>
      </c>
      <c r="AP1725" s="188">
        <v>590</v>
      </c>
      <c r="AQ1725" s="188" t="s">
        <v>1716</v>
      </c>
      <c r="AR1725" s="188" t="s">
        <v>1717</v>
      </c>
      <c r="AS1725" s="188" t="s">
        <v>1718</v>
      </c>
      <c r="AT1725" s="188" t="s">
        <v>1719</v>
      </c>
      <c r="AU1725" s="188" t="s">
        <v>1703</v>
      </c>
      <c r="AV1725" s="188" t="s">
        <v>1720</v>
      </c>
      <c r="AW1725" s="188" t="s">
        <v>1947</v>
      </c>
      <c r="AX1725" s="188" t="s">
        <v>1973</v>
      </c>
      <c r="AY1725" s="188">
        <v>53.8</v>
      </c>
      <c r="AZ1725" s="188">
        <v>-128.4</v>
      </c>
      <c r="BA1725" s="188">
        <v>5</v>
      </c>
      <c r="BB1725" s="192"/>
      <c r="BC1725" s="192"/>
      <c r="BD1725" s="192"/>
      <c r="BE1725" s="192"/>
      <c r="BF1725" s="192"/>
      <c r="BG1725" s="192"/>
      <c r="BH1725" s="192"/>
      <c r="BI1725" s="192"/>
      <c r="BJ1725" s="192"/>
      <c r="BK1725" s="192"/>
      <c r="BL1725" s="192"/>
      <c r="BM1725" s="192"/>
      <c r="BN1725" s="192"/>
      <c r="BO1725" s="192"/>
      <c r="BP1725" s="192"/>
      <c r="BQ1725" s="192"/>
      <c r="BR1725" s="192"/>
      <c r="BS1725" s="192"/>
      <c r="BT1725" s="192"/>
    </row>
    <row r="1726" spans="2:72" ht="14.25" customHeight="1" x14ac:dyDescent="0.2">
      <c r="B1726" s="4">
        <v>12</v>
      </c>
      <c r="C1726" s="4" t="s">
        <v>1711</v>
      </c>
      <c r="D1726" s="4">
        <v>592</v>
      </c>
      <c r="E1726" s="4">
        <v>2048</v>
      </c>
      <c r="F1726" s="211" t="s">
        <v>3230</v>
      </c>
      <c r="G1726" s="4" t="s">
        <v>3231</v>
      </c>
      <c r="H1726" s="4" t="s">
        <v>3232</v>
      </c>
      <c r="I1726" s="4" t="s">
        <v>1664</v>
      </c>
      <c r="J1726" s="4" t="s">
        <v>1715</v>
      </c>
      <c r="K1726" s="4">
        <v>1</v>
      </c>
      <c r="L1726" s="4">
        <v>2451</v>
      </c>
      <c r="M1726" s="9"/>
      <c r="U1726"/>
      <c r="AO1726" s="4" t="s">
        <v>3230</v>
      </c>
      <c r="AP1726" s="4">
        <v>592</v>
      </c>
      <c r="AQ1726" s="4" t="s">
        <v>1716</v>
      </c>
      <c r="AR1726" s="4" t="s">
        <v>1717</v>
      </c>
      <c r="AS1726" s="4" t="s">
        <v>1718</v>
      </c>
      <c r="AT1726" s="4" t="s">
        <v>1719</v>
      </c>
      <c r="AU1726" s="4" t="s">
        <v>1703</v>
      </c>
      <c r="AV1726" s="4" t="s">
        <v>1720</v>
      </c>
      <c r="AW1726" s="4" t="s">
        <v>1947</v>
      </c>
      <c r="AX1726" s="4" t="s">
        <v>1986</v>
      </c>
      <c r="AY1726" s="4">
        <v>57.4</v>
      </c>
      <c r="AZ1726" s="4">
        <v>-130.19999999999999</v>
      </c>
      <c r="BA1726" s="4">
        <v>0</v>
      </c>
    </row>
    <row r="1727" spans="2:72" ht="14.25" customHeight="1" x14ac:dyDescent="0.2">
      <c r="B1727" s="4">
        <v>12</v>
      </c>
      <c r="C1727" s="4" t="s">
        <v>1711</v>
      </c>
      <c r="D1727" s="4">
        <v>593</v>
      </c>
      <c r="E1727" s="4">
        <v>2049</v>
      </c>
      <c r="F1727" s="211" t="s">
        <v>3233</v>
      </c>
      <c r="G1727" s="188" t="s">
        <v>3234</v>
      </c>
      <c r="H1727" s="4" t="s">
        <v>3235</v>
      </c>
      <c r="I1727" s="4" t="s">
        <v>1664</v>
      </c>
      <c r="J1727" s="4" t="s">
        <v>1746</v>
      </c>
      <c r="K1727" s="4">
        <v>1</v>
      </c>
      <c r="L1727" s="4">
        <v>2452</v>
      </c>
      <c r="M1727" s="9"/>
      <c r="U1727"/>
      <c r="AO1727" s="4" t="s">
        <v>3233</v>
      </c>
      <c r="AP1727" s="4">
        <v>593</v>
      </c>
      <c r="AQ1727" s="4" t="s">
        <v>1716</v>
      </c>
      <c r="AR1727" s="4" t="s">
        <v>1717</v>
      </c>
      <c r="AS1727" s="4" t="s">
        <v>1718</v>
      </c>
      <c r="AT1727" s="4" t="s">
        <v>1719</v>
      </c>
      <c r="AU1727" s="4" t="s">
        <v>1703</v>
      </c>
      <c r="AV1727" s="4" t="s">
        <v>1720</v>
      </c>
      <c r="AW1727" s="4" t="s">
        <v>1947</v>
      </c>
      <c r="AX1727" s="4" t="s">
        <v>1986</v>
      </c>
      <c r="AY1727" s="4">
        <v>56.6</v>
      </c>
      <c r="AZ1727" s="4">
        <v>-131.1</v>
      </c>
      <c r="BA1727" s="4">
        <v>2</v>
      </c>
    </row>
    <row r="1728" spans="2:72" ht="14.25" customHeight="1" x14ac:dyDescent="0.2">
      <c r="B1728" s="4">
        <v>12</v>
      </c>
      <c r="C1728" s="4" t="s">
        <v>1711</v>
      </c>
      <c r="D1728" s="4">
        <v>594</v>
      </c>
      <c r="E1728" s="4">
        <v>2050</v>
      </c>
      <c r="F1728" s="16" t="s">
        <v>3236</v>
      </c>
      <c r="G1728" s="4" t="s">
        <v>3237</v>
      </c>
      <c r="H1728" s="4" t="s">
        <v>3238</v>
      </c>
      <c r="I1728" s="4" t="s">
        <v>1664</v>
      </c>
      <c r="J1728" s="4" t="s">
        <v>1746</v>
      </c>
      <c r="K1728" s="4">
        <v>1</v>
      </c>
      <c r="L1728" s="4">
        <v>2453</v>
      </c>
      <c r="M1728" s="203"/>
      <c r="N1728" s="192"/>
      <c r="O1728" s="192"/>
      <c r="P1728" s="192"/>
      <c r="Q1728" s="192"/>
      <c r="R1728" s="192"/>
      <c r="S1728" s="192"/>
      <c r="T1728" s="192"/>
      <c r="U1728" s="192"/>
      <c r="V1728" s="192"/>
      <c r="W1728" s="192"/>
      <c r="X1728" s="192"/>
      <c r="Y1728" s="192"/>
      <c r="Z1728" s="192"/>
      <c r="AA1728" s="192"/>
      <c r="AB1728" s="192"/>
      <c r="AC1728" s="192"/>
      <c r="AD1728" s="192"/>
      <c r="AE1728" s="192"/>
      <c r="AF1728" s="192"/>
      <c r="AG1728" s="192"/>
      <c r="AH1728" s="192"/>
      <c r="AI1728" s="192"/>
      <c r="AJ1728" s="192"/>
      <c r="AK1728" s="192"/>
      <c r="AL1728" s="192"/>
      <c r="AM1728" s="192"/>
      <c r="AN1728" s="192"/>
      <c r="AO1728" s="188" t="s">
        <v>3236</v>
      </c>
      <c r="AP1728" s="188">
        <v>594</v>
      </c>
      <c r="AQ1728" s="188" t="s">
        <v>1716</v>
      </c>
      <c r="AR1728" s="188" t="s">
        <v>1717</v>
      </c>
      <c r="AS1728" s="188" t="s">
        <v>1718</v>
      </c>
      <c r="AT1728" s="188" t="s">
        <v>1719</v>
      </c>
      <c r="AU1728" s="188" t="s">
        <v>1703</v>
      </c>
      <c r="AV1728" s="188" t="s">
        <v>1720</v>
      </c>
      <c r="AW1728" s="188" t="s">
        <v>1947</v>
      </c>
      <c r="AX1728" s="188" t="s">
        <v>1986</v>
      </c>
      <c r="AY1728" s="188">
        <v>57.6</v>
      </c>
      <c r="AZ1728" s="188">
        <v>-130.1</v>
      </c>
      <c r="BA1728" s="188">
        <v>99</v>
      </c>
      <c r="BB1728" s="192"/>
      <c r="BC1728" s="192"/>
      <c r="BD1728" s="192"/>
      <c r="BE1728" s="192"/>
      <c r="BF1728" s="192"/>
      <c r="BG1728" s="192"/>
      <c r="BH1728" s="192"/>
      <c r="BI1728" s="192"/>
      <c r="BJ1728" s="192"/>
      <c r="BK1728" s="192"/>
      <c r="BL1728" s="192"/>
      <c r="BM1728" s="192"/>
      <c r="BN1728" s="192"/>
      <c r="BO1728" s="192"/>
      <c r="BP1728" s="192"/>
      <c r="BQ1728" s="192"/>
      <c r="BR1728" s="192"/>
      <c r="BS1728" s="192"/>
      <c r="BT1728" s="192"/>
    </row>
    <row r="1729" spans="2:72" ht="14.25" customHeight="1" x14ac:dyDescent="0.2">
      <c r="B1729" s="4">
        <v>12</v>
      </c>
      <c r="C1729" s="4" t="s">
        <v>1711</v>
      </c>
      <c r="D1729" s="4">
        <v>598</v>
      </c>
      <c r="E1729" s="4">
        <v>2054</v>
      </c>
      <c r="F1729" s="211" t="s">
        <v>3239</v>
      </c>
      <c r="G1729" s="4" t="s">
        <v>3240</v>
      </c>
      <c r="H1729" s="4" t="s">
        <v>3241</v>
      </c>
      <c r="I1729" s="4" t="s">
        <v>1664</v>
      </c>
      <c r="J1729" s="4" t="s">
        <v>1715</v>
      </c>
      <c r="K1729" s="4">
        <v>1</v>
      </c>
      <c r="L1729" s="4">
        <v>2457</v>
      </c>
      <c r="M1729" s="9"/>
      <c r="U1729"/>
      <c r="AO1729" s="4" t="s">
        <v>3239</v>
      </c>
      <c r="AP1729" s="4">
        <v>598</v>
      </c>
      <c r="AQ1729" s="4" t="s">
        <v>1716</v>
      </c>
      <c r="AR1729" s="4" t="s">
        <v>1717</v>
      </c>
      <c r="AS1729" s="4" t="s">
        <v>1718</v>
      </c>
      <c r="AT1729" s="4" t="s">
        <v>1719</v>
      </c>
      <c r="AU1729" s="4" t="s">
        <v>1703</v>
      </c>
      <c r="AV1729" s="4" t="s">
        <v>1720</v>
      </c>
      <c r="AW1729" s="4" t="s">
        <v>2003</v>
      </c>
      <c r="AX1729" s="4" t="s">
        <v>2009</v>
      </c>
      <c r="AY1729" s="4">
        <v>58.4</v>
      </c>
      <c r="AZ1729" s="4">
        <v>-122.4</v>
      </c>
      <c r="BA1729" s="4">
        <v>4</v>
      </c>
    </row>
    <row r="1730" spans="2:72" ht="14.25" customHeight="1" x14ac:dyDescent="0.2">
      <c r="B1730" s="4">
        <v>12</v>
      </c>
      <c r="C1730" s="4" t="s">
        <v>1711</v>
      </c>
      <c r="D1730" s="4">
        <v>600</v>
      </c>
      <c r="E1730" s="4">
        <v>2056</v>
      </c>
      <c r="F1730" s="16" t="s">
        <v>3245</v>
      </c>
      <c r="G1730" s="4" t="s">
        <v>3246</v>
      </c>
      <c r="H1730" s="4" t="s">
        <v>3247</v>
      </c>
      <c r="I1730" s="4" t="s">
        <v>1664</v>
      </c>
      <c r="J1730" s="4" t="s">
        <v>1746</v>
      </c>
      <c r="K1730" s="4">
        <v>1</v>
      </c>
      <c r="L1730" s="4">
        <v>2459</v>
      </c>
      <c r="M1730" s="203"/>
      <c r="N1730" s="192"/>
      <c r="O1730" s="192"/>
      <c r="P1730" s="192"/>
      <c r="Q1730" s="192"/>
      <c r="R1730" s="192"/>
      <c r="S1730" s="192"/>
      <c r="T1730" s="192"/>
      <c r="U1730" s="192"/>
      <c r="V1730" s="192"/>
      <c r="W1730" s="192"/>
      <c r="X1730" s="192"/>
      <c r="Y1730" s="192"/>
      <c r="Z1730" s="192"/>
      <c r="AA1730" s="192"/>
      <c r="AB1730" s="192"/>
      <c r="AC1730" s="192"/>
      <c r="AD1730" s="192"/>
      <c r="AE1730" s="192"/>
      <c r="AF1730" s="192"/>
      <c r="AG1730" s="192"/>
      <c r="AH1730" s="192"/>
      <c r="AI1730" s="192"/>
      <c r="AJ1730" s="192"/>
      <c r="AK1730" s="192"/>
      <c r="AL1730" s="192"/>
      <c r="AM1730" s="192"/>
      <c r="AN1730" s="192"/>
      <c r="AO1730" s="188" t="s">
        <v>3245</v>
      </c>
      <c r="AP1730" s="188">
        <v>600</v>
      </c>
      <c r="AQ1730" s="188" t="s">
        <v>1716</v>
      </c>
      <c r="AR1730" s="188" t="s">
        <v>1717</v>
      </c>
      <c r="AS1730" s="188" t="s">
        <v>1718</v>
      </c>
      <c r="AT1730" s="188" t="s">
        <v>1719</v>
      </c>
      <c r="AU1730" s="188" t="s">
        <v>1703</v>
      </c>
      <c r="AV1730" s="188" t="s">
        <v>1720</v>
      </c>
      <c r="AW1730" s="188" t="s">
        <v>2003</v>
      </c>
      <c r="AX1730" s="188" t="s">
        <v>2024</v>
      </c>
      <c r="AY1730" s="188">
        <v>55.4</v>
      </c>
      <c r="AZ1730" s="188">
        <v>-122.3</v>
      </c>
      <c r="BA1730" s="188">
        <v>12</v>
      </c>
      <c r="BB1730" s="192"/>
      <c r="BC1730" s="192"/>
      <c r="BD1730" s="192"/>
      <c r="BE1730" s="192"/>
      <c r="BF1730" s="192"/>
      <c r="BG1730" s="192"/>
      <c r="BH1730" s="192"/>
      <c r="BI1730" s="192"/>
      <c r="BJ1730" s="192"/>
      <c r="BK1730" s="192"/>
      <c r="BL1730" s="192"/>
      <c r="BM1730" s="192"/>
      <c r="BN1730" s="192"/>
      <c r="BO1730" s="192"/>
      <c r="BP1730" s="192"/>
      <c r="BQ1730" s="192"/>
      <c r="BR1730" s="192"/>
      <c r="BS1730" s="192"/>
      <c r="BT1730" s="192"/>
    </row>
    <row r="1731" spans="2:72" ht="14.25" customHeight="1" x14ac:dyDescent="0.2">
      <c r="B1731" s="4">
        <v>12</v>
      </c>
      <c r="C1731" s="4" t="s">
        <v>1711</v>
      </c>
      <c r="D1731" s="4">
        <v>601</v>
      </c>
      <c r="E1731" s="4">
        <v>2057</v>
      </c>
      <c r="F1731" s="211" t="s">
        <v>3248</v>
      </c>
      <c r="G1731" s="4" t="s">
        <v>3249</v>
      </c>
      <c r="H1731" s="4" t="s">
        <v>3250</v>
      </c>
      <c r="I1731" s="4" t="s">
        <v>1664</v>
      </c>
      <c r="J1731" s="4" t="s">
        <v>1715</v>
      </c>
      <c r="K1731" s="4">
        <v>1</v>
      </c>
      <c r="L1731" s="4">
        <v>2460</v>
      </c>
      <c r="M1731" s="9"/>
      <c r="U1731"/>
      <c r="AO1731" s="4" t="s">
        <v>3248</v>
      </c>
      <c r="AP1731" s="4">
        <v>601</v>
      </c>
      <c r="AQ1731" s="4" t="s">
        <v>1716</v>
      </c>
      <c r="AR1731" s="4" t="s">
        <v>1717</v>
      </c>
      <c r="AS1731" s="4" t="s">
        <v>1718</v>
      </c>
      <c r="AT1731" s="4" t="s">
        <v>1719</v>
      </c>
      <c r="AU1731" s="4" t="s">
        <v>1703</v>
      </c>
      <c r="AV1731" s="4" t="s">
        <v>1720</v>
      </c>
      <c r="AW1731" s="4" t="s">
        <v>2003</v>
      </c>
      <c r="AX1731" s="4" t="s">
        <v>2087</v>
      </c>
      <c r="AY1731" s="4">
        <v>56.2</v>
      </c>
      <c r="AZ1731" s="4">
        <v>-124.6</v>
      </c>
      <c r="BA1731" s="4">
        <v>7</v>
      </c>
    </row>
    <row r="1732" spans="2:72" ht="14.25" customHeight="1" x14ac:dyDescent="0.2">
      <c r="B1732" s="4">
        <v>12</v>
      </c>
      <c r="C1732" s="4" t="s">
        <v>1711</v>
      </c>
      <c r="D1732" s="4">
        <v>602</v>
      </c>
      <c r="E1732" s="4">
        <v>2058</v>
      </c>
      <c r="F1732" s="211" t="s">
        <v>3251</v>
      </c>
      <c r="G1732" s="188" t="s">
        <v>3252</v>
      </c>
      <c r="H1732" s="4" t="s">
        <v>3253</v>
      </c>
      <c r="I1732" s="4" t="s">
        <v>1664</v>
      </c>
      <c r="J1732" s="4" t="s">
        <v>1715</v>
      </c>
      <c r="K1732" s="4">
        <v>1</v>
      </c>
      <c r="L1732" s="4">
        <v>2461</v>
      </c>
      <c r="M1732" s="9"/>
      <c r="U1732"/>
      <c r="AO1732" s="4" t="s">
        <v>3251</v>
      </c>
      <c r="AP1732" s="4">
        <v>602</v>
      </c>
      <c r="AQ1732" s="4" t="s">
        <v>1716</v>
      </c>
      <c r="AR1732" s="4" t="s">
        <v>1717</v>
      </c>
      <c r="AS1732" s="4" t="s">
        <v>1718</v>
      </c>
      <c r="AT1732" s="4" t="s">
        <v>1719</v>
      </c>
      <c r="AU1732" s="4" t="s">
        <v>1703</v>
      </c>
      <c r="AV1732" s="4" t="s">
        <v>1720</v>
      </c>
      <c r="AW1732" s="4" t="s">
        <v>2003</v>
      </c>
      <c r="AX1732" s="4" t="s">
        <v>2087</v>
      </c>
      <c r="AY1732" s="4">
        <v>55</v>
      </c>
      <c r="AZ1732" s="4">
        <v>-123.7</v>
      </c>
      <c r="BA1732" s="4">
        <v>10</v>
      </c>
    </row>
    <row r="1733" spans="2:72" ht="14.25" customHeight="1" x14ac:dyDescent="0.2">
      <c r="B1733" s="4">
        <v>12</v>
      </c>
      <c r="C1733" s="4" t="s">
        <v>1711</v>
      </c>
      <c r="D1733" s="4">
        <v>603</v>
      </c>
      <c r="E1733" s="4">
        <v>2059</v>
      </c>
      <c r="F1733" s="16" t="s">
        <v>3254</v>
      </c>
      <c r="G1733" s="4" t="s">
        <v>3255</v>
      </c>
      <c r="H1733" s="4" t="s">
        <v>3253</v>
      </c>
      <c r="I1733" s="4" t="s">
        <v>1664</v>
      </c>
      <c r="J1733" s="4" t="s">
        <v>1715</v>
      </c>
      <c r="K1733" s="4">
        <v>1</v>
      </c>
      <c r="L1733" s="4">
        <v>2462</v>
      </c>
      <c r="M1733" s="9"/>
      <c r="U1733" s="192"/>
      <c r="V1733" s="192"/>
      <c r="W1733" s="192"/>
      <c r="X1733" s="192"/>
      <c r="Y1733" s="192"/>
      <c r="Z1733" s="192"/>
      <c r="AA1733" s="192"/>
      <c r="AB1733" s="192"/>
      <c r="AC1733" s="192"/>
      <c r="AD1733" s="192"/>
      <c r="AE1733" s="192"/>
      <c r="AF1733" s="192"/>
      <c r="AG1733" s="192"/>
      <c r="AH1733" s="192"/>
      <c r="AI1733" s="192"/>
      <c r="AJ1733" s="192"/>
      <c r="AK1733" s="192"/>
      <c r="AL1733" s="192"/>
      <c r="AM1733" s="192"/>
      <c r="AN1733" s="192"/>
      <c r="AO1733" s="188" t="s">
        <v>3254</v>
      </c>
      <c r="AP1733" s="188">
        <v>603</v>
      </c>
      <c r="AQ1733" s="188" t="s">
        <v>1716</v>
      </c>
      <c r="AR1733" s="188" t="s">
        <v>1717</v>
      </c>
      <c r="AS1733" s="188" t="s">
        <v>1718</v>
      </c>
      <c r="AT1733" s="188" t="s">
        <v>1719</v>
      </c>
      <c r="AU1733" s="188" t="s">
        <v>1703</v>
      </c>
      <c r="AV1733" s="188" t="s">
        <v>1720</v>
      </c>
      <c r="AW1733" s="188" t="s">
        <v>2003</v>
      </c>
      <c r="AX1733" s="188" t="s">
        <v>2087</v>
      </c>
      <c r="AY1733" s="188">
        <v>55.5</v>
      </c>
      <c r="AZ1733" s="188">
        <v>-123.7</v>
      </c>
      <c r="BA1733" s="188">
        <v>7</v>
      </c>
      <c r="BB1733" s="192"/>
      <c r="BC1733" s="192"/>
      <c r="BD1733" s="192"/>
      <c r="BE1733" s="192"/>
      <c r="BF1733" s="192"/>
      <c r="BG1733" s="192"/>
      <c r="BH1733" s="192"/>
      <c r="BI1733" s="192"/>
      <c r="BJ1733" s="192"/>
      <c r="BK1733" s="192"/>
      <c r="BL1733" s="192"/>
      <c r="BM1733" s="192"/>
      <c r="BN1733" s="192"/>
      <c r="BO1733" s="192"/>
      <c r="BP1733" s="192"/>
      <c r="BQ1733" s="192"/>
      <c r="BR1733" s="192"/>
      <c r="BS1733" s="192"/>
      <c r="BT1733" s="192"/>
    </row>
    <row r="1734" spans="2:72" ht="14.25" customHeight="1" x14ac:dyDescent="0.2">
      <c r="B1734" s="4">
        <v>12</v>
      </c>
      <c r="C1734" s="4" t="s">
        <v>1711</v>
      </c>
      <c r="D1734" s="4">
        <v>604</v>
      </c>
      <c r="E1734" s="4">
        <v>2060</v>
      </c>
      <c r="F1734" s="211" t="s">
        <v>3256</v>
      </c>
      <c r="G1734" s="4" t="s">
        <v>3257</v>
      </c>
      <c r="H1734" s="4" t="s">
        <v>3258</v>
      </c>
      <c r="I1734" s="4" t="s">
        <v>1664</v>
      </c>
      <c r="J1734" s="4" t="s">
        <v>1715</v>
      </c>
      <c r="K1734" s="4">
        <v>1</v>
      </c>
      <c r="L1734" s="4">
        <v>2463</v>
      </c>
      <c r="M1734" s="9"/>
      <c r="U1734"/>
      <c r="AO1734" s="4" t="s">
        <v>3256</v>
      </c>
      <c r="AP1734" s="4">
        <v>604</v>
      </c>
      <c r="AQ1734" s="4" t="s">
        <v>1716</v>
      </c>
      <c r="AR1734" s="4" t="s">
        <v>1717</v>
      </c>
      <c r="AS1734" s="4" t="s">
        <v>1718</v>
      </c>
      <c r="AT1734" s="4" t="s">
        <v>1719</v>
      </c>
      <c r="AU1734" s="4" t="s">
        <v>1703</v>
      </c>
      <c r="AV1734" s="4" t="s">
        <v>1720</v>
      </c>
      <c r="AW1734" s="4" t="s">
        <v>2003</v>
      </c>
      <c r="AX1734" s="4" t="s">
        <v>2087</v>
      </c>
      <c r="AY1734" s="4">
        <v>55.3</v>
      </c>
      <c r="AZ1734" s="4">
        <v>-123.9</v>
      </c>
      <c r="BA1734" s="4">
        <v>10</v>
      </c>
    </row>
    <row r="1735" spans="2:72" ht="14.25" customHeight="1" x14ac:dyDescent="0.2">
      <c r="B1735" s="4">
        <v>12</v>
      </c>
      <c r="C1735" s="4" t="s">
        <v>1711</v>
      </c>
      <c r="D1735" s="4">
        <v>605</v>
      </c>
      <c r="E1735" s="4">
        <v>2061</v>
      </c>
      <c r="F1735" s="211" t="s">
        <v>3259</v>
      </c>
      <c r="G1735" s="4" t="s">
        <v>3260</v>
      </c>
      <c r="H1735" s="4" t="s">
        <v>3261</v>
      </c>
      <c r="I1735" s="4" t="s">
        <v>1664</v>
      </c>
      <c r="J1735" s="4" t="s">
        <v>1715</v>
      </c>
      <c r="K1735" s="4">
        <v>1</v>
      </c>
      <c r="L1735" s="4">
        <v>2464</v>
      </c>
      <c r="M1735" s="9"/>
      <c r="U1735"/>
      <c r="AO1735" s="4" t="s">
        <v>3259</v>
      </c>
      <c r="AP1735" s="4">
        <v>605</v>
      </c>
      <c r="AQ1735" s="4" t="s">
        <v>1716</v>
      </c>
      <c r="AR1735" s="4" t="s">
        <v>1717</v>
      </c>
      <c r="AS1735" s="4" t="s">
        <v>1718</v>
      </c>
      <c r="AT1735" s="4" t="s">
        <v>1719</v>
      </c>
      <c r="AU1735" s="4" t="s">
        <v>1703</v>
      </c>
      <c r="AV1735" s="4" t="s">
        <v>1720</v>
      </c>
      <c r="AW1735" s="4" t="s">
        <v>2003</v>
      </c>
      <c r="AX1735" s="4" t="s">
        <v>2087</v>
      </c>
      <c r="AY1735" s="4">
        <v>56</v>
      </c>
      <c r="AZ1735" s="4">
        <v>-125.2</v>
      </c>
      <c r="BA1735" s="4">
        <v>11</v>
      </c>
    </row>
    <row r="1736" spans="2:72" ht="14.25" customHeight="1" x14ac:dyDescent="0.2">
      <c r="B1736" s="4">
        <v>12</v>
      </c>
      <c r="C1736" s="4" t="s">
        <v>1711</v>
      </c>
      <c r="D1736" s="4">
        <v>606</v>
      </c>
      <c r="E1736" s="4">
        <v>2062</v>
      </c>
      <c r="F1736" s="16" t="s">
        <v>3262</v>
      </c>
      <c r="G1736" s="4" t="s">
        <v>3263</v>
      </c>
      <c r="H1736" s="4" t="s">
        <v>3264</v>
      </c>
      <c r="I1736" s="4" t="s">
        <v>1664</v>
      </c>
      <c r="J1736" s="4" t="s">
        <v>1715</v>
      </c>
      <c r="K1736" s="4">
        <v>1</v>
      </c>
      <c r="L1736" s="4">
        <v>2465</v>
      </c>
      <c r="M1736" s="203"/>
      <c r="N1736" s="192"/>
      <c r="O1736" s="192"/>
      <c r="P1736" s="192"/>
      <c r="Q1736" s="192"/>
      <c r="R1736" s="192"/>
      <c r="S1736" s="192"/>
      <c r="T1736" s="192"/>
      <c r="U1736" s="192"/>
      <c r="V1736" s="192"/>
      <c r="W1736" s="192"/>
      <c r="X1736" s="192"/>
      <c r="Y1736" s="192"/>
      <c r="Z1736" s="192"/>
      <c r="AA1736" s="192"/>
      <c r="AB1736" s="192"/>
      <c r="AC1736" s="192"/>
      <c r="AD1736" s="192"/>
      <c r="AE1736" s="192"/>
      <c r="AF1736" s="192"/>
      <c r="AG1736" s="192"/>
      <c r="AH1736" s="192"/>
      <c r="AI1736" s="192"/>
      <c r="AJ1736" s="192"/>
      <c r="AK1736" s="192"/>
      <c r="AL1736" s="192"/>
      <c r="AM1736" s="192"/>
      <c r="AN1736" s="192"/>
      <c r="AO1736" s="188" t="s">
        <v>3262</v>
      </c>
      <c r="AP1736" s="188">
        <v>606</v>
      </c>
      <c r="AQ1736" s="188" t="s">
        <v>1716</v>
      </c>
      <c r="AR1736" s="188" t="s">
        <v>1717</v>
      </c>
      <c r="AS1736" s="188" t="s">
        <v>1718</v>
      </c>
      <c r="AT1736" s="188" t="s">
        <v>1719</v>
      </c>
      <c r="AU1736" s="188" t="s">
        <v>1703</v>
      </c>
      <c r="AV1736" s="188" t="s">
        <v>1720</v>
      </c>
      <c r="AW1736" s="188" t="s">
        <v>2003</v>
      </c>
      <c r="AX1736" s="188" t="s">
        <v>2153</v>
      </c>
      <c r="AY1736" s="188">
        <v>55.1</v>
      </c>
      <c r="AZ1736" s="188">
        <v>-125.9</v>
      </c>
      <c r="BA1736" s="188">
        <v>88</v>
      </c>
      <c r="BB1736" s="192"/>
      <c r="BC1736" s="192"/>
      <c r="BD1736" s="192"/>
      <c r="BE1736" s="192"/>
      <c r="BF1736" s="192"/>
      <c r="BG1736" s="192"/>
      <c r="BH1736" s="192"/>
      <c r="BI1736" s="192"/>
      <c r="BJ1736" s="192"/>
      <c r="BK1736" s="192"/>
      <c r="BL1736" s="192"/>
      <c r="BM1736" s="192"/>
      <c r="BN1736" s="192"/>
      <c r="BO1736" s="192"/>
      <c r="BP1736" s="192"/>
      <c r="BQ1736" s="192"/>
      <c r="BR1736" s="192"/>
      <c r="BS1736" s="192"/>
      <c r="BT1736" s="192"/>
    </row>
    <row r="1737" spans="2:72" ht="14.25" customHeight="1" x14ac:dyDescent="0.2">
      <c r="B1737" s="4">
        <v>12</v>
      </c>
      <c r="C1737" s="4" t="s">
        <v>1711</v>
      </c>
      <c r="D1737" s="4">
        <v>607</v>
      </c>
      <c r="E1737" s="4">
        <v>2063</v>
      </c>
      <c r="F1737" s="16" t="s">
        <v>3265</v>
      </c>
      <c r="G1737" s="4" t="s">
        <v>3266</v>
      </c>
      <c r="H1737" s="4" t="s">
        <v>3267</v>
      </c>
      <c r="I1737" s="4" t="s">
        <v>1664</v>
      </c>
      <c r="J1737" s="4" t="s">
        <v>1715</v>
      </c>
      <c r="K1737" s="4">
        <v>1</v>
      </c>
      <c r="L1737" s="4">
        <v>2466</v>
      </c>
      <c r="M1737" s="203"/>
      <c r="N1737" s="192"/>
      <c r="O1737" s="192"/>
      <c r="P1737" s="192"/>
      <c r="Q1737" s="192"/>
      <c r="R1737" s="192"/>
      <c r="S1737" s="192"/>
      <c r="T1737" s="192"/>
      <c r="U1737" s="192"/>
      <c r="V1737" s="192"/>
      <c r="W1737" s="192"/>
      <c r="X1737" s="192"/>
      <c r="Y1737" s="192"/>
      <c r="Z1737" s="192"/>
      <c r="AA1737" s="192"/>
      <c r="AB1737" s="192"/>
      <c r="AC1737" s="192"/>
      <c r="AD1737" s="192"/>
      <c r="AE1737" s="192"/>
      <c r="AF1737" s="192"/>
      <c r="AG1737" s="192"/>
      <c r="AH1737" s="192"/>
      <c r="AI1737" s="192"/>
      <c r="AJ1737" s="192"/>
      <c r="AK1737" s="192"/>
      <c r="AL1737" s="192"/>
      <c r="AM1737" s="192"/>
      <c r="AN1737" s="192"/>
      <c r="AO1737" s="188" t="s">
        <v>3265</v>
      </c>
      <c r="AP1737" s="188">
        <v>607</v>
      </c>
      <c r="AQ1737" s="188" t="s">
        <v>1716</v>
      </c>
      <c r="AR1737" s="188" t="s">
        <v>1717</v>
      </c>
      <c r="AS1737" s="188" t="s">
        <v>1718</v>
      </c>
      <c r="AT1737" s="188" t="s">
        <v>1719</v>
      </c>
      <c r="AU1737" s="188" t="s">
        <v>1703</v>
      </c>
      <c r="AV1737" s="188" t="s">
        <v>1720</v>
      </c>
      <c r="AW1737" s="188" t="s">
        <v>2003</v>
      </c>
      <c r="AX1737" s="188" t="s">
        <v>2099</v>
      </c>
      <c r="AY1737" s="188">
        <v>55.2</v>
      </c>
      <c r="AZ1737" s="188">
        <v>-124.9</v>
      </c>
      <c r="BA1737" s="188">
        <v>45</v>
      </c>
      <c r="BB1737" s="192"/>
      <c r="BC1737" s="192"/>
      <c r="BD1737" s="192"/>
      <c r="BE1737" s="192"/>
      <c r="BF1737" s="192"/>
      <c r="BG1737" s="192"/>
      <c r="BH1737" s="192"/>
      <c r="BI1737" s="192"/>
      <c r="BJ1737" s="192"/>
      <c r="BK1737" s="192"/>
      <c r="BL1737" s="192"/>
      <c r="BM1737" s="192"/>
      <c r="BN1737" s="192"/>
      <c r="BO1737" s="192"/>
      <c r="BP1737" s="192"/>
      <c r="BQ1737" s="192"/>
      <c r="BR1737" s="192"/>
      <c r="BS1737" s="192"/>
      <c r="BT1737" s="192"/>
    </row>
    <row r="1738" spans="2:72" ht="14.25" customHeight="1" x14ac:dyDescent="0.2">
      <c r="B1738" s="4">
        <v>12</v>
      </c>
      <c r="C1738" s="4" t="s">
        <v>1711</v>
      </c>
      <c r="D1738" s="4">
        <v>608</v>
      </c>
      <c r="E1738" s="4">
        <v>2064</v>
      </c>
      <c r="F1738" s="211" t="s">
        <v>3268</v>
      </c>
      <c r="G1738" s="4" t="s">
        <v>3269</v>
      </c>
      <c r="H1738" s="4" t="s">
        <v>3270</v>
      </c>
      <c r="I1738" s="4" t="s">
        <v>1664</v>
      </c>
      <c r="J1738" s="4" t="s">
        <v>1715</v>
      </c>
      <c r="K1738" s="4">
        <v>1</v>
      </c>
      <c r="L1738" s="4">
        <v>2467</v>
      </c>
      <c r="M1738" s="9"/>
      <c r="U1738"/>
      <c r="AO1738" s="4" t="s">
        <v>3268</v>
      </c>
      <c r="AP1738" s="4">
        <v>608</v>
      </c>
      <c r="AQ1738" s="4" t="s">
        <v>1716</v>
      </c>
      <c r="AR1738" s="4" t="s">
        <v>1717</v>
      </c>
      <c r="AS1738" s="4" t="s">
        <v>1718</v>
      </c>
      <c r="AT1738" s="4" t="s">
        <v>1719</v>
      </c>
      <c r="AU1738" s="4" t="s">
        <v>1703</v>
      </c>
      <c r="AV1738" s="4" t="s">
        <v>1720</v>
      </c>
      <c r="AW1738" s="4" t="s">
        <v>2003</v>
      </c>
      <c r="AX1738" s="4" t="s">
        <v>2099</v>
      </c>
      <c r="AY1738" s="4">
        <v>54.9</v>
      </c>
      <c r="AZ1738" s="4">
        <v>-123.8</v>
      </c>
      <c r="BA1738" s="4">
        <v>33</v>
      </c>
    </row>
    <row r="1739" spans="2:72" ht="14.25" customHeight="1" x14ac:dyDescent="0.2">
      <c r="B1739" s="4">
        <v>12</v>
      </c>
      <c r="C1739" s="4" t="s">
        <v>1711</v>
      </c>
      <c r="D1739" s="4">
        <v>609</v>
      </c>
      <c r="E1739" s="4">
        <v>2065</v>
      </c>
      <c r="F1739" s="16" t="s">
        <v>3271</v>
      </c>
      <c r="G1739" s="4" t="s">
        <v>3272</v>
      </c>
      <c r="H1739" s="4" t="s">
        <v>3273</v>
      </c>
      <c r="I1739" s="4" t="s">
        <v>1664</v>
      </c>
      <c r="J1739" s="4" t="s">
        <v>1715</v>
      </c>
      <c r="K1739" s="4">
        <v>1</v>
      </c>
      <c r="L1739" s="4">
        <v>2468</v>
      </c>
      <c r="M1739" s="9"/>
      <c r="T1739" s="192"/>
      <c r="U1739" s="192"/>
      <c r="V1739" s="192"/>
      <c r="W1739" s="192"/>
      <c r="X1739" s="192"/>
      <c r="Y1739" s="192"/>
      <c r="Z1739" s="192"/>
      <c r="AA1739" s="192"/>
      <c r="AB1739" s="192"/>
      <c r="AC1739" s="192"/>
      <c r="AD1739" s="192"/>
      <c r="AE1739" s="192"/>
      <c r="AF1739" s="192"/>
      <c r="AG1739" s="192"/>
      <c r="AH1739" s="192"/>
      <c r="AI1739" s="192"/>
      <c r="AJ1739" s="192"/>
      <c r="AK1739" s="192"/>
      <c r="AL1739" s="192"/>
      <c r="AM1739" s="192"/>
      <c r="AN1739" s="192"/>
      <c r="AO1739" s="188" t="s">
        <v>3271</v>
      </c>
      <c r="AP1739" s="188">
        <v>609</v>
      </c>
      <c r="AQ1739" s="188" t="s">
        <v>1716</v>
      </c>
      <c r="AR1739" s="188" t="s">
        <v>1717</v>
      </c>
      <c r="AS1739" s="188" t="s">
        <v>1718</v>
      </c>
      <c r="AT1739" s="188" t="s">
        <v>1719</v>
      </c>
      <c r="AU1739" s="188" t="s">
        <v>1703</v>
      </c>
      <c r="AV1739" s="188" t="s">
        <v>1720</v>
      </c>
      <c r="AW1739" s="188" t="s">
        <v>2003</v>
      </c>
      <c r="AX1739" s="188" t="s">
        <v>2099</v>
      </c>
      <c r="AY1739" s="188">
        <v>55</v>
      </c>
      <c r="AZ1739" s="188">
        <v>-125.2</v>
      </c>
      <c r="BA1739" s="188">
        <v>11</v>
      </c>
      <c r="BB1739" s="192"/>
      <c r="BC1739" s="192"/>
      <c r="BD1739" s="192"/>
      <c r="BE1739" s="192"/>
      <c r="BF1739" s="192"/>
      <c r="BG1739" s="192"/>
      <c r="BH1739" s="192"/>
      <c r="BI1739" s="192"/>
      <c r="BJ1739" s="192"/>
      <c r="BK1739" s="192"/>
      <c r="BL1739" s="192"/>
      <c r="BM1739" s="192"/>
      <c r="BN1739" s="192"/>
      <c r="BO1739" s="192"/>
      <c r="BP1739" s="192"/>
      <c r="BQ1739" s="192"/>
      <c r="BR1739" s="192"/>
      <c r="BS1739" s="192"/>
      <c r="BT1739" s="192"/>
    </row>
    <row r="1740" spans="2:72" ht="14.25" customHeight="1" x14ac:dyDescent="0.2">
      <c r="B1740" s="4">
        <v>12</v>
      </c>
      <c r="C1740" s="4" t="s">
        <v>1711</v>
      </c>
      <c r="D1740" s="4">
        <v>610</v>
      </c>
      <c r="E1740" s="4">
        <v>2066</v>
      </c>
      <c r="F1740" s="16" t="s">
        <v>3274</v>
      </c>
      <c r="G1740" s="4" t="s">
        <v>3275</v>
      </c>
      <c r="H1740" s="4" t="s">
        <v>3276</v>
      </c>
      <c r="I1740" s="4" t="s">
        <v>1664</v>
      </c>
      <c r="J1740" s="4" t="s">
        <v>1715</v>
      </c>
      <c r="K1740" s="4">
        <v>1</v>
      </c>
      <c r="L1740" s="4">
        <v>2469</v>
      </c>
      <c r="M1740" s="203"/>
      <c r="N1740" s="192"/>
      <c r="O1740" s="192"/>
      <c r="P1740" s="192"/>
      <c r="Q1740" s="192"/>
      <c r="R1740" s="192"/>
      <c r="S1740" s="192"/>
      <c r="T1740" s="192"/>
      <c r="U1740" s="192"/>
      <c r="V1740" s="192"/>
      <c r="W1740" s="192"/>
      <c r="X1740" s="192"/>
      <c r="Y1740" s="192"/>
      <c r="Z1740" s="192"/>
      <c r="AA1740" s="192"/>
      <c r="AB1740" s="192"/>
      <c r="AC1740" s="192"/>
      <c r="AD1740" s="192"/>
      <c r="AE1740" s="192"/>
      <c r="AF1740" s="192"/>
      <c r="AG1740" s="192"/>
      <c r="AH1740" s="192"/>
      <c r="AI1740" s="192"/>
      <c r="AJ1740" s="192"/>
      <c r="AK1740" s="192"/>
      <c r="AL1740" s="192"/>
      <c r="AM1740" s="192"/>
      <c r="AN1740" s="192"/>
      <c r="AO1740" s="188" t="s">
        <v>3274</v>
      </c>
      <c r="AP1740" s="188">
        <v>610</v>
      </c>
      <c r="AQ1740" s="188" t="s">
        <v>1716</v>
      </c>
      <c r="AR1740" s="188" t="s">
        <v>1717</v>
      </c>
      <c r="AS1740" s="188" t="s">
        <v>1718</v>
      </c>
      <c r="AT1740" s="188" t="s">
        <v>1719</v>
      </c>
      <c r="AU1740" s="188" t="s">
        <v>1703</v>
      </c>
      <c r="AV1740" s="188" t="s">
        <v>1720</v>
      </c>
      <c r="AW1740" s="188" t="s">
        <v>2003</v>
      </c>
      <c r="AX1740" s="188" t="s">
        <v>2099</v>
      </c>
      <c r="AY1740" s="188">
        <v>54.6</v>
      </c>
      <c r="AZ1740" s="188">
        <v>-124</v>
      </c>
      <c r="BA1740" s="188">
        <v>8</v>
      </c>
      <c r="BB1740" s="192"/>
      <c r="BC1740" s="192"/>
      <c r="BD1740" s="192"/>
      <c r="BE1740" s="192"/>
      <c r="BF1740" s="192"/>
      <c r="BG1740" s="192"/>
      <c r="BH1740" s="192"/>
      <c r="BI1740" s="192"/>
      <c r="BJ1740" s="192"/>
      <c r="BK1740" s="192"/>
      <c r="BL1740" s="192"/>
      <c r="BM1740" s="192"/>
      <c r="BN1740" s="192"/>
      <c r="BO1740" s="192"/>
      <c r="BP1740" s="192"/>
      <c r="BQ1740" s="192"/>
      <c r="BR1740" s="192"/>
      <c r="BS1740" s="192"/>
      <c r="BT1740" s="192"/>
    </row>
    <row r="1741" spans="2:72" ht="14.25" customHeight="1" x14ac:dyDescent="0.2">
      <c r="B1741" s="4">
        <v>12</v>
      </c>
      <c r="C1741" s="4" t="s">
        <v>1711</v>
      </c>
      <c r="D1741" s="4">
        <v>611</v>
      </c>
      <c r="E1741" s="4">
        <v>2067</v>
      </c>
      <c r="F1741" s="211" t="s">
        <v>3277</v>
      </c>
      <c r="G1741" s="4" t="s">
        <v>3278</v>
      </c>
      <c r="H1741" s="4" t="s">
        <v>3279</v>
      </c>
      <c r="I1741" s="4" t="s">
        <v>1664</v>
      </c>
      <c r="J1741" s="4" t="s">
        <v>1715</v>
      </c>
      <c r="K1741" s="4">
        <v>1</v>
      </c>
      <c r="L1741" s="4">
        <v>2470</v>
      </c>
      <c r="M1741" s="9"/>
      <c r="U1741"/>
      <c r="AO1741" s="4" t="s">
        <v>3277</v>
      </c>
      <c r="AP1741" s="4">
        <v>611</v>
      </c>
      <c r="AQ1741" s="4" t="s">
        <v>1716</v>
      </c>
      <c r="AR1741" s="4" t="s">
        <v>1717</v>
      </c>
      <c r="AS1741" s="4" t="s">
        <v>1718</v>
      </c>
      <c r="AT1741" s="4" t="s">
        <v>1719</v>
      </c>
      <c r="AU1741" s="4" t="s">
        <v>1703</v>
      </c>
      <c r="AV1741" s="4" t="s">
        <v>1720</v>
      </c>
      <c r="AW1741" s="4" t="s">
        <v>2003</v>
      </c>
      <c r="AX1741" s="4" t="s">
        <v>2099</v>
      </c>
      <c r="AY1741" s="4">
        <v>54.9</v>
      </c>
      <c r="AZ1741" s="4">
        <v>-125.1</v>
      </c>
      <c r="BA1741" s="4">
        <v>35</v>
      </c>
    </row>
    <row r="1742" spans="2:72" ht="14.25" customHeight="1" x14ac:dyDescent="0.2">
      <c r="B1742" s="4">
        <v>12</v>
      </c>
      <c r="C1742" s="4" t="s">
        <v>1711</v>
      </c>
      <c r="D1742" s="4">
        <v>612</v>
      </c>
      <c r="E1742" s="4">
        <v>2068</v>
      </c>
      <c r="F1742" s="211" t="s">
        <v>3280</v>
      </c>
      <c r="G1742" s="4" t="s">
        <v>3281</v>
      </c>
      <c r="H1742" s="4" t="s">
        <v>3273</v>
      </c>
      <c r="I1742" s="4" t="s">
        <v>1664</v>
      </c>
      <c r="J1742" s="4" t="s">
        <v>1715</v>
      </c>
      <c r="K1742" s="4">
        <v>1</v>
      </c>
      <c r="L1742" s="4">
        <v>2471</v>
      </c>
      <c r="M1742" s="9"/>
      <c r="U1742"/>
      <c r="AO1742" s="4" t="s">
        <v>3280</v>
      </c>
      <c r="AP1742" s="4">
        <v>612</v>
      </c>
      <c r="AQ1742" s="4" t="s">
        <v>1716</v>
      </c>
      <c r="AR1742" s="4" t="s">
        <v>1717</v>
      </c>
      <c r="AS1742" s="4" t="s">
        <v>1718</v>
      </c>
      <c r="AT1742" s="4" t="s">
        <v>1719</v>
      </c>
      <c r="AU1742" s="4" t="s">
        <v>1703</v>
      </c>
      <c r="AV1742" s="4" t="s">
        <v>1720</v>
      </c>
      <c r="AW1742" s="4" t="s">
        <v>2003</v>
      </c>
      <c r="AX1742" s="4" t="s">
        <v>2099</v>
      </c>
      <c r="AY1742" s="4">
        <v>54.4</v>
      </c>
      <c r="AZ1742" s="4">
        <v>-123.7</v>
      </c>
      <c r="BA1742" s="4">
        <v>79</v>
      </c>
    </row>
    <row r="1743" spans="2:72" ht="14.25" customHeight="1" x14ac:dyDescent="0.2">
      <c r="B1743" s="4">
        <v>12</v>
      </c>
      <c r="C1743" s="4" t="s">
        <v>1711</v>
      </c>
      <c r="D1743" s="4">
        <v>613</v>
      </c>
      <c r="E1743" s="4">
        <v>2069</v>
      </c>
      <c r="F1743" s="211" t="s">
        <v>3282</v>
      </c>
      <c r="G1743" s="4" t="s">
        <v>3283</v>
      </c>
      <c r="H1743" s="4" t="s">
        <v>3284</v>
      </c>
      <c r="I1743" s="4" t="s">
        <v>1664</v>
      </c>
      <c r="J1743" s="4" t="s">
        <v>1715</v>
      </c>
      <c r="K1743" s="4">
        <v>1</v>
      </c>
      <c r="L1743" s="4">
        <v>2472</v>
      </c>
      <c r="M1743" s="9"/>
      <c r="U1743"/>
      <c r="AO1743" s="4" t="s">
        <v>3282</v>
      </c>
      <c r="AP1743" s="4">
        <v>613</v>
      </c>
      <c r="AQ1743" s="4" t="s">
        <v>1716</v>
      </c>
      <c r="AR1743" s="4" t="s">
        <v>1717</v>
      </c>
      <c r="AS1743" s="4" t="s">
        <v>1718</v>
      </c>
      <c r="AT1743" s="4" t="s">
        <v>1719</v>
      </c>
      <c r="AU1743" s="4" t="s">
        <v>1703</v>
      </c>
      <c r="AV1743" s="4" t="s">
        <v>1720</v>
      </c>
      <c r="AW1743" s="4" t="s">
        <v>2003</v>
      </c>
      <c r="AX1743" s="4" t="s">
        <v>2099</v>
      </c>
      <c r="AY1743" s="4">
        <v>54.7</v>
      </c>
      <c r="AZ1743" s="4">
        <v>-124.6</v>
      </c>
      <c r="BA1743" s="4">
        <v>95</v>
      </c>
    </row>
    <row r="1744" spans="2:72" ht="14.25" customHeight="1" x14ac:dyDescent="0.2">
      <c r="B1744" s="4">
        <v>12</v>
      </c>
      <c r="C1744" s="4" t="s">
        <v>1711</v>
      </c>
      <c r="D1744" s="9">
        <v>614</v>
      </c>
      <c r="E1744" s="4">
        <v>2070</v>
      </c>
      <c r="F1744" s="16" t="s">
        <v>3285</v>
      </c>
      <c r="G1744" s="4" t="s">
        <v>3286</v>
      </c>
      <c r="H1744" s="4" t="s">
        <v>3287</v>
      </c>
      <c r="I1744" s="4" t="s">
        <v>1664</v>
      </c>
      <c r="J1744" s="4" t="s">
        <v>1715</v>
      </c>
      <c r="K1744" s="4">
        <v>1</v>
      </c>
      <c r="L1744" s="4">
        <v>2473</v>
      </c>
      <c r="M1744" s="9"/>
      <c r="U1744" s="192"/>
      <c r="V1744" s="192"/>
      <c r="W1744" s="192"/>
      <c r="X1744" s="192"/>
      <c r="Y1744" s="192"/>
      <c r="Z1744" s="192"/>
      <c r="AA1744" s="192"/>
      <c r="AB1744" s="192"/>
      <c r="AC1744" s="192"/>
      <c r="AD1744" s="192"/>
      <c r="AE1744" s="192"/>
      <c r="AF1744" s="192"/>
      <c r="AG1744" s="192"/>
      <c r="AH1744" s="192"/>
      <c r="AI1744" s="192"/>
      <c r="AJ1744" s="192"/>
      <c r="AK1744" s="192"/>
      <c r="AL1744" s="192"/>
      <c r="AM1744" s="192"/>
      <c r="AN1744" s="192"/>
      <c r="AO1744" s="188" t="s">
        <v>3285</v>
      </c>
      <c r="AP1744" s="188">
        <v>614</v>
      </c>
      <c r="AQ1744" s="188" t="s">
        <v>1716</v>
      </c>
      <c r="AR1744" s="188" t="s">
        <v>1717</v>
      </c>
      <c r="AS1744" s="188" t="s">
        <v>1718</v>
      </c>
      <c r="AT1744" s="188" t="s">
        <v>1719</v>
      </c>
      <c r="AU1744" s="188" t="s">
        <v>1703</v>
      </c>
      <c r="AV1744" s="188" t="s">
        <v>1720</v>
      </c>
      <c r="AW1744" s="188" t="s">
        <v>2003</v>
      </c>
      <c r="AX1744" s="188" t="s">
        <v>2087</v>
      </c>
      <c r="AY1744" s="188">
        <v>56.5</v>
      </c>
      <c r="AZ1744" s="188">
        <v>-124.4</v>
      </c>
      <c r="BA1744" s="188">
        <v>7</v>
      </c>
      <c r="BB1744" s="192"/>
      <c r="BC1744" s="192"/>
      <c r="BD1744" s="192"/>
      <c r="BE1744" s="192"/>
      <c r="BF1744" s="192"/>
      <c r="BG1744" s="192"/>
      <c r="BH1744" s="192"/>
      <c r="BI1744" s="192"/>
      <c r="BJ1744" s="192"/>
      <c r="BK1744" s="192"/>
      <c r="BL1744" s="192"/>
      <c r="BM1744" s="192"/>
      <c r="BN1744" s="192"/>
      <c r="BO1744" s="192"/>
      <c r="BP1744" s="192"/>
      <c r="BQ1744" s="192"/>
      <c r="BR1744" s="192"/>
      <c r="BS1744" s="192"/>
      <c r="BT1744" s="192"/>
    </row>
    <row r="1745" spans="2:72" ht="14.25" customHeight="1" x14ac:dyDescent="0.2">
      <c r="B1745" s="4">
        <v>12</v>
      </c>
      <c r="C1745" s="4" t="s">
        <v>1711</v>
      </c>
      <c r="D1745" s="4">
        <v>615</v>
      </c>
      <c r="E1745" s="4">
        <v>2071</v>
      </c>
      <c r="F1745" s="211" t="s">
        <v>3288</v>
      </c>
      <c r="G1745" s="4" t="s">
        <v>3289</v>
      </c>
      <c r="H1745" s="4" t="s">
        <v>3290</v>
      </c>
      <c r="I1745" s="4" t="s">
        <v>1664</v>
      </c>
      <c r="J1745" s="4" t="s">
        <v>1746</v>
      </c>
      <c r="K1745" s="4">
        <v>1</v>
      </c>
      <c r="L1745" s="4">
        <v>2474</v>
      </c>
      <c r="M1745" s="9"/>
      <c r="U1745"/>
      <c r="AO1745" s="4" t="s">
        <v>3288</v>
      </c>
      <c r="AP1745" s="4">
        <v>615</v>
      </c>
      <c r="AQ1745" s="4" t="s">
        <v>1716</v>
      </c>
      <c r="AR1745" s="4" t="s">
        <v>1717</v>
      </c>
      <c r="AS1745" s="4" t="s">
        <v>1718</v>
      </c>
      <c r="AT1745" s="4" t="s">
        <v>1719</v>
      </c>
      <c r="AU1745" s="4" t="s">
        <v>1703</v>
      </c>
      <c r="AV1745" s="4" t="s">
        <v>1720</v>
      </c>
      <c r="AW1745" s="4" t="s">
        <v>2003</v>
      </c>
      <c r="AX1745" s="4" t="s">
        <v>2099</v>
      </c>
      <c r="AY1745" s="4">
        <v>54.7</v>
      </c>
      <c r="AZ1745" s="4">
        <v>-124.9</v>
      </c>
      <c r="BA1745" s="4">
        <v>7</v>
      </c>
    </row>
    <row r="1746" spans="2:72" ht="14.25" customHeight="1" x14ac:dyDescent="0.2">
      <c r="B1746" s="4">
        <v>12</v>
      </c>
      <c r="C1746" s="4" t="s">
        <v>1711</v>
      </c>
      <c r="D1746" s="4">
        <v>616</v>
      </c>
      <c r="E1746" s="4">
        <v>2072</v>
      </c>
      <c r="F1746" s="211" t="s">
        <v>3291</v>
      </c>
      <c r="G1746" s="4" t="s">
        <v>3292</v>
      </c>
      <c r="H1746" s="4" t="s">
        <v>3293</v>
      </c>
      <c r="I1746" s="4" t="s">
        <v>1664</v>
      </c>
      <c r="J1746" s="4" t="s">
        <v>1746</v>
      </c>
      <c r="K1746" s="4">
        <v>1</v>
      </c>
      <c r="L1746" s="4">
        <v>2475</v>
      </c>
      <c r="M1746" s="9"/>
      <c r="U1746"/>
      <c r="AO1746" s="4" t="s">
        <v>3291</v>
      </c>
      <c r="AP1746" s="4">
        <v>616</v>
      </c>
      <c r="AQ1746" s="4" t="s">
        <v>1716</v>
      </c>
      <c r="AR1746" s="4" t="s">
        <v>1717</v>
      </c>
      <c r="AS1746" s="4" t="s">
        <v>1718</v>
      </c>
      <c r="AT1746" s="4" t="s">
        <v>1719</v>
      </c>
      <c r="AU1746" s="4" t="s">
        <v>1703</v>
      </c>
      <c r="AV1746" s="4" t="s">
        <v>1720</v>
      </c>
      <c r="AW1746" s="4" t="s">
        <v>2003</v>
      </c>
      <c r="AX1746" s="4" t="s">
        <v>2087</v>
      </c>
      <c r="AY1746" s="4">
        <v>56.3</v>
      </c>
      <c r="AZ1746" s="4">
        <v>-124.5</v>
      </c>
      <c r="BA1746" s="4">
        <v>10</v>
      </c>
    </row>
    <row r="1747" spans="2:72" ht="14.25" customHeight="1" x14ac:dyDescent="0.2">
      <c r="B1747" s="4">
        <v>12</v>
      </c>
      <c r="C1747" s="4" t="s">
        <v>1711</v>
      </c>
      <c r="D1747" s="4">
        <v>617</v>
      </c>
      <c r="E1747" s="4">
        <v>2073</v>
      </c>
      <c r="F1747" s="211" t="s">
        <v>3294</v>
      </c>
      <c r="G1747" s="4" t="s">
        <v>3295</v>
      </c>
      <c r="H1747" s="4" t="s">
        <v>3296</v>
      </c>
      <c r="I1747" s="4" t="s">
        <v>1664</v>
      </c>
      <c r="J1747" s="4" t="s">
        <v>1746</v>
      </c>
      <c r="K1747" s="4">
        <v>1</v>
      </c>
      <c r="L1747" s="4">
        <v>2476</v>
      </c>
      <c r="M1747" s="9"/>
      <c r="U1747"/>
      <c r="AO1747" s="4" t="s">
        <v>3294</v>
      </c>
      <c r="AP1747" s="4">
        <v>617</v>
      </c>
      <c r="AQ1747" s="4" t="s">
        <v>1716</v>
      </c>
      <c r="AR1747" s="4" t="s">
        <v>1717</v>
      </c>
      <c r="AS1747" s="4" t="s">
        <v>1718</v>
      </c>
      <c r="AT1747" s="4" t="s">
        <v>1719</v>
      </c>
      <c r="AU1747" s="4" t="s">
        <v>1703</v>
      </c>
      <c r="AV1747" s="4" t="s">
        <v>1720</v>
      </c>
      <c r="AW1747" s="4" t="s">
        <v>2003</v>
      </c>
      <c r="AX1747" s="4" t="s">
        <v>2087</v>
      </c>
      <c r="AY1747" s="4">
        <v>55.9</v>
      </c>
      <c r="AZ1747" s="4">
        <v>-123.2</v>
      </c>
      <c r="BA1747" s="4">
        <v>85</v>
      </c>
    </row>
    <row r="1748" spans="2:72" ht="14.25" customHeight="1" x14ac:dyDescent="0.2">
      <c r="B1748" s="4">
        <v>12</v>
      </c>
      <c r="C1748" s="4" t="s">
        <v>1711</v>
      </c>
      <c r="D1748" s="4">
        <v>618</v>
      </c>
      <c r="E1748" s="4">
        <v>2074</v>
      </c>
      <c r="F1748" s="211" t="s">
        <v>3297</v>
      </c>
      <c r="G1748" s="188" t="s">
        <v>3298</v>
      </c>
      <c r="H1748" s="4" t="s">
        <v>3299</v>
      </c>
      <c r="I1748" s="4" t="s">
        <v>1664</v>
      </c>
      <c r="J1748" s="4" t="s">
        <v>1715</v>
      </c>
      <c r="K1748" s="4">
        <v>1</v>
      </c>
      <c r="L1748" s="4">
        <v>2477</v>
      </c>
      <c r="M1748" s="9"/>
      <c r="U1748"/>
      <c r="AO1748" s="4" t="s">
        <v>3297</v>
      </c>
      <c r="AP1748" s="4">
        <v>618</v>
      </c>
      <c r="AQ1748" s="4" t="s">
        <v>1716</v>
      </c>
      <c r="AR1748" s="4" t="s">
        <v>1717</v>
      </c>
      <c r="AS1748" s="4" t="s">
        <v>1718</v>
      </c>
      <c r="AT1748" s="4" t="s">
        <v>1719</v>
      </c>
      <c r="AU1748" s="4" t="s">
        <v>1703</v>
      </c>
      <c r="AV1748" s="4" t="s">
        <v>1720</v>
      </c>
      <c r="AW1748" s="4" t="s">
        <v>1947</v>
      </c>
      <c r="AX1748" s="4" t="s">
        <v>2133</v>
      </c>
      <c r="AY1748" s="4">
        <v>54.8</v>
      </c>
      <c r="AZ1748" s="4">
        <v>-127.4</v>
      </c>
      <c r="BA1748" s="4">
        <v>9</v>
      </c>
    </row>
    <row r="1749" spans="2:72" ht="14.25" customHeight="1" x14ac:dyDescent="0.2">
      <c r="B1749" s="4">
        <v>12</v>
      </c>
      <c r="C1749" s="4" t="s">
        <v>1711</v>
      </c>
      <c r="D1749" s="188">
        <v>619</v>
      </c>
      <c r="E1749" s="4">
        <v>2075</v>
      </c>
      <c r="F1749" s="16" t="s">
        <v>3300</v>
      </c>
      <c r="G1749" s="4" t="s">
        <v>3301</v>
      </c>
      <c r="H1749" s="4" t="s">
        <v>3302</v>
      </c>
      <c r="I1749" s="4" t="s">
        <v>641</v>
      </c>
      <c r="J1749" s="4" t="s">
        <v>1746</v>
      </c>
      <c r="K1749" s="4">
        <v>1</v>
      </c>
      <c r="L1749" s="4">
        <v>2478</v>
      </c>
      <c r="M1749" s="9"/>
      <c r="P1749" s="192"/>
      <c r="U1749"/>
      <c r="AO1749" s="4" t="s">
        <v>3300</v>
      </c>
      <c r="AP1749" s="4">
        <v>619</v>
      </c>
      <c r="AQ1749" s="4" t="s">
        <v>1716</v>
      </c>
      <c r="AR1749" s="4" t="s">
        <v>1717</v>
      </c>
      <c r="AS1749" s="4" t="s">
        <v>1718</v>
      </c>
      <c r="AT1749" s="4" t="s">
        <v>2161</v>
      </c>
      <c r="AU1749" s="4" t="s">
        <v>2162</v>
      </c>
      <c r="AV1749" s="4" t="s">
        <v>1720</v>
      </c>
      <c r="AW1749" s="4" t="s">
        <v>1947</v>
      </c>
      <c r="AX1749" s="4" t="s">
        <v>2133</v>
      </c>
      <c r="AY1749" s="4">
        <v>54.8</v>
      </c>
      <c r="AZ1749" s="4">
        <v>-127.2</v>
      </c>
      <c r="BA1749" s="4">
        <v>522</v>
      </c>
    </row>
    <row r="1750" spans="2:72" ht="14.25" customHeight="1" x14ac:dyDescent="0.2">
      <c r="B1750" s="4">
        <v>12</v>
      </c>
      <c r="C1750" s="4" t="s">
        <v>1711</v>
      </c>
      <c r="D1750" s="4">
        <v>620</v>
      </c>
      <c r="E1750" s="4">
        <v>2076</v>
      </c>
      <c r="F1750" s="16" t="s">
        <v>3303</v>
      </c>
      <c r="G1750" s="9" t="s">
        <v>3304</v>
      </c>
      <c r="H1750" s="4" t="s">
        <v>3305</v>
      </c>
      <c r="I1750" s="4" t="s">
        <v>1664</v>
      </c>
      <c r="J1750" s="4" t="s">
        <v>1715</v>
      </c>
      <c r="K1750" s="4">
        <v>1</v>
      </c>
      <c r="L1750" s="4">
        <v>2479</v>
      </c>
      <c r="M1750" s="203"/>
      <c r="N1750" s="192"/>
      <c r="O1750" s="192"/>
      <c r="P1750" s="192"/>
      <c r="Q1750" s="192"/>
      <c r="R1750" s="192"/>
      <c r="S1750" s="192"/>
      <c r="T1750" s="192"/>
      <c r="U1750" s="192"/>
      <c r="V1750" s="192"/>
      <c r="W1750" s="192"/>
      <c r="X1750" s="192"/>
      <c r="Y1750" s="192"/>
      <c r="Z1750" s="192"/>
      <c r="AA1750" s="192"/>
      <c r="AB1750" s="192"/>
      <c r="AC1750" s="192"/>
      <c r="AD1750" s="192"/>
      <c r="AE1750" s="192"/>
      <c r="AF1750" s="192"/>
      <c r="AG1750" s="192"/>
      <c r="AH1750" s="192"/>
      <c r="AI1750" s="192"/>
      <c r="AJ1750" s="192"/>
      <c r="AK1750" s="192"/>
      <c r="AL1750" s="192"/>
      <c r="AM1750" s="192"/>
      <c r="AN1750" s="192"/>
      <c r="AO1750" s="188" t="s">
        <v>3303</v>
      </c>
      <c r="AP1750" s="188">
        <v>620</v>
      </c>
      <c r="AQ1750" s="188" t="s">
        <v>1716</v>
      </c>
      <c r="AR1750" s="188" t="s">
        <v>1717</v>
      </c>
      <c r="AS1750" s="188" t="s">
        <v>1718</v>
      </c>
      <c r="AT1750" s="188" t="s">
        <v>1719</v>
      </c>
      <c r="AU1750" s="188" t="s">
        <v>1703</v>
      </c>
      <c r="AV1750" s="188" t="s">
        <v>1720</v>
      </c>
      <c r="AW1750" s="188" t="s">
        <v>1947</v>
      </c>
      <c r="AX1750" s="188" t="s">
        <v>2148</v>
      </c>
      <c r="AY1750" s="188">
        <v>54.4</v>
      </c>
      <c r="AZ1750" s="188">
        <v>-125.5</v>
      </c>
      <c r="BA1750" s="188">
        <v>9</v>
      </c>
      <c r="BB1750" s="192"/>
      <c r="BC1750" s="192"/>
      <c r="BD1750" s="192"/>
      <c r="BE1750" s="192"/>
      <c r="BF1750" s="192"/>
      <c r="BG1750" s="192"/>
      <c r="BH1750" s="192"/>
      <c r="BI1750" s="192"/>
      <c r="BJ1750" s="192"/>
      <c r="BK1750" s="192"/>
      <c r="BL1750" s="192"/>
      <c r="BM1750" s="192"/>
      <c r="BN1750" s="192"/>
      <c r="BO1750" s="192"/>
      <c r="BP1750" s="192"/>
      <c r="BQ1750" s="192"/>
      <c r="BR1750" s="192"/>
      <c r="BS1750" s="192"/>
      <c r="BT1750" s="192"/>
    </row>
    <row r="1751" spans="2:72" ht="14.25" customHeight="1" x14ac:dyDescent="0.2">
      <c r="B1751" s="4">
        <v>12</v>
      </c>
      <c r="C1751" s="4" t="s">
        <v>1711</v>
      </c>
      <c r="D1751" s="4">
        <v>621</v>
      </c>
      <c r="E1751" s="4">
        <v>2077</v>
      </c>
      <c r="F1751" s="16" t="s">
        <v>3306</v>
      </c>
      <c r="G1751" s="4" t="s">
        <v>3307</v>
      </c>
      <c r="H1751" s="4" t="s">
        <v>3308</v>
      </c>
      <c r="I1751" s="4" t="s">
        <v>1664</v>
      </c>
      <c r="J1751" s="4" t="s">
        <v>1715</v>
      </c>
      <c r="K1751" s="4">
        <v>1</v>
      </c>
      <c r="L1751" s="4">
        <v>2480</v>
      </c>
      <c r="M1751" s="9"/>
      <c r="U1751"/>
      <c r="AO1751" s="4" t="s">
        <v>3306</v>
      </c>
      <c r="AP1751" s="4">
        <v>621</v>
      </c>
      <c r="AQ1751" s="4" t="s">
        <v>1716</v>
      </c>
      <c r="AR1751" s="4" t="s">
        <v>1717</v>
      </c>
      <c r="AS1751" s="4" t="s">
        <v>1718</v>
      </c>
      <c r="AT1751" s="4" t="s">
        <v>1719</v>
      </c>
      <c r="AU1751" s="4" t="s">
        <v>1703</v>
      </c>
      <c r="AV1751" s="4" t="s">
        <v>1720</v>
      </c>
      <c r="AW1751" s="4" t="s">
        <v>1947</v>
      </c>
      <c r="AX1751" s="4" t="s">
        <v>2148</v>
      </c>
      <c r="AY1751" s="4">
        <v>54.2</v>
      </c>
      <c r="AZ1751" s="4">
        <v>-126</v>
      </c>
      <c r="BA1751" s="4">
        <v>9</v>
      </c>
    </row>
    <row r="1752" spans="2:72" ht="14.25" customHeight="1" x14ac:dyDescent="0.2">
      <c r="B1752" s="4">
        <v>12</v>
      </c>
      <c r="C1752" s="4" t="s">
        <v>1711</v>
      </c>
      <c r="D1752" s="4">
        <v>623</v>
      </c>
      <c r="E1752" s="4">
        <v>2079</v>
      </c>
      <c r="F1752" s="16" t="s">
        <v>3312</v>
      </c>
      <c r="G1752" s="4" t="s">
        <v>3313</v>
      </c>
      <c r="H1752" s="4" t="s">
        <v>3314</v>
      </c>
      <c r="I1752" s="4" t="s">
        <v>1664</v>
      </c>
      <c r="J1752" s="4" t="s">
        <v>1715</v>
      </c>
      <c r="K1752" s="4">
        <v>1</v>
      </c>
      <c r="L1752" s="4">
        <v>2482</v>
      </c>
      <c r="M1752" s="9"/>
      <c r="U1752" s="192"/>
      <c r="V1752" s="192"/>
      <c r="W1752" s="192"/>
      <c r="X1752" s="192"/>
      <c r="Y1752" s="192"/>
      <c r="Z1752" s="192"/>
      <c r="AA1752" s="192"/>
      <c r="AB1752" s="192"/>
      <c r="AC1752" s="192"/>
      <c r="AD1752" s="192"/>
      <c r="AE1752" s="192"/>
      <c r="AF1752" s="192"/>
      <c r="AG1752" s="192"/>
      <c r="AH1752" s="192"/>
      <c r="AI1752" s="192"/>
      <c r="AJ1752" s="192"/>
      <c r="AK1752" s="192"/>
      <c r="AL1752" s="192"/>
      <c r="AM1752" s="192"/>
      <c r="AN1752" s="192"/>
      <c r="AO1752" s="188" t="s">
        <v>3312</v>
      </c>
      <c r="AP1752" s="188">
        <v>623</v>
      </c>
      <c r="AQ1752" s="188" t="s">
        <v>1716</v>
      </c>
      <c r="AR1752" s="188" t="s">
        <v>1717</v>
      </c>
      <c r="AS1752" s="188" t="s">
        <v>1718</v>
      </c>
      <c r="AT1752" s="188" t="s">
        <v>1719</v>
      </c>
      <c r="AU1752" s="188" t="s">
        <v>1703</v>
      </c>
      <c r="AV1752" s="188" t="s">
        <v>1720</v>
      </c>
      <c r="AW1752" s="188" t="s">
        <v>2003</v>
      </c>
      <c r="AX1752" s="188" t="s">
        <v>2139</v>
      </c>
      <c r="AY1752" s="188">
        <v>53.5</v>
      </c>
      <c r="AZ1752" s="188">
        <v>-124.2</v>
      </c>
      <c r="BA1752" s="188">
        <v>9</v>
      </c>
      <c r="BB1752" s="192"/>
      <c r="BC1752" s="192"/>
      <c r="BD1752" s="192"/>
      <c r="BE1752" s="192"/>
      <c r="BF1752" s="192"/>
      <c r="BG1752" s="192"/>
      <c r="BH1752" s="192"/>
      <c r="BI1752" s="192"/>
      <c r="BJ1752" s="192"/>
      <c r="BK1752" s="192"/>
      <c r="BL1752" s="192"/>
      <c r="BM1752" s="192"/>
      <c r="BN1752" s="192"/>
      <c r="BO1752" s="192"/>
      <c r="BP1752" s="192"/>
      <c r="BQ1752" s="192"/>
      <c r="BR1752" s="192"/>
      <c r="BS1752" s="192"/>
      <c r="BT1752" s="192"/>
    </row>
    <row r="1753" spans="2:72" ht="14.25" customHeight="1" x14ac:dyDescent="0.2">
      <c r="B1753" s="4">
        <v>12</v>
      </c>
      <c r="C1753" s="4" t="s">
        <v>1711</v>
      </c>
      <c r="D1753" s="4">
        <v>624</v>
      </c>
      <c r="E1753" s="4">
        <v>2080</v>
      </c>
      <c r="F1753" s="16" t="s">
        <v>3315</v>
      </c>
      <c r="G1753" s="4" t="s">
        <v>3316</v>
      </c>
      <c r="H1753" s="4" t="s">
        <v>3317</v>
      </c>
      <c r="I1753" s="4" t="s">
        <v>1664</v>
      </c>
      <c r="J1753" s="4" t="s">
        <v>1715</v>
      </c>
      <c r="K1753" s="4">
        <v>1</v>
      </c>
      <c r="L1753" s="4">
        <v>2483</v>
      </c>
      <c r="M1753" s="9"/>
      <c r="U1753" s="192"/>
      <c r="V1753" s="192"/>
      <c r="W1753" s="192"/>
      <c r="X1753" s="192"/>
      <c r="Y1753" s="192"/>
      <c r="Z1753" s="192"/>
      <c r="AA1753" s="192"/>
      <c r="AB1753" s="192"/>
      <c r="AC1753" s="192"/>
      <c r="AD1753" s="192"/>
      <c r="AE1753" s="192"/>
      <c r="AF1753" s="192"/>
      <c r="AG1753" s="192"/>
      <c r="AH1753" s="192"/>
      <c r="AI1753" s="192"/>
      <c r="AJ1753" s="192"/>
      <c r="AK1753" s="192"/>
      <c r="AL1753" s="192"/>
      <c r="AM1753" s="192"/>
      <c r="AN1753" s="192"/>
      <c r="AO1753" s="188" t="s">
        <v>3315</v>
      </c>
      <c r="AP1753" s="188">
        <v>624</v>
      </c>
      <c r="AQ1753" s="188" t="s">
        <v>1716</v>
      </c>
      <c r="AR1753" s="188" t="s">
        <v>1717</v>
      </c>
      <c r="AS1753" s="188" t="s">
        <v>1718</v>
      </c>
      <c r="AT1753" s="188" t="s">
        <v>1719</v>
      </c>
      <c r="AU1753" s="188" t="s">
        <v>1703</v>
      </c>
      <c r="AV1753" s="188" t="s">
        <v>1720</v>
      </c>
      <c r="AW1753" s="188" t="s">
        <v>2003</v>
      </c>
      <c r="AX1753" s="188" t="s">
        <v>2139</v>
      </c>
      <c r="AY1753" s="188">
        <v>54.1</v>
      </c>
      <c r="AZ1753" s="188">
        <v>-124.3</v>
      </c>
      <c r="BA1753" s="188">
        <v>9</v>
      </c>
      <c r="BB1753" s="192"/>
      <c r="BC1753" s="192"/>
      <c r="BD1753" s="192"/>
      <c r="BE1753" s="192"/>
      <c r="BF1753" s="192"/>
      <c r="BG1753" s="192"/>
      <c r="BH1753" s="192"/>
      <c r="BI1753" s="192"/>
      <c r="BJ1753" s="192"/>
      <c r="BK1753" s="192"/>
      <c r="BL1753" s="192"/>
      <c r="BM1753" s="192"/>
      <c r="BN1753" s="192"/>
      <c r="BO1753" s="192"/>
      <c r="BP1753" s="192"/>
      <c r="BQ1753" s="192"/>
      <c r="BR1753" s="192"/>
      <c r="BS1753" s="192"/>
      <c r="BT1753" s="192"/>
    </row>
    <row r="1754" spans="2:72" ht="14.25" customHeight="1" x14ac:dyDescent="0.2">
      <c r="B1754" s="4">
        <v>12</v>
      </c>
      <c r="C1754" s="4" t="s">
        <v>1711</v>
      </c>
      <c r="D1754" s="4">
        <v>625</v>
      </c>
      <c r="E1754" s="4">
        <v>2081</v>
      </c>
      <c r="F1754" s="211" t="s">
        <v>3318</v>
      </c>
      <c r="G1754" s="4" t="s">
        <v>3319</v>
      </c>
      <c r="H1754" s="4" t="s">
        <v>3320</v>
      </c>
      <c r="I1754" s="4" t="s">
        <v>1664</v>
      </c>
      <c r="J1754" s="4" t="s">
        <v>1715</v>
      </c>
      <c r="K1754" s="4">
        <v>1</v>
      </c>
      <c r="L1754" s="4">
        <v>2484</v>
      </c>
      <c r="M1754" s="9"/>
      <c r="U1754"/>
      <c r="AO1754" s="4" t="s">
        <v>3318</v>
      </c>
      <c r="AP1754" s="4">
        <v>625</v>
      </c>
      <c r="AQ1754" s="4" t="s">
        <v>1716</v>
      </c>
      <c r="AR1754" s="4" t="s">
        <v>1717</v>
      </c>
      <c r="AS1754" s="4" t="s">
        <v>1718</v>
      </c>
      <c r="AT1754" s="4" t="s">
        <v>1719</v>
      </c>
      <c r="AU1754" s="4" t="s">
        <v>1703</v>
      </c>
      <c r="AV1754" s="4" t="s">
        <v>1720</v>
      </c>
      <c r="AW1754" s="4" t="s">
        <v>2003</v>
      </c>
      <c r="AX1754" s="4" t="s">
        <v>2139</v>
      </c>
      <c r="AY1754" s="4">
        <v>53.2</v>
      </c>
      <c r="AZ1754" s="4">
        <v>-125.1</v>
      </c>
      <c r="BA1754" s="4">
        <v>13</v>
      </c>
    </row>
    <row r="1755" spans="2:72" ht="14.25" customHeight="1" x14ac:dyDescent="0.2">
      <c r="B1755" s="4">
        <v>12</v>
      </c>
      <c r="C1755" s="4" t="s">
        <v>1711</v>
      </c>
      <c r="D1755" s="4">
        <v>627</v>
      </c>
      <c r="E1755" s="4">
        <v>2083</v>
      </c>
      <c r="F1755" s="16" t="s">
        <v>3324</v>
      </c>
      <c r="G1755" s="188" t="s">
        <v>3325</v>
      </c>
      <c r="H1755" s="4" t="s">
        <v>3326</v>
      </c>
      <c r="I1755" s="4" t="s">
        <v>1664</v>
      </c>
      <c r="J1755" s="4" t="s">
        <v>1715</v>
      </c>
      <c r="K1755" s="4">
        <v>1</v>
      </c>
      <c r="L1755" s="4">
        <v>2486</v>
      </c>
      <c r="M1755" s="9"/>
      <c r="U1755"/>
      <c r="AO1755" s="4" t="s">
        <v>3324</v>
      </c>
      <c r="AP1755" s="4">
        <v>627</v>
      </c>
      <c r="AQ1755" s="4" t="s">
        <v>1716</v>
      </c>
      <c r="AR1755" s="4" t="s">
        <v>1717</v>
      </c>
      <c r="AS1755" s="4" t="s">
        <v>1718</v>
      </c>
      <c r="AT1755" s="4" t="s">
        <v>1719</v>
      </c>
      <c r="AU1755" s="4" t="s">
        <v>1703</v>
      </c>
      <c r="AV1755" s="4" t="s">
        <v>1720</v>
      </c>
      <c r="AW1755" s="4" t="s">
        <v>2003</v>
      </c>
      <c r="AX1755" s="4" t="s">
        <v>2139</v>
      </c>
      <c r="AY1755" s="4">
        <v>53.6</v>
      </c>
      <c r="AZ1755" s="4">
        <v>-124.1</v>
      </c>
      <c r="BA1755" s="4">
        <v>12</v>
      </c>
    </row>
    <row r="1756" spans="2:72" ht="14.25" customHeight="1" x14ac:dyDescent="0.2">
      <c r="B1756" s="4">
        <v>12</v>
      </c>
      <c r="C1756" s="4" t="s">
        <v>1711</v>
      </c>
      <c r="D1756" s="4">
        <v>628</v>
      </c>
      <c r="E1756" s="4">
        <v>2084</v>
      </c>
      <c r="F1756" s="16" t="s">
        <v>3327</v>
      </c>
      <c r="G1756" s="4" t="s">
        <v>3328</v>
      </c>
      <c r="H1756" s="4" t="s">
        <v>3329</v>
      </c>
      <c r="I1756" s="4" t="s">
        <v>1664</v>
      </c>
      <c r="J1756" s="4" t="s">
        <v>1715</v>
      </c>
      <c r="K1756" s="4">
        <v>1</v>
      </c>
      <c r="L1756" s="4">
        <v>2487</v>
      </c>
      <c r="M1756" s="203"/>
      <c r="N1756" s="192"/>
      <c r="O1756" s="192"/>
      <c r="P1756" s="192"/>
      <c r="Q1756" s="192"/>
      <c r="R1756" s="192"/>
      <c r="S1756" s="192"/>
      <c r="T1756" s="192"/>
      <c r="U1756" s="192"/>
      <c r="V1756" s="192"/>
      <c r="W1756" s="192"/>
      <c r="X1756" s="192"/>
      <c r="Y1756" s="192"/>
      <c r="Z1756" s="192"/>
      <c r="AA1756" s="192"/>
      <c r="AB1756" s="192"/>
      <c r="AC1756" s="192"/>
      <c r="AD1756" s="192"/>
      <c r="AE1756" s="192"/>
      <c r="AF1756" s="192"/>
      <c r="AG1756" s="192"/>
      <c r="AH1756" s="192"/>
      <c r="AI1756" s="192"/>
      <c r="AJ1756" s="192"/>
      <c r="AK1756" s="192"/>
      <c r="AL1756" s="192"/>
      <c r="AM1756" s="192"/>
      <c r="AN1756" s="192"/>
      <c r="AO1756" s="188" t="s">
        <v>3327</v>
      </c>
      <c r="AP1756" s="188">
        <v>628</v>
      </c>
      <c r="AQ1756" s="188" t="s">
        <v>1716</v>
      </c>
      <c r="AR1756" s="188" t="s">
        <v>1717</v>
      </c>
      <c r="AS1756" s="188" t="s">
        <v>1718</v>
      </c>
      <c r="AT1756" s="188" t="s">
        <v>1719</v>
      </c>
      <c r="AU1756" s="188" t="s">
        <v>1703</v>
      </c>
      <c r="AV1756" s="188" t="s">
        <v>1720</v>
      </c>
      <c r="AW1756" s="188" t="s">
        <v>2003</v>
      </c>
      <c r="AX1756" s="188" t="s">
        <v>2139</v>
      </c>
      <c r="AY1756" s="188">
        <v>53.5</v>
      </c>
      <c r="AZ1756" s="188">
        <v>-124.6</v>
      </c>
      <c r="BA1756" s="188">
        <v>9</v>
      </c>
      <c r="BB1756" s="192"/>
      <c r="BC1756" s="192"/>
      <c r="BD1756" s="192"/>
      <c r="BE1756" s="192"/>
      <c r="BF1756" s="192"/>
      <c r="BG1756" s="192"/>
      <c r="BH1756" s="192"/>
      <c r="BI1756" s="192"/>
      <c r="BJ1756" s="192"/>
      <c r="BK1756" s="192"/>
      <c r="BL1756" s="192"/>
      <c r="BM1756" s="192"/>
      <c r="BN1756" s="192"/>
      <c r="BO1756" s="192"/>
      <c r="BP1756" s="192"/>
      <c r="BQ1756" s="192"/>
      <c r="BR1756" s="192"/>
      <c r="BS1756" s="192"/>
      <c r="BT1756" s="192"/>
    </row>
    <row r="1757" spans="2:72" ht="14.25" customHeight="1" x14ac:dyDescent="0.2">
      <c r="B1757" s="4">
        <v>12</v>
      </c>
      <c r="C1757" s="4" t="s">
        <v>1711</v>
      </c>
      <c r="D1757" s="4">
        <v>629</v>
      </c>
      <c r="E1757" s="4">
        <v>2085</v>
      </c>
      <c r="F1757" s="16" t="s">
        <v>3330</v>
      </c>
      <c r="G1757" s="4" t="s">
        <v>3331</v>
      </c>
      <c r="H1757" s="4" t="s">
        <v>3332</v>
      </c>
      <c r="I1757" s="4" t="s">
        <v>1664</v>
      </c>
      <c r="J1757" s="4" t="s">
        <v>1746</v>
      </c>
      <c r="K1757" s="4">
        <v>1</v>
      </c>
      <c r="L1757" s="4">
        <v>2488</v>
      </c>
      <c r="M1757" s="9"/>
      <c r="U1757" s="192"/>
      <c r="V1757" s="192"/>
      <c r="W1757" s="192"/>
      <c r="X1757" s="192"/>
      <c r="Y1757" s="192"/>
      <c r="Z1757" s="192"/>
      <c r="AA1757" s="192"/>
      <c r="AB1757" s="192"/>
      <c r="AC1757" s="192"/>
      <c r="AD1757" s="192"/>
      <c r="AE1757" s="192"/>
      <c r="AF1757" s="192"/>
      <c r="AG1757" s="192"/>
      <c r="AH1757" s="192"/>
      <c r="AI1757" s="192"/>
      <c r="AJ1757" s="192"/>
      <c r="AK1757" s="192"/>
      <c r="AL1757" s="192"/>
      <c r="AM1757" s="192"/>
      <c r="AN1757" s="192"/>
      <c r="AO1757" s="188" t="s">
        <v>3330</v>
      </c>
      <c r="AP1757" s="188">
        <v>629</v>
      </c>
      <c r="AQ1757" s="188" t="s">
        <v>1716</v>
      </c>
      <c r="AR1757" s="188" t="s">
        <v>1717</v>
      </c>
      <c r="AS1757" s="188" t="s">
        <v>1718</v>
      </c>
      <c r="AT1757" s="188" t="s">
        <v>1719</v>
      </c>
      <c r="AU1757" s="188" t="s">
        <v>1703</v>
      </c>
      <c r="AV1757" s="188" t="s">
        <v>1720</v>
      </c>
      <c r="AW1757" s="188" t="s">
        <v>1947</v>
      </c>
      <c r="AX1757" s="188" t="s">
        <v>2148</v>
      </c>
      <c r="AY1757" s="188">
        <v>53.4</v>
      </c>
      <c r="AZ1757" s="188">
        <v>-125.3</v>
      </c>
      <c r="BA1757" s="188">
        <v>0</v>
      </c>
      <c r="BB1757" s="192"/>
      <c r="BC1757" s="192"/>
      <c r="BD1757" s="192"/>
      <c r="BE1757" s="192"/>
      <c r="BF1757" s="192"/>
      <c r="BG1757" s="192"/>
      <c r="BH1757" s="192"/>
      <c r="BI1757" s="192"/>
      <c r="BJ1757" s="192"/>
      <c r="BK1757" s="192"/>
      <c r="BL1757" s="192"/>
      <c r="BM1757" s="192"/>
      <c r="BN1757" s="192"/>
      <c r="BO1757" s="192"/>
      <c r="BP1757" s="192"/>
      <c r="BQ1757" s="192"/>
      <c r="BR1757" s="192"/>
      <c r="BS1757" s="192"/>
      <c r="BT1757" s="192"/>
    </row>
    <row r="1758" spans="2:72" ht="14.25" customHeight="1" x14ac:dyDescent="0.2">
      <c r="B1758" s="4">
        <v>12</v>
      </c>
      <c r="C1758" s="4" t="s">
        <v>1711</v>
      </c>
      <c r="D1758" s="4">
        <v>633</v>
      </c>
      <c r="E1758" s="4">
        <v>2088</v>
      </c>
      <c r="F1758" s="211" t="s">
        <v>3339</v>
      </c>
      <c r="G1758" s="4" t="s">
        <v>3340</v>
      </c>
      <c r="H1758" s="4" t="s">
        <v>3341</v>
      </c>
      <c r="I1758" s="4" t="s">
        <v>1664</v>
      </c>
      <c r="J1758" s="4" t="s">
        <v>1746</v>
      </c>
      <c r="K1758" s="4">
        <v>1</v>
      </c>
      <c r="L1758" s="4">
        <v>2491</v>
      </c>
      <c r="M1758" s="9"/>
      <c r="U1758"/>
      <c r="AO1758" s="4" t="s">
        <v>3339</v>
      </c>
      <c r="AP1758" s="4">
        <v>633</v>
      </c>
      <c r="AQ1758" s="4" t="s">
        <v>1716</v>
      </c>
      <c r="AR1758" s="4" t="s">
        <v>1717</v>
      </c>
      <c r="AS1758" s="4" t="s">
        <v>1718</v>
      </c>
      <c r="AT1758" s="4" t="s">
        <v>1719</v>
      </c>
      <c r="AU1758" s="4" t="s">
        <v>1703</v>
      </c>
      <c r="AV1758" s="4" t="s">
        <v>1720</v>
      </c>
      <c r="AW1758" s="4" t="s">
        <v>2003</v>
      </c>
      <c r="AX1758" s="4" t="s">
        <v>2139</v>
      </c>
      <c r="AY1758" s="4">
        <v>53.7</v>
      </c>
      <c r="AZ1758" s="4">
        <v>-124</v>
      </c>
      <c r="BA1758" s="4">
        <v>12</v>
      </c>
    </row>
    <row r="1759" spans="2:72" ht="14.25" customHeight="1" x14ac:dyDescent="0.2">
      <c r="B1759" s="4">
        <v>12</v>
      </c>
      <c r="C1759" s="4" t="s">
        <v>1711</v>
      </c>
      <c r="D1759" s="4">
        <v>634</v>
      </c>
      <c r="E1759" s="4">
        <v>2089</v>
      </c>
      <c r="F1759" s="211" t="s">
        <v>3342</v>
      </c>
      <c r="G1759" s="4" t="s">
        <v>3343</v>
      </c>
      <c r="H1759" s="4" t="s">
        <v>3344</v>
      </c>
      <c r="I1759" s="4" t="s">
        <v>1664</v>
      </c>
      <c r="J1759" s="4" t="s">
        <v>1715</v>
      </c>
      <c r="K1759" s="4">
        <v>1</v>
      </c>
      <c r="L1759" s="4">
        <v>2492</v>
      </c>
      <c r="M1759" s="9"/>
      <c r="U1759"/>
      <c r="AO1759" s="4" t="s">
        <v>3342</v>
      </c>
      <c r="AP1759" s="4">
        <v>634</v>
      </c>
      <c r="AQ1759" s="4" t="s">
        <v>1716</v>
      </c>
      <c r="AR1759" s="4" t="s">
        <v>1717</v>
      </c>
      <c r="AS1759" s="4" t="s">
        <v>1718</v>
      </c>
      <c r="AT1759" s="4" t="s">
        <v>1719</v>
      </c>
      <c r="AU1759" s="4" t="s">
        <v>1703</v>
      </c>
      <c r="AV1759" s="4" t="s">
        <v>1720</v>
      </c>
      <c r="AW1759" s="4" t="s">
        <v>1947</v>
      </c>
      <c r="AX1759" s="4" t="s">
        <v>2153</v>
      </c>
      <c r="AY1759" s="4">
        <v>54.6</v>
      </c>
      <c r="AZ1759" s="4">
        <v>-126.2</v>
      </c>
      <c r="BA1759" s="4">
        <v>12</v>
      </c>
    </row>
    <row r="1760" spans="2:72" ht="14.25" customHeight="1" x14ac:dyDescent="0.2">
      <c r="B1760" s="4">
        <v>12</v>
      </c>
      <c r="C1760" s="4" t="s">
        <v>1711</v>
      </c>
      <c r="D1760" s="4">
        <v>635</v>
      </c>
      <c r="E1760" s="4">
        <v>2090</v>
      </c>
      <c r="F1760" s="16" t="s">
        <v>3345</v>
      </c>
      <c r="G1760" s="4" t="s">
        <v>3346</v>
      </c>
      <c r="H1760" s="4" t="s">
        <v>3347</v>
      </c>
      <c r="I1760" s="4" t="s">
        <v>1664</v>
      </c>
      <c r="J1760" s="4" t="s">
        <v>1746</v>
      </c>
      <c r="K1760" s="4">
        <v>1</v>
      </c>
      <c r="L1760" s="4">
        <v>2493</v>
      </c>
      <c r="M1760" s="203"/>
      <c r="N1760" s="192"/>
      <c r="O1760" s="192"/>
      <c r="P1760" s="192"/>
      <c r="Q1760" s="192"/>
      <c r="R1760" s="192"/>
      <c r="S1760" s="192"/>
      <c r="T1760" s="192"/>
      <c r="U1760" s="192"/>
      <c r="V1760" s="192"/>
      <c r="W1760" s="192"/>
      <c r="X1760" s="192"/>
      <c r="Y1760" s="192"/>
      <c r="Z1760" s="192"/>
      <c r="AA1760" s="192"/>
      <c r="AB1760" s="192"/>
      <c r="AC1760" s="192"/>
      <c r="AD1760" s="192"/>
      <c r="AE1760" s="192"/>
      <c r="AF1760" s="192"/>
      <c r="AG1760" s="192"/>
      <c r="AH1760" s="192"/>
      <c r="AI1760" s="192"/>
      <c r="AJ1760" s="192"/>
      <c r="AK1760" s="192"/>
      <c r="AL1760" s="192"/>
      <c r="AM1760" s="192"/>
      <c r="AN1760" s="192"/>
      <c r="AO1760" s="188" t="s">
        <v>3345</v>
      </c>
      <c r="AP1760" s="188">
        <v>635</v>
      </c>
      <c r="AQ1760" s="188" t="s">
        <v>1716</v>
      </c>
      <c r="AR1760" s="188" t="s">
        <v>1717</v>
      </c>
      <c r="AS1760" s="188" t="s">
        <v>1718</v>
      </c>
      <c r="AT1760" s="188" t="s">
        <v>1719</v>
      </c>
      <c r="AU1760" s="188" t="s">
        <v>1703</v>
      </c>
      <c r="AV1760" s="188" t="s">
        <v>1720</v>
      </c>
      <c r="AW1760" s="188" t="s">
        <v>1947</v>
      </c>
      <c r="AX1760" s="188" t="s">
        <v>2133</v>
      </c>
      <c r="AY1760" s="188">
        <v>54.9</v>
      </c>
      <c r="AZ1760" s="188">
        <v>-126.7</v>
      </c>
      <c r="BA1760" s="188">
        <v>9</v>
      </c>
      <c r="BB1760" s="192"/>
      <c r="BC1760" s="192"/>
      <c r="BD1760" s="192"/>
      <c r="BE1760" s="192"/>
      <c r="BF1760" s="192"/>
      <c r="BG1760" s="192"/>
      <c r="BH1760" s="192"/>
      <c r="BI1760" s="192"/>
      <c r="BJ1760" s="192"/>
      <c r="BK1760" s="192"/>
      <c r="BL1760" s="192"/>
      <c r="BM1760" s="192"/>
      <c r="BN1760" s="192"/>
      <c r="BO1760" s="192"/>
      <c r="BP1760" s="192"/>
      <c r="BQ1760" s="192"/>
      <c r="BR1760" s="192"/>
      <c r="BS1760" s="192"/>
      <c r="BT1760" s="192"/>
    </row>
    <row r="1761" spans="2:72" ht="14.25" customHeight="1" x14ac:dyDescent="0.2">
      <c r="B1761" s="4">
        <v>12</v>
      </c>
      <c r="C1761" s="4" t="s">
        <v>1711</v>
      </c>
      <c r="D1761" s="4">
        <v>636</v>
      </c>
      <c r="E1761" s="4">
        <v>2091</v>
      </c>
      <c r="F1761" s="16" t="s">
        <v>3348</v>
      </c>
      <c r="G1761" s="188" t="s">
        <v>3349</v>
      </c>
      <c r="H1761" s="4" t="s">
        <v>3350</v>
      </c>
      <c r="I1761" s="4" t="s">
        <v>1664</v>
      </c>
      <c r="J1761" s="4" t="s">
        <v>1746</v>
      </c>
      <c r="K1761" s="4">
        <v>1</v>
      </c>
      <c r="L1761" s="4">
        <v>2494</v>
      </c>
      <c r="M1761" s="9"/>
      <c r="U1761"/>
      <c r="AO1761" s="4" t="s">
        <v>3348</v>
      </c>
      <c r="AP1761" s="4">
        <v>636</v>
      </c>
      <c r="AQ1761" s="4" t="s">
        <v>1716</v>
      </c>
      <c r="AR1761" s="4" t="s">
        <v>1717</v>
      </c>
      <c r="AS1761" s="4" t="s">
        <v>1718</v>
      </c>
      <c r="AT1761" s="4" t="s">
        <v>1719</v>
      </c>
      <c r="AU1761" s="4" t="s">
        <v>1703</v>
      </c>
      <c r="AV1761" s="4" t="s">
        <v>1720</v>
      </c>
      <c r="AW1761" s="4" t="s">
        <v>1947</v>
      </c>
      <c r="AX1761" s="4" t="s">
        <v>2153</v>
      </c>
      <c r="AY1761" s="4">
        <v>55.2</v>
      </c>
      <c r="AZ1761" s="4">
        <v>-126.2</v>
      </c>
      <c r="BA1761" s="4">
        <v>9</v>
      </c>
    </row>
    <row r="1762" spans="2:72" ht="14.25" customHeight="1" x14ac:dyDescent="0.2">
      <c r="B1762" s="4">
        <v>12</v>
      </c>
      <c r="C1762" s="4" t="s">
        <v>1711</v>
      </c>
      <c r="D1762" s="4">
        <v>637</v>
      </c>
      <c r="E1762" s="4">
        <v>2092</v>
      </c>
      <c r="F1762" s="211" t="s">
        <v>3351</v>
      </c>
      <c r="G1762" s="4" t="s">
        <v>3352</v>
      </c>
      <c r="H1762" s="4" t="s">
        <v>3353</v>
      </c>
      <c r="I1762" s="4" t="s">
        <v>1664</v>
      </c>
      <c r="J1762" s="4" t="s">
        <v>1746</v>
      </c>
      <c r="K1762" s="4">
        <v>1</v>
      </c>
      <c r="L1762" s="4">
        <v>2495</v>
      </c>
      <c r="M1762" s="9"/>
      <c r="U1762"/>
      <c r="AO1762" s="4" t="s">
        <v>3351</v>
      </c>
      <c r="AP1762" s="4">
        <v>637</v>
      </c>
      <c r="AQ1762" s="4" t="s">
        <v>1716</v>
      </c>
      <c r="AR1762" s="4" t="s">
        <v>1717</v>
      </c>
      <c r="AS1762" s="4" t="s">
        <v>1718</v>
      </c>
      <c r="AT1762" s="4" t="s">
        <v>1719</v>
      </c>
      <c r="AU1762" s="4" t="s">
        <v>1703</v>
      </c>
      <c r="AV1762" s="4" t="s">
        <v>1720</v>
      </c>
      <c r="AW1762" s="4" t="s">
        <v>1947</v>
      </c>
      <c r="AX1762" s="4" t="s">
        <v>2153</v>
      </c>
      <c r="AY1762" s="4">
        <v>54.9</v>
      </c>
      <c r="AZ1762" s="4">
        <v>-125.9</v>
      </c>
      <c r="BA1762" s="4">
        <v>10</v>
      </c>
    </row>
    <row r="1763" spans="2:72" ht="14.25" customHeight="1" x14ac:dyDescent="0.2">
      <c r="B1763" s="4">
        <v>12</v>
      </c>
      <c r="C1763" s="4" t="s">
        <v>1711</v>
      </c>
      <c r="D1763" s="4">
        <v>638</v>
      </c>
      <c r="E1763" s="4">
        <v>2093</v>
      </c>
      <c r="F1763" s="211" t="s">
        <v>3354</v>
      </c>
      <c r="G1763" s="4" t="s">
        <v>3355</v>
      </c>
      <c r="H1763" s="4" t="s">
        <v>3356</v>
      </c>
      <c r="I1763" s="4" t="s">
        <v>1664</v>
      </c>
      <c r="J1763" s="4" t="s">
        <v>1746</v>
      </c>
      <c r="K1763" s="4">
        <v>1</v>
      </c>
      <c r="L1763" s="4">
        <v>2496</v>
      </c>
      <c r="M1763" s="9"/>
      <c r="U1763"/>
      <c r="AO1763" s="4" t="s">
        <v>3354</v>
      </c>
      <c r="AP1763" s="4">
        <v>638</v>
      </c>
      <c r="AQ1763" s="4" t="s">
        <v>1716</v>
      </c>
      <c r="AR1763" s="4" t="s">
        <v>1717</v>
      </c>
      <c r="AS1763" s="4" t="s">
        <v>1718</v>
      </c>
      <c r="AT1763" s="4" t="s">
        <v>1719</v>
      </c>
      <c r="AU1763" s="4" t="s">
        <v>1703</v>
      </c>
      <c r="AV1763" s="4" t="s">
        <v>1720</v>
      </c>
      <c r="AW1763" s="4" t="s">
        <v>1947</v>
      </c>
      <c r="AX1763" s="4" t="s">
        <v>2153</v>
      </c>
      <c r="AY1763" s="4">
        <v>54.2</v>
      </c>
      <c r="AZ1763" s="4">
        <v>-126.4</v>
      </c>
      <c r="BA1763" s="4">
        <v>14</v>
      </c>
    </row>
    <row r="1764" spans="2:72" ht="14.25" customHeight="1" x14ac:dyDescent="0.2">
      <c r="B1764" s="4">
        <v>12</v>
      </c>
      <c r="C1764" s="4" t="s">
        <v>1711</v>
      </c>
      <c r="D1764" s="4">
        <v>639</v>
      </c>
      <c r="E1764" s="4">
        <v>2094</v>
      </c>
      <c r="F1764" s="211" t="s">
        <v>3357</v>
      </c>
      <c r="G1764" s="4" t="s">
        <v>3358</v>
      </c>
      <c r="H1764" s="4" t="s">
        <v>3356</v>
      </c>
      <c r="I1764" s="4" t="s">
        <v>1664</v>
      </c>
      <c r="J1764" s="4" t="s">
        <v>1746</v>
      </c>
      <c r="K1764" s="4">
        <v>1</v>
      </c>
      <c r="L1764" s="4">
        <v>2497</v>
      </c>
      <c r="M1764" s="9"/>
      <c r="U1764"/>
      <c r="AO1764" s="4" t="s">
        <v>3357</v>
      </c>
      <c r="AP1764" s="4">
        <v>639</v>
      </c>
      <c r="AQ1764" s="4" t="s">
        <v>1716</v>
      </c>
      <c r="AR1764" s="4" t="s">
        <v>1717</v>
      </c>
      <c r="AS1764" s="4" t="s">
        <v>1740</v>
      </c>
      <c r="AT1764" s="4" t="s">
        <v>1719</v>
      </c>
      <c r="AU1764" s="4" t="s">
        <v>1772</v>
      </c>
      <c r="AV1764" s="4" t="s">
        <v>1720</v>
      </c>
      <c r="AW1764" s="4" t="s">
        <v>1947</v>
      </c>
      <c r="AX1764" s="4" t="s">
        <v>2153</v>
      </c>
      <c r="AY1764" s="4">
        <v>54.1</v>
      </c>
      <c r="AZ1764" s="4">
        <v>-126.6</v>
      </c>
      <c r="BA1764" s="4">
        <v>9</v>
      </c>
    </row>
    <row r="1765" spans="2:72" ht="14.25" customHeight="1" x14ac:dyDescent="0.2">
      <c r="B1765" s="4">
        <v>12</v>
      </c>
      <c r="C1765" s="4" t="s">
        <v>1711</v>
      </c>
      <c r="D1765" s="4">
        <v>640</v>
      </c>
      <c r="E1765" s="4">
        <v>2095</v>
      </c>
      <c r="F1765" s="211" t="s">
        <v>3359</v>
      </c>
      <c r="G1765" s="4" t="s">
        <v>3360</v>
      </c>
      <c r="H1765" s="4" t="s">
        <v>3356</v>
      </c>
      <c r="I1765" s="4" t="s">
        <v>1664</v>
      </c>
      <c r="J1765" s="4" t="s">
        <v>1746</v>
      </c>
      <c r="K1765" s="4">
        <v>1</v>
      </c>
      <c r="L1765" s="4">
        <v>2498</v>
      </c>
      <c r="M1765" s="9"/>
      <c r="U1765"/>
      <c r="AO1765" s="4" t="s">
        <v>3359</v>
      </c>
      <c r="AP1765" s="4">
        <v>640</v>
      </c>
      <c r="AQ1765" s="4" t="s">
        <v>1716</v>
      </c>
      <c r="AR1765" s="4" t="s">
        <v>1717</v>
      </c>
      <c r="AS1765" s="4" t="s">
        <v>1718</v>
      </c>
      <c r="AT1765" s="4" t="s">
        <v>1719</v>
      </c>
      <c r="AU1765" s="4" t="s">
        <v>1703</v>
      </c>
      <c r="AV1765" s="4" t="s">
        <v>1720</v>
      </c>
      <c r="AW1765" s="4" t="s">
        <v>1947</v>
      </c>
      <c r="AX1765" s="4" t="s">
        <v>2153</v>
      </c>
      <c r="AY1765" s="4">
        <v>54.4</v>
      </c>
      <c r="AZ1765" s="4">
        <v>-126.9</v>
      </c>
      <c r="BA1765" s="4">
        <v>10</v>
      </c>
    </row>
    <row r="1766" spans="2:72" ht="14.25" customHeight="1" x14ac:dyDescent="0.2">
      <c r="B1766" s="4">
        <v>12</v>
      </c>
      <c r="C1766" s="4" t="s">
        <v>1711</v>
      </c>
      <c r="D1766" s="4">
        <v>641</v>
      </c>
      <c r="E1766" s="4">
        <v>2096</v>
      </c>
      <c r="F1766" s="16" t="s">
        <v>3361</v>
      </c>
      <c r="G1766" s="188" t="s">
        <v>3362</v>
      </c>
      <c r="H1766" s="4" t="s">
        <v>3363</v>
      </c>
      <c r="I1766" s="4" t="s">
        <v>1664</v>
      </c>
      <c r="J1766" s="4" t="s">
        <v>1746</v>
      </c>
      <c r="K1766" s="4">
        <v>1</v>
      </c>
      <c r="L1766" s="4">
        <v>2499</v>
      </c>
      <c r="M1766" s="9"/>
      <c r="U1766"/>
      <c r="AO1766" s="4" t="s">
        <v>3361</v>
      </c>
      <c r="AP1766" s="4">
        <v>641</v>
      </c>
      <c r="AQ1766" s="4" t="s">
        <v>1716</v>
      </c>
      <c r="AR1766" s="4" t="s">
        <v>1717</v>
      </c>
      <c r="AS1766" s="4" t="s">
        <v>1718</v>
      </c>
      <c r="AT1766" s="4" t="s">
        <v>1719</v>
      </c>
      <c r="AU1766" s="4" t="s">
        <v>1703</v>
      </c>
      <c r="AV1766" s="4" t="s">
        <v>1720</v>
      </c>
      <c r="AW1766" s="4" t="s">
        <v>1947</v>
      </c>
      <c r="AX1766" s="4" t="s">
        <v>2153</v>
      </c>
      <c r="AY1766" s="4">
        <v>54.1</v>
      </c>
      <c r="AZ1766" s="4">
        <v>-126.9</v>
      </c>
      <c r="BA1766" s="4">
        <v>9</v>
      </c>
    </row>
    <row r="1767" spans="2:72" ht="14.25" customHeight="1" x14ac:dyDescent="0.2">
      <c r="B1767" s="4">
        <v>12</v>
      </c>
      <c r="C1767" s="4" t="s">
        <v>1711</v>
      </c>
      <c r="D1767" s="9">
        <v>642</v>
      </c>
      <c r="E1767" s="4">
        <v>2097</v>
      </c>
      <c r="F1767" s="16" t="s">
        <v>3364</v>
      </c>
      <c r="G1767" s="4" t="s">
        <v>3365</v>
      </c>
      <c r="H1767" s="4" t="s">
        <v>3366</v>
      </c>
      <c r="I1767" s="4" t="s">
        <v>1664</v>
      </c>
      <c r="J1767" s="4" t="s">
        <v>1746</v>
      </c>
      <c r="K1767" s="4">
        <v>1</v>
      </c>
      <c r="L1767" s="4">
        <v>2500</v>
      </c>
      <c r="M1767" s="203"/>
      <c r="N1767" s="192"/>
      <c r="O1767" s="192"/>
      <c r="P1767" s="192"/>
      <c r="Q1767" s="192"/>
      <c r="R1767" s="192"/>
      <c r="S1767" s="192"/>
      <c r="T1767" s="192"/>
      <c r="U1767" s="192"/>
      <c r="V1767" s="192"/>
      <c r="W1767" s="192"/>
      <c r="X1767" s="192"/>
      <c r="Y1767" s="192"/>
      <c r="Z1767" s="192"/>
      <c r="AA1767" s="192"/>
      <c r="AB1767" s="192"/>
      <c r="AC1767" s="192"/>
      <c r="AD1767" s="192"/>
      <c r="AE1767" s="192"/>
      <c r="AF1767" s="192"/>
      <c r="AG1767" s="192"/>
      <c r="AH1767" s="192"/>
      <c r="AI1767" s="192"/>
      <c r="AJ1767" s="192"/>
      <c r="AK1767" s="192"/>
      <c r="AL1767" s="192"/>
      <c r="AM1767" s="192"/>
      <c r="AN1767" s="192"/>
      <c r="AO1767" s="188" t="s">
        <v>3364</v>
      </c>
      <c r="AP1767" s="188">
        <v>642</v>
      </c>
      <c r="AQ1767" s="188" t="s">
        <v>1716</v>
      </c>
      <c r="AR1767" s="188" t="s">
        <v>1717</v>
      </c>
      <c r="AS1767" s="188" t="s">
        <v>1718</v>
      </c>
      <c r="AT1767" s="188" t="s">
        <v>1719</v>
      </c>
      <c r="AU1767" s="188" t="s">
        <v>1703</v>
      </c>
      <c r="AV1767" s="188" t="s">
        <v>1720</v>
      </c>
      <c r="AW1767" s="188" t="s">
        <v>1947</v>
      </c>
      <c r="AX1767" s="188" t="s">
        <v>2153</v>
      </c>
      <c r="AY1767" s="188">
        <v>54.3</v>
      </c>
      <c r="AZ1767" s="188">
        <v>-127.4</v>
      </c>
      <c r="BA1767" s="188">
        <v>10</v>
      </c>
      <c r="BB1767" s="192"/>
      <c r="BC1767" s="192"/>
      <c r="BD1767" s="192"/>
      <c r="BE1767" s="192"/>
      <c r="BF1767" s="192"/>
      <c r="BG1767" s="192"/>
      <c r="BH1767" s="192"/>
      <c r="BI1767" s="192"/>
      <c r="BJ1767" s="192"/>
      <c r="BK1767" s="192"/>
      <c r="BL1767" s="192"/>
      <c r="BM1767" s="192"/>
      <c r="BN1767" s="192"/>
      <c r="BO1767" s="192"/>
      <c r="BP1767" s="192"/>
      <c r="BQ1767" s="192"/>
      <c r="BR1767" s="192"/>
      <c r="BS1767" s="192"/>
      <c r="BT1767" s="192"/>
    </row>
    <row r="1768" spans="2:72" ht="14.25" customHeight="1" x14ac:dyDescent="0.2">
      <c r="B1768" s="4">
        <v>12</v>
      </c>
      <c r="C1768" s="4" t="s">
        <v>1711</v>
      </c>
      <c r="D1768" s="4">
        <v>643</v>
      </c>
      <c r="E1768" s="4">
        <v>2098</v>
      </c>
      <c r="F1768" s="211" t="s">
        <v>3367</v>
      </c>
      <c r="G1768" s="4" t="s">
        <v>3368</v>
      </c>
      <c r="H1768" s="4" t="s">
        <v>3369</v>
      </c>
      <c r="I1768" s="4" t="s">
        <v>1664</v>
      </c>
      <c r="J1768" s="4" t="s">
        <v>1746</v>
      </c>
      <c r="K1768" s="4">
        <v>1</v>
      </c>
      <c r="L1768" s="4">
        <v>2501</v>
      </c>
      <c r="M1768" s="9"/>
      <c r="U1768"/>
      <c r="AO1768" s="4" t="s">
        <v>3367</v>
      </c>
      <c r="AP1768" s="4">
        <v>643</v>
      </c>
      <c r="AQ1768" s="4" t="s">
        <v>1716</v>
      </c>
      <c r="AR1768" s="4" t="s">
        <v>1717</v>
      </c>
      <c r="AS1768" s="4" t="s">
        <v>1718</v>
      </c>
      <c r="AT1768" s="4" t="s">
        <v>1719</v>
      </c>
      <c r="AU1768" s="4" t="s">
        <v>1703</v>
      </c>
      <c r="AV1768" s="4" t="s">
        <v>1720</v>
      </c>
      <c r="AW1768" s="4" t="s">
        <v>1947</v>
      </c>
      <c r="AX1768" s="4" t="s">
        <v>2153</v>
      </c>
      <c r="AY1768" s="4">
        <v>54.2</v>
      </c>
      <c r="AZ1768" s="4">
        <v>-127.3</v>
      </c>
      <c r="BA1768" s="4">
        <v>9</v>
      </c>
    </row>
    <row r="1769" spans="2:72" ht="14.25" customHeight="1" x14ac:dyDescent="0.2">
      <c r="B1769" s="4">
        <v>12</v>
      </c>
      <c r="C1769" s="4" t="s">
        <v>1711</v>
      </c>
      <c r="D1769" s="4">
        <v>644</v>
      </c>
      <c r="E1769" s="4">
        <v>2099</v>
      </c>
      <c r="F1769" s="16" t="s">
        <v>3370</v>
      </c>
      <c r="G1769" s="4" t="s">
        <v>3371</v>
      </c>
      <c r="H1769" s="4" t="s">
        <v>3356</v>
      </c>
      <c r="I1769" s="4" t="s">
        <v>1664</v>
      </c>
      <c r="J1769" s="4" t="s">
        <v>1746</v>
      </c>
      <c r="K1769" s="4">
        <v>1</v>
      </c>
      <c r="L1769" s="4">
        <v>2502</v>
      </c>
      <c r="M1769" s="203"/>
      <c r="N1769" s="192"/>
      <c r="O1769" s="192"/>
      <c r="P1769" s="192"/>
      <c r="Q1769" s="192"/>
      <c r="R1769" s="192"/>
      <c r="S1769" s="192"/>
      <c r="U1769" s="192"/>
      <c r="V1769" s="192"/>
      <c r="W1769" s="192"/>
      <c r="X1769" s="192"/>
      <c r="Y1769" s="192"/>
      <c r="Z1769" s="192"/>
      <c r="AA1769" s="192"/>
      <c r="AB1769" s="192"/>
      <c r="AC1769" s="192"/>
      <c r="AD1769" s="192"/>
      <c r="AE1769" s="192"/>
      <c r="AF1769" s="192"/>
      <c r="AG1769" s="192"/>
      <c r="AH1769" s="192"/>
      <c r="AI1769" s="192"/>
      <c r="AJ1769" s="192"/>
      <c r="AK1769" s="192"/>
      <c r="AL1769" s="192"/>
      <c r="AM1769" s="192"/>
      <c r="AN1769" s="192"/>
      <c r="AO1769" s="188" t="s">
        <v>3370</v>
      </c>
      <c r="AP1769" s="188">
        <v>644</v>
      </c>
      <c r="AQ1769" s="188" t="s">
        <v>1716</v>
      </c>
      <c r="AR1769" s="188" t="s">
        <v>1717</v>
      </c>
      <c r="AS1769" s="188" t="s">
        <v>1718</v>
      </c>
      <c r="AT1769" s="188" t="s">
        <v>1719</v>
      </c>
      <c r="AU1769" s="188" t="s">
        <v>1703</v>
      </c>
      <c r="AV1769" s="188" t="s">
        <v>1720</v>
      </c>
      <c r="AW1769" s="188" t="s">
        <v>1947</v>
      </c>
      <c r="AX1769" s="188" t="s">
        <v>2153</v>
      </c>
      <c r="AY1769" s="188">
        <v>54.3</v>
      </c>
      <c r="AZ1769" s="188">
        <v>-127.4</v>
      </c>
      <c r="BA1769" s="188">
        <v>9</v>
      </c>
      <c r="BB1769" s="192"/>
      <c r="BC1769" s="192"/>
      <c r="BD1769" s="192"/>
      <c r="BE1769" s="192"/>
      <c r="BF1769" s="192"/>
      <c r="BG1769" s="192"/>
      <c r="BH1769" s="192"/>
      <c r="BI1769" s="192"/>
      <c r="BJ1769" s="192"/>
      <c r="BK1769" s="192"/>
      <c r="BL1769" s="192"/>
      <c r="BM1769" s="192"/>
      <c r="BN1769" s="192"/>
      <c r="BO1769" s="192"/>
      <c r="BP1769" s="192"/>
      <c r="BQ1769" s="192"/>
      <c r="BR1769" s="192"/>
      <c r="BS1769" s="192"/>
      <c r="BT1769" s="192"/>
    </row>
    <row r="1770" spans="2:72" ht="14.25" customHeight="1" x14ac:dyDescent="0.2">
      <c r="B1770" s="4">
        <v>12</v>
      </c>
      <c r="C1770" s="188" t="s">
        <v>1711</v>
      </c>
      <c r="D1770" s="188">
        <v>645</v>
      </c>
      <c r="E1770" s="188">
        <v>2100</v>
      </c>
      <c r="F1770" s="16" t="s">
        <v>3372</v>
      </c>
      <c r="G1770" s="188" t="s">
        <v>3373</v>
      </c>
      <c r="H1770" s="4" t="s">
        <v>3374</v>
      </c>
      <c r="I1770" s="4" t="s">
        <v>1664</v>
      </c>
      <c r="J1770" s="4" t="s">
        <v>1746</v>
      </c>
      <c r="K1770" s="4">
        <v>1</v>
      </c>
      <c r="L1770" s="4">
        <v>2503</v>
      </c>
      <c r="M1770" s="9"/>
      <c r="U1770"/>
      <c r="AO1770" s="4" t="s">
        <v>3372</v>
      </c>
      <c r="AP1770" s="4">
        <v>645</v>
      </c>
      <c r="AQ1770" s="4" t="s">
        <v>1716</v>
      </c>
      <c r="AR1770" s="4" t="s">
        <v>1717</v>
      </c>
      <c r="AS1770" s="4" t="s">
        <v>1718</v>
      </c>
      <c r="AT1770" s="4" t="s">
        <v>1719</v>
      </c>
      <c r="AU1770" s="4" t="s">
        <v>1703</v>
      </c>
      <c r="AV1770" s="4" t="s">
        <v>1720</v>
      </c>
      <c r="AW1770" s="4" t="s">
        <v>1947</v>
      </c>
      <c r="AX1770" s="4" t="s">
        <v>2153</v>
      </c>
      <c r="AY1770" s="4">
        <v>53.6</v>
      </c>
      <c r="AZ1770" s="4">
        <v>-127</v>
      </c>
      <c r="BA1770" s="4">
        <v>10</v>
      </c>
    </row>
    <row r="1771" spans="2:72" ht="14.25" customHeight="1" x14ac:dyDescent="0.2">
      <c r="B1771" s="4">
        <v>12</v>
      </c>
      <c r="C1771" s="4" t="s">
        <v>1711</v>
      </c>
      <c r="D1771" s="4">
        <v>646</v>
      </c>
      <c r="E1771" s="4">
        <v>2101</v>
      </c>
      <c r="F1771" s="16" t="s">
        <v>3375</v>
      </c>
      <c r="G1771" s="9" t="s">
        <v>3376</v>
      </c>
      <c r="H1771" s="4" t="s">
        <v>3377</v>
      </c>
      <c r="I1771" s="4" t="s">
        <v>1664</v>
      </c>
      <c r="J1771" s="4" t="s">
        <v>1715</v>
      </c>
      <c r="K1771" s="4">
        <v>1</v>
      </c>
      <c r="L1771" s="4">
        <v>2504</v>
      </c>
      <c r="M1771" s="203"/>
      <c r="N1771" s="192"/>
      <c r="O1771" s="192"/>
      <c r="P1771" s="192"/>
      <c r="Q1771" s="192"/>
      <c r="R1771" s="192"/>
      <c r="S1771" s="192"/>
      <c r="T1771" s="192"/>
      <c r="U1771" s="192"/>
      <c r="V1771" s="192"/>
      <c r="W1771" s="192"/>
      <c r="X1771" s="192"/>
      <c r="Y1771" s="192"/>
      <c r="Z1771" s="192"/>
      <c r="AA1771" s="192"/>
      <c r="AB1771" s="192"/>
      <c r="AC1771" s="192"/>
      <c r="AD1771" s="192"/>
      <c r="AE1771" s="192"/>
      <c r="AF1771" s="192"/>
      <c r="AG1771" s="192"/>
      <c r="AH1771" s="192"/>
      <c r="AI1771" s="192"/>
      <c r="AJ1771" s="192"/>
      <c r="AK1771" s="192"/>
      <c r="AL1771" s="192"/>
      <c r="AM1771" s="192"/>
      <c r="AN1771" s="192"/>
      <c r="AO1771" s="188" t="s">
        <v>3375</v>
      </c>
      <c r="AP1771" s="188">
        <v>646</v>
      </c>
      <c r="AQ1771" s="188" t="s">
        <v>1716</v>
      </c>
      <c r="AR1771" s="188" t="s">
        <v>1717</v>
      </c>
      <c r="AS1771" s="188" t="s">
        <v>1718</v>
      </c>
      <c r="AT1771" s="188" t="s">
        <v>1719</v>
      </c>
      <c r="AU1771" s="188" t="s">
        <v>1703</v>
      </c>
      <c r="AV1771" s="188" t="s">
        <v>1720</v>
      </c>
      <c r="AW1771" s="188" t="s">
        <v>2003</v>
      </c>
      <c r="AX1771" s="188" t="s">
        <v>2139</v>
      </c>
      <c r="AY1771" s="188">
        <v>53.5</v>
      </c>
      <c r="AZ1771" s="188">
        <v>-124.9</v>
      </c>
      <c r="BA1771" s="188">
        <v>10</v>
      </c>
      <c r="BB1771" s="192"/>
      <c r="BC1771" s="192"/>
      <c r="BD1771" s="192"/>
      <c r="BE1771" s="192"/>
      <c r="BF1771" s="192"/>
      <c r="BG1771" s="192"/>
      <c r="BH1771" s="192"/>
      <c r="BI1771" s="192"/>
      <c r="BJ1771" s="192"/>
      <c r="BK1771" s="192"/>
      <c r="BL1771" s="192"/>
      <c r="BM1771" s="192"/>
      <c r="BN1771" s="192"/>
      <c r="BO1771" s="192"/>
      <c r="BP1771" s="192"/>
      <c r="BQ1771" s="192"/>
      <c r="BR1771" s="192"/>
      <c r="BS1771" s="192"/>
      <c r="BT1771" s="192"/>
    </row>
    <row r="1772" spans="2:72" ht="14.25" customHeight="1" x14ac:dyDescent="0.2">
      <c r="B1772" s="4">
        <v>12</v>
      </c>
      <c r="C1772" s="4" t="s">
        <v>1711</v>
      </c>
      <c r="D1772" s="4">
        <v>649</v>
      </c>
      <c r="E1772" s="4">
        <v>2102</v>
      </c>
      <c r="F1772" s="211" t="s">
        <v>3378</v>
      </c>
      <c r="G1772" s="4" t="s">
        <v>3379</v>
      </c>
      <c r="H1772" s="4" t="s">
        <v>3380</v>
      </c>
      <c r="I1772" s="4" t="s">
        <v>1664</v>
      </c>
      <c r="J1772" s="4" t="s">
        <v>1746</v>
      </c>
      <c r="K1772" s="4">
        <v>1</v>
      </c>
      <c r="L1772" s="4">
        <v>2505</v>
      </c>
      <c r="M1772" s="9"/>
      <c r="U1772"/>
      <c r="AO1772" s="4" t="s">
        <v>3378</v>
      </c>
      <c r="AP1772" s="4">
        <v>649</v>
      </c>
      <c r="AQ1772" s="4" t="s">
        <v>1716</v>
      </c>
      <c r="AR1772" s="4" t="s">
        <v>1717</v>
      </c>
      <c r="AS1772" s="4" t="s">
        <v>1718</v>
      </c>
      <c r="AT1772" s="4" t="s">
        <v>1719</v>
      </c>
      <c r="AU1772" s="4" t="s">
        <v>1703</v>
      </c>
      <c r="AV1772" s="4" t="s">
        <v>1720</v>
      </c>
      <c r="AW1772" s="4" t="s">
        <v>1947</v>
      </c>
      <c r="AX1772" s="4" t="s">
        <v>2153</v>
      </c>
      <c r="AY1772" s="4">
        <v>53.8</v>
      </c>
      <c r="AZ1772" s="4">
        <v>-126.9</v>
      </c>
      <c r="BA1772" s="4">
        <v>10</v>
      </c>
    </row>
    <row r="1773" spans="2:72" ht="14.25" customHeight="1" x14ac:dyDescent="0.2">
      <c r="B1773" s="4">
        <v>12</v>
      </c>
      <c r="C1773" s="4" t="s">
        <v>1711</v>
      </c>
      <c r="D1773" s="4">
        <v>650</v>
      </c>
      <c r="E1773" s="4">
        <v>2103</v>
      </c>
      <c r="F1773" s="211" t="s">
        <v>3381</v>
      </c>
      <c r="G1773" s="4" t="s">
        <v>3382</v>
      </c>
      <c r="H1773" s="4" t="s">
        <v>3383</v>
      </c>
      <c r="I1773" s="4" t="s">
        <v>1664</v>
      </c>
      <c r="J1773" s="4" t="s">
        <v>1746</v>
      </c>
      <c r="K1773" s="4">
        <v>1</v>
      </c>
      <c r="L1773" s="4">
        <v>2506</v>
      </c>
      <c r="M1773" s="9"/>
      <c r="U1773"/>
      <c r="AO1773" s="4" t="s">
        <v>3381</v>
      </c>
      <c r="AP1773" s="4">
        <v>650</v>
      </c>
      <c r="AQ1773" s="4" t="s">
        <v>1716</v>
      </c>
      <c r="AR1773" s="4" t="s">
        <v>1717</v>
      </c>
      <c r="AS1773" s="4" t="s">
        <v>1718</v>
      </c>
      <c r="AT1773" s="4" t="s">
        <v>1719</v>
      </c>
      <c r="AU1773" s="4" t="s">
        <v>1703</v>
      </c>
      <c r="AV1773" s="4" t="s">
        <v>1720</v>
      </c>
      <c r="AW1773" s="4" t="s">
        <v>1947</v>
      </c>
      <c r="AX1773" s="4" t="s">
        <v>2148</v>
      </c>
      <c r="AY1773" s="4">
        <v>54.4</v>
      </c>
      <c r="AZ1773" s="4">
        <v>-126.3</v>
      </c>
      <c r="BA1773" s="4">
        <v>10</v>
      </c>
    </row>
    <row r="1774" spans="2:72" ht="14.25" customHeight="1" x14ac:dyDescent="0.2">
      <c r="B1774" s="4">
        <v>12</v>
      </c>
      <c r="C1774" s="4" t="s">
        <v>1711</v>
      </c>
      <c r="D1774" s="4">
        <v>653</v>
      </c>
      <c r="E1774" s="4">
        <v>2106</v>
      </c>
      <c r="F1774" s="16" t="s">
        <v>3390</v>
      </c>
      <c r="G1774" s="4" t="s">
        <v>3391</v>
      </c>
      <c r="H1774" s="4" t="s">
        <v>3392</v>
      </c>
      <c r="I1774" s="4" t="s">
        <v>1664</v>
      </c>
      <c r="J1774" s="4" t="s">
        <v>1715</v>
      </c>
      <c r="K1774" s="4">
        <v>1</v>
      </c>
      <c r="L1774" s="4">
        <v>2509</v>
      </c>
      <c r="M1774" s="9"/>
      <c r="U1774"/>
      <c r="AO1774" s="4" t="s">
        <v>3390</v>
      </c>
      <c r="AP1774" s="4">
        <v>653</v>
      </c>
      <c r="AQ1774" s="4" t="s">
        <v>1716</v>
      </c>
      <c r="AR1774" s="4" t="s">
        <v>1717</v>
      </c>
      <c r="AS1774" s="4" t="s">
        <v>1718</v>
      </c>
      <c r="AT1774" s="4" t="s">
        <v>1719</v>
      </c>
      <c r="AU1774" s="4" t="s">
        <v>1703</v>
      </c>
      <c r="AV1774" s="4" t="s">
        <v>1720</v>
      </c>
      <c r="AW1774" s="4" t="s">
        <v>1947</v>
      </c>
      <c r="AX1774" s="4" t="s">
        <v>2148</v>
      </c>
      <c r="AY1774" s="4">
        <v>53.3</v>
      </c>
      <c r="AZ1774" s="4">
        <v>-126.1</v>
      </c>
      <c r="BA1774" s="4">
        <v>9</v>
      </c>
    </row>
    <row r="1775" spans="2:72" ht="14.25" customHeight="1" x14ac:dyDescent="0.2">
      <c r="B1775" s="4">
        <v>12</v>
      </c>
      <c r="C1775" s="4" t="s">
        <v>1711</v>
      </c>
      <c r="D1775" s="4">
        <v>655</v>
      </c>
      <c r="E1775" s="4">
        <v>2108</v>
      </c>
      <c r="F1775" s="211" t="s">
        <v>3395</v>
      </c>
      <c r="G1775" s="4" t="s">
        <v>3396</v>
      </c>
      <c r="H1775" s="4" t="s">
        <v>3397</v>
      </c>
      <c r="I1775" s="4" t="s">
        <v>1664</v>
      </c>
      <c r="J1775" s="4" t="s">
        <v>1746</v>
      </c>
      <c r="K1775" s="4">
        <v>1</v>
      </c>
      <c r="L1775" s="4">
        <v>2511</v>
      </c>
      <c r="M1775" s="9"/>
      <c r="U1775"/>
      <c r="AO1775" s="4" t="s">
        <v>3395</v>
      </c>
      <c r="AP1775" s="4">
        <v>655</v>
      </c>
      <c r="AQ1775" s="4" t="s">
        <v>1716</v>
      </c>
      <c r="AR1775" s="4" t="s">
        <v>1717</v>
      </c>
      <c r="AS1775" s="4" t="s">
        <v>1718</v>
      </c>
      <c r="AT1775" s="4" t="s">
        <v>1719</v>
      </c>
      <c r="AU1775" s="4" t="s">
        <v>1703</v>
      </c>
      <c r="AV1775" s="4" t="s">
        <v>1720</v>
      </c>
      <c r="AW1775" s="4" t="s">
        <v>2193</v>
      </c>
      <c r="AX1775" s="4" t="s">
        <v>2194</v>
      </c>
      <c r="AY1775" s="4">
        <v>53</v>
      </c>
      <c r="AZ1775" s="4">
        <v>-122</v>
      </c>
      <c r="BA1775" s="4">
        <v>12</v>
      </c>
    </row>
    <row r="1776" spans="2:72" ht="14.25" customHeight="1" x14ac:dyDescent="0.2">
      <c r="B1776" s="4">
        <v>12</v>
      </c>
      <c r="C1776" s="4" t="s">
        <v>1711</v>
      </c>
      <c r="D1776" s="4">
        <v>656</v>
      </c>
      <c r="E1776" s="4">
        <v>2109</v>
      </c>
      <c r="F1776" s="16" t="s">
        <v>3398</v>
      </c>
      <c r="G1776" s="4" t="s">
        <v>3399</v>
      </c>
      <c r="H1776" s="4" t="s">
        <v>3400</v>
      </c>
      <c r="I1776" s="4" t="s">
        <v>1664</v>
      </c>
      <c r="J1776" s="4" t="s">
        <v>1715</v>
      </c>
      <c r="K1776" s="4">
        <v>1</v>
      </c>
      <c r="L1776" s="4">
        <v>2512</v>
      </c>
      <c r="M1776" s="203"/>
      <c r="N1776" s="192"/>
      <c r="O1776" s="192"/>
      <c r="P1776" s="192"/>
      <c r="Q1776" s="192"/>
      <c r="R1776" s="192"/>
      <c r="S1776" s="192"/>
      <c r="T1776" s="192"/>
      <c r="U1776" s="192"/>
      <c r="V1776" s="192"/>
      <c r="W1776" s="192"/>
      <c r="X1776" s="192"/>
      <c r="Y1776" s="192"/>
      <c r="Z1776" s="192"/>
      <c r="AA1776" s="192"/>
      <c r="AB1776" s="192"/>
      <c r="AC1776" s="192"/>
      <c r="AD1776" s="192"/>
      <c r="AE1776" s="192"/>
      <c r="AF1776" s="192"/>
      <c r="AG1776" s="192"/>
      <c r="AH1776" s="192"/>
      <c r="AI1776" s="192"/>
      <c r="AJ1776" s="192"/>
      <c r="AK1776" s="192"/>
      <c r="AL1776" s="192"/>
      <c r="AM1776" s="192"/>
      <c r="AN1776" s="192"/>
      <c r="AO1776" s="188" t="s">
        <v>3398</v>
      </c>
      <c r="AP1776" s="188">
        <v>656</v>
      </c>
      <c r="AQ1776" s="188" t="s">
        <v>1716</v>
      </c>
      <c r="AR1776" s="188" t="s">
        <v>1717</v>
      </c>
      <c r="AS1776" s="188" t="s">
        <v>1718</v>
      </c>
      <c r="AT1776" s="188" t="s">
        <v>1719</v>
      </c>
      <c r="AU1776" s="188" t="s">
        <v>1703</v>
      </c>
      <c r="AV1776" s="188" t="s">
        <v>1720</v>
      </c>
      <c r="AW1776" s="188" t="s">
        <v>2193</v>
      </c>
      <c r="AX1776" s="188" t="s">
        <v>2194</v>
      </c>
      <c r="AY1776" s="188">
        <v>53.1</v>
      </c>
      <c r="AZ1776" s="188">
        <v>-122</v>
      </c>
      <c r="BA1776" s="188">
        <v>11</v>
      </c>
      <c r="BB1776" s="192"/>
      <c r="BC1776" s="192"/>
      <c r="BD1776" s="192"/>
      <c r="BE1776" s="192"/>
      <c r="BF1776" s="192"/>
      <c r="BG1776" s="192"/>
      <c r="BH1776" s="192"/>
      <c r="BI1776" s="192"/>
      <c r="BJ1776" s="192"/>
      <c r="BK1776" s="192"/>
      <c r="BL1776" s="192"/>
      <c r="BM1776" s="192"/>
      <c r="BN1776" s="192"/>
      <c r="BO1776" s="192"/>
      <c r="BP1776" s="192"/>
      <c r="BQ1776" s="192"/>
      <c r="BR1776" s="192"/>
      <c r="BS1776" s="192"/>
      <c r="BT1776" s="192"/>
    </row>
    <row r="1777" spans="1:72" ht="14.25" customHeight="1" x14ac:dyDescent="0.2">
      <c r="B1777" s="4">
        <v>12</v>
      </c>
      <c r="C1777" s="4" t="s">
        <v>1711</v>
      </c>
      <c r="D1777" s="4">
        <v>657</v>
      </c>
      <c r="E1777" s="4">
        <v>2110</v>
      </c>
      <c r="F1777" s="211" t="s">
        <v>3401</v>
      </c>
      <c r="G1777" s="4" t="s">
        <v>3402</v>
      </c>
      <c r="H1777" s="4" t="s">
        <v>3403</v>
      </c>
      <c r="I1777" s="4" t="s">
        <v>1664</v>
      </c>
      <c r="J1777" s="4" t="s">
        <v>1746</v>
      </c>
      <c r="K1777" s="4">
        <v>1</v>
      </c>
      <c r="L1777" s="4">
        <v>2513</v>
      </c>
      <c r="M1777" s="9"/>
      <c r="U1777"/>
      <c r="AO1777" s="4" t="s">
        <v>3401</v>
      </c>
      <c r="AP1777" s="4">
        <v>657</v>
      </c>
      <c r="AQ1777" s="4" t="s">
        <v>1716</v>
      </c>
      <c r="AR1777" s="4" t="s">
        <v>1717</v>
      </c>
      <c r="AS1777" s="4" t="s">
        <v>1718</v>
      </c>
      <c r="AT1777" s="4" t="s">
        <v>1719</v>
      </c>
      <c r="AU1777" s="4" t="s">
        <v>1703</v>
      </c>
      <c r="AV1777" s="4" t="s">
        <v>1720</v>
      </c>
      <c r="AW1777" s="4" t="s">
        <v>2003</v>
      </c>
      <c r="AX1777" s="4" t="s">
        <v>2258</v>
      </c>
      <c r="AY1777" s="4">
        <v>53</v>
      </c>
      <c r="AZ1777" s="4">
        <v>-120</v>
      </c>
      <c r="BA1777" s="4">
        <v>23</v>
      </c>
    </row>
    <row r="1778" spans="1:72" ht="14.25" customHeight="1" x14ac:dyDescent="0.2">
      <c r="B1778" s="4">
        <v>12</v>
      </c>
      <c r="C1778" s="4" t="s">
        <v>1711</v>
      </c>
      <c r="D1778" s="4">
        <v>660</v>
      </c>
      <c r="E1778" s="4">
        <v>2112</v>
      </c>
      <c r="F1778" s="16" t="s">
        <v>3407</v>
      </c>
      <c r="G1778" s="4" t="s">
        <v>3408</v>
      </c>
      <c r="H1778" s="4" t="s">
        <v>3409</v>
      </c>
      <c r="I1778" s="4" t="s">
        <v>1664</v>
      </c>
      <c r="J1778" s="4" t="s">
        <v>1715</v>
      </c>
      <c r="K1778" s="4">
        <v>1</v>
      </c>
      <c r="L1778" s="4">
        <v>2515</v>
      </c>
      <c r="M1778" s="203"/>
      <c r="N1778" s="192"/>
      <c r="O1778" s="192"/>
      <c r="P1778" s="192"/>
      <c r="Q1778" s="192"/>
      <c r="R1778" s="192"/>
      <c r="S1778" s="192"/>
      <c r="T1778" s="192"/>
      <c r="U1778" s="192"/>
      <c r="V1778" s="192"/>
      <c r="W1778" s="192"/>
      <c r="X1778" s="192"/>
      <c r="Y1778" s="192"/>
      <c r="Z1778" s="192"/>
      <c r="AA1778" s="192"/>
      <c r="AB1778" s="192"/>
      <c r="AC1778" s="192"/>
      <c r="AD1778" s="192"/>
      <c r="AE1778" s="192"/>
      <c r="AF1778" s="192"/>
      <c r="AG1778" s="192"/>
      <c r="AH1778" s="192"/>
      <c r="AI1778" s="192"/>
      <c r="AJ1778" s="192"/>
      <c r="AK1778" s="192"/>
      <c r="AL1778" s="192"/>
      <c r="AM1778" s="192"/>
      <c r="AN1778" s="192"/>
      <c r="AO1778" s="188" t="s">
        <v>3407</v>
      </c>
      <c r="AP1778" s="188">
        <v>660</v>
      </c>
      <c r="AQ1778" s="188" t="s">
        <v>1716</v>
      </c>
      <c r="AR1778" s="188" t="s">
        <v>1717</v>
      </c>
      <c r="AS1778" s="188" t="s">
        <v>1718</v>
      </c>
      <c r="AT1778" s="188" t="s">
        <v>1719</v>
      </c>
      <c r="AU1778" s="188" t="s">
        <v>1703</v>
      </c>
      <c r="AV1778" s="188" t="s">
        <v>1720</v>
      </c>
      <c r="AW1778" s="188" t="s">
        <v>1947</v>
      </c>
      <c r="AX1778" s="188" t="s">
        <v>2153</v>
      </c>
      <c r="AY1778" s="188">
        <v>53.9</v>
      </c>
      <c r="AZ1778" s="188">
        <v>-126.7</v>
      </c>
      <c r="BA1778" s="188">
        <v>10</v>
      </c>
      <c r="BB1778" s="192"/>
      <c r="BC1778" s="192"/>
      <c r="BD1778" s="192"/>
      <c r="BE1778" s="192"/>
      <c r="BF1778" s="192"/>
      <c r="BG1778" s="192"/>
      <c r="BH1778" s="192"/>
      <c r="BI1778" s="192"/>
      <c r="BJ1778" s="192"/>
      <c r="BK1778" s="192"/>
      <c r="BL1778" s="192"/>
      <c r="BM1778" s="192"/>
      <c r="BN1778" s="192"/>
      <c r="BO1778" s="192"/>
      <c r="BP1778" s="192"/>
      <c r="BQ1778" s="192"/>
      <c r="BR1778" s="192"/>
      <c r="BS1778" s="192"/>
      <c r="BT1778" s="192"/>
    </row>
    <row r="1779" spans="1:72" ht="14.25" customHeight="1" x14ac:dyDescent="0.2">
      <c r="B1779" s="4">
        <v>12</v>
      </c>
      <c r="C1779" s="4" t="s">
        <v>1711</v>
      </c>
      <c r="D1779" s="4">
        <v>661</v>
      </c>
      <c r="E1779" s="4">
        <v>2113</v>
      </c>
      <c r="F1779" s="211" t="s">
        <v>3410</v>
      </c>
      <c r="G1779" s="4" t="s">
        <v>3411</v>
      </c>
      <c r="H1779" s="4" t="s">
        <v>3412</v>
      </c>
      <c r="I1779" s="4" t="s">
        <v>1664</v>
      </c>
      <c r="J1779" s="4" t="s">
        <v>1715</v>
      </c>
      <c r="K1779" s="4">
        <v>1</v>
      </c>
      <c r="L1779" s="4">
        <v>2516</v>
      </c>
      <c r="M1779" s="9"/>
      <c r="U1779"/>
      <c r="AO1779" s="4" t="s">
        <v>3410</v>
      </c>
      <c r="AP1779" s="4">
        <v>661</v>
      </c>
      <c r="AQ1779" s="4" t="s">
        <v>1716</v>
      </c>
      <c r="AR1779" s="4" t="s">
        <v>1717</v>
      </c>
      <c r="AS1779" s="4" t="s">
        <v>1718</v>
      </c>
      <c r="AT1779" s="4" t="s">
        <v>1719</v>
      </c>
      <c r="AU1779" s="4" t="s">
        <v>1703</v>
      </c>
      <c r="AV1779" s="4" t="s">
        <v>1720</v>
      </c>
      <c r="AW1779" s="4" t="s">
        <v>2193</v>
      </c>
      <c r="AX1779" s="4" t="s">
        <v>2283</v>
      </c>
      <c r="AY1779" s="4">
        <v>51.3</v>
      </c>
      <c r="AZ1779" s="4">
        <v>-123.6</v>
      </c>
      <c r="BA1779" s="4">
        <v>14</v>
      </c>
    </row>
    <row r="1780" spans="1:72" ht="14.25" customHeight="1" x14ac:dyDescent="0.2">
      <c r="B1780" s="4">
        <v>12</v>
      </c>
      <c r="C1780" s="4" t="s">
        <v>1711</v>
      </c>
      <c r="D1780" s="4">
        <v>663</v>
      </c>
      <c r="E1780" s="4">
        <v>2115</v>
      </c>
      <c r="F1780" s="16" t="s">
        <v>3416</v>
      </c>
      <c r="G1780" s="9" t="s">
        <v>3417</v>
      </c>
      <c r="H1780" s="4" t="s">
        <v>3418</v>
      </c>
      <c r="I1780" s="4" t="s">
        <v>1664</v>
      </c>
      <c r="J1780" s="4" t="s">
        <v>1715</v>
      </c>
      <c r="K1780" s="4">
        <v>1</v>
      </c>
      <c r="L1780" s="4">
        <v>2518</v>
      </c>
      <c r="M1780" s="203"/>
      <c r="N1780" s="192"/>
      <c r="O1780" s="192"/>
      <c r="P1780" s="192"/>
      <c r="Q1780" s="192"/>
      <c r="R1780" s="192"/>
      <c r="S1780" s="192"/>
      <c r="T1780" s="192"/>
      <c r="U1780" s="192"/>
      <c r="V1780" s="192"/>
      <c r="W1780" s="192"/>
      <c r="X1780" s="192"/>
      <c r="Y1780" s="192"/>
      <c r="Z1780" s="192"/>
      <c r="AA1780" s="192"/>
      <c r="AB1780" s="192"/>
      <c r="AC1780" s="192"/>
      <c r="AD1780" s="192"/>
      <c r="AE1780" s="192"/>
      <c r="AF1780" s="192"/>
      <c r="AG1780" s="192"/>
      <c r="AH1780" s="192"/>
      <c r="AI1780" s="192"/>
      <c r="AJ1780" s="192"/>
      <c r="AK1780" s="192"/>
      <c r="AL1780" s="192"/>
      <c r="AM1780" s="192"/>
      <c r="AN1780" s="192"/>
      <c r="AO1780" s="188" t="s">
        <v>3416</v>
      </c>
      <c r="AP1780" s="188">
        <v>663</v>
      </c>
      <c r="AQ1780" s="188" t="s">
        <v>1716</v>
      </c>
      <c r="AR1780" s="188" t="s">
        <v>1717</v>
      </c>
      <c r="AS1780" s="188" t="s">
        <v>1718</v>
      </c>
      <c r="AT1780" s="188" t="s">
        <v>1719</v>
      </c>
      <c r="AU1780" s="188" t="s">
        <v>1703</v>
      </c>
      <c r="AV1780" s="188" t="s">
        <v>1720</v>
      </c>
      <c r="AW1780" s="188" t="s">
        <v>2193</v>
      </c>
      <c r="AX1780" s="188" t="s">
        <v>2194</v>
      </c>
      <c r="AY1780" s="188">
        <v>53.1</v>
      </c>
      <c r="AZ1780" s="188">
        <v>-124.3</v>
      </c>
      <c r="BA1780" s="188">
        <v>12</v>
      </c>
      <c r="BB1780" s="192"/>
      <c r="BC1780" s="192"/>
      <c r="BD1780" s="192"/>
      <c r="BE1780" s="192"/>
      <c r="BF1780" s="192"/>
      <c r="BG1780" s="192"/>
      <c r="BH1780" s="192"/>
      <c r="BI1780" s="192"/>
      <c r="BJ1780" s="192"/>
      <c r="BK1780" s="192"/>
      <c r="BL1780" s="192"/>
      <c r="BM1780" s="192"/>
      <c r="BN1780" s="192"/>
      <c r="BO1780" s="192"/>
      <c r="BP1780" s="192"/>
      <c r="BQ1780" s="192"/>
      <c r="BR1780" s="192"/>
      <c r="BS1780" s="192"/>
      <c r="BT1780" s="192"/>
    </row>
    <row r="1781" spans="1:72" ht="14.25" customHeight="1" x14ac:dyDescent="0.2">
      <c r="B1781" s="4">
        <v>12</v>
      </c>
      <c r="C1781" s="4" t="s">
        <v>1711</v>
      </c>
      <c r="D1781" s="4">
        <v>664</v>
      </c>
      <c r="E1781" s="4">
        <v>2116</v>
      </c>
      <c r="F1781" s="16" t="s">
        <v>3419</v>
      </c>
      <c r="G1781" s="188" t="s">
        <v>3420</v>
      </c>
      <c r="H1781" s="4" t="s">
        <v>3421</v>
      </c>
      <c r="I1781" s="4" t="s">
        <v>1664</v>
      </c>
      <c r="J1781" s="4" t="s">
        <v>1746</v>
      </c>
      <c r="K1781" s="4">
        <v>1</v>
      </c>
      <c r="L1781" s="4">
        <v>2519</v>
      </c>
      <c r="M1781" s="9"/>
      <c r="U1781"/>
      <c r="AO1781" s="4" t="s">
        <v>3419</v>
      </c>
      <c r="AP1781" s="4">
        <v>664</v>
      </c>
      <c r="AQ1781" s="4" t="s">
        <v>1716</v>
      </c>
      <c r="AR1781" s="4" t="s">
        <v>1717</v>
      </c>
      <c r="AS1781" s="4" t="s">
        <v>1718</v>
      </c>
      <c r="AT1781" s="4" t="s">
        <v>1719</v>
      </c>
      <c r="AU1781" s="4" t="s">
        <v>1703</v>
      </c>
      <c r="AV1781" s="4" t="s">
        <v>1720</v>
      </c>
      <c r="AW1781" s="4" t="s">
        <v>2193</v>
      </c>
      <c r="AX1781" s="4" t="s">
        <v>2194</v>
      </c>
      <c r="AY1781" s="4">
        <v>53.2</v>
      </c>
      <c r="AZ1781" s="4">
        <v>-122.1</v>
      </c>
      <c r="BA1781" s="4">
        <v>9</v>
      </c>
    </row>
    <row r="1782" spans="1:72" ht="14.25" customHeight="1" x14ac:dyDescent="0.2">
      <c r="A1782" s="192"/>
      <c r="B1782" s="188">
        <v>12</v>
      </c>
      <c r="C1782" s="188" t="s">
        <v>1711</v>
      </c>
      <c r="D1782" s="188">
        <v>666</v>
      </c>
      <c r="E1782" s="188">
        <v>2118</v>
      </c>
      <c r="F1782" s="16" t="s">
        <v>3425</v>
      </c>
      <c r="G1782" s="203" t="s">
        <v>3426</v>
      </c>
      <c r="H1782" s="4" t="s">
        <v>3427</v>
      </c>
      <c r="I1782" s="4" t="s">
        <v>1664</v>
      </c>
      <c r="J1782" s="4" t="s">
        <v>1746</v>
      </c>
      <c r="K1782" s="4">
        <v>1</v>
      </c>
      <c r="L1782" s="4">
        <v>2521</v>
      </c>
      <c r="M1782" s="203"/>
      <c r="N1782" s="192"/>
      <c r="O1782" s="192"/>
      <c r="P1782" s="192"/>
      <c r="Q1782" s="192"/>
      <c r="R1782" s="192"/>
      <c r="S1782" s="192"/>
      <c r="T1782" s="192"/>
      <c r="U1782" s="192"/>
      <c r="V1782" s="192"/>
      <c r="W1782" s="192"/>
      <c r="X1782" s="192"/>
      <c r="Y1782" s="192"/>
      <c r="Z1782" s="192"/>
      <c r="AA1782" s="192"/>
      <c r="AB1782" s="192"/>
      <c r="AC1782" s="192"/>
      <c r="AD1782" s="192"/>
      <c r="AE1782" s="192"/>
      <c r="AF1782" s="192"/>
      <c r="AG1782" s="192"/>
      <c r="AH1782" s="192"/>
      <c r="AI1782" s="192"/>
      <c r="AJ1782" s="192"/>
      <c r="AK1782" s="192"/>
      <c r="AL1782" s="192"/>
      <c r="AM1782" s="192"/>
      <c r="AN1782" s="192"/>
      <c r="AO1782" s="188" t="s">
        <v>3425</v>
      </c>
      <c r="AP1782" s="188">
        <v>666</v>
      </c>
      <c r="AQ1782" s="188" t="s">
        <v>1716</v>
      </c>
      <c r="AR1782" s="188" t="s">
        <v>1717</v>
      </c>
      <c r="AS1782" s="188" t="s">
        <v>1718</v>
      </c>
      <c r="AT1782" s="188" t="s">
        <v>1719</v>
      </c>
      <c r="AU1782" s="188" t="s">
        <v>1703</v>
      </c>
      <c r="AV1782" s="188" t="s">
        <v>1720</v>
      </c>
      <c r="AW1782" s="188" t="s">
        <v>2368</v>
      </c>
      <c r="AX1782" s="188" t="s">
        <v>2401</v>
      </c>
      <c r="AY1782" s="188">
        <v>52.567</v>
      </c>
      <c r="AZ1782" s="188">
        <v>-119.867</v>
      </c>
      <c r="BA1782" s="188">
        <v>14</v>
      </c>
      <c r="BB1782" s="192"/>
      <c r="BC1782" s="192"/>
      <c r="BD1782" s="192"/>
      <c r="BE1782" s="192"/>
      <c r="BF1782" s="192"/>
      <c r="BG1782" s="192"/>
      <c r="BH1782" s="192"/>
      <c r="BI1782" s="192"/>
      <c r="BJ1782" s="192"/>
      <c r="BK1782" s="192"/>
      <c r="BL1782" s="192"/>
      <c r="BM1782" s="192"/>
      <c r="BN1782" s="192"/>
      <c r="BO1782" s="192"/>
      <c r="BP1782" s="192"/>
      <c r="BQ1782" s="192"/>
      <c r="BR1782" s="192"/>
      <c r="BS1782" s="192"/>
      <c r="BT1782" s="192"/>
    </row>
    <row r="1783" spans="1:72" ht="14.25" customHeight="1" x14ac:dyDescent="0.2">
      <c r="A1783" s="192"/>
      <c r="B1783" s="188">
        <v>12</v>
      </c>
      <c r="C1783" s="188" t="s">
        <v>1711</v>
      </c>
      <c r="D1783" s="188">
        <v>668</v>
      </c>
      <c r="E1783" s="188">
        <v>2120</v>
      </c>
      <c r="F1783" s="16" t="s">
        <v>3431</v>
      </c>
      <c r="G1783" s="203" t="s">
        <v>3432</v>
      </c>
      <c r="H1783" s="4" t="s">
        <v>3433</v>
      </c>
      <c r="I1783" s="4" t="s">
        <v>641</v>
      </c>
      <c r="J1783" s="4" t="s">
        <v>1715</v>
      </c>
      <c r="K1783" s="4">
        <v>1</v>
      </c>
      <c r="L1783" s="4">
        <v>2523</v>
      </c>
      <c r="M1783" s="203"/>
      <c r="N1783" s="192"/>
      <c r="O1783" s="192"/>
      <c r="P1783" s="192"/>
      <c r="Q1783" s="192"/>
      <c r="R1783" s="192"/>
      <c r="S1783" s="192"/>
      <c r="T1783" s="192"/>
      <c r="U1783" s="192"/>
      <c r="V1783" s="192"/>
      <c r="W1783" s="192"/>
      <c r="X1783" s="192"/>
      <c r="Y1783" s="192"/>
      <c r="Z1783" s="192"/>
      <c r="AA1783" s="192"/>
      <c r="AB1783" s="192"/>
      <c r="AC1783" s="192"/>
      <c r="AD1783" s="192"/>
      <c r="AE1783" s="192"/>
      <c r="AF1783" s="192"/>
      <c r="AG1783" s="192"/>
      <c r="AH1783" s="192"/>
      <c r="AI1783" s="192"/>
      <c r="AJ1783" s="192"/>
      <c r="AK1783" s="192"/>
      <c r="AL1783" s="192"/>
      <c r="AM1783" s="192"/>
      <c r="AN1783" s="192"/>
      <c r="AO1783" s="188" t="s">
        <v>3431</v>
      </c>
      <c r="AP1783" s="188">
        <v>668</v>
      </c>
      <c r="AQ1783" s="188" t="s">
        <v>1716</v>
      </c>
      <c r="AR1783" s="188" t="s">
        <v>1717</v>
      </c>
      <c r="AS1783" s="188" t="s">
        <v>1718</v>
      </c>
      <c r="AT1783" s="188" t="s">
        <v>1703</v>
      </c>
      <c r="AU1783" s="188" t="s">
        <v>1703</v>
      </c>
      <c r="AV1783" s="188" t="s">
        <v>1720</v>
      </c>
      <c r="AW1783" s="188" t="s">
        <v>2193</v>
      </c>
      <c r="AX1783" s="188" t="s">
        <v>2194</v>
      </c>
      <c r="AY1783" s="188">
        <v>53.186700000000002</v>
      </c>
      <c r="AZ1783" s="188">
        <v>-122.02330000000001</v>
      </c>
      <c r="BA1783" s="188">
        <v>1400</v>
      </c>
      <c r="BB1783" s="192"/>
      <c r="BC1783" s="192"/>
      <c r="BD1783" s="192"/>
      <c r="BE1783" s="192"/>
      <c r="BF1783" s="192"/>
      <c r="BG1783" s="192"/>
      <c r="BH1783" s="192"/>
      <c r="BI1783" s="192"/>
      <c r="BJ1783" s="192"/>
      <c r="BK1783" s="192"/>
      <c r="BL1783" s="192"/>
      <c r="BM1783" s="192"/>
      <c r="BN1783" s="192"/>
      <c r="BO1783" s="192"/>
      <c r="BP1783" s="192"/>
      <c r="BQ1783" s="192"/>
      <c r="BR1783" s="192"/>
      <c r="BS1783" s="192"/>
      <c r="BT1783" s="192"/>
    </row>
    <row r="1784" spans="1:72" ht="14.25" customHeight="1" x14ac:dyDescent="0.2">
      <c r="B1784" s="4">
        <v>12</v>
      </c>
      <c r="C1784" s="4" t="s">
        <v>1711</v>
      </c>
      <c r="D1784" s="4">
        <v>669</v>
      </c>
      <c r="E1784" s="4">
        <v>2121</v>
      </c>
      <c r="F1784" s="211" t="s">
        <v>3434</v>
      </c>
      <c r="G1784" s="4" t="s">
        <v>3435</v>
      </c>
      <c r="H1784" s="4" t="s">
        <v>3436</v>
      </c>
      <c r="I1784" s="4" t="s">
        <v>641</v>
      </c>
      <c r="J1784" s="4" t="s">
        <v>1746</v>
      </c>
      <c r="K1784" s="4">
        <v>1</v>
      </c>
      <c r="L1784" s="4">
        <v>2524</v>
      </c>
      <c r="M1784" s="9"/>
      <c r="U1784"/>
      <c r="AO1784" s="4" t="s">
        <v>3434</v>
      </c>
      <c r="AP1784" s="4">
        <v>669</v>
      </c>
      <c r="AQ1784" s="4" t="s">
        <v>1716</v>
      </c>
      <c r="AR1784" s="4" t="s">
        <v>1717</v>
      </c>
      <c r="AS1784" s="4" t="s">
        <v>1718</v>
      </c>
      <c r="AT1784" s="4" t="s">
        <v>1703</v>
      </c>
      <c r="AU1784" s="4" t="s">
        <v>1703</v>
      </c>
      <c r="AV1784" s="4" t="s">
        <v>1720</v>
      </c>
      <c r="AW1784" s="4" t="s">
        <v>2193</v>
      </c>
      <c r="AX1784" s="4" t="s">
        <v>2194</v>
      </c>
      <c r="AY1784" s="4">
        <v>53.247999999999998</v>
      </c>
      <c r="AZ1784" s="4">
        <v>-121.416</v>
      </c>
      <c r="BA1784" s="4">
        <v>1205</v>
      </c>
    </row>
    <row r="1785" spans="1:72" ht="14.25" customHeight="1" x14ac:dyDescent="0.2">
      <c r="B1785" s="4">
        <v>12</v>
      </c>
      <c r="C1785" s="4" t="s">
        <v>1711</v>
      </c>
      <c r="D1785" s="4">
        <v>670</v>
      </c>
      <c r="E1785" s="4">
        <v>2122</v>
      </c>
      <c r="F1785" s="211" t="s">
        <v>3437</v>
      </c>
      <c r="G1785" s="9" t="s">
        <v>3438</v>
      </c>
      <c r="H1785" s="4" t="s">
        <v>3439</v>
      </c>
      <c r="I1785" s="4" t="s">
        <v>641</v>
      </c>
      <c r="J1785" s="4" t="s">
        <v>1746</v>
      </c>
      <c r="K1785" s="4">
        <v>1</v>
      </c>
      <c r="L1785" s="4">
        <v>2525</v>
      </c>
      <c r="M1785" s="9"/>
      <c r="U1785"/>
      <c r="AO1785" s="4" t="s">
        <v>3437</v>
      </c>
      <c r="AP1785" s="4">
        <v>670</v>
      </c>
      <c r="AQ1785" s="4" t="s">
        <v>1716</v>
      </c>
      <c r="AR1785" s="4" t="s">
        <v>1717</v>
      </c>
      <c r="AS1785" s="4" t="s">
        <v>1718</v>
      </c>
      <c r="AT1785" s="4" t="s">
        <v>1719</v>
      </c>
      <c r="AU1785" s="4" t="s">
        <v>1959</v>
      </c>
      <c r="AV1785" s="4" t="s">
        <v>1720</v>
      </c>
      <c r="AW1785" s="4" t="s">
        <v>2193</v>
      </c>
      <c r="AX1785" s="4" t="s">
        <v>2291</v>
      </c>
      <c r="AY1785" s="4">
        <v>51.7898</v>
      </c>
      <c r="AZ1785" s="4">
        <v>-122.6358</v>
      </c>
      <c r="BA1785" s="4">
        <v>915</v>
      </c>
    </row>
    <row r="1786" spans="1:72" ht="14.25" customHeight="1" x14ac:dyDescent="0.2">
      <c r="B1786" s="4">
        <v>12</v>
      </c>
      <c r="C1786" s="4" t="s">
        <v>1711</v>
      </c>
      <c r="D1786" s="4">
        <v>671</v>
      </c>
      <c r="E1786" s="4">
        <v>2123</v>
      </c>
      <c r="F1786" s="211" t="s">
        <v>3440</v>
      </c>
      <c r="G1786" s="9" t="s">
        <v>3441</v>
      </c>
      <c r="H1786" s="4" t="s">
        <v>3442</v>
      </c>
      <c r="I1786" s="4" t="s">
        <v>641</v>
      </c>
      <c r="J1786" s="4" t="s">
        <v>1746</v>
      </c>
      <c r="K1786" s="4">
        <v>1</v>
      </c>
      <c r="L1786" s="4">
        <v>2526</v>
      </c>
      <c r="M1786" s="9"/>
      <c r="U1786"/>
      <c r="AO1786" s="4" t="s">
        <v>3440</v>
      </c>
      <c r="AP1786" s="4">
        <v>671</v>
      </c>
      <c r="AQ1786" s="4" t="s">
        <v>1716</v>
      </c>
      <c r="AR1786" s="4" t="s">
        <v>1717</v>
      </c>
      <c r="AS1786" s="4" t="s">
        <v>1718</v>
      </c>
      <c r="AT1786" s="4" t="s">
        <v>1703</v>
      </c>
      <c r="AU1786" s="4" t="s">
        <v>1703</v>
      </c>
      <c r="AV1786" s="4" t="s">
        <v>1720</v>
      </c>
      <c r="AW1786" s="4" t="s">
        <v>2193</v>
      </c>
      <c r="AX1786" s="4" t="s">
        <v>2291</v>
      </c>
      <c r="AY1786" s="4">
        <v>52.1</v>
      </c>
      <c r="AZ1786" s="4">
        <v>-121.9</v>
      </c>
      <c r="BA1786" s="4">
        <v>8</v>
      </c>
    </row>
    <row r="1787" spans="1:72" ht="14.25" customHeight="1" x14ac:dyDescent="0.2">
      <c r="B1787" s="4">
        <v>12</v>
      </c>
      <c r="C1787" s="4" t="s">
        <v>1711</v>
      </c>
      <c r="D1787" s="4">
        <v>672</v>
      </c>
      <c r="E1787" s="4">
        <v>2124</v>
      </c>
      <c r="F1787" s="211" t="s">
        <v>3443</v>
      </c>
      <c r="G1787" s="4" t="s">
        <v>3444</v>
      </c>
      <c r="H1787" s="4" t="s">
        <v>3445</v>
      </c>
      <c r="I1787" s="4" t="s">
        <v>641</v>
      </c>
      <c r="J1787" s="4" t="s">
        <v>1746</v>
      </c>
      <c r="K1787" s="4">
        <v>1</v>
      </c>
      <c r="L1787" s="4">
        <v>2527</v>
      </c>
      <c r="M1787" s="9"/>
      <c r="U1787"/>
      <c r="AO1787" s="4" t="s">
        <v>3443</v>
      </c>
      <c r="AP1787" s="4">
        <v>672</v>
      </c>
      <c r="AQ1787" s="4" t="s">
        <v>1716</v>
      </c>
      <c r="AR1787" s="4" t="s">
        <v>1717</v>
      </c>
      <c r="AS1787" s="4" t="s">
        <v>1718</v>
      </c>
      <c r="AT1787" s="4" t="s">
        <v>1719</v>
      </c>
      <c r="AU1787" s="4" t="s">
        <v>1959</v>
      </c>
      <c r="AV1787" s="4" t="s">
        <v>1720</v>
      </c>
      <c r="AW1787" s="4" t="s">
        <v>2193</v>
      </c>
      <c r="AX1787" s="4" t="s">
        <v>2291</v>
      </c>
      <c r="AY1787" s="4">
        <v>51.786999999999999</v>
      </c>
      <c r="AZ1787" s="4">
        <v>-122.426</v>
      </c>
      <c r="BA1787" s="4">
        <v>933</v>
      </c>
    </row>
    <row r="1788" spans="1:72" ht="14.25" customHeight="1" x14ac:dyDescent="0.2">
      <c r="B1788" s="4">
        <v>12</v>
      </c>
      <c r="C1788" s="4" t="s">
        <v>1711</v>
      </c>
      <c r="D1788" s="4">
        <v>673</v>
      </c>
      <c r="E1788" s="4">
        <v>2125</v>
      </c>
      <c r="F1788" s="16" t="s">
        <v>3446</v>
      </c>
      <c r="G1788" s="4" t="s">
        <v>3447</v>
      </c>
      <c r="H1788" s="4" t="s">
        <v>3448</v>
      </c>
      <c r="I1788" s="4" t="s">
        <v>1664</v>
      </c>
      <c r="J1788" s="4" t="s">
        <v>1746</v>
      </c>
      <c r="K1788" s="4">
        <v>1</v>
      </c>
      <c r="L1788" s="4">
        <v>2528</v>
      </c>
      <c r="M1788" s="203"/>
      <c r="N1788" s="192"/>
      <c r="O1788" s="192"/>
      <c r="P1788" s="192"/>
      <c r="Q1788" s="192"/>
      <c r="R1788" s="192"/>
      <c r="S1788" s="192"/>
      <c r="T1788" s="192"/>
      <c r="U1788" s="192"/>
      <c r="V1788" s="192"/>
      <c r="W1788" s="192"/>
      <c r="X1788" s="192"/>
      <c r="Y1788" s="192"/>
      <c r="Z1788" s="192"/>
      <c r="AA1788" s="192"/>
      <c r="AB1788" s="192"/>
      <c r="AC1788" s="192"/>
      <c r="AD1788" s="192"/>
      <c r="AE1788" s="192"/>
      <c r="AF1788" s="192"/>
      <c r="AG1788" s="192"/>
      <c r="AH1788" s="192"/>
      <c r="AI1788" s="192"/>
      <c r="AJ1788" s="192"/>
      <c r="AK1788" s="192"/>
      <c r="AL1788" s="192"/>
      <c r="AM1788" s="192"/>
      <c r="AN1788" s="192"/>
      <c r="AO1788" s="188" t="s">
        <v>3446</v>
      </c>
      <c r="AP1788" s="188">
        <v>673</v>
      </c>
      <c r="AQ1788" s="188" t="s">
        <v>1716</v>
      </c>
      <c r="AR1788" s="188" t="s">
        <v>1717</v>
      </c>
      <c r="AS1788" s="188" t="s">
        <v>1718</v>
      </c>
      <c r="AT1788" s="188" t="s">
        <v>1719</v>
      </c>
      <c r="AU1788" s="188" t="s">
        <v>1703</v>
      </c>
      <c r="AV1788" s="188" t="s">
        <v>1720</v>
      </c>
      <c r="AW1788" s="188" t="s">
        <v>2193</v>
      </c>
      <c r="AX1788" s="188" t="s">
        <v>2194</v>
      </c>
      <c r="AY1788" s="188">
        <v>53</v>
      </c>
      <c r="AZ1788" s="188">
        <v>-122</v>
      </c>
      <c r="BA1788" s="188">
        <v>8</v>
      </c>
      <c r="BB1788" s="192"/>
      <c r="BC1788" s="192"/>
      <c r="BD1788" s="192"/>
      <c r="BE1788" s="192"/>
      <c r="BF1788" s="192"/>
      <c r="BG1788" s="192"/>
      <c r="BH1788" s="192"/>
      <c r="BI1788" s="192"/>
      <c r="BJ1788" s="192"/>
      <c r="BK1788" s="192"/>
      <c r="BL1788" s="192"/>
      <c r="BM1788" s="192"/>
      <c r="BN1788" s="192"/>
      <c r="BO1788" s="192"/>
      <c r="BP1788" s="192"/>
      <c r="BQ1788" s="192"/>
      <c r="BR1788" s="192"/>
      <c r="BS1788" s="192"/>
      <c r="BT1788" s="192"/>
    </row>
    <row r="1789" spans="1:72" ht="14.25" customHeight="1" x14ac:dyDescent="0.2">
      <c r="B1789" s="4">
        <v>12</v>
      </c>
      <c r="C1789" s="4" t="s">
        <v>1711</v>
      </c>
      <c r="D1789" s="4">
        <v>676</v>
      </c>
      <c r="E1789" s="4">
        <v>2128</v>
      </c>
      <c r="F1789" s="16" t="s">
        <v>3455</v>
      </c>
      <c r="G1789" s="4" t="s">
        <v>3456</v>
      </c>
      <c r="H1789" s="4" t="s">
        <v>3457</v>
      </c>
      <c r="I1789" s="4" t="s">
        <v>1664</v>
      </c>
      <c r="J1789" s="4" t="s">
        <v>1715</v>
      </c>
      <c r="K1789" s="4">
        <v>1</v>
      </c>
      <c r="L1789" s="4">
        <v>2531</v>
      </c>
      <c r="M1789" s="203"/>
      <c r="N1789" s="192"/>
      <c r="O1789" s="192"/>
      <c r="P1789" s="192"/>
      <c r="Q1789" s="192"/>
      <c r="R1789" s="192"/>
      <c r="S1789" s="192"/>
      <c r="T1789" s="192"/>
      <c r="U1789" s="192"/>
      <c r="V1789" s="192"/>
      <c r="W1789" s="192"/>
      <c r="X1789" s="192"/>
      <c r="Y1789" s="192"/>
      <c r="Z1789" s="192"/>
      <c r="AA1789" s="192"/>
      <c r="AB1789" s="192"/>
      <c r="AC1789" s="192"/>
      <c r="AD1789" s="192"/>
      <c r="AE1789" s="192"/>
      <c r="AF1789" s="192"/>
      <c r="AG1789" s="192"/>
      <c r="AH1789" s="192"/>
      <c r="AI1789" s="192"/>
      <c r="AJ1789" s="192"/>
      <c r="AK1789" s="192"/>
      <c r="AL1789" s="192"/>
      <c r="AM1789" s="192"/>
      <c r="AN1789" s="192"/>
      <c r="AO1789" s="188" t="s">
        <v>3455</v>
      </c>
      <c r="AP1789" s="188">
        <v>676</v>
      </c>
      <c r="AQ1789" s="188" t="s">
        <v>1716</v>
      </c>
      <c r="AR1789" s="188" t="s">
        <v>1717</v>
      </c>
      <c r="AS1789" s="188" t="s">
        <v>1718</v>
      </c>
      <c r="AT1789" s="188" t="s">
        <v>1719</v>
      </c>
      <c r="AU1789" s="188" t="s">
        <v>1703</v>
      </c>
      <c r="AV1789" s="188" t="s">
        <v>1720</v>
      </c>
      <c r="AW1789" s="188" t="s">
        <v>2193</v>
      </c>
      <c r="AX1789" s="188" t="s">
        <v>2356</v>
      </c>
      <c r="AY1789" s="188">
        <v>52.2</v>
      </c>
      <c r="AZ1789" s="188">
        <v>-121.2</v>
      </c>
      <c r="BA1789" s="188">
        <v>13</v>
      </c>
      <c r="BB1789" s="192"/>
      <c r="BC1789" s="192"/>
      <c r="BD1789" s="192"/>
      <c r="BE1789" s="192"/>
      <c r="BF1789" s="192"/>
      <c r="BG1789" s="192"/>
      <c r="BH1789" s="192"/>
      <c r="BI1789" s="192"/>
      <c r="BJ1789" s="192"/>
      <c r="BK1789" s="192"/>
      <c r="BL1789" s="192"/>
      <c r="BM1789" s="192"/>
      <c r="BN1789" s="192"/>
      <c r="BO1789" s="192"/>
      <c r="BP1789" s="192"/>
      <c r="BQ1789" s="192"/>
      <c r="BR1789" s="192"/>
      <c r="BS1789" s="192"/>
      <c r="BT1789" s="192"/>
    </row>
    <row r="1790" spans="1:72" ht="14.25" customHeight="1" x14ac:dyDescent="0.2">
      <c r="B1790" s="4">
        <v>12</v>
      </c>
      <c r="C1790" s="4" t="s">
        <v>1711</v>
      </c>
      <c r="D1790" s="4">
        <v>677</v>
      </c>
      <c r="E1790" s="4">
        <v>2129</v>
      </c>
      <c r="F1790" s="16" t="s">
        <v>3458</v>
      </c>
      <c r="G1790" s="4" t="s">
        <v>3459</v>
      </c>
      <c r="H1790" s="4" t="s">
        <v>3460</v>
      </c>
      <c r="I1790" s="4" t="s">
        <v>1664</v>
      </c>
      <c r="J1790" s="4" t="s">
        <v>1715</v>
      </c>
      <c r="K1790" s="4">
        <v>1</v>
      </c>
      <c r="L1790" s="4">
        <v>2532</v>
      </c>
      <c r="M1790" s="9"/>
      <c r="U1790"/>
      <c r="AO1790" s="4" t="s">
        <v>3458</v>
      </c>
      <c r="AP1790" s="4">
        <v>677</v>
      </c>
      <c r="AQ1790" s="4" t="s">
        <v>1716</v>
      </c>
      <c r="AR1790" s="4" t="s">
        <v>1717</v>
      </c>
      <c r="AS1790" s="4" t="s">
        <v>1718</v>
      </c>
      <c r="AT1790" s="4" t="s">
        <v>1719</v>
      </c>
      <c r="AU1790" s="4" t="s">
        <v>1703</v>
      </c>
      <c r="AV1790" s="4" t="s">
        <v>1720</v>
      </c>
      <c r="AW1790" s="4" t="s">
        <v>2193</v>
      </c>
      <c r="AX1790" s="4" t="s">
        <v>1837</v>
      </c>
      <c r="AY1790" s="4">
        <v>50</v>
      </c>
      <c r="AZ1790" s="4">
        <v>-124</v>
      </c>
      <c r="BA1790" s="4">
        <v>14</v>
      </c>
    </row>
    <row r="1791" spans="1:72" ht="14.25" customHeight="1" x14ac:dyDescent="0.2">
      <c r="B1791" s="4">
        <v>12</v>
      </c>
      <c r="C1791" s="4" t="s">
        <v>1711</v>
      </c>
      <c r="D1791" s="4">
        <v>678</v>
      </c>
      <c r="E1791" s="4">
        <v>2130</v>
      </c>
      <c r="F1791" s="16" t="s">
        <v>3461</v>
      </c>
      <c r="G1791" s="4" t="s">
        <v>3462</v>
      </c>
      <c r="H1791" s="4" t="s">
        <v>3463</v>
      </c>
      <c r="I1791" s="4" t="s">
        <v>1664</v>
      </c>
      <c r="J1791" s="4" t="s">
        <v>1715</v>
      </c>
      <c r="K1791" s="4">
        <v>1</v>
      </c>
      <c r="L1791" s="4">
        <v>2533</v>
      </c>
      <c r="M1791" s="203"/>
      <c r="N1791" s="192"/>
      <c r="O1791" s="192"/>
      <c r="P1791" s="192"/>
      <c r="Q1791" s="192"/>
      <c r="R1791" s="192"/>
      <c r="S1791" s="192"/>
      <c r="T1791" s="192"/>
      <c r="U1791" s="192"/>
      <c r="V1791" s="192"/>
      <c r="W1791" s="192"/>
      <c r="X1791" s="192"/>
      <c r="Y1791" s="192"/>
      <c r="Z1791" s="192"/>
      <c r="AA1791" s="192"/>
      <c r="AB1791" s="192"/>
      <c r="AC1791" s="192"/>
      <c r="AD1791" s="192"/>
      <c r="AE1791" s="192"/>
      <c r="AF1791" s="192"/>
      <c r="AG1791" s="192"/>
      <c r="AH1791" s="192"/>
      <c r="AI1791" s="192"/>
      <c r="AJ1791" s="192"/>
      <c r="AK1791" s="192"/>
      <c r="AL1791" s="192"/>
      <c r="AM1791" s="192"/>
      <c r="AN1791" s="192"/>
      <c r="AO1791" s="188" t="s">
        <v>3461</v>
      </c>
      <c r="AP1791" s="188">
        <v>678</v>
      </c>
      <c r="AQ1791" s="188" t="s">
        <v>1716</v>
      </c>
      <c r="AR1791" s="188" t="s">
        <v>1717</v>
      </c>
      <c r="AS1791" s="188" t="s">
        <v>1718</v>
      </c>
      <c r="AT1791" s="188" t="s">
        <v>1719</v>
      </c>
      <c r="AU1791" s="188" t="s">
        <v>1703</v>
      </c>
      <c r="AV1791" s="188" t="s">
        <v>1720</v>
      </c>
      <c r="AW1791" s="188" t="s">
        <v>2193</v>
      </c>
      <c r="AX1791" s="188" t="s">
        <v>2287</v>
      </c>
      <c r="AY1791" s="188">
        <v>51.2</v>
      </c>
      <c r="AZ1791" s="188">
        <v>-120.8</v>
      </c>
      <c r="BA1791" s="188">
        <v>13</v>
      </c>
      <c r="BB1791" s="192"/>
      <c r="BC1791" s="192"/>
      <c r="BD1791" s="192"/>
      <c r="BE1791" s="192"/>
      <c r="BF1791" s="192"/>
      <c r="BG1791" s="192"/>
      <c r="BH1791" s="192"/>
      <c r="BI1791" s="192"/>
      <c r="BJ1791" s="192"/>
      <c r="BK1791" s="192"/>
      <c r="BL1791" s="192"/>
      <c r="BM1791" s="192"/>
      <c r="BN1791" s="192"/>
      <c r="BO1791" s="192"/>
      <c r="BP1791" s="192"/>
      <c r="BQ1791" s="192"/>
      <c r="BR1791" s="192"/>
      <c r="BS1791" s="192"/>
      <c r="BT1791" s="192"/>
    </row>
    <row r="1792" spans="1:72" ht="14.25" customHeight="1" x14ac:dyDescent="0.2">
      <c r="B1792" s="4">
        <v>12</v>
      </c>
      <c r="C1792" s="4" t="s">
        <v>1711</v>
      </c>
      <c r="D1792" s="4">
        <v>680</v>
      </c>
      <c r="E1792" s="4">
        <v>2131</v>
      </c>
      <c r="F1792" s="211" t="s">
        <v>3464</v>
      </c>
      <c r="G1792" s="4" t="s">
        <v>3465</v>
      </c>
      <c r="H1792" s="4" t="s">
        <v>3466</v>
      </c>
      <c r="I1792" s="4" t="s">
        <v>1664</v>
      </c>
      <c r="J1792" s="4" t="s">
        <v>1746</v>
      </c>
      <c r="K1792" s="4">
        <v>1</v>
      </c>
      <c r="L1792" s="4">
        <v>2534</v>
      </c>
      <c r="M1792" s="9"/>
      <c r="U1792"/>
      <c r="AO1792" s="4" t="s">
        <v>3464</v>
      </c>
      <c r="AP1792" s="4">
        <v>680</v>
      </c>
      <c r="AQ1792" s="4" t="s">
        <v>1716</v>
      </c>
      <c r="AR1792" s="4" t="s">
        <v>1717</v>
      </c>
      <c r="AS1792" s="4" t="s">
        <v>1718</v>
      </c>
      <c r="AT1792" s="4" t="s">
        <v>1719</v>
      </c>
      <c r="AU1792" s="4" t="s">
        <v>1703</v>
      </c>
      <c r="AV1792" s="4" t="s">
        <v>1720</v>
      </c>
      <c r="AW1792" s="4" t="s">
        <v>2193</v>
      </c>
      <c r="AX1792" s="4" t="s">
        <v>2287</v>
      </c>
      <c r="AY1792" s="4">
        <v>52</v>
      </c>
      <c r="AZ1792" s="4">
        <v>-120.4</v>
      </c>
      <c r="BA1792" s="4">
        <v>12</v>
      </c>
    </row>
    <row r="1793" spans="2:72" ht="14.25" customHeight="1" x14ac:dyDescent="0.2">
      <c r="B1793" s="4">
        <v>12</v>
      </c>
      <c r="C1793" s="4" t="s">
        <v>1711</v>
      </c>
      <c r="D1793" s="4">
        <v>681</v>
      </c>
      <c r="E1793" s="4">
        <v>2132</v>
      </c>
      <c r="F1793" s="211" t="s">
        <v>3467</v>
      </c>
      <c r="G1793" s="9" t="s">
        <v>3468</v>
      </c>
      <c r="H1793" s="4" t="s">
        <v>3469</v>
      </c>
      <c r="I1793" s="4" t="s">
        <v>1664</v>
      </c>
      <c r="J1793" s="4" t="s">
        <v>1746</v>
      </c>
      <c r="K1793" s="4">
        <v>1</v>
      </c>
      <c r="L1793" s="4">
        <v>2535</v>
      </c>
      <c r="M1793" s="9"/>
      <c r="U1793"/>
      <c r="AO1793" s="4" t="s">
        <v>3467</v>
      </c>
      <c r="AP1793" s="4">
        <v>681</v>
      </c>
      <c r="AQ1793" s="4" t="s">
        <v>1716</v>
      </c>
      <c r="AR1793" s="4" t="s">
        <v>1717</v>
      </c>
      <c r="AS1793" s="4" t="s">
        <v>1718</v>
      </c>
      <c r="AT1793" s="4" t="s">
        <v>1719</v>
      </c>
      <c r="AU1793" s="4" t="s">
        <v>1703</v>
      </c>
      <c r="AV1793" s="4" t="s">
        <v>1720</v>
      </c>
      <c r="AW1793" s="4" t="s">
        <v>2368</v>
      </c>
      <c r="AX1793" s="4" t="s">
        <v>2287</v>
      </c>
      <c r="AY1793" s="4">
        <v>51.5</v>
      </c>
      <c r="AZ1793" s="4">
        <v>-120.5</v>
      </c>
      <c r="BA1793" s="4">
        <v>14</v>
      </c>
    </row>
    <row r="1794" spans="2:72" ht="14.25" customHeight="1" x14ac:dyDescent="0.2">
      <c r="B1794" s="4">
        <v>12</v>
      </c>
      <c r="C1794" s="4" t="s">
        <v>1711</v>
      </c>
      <c r="D1794" s="4">
        <v>682</v>
      </c>
      <c r="E1794" s="4">
        <v>2133</v>
      </c>
      <c r="F1794" s="211" t="s">
        <v>3470</v>
      </c>
      <c r="G1794" s="9" t="s">
        <v>3471</v>
      </c>
      <c r="H1794" s="4" t="s">
        <v>3472</v>
      </c>
      <c r="I1794" s="4" t="s">
        <v>1664</v>
      </c>
      <c r="J1794" s="4" t="s">
        <v>1746</v>
      </c>
      <c r="K1794" s="4">
        <v>1</v>
      </c>
      <c r="L1794" s="4">
        <v>2536</v>
      </c>
      <c r="M1794" s="9"/>
      <c r="U1794"/>
      <c r="AO1794" s="4" t="s">
        <v>3470</v>
      </c>
      <c r="AP1794" s="4">
        <v>682</v>
      </c>
      <c r="AQ1794" s="4" t="s">
        <v>1716</v>
      </c>
      <c r="AR1794" s="4" t="s">
        <v>1717</v>
      </c>
      <c r="AS1794" s="4" t="s">
        <v>1718</v>
      </c>
      <c r="AT1794" s="4" t="s">
        <v>1719</v>
      </c>
      <c r="AU1794" s="4" t="s">
        <v>1703</v>
      </c>
      <c r="AV1794" s="4" t="s">
        <v>1720</v>
      </c>
      <c r="AW1794" s="4" t="s">
        <v>2193</v>
      </c>
      <c r="AX1794" s="4" t="s">
        <v>2287</v>
      </c>
      <c r="AY1794" s="4">
        <v>51.7</v>
      </c>
      <c r="AZ1794" s="4">
        <v>-121.3</v>
      </c>
      <c r="BA1794" s="4">
        <v>10</v>
      </c>
    </row>
    <row r="1795" spans="2:72" ht="14.25" customHeight="1" x14ac:dyDescent="0.2">
      <c r="B1795" s="4">
        <v>12</v>
      </c>
      <c r="C1795" s="4" t="s">
        <v>1711</v>
      </c>
      <c r="D1795" s="4">
        <v>684</v>
      </c>
      <c r="E1795" s="4">
        <v>2135</v>
      </c>
      <c r="F1795" s="16" t="s">
        <v>3476</v>
      </c>
      <c r="G1795" s="4" t="s">
        <v>3459</v>
      </c>
      <c r="H1795" s="4" t="s">
        <v>3477</v>
      </c>
      <c r="I1795" s="4" t="s">
        <v>1664</v>
      </c>
      <c r="J1795" s="4" t="s">
        <v>1746</v>
      </c>
      <c r="K1795" s="4">
        <v>1</v>
      </c>
      <c r="L1795" s="4">
        <v>2538</v>
      </c>
      <c r="M1795" s="203"/>
      <c r="N1795" s="192"/>
      <c r="O1795" s="192"/>
      <c r="P1795" s="192"/>
      <c r="Q1795" s="192"/>
      <c r="R1795" s="192"/>
      <c r="S1795" s="192"/>
      <c r="T1795" s="192"/>
      <c r="U1795" s="192"/>
      <c r="V1795" s="192"/>
      <c r="W1795" s="192"/>
      <c r="X1795" s="192"/>
      <c r="Y1795" s="192"/>
      <c r="Z1795" s="192"/>
      <c r="AA1795" s="192"/>
      <c r="AB1795" s="192"/>
      <c r="AC1795" s="192"/>
      <c r="AD1795" s="192"/>
      <c r="AE1795" s="192"/>
      <c r="AF1795" s="192"/>
      <c r="AG1795" s="192"/>
      <c r="AH1795" s="192"/>
      <c r="AI1795" s="192"/>
      <c r="AJ1795" s="192"/>
      <c r="AK1795" s="192"/>
      <c r="AL1795" s="192"/>
      <c r="AM1795" s="192"/>
      <c r="AN1795" s="192"/>
      <c r="AO1795" s="188" t="s">
        <v>3476</v>
      </c>
      <c r="AP1795" s="188">
        <v>684</v>
      </c>
      <c r="AQ1795" s="188" t="s">
        <v>1716</v>
      </c>
      <c r="AR1795" s="188" t="s">
        <v>1717</v>
      </c>
      <c r="AS1795" s="188" t="s">
        <v>1718</v>
      </c>
      <c r="AT1795" s="188" t="s">
        <v>1719</v>
      </c>
      <c r="AU1795" s="188" t="s">
        <v>1703</v>
      </c>
      <c r="AV1795" s="188" t="s">
        <v>1720</v>
      </c>
      <c r="AW1795" s="188" t="s">
        <v>2193</v>
      </c>
      <c r="AX1795" s="188" t="s">
        <v>1837</v>
      </c>
      <c r="AY1795" s="188">
        <v>50</v>
      </c>
      <c r="AZ1795" s="188">
        <v>-124</v>
      </c>
      <c r="BA1795" s="188">
        <v>14</v>
      </c>
      <c r="BB1795" s="192"/>
      <c r="BC1795" s="192"/>
      <c r="BD1795" s="192"/>
      <c r="BE1795" s="192"/>
      <c r="BF1795" s="192"/>
      <c r="BG1795" s="192"/>
      <c r="BH1795" s="192"/>
      <c r="BI1795" s="192"/>
      <c r="BJ1795" s="192"/>
      <c r="BK1795" s="192"/>
      <c r="BL1795" s="192"/>
      <c r="BM1795" s="192"/>
      <c r="BN1795" s="192"/>
      <c r="BO1795" s="192"/>
      <c r="BP1795" s="192"/>
      <c r="BQ1795" s="192"/>
      <c r="BR1795" s="192"/>
      <c r="BS1795" s="192"/>
      <c r="BT1795" s="192"/>
    </row>
    <row r="1796" spans="2:72" ht="14.25" customHeight="1" x14ac:dyDescent="0.2">
      <c r="B1796" s="4">
        <v>12</v>
      </c>
      <c r="C1796" s="4" t="s">
        <v>1711</v>
      </c>
      <c r="D1796" s="4">
        <v>685</v>
      </c>
      <c r="E1796" s="4">
        <v>2136</v>
      </c>
      <c r="F1796" s="211" t="s">
        <v>3478</v>
      </c>
      <c r="G1796" s="4" t="s">
        <v>3479</v>
      </c>
      <c r="H1796" s="4" t="s">
        <v>3480</v>
      </c>
      <c r="I1796" s="4" t="s">
        <v>1664</v>
      </c>
      <c r="J1796" s="4" t="s">
        <v>1746</v>
      </c>
      <c r="K1796" s="4">
        <v>1</v>
      </c>
      <c r="L1796" s="4">
        <v>2539</v>
      </c>
      <c r="M1796" s="9"/>
      <c r="U1796"/>
      <c r="AO1796" s="4" t="s">
        <v>3478</v>
      </c>
      <c r="AP1796" s="4">
        <v>685</v>
      </c>
      <c r="AQ1796" s="4" t="s">
        <v>1716</v>
      </c>
      <c r="AR1796" s="4" t="s">
        <v>1717</v>
      </c>
      <c r="AS1796" s="4" t="s">
        <v>1718</v>
      </c>
      <c r="AT1796" s="4" t="s">
        <v>1719</v>
      </c>
      <c r="AU1796" s="4" t="s">
        <v>1703</v>
      </c>
      <c r="AV1796" s="4" t="s">
        <v>1720</v>
      </c>
      <c r="AW1796" s="4" t="s">
        <v>2368</v>
      </c>
      <c r="AX1796" s="4" t="s">
        <v>2401</v>
      </c>
      <c r="AY1796" s="4">
        <v>51.8</v>
      </c>
      <c r="AZ1796" s="4">
        <v>-120.3</v>
      </c>
      <c r="BA1796" s="4">
        <v>16</v>
      </c>
    </row>
    <row r="1797" spans="2:72" ht="14.25" customHeight="1" x14ac:dyDescent="0.2">
      <c r="B1797" s="4">
        <v>12</v>
      </c>
      <c r="C1797" s="4" t="s">
        <v>1711</v>
      </c>
      <c r="D1797" s="4">
        <v>686</v>
      </c>
      <c r="E1797" s="4">
        <v>2137</v>
      </c>
      <c r="F1797" s="16" t="s">
        <v>3481</v>
      </c>
      <c r="G1797" s="188" t="s">
        <v>3482</v>
      </c>
      <c r="H1797" s="4" t="s">
        <v>3483</v>
      </c>
      <c r="I1797" s="4" t="s">
        <v>1664</v>
      </c>
      <c r="J1797" s="4" t="s">
        <v>1746</v>
      </c>
      <c r="K1797" s="4">
        <v>1</v>
      </c>
      <c r="L1797" s="4">
        <v>2540</v>
      </c>
      <c r="M1797" s="9"/>
      <c r="U1797"/>
      <c r="AO1797" s="4" t="s">
        <v>3481</v>
      </c>
      <c r="AP1797" s="4">
        <v>686</v>
      </c>
      <c r="AQ1797" s="4" t="s">
        <v>1716</v>
      </c>
      <c r="AR1797" s="4" t="s">
        <v>1717</v>
      </c>
      <c r="AS1797" s="4" t="s">
        <v>1718</v>
      </c>
      <c r="AT1797" s="4" t="s">
        <v>1719</v>
      </c>
      <c r="AU1797" s="4" t="s">
        <v>1703</v>
      </c>
      <c r="AV1797" s="4" t="s">
        <v>1720</v>
      </c>
      <c r="AW1797" s="4" t="s">
        <v>2193</v>
      </c>
      <c r="AX1797" s="4" t="s">
        <v>2401</v>
      </c>
      <c r="AY1797" s="4">
        <v>51.9</v>
      </c>
      <c r="AZ1797" s="4">
        <v>-120.5</v>
      </c>
      <c r="BA1797" s="4">
        <v>11</v>
      </c>
    </row>
    <row r="1798" spans="2:72" ht="14.25" customHeight="1" x14ac:dyDescent="0.2">
      <c r="B1798" s="4">
        <v>12</v>
      </c>
      <c r="C1798" s="4" t="s">
        <v>1711</v>
      </c>
      <c r="D1798" s="4">
        <v>687</v>
      </c>
      <c r="E1798" s="4">
        <v>2138</v>
      </c>
      <c r="F1798" s="16" t="s">
        <v>3484</v>
      </c>
      <c r="G1798" s="188" t="s">
        <v>3485</v>
      </c>
      <c r="H1798" s="4" t="s">
        <v>3486</v>
      </c>
      <c r="I1798" s="4" t="s">
        <v>1664</v>
      </c>
      <c r="J1798" s="4" t="s">
        <v>1746</v>
      </c>
      <c r="K1798" s="4">
        <v>1</v>
      </c>
      <c r="L1798" s="4">
        <v>2541</v>
      </c>
      <c r="M1798" s="9"/>
      <c r="U1798"/>
      <c r="AO1798" s="4" t="s">
        <v>3484</v>
      </c>
      <c r="AP1798" s="4">
        <v>687</v>
      </c>
      <c r="AQ1798" s="4" t="s">
        <v>1716</v>
      </c>
      <c r="AR1798" s="4" t="s">
        <v>1717</v>
      </c>
      <c r="AS1798" s="4" t="s">
        <v>1718</v>
      </c>
      <c r="AT1798" s="4" t="s">
        <v>1719</v>
      </c>
      <c r="AU1798" s="4" t="s">
        <v>1703</v>
      </c>
      <c r="AV1798" s="4" t="s">
        <v>1720</v>
      </c>
      <c r="AW1798" s="4" t="s">
        <v>2193</v>
      </c>
      <c r="AX1798" s="4" t="s">
        <v>2194</v>
      </c>
      <c r="AY1798" s="4">
        <v>53.1</v>
      </c>
      <c r="AZ1798" s="4">
        <v>-123.4</v>
      </c>
      <c r="BA1798" s="4">
        <v>8</v>
      </c>
    </row>
    <row r="1799" spans="2:72" ht="14.25" customHeight="1" x14ac:dyDescent="0.2">
      <c r="B1799" s="4">
        <v>12</v>
      </c>
      <c r="C1799" s="4" t="s">
        <v>1711</v>
      </c>
      <c r="D1799" s="4">
        <v>690</v>
      </c>
      <c r="E1799" s="4">
        <v>2141</v>
      </c>
      <c r="F1799" s="211" t="s">
        <v>3493</v>
      </c>
      <c r="G1799" s="4" t="s">
        <v>3494</v>
      </c>
      <c r="H1799" s="4" t="s">
        <v>3495</v>
      </c>
      <c r="I1799" s="4" t="s">
        <v>1664</v>
      </c>
      <c r="J1799" s="4" t="s">
        <v>1746</v>
      </c>
      <c r="K1799" s="4">
        <v>1</v>
      </c>
      <c r="L1799" s="4">
        <v>2544</v>
      </c>
      <c r="M1799" s="9"/>
      <c r="U1799"/>
      <c r="AO1799" s="4" t="s">
        <v>3493</v>
      </c>
      <c r="AP1799" s="4">
        <v>690</v>
      </c>
      <c r="AQ1799" s="4" t="s">
        <v>1716</v>
      </c>
      <c r="AR1799" s="4" t="s">
        <v>1717</v>
      </c>
      <c r="AS1799" s="4" t="s">
        <v>1718</v>
      </c>
      <c r="AT1799" s="4" t="s">
        <v>1719</v>
      </c>
      <c r="AU1799" s="4" t="s">
        <v>1703</v>
      </c>
      <c r="AV1799" s="4" t="s">
        <v>1720</v>
      </c>
      <c r="AW1799" s="4" t="s">
        <v>2193</v>
      </c>
      <c r="AX1799" s="4" t="s">
        <v>2401</v>
      </c>
      <c r="AY1799" s="4">
        <v>52</v>
      </c>
      <c r="AZ1799" s="4">
        <v>-120.2</v>
      </c>
      <c r="BA1799" s="4">
        <v>14</v>
      </c>
    </row>
    <row r="1800" spans="2:72" ht="14.25" customHeight="1" x14ac:dyDescent="0.2">
      <c r="B1800" s="4">
        <v>12</v>
      </c>
      <c r="C1800" s="4" t="s">
        <v>1711</v>
      </c>
      <c r="D1800" s="4">
        <v>692</v>
      </c>
      <c r="E1800" s="4">
        <v>2143</v>
      </c>
      <c r="F1800" s="211" t="s">
        <v>3499</v>
      </c>
      <c r="G1800" s="4" t="s">
        <v>3500</v>
      </c>
      <c r="H1800" s="4" t="s">
        <v>3501</v>
      </c>
      <c r="I1800" s="4" t="s">
        <v>1664</v>
      </c>
      <c r="J1800" s="4" t="s">
        <v>1715</v>
      </c>
      <c r="K1800" s="4">
        <v>1</v>
      </c>
      <c r="L1800" s="4">
        <v>2546</v>
      </c>
      <c r="M1800" s="9"/>
      <c r="U1800"/>
      <c r="AO1800" s="4" t="s">
        <v>3499</v>
      </c>
      <c r="AP1800" s="4">
        <v>692</v>
      </c>
      <c r="AQ1800" s="4" t="s">
        <v>1716</v>
      </c>
      <c r="AR1800" s="4" t="s">
        <v>1717</v>
      </c>
      <c r="AS1800" s="4" t="s">
        <v>1718</v>
      </c>
      <c r="AT1800" s="4" t="s">
        <v>1719</v>
      </c>
      <c r="AU1800" s="4" t="s">
        <v>1703</v>
      </c>
      <c r="AV1800" s="4" t="s">
        <v>1720</v>
      </c>
      <c r="AW1800" s="4" t="s">
        <v>2193</v>
      </c>
      <c r="AX1800" s="4" t="s">
        <v>2287</v>
      </c>
      <c r="AY1800" s="4">
        <v>51.6</v>
      </c>
      <c r="AZ1800" s="4">
        <v>-120.9</v>
      </c>
      <c r="BA1800" s="4">
        <v>13</v>
      </c>
    </row>
    <row r="1801" spans="2:72" ht="14.25" customHeight="1" x14ac:dyDescent="0.2">
      <c r="B1801" s="4">
        <v>12</v>
      </c>
      <c r="C1801" s="4" t="s">
        <v>1711</v>
      </c>
      <c r="D1801" s="4">
        <v>694</v>
      </c>
      <c r="E1801" s="4">
        <v>2145</v>
      </c>
      <c r="F1801" s="211" t="s">
        <v>3505</v>
      </c>
      <c r="G1801" s="4" t="s">
        <v>3506</v>
      </c>
      <c r="H1801" s="4" t="s">
        <v>3507</v>
      </c>
      <c r="I1801" s="4" t="s">
        <v>1664</v>
      </c>
      <c r="J1801" s="4" t="s">
        <v>1746</v>
      </c>
      <c r="K1801" s="4">
        <v>1</v>
      </c>
      <c r="L1801" s="4">
        <v>2548</v>
      </c>
      <c r="M1801" s="9"/>
      <c r="U1801"/>
      <c r="AO1801" s="4" t="s">
        <v>3505</v>
      </c>
      <c r="AP1801" s="4">
        <v>694</v>
      </c>
      <c r="AQ1801" s="4" t="s">
        <v>1716</v>
      </c>
      <c r="AR1801" s="4" t="s">
        <v>1717</v>
      </c>
      <c r="AS1801" s="4" t="s">
        <v>1718</v>
      </c>
      <c r="AT1801" s="4" t="s">
        <v>1719</v>
      </c>
      <c r="AU1801" s="4" t="s">
        <v>1703</v>
      </c>
      <c r="AV1801" s="4" t="s">
        <v>1720</v>
      </c>
      <c r="AW1801" s="4" t="s">
        <v>2193</v>
      </c>
      <c r="AX1801" s="4" t="s">
        <v>2287</v>
      </c>
      <c r="AY1801" s="4">
        <v>52</v>
      </c>
      <c r="AZ1801" s="4">
        <v>-120.8</v>
      </c>
      <c r="BA1801" s="4">
        <v>13</v>
      </c>
    </row>
    <row r="1802" spans="2:72" ht="14.25" customHeight="1" x14ac:dyDescent="0.2">
      <c r="B1802" s="4">
        <v>12</v>
      </c>
      <c r="C1802" s="4" t="s">
        <v>1711</v>
      </c>
      <c r="D1802" s="4">
        <v>695</v>
      </c>
      <c r="E1802" s="4">
        <v>2146</v>
      </c>
      <c r="F1802" s="16" t="s">
        <v>3508</v>
      </c>
      <c r="G1802" s="188" t="s">
        <v>3509</v>
      </c>
      <c r="H1802" s="4" t="s">
        <v>3510</v>
      </c>
      <c r="I1802" s="4" t="s">
        <v>1664</v>
      </c>
      <c r="J1802" s="4" t="s">
        <v>1715</v>
      </c>
      <c r="K1802" s="4">
        <v>1</v>
      </c>
      <c r="L1802" s="4">
        <v>2549</v>
      </c>
      <c r="M1802" s="9"/>
      <c r="U1802"/>
      <c r="AO1802" s="4" t="s">
        <v>3508</v>
      </c>
      <c r="AP1802" s="4">
        <v>695</v>
      </c>
      <c r="AQ1802" s="4" t="s">
        <v>1716</v>
      </c>
      <c r="AR1802" s="4" t="s">
        <v>1717</v>
      </c>
      <c r="AS1802" s="4" t="s">
        <v>1718</v>
      </c>
      <c r="AT1802" s="4" t="s">
        <v>1719</v>
      </c>
      <c r="AU1802" s="4" t="s">
        <v>1703</v>
      </c>
      <c r="AV1802" s="4" t="s">
        <v>1720</v>
      </c>
      <c r="AW1802" s="4" t="s">
        <v>2193</v>
      </c>
      <c r="AX1802" s="4" t="s">
        <v>2194</v>
      </c>
      <c r="AY1802" s="4">
        <v>52.9</v>
      </c>
      <c r="AZ1802" s="4">
        <v>-121.7</v>
      </c>
      <c r="BA1802" s="4">
        <v>13</v>
      </c>
    </row>
    <row r="1803" spans="2:72" ht="14.25" customHeight="1" x14ac:dyDescent="0.2">
      <c r="B1803" s="4">
        <v>12</v>
      </c>
      <c r="C1803" s="4" t="s">
        <v>1711</v>
      </c>
      <c r="D1803" s="4">
        <v>696</v>
      </c>
      <c r="E1803" s="4">
        <v>2147</v>
      </c>
      <c r="F1803" s="211" t="s">
        <v>3511</v>
      </c>
      <c r="G1803" s="4" t="s">
        <v>3512</v>
      </c>
      <c r="H1803" s="4" t="s">
        <v>3513</v>
      </c>
      <c r="I1803" s="4" t="s">
        <v>1664</v>
      </c>
      <c r="J1803" s="4" t="s">
        <v>1746</v>
      </c>
      <c r="K1803" s="4">
        <v>1</v>
      </c>
      <c r="L1803" s="4">
        <v>2550</v>
      </c>
      <c r="M1803" s="9"/>
      <c r="U1803"/>
      <c r="AO1803" s="4" t="s">
        <v>3511</v>
      </c>
      <c r="AP1803" s="4">
        <v>696</v>
      </c>
      <c r="AQ1803" s="4" t="s">
        <v>1716</v>
      </c>
      <c r="AR1803" s="4" t="s">
        <v>1717</v>
      </c>
      <c r="AS1803" s="4" t="s">
        <v>1718</v>
      </c>
      <c r="AT1803" s="4" t="s">
        <v>1719</v>
      </c>
      <c r="AU1803" s="4" t="s">
        <v>1703</v>
      </c>
      <c r="AV1803" s="4" t="s">
        <v>1720</v>
      </c>
      <c r="AW1803" s="4" t="s">
        <v>2368</v>
      </c>
      <c r="AX1803" s="4" t="s">
        <v>2369</v>
      </c>
      <c r="AY1803" s="4">
        <v>51</v>
      </c>
      <c r="AZ1803" s="4">
        <v>-120</v>
      </c>
      <c r="BA1803" s="4">
        <v>13</v>
      </c>
    </row>
    <row r="1804" spans="2:72" ht="14.25" customHeight="1" x14ac:dyDescent="0.2">
      <c r="B1804" s="4">
        <v>12</v>
      </c>
      <c r="C1804" s="4" t="s">
        <v>1711</v>
      </c>
      <c r="D1804" s="4">
        <v>697</v>
      </c>
      <c r="E1804" s="4">
        <v>2148</v>
      </c>
      <c r="F1804" s="16" t="s">
        <v>3514</v>
      </c>
      <c r="G1804" s="188" t="s">
        <v>3515</v>
      </c>
      <c r="H1804" s="4" t="s">
        <v>3516</v>
      </c>
      <c r="I1804" s="4" t="s">
        <v>1664</v>
      </c>
      <c r="J1804" s="4" t="s">
        <v>1746</v>
      </c>
      <c r="K1804" s="4">
        <v>1</v>
      </c>
      <c r="L1804" s="4">
        <v>2551</v>
      </c>
      <c r="M1804" s="9"/>
      <c r="U1804"/>
      <c r="AO1804" s="4" t="s">
        <v>3514</v>
      </c>
      <c r="AP1804" s="4">
        <v>697</v>
      </c>
      <c r="AQ1804" s="4" t="s">
        <v>1716</v>
      </c>
      <c r="AR1804" s="4" t="s">
        <v>1717</v>
      </c>
      <c r="AS1804" s="4" t="s">
        <v>1718</v>
      </c>
      <c r="AT1804" s="4" t="s">
        <v>1719</v>
      </c>
      <c r="AU1804" s="4" t="s">
        <v>1703</v>
      </c>
      <c r="AV1804" s="4" t="s">
        <v>1720</v>
      </c>
      <c r="AW1804" s="4" t="s">
        <v>2193</v>
      </c>
      <c r="AX1804" s="4" t="s">
        <v>2194</v>
      </c>
      <c r="AY1804" s="4">
        <v>53</v>
      </c>
      <c r="AZ1804" s="4">
        <v>-121</v>
      </c>
      <c r="BA1804" s="4">
        <v>13</v>
      </c>
    </row>
    <row r="1805" spans="2:72" ht="14.25" customHeight="1" x14ac:dyDescent="0.2">
      <c r="B1805" s="4">
        <v>12</v>
      </c>
      <c r="C1805" s="4" t="s">
        <v>1711</v>
      </c>
      <c r="D1805" s="4">
        <v>698</v>
      </c>
      <c r="E1805" s="4">
        <v>2149</v>
      </c>
      <c r="F1805" s="211" t="s">
        <v>3517</v>
      </c>
      <c r="G1805" s="4" t="s">
        <v>3518</v>
      </c>
      <c r="H1805" s="4" t="s">
        <v>3041</v>
      </c>
      <c r="I1805" s="4" t="s">
        <v>1664</v>
      </c>
      <c r="J1805" s="4" t="s">
        <v>1715</v>
      </c>
      <c r="K1805" s="4">
        <v>1</v>
      </c>
      <c r="L1805" s="4">
        <v>2552</v>
      </c>
      <c r="M1805" s="9"/>
      <c r="U1805"/>
      <c r="AO1805" s="4" t="s">
        <v>3517</v>
      </c>
      <c r="AP1805" s="4">
        <v>698</v>
      </c>
      <c r="AQ1805" s="4" t="s">
        <v>1716</v>
      </c>
      <c r="AR1805" s="4" t="s">
        <v>1717</v>
      </c>
      <c r="AS1805" s="4" t="s">
        <v>1718</v>
      </c>
      <c r="AT1805" s="4" t="s">
        <v>1719</v>
      </c>
      <c r="AU1805" s="4" t="s">
        <v>1703</v>
      </c>
      <c r="AV1805" s="4" t="s">
        <v>1720</v>
      </c>
      <c r="AW1805" s="4" t="s">
        <v>2193</v>
      </c>
      <c r="AX1805" s="4" t="s">
        <v>2287</v>
      </c>
      <c r="AY1805" s="4">
        <v>52</v>
      </c>
      <c r="AZ1805" s="4">
        <v>-121</v>
      </c>
      <c r="BA1805" s="4">
        <v>13</v>
      </c>
    </row>
    <row r="1806" spans="2:72" ht="14.25" customHeight="1" x14ac:dyDescent="0.2">
      <c r="B1806" s="4">
        <v>12</v>
      </c>
      <c r="C1806" s="4" t="s">
        <v>1711</v>
      </c>
      <c r="D1806" s="4">
        <v>700</v>
      </c>
      <c r="E1806" s="4">
        <v>2150</v>
      </c>
      <c r="F1806" s="16" t="s">
        <v>3519</v>
      </c>
      <c r="G1806" s="188" t="s">
        <v>3520</v>
      </c>
      <c r="H1806" s="4" t="s">
        <v>3521</v>
      </c>
      <c r="I1806" s="4" t="s">
        <v>1664</v>
      </c>
      <c r="J1806" s="4" t="s">
        <v>1746</v>
      </c>
      <c r="K1806" s="4">
        <v>1</v>
      </c>
      <c r="L1806" s="4">
        <v>2553</v>
      </c>
      <c r="M1806" s="9"/>
      <c r="U1806"/>
      <c r="AO1806" s="4" t="s">
        <v>3519</v>
      </c>
      <c r="AP1806" s="4">
        <v>700</v>
      </c>
      <c r="AQ1806" s="4" t="s">
        <v>1716</v>
      </c>
      <c r="AR1806" s="4" t="s">
        <v>1717</v>
      </c>
      <c r="AS1806" s="4" t="s">
        <v>1718</v>
      </c>
      <c r="AT1806" s="4" t="s">
        <v>1719</v>
      </c>
      <c r="AU1806" s="4" t="s">
        <v>1703</v>
      </c>
      <c r="AV1806" s="4" t="s">
        <v>1720</v>
      </c>
      <c r="AW1806" s="4" t="s">
        <v>2193</v>
      </c>
      <c r="AX1806" s="4" t="s">
        <v>2369</v>
      </c>
      <c r="AY1806" s="4">
        <v>50.5</v>
      </c>
      <c r="AZ1806" s="4">
        <v>-120.3</v>
      </c>
      <c r="BA1806" s="4">
        <v>9</v>
      </c>
    </row>
    <row r="1807" spans="2:72" ht="14.25" customHeight="1" x14ac:dyDescent="0.2">
      <c r="B1807" s="4">
        <v>12</v>
      </c>
      <c r="C1807" s="4" t="s">
        <v>1711</v>
      </c>
      <c r="D1807" s="4">
        <v>701</v>
      </c>
      <c r="E1807" s="4">
        <v>2151</v>
      </c>
      <c r="F1807" s="16" t="s">
        <v>3522</v>
      </c>
      <c r="G1807" s="4" t="s">
        <v>3523</v>
      </c>
      <c r="H1807" s="4" t="s">
        <v>3524</v>
      </c>
      <c r="I1807" s="4" t="s">
        <v>1664</v>
      </c>
      <c r="J1807" s="4" t="s">
        <v>1715</v>
      </c>
      <c r="K1807" s="4">
        <v>1</v>
      </c>
      <c r="L1807" s="4">
        <v>2554</v>
      </c>
      <c r="M1807" s="9"/>
      <c r="U1807"/>
      <c r="V1807" s="192"/>
      <c r="W1807" s="192"/>
      <c r="X1807" s="192"/>
      <c r="Y1807" s="192"/>
      <c r="Z1807" s="192"/>
      <c r="AA1807" s="192"/>
      <c r="AB1807" s="192"/>
      <c r="AC1807" s="192"/>
      <c r="AD1807" s="192"/>
      <c r="AE1807" s="192"/>
      <c r="AF1807" s="192"/>
      <c r="AG1807" s="192"/>
      <c r="AH1807" s="192"/>
      <c r="AI1807" s="192"/>
      <c r="AJ1807" s="192"/>
      <c r="AK1807" s="192"/>
      <c r="AL1807" s="192"/>
      <c r="AM1807" s="192"/>
      <c r="AN1807" s="192"/>
      <c r="AO1807" s="188" t="s">
        <v>3522</v>
      </c>
      <c r="AP1807" s="188">
        <v>701</v>
      </c>
      <c r="AQ1807" s="188" t="s">
        <v>1716</v>
      </c>
      <c r="AR1807" s="188" t="s">
        <v>1717</v>
      </c>
      <c r="AS1807" s="188" t="s">
        <v>1718</v>
      </c>
      <c r="AT1807" s="188" t="s">
        <v>1719</v>
      </c>
      <c r="AU1807" s="188" t="s">
        <v>1703</v>
      </c>
      <c r="AV1807" s="188" t="s">
        <v>1720</v>
      </c>
      <c r="AW1807" s="188" t="s">
        <v>2193</v>
      </c>
      <c r="AX1807" s="188" t="s">
        <v>2356</v>
      </c>
      <c r="AY1807" s="188">
        <v>52.5</v>
      </c>
      <c r="AZ1807" s="188">
        <v>-121.5</v>
      </c>
      <c r="BA1807" s="188">
        <v>98</v>
      </c>
      <c r="BB1807" s="192"/>
      <c r="BC1807" s="192"/>
      <c r="BD1807" s="192"/>
      <c r="BE1807" s="192"/>
      <c r="BF1807" s="192"/>
      <c r="BG1807" s="192"/>
      <c r="BH1807" s="192"/>
      <c r="BI1807" s="192"/>
      <c r="BJ1807" s="192"/>
      <c r="BK1807" s="192"/>
      <c r="BL1807" s="192"/>
      <c r="BM1807" s="192"/>
      <c r="BN1807" s="192"/>
      <c r="BO1807" s="192"/>
      <c r="BP1807" s="192"/>
      <c r="BQ1807" s="192"/>
      <c r="BR1807" s="192"/>
      <c r="BS1807" s="192"/>
      <c r="BT1807" s="192"/>
    </row>
    <row r="1808" spans="2:72" ht="14.25" customHeight="1" x14ac:dyDescent="0.2">
      <c r="B1808" s="4">
        <v>12</v>
      </c>
      <c r="C1808" s="4" t="s">
        <v>1711</v>
      </c>
      <c r="D1808" s="4">
        <v>702</v>
      </c>
      <c r="E1808" s="4">
        <v>2152</v>
      </c>
      <c r="F1808" s="16" t="s">
        <v>3525</v>
      </c>
      <c r="G1808" s="188" t="s">
        <v>3526</v>
      </c>
      <c r="H1808" s="4" t="s">
        <v>3527</v>
      </c>
      <c r="I1808" s="4" t="s">
        <v>1664</v>
      </c>
      <c r="J1808" s="4" t="s">
        <v>1746</v>
      </c>
      <c r="K1808" s="4">
        <v>1</v>
      </c>
      <c r="L1808" s="4">
        <v>2555</v>
      </c>
      <c r="M1808" s="9"/>
      <c r="U1808"/>
      <c r="AO1808" s="4" t="s">
        <v>3525</v>
      </c>
      <c r="AP1808" s="4">
        <v>702</v>
      </c>
      <c r="AQ1808" s="4" t="s">
        <v>1716</v>
      </c>
      <c r="AR1808" s="4" t="s">
        <v>1717</v>
      </c>
      <c r="AS1808" s="4" t="s">
        <v>1718</v>
      </c>
      <c r="AT1808" s="4" t="s">
        <v>1719</v>
      </c>
      <c r="AU1808" s="4" t="s">
        <v>1703</v>
      </c>
      <c r="AV1808" s="4" t="s">
        <v>1720</v>
      </c>
      <c r="AW1808" s="4" t="s">
        <v>2193</v>
      </c>
      <c r="AX1808" s="4" t="s">
        <v>1879</v>
      </c>
      <c r="AY1808" s="4">
        <v>50</v>
      </c>
      <c r="AZ1808" s="4">
        <v>-123</v>
      </c>
      <c r="BA1808" s="4">
        <v>0</v>
      </c>
    </row>
    <row r="1809" spans="2:72" ht="14.25" customHeight="1" x14ac:dyDescent="0.2">
      <c r="B1809" s="4">
        <v>12</v>
      </c>
      <c r="C1809" s="4" t="s">
        <v>1711</v>
      </c>
      <c r="D1809" s="4">
        <v>703</v>
      </c>
      <c r="E1809" s="4">
        <v>2153</v>
      </c>
      <c r="F1809" s="16" t="s">
        <v>3528</v>
      </c>
      <c r="G1809" s="4" t="s">
        <v>3529</v>
      </c>
      <c r="H1809" s="4" t="s">
        <v>3530</v>
      </c>
      <c r="I1809" s="4" t="s">
        <v>641</v>
      </c>
      <c r="J1809" s="4" t="s">
        <v>1746</v>
      </c>
      <c r="K1809" s="4">
        <v>1</v>
      </c>
      <c r="L1809" s="4">
        <v>2556</v>
      </c>
      <c r="M1809" s="9"/>
      <c r="U1809"/>
      <c r="V1809" s="192"/>
      <c r="W1809" s="192"/>
      <c r="X1809" s="192"/>
      <c r="Y1809" s="192"/>
      <c r="Z1809" s="192"/>
      <c r="AA1809" s="192"/>
      <c r="AB1809" s="192"/>
      <c r="AC1809" s="192"/>
      <c r="AD1809" s="192"/>
      <c r="AE1809" s="192"/>
      <c r="AF1809" s="192"/>
      <c r="AG1809" s="192"/>
      <c r="AH1809" s="192"/>
      <c r="AI1809" s="192"/>
      <c r="AJ1809" s="192"/>
      <c r="AK1809" s="192"/>
      <c r="AL1809" s="192"/>
      <c r="AM1809" s="192"/>
      <c r="AN1809" s="192"/>
      <c r="AO1809" s="188" t="s">
        <v>3528</v>
      </c>
      <c r="AP1809" s="188">
        <v>703</v>
      </c>
      <c r="AQ1809" s="188" t="s">
        <v>1716</v>
      </c>
      <c r="AR1809" s="188" t="s">
        <v>1717</v>
      </c>
      <c r="AS1809" s="188" t="s">
        <v>1718</v>
      </c>
      <c r="AT1809" s="188" t="s">
        <v>1703</v>
      </c>
      <c r="AU1809" s="188" t="s">
        <v>1703</v>
      </c>
      <c r="AV1809" s="188" t="s">
        <v>1720</v>
      </c>
      <c r="AW1809" s="188" t="s">
        <v>2368</v>
      </c>
      <c r="AX1809" s="188" t="s">
        <v>2258</v>
      </c>
      <c r="AY1809" s="188">
        <v>52.5</v>
      </c>
      <c r="AZ1809" s="188">
        <v>-119.1</v>
      </c>
      <c r="BA1809" s="188">
        <v>9</v>
      </c>
      <c r="BB1809" s="192"/>
      <c r="BC1809" s="192"/>
      <c r="BD1809" s="192"/>
      <c r="BE1809" s="192"/>
      <c r="BF1809" s="192"/>
      <c r="BG1809" s="192"/>
      <c r="BH1809" s="192"/>
      <c r="BI1809" s="192"/>
      <c r="BJ1809" s="192"/>
      <c r="BK1809" s="192"/>
      <c r="BL1809" s="192"/>
      <c r="BM1809" s="192"/>
      <c r="BN1809" s="192"/>
      <c r="BO1809" s="192"/>
      <c r="BP1809" s="192"/>
      <c r="BQ1809" s="192"/>
      <c r="BR1809" s="192"/>
      <c r="BS1809" s="192"/>
      <c r="BT1809" s="192"/>
    </row>
    <row r="1810" spans="2:72" ht="14.25" customHeight="1" x14ac:dyDescent="0.2">
      <c r="B1810" s="4">
        <v>12</v>
      </c>
      <c r="C1810" s="4" t="s">
        <v>1711</v>
      </c>
      <c r="D1810" s="4">
        <v>705</v>
      </c>
      <c r="E1810" s="4">
        <v>2155</v>
      </c>
      <c r="F1810" s="16" t="s">
        <v>3534</v>
      </c>
      <c r="G1810" s="9" t="s">
        <v>3535</v>
      </c>
      <c r="H1810" s="4" t="s">
        <v>3536</v>
      </c>
      <c r="I1810" s="4" t="s">
        <v>1664</v>
      </c>
      <c r="J1810" s="4" t="s">
        <v>1746</v>
      </c>
      <c r="K1810" s="4">
        <v>1</v>
      </c>
      <c r="L1810" s="4">
        <v>2558</v>
      </c>
      <c r="M1810" s="9"/>
      <c r="U1810"/>
      <c r="AO1810" s="4" t="s">
        <v>3534</v>
      </c>
      <c r="AP1810" s="4">
        <v>705</v>
      </c>
      <c r="AQ1810" s="4" t="s">
        <v>1716</v>
      </c>
      <c r="AR1810" s="4" t="s">
        <v>1717</v>
      </c>
      <c r="AS1810" s="4" t="s">
        <v>1718</v>
      </c>
      <c r="AT1810" s="4" t="s">
        <v>1719</v>
      </c>
      <c r="AU1810" s="4" t="s">
        <v>1703</v>
      </c>
      <c r="AV1810" s="4" t="s">
        <v>1720</v>
      </c>
      <c r="AW1810" s="4" t="s">
        <v>2193</v>
      </c>
      <c r="AX1810" s="4" t="s">
        <v>2356</v>
      </c>
      <c r="AY1810" s="4">
        <v>52.3</v>
      </c>
      <c r="AZ1810" s="4">
        <v>-121.4</v>
      </c>
      <c r="BA1810" s="4">
        <v>0</v>
      </c>
    </row>
    <row r="1811" spans="2:72" ht="14.25" customHeight="1" x14ac:dyDescent="0.2">
      <c r="B1811" s="4">
        <v>12</v>
      </c>
      <c r="C1811" s="4" t="s">
        <v>1711</v>
      </c>
      <c r="D1811" s="4">
        <v>707</v>
      </c>
      <c r="E1811" s="4">
        <v>2157</v>
      </c>
      <c r="F1811" s="16" t="s">
        <v>3540</v>
      </c>
      <c r="G1811" s="188" t="s">
        <v>3541</v>
      </c>
      <c r="H1811" s="4" t="s">
        <v>3542</v>
      </c>
      <c r="I1811" s="4" t="s">
        <v>1664</v>
      </c>
      <c r="J1811" s="4" t="s">
        <v>1746</v>
      </c>
      <c r="K1811" s="4">
        <v>1</v>
      </c>
      <c r="L1811" s="4">
        <v>2560</v>
      </c>
      <c r="M1811" s="9"/>
      <c r="U1811"/>
      <c r="AO1811" s="4" t="s">
        <v>3540</v>
      </c>
      <c r="AP1811" s="4">
        <v>707</v>
      </c>
      <c r="AQ1811" s="4" t="s">
        <v>1716</v>
      </c>
      <c r="AR1811" s="4" t="s">
        <v>1717</v>
      </c>
      <c r="AS1811" s="4" t="s">
        <v>1718</v>
      </c>
      <c r="AT1811" s="4" t="s">
        <v>1719</v>
      </c>
      <c r="AU1811" s="4" t="s">
        <v>1703</v>
      </c>
      <c r="AV1811" s="4" t="s">
        <v>1720</v>
      </c>
      <c r="AW1811" s="4" t="s">
        <v>2193</v>
      </c>
      <c r="AX1811" s="4" t="s">
        <v>2194</v>
      </c>
      <c r="AY1811" s="4">
        <v>52.4</v>
      </c>
      <c r="AZ1811" s="4">
        <v>-122.8</v>
      </c>
      <c r="BA1811" s="4">
        <v>13</v>
      </c>
    </row>
    <row r="1812" spans="2:72" ht="14.25" customHeight="1" x14ac:dyDescent="0.2">
      <c r="B1812" s="4">
        <v>12</v>
      </c>
      <c r="C1812" s="4" t="s">
        <v>1711</v>
      </c>
      <c r="D1812" s="4">
        <v>709</v>
      </c>
      <c r="E1812" s="4">
        <v>2159</v>
      </c>
      <c r="F1812" s="211" t="s">
        <v>3546</v>
      </c>
      <c r="G1812" s="203" t="s">
        <v>3547</v>
      </c>
      <c r="H1812" s="4" t="s">
        <v>3548</v>
      </c>
      <c r="I1812" s="4" t="s">
        <v>1664</v>
      </c>
      <c r="J1812" s="4" t="s">
        <v>1746</v>
      </c>
      <c r="K1812" s="4">
        <v>1</v>
      </c>
      <c r="L1812" s="4">
        <v>2562</v>
      </c>
      <c r="M1812" s="9"/>
      <c r="U1812"/>
      <c r="AO1812" s="4" t="s">
        <v>3546</v>
      </c>
      <c r="AP1812" s="4">
        <v>709</v>
      </c>
      <c r="AQ1812" s="4" t="s">
        <v>1716</v>
      </c>
      <c r="AR1812" s="4" t="s">
        <v>1717</v>
      </c>
      <c r="AS1812" s="4" t="s">
        <v>1718</v>
      </c>
      <c r="AT1812" s="4" t="s">
        <v>1719</v>
      </c>
      <c r="AU1812" s="4" t="s">
        <v>1703</v>
      </c>
      <c r="AV1812" s="4" t="s">
        <v>1720</v>
      </c>
      <c r="AW1812" s="4" t="s">
        <v>2193</v>
      </c>
      <c r="AX1812" s="4" t="s">
        <v>2356</v>
      </c>
      <c r="AY1812" s="4">
        <v>52.5</v>
      </c>
      <c r="AZ1812" s="4">
        <v>-121.4</v>
      </c>
      <c r="BA1812" s="4">
        <v>9</v>
      </c>
    </row>
    <row r="1813" spans="2:72" ht="14.25" customHeight="1" x14ac:dyDescent="0.2">
      <c r="B1813" s="4">
        <v>12</v>
      </c>
      <c r="C1813" s="4" t="s">
        <v>1711</v>
      </c>
      <c r="D1813" s="4">
        <v>710</v>
      </c>
      <c r="E1813" s="4">
        <v>2160</v>
      </c>
      <c r="F1813" s="211" t="s">
        <v>3549</v>
      </c>
      <c r="G1813" s="4" t="s">
        <v>3550</v>
      </c>
      <c r="H1813" s="4" t="s">
        <v>3551</v>
      </c>
      <c r="I1813" s="4" t="s">
        <v>1664</v>
      </c>
      <c r="J1813" s="4" t="s">
        <v>1746</v>
      </c>
      <c r="K1813" s="4">
        <v>1</v>
      </c>
      <c r="L1813" s="4">
        <v>2563</v>
      </c>
      <c r="M1813" s="9"/>
      <c r="U1813"/>
      <c r="AO1813" s="4" t="s">
        <v>3549</v>
      </c>
      <c r="AP1813" s="4">
        <v>710</v>
      </c>
      <c r="AQ1813" s="4" t="s">
        <v>1716</v>
      </c>
      <c r="AR1813" s="4" t="s">
        <v>1717</v>
      </c>
      <c r="AS1813" s="4" t="s">
        <v>1718</v>
      </c>
      <c r="AT1813" s="4" t="s">
        <v>1719</v>
      </c>
      <c r="AU1813" s="4" t="s">
        <v>1703</v>
      </c>
      <c r="AV1813" s="4" t="s">
        <v>1720</v>
      </c>
      <c r="AW1813" s="4" t="s">
        <v>2368</v>
      </c>
      <c r="AX1813" s="4" t="s">
        <v>2258</v>
      </c>
      <c r="AY1813" s="4">
        <v>52.5</v>
      </c>
      <c r="AZ1813" s="4">
        <v>-119.35</v>
      </c>
      <c r="BA1813" s="4">
        <v>14</v>
      </c>
    </row>
    <row r="1814" spans="2:72" ht="14.25" customHeight="1" x14ac:dyDescent="0.2">
      <c r="B1814" s="4">
        <v>12</v>
      </c>
      <c r="C1814" s="4" t="s">
        <v>1711</v>
      </c>
      <c r="D1814" s="4">
        <v>711</v>
      </c>
      <c r="E1814" s="4">
        <v>2161</v>
      </c>
      <c r="F1814" s="211" t="s">
        <v>3552</v>
      </c>
      <c r="G1814" s="4" t="s">
        <v>3553</v>
      </c>
      <c r="H1814" s="4" t="s">
        <v>3554</v>
      </c>
      <c r="I1814" s="4" t="s">
        <v>1664</v>
      </c>
      <c r="J1814" s="4" t="s">
        <v>1715</v>
      </c>
      <c r="K1814" s="4">
        <v>1</v>
      </c>
      <c r="L1814" s="4">
        <v>2564</v>
      </c>
      <c r="M1814" s="9"/>
      <c r="U1814"/>
      <c r="AO1814" s="4" t="s">
        <v>3552</v>
      </c>
      <c r="AP1814" s="4">
        <v>711</v>
      </c>
      <c r="AQ1814" s="4" t="s">
        <v>1716</v>
      </c>
      <c r="AR1814" s="4" t="s">
        <v>1717</v>
      </c>
      <c r="AS1814" s="4" t="s">
        <v>1718</v>
      </c>
      <c r="AT1814" s="4" t="s">
        <v>1719</v>
      </c>
      <c r="AU1814" s="4" t="s">
        <v>1703</v>
      </c>
      <c r="AV1814" s="4" t="s">
        <v>1720</v>
      </c>
      <c r="AW1814" s="4" t="s">
        <v>2368</v>
      </c>
      <c r="AX1814" s="4" t="s">
        <v>2401</v>
      </c>
      <c r="AY1814" s="4">
        <v>51.8</v>
      </c>
      <c r="AZ1814" s="4">
        <v>-119.1</v>
      </c>
      <c r="BA1814" s="4">
        <v>8</v>
      </c>
    </row>
    <row r="1815" spans="2:72" ht="14.25" customHeight="1" x14ac:dyDescent="0.2">
      <c r="B1815" s="4">
        <v>12</v>
      </c>
      <c r="C1815" s="4" t="s">
        <v>1711</v>
      </c>
      <c r="D1815" s="4">
        <v>712</v>
      </c>
      <c r="E1815" s="4">
        <v>2162</v>
      </c>
      <c r="F1815" s="211" t="s">
        <v>3555</v>
      </c>
      <c r="G1815" s="4" t="s">
        <v>3556</v>
      </c>
      <c r="H1815" s="4" t="s">
        <v>3557</v>
      </c>
      <c r="I1815" s="4" t="s">
        <v>1664</v>
      </c>
      <c r="J1815" s="4" t="s">
        <v>1715</v>
      </c>
      <c r="K1815" s="4">
        <v>1</v>
      </c>
      <c r="L1815" s="4">
        <v>2565</v>
      </c>
      <c r="M1815" s="9"/>
      <c r="U1815"/>
      <c r="AO1815" s="4" t="s">
        <v>3555</v>
      </c>
      <c r="AP1815" s="4">
        <v>712</v>
      </c>
      <c r="AQ1815" s="4" t="s">
        <v>1716</v>
      </c>
      <c r="AR1815" s="4" t="s">
        <v>1717</v>
      </c>
      <c r="AS1815" s="4" t="s">
        <v>1718</v>
      </c>
      <c r="AT1815" s="4" t="s">
        <v>1719</v>
      </c>
      <c r="AU1815" s="4" t="s">
        <v>1703</v>
      </c>
      <c r="AV1815" s="4" t="s">
        <v>1720</v>
      </c>
      <c r="AW1815" s="4" t="s">
        <v>2193</v>
      </c>
      <c r="AX1815" s="4" t="s">
        <v>2356</v>
      </c>
      <c r="AY1815" s="4">
        <v>52.7</v>
      </c>
      <c r="AZ1815" s="4">
        <v>-120.9</v>
      </c>
      <c r="BA1815" s="4">
        <v>9</v>
      </c>
    </row>
    <row r="1816" spans="2:72" ht="14.25" customHeight="1" x14ac:dyDescent="0.2">
      <c r="B1816" s="4">
        <v>12</v>
      </c>
      <c r="C1816" s="4" t="s">
        <v>1711</v>
      </c>
      <c r="D1816" s="4">
        <v>713</v>
      </c>
      <c r="E1816" s="4">
        <v>2163</v>
      </c>
      <c r="F1816" s="211" t="s">
        <v>3558</v>
      </c>
      <c r="G1816" s="4" t="s">
        <v>3559</v>
      </c>
      <c r="H1816" s="4" t="s">
        <v>3560</v>
      </c>
      <c r="I1816" s="4" t="s">
        <v>641</v>
      </c>
      <c r="J1816" s="4" t="s">
        <v>1715</v>
      </c>
      <c r="K1816" s="4">
        <v>1</v>
      </c>
      <c r="L1816" s="4">
        <v>2566</v>
      </c>
      <c r="M1816" s="9"/>
      <c r="U1816"/>
      <c r="AO1816" s="4" t="s">
        <v>3558</v>
      </c>
      <c r="AP1816" s="4">
        <v>713</v>
      </c>
      <c r="AQ1816" s="4" t="s">
        <v>1716</v>
      </c>
      <c r="AR1816" s="4" t="s">
        <v>1717</v>
      </c>
      <c r="AS1816" s="4" t="s">
        <v>1718</v>
      </c>
      <c r="AT1816" s="4" t="s">
        <v>1703</v>
      </c>
      <c r="AU1816" s="4" t="s">
        <v>1703</v>
      </c>
      <c r="AV1816" s="4" t="s">
        <v>1720</v>
      </c>
      <c r="AW1816" s="4" t="s">
        <v>2368</v>
      </c>
      <c r="AX1816" s="4" t="s">
        <v>2258</v>
      </c>
      <c r="AY1816" s="4">
        <v>52.3</v>
      </c>
      <c r="AZ1816" s="4">
        <v>-119.1</v>
      </c>
      <c r="BA1816" s="4">
        <v>5</v>
      </c>
    </row>
    <row r="1817" spans="2:72" ht="14.25" customHeight="1" x14ac:dyDescent="0.2">
      <c r="B1817" s="4">
        <v>12</v>
      </c>
      <c r="C1817" s="4" t="s">
        <v>1711</v>
      </c>
      <c r="D1817" s="4">
        <v>715</v>
      </c>
      <c r="E1817" s="4">
        <v>2165</v>
      </c>
      <c r="F1817" s="16" t="s">
        <v>3564</v>
      </c>
      <c r="G1817" s="4" t="s">
        <v>3544</v>
      </c>
      <c r="H1817" s="4" t="s">
        <v>3565</v>
      </c>
      <c r="I1817" s="4" t="s">
        <v>1664</v>
      </c>
      <c r="J1817" s="4" t="s">
        <v>1746</v>
      </c>
      <c r="K1817" s="4">
        <v>1</v>
      </c>
      <c r="L1817" s="4">
        <v>2568</v>
      </c>
      <c r="M1817" s="9"/>
      <c r="U1817"/>
      <c r="AO1817" s="4" t="s">
        <v>3564</v>
      </c>
      <c r="AP1817" s="4">
        <v>715</v>
      </c>
      <c r="AQ1817" s="4" t="s">
        <v>1716</v>
      </c>
      <c r="AR1817" s="4" t="s">
        <v>1717</v>
      </c>
      <c r="AS1817" s="4" t="s">
        <v>1718</v>
      </c>
      <c r="AT1817" s="4" t="s">
        <v>1719</v>
      </c>
      <c r="AU1817" s="4" t="s">
        <v>1703</v>
      </c>
      <c r="AV1817" s="4" t="s">
        <v>1720</v>
      </c>
      <c r="AW1817" s="4" t="s">
        <v>2368</v>
      </c>
      <c r="AX1817" s="4" t="s">
        <v>2258</v>
      </c>
      <c r="AY1817" s="4">
        <v>52.1</v>
      </c>
      <c r="AZ1817" s="4">
        <v>-119.4</v>
      </c>
      <c r="BA1817" s="4">
        <v>10</v>
      </c>
    </row>
    <row r="1818" spans="2:72" ht="14.25" customHeight="1" x14ac:dyDescent="0.2">
      <c r="B1818" s="4">
        <v>12</v>
      </c>
      <c r="C1818" s="4" t="s">
        <v>1711</v>
      </c>
      <c r="D1818" s="4">
        <v>716</v>
      </c>
      <c r="E1818" s="4">
        <v>2166</v>
      </c>
      <c r="F1818" s="211" t="s">
        <v>3566</v>
      </c>
      <c r="G1818" s="4" t="s">
        <v>3567</v>
      </c>
      <c r="H1818" s="4" t="s">
        <v>3568</v>
      </c>
      <c r="I1818" s="4" t="s">
        <v>1664</v>
      </c>
      <c r="J1818" s="4" t="s">
        <v>1746</v>
      </c>
      <c r="K1818" s="4">
        <v>1</v>
      </c>
      <c r="L1818" s="4">
        <v>2569</v>
      </c>
      <c r="M1818" s="9"/>
      <c r="U1818"/>
      <c r="AO1818" s="4" t="s">
        <v>3566</v>
      </c>
      <c r="AP1818" s="4">
        <v>716</v>
      </c>
      <c r="AQ1818" s="4" t="s">
        <v>1716</v>
      </c>
      <c r="AR1818" s="4" t="s">
        <v>1717</v>
      </c>
      <c r="AS1818" s="4" t="s">
        <v>1718</v>
      </c>
      <c r="AT1818" s="4" t="s">
        <v>1719</v>
      </c>
      <c r="AU1818" s="4" t="s">
        <v>1703</v>
      </c>
      <c r="AV1818" s="4" t="s">
        <v>1720</v>
      </c>
      <c r="AW1818" s="4" t="s">
        <v>2368</v>
      </c>
      <c r="AX1818" s="4" t="s">
        <v>2707</v>
      </c>
      <c r="AY1818" s="4">
        <v>51.3</v>
      </c>
      <c r="AZ1818" s="4">
        <v>-119.1</v>
      </c>
      <c r="BA1818" s="4">
        <v>13</v>
      </c>
    </row>
    <row r="1819" spans="2:72" ht="14.25" customHeight="1" x14ac:dyDescent="0.2">
      <c r="B1819" s="4">
        <v>12</v>
      </c>
      <c r="C1819" s="4" t="s">
        <v>1711</v>
      </c>
      <c r="D1819" s="4">
        <v>719</v>
      </c>
      <c r="E1819" s="4">
        <v>2169</v>
      </c>
      <c r="F1819" s="16" t="s">
        <v>3575</v>
      </c>
      <c r="G1819" s="4" t="s">
        <v>3576</v>
      </c>
      <c r="H1819" s="4" t="s">
        <v>3577</v>
      </c>
      <c r="I1819" s="4" t="s">
        <v>1664</v>
      </c>
      <c r="J1819" s="4" t="s">
        <v>1715</v>
      </c>
      <c r="K1819" s="4">
        <v>1</v>
      </c>
      <c r="L1819" s="4">
        <v>2572</v>
      </c>
      <c r="M1819" s="9"/>
      <c r="U1819"/>
      <c r="AO1819" s="4" t="s">
        <v>3575</v>
      </c>
      <c r="AP1819" s="4">
        <v>719</v>
      </c>
      <c r="AQ1819" s="4" t="s">
        <v>1716</v>
      </c>
      <c r="AR1819" s="4" t="s">
        <v>1717</v>
      </c>
      <c r="AS1819" s="4" t="s">
        <v>1718</v>
      </c>
      <c r="AT1819" s="4" t="s">
        <v>1719</v>
      </c>
      <c r="AU1819" s="4" t="s">
        <v>1703</v>
      </c>
      <c r="AV1819" s="4" t="s">
        <v>1720</v>
      </c>
      <c r="AW1819" s="4" t="s">
        <v>1705</v>
      </c>
      <c r="AX1819" s="4" t="s">
        <v>1883</v>
      </c>
      <c r="AY1819" s="4">
        <v>49.8</v>
      </c>
      <c r="AZ1819" s="4">
        <v>-121.3</v>
      </c>
      <c r="BA1819" s="4">
        <v>11</v>
      </c>
    </row>
    <row r="1820" spans="2:72" ht="14.25" customHeight="1" x14ac:dyDescent="0.2">
      <c r="B1820" s="4">
        <v>12</v>
      </c>
      <c r="C1820" s="4" t="s">
        <v>1711</v>
      </c>
      <c r="D1820" s="4">
        <v>720</v>
      </c>
      <c r="E1820" s="4">
        <v>2170</v>
      </c>
      <c r="F1820" s="212" t="s">
        <v>3578</v>
      </c>
      <c r="G1820" s="196" t="s">
        <v>3579</v>
      </c>
      <c r="H1820" s="4" t="s">
        <v>3580</v>
      </c>
      <c r="I1820" s="4" t="s">
        <v>1664</v>
      </c>
      <c r="J1820" s="4" t="s">
        <v>1715</v>
      </c>
      <c r="K1820" s="4">
        <v>1</v>
      </c>
      <c r="L1820" s="4">
        <v>2573</v>
      </c>
      <c r="M1820" s="203"/>
      <c r="N1820" s="192"/>
      <c r="O1820" s="192"/>
      <c r="P1820" s="192"/>
      <c r="Q1820" s="192"/>
      <c r="R1820" s="192"/>
      <c r="S1820" s="192"/>
      <c r="T1820" s="192"/>
      <c r="U1820" s="182"/>
      <c r="V1820" s="182"/>
      <c r="W1820" s="182"/>
      <c r="X1820" s="182"/>
      <c r="Y1820" s="182"/>
      <c r="Z1820" s="182"/>
      <c r="AA1820" s="182"/>
      <c r="AB1820" s="182"/>
      <c r="AC1820" s="182"/>
      <c r="AD1820" s="182"/>
      <c r="AE1820" s="182"/>
      <c r="AF1820" s="182"/>
      <c r="AG1820" s="182"/>
      <c r="AH1820" s="182"/>
      <c r="AI1820" s="182"/>
      <c r="AJ1820" s="182"/>
      <c r="AK1820" s="182"/>
      <c r="AL1820" s="182"/>
      <c r="AM1820" s="182"/>
      <c r="AN1820" s="182"/>
      <c r="AO1820" s="196" t="s">
        <v>3578</v>
      </c>
      <c r="AP1820" s="196">
        <v>720</v>
      </c>
      <c r="AQ1820" s="196" t="s">
        <v>1716</v>
      </c>
      <c r="AR1820" s="196" t="s">
        <v>1717</v>
      </c>
      <c r="AS1820" s="196" t="s">
        <v>1718</v>
      </c>
      <c r="AT1820" s="196" t="s">
        <v>1719</v>
      </c>
      <c r="AU1820" s="196" t="s">
        <v>1703</v>
      </c>
      <c r="AV1820" s="196" t="s">
        <v>1720</v>
      </c>
      <c r="AW1820" s="196" t="s">
        <v>1705</v>
      </c>
      <c r="AX1820" s="196" t="s">
        <v>1883</v>
      </c>
      <c r="AY1820" s="196">
        <v>49.7</v>
      </c>
      <c r="AZ1820" s="196">
        <v>-121.5</v>
      </c>
      <c r="BA1820" s="196">
        <v>10</v>
      </c>
      <c r="BB1820" s="182"/>
      <c r="BC1820" s="182"/>
      <c r="BD1820" s="182"/>
      <c r="BE1820" s="182"/>
      <c r="BF1820" s="182"/>
      <c r="BG1820" s="182"/>
      <c r="BH1820" s="182"/>
      <c r="BI1820" s="182"/>
      <c r="BJ1820" s="182"/>
      <c r="BK1820" s="182"/>
      <c r="BL1820" s="182"/>
      <c r="BM1820" s="182"/>
      <c r="BN1820" s="182"/>
      <c r="BO1820" s="182"/>
      <c r="BP1820" s="182"/>
      <c r="BQ1820" s="182"/>
      <c r="BR1820" s="182"/>
      <c r="BS1820" s="182"/>
      <c r="BT1820" s="182"/>
    </row>
    <row r="1821" spans="2:72" ht="14.25" customHeight="1" x14ac:dyDescent="0.2">
      <c r="B1821" s="4">
        <v>12</v>
      </c>
      <c r="C1821" s="4" t="s">
        <v>1711</v>
      </c>
      <c r="D1821" s="4">
        <v>724</v>
      </c>
      <c r="E1821" s="4">
        <v>2173</v>
      </c>
      <c r="F1821" s="16" t="s">
        <v>3587</v>
      </c>
      <c r="G1821" s="188" t="s">
        <v>3588</v>
      </c>
      <c r="H1821" s="4" t="s">
        <v>3589</v>
      </c>
      <c r="I1821" s="4" t="s">
        <v>641</v>
      </c>
      <c r="J1821" s="4" t="s">
        <v>1746</v>
      </c>
      <c r="K1821" s="4">
        <v>1</v>
      </c>
      <c r="L1821" s="4">
        <v>2576</v>
      </c>
      <c r="M1821" s="9"/>
      <c r="U1821"/>
      <c r="AO1821" s="4" t="s">
        <v>3587</v>
      </c>
      <c r="AP1821" s="4">
        <v>724</v>
      </c>
      <c r="AQ1821" s="4" t="s">
        <v>1716</v>
      </c>
      <c r="AR1821" s="4" t="s">
        <v>1717</v>
      </c>
      <c r="AS1821" s="4" t="s">
        <v>1718</v>
      </c>
      <c r="AT1821" s="4" t="s">
        <v>1719</v>
      </c>
      <c r="AU1821" s="4" t="s">
        <v>1959</v>
      </c>
      <c r="AV1821" s="4" t="s">
        <v>1720</v>
      </c>
      <c r="AW1821" s="4" t="s">
        <v>2368</v>
      </c>
      <c r="AX1821" s="4" t="s">
        <v>2369</v>
      </c>
      <c r="AY1821" s="4">
        <v>50.46</v>
      </c>
      <c r="AZ1821" s="4">
        <v>-120.38</v>
      </c>
      <c r="BA1821" s="4">
        <v>443</v>
      </c>
    </row>
    <row r="1822" spans="2:72" ht="14.25" customHeight="1" x14ac:dyDescent="0.2">
      <c r="B1822" s="4">
        <v>12</v>
      </c>
      <c r="C1822" s="4" t="s">
        <v>1711</v>
      </c>
      <c r="D1822" s="4">
        <v>725</v>
      </c>
      <c r="E1822" s="4">
        <v>2174</v>
      </c>
      <c r="F1822" s="16" t="s">
        <v>3590</v>
      </c>
      <c r="G1822" s="4" t="s">
        <v>3591</v>
      </c>
      <c r="H1822" s="4" t="s">
        <v>3592</v>
      </c>
      <c r="I1822" s="4" t="s">
        <v>641</v>
      </c>
      <c r="J1822" s="4" t="s">
        <v>1746</v>
      </c>
      <c r="K1822" s="4">
        <v>1</v>
      </c>
      <c r="L1822" s="4">
        <v>2577</v>
      </c>
      <c r="M1822" s="9"/>
      <c r="U1822"/>
      <c r="X1822" s="192"/>
      <c r="Y1822" s="192"/>
      <c r="Z1822" s="192"/>
      <c r="AA1822" s="192"/>
      <c r="AB1822" s="192"/>
      <c r="AC1822" s="192"/>
      <c r="AD1822" s="192"/>
      <c r="AE1822" s="192"/>
      <c r="AF1822" s="192"/>
      <c r="AG1822" s="192"/>
      <c r="AH1822" s="192"/>
      <c r="AI1822" s="192"/>
      <c r="AJ1822" s="192"/>
      <c r="AK1822" s="192"/>
      <c r="AL1822" s="192"/>
      <c r="AM1822" s="192"/>
      <c r="AN1822" s="192"/>
      <c r="AO1822" s="188" t="s">
        <v>3590</v>
      </c>
      <c r="AP1822" s="188">
        <v>725</v>
      </c>
      <c r="AQ1822" s="188" t="s">
        <v>1716</v>
      </c>
      <c r="AR1822" s="188" t="s">
        <v>1717</v>
      </c>
      <c r="AS1822" s="188" t="s">
        <v>1718</v>
      </c>
      <c r="AT1822" s="188" t="s">
        <v>1719</v>
      </c>
      <c r="AU1822" s="188" t="s">
        <v>1959</v>
      </c>
      <c r="AV1822" s="188" t="s">
        <v>1720</v>
      </c>
      <c r="AW1822" s="188" t="s">
        <v>1705</v>
      </c>
      <c r="AX1822" s="188" t="s">
        <v>1879</v>
      </c>
      <c r="AY1822" s="188">
        <v>50.196599999999997</v>
      </c>
      <c r="AZ1822" s="188">
        <v>-122.345</v>
      </c>
      <c r="BA1822" s="188">
        <v>950</v>
      </c>
      <c r="BB1822" s="192"/>
      <c r="BC1822" s="192"/>
      <c r="BD1822" s="192"/>
      <c r="BE1822" s="192"/>
      <c r="BF1822" s="192"/>
      <c r="BG1822" s="192"/>
      <c r="BH1822" s="192"/>
      <c r="BI1822" s="192"/>
      <c r="BJ1822" s="192"/>
      <c r="BK1822" s="192"/>
      <c r="BL1822" s="192"/>
      <c r="BM1822" s="192"/>
      <c r="BN1822" s="192"/>
      <c r="BO1822" s="192"/>
      <c r="BP1822" s="192"/>
      <c r="BQ1822" s="192"/>
      <c r="BR1822" s="192"/>
      <c r="BS1822" s="192"/>
      <c r="BT1822" s="192"/>
    </row>
    <row r="1823" spans="2:72" ht="14.25" customHeight="1" x14ac:dyDescent="0.2">
      <c r="B1823" s="4">
        <v>12</v>
      </c>
      <c r="C1823" s="4" t="s">
        <v>1711</v>
      </c>
      <c r="D1823" s="4">
        <v>728</v>
      </c>
      <c r="E1823" s="4">
        <v>2176</v>
      </c>
      <c r="F1823" s="212" t="s">
        <v>3596</v>
      </c>
      <c r="G1823" s="4" t="s">
        <v>3597</v>
      </c>
      <c r="H1823" s="4" t="s">
        <v>3598</v>
      </c>
      <c r="I1823" s="4" t="s">
        <v>1664</v>
      </c>
      <c r="J1823" s="4" t="s">
        <v>1715</v>
      </c>
      <c r="K1823" s="4">
        <v>1</v>
      </c>
      <c r="L1823" s="4">
        <v>2579</v>
      </c>
      <c r="M1823" s="27"/>
      <c r="N1823" s="182"/>
      <c r="O1823" s="182"/>
      <c r="P1823" s="182"/>
      <c r="Q1823" s="182"/>
      <c r="R1823" s="182"/>
      <c r="S1823" s="182"/>
      <c r="T1823" s="182"/>
      <c r="U1823" s="182"/>
      <c r="V1823" s="182"/>
      <c r="W1823" s="182"/>
      <c r="X1823" s="182"/>
      <c r="Y1823" s="182"/>
      <c r="Z1823" s="182"/>
      <c r="AA1823" s="182"/>
      <c r="AB1823" s="182"/>
      <c r="AC1823" s="182"/>
      <c r="AD1823" s="182"/>
      <c r="AE1823" s="182"/>
      <c r="AF1823" s="182"/>
      <c r="AG1823" s="182"/>
      <c r="AH1823" s="182"/>
      <c r="AI1823" s="182"/>
      <c r="AJ1823" s="182"/>
      <c r="AK1823" s="182"/>
      <c r="AL1823" s="182"/>
      <c r="AM1823" s="182"/>
      <c r="AN1823" s="182"/>
      <c r="AO1823" s="196" t="s">
        <v>3596</v>
      </c>
      <c r="AP1823" s="196">
        <v>728</v>
      </c>
      <c r="AQ1823" s="196" t="s">
        <v>1716</v>
      </c>
      <c r="AR1823" s="196" t="s">
        <v>1717</v>
      </c>
      <c r="AS1823" s="196" t="s">
        <v>1718</v>
      </c>
      <c r="AT1823" s="196" t="s">
        <v>1719</v>
      </c>
      <c r="AU1823" s="196" t="s">
        <v>1703</v>
      </c>
      <c r="AV1823" s="196" t="s">
        <v>1720</v>
      </c>
      <c r="AW1823" s="196" t="s">
        <v>2368</v>
      </c>
      <c r="AX1823" s="196" t="s">
        <v>2505</v>
      </c>
      <c r="AY1823" s="196">
        <v>50.3</v>
      </c>
      <c r="AZ1823" s="196">
        <v>-122.3</v>
      </c>
      <c r="BA1823" s="196">
        <v>4</v>
      </c>
      <c r="BB1823" s="182"/>
      <c r="BC1823" s="182"/>
      <c r="BD1823" s="182"/>
      <c r="BE1823" s="182"/>
      <c r="BF1823" s="182"/>
      <c r="BG1823" s="182"/>
      <c r="BH1823" s="182"/>
      <c r="BI1823" s="182"/>
      <c r="BJ1823" s="182"/>
      <c r="BK1823" s="182"/>
      <c r="BL1823" s="182"/>
      <c r="BM1823" s="182"/>
      <c r="BN1823" s="182"/>
      <c r="BO1823" s="182"/>
      <c r="BP1823" s="182"/>
      <c r="BQ1823" s="182"/>
      <c r="BR1823" s="182"/>
      <c r="BS1823" s="182"/>
      <c r="BT1823" s="182"/>
    </row>
    <row r="1824" spans="2:72" ht="14.25" customHeight="1" x14ac:dyDescent="0.2">
      <c r="B1824" s="4">
        <v>12</v>
      </c>
      <c r="C1824" s="4" t="s">
        <v>1711</v>
      </c>
      <c r="D1824" s="4">
        <v>729</v>
      </c>
      <c r="E1824" s="4">
        <v>2177</v>
      </c>
      <c r="F1824" s="211" t="s">
        <v>3599</v>
      </c>
      <c r="G1824" s="4" t="s">
        <v>3600</v>
      </c>
      <c r="H1824" s="4" t="s">
        <v>3601</v>
      </c>
      <c r="I1824" s="4" t="s">
        <v>1664</v>
      </c>
      <c r="J1824" s="4" t="s">
        <v>1715</v>
      </c>
      <c r="K1824" s="4">
        <v>1</v>
      </c>
      <c r="L1824" s="4">
        <v>2580</v>
      </c>
      <c r="M1824" s="203"/>
      <c r="N1824" s="192"/>
      <c r="O1824" s="192"/>
      <c r="P1824" s="192"/>
      <c r="Q1824" s="192"/>
      <c r="R1824" s="192"/>
      <c r="S1824" s="192"/>
      <c r="T1824" s="192"/>
      <c r="U1824" s="192"/>
      <c r="V1824" s="192"/>
      <c r="W1824" s="192"/>
      <c r="X1824" s="192"/>
      <c r="Y1824" s="192"/>
      <c r="Z1824" s="192"/>
      <c r="AA1824" s="192"/>
      <c r="AB1824" s="192"/>
      <c r="AC1824" s="192"/>
      <c r="AD1824" s="192"/>
      <c r="AE1824" s="192"/>
      <c r="AF1824" s="192"/>
      <c r="AG1824" s="192"/>
      <c r="AH1824" s="192"/>
      <c r="AI1824" s="192"/>
      <c r="AJ1824" s="192"/>
      <c r="AK1824" s="192"/>
      <c r="AL1824" s="192"/>
      <c r="AM1824" s="192"/>
      <c r="AN1824" s="192"/>
      <c r="AO1824" s="188" t="s">
        <v>3599</v>
      </c>
      <c r="AP1824" s="188">
        <v>729</v>
      </c>
      <c r="AQ1824" s="188" t="s">
        <v>1716</v>
      </c>
      <c r="AR1824" s="188" t="s">
        <v>1717</v>
      </c>
      <c r="AS1824" s="188" t="s">
        <v>1718</v>
      </c>
      <c r="AT1824" s="188" t="s">
        <v>1719</v>
      </c>
      <c r="AU1824" s="188" t="s">
        <v>1703</v>
      </c>
      <c r="AV1824" s="188" t="s">
        <v>1720</v>
      </c>
      <c r="AW1824" s="188" t="s">
        <v>2368</v>
      </c>
      <c r="AX1824" s="188" t="s">
        <v>2492</v>
      </c>
      <c r="AY1824" s="188">
        <v>50</v>
      </c>
      <c r="AZ1824" s="188">
        <v>-121</v>
      </c>
      <c r="BA1824" s="188">
        <v>13</v>
      </c>
      <c r="BB1824" s="192"/>
      <c r="BC1824" s="192"/>
      <c r="BD1824" s="192"/>
      <c r="BE1824" s="192"/>
      <c r="BF1824" s="192"/>
      <c r="BG1824" s="192"/>
      <c r="BH1824" s="192"/>
      <c r="BI1824" s="192"/>
      <c r="BJ1824" s="192"/>
      <c r="BK1824" s="192"/>
      <c r="BL1824" s="192"/>
      <c r="BM1824" s="192"/>
      <c r="BN1824" s="192"/>
      <c r="BO1824" s="192"/>
      <c r="BP1824" s="192"/>
      <c r="BQ1824" s="192"/>
      <c r="BR1824" s="192"/>
      <c r="BS1824" s="192"/>
      <c r="BT1824" s="192"/>
    </row>
    <row r="1825" spans="2:72" ht="14.25" customHeight="1" x14ac:dyDescent="0.2">
      <c r="B1825" s="4">
        <v>12</v>
      </c>
      <c r="C1825" s="4" t="s">
        <v>1711</v>
      </c>
      <c r="D1825" s="4">
        <v>735</v>
      </c>
      <c r="E1825" s="4">
        <v>2183</v>
      </c>
      <c r="F1825" s="16" t="s">
        <v>3616</v>
      </c>
      <c r="G1825" s="4" t="s">
        <v>3617</v>
      </c>
      <c r="H1825" s="4" t="s">
        <v>3618</v>
      </c>
      <c r="I1825" s="4" t="s">
        <v>1664</v>
      </c>
      <c r="J1825" s="4" t="s">
        <v>1746</v>
      </c>
      <c r="K1825" s="4">
        <v>1</v>
      </c>
      <c r="L1825" s="4">
        <v>2586</v>
      </c>
      <c r="M1825" s="34"/>
      <c r="N1825" s="231"/>
      <c r="O1825" s="240"/>
      <c r="R1825" s="231"/>
      <c r="U1825" s="192"/>
      <c r="V1825" s="192"/>
      <c r="W1825" s="192"/>
      <c r="X1825" s="192"/>
      <c r="Y1825" s="192"/>
      <c r="Z1825" s="192"/>
      <c r="AA1825" s="192"/>
      <c r="AB1825" s="192"/>
      <c r="AC1825" s="192"/>
      <c r="AD1825" s="192"/>
      <c r="AE1825" s="192"/>
      <c r="AF1825" s="192"/>
      <c r="AG1825" s="192"/>
      <c r="AH1825" s="192"/>
      <c r="AI1825" s="192"/>
      <c r="AJ1825" s="192"/>
      <c r="AK1825" s="203"/>
      <c r="AL1825" s="192"/>
      <c r="AM1825" s="192"/>
      <c r="AN1825" s="192"/>
      <c r="AO1825" s="188" t="s">
        <v>3616</v>
      </c>
      <c r="AP1825" s="188">
        <v>735</v>
      </c>
      <c r="AQ1825" s="188" t="s">
        <v>1716</v>
      </c>
      <c r="AR1825" s="188" t="s">
        <v>1717</v>
      </c>
      <c r="AS1825" s="188" t="s">
        <v>1718</v>
      </c>
      <c r="AT1825" s="188" t="s">
        <v>1719</v>
      </c>
      <c r="AU1825" s="188" t="s">
        <v>1703</v>
      </c>
      <c r="AV1825" s="188" t="s">
        <v>1720</v>
      </c>
      <c r="AW1825" s="188" t="s">
        <v>2368</v>
      </c>
      <c r="AX1825" s="188" t="s">
        <v>2505</v>
      </c>
      <c r="AY1825" s="188">
        <v>50.4</v>
      </c>
      <c r="AZ1825" s="188">
        <v>-122.4</v>
      </c>
      <c r="BA1825" s="188">
        <v>16</v>
      </c>
      <c r="BB1825" s="192"/>
      <c r="BC1825" s="192"/>
      <c r="BD1825" s="192"/>
      <c r="BE1825" s="192"/>
      <c r="BF1825" s="192"/>
      <c r="BG1825" s="192"/>
      <c r="BH1825" s="192"/>
      <c r="BI1825" s="192"/>
      <c r="BJ1825" s="192"/>
      <c r="BK1825" s="192"/>
      <c r="BL1825" s="192"/>
      <c r="BM1825" s="192"/>
      <c r="BN1825" s="192"/>
      <c r="BO1825" s="192"/>
      <c r="BP1825" s="192"/>
      <c r="BQ1825" s="192"/>
      <c r="BR1825" s="192"/>
      <c r="BS1825" s="192"/>
      <c r="BT1825" s="192"/>
    </row>
    <row r="1826" spans="2:72" ht="14.25" customHeight="1" x14ac:dyDescent="0.2">
      <c r="B1826" s="4">
        <v>12</v>
      </c>
      <c r="C1826" s="4" t="s">
        <v>1711</v>
      </c>
      <c r="D1826" s="4">
        <v>736</v>
      </c>
      <c r="E1826" s="4">
        <v>2184</v>
      </c>
      <c r="F1826" s="212" t="s">
        <v>3619</v>
      </c>
      <c r="G1826" s="4" t="s">
        <v>3620</v>
      </c>
      <c r="H1826" s="4" t="s">
        <v>3621</v>
      </c>
      <c r="I1826" s="4" t="s">
        <v>1664</v>
      </c>
      <c r="J1826" s="4" t="s">
        <v>1746</v>
      </c>
      <c r="K1826" s="4">
        <v>1</v>
      </c>
      <c r="L1826" s="4">
        <v>2587</v>
      </c>
      <c r="M1826" s="27"/>
      <c r="N1826" s="182"/>
      <c r="O1826" s="182"/>
      <c r="P1826" s="182"/>
      <c r="Q1826" s="182"/>
      <c r="R1826" s="182"/>
      <c r="S1826" s="182"/>
      <c r="T1826" s="182"/>
      <c r="U1826" s="182"/>
      <c r="V1826" s="182"/>
      <c r="W1826" s="182"/>
      <c r="X1826" s="182"/>
      <c r="Y1826" s="182"/>
      <c r="Z1826" s="182"/>
      <c r="AA1826" s="182"/>
      <c r="AB1826" s="182"/>
      <c r="AC1826" s="182"/>
      <c r="AD1826" s="182"/>
      <c r="AE1826" s="182"/>
      <c r="AF1826" s="182"/>
      <c r="AG1826" s="182"/>
      <c r="AH1826" s="182"/>
      <c r="AI1826" s="182"/>
      <c r="AJ1826" s="182"/>
      <c r="AK1826" s="27"/>
      <c r="AL1826" s="182"/>
      <c r="AM1826" s="182"/>
      <c r="AN1826" s="182"/>
      <c r="AO1826" s="196" t="s">
        <v>3619</v>
      </c>
      <c r="AP1826" s="196">
        <v>736</v>
      </c>
      <c r="AQ1826" s="196" t="s">
        <v>1716</v>
      </c>
      <c r="AR1826" s="196" t="s">
        <v>1717</v>
      </c>
      <c r="AS1826" s="196" t="s">
        <v>1718</v>
      </c>
      <c r="AT1826" s="196" t="s">
        <v>1719</v>
      </c>
      <c r="AU1826" s="196" t="s">
        <v>1703</v>
      </c>
      <c r="AV1826" s="196" t="s">
        <v>1720</v>
      </c>
      <c r="AW1826" s="196" t="s">
        <v>2368</v>
      </c>
      <c r="AX1826" s="196" t="s">
        <v>2505</v>
      </c>
      <c r="AY1826" s="196">
        <v>50.6</v>
      </c>
      <c r="AZ1826" s="196">
        <v>-122.2</v>
      </c>
      <c r="BA1826" s="196">
        <v>12</v>
      </c>
      <c r="BB1826" s="182"/>
      <c r="BC1826" s="182"/>
      <c r="BD1826" s="182"/>
      <c r="BE1826" s="182"/>
      <c r="BF1826" s="182"/>
      <c r="BG1826" s="182"/>
      <c r="BH1826" s="182"/>
      <c r="BI1826" s="182"/>
      <c r="BJ1826" s="182"/>
      <c r="BK1826" s="182"/>
      <c r="BL1826" s="182"/>
      <c r="BM1826" s="182"/>
      <c r="BN1826" s="182"/>
      <c r="BO1826" s="182"/>
      <c r="BP1826" s="182"/>
      <c r="BQ1826" s="182"/>
      <c r="BR1826" s="182"/>
      <c r="BS1826" s="182"/>
      <c r="BT1826" s="182"/>
    </row>
    <row r="1827" spans="2:72" ht="14.25" customHeight="1" x14ac:dyDescent="0.2">
      <c r="B1827" s="4">
        <v>12</v>
      </c>
      <c r="C1827" s="4" t="s">
        <v>1711</v>
      </c>
      <c r="D1827" s="4">
        <v>738</v>
      </c>
      <c r="E1827" s="4">
        <v>2186</v>
      </c>
      <c r="F1827" s="211" t="s">
        <v>3625</v>
      </c>
      <c r="G1827" s="4" t="s">
        <v>3626</v>
      </c>
      <c r="H1827" s="4" t="s">
        <v>3627</v>
      </c>
      <c r="I1827" s="4" t="s">
        <v>1664</v>
      </c>
      <c r="J1827" s="4" t="s">
        <v>1715</v>
      </c>
      <c r="K1827" s="4">
        <v>1</v>
      </c>
      <c r="L1827" s="4">
        <v>2589</v>
      </c>
      <c r="M1827" s="34"/>
      <c r="N1827" s="231"/>
      <c r="O1827" s="240"/>
      <c r="R1827" s="231"/>
      <c r="U1827"/>
      <c r="AK1827" s="9"/>
      <c r="AO1827" s="4" t="s">
        <v>3625</v>
      </c>
      <c r="AP1827" s="4">
        <v>738</v>
      </c>
      <c r="AQ1827" s="4" t="s">
        <v>1716</v>
      </c>
      <c r="AR1827" s="4" t="s">
        <v>1717</v>
      </c>
      <c r="AS1827" s="4" t="s">
        <v>1718</v>
      </c>
      <c r="AT1827" s="4" t="s">
        <v>1719</v>
      </c>
      <c r="AU1827" s="4" t="s">
        <v>1703</v>
      </c>
      <c r="AV1827" s="4" t="s">
        <v>1720</v>
      </c>
      <c r="AW1827" s="4" t="s">
        <v>2368</v>
      </c>
      <c r="AX1827" s="4" t="s">
        <v>2516</v>
      </c>
      <c r="AY1827" s="4">
        <v>49.3</v>
      </c>
      <c r="AZ1827" s="4">
        <v>-119.3</v>
      </c>
      <c r="BA1827" s="4">
        <v>18</v>
      </c>
    </row>
    <row r="1828" spans="2:72" ht="14.25" customHeight="1" x14ac:dyDescent="0.2">
      <c r="B1828" s="4">
        <v>12</v>
      </c>
      <c r="C1828" s="4" t="s">
        <v>1711</v>
      </c>
      <c r="D1828" s="4">
        <v>745</v>
      </c>
      <c r="E1828" s="4">
        <v>2193</v>
      </c>
      <c r="F1828" s="212" t="s">
        <v>3645</v>
      </c>
      <c r="G1828" s="4" t="s">
        <v>3646</v>
      </c>
      <c r="H1828" s="4" t="s">
        <v>3647</v>
      </c>
      <c r="I1828" s="4" t="s">
        <v>641</v>
      </c>
      <c r="J1828" s="4" t="s">
        <v>1715</v>
      </c>
      <c r="K1828" s="4">
        <v>1</v>
      </c>
      <c r="L1828" s="4">
        <v>2596</v>
      </c>
      <c r="M1828" s="27"/>
      <c r="N1828" s="182"/>
      <c r="O1828" s="182"/>
      <c r="P1828" s="182"/>
      <c r="Q1828" s="182"/>
      <c r="R1828" s="182"/>
      <c r="S1828" s="182"/>
      <c r="T1828" s="182"/>
      <c r="U1828" s="182"/>
      <c r="V1828" s="182"/>
      <c r="W1828" s="182"/>
      <c r="X1828" s="182"/>
      <c r="Y1828" s="182"/>
      <c r="Z1828" s="182"/>
      <c r="AA1828" s="182"/>
      <c r="AB1828" s="182"/>
      <c r="AC1828" s="182"/>
      <c r="AD1828" s="182"/>
      <c r="AE1828" s="182"/>
      <c r="AF1828" s="182"/>
      <c r="AG1828" s="182"/>
      <c r="AH1828" s="182"/>
      <c r="AI1828" s="182"/>
      <c r="AJ1828" s="182"/>
      <c r="AK1828" s="27"/>
      <c r="AL1828" s="182"/>
      <c r="AM1828" s="182"/>
      <c r="AN1828" s="182"/>
      <c r="AO1828" s="196" t="s">
        <v>3645</v>
      </c>
      <c r="AP1828" s="196">
        <v>745</v>
      </c>
      <c r="AQ1828" s="196" t="s">
        <v>1716</v>
      </c>
      <c r="AR1828" s="196" t="s">
        <v>1717</v>
      </c>
      <c r="AS1828" s="196" t="s">
        <v>1718</v>
      </c>
      <c r="AT1828" s="196" t="s">
        <v>1719</v>
      </c>
      <c r="AU1828" s="196" t="s">
        <v>1703</v>
      </c>
      <c r="AV1828" s="196" t="s">
        <v>1720</v>
      </c>
      <c r="AW1828" s="196" t="s">
        <v>2368</v>
      </c>
      <c r="AX1828" s="196" t="s">
        <v>2516</v>
      </c>
      <c r="AY1828" s="196">
        <v>49.966999999999999</v>
      </c>
      <c r="AZ1828" s="196">
        <v>-119.717</v>
      </c>
      <c r="BA1828" s="196">
        <v>1100</v>
      </c>
      <c r="BB1828" s="182"/>
      <c r="BC1828" s="182"/>
      <c r="BD1828" s="182"/>
      <c r="BE1828" s="182"/>
      <c r="BF1828" s="182"/>
      <c r="BG1828" s="182"/>
      <c r="BH1828" s="182"/>
      <c r="BI1828" s="182"/>
      <c r="BJ1828" s="182"/>
      <c r="BK1828" s="182"/>
      <c r="BL1828" s="182"/>
      <c r="BM1828" s="182"/>
      <c r="BN1828" s="182"/>
      <c r="BO1828" s="182"/>
      <c r="BP1828" s="182"/>
      <c r="BQ1828" s="182"/>
      <c r="BR1828" s="182"/>
      <c r="BS1828" s="182"/>
      <c r="BT1828" s="182"/>
    </row>
    <row r="1829" spans="2:72" ht="14.25" customHeight="1" x14ac:dyDescent="0.2">
      <c r="B1829" s="4">
        <v>12</v>
      </c>
      <c r="C1829" s="4" t="s">
        <v>1711</v>
      </c>
      <c r="D1829" s="4">
        <v>748</v>
      </c>
      <c r="E1829" s="4">
        <v>2196</v>
      </c>
      <c r="F1829" s="211" t="s">
        <v>3654</v>
      </c>
      <c r="G1829" s="4" t="s">
        <v>3655</v>
      </c>
      <c r="H1829" s="4" t="s">
        <v>3656</v>
      </c>
      <c r="I1829" s="4" t="s">
        <v>1664</v>
      </c>
      <c r="J1829" s="4" t="s">
        <v>1715</v>
      </c>
      <c r="K1829" s="4">
        <v>1</v>
      </c>
      <c r="L1829" s="4">
        <v>2599</v>
      </c>
      <c r="M1829" s="27"/>
      <c r="N1829" s="182"/>
      <c r="O1829" s="182"/>
      <c r="P1829" s="182"/>
      <c r="Q1829" s="182"/>
      <c r="R1829" s="182"/>
      <c r="S1829" s="182"/>
      <c r="T1829" s="182"/>
      <c r="U1829" s="182"/>
      <c r="V1829" s="182"/>
      <c r="W1829" s="182"/>
      <c r="X1829" s="182"/>
      <c r="Y1829" s="182"/>
      <c r="Z1829" s="182"/>
      <c r="AA1829" s="182"/>
      <c r="AB1829" s="182"/>
      <c r="AC1829" s="182"/>
      <c r="AD1829" s="182"/>
      <c r="AE1829" s="182"/>
      <c r="AF1829" s="182"/>
      <c r="AG1829" s="182"/>
      <c r="AH1829" s="182"/>
      <c r="AI1829" s="182"/>
      <c r="AJ1829" s="182"/>
      <c r="AK1829" s="27"/>
      <c r="AL1829" s="182"/>
      <c r="AM1829" s="182"/>
      <c r="AN1829" s="182"/>
      <c r="AO1829" s="196" t="s">
        <v>3654</v>
      </c>
      <c r="AP1829" s="196">
        <v>748</v>
      </c>
      <c r="AQ1829" s="196" t="s">
        <v>1716</v>
      </c>
      <c r="AR1829" s="196" t="s">
        <v>1717</v>
      </c>
      <c r="AS1829" s="196" t="s">
        <v>1718</v>
      </c>
      <c r="AT1829" s="196" t="s">
        <v>1719</v>
      </c>
      <c r="AU1829" s="196" t="s">
        <v>1703</v>
      </c>
      <c r="AV1829" s="196" t="s">
        <v>1720</v>
      </c>
      <c r="AW1829" s="196" t="s">
        <v>2368</v>
      </c>
      <c r="AX1829" s="196" t="s">
        <v>2401</v>
      </c>
      <c r="AY1829" s="196">
        <v>52</v>
      </c>
      <c r="AZ1829" s="196">
        <v>-119</v>
      </c>
      <c r="BA1829" s="196">
        <v>5</v>
      </c>
      <c r="BB1829" s="182"/>
      <c r="BC1829" s="182"/>
      <c r="BD1829" s="182"/>
      <c r="BE1829" s="182"/>
      <c r="BF1829" s="182"/>
      <c r="BG1829" s="182"/>
      <c r="BH1829" s="182"/>
      <c r="BI1829" s="182"/>
      <c r="BJ1829" s="182"/>
      <c r="BK1829" s="182"/>
      <c r="BL1829" s="182"/>
      <c r="BM1829" s="182"/>
      <c r="BN1829" s="182"/>
      <c r="BO1829" s="182"/>
      <c r="BP1829" s="182"/>
      <c r="BQ1829" s="182"/>
      <c r="BR1829" s="182"/>
      <c r="BS1829" s="182"/>
      <c r="BT1829" s="182"/>
    </row>
    <row r="1830" spans="2:72" ht="14.25" customHeight="1" x14ac:dyDescent="0.2">
      <c r="B1830" s="4">
        <v>12</v>
      </c>
      <c r="C1830" s="4" t="s">
        <v>1711</v>
      </c>
      <c r="D1830" s="4">
        <v>749</v>
      </c>
      <c r="E1830" s="4">
        <v>2197</v>
      </c>
      <c r="F1830" s="16" t="s">
        <v>3657</v>
      </c>
      <c r="G1830" s="4" t="s">
        <v>3658</v>
      </c>
      <c r="H1830" s="4" t="s">
        <v>3308</v>
      </c>
      <c r="I1830" s="4" t="s">
        <v>1664</v>
      </c>
      <c r="J1830" s="4" t="s">
        <v>1715</v>
      </c>
      <c r="K1830" s="4">
        <v>1</v>
      </c>
      <c r="L1830" s="4">
        <v>2600</v>
      </c>
      <c r="M1830" s="228"/>
      <c r="N1830" s="235"/>
      <c r="O1830" s="239"/>
      <c r="P1830" s="192"/>
      <c r="Q1830" s="192"/>
      <c r="R1830" s="235"/>
      <c r="U1830"/>
      <c r="W1830" s="192"/>
      <c r="X1830" s="192"/>
      <c r="Y1830" s="192"/>
      <c r="Z1830" s="192"/>
      <c r="AA1830" s="192"/>
      <c r="AB1830" s="192"/>
      <c r="AC1830" s="192"/>
      <c r="AD1830" s="192"/>
      <c r="AE1830" s="192"/>
      <c r="AF1830" s="192"/>
      <c r="AG1830" s="192"/>
      <c r="AH1830" s="192"/>
      <c r="AI1830" s="192"/>
      <c r="AJ1830" s="192"/>
      <c r="AK1830" s="203"/>
      <c r="AL1830" s="192"/>
      <c r="AM1830" s="192"/>
      <c r="AN1830" s="192"/>
      <c r="AO1830" s="188" t="s">
        <v>3657</v>
      </c>
      <c r="AP1830" s="188">
        <v>749</v>
      </c>
      <c r="AQ1830" s="188" t="s">
        <v>1716</v>
      </c>
      <c r="AR1830" s="188" t="s">
        <v>1717</v>
      </c>
      <c r="AS1830" s="188" t="s">
        <v>1718</v>
      </c>
      <c r="AT1830" s="188" t="s">
        <v>1719</v>
      </c>
      <c r="AU1830" s="188" t="s">
        <v>1703</v>
      </c>
      <c r="AV1830" s="188" t="s">
        <v>1720</v>
      </c>
      <c r="AW1830" s="188" t="s">
        <v>2368</v>
      </c>
      <c r="AX1830" s="188" t="s">
        <v>2401</v>
      </c>
      <c r="AY1830" s="188">
        <v>52</v>
      </c>
      <c r="AZ1830" s="188">
        <v>-119.1</v>
      </c>
      <c r="BA1830" s="188">
        <v>12</v>
      </c>
      <c r="BB1830" s="192"/>
      <c r="BC1830" s="192"/>
      <c r="BD1830" s="192"/>
      <c r="BE1830" s="192"/>
      <c r="BF1830" s="192"/>
      <c r="BG1830" s="192"/>
      <c r="BH1830" s="192"/>
      <c r="BI1830" s="192"/>
      <c r="BJ1830" s="192"/>
      <c r="BK1830" s="192"/>
      <c r="BL1830" s="192"/>
      <c r="BM1830" s="192"/>
      <c r="BN1830" s="192"/>
      <c r="BO1830" s="192"/>
      <c r="BP1830" s="192"/>
      <c r="BQ1830" s="192"/>
      <c r="BR1830" s="192"/>
      <c r="BS1830" s="192"/>
      <c r="BT1830" s="192"/>
    </row>
    <row r="1831" spans="2:72" ht="14.25" customHeight="1" x14ac:dyDescent="0.2">
      <c r="B1831" s="4">
        <v>12</v>
      </c>
      <c r="C1831" s="4" t="s">
        <v>1711</v>
      </c>
      <c r="D1831" s="4">
        <v>755</v>
      </c>
      <c r="E1831" s="4">
        <v>2203</v>
      </c>
      <c r="F1831" s="212" t="s">
        <v>3672</v>
      </c>
      <c r="G1831" s="4" t="s">
        <v>3673</v>
      </c>
      <c r="H1831" s="4" t="s">
        <v>3279</v>
      </c>
      <c r="I1831" s="4" t="s">
        <v>1664</v>
      </c>
      <c r="J1831" s="4" t="s">
        <v>1715</v>
      </c>
      <c r="K1831" s="4">
        <v>1</v>
      </c>
      <c r="L1831" s="4">
        <v>2606</v>
      </c>
      <c r="M1831" s="27"/>
      <c r="N1831" s="182"/>
      <c r="O1831" s="182"/>
      <c r="P1831" s="182"/>
      <c r="Q1831" s="182"/>
      <c r="R1831" s="182"/>
      <c r="S1831" s="182"/>
      <c r="T1831" s="182"/>
      <c r="U1831" s="182"/>
      <c r="V1831" s="182"/>
      <c r="W1831" s="182"/>
      <c r="X1831" s="182"/>
      <c r="Y1831" s="182"/>
      <c r="Z1831" s="182"/>
      <c r="AA1831" s="182"/>
      <c r="AB1831" s="182"/>
      <c r="AC1831" s="182"/>
      <c r="AD1831" s="182"/>
      <c r="AE1831" s="182"/>
      <c r="AF1831" s="182"/>
      <c r="AG1831" s="182"/>
      <c r="AH1831" s="182"/>
      <c r="AI1831" s="182"/>
      <c r="AJ1831" s="182"/>
      <c r="AK1831" s="27"/>
      <c r="AL1831" s="182"/>
      <c r="AM1831" s="182"/>
      <c r="AN1831" s="182"/>
      <c r="AO1831" s="196" t="s">
        <v>3672</v>
      </c>
      <c r="AP1831" s="196">
        <v>755</v>
      </c>
      <c r="AQ1831" s="196" t="s">
        <v>1716</v>
      </c>
      <c r="AR1831" s="196" t="s">
        <v>1717</v>
      </c>
      <c r="AS1831" s="196" t="s">
        <v>1718</v>
      </c>
      <c r="AT1831" s="196" t="s">
        <v>1719</v>
      </c>
      <c r="AU1831" s="196" t="s">
        <v>1703</v>
      </c>
      <c r="AV1831" s="196" t="s">
        <v>1720</v>
      </c>
      <c r="AW1831" s="196" t="s">
        <v>2698</v>
      </c>
      <c r="AX1831" s="196" t="s">
        <v>2699</v>
      </c>
      <c r="AY1831" s="196">
        <v>51.5</v>
      </c>
      <c r="AZ1831" s="196">
        <v>-118.5</v>
      </c>
      <c r="BA1831" s="196">
        <v>13</v>
      </c>
      <c r="BB1831" s="182"/>
      <c r="BC1831" s="182"/>
      <c r="BD1831" s="182"/>
      <c r="BE1831" s="182"/>
      <c r="BF1831" s="182"/>
      <c r="BG1831" s="182"/>
      <c r="BH1831" s="182"/>
      <c r="BI1831" s="182"/>
      <c r="BJ1831" s="182"/>
      <c r="BK1831" s="182"/>
      <c r="BL1831" s="182"/>
      <c r="BM1831" s="182"/>
      <c r="BN1831" s="182"/>
      <c r="BO1831" s="182"/>
      <c r="BP1831" s="182"/>
      <c r="BQ1831" s="182"/>
      <c r="BR1831" s="182"/>
      <c r="BS1831" s="182"/>
      <c r="BT1831" s="182"/>
    </row>
    <row r="1832" spans="2:72" ht="14.25" customHeight="1" x14ac:dyDescent="0.2">
      <c r="B1832" s="4">
        <v>12</v>
      </c>
      <c r="C1832" s="4" t="s">
        <v>1711</v>
      </c>
      <c r="D1832" s="4">
        <v>758</v>
      </c>
      <c r="E1832" s="4">
        <v>2206</v>
      </c>
      <c r="F1832" s="16" t="s">
        <v>3680</v>
      </c>
      <c r="G1832" s="4" t="s">
        <v>3681</v>
      </c>
      <c r="H1832" s="4" t="s">
        <v>3682</v>
      </c>
      <c r="I1832" s="4" t="s">
        <v>1664</v>
      </c>
      <c r="J1832" s="4" t="s">
        <v>1746</v>
      </c>
      <c r="K1832" s="4">
        <v>1</v>
      </c>
      <c r="L1832" s="4">
        <v>2609</v>
      </c>
      <c r="M1832" s="228"/>
      <c r="N1832" s="235"/>
      <c r="O1832" s="239"/>
      <c r="P1832" s="235"/>
      <c r="Q1832" s="192"/>
      <c r="R1832" s="235"/>
      <c r="S1832" s="192"/>
      <c r="T1832" s="192"/>
      <c r="U1832" s="192"/>
      <c r="V1832" s="192"/>
      <c r="W1832" s="192"/>
      <c r="X1832" s="192"/>
      <c r="Y1832" s="192"/>
      <c r="Z1832" s="192"/>
      <c r="AA1832" s="192"/>
      <c r="AB1832" s="192"/>
      <c r="AC1832" s="192"/>
      <c r="AD1832" s="192"/>
      <c r="AE1832" s="192"/>
      <c r="AF1832" s="192"/>
      <c r="AG1832" s="192"/>
      <c r="AH1832" s="192"/>
      <c r="AI1832" s="192"/>
      <c r="AJ1832" s="192"/>
      <c r="AK1832" s="203"/>
      <c r="AL1832" s="192"/>
      <c r="AM1832" s="192"/>
      <c r="AN1832" s="192"/>
      <c r="AO1832" s="203" t="s">
        <v>3680</v>
      </c>
      <c r="AP1832" s="188">
        <v>758</v>
      </c>
      <c r="AQ1832" s="188" t="s">
        <v>1716</v>
      </c>
      <c r="AR1832" s="188" t="s">
        <v>1717</v>
      </c>
      <c r="AS1832" s="188" t="s">
        <v>1718</v>
      </c>
      <c r="AT1832" s="188" t="s">
        <v>1719</v>
      </c>
      <c r="AU1832" s="188" t="s">
        <v>1703</v>
      </c>
      <c r="AV1832" s="188" t="s">
        <v>1720</v>
      </c>
      <c r="AW1832" s="188" t="s">
        <v>2698</v>
      </c>
      <c r="AX1832" s="188" t="s">
        <v>2699</v>
      </c>
      <c r="AY1832" s="188">
        <v>51.5</v>
      </c>
      <c r="AZ1832" s="188">
        <v>-117.2</v>
      </c>
      <c r="BA1832" s="188">
        <v>8</v>
      </c>
      <c r="BB1832" s="192"/>
      <c r="BC1832" s="192"/>
      <c r="BD1832" s="192"/>
      <c r="BE1832" s="192"/>
      <c r="BF1832" s="192"/>
      <c r="BG1832" s="192"/>
      <c r="BH1832" s="192"/>
      <c r="BI1832" s="192"/>
      <c r="BJ1832" s="192"/>
      <c r="BK1832" s="192"/>
      <c r="BL1832" s="192"/>
      <c r="BM1832" s="192"/>
      <c r="BN1832" s="192"/>
      <c r="BO1832" s="192"/>
      <c r="BP1832" s="192"/>
      <c r="BQ1832" s="192"/>
      <c r="BR1832" s="192"/>
      <c r="BS1832" s="192"/>
      <c r="BT1832" s="192"/>
    </row>
    <row r="1833" spans="2:72" ht="14.25" customHeight="1" x14ac:dyDescent="0.2">
      <c r="B1833" s="4">
        <v>12</v>
      </c>
      <c r="C1833" s="4" t="s">
        <v>1711</v>
      </c>
      <c r="D1833" s="4">
        <v>760</v>
      </c>
      <c r="E1833" s="4">
        <v>2208</v>
      </c>
      <c r="F1833" s="211" t="s">
        <v>3686</v>
      </c>
      <c r="G1833" s="4" t="s">
        <v>3687</v>
      </c>
      <c r="H1833" s="4" t="s">
        <v>3688</v>
      </c>
      <c r="I1833" s="4" t="s">
        <v>1664</v>
      </c>
      <c r="J1833" s="4" t="s">
        <v>1715</v>
      </c>
      <c r="K1833" s="4">
        <v>1</v>
      </c>
      <c r="L1833" s="4">
        <v>2611</v>
      </c>
      <c r="M1833" s="9"/>
      <c r="U1833"/>
      <c r="AK1833" s="9"/>
      <c r="AO1833" s="4" t="s">
        <v>3686</v>
      </c>
      <c r="AP1833" s="4">
        <v>760</v>
      </c>
      <c r="AQ1833" s="4" t="s">
        <v>1716</v>
      </c>
      <c r="AR1833" s="4" t="s">
        <v>1717</v>
      </c>
      <c r="AS1833" s="4" t="s">
        <v>1718</v>
      </c>
      <c r="AT1833" s="4" t="s">
        <v>1719</v>
      </c>
      <c r="AU1833" s="4" t="s">
        <v>1703</v>
      </c>
      <c r="AV1833" s="4" t="s">
        <v>1720</v>
      </c>
      <c r="AW1833" s="4" t="s">
        <v>2698</v>
      </c>
      <c r="AX1833" s="4" t="s">
        <v>2699</v>
      </c>
      <c r="AY1833" s="4">
        <v>51.2</v>
      </c>
      <c r="AZ1833" s="4">
        <v>-117.3</v>
      </c>
      <c r="BA1833" s="4">
        <v>13</v>
      </c>
    </row>
    <row r="1834" spans="2:72" ht="14.25" customHeight="1" x14ac:dyDescent="0.2">
      <c r="B1834" s="4">
        <v>12</v>
      </c>
      <c r="C1834" s="4" t="s">
        <v>1711</v>
      </c>
      <c r="D1834" s="4">
        <v>761</v>
      </c>
      <c r="E1834" s="4">
        <v>2209</v>
      </c>
      <c r="F1834" s="211" t="s">
        <v>3689</v>
      </c>
      <c r="G1834" s="4" t="s">
        <v>3690</v>
      </c>
      <c r="H1834" s="4" t="s">
        <v>3691</v>
      </c>
      <c r="I1834" s="4" t="s">
        <v>1664</v>
      </c>
      <c r="J1834" s="4" t="s">
        <v>1715</v>
      </c>
      <c r="K1834" s="4">
        <v>1</v>
      </c>
      <c r="L1834" s="4">
        <v>2612</v>
      </c>
      <c r="M1834" s="9"/>
      <c r="U1834"/>
      <c r="AK1834" s="9"/>
      <c r="AO1834" s="9" t="s">
        <v>3689</v>
      </c>
      <c r="AP1834" s="4">
        <v>761</v>
      </c>
      <c r="AQ1834" s="4" t="s">
        <v>1716</v>
      </c>
      <c r="AR1834" s="4" t="s">
        <v>1717</v>
      </c>
      <c r="AS1834" s="4" t="s">
        <v>1718</v>
      </c>
      <c r="AT1834" s="4" t="s">
        <v>1719</v>
      </c>
      <c r="AU1834" s="4" t="s">
        <v>1703</v>
      </c>
      <c r="AV1834" s="4" t="s">
        <v>1720</v>
      </c>
      <c r="AW1834" s="4" t="s">
        <v>2698</v>
      </c>
      <c r="AX1834" s="4" t="s">
        <v>2768</v>
      </c>
      <c r="AY1834" s="4">
        <v>51.2</v>
      </c>
      <c r="AZ1834" s="4">
        <v>-117.2</v>
      </c>
      <c r="BA1834" s="4">
        <v>14</v>
      </c>
    </row>
    <row r="1835" spans="2:72" ht="14.25" customHeight="1" x14ac:dyDescent="0.2">
      <c r="B1835" s="4">
        <v>12</v>
      </c>
      <c r="C1835" s="4" t="s">
        <v>1711</v>
      </c>
      <c r="D1835" s="4">
        <v>762</v>
      </c>
      <c r="E1835" s="4">
        <v>2210</v>
      </c>
      <c r="F1835" s="211" t="s">
        <v>3692</v>
      </c>
      <c r="G1835" s="4" t="s">
        <v>3693</v>
      </c>
      <c r="H1835" s="4" t="s">
        <v>3694</v>
      </c>
      <c r="I1835" s="4" t="s">
        <v>1664</v>
      </c>
      <c r="J1835" s="4" t="s">
        <v>1715</v>
      </c>
      <c r="K1835" s="4">
        <v>1</v>
      </c>
      <c r="L1835" s="4">
        <v>2613</v>
      </c>
      <c r="M1835" s="9"/>
      <c r="U1835"/>
      <c r="AK1835" s="9"/>
      <c r="AO1835" s="4" t="s">
        <v>3692</v>
      </c>
      <c r="AP1835" s="4">
        <v>762</v>
      </c>
      <c r="AQ1835" s="4" t="s">
        <v>1716</v>
      </c>
      <c r="AR1835" s="4" t="s">
        <v>1717</v>
      </c>
      <c r="AS1835" s="4" t="s">
        <v>1718</v>
      </c>
      <c r="AT1835" s="4" t="s">
        <v>1719</v>
      </c>
      <c r="AU1835" s="4" t="s">
        <v>1703</v>
      </c>
      <c r="AV1835" s="4" t="s">
        <v>1720</v>
      </c>
      <c r="AW1835" s="4" t="s">
        <v>2698</v>
      </c>
      <c r="AX1835" s="4" t="s">
        <v>2699</v>
      </c>
      <c r="AY1835" s="4">
        <v>51.4</v>
      </c>
      <c r="AZ1835" s="4">
        <v>-117.4</v>
      </c>
      <c r="BA1835" s="4">
        <v>13</v>
      </c>
    </row>
    <row r="1836" spans="2:72" ht="14.25" customHeight="1" x14ac:dyDescent="0.2">
      <c r="B1836" s="4">
        <v>12</v>
      </c>
      <c r="C1836" s="4" t="s">
        <v>1711</v>
      </c>
      <c r="D1836" s="4">
        <v>764</v>
      </c>
      <c r="E1836" s="4">
        <v>2212</v>
      </c>
      <c r="F1836" s="212" t="s">
        <v>3695</v>
      </c>
      <c r="G1836" s="4" t="s">
        <v>3696</v>
      </c>
      <c r="H1836" s="4" t="s">
        <v>3697</v>
      </c>
      <c r="I1836" s="4" t="s">
        <v>1664</v>
      </c>
      <c r="J1836" s="4" t="s">
        <v>1715</v>
      </c>
      <c r="K1836" s="4">
        <v>1</v>
      </c>
      <c r="L1836" s="4">
        <v>2615</v>
      </c>
      <c r="M1836" s="203"/>
      <c r="N1836" s="192"/>
      <c r="O1836" s="192"/>
      <c r="P1836" s="192"/>
      <c r="Q1836" s="192"/>
      <c r="R1836" s="192"/>
      <c r="S1836" s="192"/>
      <c r="T1836" s="192"/>
      <c r="U1836" s="182"/>
      <c r="V1836" s="182"/>
      <c r="W1836" s="182"/>
      <c r="X1836" s="182"/>
      <c r="Y1836" s="182"/>
      <c r="Z1836" s="182"/>
      <c r="AA1836" s="182"/>
      <c r="AB1836" s="182"/>
      <c r="AC1836" s="182"/>
      <c r="AD1836" s="182"/>
      <c r="AE1836" s="182"/>
      <c r="AF1836" s="182"/>
      <c r="AG1836" s="182"/>
      <c r="AH1836" s="182"/>
      <c r="AI1836" s="182"/>
      <c r="AJ1836" s="182"/>
      <c r="AK1836" s="27"/>
      <c r="AL1836" s="182"/>
      <c r="AM1836" s="182"/>
      <c r="AN1836" s="182"/>
      <c r="AO1836" s="196" t="s">
        <v>3695</v>
      </c>
      <c r="AP1836" s="196">
        <v>764</v>
      </c>
      <c r="AQ1836" s="196" t="s">
        <v>1716</v>
      </c>
      <c r="AR1836" s="196" t="s">
        <v>1717</v>
      </c>
      <c r="AS1836" s="196" t="s">
        <v>1718</v>
      </c>
      <c r="AT1836" s="196" t="s">
        <v>1719</v>
      </c>
      <c r="AU1836" s="196" t="s">
        <v>1703</v>
      </c>
      <c r="AV1836" s="196" t="s">
        <v>1720</v>
      </c>
      <c r="AW1836" s="196" t="s">
        <v>2698</v>
      </c>
      <c r="AX1836" s="196" t="s">
        <v>2768</v>
      </c>
      <c r="AY1836" s="196">
        <v>51.1</v>
      </c>
      <c r="AZ1836" s="196">
        <v>-117.1</v>
      </c>
      <c r="BA1836" s="196">
        <v>16</v>
      </c>
      <c r="BB1836" s="182"/>
      <c r="BC1836" s="182"/>
      <c r="BD1836" s="182"/>
      <c r="BE1836" s="182"/>
      <c r="BF1836" s="182"/>
      <c r="BG1836" s="182"/>
      <c r="BH1836" s="182"/>
      <c r="BI1836" s="182"/>
      <c r="BJ1836" s="182"/>
      <c r="BK1836" s="182"/>
      <c r="BL1836" s="182"/>
      <c r="BM1836" s="182"/>
      <c r="BN1836" s="182"/>
      <c r="BO1836" s="182"/>
      <c r="BP1836" s="182"/>
      <c r="BQ1836" s="182"/>
      <c r="BR1836" s="182"/>
      <c r="BS1836" s="182"/>
      <c r="BT1836" s="182"/>
    </row>
    <row r="1837" spans="2:72" ht="14.25" customHeight="1" x14ac:dyDescent="0.2">
      <c r="B1837" s="4">
        <v>12</v>
      </c>
      <c r="C1837" s="4" t="s">
        <v>1711</v>
      </c>
      <c r="D1837" s="4">
        <v>765</v>
      </c>
      <c r="E1837" s="4">
        <v>2213</v>
      </c>
      <c r="F1837" s="211" t="s">
        <v>3698</v>
      </c>
      <c r="G1837" s="4" t="s">
        <v>3699</v>
      </c>
      <c r="H1837" s="4" t="s">
        <v>3700</v>
      </c>
      <c r="I1837" s="4" t="s">
        <v>1664</v>
      </c>
      <c r="J1837" s="4" t="s">
        <v>1715</v>
      </c>
      <c r="K1837" s="4">
        <v>1</v>
      </c>
      <c r="L1837" s="4">
        <v>2616</v>
      </c>
      <c r="M1837" s="9"/>
      <c r="U1837"/>
      <c r="V1837" s="192"/>
      <c r="W1837" s="192"/>
      <c r="X1837" s="192"/>
      <c r="Y1837" s="192"/>
      <c r="Z1837" s="192"/>
      <c r="AA1837" s="192"/>
      <c r="AB1837" s="192"/>
      <c r="AC1837" s="192"/>
      <c r="AD1837" s="192"/>
      <c r="AE1837" s="192"/>
      <c r="AF1837" s="192"/>
      <c r="AG1837" s="192"/>
      <c r="AH1837" s="192"/>
      <c r="AI1837" s="192"/>
      <c r="AJ1837" s="192"/>
      <c r="AK1837" s="203"/>
      <c r="AL1837" s="192"/>
      <c r="AM1837" s="192"/>
      <c r="AN1837" s="192"/>
      <c r="AO1837" s="188" t="s">
        <v>3698</v>
      </c>
      <c r="AP1837" s="188">
        <v>765</v>
      </c>
      <c r="AQ1837" s="188" t="s">
        <v>1716</v>
      </c>
      <c r="AR1837" s="188" t="s">
        <v>1717</v>
      </c>
      <c r="AS1837" s="188" t="s">
        <v>1718</v>
      </c>
      <c r="AT1837" s="188" t="s">
        <v>1719</v>
      </c>
      <c r="AU1837" s="188" t="s">
        <v>1703</v>
      </c>
      <c r="AV1837" s="188" t="s">
        <v>1720</v>
      </c>
      <c r="AW1837" s="188" t="s">
        <v>2698</v>
      </c>
      <c r="AX1837" s="188" t="s">
        <v>2768</v>
      </c>
      <c r="AY1837" s="188">
        <v>51</v>
      </c>
      <c r="AZ1837" s="188">
        <v>-117</v>
      </c>
      <c r="BA1837" s="188">
        <v>13</v>
      </c>
      <c r="BB1837" s="192"/>
      <c r="BC1837" s="192"/>
      <c r="BD1837" s="192"/>
      <c r="BE1837" s="192"/>
      <c r="BF1837" s="192"/>
      <c r="BG1837" s="192"/>
      <c r="BH1837" s="192"/>
      <c r="BI1837" s="192"/>
      <c r="BJ1837" s="192"/>
      <c r="BK1837" s="192"/>
      <c r="BL1837" s="192"/>
      <c r="BM1837" s="192"/>
      <c r="BN1837" s="192"/>
      <c r="BO1837" s="192"/>
      <c r="BP1837" s="192"/>
      <c r="BQ1837" s="192"/>
      <c r="BR1837" s="192"/>
      <c r="BS1837" s="192"/>
      <c r="BT1837" s="192"/>
    </row>
    <row r="1838" spans="2:72" ht="14.25" customHeight="1" x14ac:dyDescent="0.2">
      <c r="B1838" s="4">
        <v>12</v>
      </c>
      <c r="C1838" s="4" t="s">
        <v>1711</v>
      </c>
      <c r="D1838" s="4">
        <v>766</v>
      </c>
      <c r="E1838" s="4">
        <v>2214</v>
      </c>
      <c r="F1838" s="212" t="s">
        <v>3701</v>
      </c>
      <c r="G1838" s="4" t="s">
        <v>3702</v>
      </c>
      <c r="H1838" s="4" t="s">
        <v>3703</v>
      </c>
      <c r="I1838" s="4" t="s">
        <v>1664</v>
      </c>
      <c r="J1838" s="4" t="s">
        <v>1746</v>
      </c>
      <c r="K1838" s="4">
        <v>1</v>
      </c>
      <c r="L1838" s="4">
        <v>2617</v>
      </c>
      <c r="M1838" s="27"/>
      <c r="N1838" s="182"/>
      <c r="O1838" s="182"/>
      <c r="P1838" s="182"/>
      <c r="Q1838" s="182"/>
      <c r="R1838" s="182"/>
      <c r="S1838" s="182"/>
      <c r="T1838" s="182"/>
      <c r="U1838" s="182"/>
      <c r="V1838" s="182"/>
      <c r="W1838" s="182"/>
      <c r="X1838" s="182"/>
      <c r="Y1838" s="182"/>
      <c r="Z1838" s="182"/>
      <c r="AA1838" s="182"/>
      <c r="AB1838" s="182"/>
      <c r="AC1838" s="182"/>
      <c r="AD1838" s="182"/>
      <c r="AE1838" s="182"/>
      <c r="AF1838" s="182"/>
      <c r="AG1838" s="182"/>
      <c r="AH1838" s="182"/>
      <c r="AI1838" s="182"/>
      <c r="AJ1838" s="182"/>
      <c r="AK1838" s="27"/>
      <c r="AL1838" s="182"/>
      <c r="AM1838" s="182"/>
      <c r="AN1838" s="182"/>
      <c r="AO1838" s="196" t="s">
        <v>3701</v>
      </c>
      <c r="AP1838" s="196">
        <v>766</v>
      </c>
      <c r="AQ1838" s="196" t="s">
        <v>1716</v>
      </c>
      <c r="AR1838" s="196" t="s">
        <v>1717</v>
      </c>
      <c r="AS1838" s="196" t="s">
        <v>1718</v>
      </c>
      <c r="AT1838" s="196" t="s">
        <v>1719</v>
      </c>
      <c r="AU1838" s="196" t="s">
        <v>1703</v>
      </c>
      <c r="AV1838" s="196" t="s">
        <v>1720</v>
      </c>
      <c r="AW1838" s="196" t="s">
        <v>2698</v>
      </c>
      <c r="AX1838" s="196" t="s">
        <v>2699</v>
      </c>
      <c r="AY1838" s="196">
        <v>51.4</v>
      </c>
      <c r="AZ1838" s="196">
        <v>-117.4</v>
      </c>
      <c r="BA1838" s="196">
        <v>15</v>
      </c>
      <c r="BB1838" s="182"/>
      <c r="BC1838" s="182"/>
      <c r="BD1838" s="182"/>
      <c r="BE1838" s="182"/>
      <c r="BF1838" s="182"/>
      <c r="BG1838" s="182"/>
      <c r="BH1838" s="182"/>
      <c r="BI1838" s="182"/>
      <c r="BJ1838" s="182"/>
      <c r="BK1838" s="182"/>
      <c r="BL1838" s="182"/>
      <c r="BM1838" s="182"/>
      <c r="BN1838" s="182"/>
      <c r="BO1838" s="182"/>
      <c r="BP1838" s="182"/>
      <c r="BQ1838" s="182"/>
      <c r="BR1838" s="182"/>
      <c r="BS1838" s="182"/>
      <c r="BT1838" s="182"/>
    </row>
    <row r="1839" spans="2:72" ht="14.25" customHeight="1" x14ac:dyDescent="0.2">
      <c r="B1839" s="4">
        <v>12</v>
      </c>
      <c r="C1839" s="4" t="s">
        <v>1711</v>
      </c>
      <c r="D1839" s="4">
        <v>767</v>
      </c>
      <c r="E1839" s="4">
        <v>2215</v>
      </c>
      <c r="F1839" s="212" t="s">
        <v>3704</v>
      </c>
      <c r="G1839" s="188" t="s">
        <v>3705</v>
      </c>
      <c r="H1839" s="4" t="s">
        <v>3706</v>
      </c>
      <c r="I1839" s="4" t="s">
        <v>1664</v>
      </c>
      <c r="J1839" s="4" t="s">
        <v>1715</v>
      </c>
      <c r="K1839" s="4">
        <v>1</v>
      </c>
      <c r="L1839" s="4">
        <v>2618</v>
      </c>
      <c r="M1839" s="9"/>
      <c r="T1839" s="182"/>
      <c r="U1839" s="182"/>
      <c r="V1839" s="182"/>
      <c r="W1839" s="182"/>
      <c r="X1839" s="182"/>
      <c r="Y1839" s="182"/>
      <c r="Z1839" s="182"/>
      <c r="AA1839" s="182"/>
      <c r="AB1839" s="182"/>
      <c r="AC1839" s="182"/>
      <c r="AD1839" s="182"/>
      <c r="AE1839" s="182"/>
      <c r="AF1839" s="182"/>
      <c r="AG1839" s="182"/>
      <c r="AH1839" s="182"/>
      <c r="AI1839" s="182"/>
      <c r="AJ1839" s="182"/>
      <c r="AK1839" s="27"/>
      <c r="AL1839" s="182"/>
      <c r="AM1839" s="182"/>
      <c r="AN1839" s="182"/>
      <c r="AO1839" s="196" t="s">
        <v>3704</v>
      </c>
      <c r="AP1839" s="196">
        <v>767</v>
      </c>
      <c r="AQ1839" s="196" t="s">
        <v>1716</v>
      </c>
      <c r="AR1839" s="196" t="s">
        <v>1717</v>
      </c>
      <c r="AS1839" s="196" t="s">
        <v>1718</v>
      </c>
      <c r="AT1839" s="196" t="s">
        <v>1719</v>
      </c>
      <c r="AU1839" s="196" t="s">
        <v>1703</v>
      </c>
      <c r="AV1839" s="196" t="s">
        <v>1720</v>
      </c>
      <c r="AW1839" s="196" t="s">
        <v>2698</v>
      </c>
      <c r="AX1839" s="196" t="s">
        <v>2699</v>
      </c>
      <c r="AY1839" s="196">
        <v>51.7</v>
      </c>
      <c r="AZ1839" s="196">
        <v>-117.1</v>
      </c>
      <c r="BA1839" s="196">
        <v>8</v>
      </c>
      <c r="BB1839" s="182"/>
      <c r="BC1839" s="182"/>
      <c r="BD1839" s="182"/>
      <c r="BE1839" s="182"/>
      <c r="BF1839" s="182"/>
      <c r="BG1839" s="182"/>
      <c r="BH1839" s="182"/>
      <c r="BI1839" s="182"/>
      <c r="BJ1839" s="182"/>
      <c r="BK1839" s="182"/>
      <c r="BL1839" s="182"/>
      <c r="BM1839" s="182"/>
      <c r="BN1839" s="182"/>
      <c r="BO1839" s="182"/>
      <c r="BP1839" s="182"/>
      <c r="BQ1839" s="182"/>
      <c r="BR1839" s="182"/>
      <c r="BS1839" s="182"/>
      <c r="BT1839" s="182"/>
    </row>
    <row r="1840" spans="2:72" ht="14.25" customHeight="1" x14ac:dyDescent="0.2">
      <c r="B1840" s="4">
        <v>12</v>
      </c>
      <c r="C1840" s="4" t="s">
        <v>1711</v>
      </c>
      <c r="D1840" s="4">
        <v>768</v>
      </c>
      <c r="E1840" s="4">
        <v>2216</v>
      </c>
      <c r="F1840" s="211" t="s">
        <v>3707</v>
      </c>
      <c r="G1840" s="4" t="s">
        <v>3708</v>
      </c>
      <c r="H1840" s="4" t="s">
        <v>3709</v>
      </c>
      <c r="I1840" s="4" t="s">
        <v>1664</v>
      </c>
      <c r="J1840" s="4" t="s">
        <v>1715</v>
      </c>
      <c r="K1840" s="4">
        <v>1</v>
      </c>
      <c r="L1840" s="4">
        <v>2619</v>
      </c>
      <c r="M1840" s="9"/>
      <c r="U1840"/>
      <c r="AK1840" s="9"/>
      <c r="AO1840" s="4" t="s">
        <v>3707</v>
      </c>
      <c r="AP1840" s="4">
        <v>768</v>
      </c>
      <c r="AQ1840" s="4" t="s">
        <v>1716</v>
      </c>
      <c r="AR1840" s="4" t="s">
        <v>1717</v>
      </c>
      <c r="AS1840" s="4" t="s">
        <v>1718</v>
      </c>
      <c r="AT1840" s="4" t="s">
        <v>1719</v>
      </c>
      <c r="AU1840" s="4" t="s">
        <v>1703</v>
      </c>
      <c r="AV1840" s="4" t="s">
        <v>1720</v>
      </c>
      <c r="AW1840" s="4" t="s">
        <v>2698</v>
      </c>
      <c r="AX1840" s="4" t="s">
        <v>2699</v>
      </c>
      <c r="AY1840" s="4">
        <v>52</v>
      </c>
      <c r="AZ1840" s="4">
        <v>-117.9</v>
      </c>
      <c r="BA1840" s="4">
        <v>8</v>
      </c>
    </row>
    <row r="1841" spans="2:72" ht="14.25" customHeight="1" x14ac:dyDescent="0.2">
      <c r="B1841" s="4">
        <v>12</v>
      </c>
      <c r="C1841" s="4" t="s">
        <v>1711</v>
      </c>
      <c r="D1841" s="4">
        <v>771</v>
      </c>
      <c r="E1841" s="4">
        <v>2218</v>
      </c>
      <c r="F1841" s="211" t="s">
        <v>3713</v>
      </c>
      <c r="G1841" s="4" t="s">
        <v>3714</v>
      </c>
      <c r="H1841" s="4" t="s">
        <v>3715</v>
      </c>
      <c r="I1841" s="4" t="s">
        <v>1664</v>
      </c>
      <c r="J1841" s="4" t="s">
        <v>1746</v>
      </c>
      <c r="K1841" s="4">
        <v>1</v>
      </c>
      <c r="L1841" s="4">
        <v>2621</v>
      </c>
      <c r="M1841" s="9"/>
      <c r="U1841"/>
      <c r="AK1841" s="9"/>
      <c r="AO1841" s="4" t="s">
        <v>3713</v>
      </c>
      <c r="AP1841" s="4">
        <v>771</v>
      </c>
      <c r="AQ1841" s="4" t="s">
        <v>1716</v>
      </c>
      <c r="AR1841" s="4" t="s">
        <v>1717</v>
      </c>
      <c r="AS1841" s="4" t="s">
        <v>1718</v>
      </c>
      <c r="AT1841" s="4" t="s">
        <v>1719</v>
      </c>
      <c r="AU1841" s="4" t="s">
        <v>1703</v>
      </c>
      <c r="AV1841" s="4" t="s">
        <v>1720</v>
      </c>
      <c r="AW1841" s="4" t="s">
        <v>2698</v>
      </c>
      <c r="AX1841" s="4" t="s">
        <v>2699</v>
      </c>
      <c r="AY1841" s="4">
        <v>51.5</v>
      </c>
      <c r="AZ1841" s="4">
        <v>-117.1</v>
      </c>
      <c r="BA1841" s="4">
        <v>11</v>
      </c>
    </row>
    <row r="1842" spans="2:72" ht="14.25" customHeight="1" x14ac:dyDescent="0.2">
      <c r="B1842" s="4">
        <v>12</v>
      </c>
      <c r="C1842" s="4" t="s">
        <v>1711</v>
      </c>
      <c r="D1842" s="4">
        <v>773</v>
      </c>
      <c r="E1842" s="4">
        <v>2220</v>
      </c>
      <c r="F1842" s="211" t="s">
        <v>3719</v>
      </c>
      <c r="G1842" s="4" t="s">
        <v>3720</v>
      </c>
      <c r="H1842" s="4" t="s">
        <v>3721</v>
      </c>
      <c r="I1842" s="4" t="s">
        <v>1664</v>
      </c>
      <c r="J1842" s="4" t="s">
        <v>1715</v>
      </c>
      <c r="K1842" s="4">
        <v>1</v>
      </c>
      <c r="L1842" s="4">
        <v>2623</v>
      </c>
      <c r="M1842" s="203"/>
      <c r="N1842" s="192"/>
      <c r="O1842" s="192"/>
      <c r="P1842" s="192"/>
      <c r="Q1842" s="192"/>
      <c r="R1842" s="192"/>
      <c r="S1842" s="192"/>
      <c r="T1842" s="192"/>
      <c r="U1842" s="192"/>
      <c r="V1842" s="192"/>
      <c r="W1842" s="192"/>
      <c r="X1842" s="192"/>
      <c r="Y1842" s="192"/>
      <c r="Z1842" s="192"/>
      <c r="AA1842" s="192"/>
      <c r="AB1842" s="192"/>
      <c r="AC1842" s="192"/>
      <c r="AD1842" s="192"/>
      <c r="AE1842" s="192"/>
      <c r="AF1842" s="192"/>
      <c r="AG1842" s="192"/>
      <c r="AH1842" s="192"/>
      <c r="AI1842" s="192"/>
      <c r="AJ1842" s="192"/>
      <c r="AK1842" s="203"/>
      <c r="AL1842" s="192"/>
      <c r="AM1842" s="192"/>
      <c r="AN1842" s="192"/>
      <c r="AO1842" s="188" t="s">
        <v>3719</v>
      </c>
      <c r="AP1842" s="188">
        <v>773</v>
      </c>
      <c r="AQ1842" s="188" t="s">
        <v>1716</v>
      </c>
      <c r="AR1842" s="188" t="s">
        <v>1717</v>
      </c>
      <c r="AS1842" s="188" t="s">
        <v>1718</v>
      </c>
      <c r="AT1842" s="188" t="s">
        <v>1719</v>
      </c>
      <c r="AU1842" s="188" t="s">
        <v>1703</v>
      </c>
      <c r="AV1842" s="188" t="s">
        <v>1720</v>
      </c>
      <c r="AW1842" s="188" t="s">
        <v>2698</v>
      </c>
      <c r="AX1842" s="188" t="s">
        <v>2699</v>
      </c>
      <c r="AY1842" s="188">
        <v>51.5</v>
      </c>
      <c r="AZ1842" s="188">
        <v>-117.9</v>
      </c>
      <c r="BA1842" s="188">
        <v>13</v>
      </c>
      <c r="BB1842" s="192"/>
      <c r="BC1842" s="192"/>
      <c r="BD1842" s="192"/>
      <c r="BE1842" s="192"/>
      <c r="BF1842" s="192"/>
      <c r="BG1842" s="192"/>
      <c r="BH1842" s="192"/>
      <c r="BI1842" s="192"/>
      <c r="BJ1842" s="192"/>
      <c r="BK1842" s="192"/>
      <c r="BL1842" s="192"/>
      <c r="BM1842" s="192"/>
      <c r="BN1842" s="192"/>
      <c r="BO1842" s="192"/>
      <c r="BP1842" s="192"/>
      <c r="BQ1842" s="192"/>
      <c r="BR1842" s="192"/>
      <c r="BS1842" s="192"/>
      <c r="BT1842" s="192"/>
    </row>
    <row r="1843" spans="2:72" ht="14.25" customHeight="1" x14ac:dyDescent="0.2">
      <c r="B1843" s="4">
        <v>12</v>
      </c>
      <c r="C1843" s="4" t="s">
        <v>1711</v>
      </c>
      <c r="D1843" s="4">
        <v>774</v>
      </c>
      <c r="E1843" s="4">
        <v>2221</v>
      </c>
      <c r="F1843" s="16" t="s">
        <v>3722</v>
      </c>
      <c r="G1843" s="4" t="s">
        <v>3723</v>
      </c>
      <c r="H1843" s="4" t="s">
        <v>3724</v>
      </c>
      <c r="I1843" s="4" t="s">
        <v>1664</v>
      </c>
      <c r="J1843" s="4" t="s">
        <v>1715</v>
      </c>
      <c r="K1843" s="4">
        <v>1</v>
      </c>
      <c r="L1843" s="4">
        <v>2624</v>
      </c>
      <c r="M1843" s="9"/>
      <c r="U1843"/>
      <c r="AK1843" s="9"/>
      <c r="AO1843" s="9" t="s">
        <v>3722</v>
      </c>
      <c r="AP1843" s="4">
        <v>774</v>
      </c>
      <c r="AQ1843" s="4" t="s">
        <v>1716</v>
      </c>
      <c r="AR1843" s="4" t="s">
        <v>1717</v>
      </c>
      <c r="AS1843" s="4" t="s">
        <v>1718</v>
      </c>
      <c r="AT1843" s="4" t="s">
        <v>1719</v>
      </c>
      <c r="AU1843" s="4" t="s">
        <v>1703</v>
      </c>
      <c r="AV1843" s="4" t="s">
        <v>1720</v>
      </c>
      <c r="AW1843" s="4" t="s">
        <v>2698</v>
      </c>
      <c r="AX1843" s="4" t="s">
        <v>2768</v>
      </c>
      <c r="AY1843" s="4">
        <v>50.9</v>
      </c>
      <c r="AZ1843" s="4">
        <v>-116.9</v>
      </c>
      <c r="BA1843" s="4">
        <v>14</v>
      </c>
    </row>
    <row r="1844" spans="2:72" ht="14.25" customHeight="1" x14ac:dyDescent="0.2">
      <c r="B1844" s="4">
        <v>12</v>
      </c>
      <c r="C1844" s="4" t="s">
        <v>1711</v>
      </c>
      <c r="D1844" s="4">
        <v>775</v>
      </c>
      <c r="E1844" s="4">
        <v>2222</v>
      </c>
      <c r="F1844" s="211" t="s">
        <v>3725</v>
      </c>
      <c r="G1844" s="4" t="s">
        <v>3726</v>
      </c>
      <c r="H1844" s="4" t="s">
        <v>3727</v>
      </c>
      <c r="I1844" s="4" t="s">
        <v>1664</v>
      </c>
      <c r="J1844" s="4" t="s">
        <v>1715</v>
      </c>
      <c r="K1844" s="4">
        <v>1</v>
      </c>
      <c r="L1844" s="4">
        <v>2625</v>
      </c>
      <c r="M1844" s="9"/>
      <c r="U1844"/>
      <c r="AK1844" s="9"/>
      <c r="AO1844" s="4" t="s">
        <v>3725</v>
      </c>
      <c r="AP1844" s="4">
        <v>775</v>
      </c>
      <c r="AQ1844" s="4" t="s">
        <v>1716</v>
      </c>
      <c r="AR1844" s="4" t="s">
        <v>1717</v>
      </c>
      <c r="AS1844" s="4" t="s">
        <v>1718</v>
      </c>
      <c r="AT1844" s="4" t="s">
        <v>1719</v>
      </c>
      <c r="AU1844" s="4" t="s">
        <v>1703</v>
      </c>
      <c r="AV1844" s="4" t="s">
        <v>1720</v>
      </c>
      <c r="AW1844" s="4" t="s">
        <v>2698</v>
      </c>
      <c r="AX1844" s="4" t="s">
        <v>2699</v>
      </c>
      <c r="AY1844" s="4">
        <v>51.5</v>
      </c>
      <c r="AZ1844" s="4">
        <v>-117.2</v>
      </c>
      <c r="BA1844" s="4">
        <v>9</v>
      </c>
    </row>
    <row r="1845" spans="2:72" ht="14.25" customHeight="1" x14ac:dyDescent="0.2">
      <c r="B1845" s="4">
        <v>12</v>
      </c>
      <c r="C1845" s="4" t="s">
        <v>1711</v>
      </c>
      <c r="D1845" s="4">
        <v>776</v>
      </c>
      <c r="E1845" s="4">
        <v>2223</v>
      </c>
      <c r="F1845" s="211" t="s">
        <v>3728</v>
      </c>
      <c r="G1845" s="4" t="s">
        <v>3729</v>
      </c>
      <c r="H1845" s="4" t="s">
        <v>3730</v>
      </c>
      <c r="I1845" s="4" t="s">
        <v>1664</v>
      </c>
      <c r="J1845" s="4" t="s">
        <v>1715</v>
      </c>
      <c r="K1845" s="4">
        <v>1</v>
      </c>
      <c r="L1845" s="4">
        <v>2626</v>
      </c>
      <c r="M1845" s="9"/>
      <c r="U1845"/>
      <c r="AK1845" s="9"/>
      <c r="AO1845" s="4" t="s">
        <v>3728</v>
      </c>
      <c r="AP1845" s="4">
        <v>776</v>
      </c>
      <c r="AQ1845" s="4" t="s">
        <v>1716</v>
      </c>
      <c r="AR1845" s="4" t="s">
        <v>1717</v>
      </c>
      <c r="AS1845" s="4" t="s">
        <v>1718</v>
      </c>
      <c r="AT1845" s="4" t="s">
        <v>1719</v>
      </c>
      <c r="AU1845" s="4" t="s">
        <v>1703</v>
      </c>
      <c r="AV1845" s="4" t="s">
        <v>1720</v>
      </c>
      <c r="AW1845" s="4" t="s">
        <v>2698</v>
      </c>
      <c r="AX1845" s="4" t="s">
        <v>2699</v>
      </c>
      <c r="AY1845" s="4">
        <v>51.4</v>
      </c>
      <c r="AZ1845" s="4">
        <v>-117.5</v>
      </c>
      <c r="BA1845" s="4">
        <v>11</v>
      </c>
    </row>
    <row r="1846" spans="2:72" ht="14.25" customHeight="1" x14ac:dyDescent="0.2">
      <c r="B1846" s="4">
        <v>12</v>
      </c>
      <c r="C1846" s="4" t="s">
        <v>1711</v>
      </c>
      <c r="D1846" s="4">
        <v>777</v>
      </c>
      <c r="E1846" s="4">
        <v>2224</v>
      </c>
      <c r="F1846" s="211" t="s">
        <v>3731</v>
      </c>
      <c r="G1846" s="4" t="s">
        <v>3732</v>
      </c>
      <c r="H1846" s="4" t="s">
        <v>3733</v>
      </c>
      <c r="I1846" s="4" t="s">
        <v>1664</v>
      </c>
      <c r="J1846" s="4" t="s">
        <v>1715</v>
      </c>
      <c r="K1846" s="4">
        <v>1</v>
      </c>
      <c r="L1846" s="4">
        <v>2627</v>
      </c>
      <c r="M1846" s="9"/>
      <c r="U1846"/>
      <c r="AK1846" s="9"/>
      <c r="AO1846" s="4" t="s">
        <v>3731</v>
      </c>
      <c r="AP1846" s="4">
        <v>777</v>
      </c>
      <c r="AQ1846" s="4" t="s">
        <v>1716</v>
      </c>
      <c r="AR1846" s="4" t="s">
        <v>1717</v>
      </c>
      <c r="AS1846" s="4" t="s">
        <v>1718</v>
      </c>
      <c r="AT1846" s="4" t="s">
        <v>1719</v>
      </c>
      <c r="AU1846" s="4" t="s">
        <v>1703</v>
      </c>
      <c r="AV1846" s="4" t="s">
        <v>1720</v>
      </c>
      <c r="AW1846" s="4" t="s">
        <v>2698</v>
      </c>
      <c r="AX1846" s="4" t="s">
        <v>2699</v>
      </c>
      <c r="AY1846" s="4">
        <v>51.5</v>
      </c>
      <c r="AZ1846" s="4">
        <v>-117.5</v>
      </c>
      <c r="BA1846" s="4">
        <v>5</v>
      </c>
    </row>
    <row r="1847" spans="2:72" ht="14.25" customHeight="1" x14ac:dyDescent="0.2">
      <c r="B1847" s="4">
        <v>12</v>
      </c>
      <c r="C1847" s="4" t="s">
        <v>1711</v>
      </c>
      <c r="D1847" s="4">
        <v>779</v>
      </c>
      <c r="E1847" s="4">
        <v>2226</v>
      </c>
      <c r="F1847" s="212" t="s">
        <v>3734</v>
      </c>
      <c r="G1847" s="188" t="s">
        <v>3735</v>
      </c>
      <c r="H1847" s="4" t="s">
        <v>3736</v>
      </c>
      <c r="I1847" s="4" t="s">
        <v>1664</v>
      </c>
      <c r="J1847" s="4" t="s">
        <v>1746</v>
      </c>
      <c r="K1847" s="4">
        <v>1</v>
      </c>
      <c r="L1847" s="4">
        <v>2629</v>
      </c>
      <c r="M1847" s="9"/>
      <c r="N1847" s="9"/>
      <c r="P1847" s="9"/>
      <c r="R1847" s="9"/>
      <c r="T1847" s="9"/>
      <c r="U1847" s="182"/>
      <c r="V1847" s="182"/>
      <c r="W1847" s="27"/>
      <c r="X1847" s="182"/>
      <c r="Y1847" s="182"/>
      <c r="Z1847" s="182"/>
      <c r="AA1847" s="182"/>
      <c r="AB1847" s="182"/>
      <c r="AC1847" s="182"/>
      <c r="AD1847" s="182"/>
      <c r="AE1847" s="182"/>
      <c r="AF1847" s="182"/>
      <c r="AG1847" s="182"/>
      <c r="AH1847" s="182"/>
      <c r="AI1847" s="182"/>
      <c r="AJ1847" s="182"/>
      <c r="AK1847" s="27"/>
      <c r="AL1847" s="182"/>
      <c r="AM1847" s="182"/>
      <c r="AN1847" s="182"/>
      <c r="AO1847" s="196" t="s">
        <v>3734</v>
      </c>
      <c r="AP1847" s="196">
        <v>779</v>
      </c>
      <c r="AQ1847" s="196" t="s">
        <v>1716</v>
      </c>
      <c r="AR1847" s="196" t="s">
        <v>1717</v>
      </c>
      <c r="AS1847" s="196" t="s">
        <v>1718</v>
      </c>
      <c r="AT1847" s="196" t="s">
        <v>1719</v>
      </c>
      <c r="AU1847" s="196" t="s">
        <v>1703</v>
      </c>
      <c r="AV1847" s="196" t="s">
        <v>1720</v>
      </c>
      <c r="AW1847" s="196" t="s">
        <v>2698</v>
      </c>
      <c r="AX1847" s="196" t="s">
        <v>2699</v>
      </c>
      <c r="AY1847" s="196">
        <v>51.4</v>
      </c>
      <c r="AZ1847" s="196">
        <v>-117.1</v>
      </c>
      <c r="BA1847" s="196">
        <v>13</v>
      </c>
      <c r="BB1847" s="182"/>
      <c r="BC1847" s="182"/>
      <c r="BD1847" s="182"/>
      <c r="BE1847" s="182"/>
      <c r="BF1847" s="182"/>
      <c r="BG1847" s="182"/>
      <c r="BH1847" s="182"/>
      <c r="BI1847" s="182"/>
      <c r="BJ1847" s="182"/>
      <c r="BK1847" s="182"/>
      <c r="BL1847" s="182"/>
      <c r="BM1847" s="182"/>
      <c r="BN1847" s="182"/>
      <c r="BO1847" s="182"/>
      <c r="BP1847" s="182"/>
      <c r="BQ1847" s="182"/>
      <c r="BR1847" s="182"/>
      <c r="BS1847" s="182"/>
      <c r="BT1847" s="182"/>
    </row>
    <row r="1848" spans="2:72" ht="14.25" customHeight="1" x14ac:dyDescent="0.2">
      <c r="B1848" s="4">
        <v>12</v>
      </c>
      <c r="C1848" s="4" t="s">
        <v>1711</v>
      </c>
      <c r="D1848" s="4">
        <v>784</v>
      </c>
      <c r="E1848" s="4">
        <v>2231</v>
      </c>
      <c r="F1848" s="16" t="s">
        <v>3749</v>
      </c>
      <c r="G1848" s="4" t="s">
        <v>3750</v>
      </c>
      <c r="H1848" s="4" t="s">
        <v>3751</v>
      </c>
      <c r="I1848" s="4" t="s">
        <v>1664</v>
      </c>
      <c r="J1848" s="4" t="s">
        <v>1715</v>
      </c>
      <c r="K1848" s="4">
        <v>1</v>
      </c>
      <c r="L1848" s="4">
        <v>2634</v>
      </c>
      <c r="M1848" s="228"/>
      <c r="N1848" s="228"/>
      <c r="O1848" s="239"/>
      <c r="P1848" s="192"/>
      <c r="Q1848" s="192"/>
      <c r="R1848" s="228"/>
      <c r="S1848" s="192"/>
      <c r="T1848" s="203"/>
      <c r="U1848" s="192"/>
      <c r="V1848" s="192"/>
      <c r="W1848" s="203"/>
      <c r="X1848" s="192"/>
      <c r="Y1848" s="192"/>
      <c r="Z1848" s="192"/>
      <c r="AA1848" s="192"/>
      <c r="AB1848" s="192"/>
      <c r="AC1848" s="192"/>
      <c r="AD1848" s="192"/>
      <c r="AE1848" s="192"/>
      <c r="AF1848" s="192"/>
      <c r="AG1848" s="192"/>
      <c r="AH1848" s="192"/>
      <c r="AI1848" s="192"/>
      <c r="AJ1848" s="192"/>
      <c r="AK1848" s="203"/>
      <c r="AL1848" s="192"/>
      <c r="AM1848" s="192"/>
      <c r="AN1848" s="192"/>
      <c r="AO1848" s="188" t="s">
        <v>3749</v>
      </c>
      <c r="AP1848" s="188">
        <v>784</v>
      </c>
      <c r="AQ1848" s="188" t="s">
        <v>1716</v>
      </c>
      <c r="AR1848" s="188" t="s">
        <v>1717</v>
      </c>
      <c r="AS1848" s="188" t="s">
        <v>1718</v>
      </c>
      <c r="AT1848" s="188" t="s">
        <v>1719</v>
      </c>
      <c r="AU1848" s="188" t="s">
        <v>1703</v>
      </c>
      <c r="AV1848" s="188" t="s">
        <v>1720</v>
      </c>
      <c r="AW1848" s="188" t="s">
        <v>2698</v>
      </c>
      <c r="AX1848" s="188" t="s">
        <v>2827</v>
      </c>
      <c r="AY1848" s="188">
        <v>49.2</v>
      </c>
      <c r="AZ1848" s="188">
        <v>-118.4</v>
      </c>
      <c r="BA1848" s="188">
        <v>10</v>
      </c>
      <c r="BB1848" s="192"/>
      <c r="BC1848" s="192"/>
      <c r="BD1848" s="192"/>
      <c r="BE1848" s="192"/>
      <c r="BF1848" s="192"/>
      <c r="BG1848" s="192"/>
      <c r="BH1848" s="192"/>
      <c r="BI1848" s="192"/>
      <c r="BJ1848" s="192"/>
      <c r="BK1848" s="192"/>
      <c r="BL1848" s="192"/>
      <c r="BM1848" s="192"/>
      <c r="BN1848" s="192"/>
      <c r="BO1848" s="192"/>
      <c r="BP1848" s="192"/>
      <c r="BQ1848" s="192"/>
      <c r="BR1848" s="192"/>
      <c r="BS1848" s="192"/>
      <c r="BT1848" s="192"/>
    </row>
    <row r="1849" spans="2:72" ht="14.25" customHeight="1" x14ac:dyDescent="0.2">
      <c r="B1849" s="4">
        <v>12</v>
      </c>
      <c r="C1849" s="4" t="s">
        <v>1711</v>
      </c>
      <c r="D1849" s="4">
        <v>785</v>
      </c>
      <c r="E1849" s="4">
        <v>2232</v>
      </c>
      <c r="F1849" s="212" t="s">
        <v>3752</v>
      </c>
      <c r="G1849" s="188" t="s">
        <v>3753</v>
      </c>
      <c r="H1849" s="4" t="s">
        <v>3253</v>
      </c>
      <c r="I1849" s="4" t="s">
        <v>1664</v>
      </c>
      <c r="J1849" s="4" t="s">
        <v>1715</v>
      </c>
      <c r="K1849" s="4">
        <v>1</v>
      </c>
      <c r="L1849" s="4">
        <v>2635</v>
      </c>
      <c r="M1849" s="9"/>
      <c r="N1849" s="9"/>
      <c r="R1849" s="9"/>
      <c r="T1849" s="9"/>
      <c r="U1849" s="182"/>
      <c r="V1849" s="182"/>
      <c r="W1849" s="27"/>
      <c r="X1849" s="182"/>
      <c r="Y1849" s="182"/>
      <c r="Z1849" s="182"/>
      <c r="AA1849" s="182"/>
      <c r="AB1849" s="182"/>
      <c r="AC1849" s="182"/>
      <c r="AD1849" s="182"/>
      <c r="AE1849" s="182"/>
      <c r="AF1849" s="182"/>
      <c r="AG1849" s="182"/>
      <c r="AH1849" s="182"/>
      <c r="AI1849" s="182"/>
      <c r="AJ1849" s="182"/>
      <c r="AK1849" s="27"/>
      <c r="AL1849" s="182"/>
      <c r="AM1849" s="182"/>
      <c r="AN1849" s="182"/>
      <c r="AO1849" s="196" t="s">
        <v>3752</v>
      </c>
      <c r="AP1849" s="196">
        <v>785</v>
      </c>
      <c r="AQ1849" s="196" t="s">
        <v>1716</v>
      </c>
      <c r="AR1849" s="196" t="s">
        <v>1717</v>
      </c>
      <c r="AS1849" s="196" t="s">
        <v>1718</v>
      </c>
      <c r="AT1849" s="196" t="s">
        <v>1719</v>
      </c>
      <c r="AU1849" s="196" t="s">
        <v>1703</v>
      </c>
      <c r="AV1849" s="196" t="s">
        <v>1720</v>
      </c>
      <c r="AW1849" s="196" t="s">
        <v>2698</v>
      </c>
      <c r="AX1849" s="196" t="s">
        <v>2827</v>
      </c>
      <c r="AY1849" s="196">
        <v>49.1</v>
      </c>
      <c r="AZ1849" s="196">
        <v>-118.1</v>
      </c>
      <c r="BA1849" s="196">
        <v>11</v>
      </c>
      <c r="BB1849" s="182"/>
      <c r="BC1849" s="182"/>
      <c r="BD1849" s="182"/>
      <c r="BE1849" s="182"/>
      <c r="BF1849" s="182"/>
      <c r="BG1849" s="182"/>
      <c r="BH1849" s="182"/>
      <c r="BI1849" s="182"/>
      <c r="BJ1849" s="182"/>
      <c r="BK1849" s="182"/>
      <c r="BL1849" s="182"/>
      <c r="BM1849" s="182"/>
      <c r="BN1849" s="182"/>
      <c r="BO1849" s="182"/>
      <c r="BP1849" s="182"/>
      <c r="BQ1849" s="182"/>
      <c r="BR1849" s="182"/>
      <c r="BS1849" s="182"/>
      <c r="BT1849" s="182"/>
    </row>
    <row r="1850" spans="2:72" ht="14.25" customHeight="1" x14ac:dyDescent="0.2">
      <c r="B1850" s="4">
        <v>12</v>
      </c>
      <c r="C1850" s="4" t="s">
        <v>1711</v>
      </c>
      <c r="D1850" s="4">
        <v>786</v>
      </c>
      <c r="E1850" s="4">
        <v>2233</v>
      </c>
      <c r="F1850" s="211" t="s">
        <v>3754</v>
      </c>
      <c r="G1850" s="188" t="s">
        <v>3755</v>
      </c>
      <c r="H1850" s="4" t="s">
        <v>3756</v>
      </c>
      <c r="I1850" s="4" t="s">
        <v>1664</v>
      </c>
      <c r="J1850" s="4" t="s">
        <v>1746</v>
      </c>
      <c r="K1850" s="4">
        <v>1</v>
      </c>
      <c r="L1850" s="4">
        <v>2636</v>
      </c>
      <c r="M1850" s="9"/>
      <c r="U1850"/>
      <c r="W1850" s="9"/>
      <c r="AK1850" s="9"/>
      <c r="AO1850" s="4" t="s">
        <v>3754</v>
      </c>
      <c r="AP1850" s="4">
        <v>786</v>
      </c>
      <c r="AQ1850" s="4" t="s">
        <v>1716</v>
      </c>
      <c r="AR1850" s="4" t="s">
        <v>1717</v>
      </c>
      <c r="AS1850" s="4" t="s">
        <v>1718</v>
      </c>
      <c r="AT1850" s="4" t="s">
        <v>1719</v>
      </c>
      <c r="AU1850" s="4" t="s">
        <v>1703</v>
      </c>
      <c r="AV1850" s="4" t="s">
        <v>1720</v>
      </c>
      <c r="AW1850" s="4" t="s">
        <v>2698</v>
      </c>
      <c r="AX1850" s="4" t="s">
        <v>2827</v>
      </c>
      <c r="AY1850" s="4">
        <v>49.2</v>
      </c>
      <c r="AZ1850" s="4">
        <v>-118.5</v>
      </c>
      <c r="BA1850" s="4">
        <v>8</v>
      </c>
    </row>
    <row r="1851" spans="2:72" ht="14.25" customHeight="1" x14ac:dyDescent="0.2">
      <c r="B1851" s="4">
        <v>12</v>
      </c>
      <c r="C1851" s="188" t="s">
        <v>1711</v>
      </c>
      <c r="D1851" s="4">
        <v>787</v>
      </c>
      <c r="E1851" s="4">
        <v>2234</v>
      </c>
      <c r="F1851" s="211" t="s">
        <v>3757</v>
      </c>
      <c r="G1851" s="4" t="s">
        <v>3758</v>
      </c>
      <c r="H1851" s="4" t="s">
        <v>3759</v>
      </c>
      <c r="I1851" s="4" t="s">
        <v>641</v>
      </c>
      <c r="J1851" s="4" t="s">
        <v>1715</v>
      </c>
      <c r="K1851" s="4">
        <v>1</v>
      </c>
      <c r="L1851" s="4">
        <v>2637</v>
      </c>
      <c r="M1851" s="9"/>
      <c r="N1851" s="9"/>
      <c r="R1851" s="9"/>
      <c r="T1851" s="9"/>
      <c r="U1851"/>
      <c r="W1851" s="9"/>
      <c r="AK1851" s="9"/>
      <c r="AO1851" s="4" t="s">
        <v>3757</v>
      </c>
      <c r="AP1851" s="4">
        <v>787</v>
      </c>
      <c r="AQ1851" s="4" t="s">
        <v>1716</v>
      </c>
      <c r="AR1851" s="4" t="s">
        <v>1717</v>
      </c>
      <c r="AS1851" s="4" t="s">
        <v>1718</v>
      </c>
      <c r="AT1851" s="4" t="s">
        <v>1703</v>
      </c>
      <c r="AU1851" s="4" t="s">
        <v>1703</v>
      </c>
      <c r="AV1851" s="4" t="s">
        <v>1720</v>
      </c>
      <c r="AW1851" s="4" t="s">
        <v>2698</v>
      </c>
      <c r="AX1851" s="4" t="s">
        <v>2801</v>
      </c>
      <c r="AY1851" s="4">
        <v>49.04</v>
      </c>
      <c r="AZ1851" s="4">
        <v>-116.9383</v>
      </c>
      <c r="BA1851" s="4">
        <v>1507</v>
      </c>
    </row>
    <row r="1852" spans="2:72" ht="14.25" customHeight="1" x14ac:dyDescent="0.2">
      <c r="B1852" s="4">
        <v>12</v>
      </c>
      <c r="C1852" s="4" t="s">
        <v>1711</v>
      </c>
      <c r="D1852" s="4">
        <v>791</v>
      </c>
      <c r="E1852" s="4">
        <v>2238</v>
      </c>
      <c r="F1852" s="4" t="s">
        <v>3771</v>
      </c>
      <c r="G1852" s="4" t="s">
        <v>3772</v>
      </c>
      <c r="H1852" s="4" t="s">
        <v>3773</v>
      </c>
      <c r="I1852" s="4" t="s">
        <v>641</v>
      </c>
      <c r="J1852" s="4" t="s">
        <v>1865</v>
      </c>
      <c r="K1852" s="4">
        <v>1</v>
      </c>
      <c r="L1852" s="4">
        <v>2641</v>
      </c>
      <c r="M1852" s="9">
        <v>49.188000000000002</v>
      </c>
      <c r="N1852" s="9">
        <v>-115.542</v>
      </c>
      <c r="O1852" s="9" t="s">
        <v>170</v>
      </c>
      <c r="P1852" s="203">
        <v>791</v>
      </c>
      <c r="Q1852" s="20">
        <v>4</v>
      </c>
      <c r="R1852" s="9" t="s">
        <v>3771</v>
      </c>
      <c r="S1852" s="9" t="s">
        <v>1737</v>
      </c>
      <c r="T1852" s="9">
        <v>1372</v>
      </c>
      <c r="U1852" s="9"/>
      <c r="V1852" s="9"/>
      <c r="W1852" s="21">
        <v>32509</v>
      </c>
      <c r="X1852" s="9" t="s">
        <v>1738</v>
      </c>
      <c r="AK1852" s="9"/>
      <c r="AO1852" s="4" t="s">
        <v>3771</v>
      </c>
      <c r="AP1852" s="4">
        <v>791</v>
      </c>
      <c r="AQ1852" s="4" t="s">
        <v>1700</v>
      </c>
      <c r="AR1852" s="4" t="s">
        <v>1739</v>
      </c>
      <c r="AS1852" s="4" t="s">
        <v>1740</v>
      </c>
      <c r="AT1852" s="4" t="s">
        <v>1741</v>
      </c>
      <c r="AU1852" s="4" t="s">
        <v>1959</v>
      </c>
      <c r="AV1852" s="4" t="s">
        <v>1720</v>
      </c>
      <c r="AW1852" s="4" t="s">
        <v>2698</v>
      </c>
      <c r="AX1852" s="4" t="s">
        <v>2902</v>
      </c>
      <c r="AY1852" s="4">
        <v>49.187800000000003</v>
      </c>
      <c r="AZ1852" s="4">
        <v>-115.54170000000001</v>
      </c>
      <c r="BA1852" s="4">
        <v>1372</v>
      </c>
    </row>
    <row r="1853" spans="2:72" ht="14.25" customHeight="1" x14ac:dyDescent="0.2">
      <c r="B1853" s="4">
        <v>12</v>
      </c>
      <c r="C1853" s="4" t="s">
        <v>1711</v>
      </c>
      <c r="D1853" s="4">
        <v>792</v>
      </c>
      <c r="E1853" s="4">
        <v>2239</v>
      </c>
      <c r="F1853" s="211" t="s">
        <v>3774</v>
      </c>
      <c r="G1853" s="4" t="s">
        <v>3775</v>
      </c>
      <c r="H1853" s="4" t="s">
        <v>3776</v>
      </c>
      <c r="I1853" s="4" t="s">
        <v>1664</v>
      </c>
      <c r="J1853" s="4" t="s">
        <v>1715</v>
      </c>
      <c r="K1853" s="4">
        <v>1</v>
      </c>
      <c r="L1853" s="4">
        <v>2642</v>
      </c>
      <c r="M1853" s="9"/>
      <c r="N1853" s="9"/>
      <c r="P1853" s="192"/>
      <c r="R1853" s="9"/>
      <c r="T1853" s="9"/>
      <c r="U1853"/>
      <c r="AK1853" s="9"/>
      <c r="AO1853" s="4" t="s">
        <v>3774</v>
      </c>
      <c r="AP1853" s="4">
        <v>792</v>
      </c>
      <c r="AQ1853" s="4" t="s">
        <v>1716</v>
      </c>
      <c r="AR1853" s="4" t="s">
        <v>1717</v>
      </c>
      <c r="AS1853" s="4" t="s">
        <v>1718</v>
      </c>
      <c r="AT1853" s="4" t="s">
        <v>1719</v>
      </c>
      <c r="AU1853" s="4" t="s">
        <v>1703</v>
      </c>
      <c r="AV1853" s="4" t="s">
        <v>1720</v>
      </c>
      <c r="AW1853" s="4" t="s">
        <v>2698</v>
      </c>
      <c r="AX1853" s="4" t="s">
        <v>2768</v>
      </c>
      <c r="AY1853" s="4">
        <v>50.3</v>
      </c>
      <c r="AZ1853" s="4">
        <v>-115.3</v>
      </c>
      <c r="BA1853" s="4">
        <v>16</v>
      </c>
    </row>
    <row r="1854" spans="2:72" ht="14.25" customHeight="1" x14ac:dyDescent="0.2">
      <c r="B1854" s="4">
        <v>12</v>
      </c>
      <c r="C1854" s="188" t="s">
        <v>1711</v>
      </c>
      <c r="D1854" s="4">
        <v>794</v>
      </c>
      <c r="E1854" s="4">
        <v>2241</v>
      </c>
      <c r="F1854" s="211" t="s">
        <v>3782</v>
      </c>
      <c r="G1854" s="4" t="s">
        <v>3783</v>
      </c>
      <c r="H1854" s="4" t="s">
        <v>3784</v>
      </c>
      <c r="I1854" s="4" t="s">
        <v>1664</v>
      </c>
      <c r="J1854" s="4" t="s">
        <v>1715</v>
      </c>
      <c r="K1854" s="4">
        <v>1</v>
      </c>
      <c r="L1854" s="4">
        <v>2644</v>
      </c>
      <c r="M1854" s="27"/>
      <c r="N1854" s="27"/>
      <c r="O1854" s="182"/>
      <c r="P1854" s="182"/>
      <c r="Q1854" s="182"/>
      <c r="R1854" s="27"/>
      <c r="S1854" s="182"/>
      <c r="T1854" s="27"/>
      <c r="U1854" s="182"/>
      <c r="V1854" s="182"/>
      <c r="W1854" s="27"/>
      <c r="X1854" s="182"/>
      <c r="Y1854" s="182"/>
      <c r="Z1854" s="182"/>
      <c r="AA1854" s="182"/>
      <c r="AB1854" s="182"/>
      <c r="AC1854" s="182"/>
      <c r="AD1854" s="182"/>
      <c r="AE1854" s="182"/>
      <c r="AF1854" s="182"/>
      <c r="AG1854" s="182"/>
      <c r="AH1854" s="182"/>
      <c r="AI1854" s="182"/>
      <c r="AJ1854" s="182"/>
      <c r="AK1854" s="27"/>
      <c r="AL1854" s="182"/>
      <c r="AM1854" s="182"/>
      <c r="AN1854" s="182"/>
      <c r="AO1854" s="196" t="s">
        <v>3782</v>
      </c>
      <c r="AP1854" s="196">
        <v>794</v>
      </c>
      <c r="AQ1854" s="196" t="s">
        <v>1716</v>
      </c>
      <c r="AR1854" s="196" t="s">
        <v>1717</v>
      </c>
      <c r="AS1854" s="196" t="s">
        <v>1718</v>
      </c>
      <c r="AT1854" s="196" t="s">
        <v>1719</v>
      </c>
      <c r="AU1854" s="196" t="s">
        <v>1703</v>
      </c>
      <c r="AV1854" s="196" t="s">
        <v>1720</v>
      </c>
      <c r="AW1854" s="196" t="s">
        <v>2698</v>
      </c>
      <c r="AX1854" s="196" t="s">
        <v>2801</v>
      </c>
      <c r="AY1854" s="196">
        <v>49.3</v>
      </c>
      <c r="AZ1854" s="196">
        <v>-116.2</v>
      </c>
      <c r="BA1854" s="196">
        <v>15</v>
      </c>
      <c r="BB1854" s="182"/>
      <c r="BC1854" s="182"/>
      <c r="BD1854" s="182"/>
      <c r="BE1854" s="182"/>
      <c r="BF1854" s="182"/>
      <c r="BG1854" s="182"/>
      <c r="BH1854" s="182"/>
      <c r="BI1854" s="182"/>
      <c r="BJ1854" s="182"/>
      <c r="BK1854" s="182"/>
      <c r="BL1854" s="182"/>
      <c r="BM1854" s="182"/>
      <c r="BN1854" s="182"/>
      <c r="BO1854" s="182"/>
      <c r="BP1854" s="182"/>
      <c r="BQ1854" s="182"/>
      <c r="BR1854" s="182"/>
      <c r="BS1854" s="182"/>
      <c r="BT1854" s="182"/>
    </row>
    <row r="1855" spans="2:72" ht="14.25" customHeight="1" x14ac:dyDescent="0.2">
      <c r="B1855" s="4">
        <v>12</v>
      </c>
      <c r="C1855" s="4" t="s">
        <v>1711</v>
      </c>
      <c r="D1855" s="4">
        <v>795</v>
      </c>
      <c r="E1855" s="4">
        <v>2242</v>
      </c>
      <c r="F1855" s="211" t="s">
        <v>3785</v>
      </c>
      <c r="G1855" s="9" t="s">
        <v>3786</v>
      </c>
      <c r="H1855" s="4" t="s">
        <v>3787</v>
      </c>
      <c r="I1855" s="4" t="s">
        <v>1664</v>
      </c>
      <c r="J1855" s="4" t="s">
        <v>1746</v>
      </c>
      <c r="K1855" s="4">
        <v>1</v>
      </c>
      <c r="L1855" s="4">
        <v>2645</v>
      </c>
      <c r="M1855" s="27"/>
      <c r="N1855" s="27"/>
      <c r="O1855" s="182"/>
      <c r="P1855" s="182"/>
      <c r="Q1855" s="182"/>
      <c r="R1855" s="27"/>
      <c r="S1855" s="182"/>
      <c r="T1855" s="9"/>
      <c r="U1855" s="182"/>
      <c r="V1855" s="182"/>
      <c r="W1855" s="27"/>
      <c r="X1855" s="182"/>
      <c r="Y1855" s="182"/>
      <c r="Z1855" s="182"/>
      <c r="AA1855" s="182"/>
      <c r="AB1855" s="182"/>
      <c r="AC1855" s="182"/>
      <c r="AD1855" s="182"/>
      <c r="AE1855" s="182"/>
      <c r="AF1855" s="182"/>
      <c r="AG1855" s="182"/>
      <c r="AH1855" s="182"/>
      <c r="AI1855" s="182"/>
      <c r="AJ1855" s="182"/>
      <c r="AK1855" s="27"/>
      <c r="AL1855" s="182"/>
      <c r="AM1855" s="182"/>
      <c r="AN1855" s="182"/>
      <c r="AO1855" s="196" t="s">
        <v>3785</v>
      </c>
      <c r="AP1855" s="196">
        <v>795</v>
      </c>
      <c r="AQ1855" s="196" t="s">
        <v>1716</v>
      </c>
      <c r="AR1855" s="196" t="s">
        <v>1717</v>
      </c>
      <c r="AS1855" s="196" t="s">
        <v>1718</v>
      </c>
      <c r="AT1855" s="196" t="s">
        <v>1719</v>
      </c>
      <c r="AU1855" s="196" t="s">
        <v>1703</v>
      </c>
      <c r="AV1855" s="196" t="s">
        <v>1720</v>
      </c>
      <c r="AW1855" s="196" t="s">
        <v>2698</v>
      </c>
      <c r="AX1855" s="196" t="s">
        <v>2902</v>
      </c>
      <c r="AY1855" s="196">
        <v>49.2</v>
      </c>
      <c r="AZ1855" s="196">
        <v>-115.5</v>
      </c>
      <c r="BA1855" s="196">
        <v>15</v>
      </c>
      <c r="BB1855" s="182"/>
      <c r="BC1855" s="182"/>
      <c r="BD1855" s="182"/>
      <c r="BE1855" s="182"/>
      <c r="BF1855" s="182"/>
      <c r="BG1855" s="182"/>
      <c r="BH1855" s="182"/>
      <c r="BI1855" s="182"/>
      <c r="BJ1855" s="182"/>
      <c r="BK1855" s="182"/>
      <c r="BL1855" s="182"/>
      <c r="BM1855" s="182"/>
      <c r="BN1855" s="182"/>
      <c r="BO1855" s="182"/>
      <c r="BP1855" s="182"/>
      <c r="BQ1855" s="182"/>
      <c r="BR1855" s="182"/>
      <c r="BS1855" s="182"/>
      <c r="BT1855" s="182"/>
    </row>
    <row r="1856" spans="2:72" ht="14.25" customHeight="1" x14ac:dyDescent="0.2">
      <c r="B1856" s="4">
        <v>12</v>
      </c>
      <c r="C1856" s="4" t="s">
        <v>1711</v>
      </c>
      <c r="D1856" s="4">
        <v>799</v>
      </c>
      <c r="E1856" s="4">
        <v>2246</v>
      </c>
      <c r="F1856" s="212" t="s">
        <v>3794</v>
      </c>
      <c r="G1856" s="4" t="s">
        <v>3795</v>
      </c>
      <c r="H1856" s="4" t="s">
        <v>3796</v>
      </c>
      <c r="I1856" s="4" t="s">
        <v>1664</v>
      </c>
      <c r="J1856" s="4" t="s">
        <v>1746</v>
      </c>
      <c r="K1856" s="4">
        <v>1</v>
      </c>
      <c r="L1856" s="4">
        <v>2649</v>
      </c>
      <c r="M1856" s="27"/>
      <c r="N1856" s="27"/>
      <c r="O1856" s="182"/>
      <c r="P1856" s="27"/>
      <c r="Q1856" s="182"/>
      <c r="R1856" s="27"/>
      <c r="S1856" s="182"/>
      <c r="T1856" s="27"/>
      <c r="U1856" s="182"/>
      <c r="V1856" s="182"/>
      <c r="W1856" s="182"/>
      <c r="X1856" s="182"/>
      <c r="Y1856" s="182"/>
      <c r="Z1856" s="182"/>
      <c r="AA1856" s="182"/>
      <c r="AB1856" s="182"/>
      <c r="AC1856" s="182"/>
      <c r="AD1856" s="182"/>
      <c r="AE1856" s="182"/>
      <c r="AF1856" s="182"/>
      <c r="AG1856" s="182"/>
      <c r="AH1856" s="182"/>
      <c r="AI1856" s="182"/>
      <c r="AJ1856" s="182"/>
      <c r="AK1856" s="27"/>
      <c r="AL1856" s="182"/>
      <c r="AM1856" s="182"/>
      <c r="AN1856" s="182"/>
      <c r="AO1856" s="196" t="s">
        <v>3794</v>
      </c>
      <c r="AP1856" s="196">
        <v>799</v>
      </c>
      <c r="AQ1856" s="196" t="s">
        <v>1716</v>
      </c>
      <c r="AR1856" s="196" t="s">
        <v>1717</v>
      </c>
      <c r="AS1856" s="196" t="s">
        <v>1718</v>
      </c>
      <c r="AT1856" s="196" t="s">
        <v>1719</v>
      </c>
      <c r="AU1856" s="196" t="s">
        <v>1703</v>
      </c>
      <c r="AV1856" s="196" t="s">
        <v>1720</v>
      </c>
      <c r="AW1856" s="196" t="s">
        <v>2698</v>
      </c>
      <c r="AX1856" s="196" t="s">
        <v>2768</v>
      </c>
      <c r="AY1856" s="196">
        <v>50.3</v>
      </c>
      <c r="AZ1856" s="196">
        <v>-115.2</v>
      </c>
      <c r="BA1856" s="196">
        <v>15</v>
      </c>
      <c r="BB1856" s="182"/>
      <c r="BC1856" s="182"/>
      <c r="BD1856" s="182"/>
      <c r="BE1856" s="182"/>
      <c r="BF1856" s="182"/>
      <c r="BG1856" s="182"/>
      <c r="BH1856" s="182"/>
      <c r="BI1856" s="182"/>
      <c r="BJ1856" s="182"/>
      <c r="BK1856" s="182"/>
      <c r="BL1856" s="182"/>
      <c r="BM1856" s="182"/>
      <c r="BN1856" s="182"/>
      <c r="BO1856" s="182"/>
      <c r="BP1856" s="182"/>
      <c r="BQ1856" s="182"/>
      <c r="BR1856" s="182"/>
      <c r="BS1856" s="182"/>
      <c r="BT1856" s="182"/>
    </row>
    <row r="1857" spans="1:72" ht="14.25" customHeight="1" x14ac:dyDescent="0.2">
      <c r="B1857" s="4">
        <v>12</v>
      </c>
      <c r="C1857" s="4" t="s">
        <v>1711</v>
      </c>
      <c r="D1857" s="4">
        <v>800</v>
      </c>
      <c r="E1857" s="4">
        <v>2247</v>
      </c>
      <c r="F1857" s="211" t="s">
        <v>3797</v>
      </c>
      <c r="G1857" s="4" t="s">
        <v>3798</v>
      </c>
      <c r="H1857" s="4" t="s">
        <v>3799</v>
      </c>
      <c r="I1857" s="4" t="s">
        <v>1664</v>
      </c>
      <c r="J1857" s="4" t="s">
        <v>1715</v>
      </c>
      <c r="K1857" s="4">
        <v>1</v>
      </c>
      <c r="L1857" s="4">
        <v>2650</v>
      </c>
      <c r="M1857" s="9"/>
      <c r="N1857" s="9"/>
      <c r="P1857" s="9"/>
      <c r="R1857" s="9"/>
      <c r="T1857" s="9"/>
      <c r="U1857"/>
      <c r="W1857" s="9"/>
      <c r="AK1857" s="9"/>
      <c r="AO1857" s="4" t="s">
        <v>3797</v>
      </c>
      <c r="AP1857" s="4">
        <v>800</v>
      </c>
      <c r="AQ1857" s="4" t="s">
        <v>1716</v>
      </c>
      <c r="AR1857" s="4" t="s">
        <v>1717</v>
      </c>
      <c r="AS1857" s="4" t="s">
        <v>1718</v>
      </c>
      <c r="AT1857" s="4" t="s">
        <v>1719</v>
      </c>
      <c r="AU1857" s="4" t="s">
        <v>1703</v>
      </c>
      <c r="AV1857" s="4" t="s">
        <v>1720</v>
      </c>
      <c r="AW1857" s="4" t="s">
        <v>2698</v>
      </c>
      <c r="AX1857" s="4" t="s">
        <v>2768</v>
      </c>
      <c r="AY1857" s="4">
        <v>50.4</v>
      </c>
      <c r="AZ1857" s="4">
        <v>-116.1</v>
      </c>
      <c r="BA1857" s="4">
        <v>16</v>
      </c>
    </row>
    <row r="1858" spans="1:72" ht="14.25" customHeight="1" x14ac:dyDescent="0.2">
      <c r="B1858" s="4">
        <v>12</v>
      </c>
      <c r="C1858" s="4" t="s">
        <v>1711</v>
      </c>
      <c r="D1858" s="4">
        <v>802</v>
      </c>
      <c r="E1858" s="4">
        <v>2249</v>
      </c>
      <c r="F1858" s="211" t="s">
        <v>3803</v>
      </c>
      <c r="G1858" s="4" t="s">
        <v>3804</v>
      </c>
      <c r="H1858" s="4" t="s">
        <v>3805</v>
      </c>
      <c r="I1858" s="4" t="s">
        <v>1664</v>
      </c>
      <c r="J1858" s="4" t="s">
        <v>1715</v>
      </c>
      <c r="K1858" s="4">
        <v>1</v>
      </c>
      <c r="L1858" s="4">
        <v>2652</v>
      </c>
      <c r="M1858" s="9"/>
      <c r="N1858" s="9"/>
      <c r="P1858" s="9"/>
      <c r="R1858" s="9"/>
      <c r="T1858" s="9"/>
      <c r="U1858"/>
      <c r="W1858" s="9"/>
      <c r="AK1858" s="9"/>
      <c r="AO1858" s="4" t="s">
        <v>3803</v>
      </c>
      <c r="AP1858" s="4">
        <v>802</v>
      </c>
      <c r="AQ1858" s="4" t="s">
        <v>1716</v>
      </c>
      <c r="AR1858" s="4" t="s">
        <v>1717</v>
      </c>
      <c r="AS1858" s="4" t="s">
        <v>1718</v>
      </c>
      <c r="AT1858" s="4" t="s">
        <v>1719</v>
      </c>
      <c r="AU1858" s="4" t="s">
        <v>1703</v>
      </c>
      <c r="AV1858" s="4" t="s">
        <v>1720</v>
      </c>
      <c r="AW1858" s="4" t="s">
        <v>2698</v>
      </c>
      <c r="AX1858" s="4" t="s">
        <v>2768</v>
      </c>
      <c r="AY1858" s="4">
        <v>50.1</v>
      </c>
      <c r="AZ1858" s="4">
        <v>-115.8</v>
      </c>
      <c r="BA1858" s="4">
        <v>9</v>
      </c>
    </row>
    <row r="1859" spans="1:72" ht="14.25" customHeight="1" x14ac:dyDescent="0.2">
      <c r="B1859" s="4">
        <v>12</v>
      </c>
      <c r="C1859" s="4" t="s">
        <v>1711</v>
      </c>
      <c r="D1859" s="4">
        <v>803</v>
      </c>
      <c r="E1859" s="4">
        <v>2250</v>
      </c>
      <c r="F1859" s="211" t="s">
        <v>3806</v>
      </c>
      <c r="G1859" s="4" t="s">
        <v>3807</v>
      </c>
      <c r="H1859" s="4" t="s">
        <v>3808</v>
      </c>
      <c r="I1859" s="4" t="s">
        <v>1664</v>
      </c>
      <c r="J1859" s="4" t="s">
        <v>1746</v>
      </c>
      <c r="K1859" s="4">
        <v>1</v>
      </c>
      <c r="L1859" s="4">
        <v>2653</v>
      </c>
      <c r="M1859" s="9"/>
      <c r="N1859" s="9"/>
      <c r="P1859" s="9"/>
      <c r="R1859" s="9"/>
      <c r="T1859" s="9"/>
      <c r="U1859"/>
      <c r="W1859" s="9"/>
      <c r="AK1859" s="9"/>
      <c r="AO1859" s="4" t="s">
        <v>3806</v>
      </c>
      <c r="AP1859" s="4">
        <v>803</v>
      </c>
      <c r="AQ1859" s="4" t="s">
        <v>1716</v>
      </c>
      <c r="AR1859" s="4" t="s">
        <v>1717</v>
      </c>
      <c r="AS1859" s="4" t="s">
        <v>1718</v>
      </c>
      <c r="AT1859" s="4" t="s">
        <v>1719</v>
      </c>
      <c r="AU1859" s="4" t="s">
        <v>1703</v>
      </c>
      <c r="AV1859" s="4" t="s">
        <v>1720</v>
      </c>
      <c r="AW1859" s="4" t="s">
        <v>2698</v>
      </c>
      <c r="AX1859" s="4" t="s">
        <v>2768</v>
      </c>
      <c r="AY1859" s="4">
        <v>50.4</v>
      </c>
      <c r="AZ1859" s="4">
        <v>-115.3</v>
      </c>
      <c r="BA1859" s="4">
        <v>17</v>
      </c>
    </row>
    <row r="1860" spans="1:72" ht="14.25" customHeight="1" x14ac:dyDescent="0.2">
      <c r="B1860" s="4">
        <v>12</v>
      </c>
      <c r="C1860" s="4" t="s">
        <v>1711</v>
      </c>
      <c r="D1860" s="4">
        <v>805</v>
      </c>
      <c r="E1860" s="4">
        <v>2252</v>
      </c>
      <c r="F1860" s="211" t="s">
        <v>3812</v>
      </c>
      <c r="G1860" s="9" t="s">
        <v>3813</v>
      </c>
      <c r="H1860" s="4" t="s">
        <v>3814</v>
      </c>
      <c r="I1860" s="4" t="s">
        <v>1664</v>
      </c>
      <c r="J1860" s="4" t="s">
        <v>1715</v>
      </c>
      <c r="K1860" s="4">
        <v>1</v>
      </c>
      <c r="L1860" s="4">
        <v>2655</v>
      </c>
      <c r="M1860" s="9"/>
      <c r="N1860" s="9"/>
      <c r="P1860" s="9"/>
      <c r="R1860" s="9"/>
      <c r="T1860" s="9"/>
      <c r="U1860"/>
      <c r="W1860" s="9"/>
      <c r="AK1860" s="9"/>
      <c r="AO1860" s="4" t="s">
        <v>3812</v>
      </c>
      <c r="AP1860" s="4">
        <v>805</v>
      </c>
      <c r="AQ1860" s="4" t="s">
        <v>1716</v>
      </c>
      <c r="AR1860" s="4" t="s">
        <v>1717</v>
      </c>
      <c r="AS1860" s="4" t="s">
        <v>1718</v>
      </c>
      <c r="AT1860" s="4" t="s">
        <v>1719</v>
      </c>
      <c r="AU1860" s="4" t="s">
        <v>1703</v>
      </c>
      <c r="AV1860" s="4" t="s">
        <v>1720</v>
      </c>
      <c r="AW1860" s="4" t="s">
        <v>2698</v>
      </c>
      <c r="AX1860" s="4" t="s">
        <v>2768</v>
      </c>
      <c r="AY1860" s="4">
        <v>50.1</v>
      </c>
      <c r="AZ1860" s="4">
        <v>-115.3</v>
      </c>
      <c r="BA1860" s="4">
        <v>17</v>
      </c>
    </row>
    <row r="1861" spans="1:72" ht="14.25" customHeight="1" x14ac:dyDescent="0.2">
      <c r="B1861" s="4">
        <v>12</v>
      </c>
      <c r="C1861" s="4" t="s">
        <v>1711</v>
      </c>
      <c r="D1861" s="4">
        <v>806</v>
      </c>
      <c r="E1861" s="4">
        <v>2253</v>
      </c>
      <c r="F1861" s="211" t="s">
        <v>3815</v>
      </c>
      <c r="G1861" s="4" t="s">
        <v>3816</v>
      </c>
      <c r="H1861" s="4" t="s">
        <v>3817</v>
      </c>
      <c r="I1861" s="4" t="s">
        <v>1664</v>
      </c>
      <c r="J1861" s="4" t="s">
        <v>1746</v>
      </c>
      <c r="K1861" s="4">
        <v>1</v>
      </c>
      <c r="L1861" s="4">
        <v>2656</v>
      </c>
      <c r="M1861" s="9"/>
      <c r="N1861" s="9"/>
      <c r="P1861" s="9"/>
      <c r="R1861" s="9"/>
      <c r="T1861" s="9"/>
      <c r="U1861"/>
      <c r="W1861" s="9"/>
      <c r="AK1861" s="9"/>
      <c r="AO1861" s="4" t="s">
        <v>3815</v>
      </c>
      <c r="AP1861" s="4">
        <v>806</v>
      </c>
      <c r="AQ1861" s="4" t="s">
        <v>1716</v>
      </c>
      <c r="AR1861" s="4" t="s">
        <v>1717</v>
      </c>
      <c r="AS1861" s="4" t="s">
        <v>1718</v>
      </c>
      <c r="AT1861" s="4" t="s">
        <v>1719</v>
      </c>
      <c r="AU1861" s="4" t="s">
        <v>1703</v>
      </c>
      <c r="AV1861" s="4" t="s">
        <v>1720</v>
      </c>
      <c r="AW1861" s="4" t="s">
        <v>2698</v>
      </c>
      <c r="AX1861" s="4" t="s">
        <v>2768</v>
      </c>
      <c r="AY1861" s="4">
        <v>50.7</v>
      </c>
      <c r="AZ1861" s="4">
        <v>-115.5</v>
      </c>
      <c r="BA1861" s="4">
        <v>16</v>
      </c>
    </row>
    <row r="1862" spans="1:72" ht="14.25" customHeight="1" x14ac:dyDescent="0.2">
      <c r="A1862" s="182"/>
      <c r="B1862" s="196">
        <v>12</v>
      </c>
      <c r="C1862" s="196" t="s">
        <v>1711</v>
      </c>
      <c r="D1862" s="196">
        <v>807</v>
      </c>
      <c r="E1862" s="196">
        <v>2254</v>
      </c>
      <c r="F1862" s="212" t="s">
        <v>3818</v>
      </c>
      <c r="G1862" s="196" t="s">
        <v>3819</v>
      </c>
      <c r="H1862" s="4" t="s">
        <v>3820</v>
      </c>
      <c r="I1862" s="4" t="s">
        <v>1664</v>
      </c>
      <c r="J1862" s="4" t="s">
        <v>1746</v>
      </c>
      <c r="K1862" s="4">
        <v>1</v>
      </c>
      <c r="L1862" s="4">
        <v>2657</v>
      </c>
      <c r="M1862" s="27"/>
      <c r="N1862" s="27"/>
      <c r="O1862" s="182"/>
      <c r="P1862" s="27"/>
      <c r="Q1862" s="182"/>
      <c r="R1862" s="27"/>
      <c r="S1862" s="182"/>
      <c r="T1862" s="27"/>
      <c r="U1862" s="182"/>
      <c r="V1862" s="182"/>
      <c r="W1862" s="182"/>
      <c r="X1862" s="182"/>
      <c r="Y1862" s="182"/>
      <c r="Z1862" s="182"/>
      <c r="AA1862" s="182"/>
      <c r="AB1862" s="182"/>
      <c r="AC1862" s="182"/>
      <c r="AD1862" s="182"/>
      <c r="AE1862" s="182"/>
      <c r="AF1862" s="182"/>
      <c r="AG1862" s="182"/>
      <c r="AH1862" s="182"/>
      <c r="AI1862" s="182"/>
      <c r="AJ1862" s="182"/>
      <c r="AK1862" s="27"/>
      <c r="AL1862" s="182"/>
      <c r="AM1862" s="182"/>
      <c r="AN1862" s="182"/>
      <c r="AO1862" s="196" t="s">
        <v>3818</v>
      </c>
      <c r="AP1862" s="196">
        <v>807</v>
      </c>
      <c r="AQ1862" s="196" t="s">
        <v>1716</v>
      </c>
      <c r="AR1862" s="196" t="s">
        <v>1717</v>
      </c>
      <c r="AS1862" s="196" t="s">
        <v>1718</v>
      </c>
      <c r="AT1862" s="196" t="s">
        <v>1719</v>
      </c>
      <c r="AU1862" s="196" t="s">
        <v>1703</v>
      </c>
      <c r="AV1862" s="196" t="s">
        <v>1720</v>
      </c>
      <c r="AW1862" s="196" t="s">
        <v>2698</v>
      </c>
      <c r="AX1862" s="196" t="s">
        <v>2902</v>
      </c>
      <c r="AY1862" s="196">
        <v>49.3</v>
      </c>
      <c r="AZ1862" s="196">
        <v>-115.3</v>
      </c>
      <c r="BA1862" s="196">
        <v>10</v>
      </c>
      <c r="BB1862" s="182"/>
      <c r="BC1862" s="182"/>
      <c r="BD1862" s="182"/>
      <c r="BE1862" s="182"/>
      <c r="BF1862" s="182"/>
      <c r="BG1862" s="182"/>
      <c r="BH1862" s="182"/>
      <c r="BI1862" s="182"/>
      <c r="BJ1862" s="182"/>
      <c r="BK1862" s="182"/>
      <c r="BL1862" s="182"/>
      <c r="BM1862" s="182"/>
      <c r="BN1862" s="182"/>
      <c r="BO1862" s="182"/>
      <c r="BP1862" s="182"/>
      <c r="BQ1862" s="182"/>
      <c r="BR1862" s="182"/>
      <c r="BS1862" s="182"/>
      <c r="BT1862" s="182"/>
    </row>
    <row r="1863" spans="1:72" ht="14.25" customHeight="1" x14ac:dyDescent="0.2">
      <c r="B1863" s="4">
        <v>12</v>
      </c>
      <c r="C1863" s="4" t="s">
        <v>1711</v>
      </c>
      <c r="D1863" s="4">
        <v>808</v>
      </c>
      <c r="E1863" s="4">
        <v>2255</v>
      </c>
      <c r="F1863" s="16" t="s">
        <v>3821</v>
      </c>
      <c r="G1863" s="4" t="s">
        <v>3822</v>
      </c>
      <c r="H1863" s="4" t="s">
        <v>3823</v>
      </c>
      <c r="I1863" s="4" t="s">
        <v>1664</v>
      </c>
      <c r="J1863" s="4" t="s">
        <v>1715</v>
      </c>
      <c r="K1863" s="4">
        <v>1</v>
      </c>
      <c r="L1863" s="4">
        <v>2658</v>
      </c>
      <c r="M1863" s="9"/>
      <c r="N1863" s="9"/>
      <c r="P1863" s="9"/>
      <c r="R1863" s="9"/>
      <c r="T1863" s="9"/>
      <c r="U1863"/>
      <c r="W1863" s="9"/>
      <c r="AK1863" s="9"/>
      <c r="AO1863" s="4" t="s">
        <v>3821</v>
      </c>
      <c r="AP1863" s="4">
        <v>808</v>
      </c>
      <c r="AQ1863" s="4" t="s">
        <v>1716</v>
      </c>
      <c r="AR1863" s="4" t="s">
        <v>1717</v>
      </c>
      <c r="AS1863" s="4" t="s">
        <v>1718</v>
      </c>
      <c r="AT1863" s="4" t="s">
        <v>1719</v>
      </c>
      <c r="AU1863" s="4" t="s">
        <v>1703</v>
      </c>
      <c r="AV1863" s="4" t="s">
        <v>1720</v>
      </c>
      <c r="AW1863" s="4" t="s">
        <v>2698</v>
      </c>
      <c r="AX1863" s="4" t="s">
        <v>2902</v>
      </c>
      <c r="AY1863" s="4">
        <v>49.3</v>
      </c>
      <c r="AZ1863" s="4">
        <v>-115.8</v>
      </c>
      <c r="BA1863" s="4">
        <v>11</v>
      </c>
    </row>
    <row r="1864" spans="1:72" ht="14.25" customHeight="1" x14ac:dyDescent="0.2">
      <c r="B1864" s="4">
        <v>12</v>
      </c>
      <c r="C1864" s="4" t="s">
        <v>1711</v>
      </c>
      <c r="D1864" s="4">
        <v>809</v>
      </c>
      <c r="E1864" s="4">
        <v>2256</v>
      </c>
      <c r="F1864" s="211" t="s">
        <v>3824</v>
      </c>
      <c r="G1864" s="4" t="s">
        <v>3825</v>
      </c>
      <c r="H1864" s="4" t="s">
        <v>3826</v>
      </c>
      <c r="I1864" s="4" t="s">
        <v>1664</v>
      </c>
      <c r="J1864" s="4" t="s">
        <v>1746</v>
      </c>
      <c r="K1864" s="4">
        <v>1</v>
      </c>
      <c r="L1864" s="4">
        <v>2659</v>
      </c>
      <c r="M1864" s="9"/>
      <c r="N1864" s="9"/>
      <c r="P1864" s="9"/>
      <c r="R1864" s="9"/>
      <c r="T1864" s="9"/>
      <c r="U1864"/>
      <c r="W1864" s="9"/>
      <c r="AK1864" s="9"/>
      <c r="AO1864" s="4" t="s">
        <v>3824</v>
      </c>
      <c r="AP1864" s="4">
        <v>809</v>
      </c>
      <c r="AQ1864" s="4" t="s">
        <v>1716</v>
      </c>
      <c r="AR1864" s="4" t="s">
        <v>1717</v>
      </c>
      <c r="AS1864" s="4" t="s">
        <v>1718</v>
      </c>
      <c r="AT1864" s="4" t="s">
        <v>1719</v>
      </c>
      <c r="AU1864" s="4" t="s">
        <v>1703</v>
      </c>
      <c r="AV1864" s="4" t="s">
        <v>1720</v>
      </c>
      <c r="AW1864" s="4" t="s">
        <v>2698</v>
      </c>
      <c r="AX1864" s="4" t="s">
        <v>2768</v>
      </c>
      <c r="AY1864" s="4">
        <v>50.8</v>
      </c>
      <c r="AZ1864" s="4">
        <v>-116</v>
      </c>
      <c r="BA1864" s="4">
        <v>11</v>
      </c>
    </row>
    <row r="1865" spans="1:72" ht="14.25" customHeight="1" x14ac:dyDescent="0.2">
      <c r="B1865" s="4">
        <v>12</v>
      </c>
      <c r="C1865" s="4" t="s">
        <v>1711</v>
      </c>
      <c r="D1865" s="4">
        <v>810</v>
      </c>
      <c r="E1865" s="4">
        <v>2257</v>
      </c>
      <c r="F1865" s="212" t="s">
        <v>3827</v>
      </c>
      <c r="G1865" s="4" t="s">
        <v>3828</v>
      </c>
      <c r="H1865" s="4" t="s">
        <v>3829</v>
      </c>
      <c r="I1865" s="4" t="s">
        <v>1664</v>
      </c>
      <c r="J1865" s="4" t="s">
        <v>1746</v>
      </c>
      <c r="K1865" s="4">
        <v>1</v>
      </c>
      <c r="L1865" s="4">
        <v>2660</v>
      </c>
      <c r="M1865" s="27"/>
      <c r="N1865" s="27"/>
      <c r="O1865" s="182"/>
      <c r="P1865" s="27"/>
      <c r="Q1865" s="182"/>
      <c r="R1865" s="27"/>
      <c r="S1865" s="182"/>
      <c r="T1865" s="27"/>
      <c r="U1865" s="182"/>
      <c r="V1865" s="182"/>
      <c r="W1865" s="182"/>
      <c r="X1865" s="182"/>
      <c r="Y1865" s="182"/>
      <c r="Z1865" s="182"/>
      <c r="AA1865" s="182"/>
      <c r="AB1865" s="182"/>
      <c r="AC1865" s="182"/>
      <c r="AD1865" s="182"/>
      <c r="AE1865" s="182"/>
      <c r="AF1865" s="182"/>
      <c r="AG1865" s="182"/>
      <c r="AH1865" s="182"/>
      <c r="AI1865" s="182"/>
      <c r="AJ1865" s="182"/>
      <c r="AK1865" s="27"/>
      <c r="AL1865" s="182"/>
      <c r="AM1865" s="182"/>
      <c r="AN1865" s="182"/>
      <c r="AO1865" s="196" t="s">
        <v>3827</v>
      </c>
      <c r="AP1865" s="196">
        <v>810</v>
      </c>
      <c r="AQ1865" s="196" t="s">
        <v>1716</v>
      </c>
      <c r="AR1865" s="196" t="s">
        <v>1717</v>
      </c>
      <c r="AS1865" s="196" t="s">
        <v>1718</v>
      </c>
      <c r="AT1865" s="196" t="s">
        <v>1719</v>
      </c>
      <c r="AU1865" s="196" t="s">
        <v>1703</v>
      </c>
      <c r="AV1865" s="196" t="s">
        <v>1720</v>
      </c>
      <c r="AW1865" s="196" t="s">
        <v>2698</v>
      </c>
      <c r="AX1865" s="196" t="s">
        <v>2768</v>
      </c>
      <c r="AY1865" s="196">
        <v>50.7</v>
      </c>
      <c r="AZ1865" s="196">
        <v>-115.9</v>
      </c>
      <c r="BA1865" s="196">
        <v>14</v>
      </c>
      <c r="BB1865" s="182"/>
      <c r="BC1865" s="182"/>
      <c r="BD1865" s="182"/>
      <c r="BE1865" s="182"/>
      <c r="BF1865" s="182"/>
      <c r="BG1865" s="182"/>
      <c r="BH1865" s="182"/>
      <c r="BI1865" s="182"/>
      <c r="BJ1865" s="182"/>
      <c r="BK1865" s="182"/>
      <c r="BL1865" s="182"/>
      <c r="BM1865" s="182"/>
      <c r="BN1865" s="182"/>
      <c r="BO1865" s="182"/>
      <c r="BP1865" s="182"/>
      <c r="BQ1865" s="182"/>
      <c r="BR1865" s="182"/>
      <c r="BS1865" s="182"/>
      <c r="BT1865" s="182"/>
    </row>
    <row r="1866" spans="1:72" ht="14.25" customHeight="1" x14ac:dyDescent="0.2">
      <c r="B1866" s="4">
        <v>12</v>
      </c>
      <c r="C1866" s="4" t="s">
        <v>1711</v>
      </c>
      <c r="D1866" s="4">
        <v>811</v>
      </c>
      <c r="E1866" s="4">
        <v>2258</v>
      </c>
      <c r="F1866" s="212" t="s">
        <v>3830</v>
      </c>
      <c r="G1866" s="4" t="s">
        <v>3831</v>
      </c>
      <c r="H1866" s="4" t="s">
        <v>3832</v>
      </c>
      <c r="I1866" s="4" t="s">
        <v>1664</v>
      </c>
      <c r="J1866" s="4" t="s">
        <v>1746</v>
      </c>
      <c r="K1866" s="4">
        <v>1</v>
      </c>
      <c r="L1866" s="4">
        <v>2661</v>
      </c>
      <c r="M1866" s="27"/>
      <c r="N1866" s="27"/>
      <c r="O1866" s="182"/>
      <c r="P1866" s="27"/>
      <c r="Q1866" s="182"/>
      <c r="R1866" s="27"/>
      <c r="S1866" s="182"/>
      <c r="T1866" s="27"/>
      <c r="U1866" s="182"/>
      <c r="V1866" s="182"/>
      <c r="W1866" s="27"/>
      <c r="X1866" s="182"/>
      <c r="Y1866" s="182"/>
      <c r="Z1866" s="182"/>
      <c r="AA1866" s="182"/>
      <c r="AB1866" s="182"/>
      <c r="AC1866" s="182"/>
      <c r="AD1866" s="182"/>
      <c r="AE1866" s="182"/>
      <c r="AF1866" s="182"/>
      <c r="AG1866" s="182"/>
      <c r="AH1866" s="182"/>
      <c r="AI1866" s="182"/>
      <c r="AJ1866" s="182"/>
      <c r="AK1866" s="27"/>
      <c r="AL1866" s="182"/>
      <c r="AM1866" s="182"/>
      <c r="AN1866" s="182"/>
      <c r="AO1866" s="196" t="s">
        <v>3830</v>
      </c>
      <c r="AP1866" s="196">
        <v>811</v>
      </c>
      <c r="AQ1866" s="196" t="s">
        <v>1716</v>
      </c>
      <c r="AR1866" s="196" t="s">
        <v>1717</v>
      </c>
      <c r="AS1866" s="196" t="s">
        <v>1718</v>
      </c>
      <c r="AT1866" s="196" t="s">
        <v>1719</v>
      </c>
      <c r="AU1866" s="196" t="s">
        <v>1703</v>
      </c>
      <c r="AV1866" s="196" t="s">
        <v>1720</v>
      </c>
      <c r="AW1866" s="196" t="s">
        <v>2698</v>
      </c>
      <c r="AX1866" s="196" t="s">
        <v>2902</v>
      </c>
      <c r="AY1866" s="196">
        <v>49.2</v>
      </c>
      <c r="AZ1866" s="196">
        <v>-115.3</v>
      </c>
      <c r="BA1866" s="196">
        <v>9</v>
      </c>
      <c r="BB1866" s="182"/>
      <c r="BC1866" s="182"/>
      <c r="BD1866" s="182"/>
      <c r="BE1866" s="182"/>
      <c r="BF1866" s="182"/>
      <c r="BG1866" s="182"/>
      <c r="BH1866" s="182"/>
      <c r="BI1866" s="182"/>
      <c r="BJ1866" s="182"/>
      <c r="BK1866" s="182"/>
      <c r="BL1866" s="182"/>
      <c r="BM1866" s="182"/>
      <c r="BN1866" s="182"/>
      <c r="BO1866" s="182"/>
      <c r="BP1866" s="182"/>
      <c r="BQ1866" s="182"/>
      <c r="BR1866" s="182"/>
      <c r="BS1866" s="182"/>
      <c r="BT1866" s="182"/>
    </row>
    <row r="1867" spans="1:72" ht="14.25" customHeight="1" x14ac:dyDescent="0.2">
      <c r="B1867" s="4">
        <v>12</v>
      </c>
      <c r="C1867" s="188" t="s">
        <v>1711</v>
      </c>
      <c r="D1867" s="4">
        <v>812</v>
      </c>
      <c r="E1867" s="4">
        <v>2259</v>
      </c>
      <c r="F1867" s="211" t="s">
        <v>3833</v>
      </c>
      <c r="G1867" s="4" t="s">
        <v>3834</v>
      </c>
      <c r="H1867" s="4" t="s">
        <v>3835</v>
      </c>
      <c r="I1867" s="4" t="s">
        <v>1664</v>
      </c>
      <c r="J1867" s="4" t="s">
        <v>1746</v>
      </c>
      <c r="K1867" s="4">
        <v>1</v>
      </c>
      <c r="L1867" s="4">
        <v>2662</v>
      </c>
      <c r="M1867" s="9"/>
      <c r="N1867" s="9"/>
      <c r="P1867" s="9"/>
      <c r="R1867" s="9"/>
      <c r="T1867" s="9"/>
      <c r="U1867"/>
      <c r="W1867" s="9"/>
      <c r="AK1867" s="9"/>
      <c r="AO1867" s="4" t="s">
        <v>3833</v>
      </c>
      <c r="AP1867" s="4">
        <v>812</v>
      </c>
      <c r="AQ1867" s="4" t="s">
        <v>1716</v>
      </c>
      <c r="AR1867" s="4" t="s">
        <v>1717</v>
      </c>
      <c r="AS1867" s="4" t="s">
        <v>1718</v>
      </c>
      <c r="AT1867" s="4" t="s">
        <v>1719</v>
      </c>
      <c r="AU1867" s="4" t="s">
        <v>1703</v>
      </c>
      <c r="AV1867" s="4" t="s">
        <v>1720</v>
      </c>
      <c r="AW1867" s="4" t="s">
        <v>2698</v>
      </c>
      <c r="AX1867" s="4" t="s">
        <v>2768</v>
      </c>
      <c r="AY1867" s="4">
        <v>50.5</v>
      </c>
      <c r="AZ1867" s="4">
        <v>-115.9</v>
      </c>
      <c r="BA1867" s="4">
        <v>15</v>
      </c>
    </row>
    <row r="1868" spans="1:72" ht="14.25" customHeight="1" x14ac:dyDescent="0.2">
      <c r="B1868" s="4">
        <v>12</v>
      </c>
      <c r="C1868" s="4" t="s">
        <v>1711</v>
      </c>
      <c r="D1868" s="4">
        <v>816</v>
      </c>
      <c r="E1868" s="4">
        <v>2263</v>
      </c>
      <c r="F1868" s="212" t="s">
        <v>3845</v>
      </c>
      <c r="G1868" s="4" t="s">
        <v>3846</v>
      </c>
      <c r="H1868" s="4" t="s">
        <v>3847</v>
      </c>
      <c r="I1868" s="4" t="s">
        <v>1664</v>
      </c>
      <c r="J1868" s="4" t="s">
        <v>1715</v>
      </c>
      <c r="K1868" s="4">
        <v>1</v>
      </c>
      <c r="L1868" s="4">
        <v>2666</v>
      </c>
      <c r="M1868" s="27"/>
      <c r="N1868" s="182"/>
      <c r="O1868" s="182"/>
      <c r="P1868" s="182"/>
      <c r="Q1868" s="182"/>
      <c r="R1868" s="182"/>
      <c r="S1868" s="182"/>
      <c r="T1868" s="182"/>
      <c r="U1868" s="182"/>
      <c r="V1868" s="182"/>
      <c r="W1868" s="182"/>
      <c r="X1868" s="182"/>
      <c r="Y1868" s="182"/>
      <c r="Z1868" s="182"/>
      <c r="AA1868" s="182"/>
      <c r="AB1868" s="182"/>
      <c r="AC1868" s="182"/>
      <c r="AD1868" s="182"/>
      <c r="AE1868" s="182"/>
      <c r="AF1868" s="182"/>
      <c r="AG1868" s="182"/>
      <c r="AH1868" s="182"/>
      <c r="AI1868" s="182"/>
      <c r="AJ1868" s="182"/>
      <c r="AK1868" s="27"/>
      <c r="AL1868" s="182"/>
      <c r="AM1868" s="182"/>
      <c r="AN1868" s="182"/>
      <c r="AO1868" s="196" t="s">
        <v>3845</v>
      </c>
      <c r="AP1868" s="196">
        <v>816</v>
      </c>
      <c r="AQ1868" s="196" t="s">
        <v>1716</v>
      </c>
      <c r="AR1868" s="196" t="s">
        <v>1717</v>
      </c>
      <c r="AS1868" s="196" t="s">
        <v>1718</v>
      </c>
      <c r="AT1868" s="196" t="s">
        <v>1719</v>
      </c>
      <c r="AU1868" s="196" t="s">
        <v>1703</v>
      </c>
      <c r="AV1868" s="196" t="s">
        <v>1720</v>
      </c>
      <c r="AW1868" s="196" t="s">
        <v>1947</v>
      </c>
      <c r="AX1868" s="196" t="s">
        <v>2948</v>
      </c>
      <c r="AY1868" s="196">
        <v>55.6</v>
      </c>
      <c r="AZ1868" s="196">
        <v>-127.1</v>
      </c>
      <c r="BA1868" s="196">
        <v>11</v>
      </c>
      <c r="BB1868" s="182"/>
      <c r="BC1868" s="182"/>
      <c r="BD1868" s="182"/>
      <c r="BE1868" s="182"/>
      <c r="BF1868" s="182"/>
      <c r="BG1868" s="182"/>
      <c r="BH1868" s="182"/>
      <c r="BI1868" s="182"/>
      <c r="BJ1868" s="182"/>
      <c r="BK1868" s="182"/>
      <c r="BL1868" s="182"/>
      <c r="BM1868" s="182"/>
      <c r="BN1868" s="182"/>
      <c r="BO1868" s="182"/>
      <c r="BP1868" s="182"/>
      <c r="BQ1868" s="182"/>
      <c r="BR1868" s="182"/>
      <c r="BS1868" s="182"/>
      <c r="BT1868" s="182"/>
    </row>
    <row r="1869" spans="1:72" ht="14.25" customHeight="1" x14ac:dyDescent="0.2">
      <c r="B1869" s="4">
        <v>12</v>
      </c>
      <c r="C1869" s="4" t="s">
        <v>1711</v>
      </c>
      <c r="D1869" s="4">
        <v>817</v>
      </c>
      <c r="E1869" s="4">
        <v>2264</v>
      </c>
      <c r="F1869" s="211" t="s">
        <v>3848</v>
      </c>
      <c r="G1869" s="4" t="s">
        <v>3849</v>
      </c>
      <c r="H1869" s="4" t="s">
        <v>3850</v>
      </c>
      <c r="I1869" s="4" t="s">
        <v>1664</v>
      </c>
      <c r="J1869" s="4" t="s">
        <v>1715</v>
      </c>
      <c r="K1869" s="4">
        <v>1</v>
      </c>
      <c r="L1869" s="4">
        <v>2667</v>
      </c>
      <c r="M1869" s="9"/>
      <c r="U1869"/>
      <c r="AK1869" s="9"/>
      <c r="AO1869" s="4" t="s">
        <v>3848</v>
      </c>
      <c r="AP1869" s="4">
        <v>817</v>
      </c>
      <c r="AQ1869" s="4" t="s">
        <v>1716</v>
      </c>
      <c r="AR1869" s="4" t="s">
        <v>1717</v>
      </c>
      <c r="AS1869" s="4" t="s">
        <v>1718</v>
      </c>
      <c r="AT1869" s="4" t="s">
        <v>1719</v>
      </c>
      <c r="AU1869" s="4" t="s">
        <v>1703</v>
      </c>
      <c r="AV1869" s="4" t="s">
        <v>1720</v>
      </c>
      <c r="AW1869" s="4" t="s">
        <v>1947</v>
      </c>
      <c r="AX1869" s="4" t="s">
        <v>1973</v>
      </c>
      <c r="AY1869" s="4">
        <v>56.4</v>
      </c>
      <c r="AZ1869" s="4">
        <v>-129.4</v>
      </c>
      <c r="BA1869" s="4">
        <v>2</v>
      </c>
    </row>
    <row r="1870" spans="1:72" ht="14.25" customHeight="1" x14ac:dyDescent="0.2">
      <c r="B1870" s="4">
        <v>12</v>
      </c>
      <c r="C1870" s="188" t="s">
        <v>1711</v>
      </c>
      <c r="D1870" s="4">
        <v>818</v>
      </c>
      <c r="E1870" s="4">
        <v>2265</v>
      </c>
      <c r="F1870" s="211" t="s">
        <v>3851</v>
      </c>
      <c r="G1870" s="4" t="s">
        <v>3852</v>
      </c>
      <c r="H1870" s="4" t="s">
        <v>3853</v>
      </c>
      <c r="I1870" s="4" t="s">
        <v>1664</v>
      </c>
      <c r="J1870" s="4" t="s">
        <v>1746</v>
      </c>
      <c r="K1870" s="4">
        <v>1</v>
      </c>
      <c r="L1870" s="4">
        <v>2668</v>
      </c>
      <c r="M1870" s="9"/>
      <c r="U1870"/>
      <c r="AK1870" s="9"/>
      <c r="AO1870" s="4" t="s">
        <v>3851</v>
      </c>
      <c r="AP1870" s="4">
        <v>818</v>
      </c>
      <c r="AQ1870" s="4" t="s">
        <v>1716</v>
      </c>
      <c r="AR1870" s="4" t="s">
        <v>1717</v>
      </c>
      <c r="AS1870" s="4" t="s">
        <v>1718</v>
      </c>
      <c r="AT1870" s="4" t="s">
        <v>1719</v>
      </c>
      <c r="AU1870" s="4" t="s">
        <v>1703</v>
      </c>
      <c r="AV1870" s="4" t="s">
        <v>1720</v>
      </c>
      <c r="AW1870" s="4" t="s">
        <v>1947</v>
      </c>
      <c r="AX1870" s="4" t="s">
        <v>2948</v>
      </c>
      <c r="AY1870" s="4">
        <v>55.5</v>
      </c>
      <c r="AZ1870" s="4">
        <v>-128.19999999999999</v>
      </c>
      <c r="BA1870" s="4">
        <v>7</v>
      </c>
    </row>
    <row r="1871" spans="1:72" ht="14.25" customHeight="1" x14ac:dyDescent="0.2">
      <c r="B1871" s="4">
        <v>12</v>
      </c>
      <c r="C1871" s="4" t="s">
        <v>1711</v>
      </c>
      <c r="D1871" s="4">
        <v>821</v>
      </c>
      <c r="E1871" s="4">
        <v>2267</v>
      </c>
      <c r="F1871" s="211" t="s">
        <v>3857</v>
      </c>
      <c r="G1871" s="4" t="s">
        <v>3858</v>
      </c>
      <c r="H1871" s="4" t="s">
        <v>3859</v>
      </c>
      <c r="I1871" s="4" t="s">
        <v>641</v>
      </c>
      <c r="J1871" s="4" t="s">
        <v>1746</v>
      </c>
      <c r="K1871" s="4">
        <v>1</v>
      </c>
      <c r="L1871" s="4">
        <v>2670</v>
      </c>
      <c r="M1871" s="9"/>
      <c r="U1871"/>
      <c r="AK1871" s="9"/>
      <c r="AO1871" s="4" t="s">
        <v>3857</v>
      </c>
      <c r="AP1871" s="4">
        <v>821</v>
      </c>
      <c r="AQ1871" s="4" t="s">
        <v>1716</v>
      </c>
      <c r="AR1871" s="4" t="s">
        <v>1717</v>
      </c>
      <c r="AS1871" s="4" t="s">
        <v>1718</v>
      </c>
      <c r="AT1871" s="4" t="s">
        <v>1719</v>
      </c>
      <c r="AU1871" s="4" t="s">
        <v>1703</v>
      </c>
      <c r="AV1871" s="4" t="s">
        <v>1720</v>
      </c>
      <c r="AW1871" s="4" t="s">
        <v>1705</v>
      </c>
      <c r="AX1871" s="4" t="s">
        <v>1883</v>
      </c>
      <c r="AY1871" s="4">
        <v>49.2</v>
      </c>
      <c r="AZ1871" s="4">
        <v>-122.9</v>
      </c>
      <c r="BA1871" s="4">
        <v>50</v>
      </c>
    </row>
    <row r="1872" spans="1:72" ht="14.25" customHeight="1" x14ac:dyDescent="0.2">
      <c r="B1872" s="4">
        <v>12</v>
      </c>
      <c r="C1872" s="4" t="s">
        <v>1711</v>
      </c>
      <c r="D1872" s="4">
        <v>832</v>
      </c>
      <c r="E1872" s="4">
        <v>2269</v>
      </c>
      <c r="F1872" s="4" t="s">
        <v>3864</v>
      </c>
      <c r="G1872" s="4" t="s">
        <v>3865</v>
      </c>
      <c r="H1872" s="4" t="s">
        <v>3866</v>
      </c>
      <c r="I1872" s="4" t="s">
        <v>641</v>
      </c>
      <c r="J1872" s="4" t="s">
        <v>1829</v>
      </c>
      <c r="K1872" s="4">
        <v>1</v>
      </c>
      <c r="L1872" s="4">
        <v>2672</v>
      </c>
      <c r="M1872" s="9">
        <v>51.402720000000002</v>
      </c>
      <c r="N1872" s="9">
        <v>-122.32017</v>
      </c>
      <c r="O1872" s="9" t="s">
        <v>148</v>
      </c>
      <c r="P1872" s="9">
        <v>832</v>
      </c>
      <c r="Q1872" s="20">
        <v>4</v>
      </c>
      <c r="R1872" s="9" t="s">
        <v>3864</v>
      </c>
      <c r="S1872" s="9" t="s">
        <v>1737</v>
      </c>
      <c r="T1872" s="9">
        <v>1100</v>
      </c>
      <c r="U1872" s="9"/>
      <c r="V1872" s="9"/>
      <c r="W1872" s="21">
        <v>37722</v>
      </c>
      <c r="X1872" s="9" t="s">
        <v>1738</v>
      </c>
      <c r="AK1872" s="9"/>
      <c r="AO1872" s="4" t="s">
        <v>3864</v>
      </c>
      <c r="AP1872" s="4">
        <v>832</v>
      </c>
      <c r="AQ1872" s="4" t="s">
        <v>1716</v>
      </c>
      <c r="AR1872" s="4" t="s">
        <v>1739</v>
      </c>
      <c r="AS1872" s="4" t="s">
        <v>1740</v>
      </c>
      <c r="AT1872" s="4" t="s">
        <v>1741</v>
      </c>
      <c r="AU1872" s="4" t="s">
        <v>1742</v>
      </c>
      <c r="AV1872" s="4" t="s">
        <v>1720</v>
      </c>
      <c r="AW1872" s="4" t="s">
        <v>2193</v>
      </c>
      <c r="AX1872" s="4" t="s">
        <v>2291</v>
      </c>
      <c r="AY1872" s="4">
        <v>51.402700000000003</v>
      </c>
      <c r="AZ1872" s="4">
        <v>-122.3202</v>
      </c>
      <c r="BA1872" s="4">
        <v>1100</v>
      </c>
    </row>
    <row r="1873" spans="2:72" ht="14.25" customHeight="1" x14ac:dyDescent="0.2">
      <c r="B1873" s="4">
        <v>12</v>
      </c>
      <c r="C1873" s="4" t="s">
        <v>1711</v>
      </c>
      <c r="D1873" s="4">
        <v>836</v>
      </c>
      <c r="E1873" s="4">
        <v>2270</v>
      </c>
      <c r="F1873" s="4" t="s">
        <v>3867</v>
      </c>
      <c r="G1873" s="4" t="s">
        <v>3868</v>
      </c>
      <c r="H1873" s="4" t="s">
        <v>3869</v>
      </c>
      <c r="I1873" s="4" t="s">
        <v>641</v>
      </c>
      <c r="J1873" s="4" t="s">
        <v>1891</v>
      </c>
      <c r="K1873" s="4">
        <v>1</v>
      </c>
      <c r="L1873" s="4">
        <v>2673</v>
      </c>
      <c r="M1873" s="9">
        <v>49.433480000000003</v>
      </c>
      <c r="N1873" s="9">
        <v>-120.45712</v>
      </c>
      <c r="O1873" s="9" t="s">
        <v>142</v>
      </c>
      <c r="P1873" s="224">
        <v>836</v>
      </c>
      <c r="Q1873" s="20">
        <v>2</v>
      </c>
      <c r="R1873" s="9" t="s">
        <v>3867</v>
      </c>
      <c r="S1873" s="9" t="s">
        <v>1737</v>
      </c>
      <c r="T1873" s="9">
        <v>855</v>
      </c>
      <c r="U1873" s="9"/>
      <c r="V1873" s="9"/>
      <c r="W1873" s="21">
        <v>37769</v>
      </c>
      <c r="X1873" s="9" t="s">
        <v>1738</v>
      </c>
      <c r="AK1873" s="9"/>
      <c r="AO1873" s="4" t="s">
        <v>3867</v>
      </c>
      <c r="AP1873" s="4">
        <v>836</v>
      </c>
      <c r="AQ1873" s="4" t="s">
        <v>1716</v>
      </c>
      <c r="AR1873" s="4" t="s">
        <v>1739</v>
      </c>
      <c r="AS1873" s="4" t="s">
        <v>1740</v>
      </c>
      <c r="AT1873" s="4" t="s">
        <v>1741</v>
      </c>
      <c r="AU1873" s="4" t="s">
        <v>1772</v>
      </c>
      <c r="AV1873" s="4" t="s">
        <v>1720</v>
      </c>
      <c r="AW1873" s="4" t="s">
        <v>2368</v>
      </c>
      <c r="AX1873" s="4" t="s">
        <v>2492</v>
      </c>
      <c r="AY1873" s="4">
        <v>49.433500000000002</v>
      </c>
      <c r="AZ1873" s="4">
        <v>-120.4571</v>
      </c>
      <c r="BA1873" s="4">
        <v>855</v>
      </c>
    </row>
    <row r="1874" spans="2:72" ht="14.25" customHeight="1" x14ac:dyDescent="0.2">
      <c r="B1874" s="4">
        <v>12</v>
      </c>
      <c r="C1874" s="4" t="s">
        <v>1711</v>
      </c>
      <c r="D1874" s="4">
        <v>838</v>
      </c>
      <c r="E1874" s="4">
        <v>2271</v>
      </c>
      <c r="F1874" s="196" t="s">
        <v>3870</v>
      </c>
      <c r="G1874" s="4" t="s">
        <v>3871</v>
      </c>
      <c r="H1874" s="4" t="s">
        <v>3872</v>
      </c>
      <c r="I1874" s="4" t="s">
        <v>641</v>
      </c>
      <c r="J1874" s="4" t="s">
        <v>1891</v>
      </c>
      <c r="K1874" s="4">
        <v>1</v>
      </c>
      <c r="L1874" s="4">
        <v>2674</v>
      </c>
      <c r="M1874" s="9">
        <v>49.4358</v>
      </c>
      <c r="N1874" s="9">
        <v>-116.74639999999999</v>
      </c>
      <c r="O1874" s="9" t="s">
        <v>170</v>
      </c>
      <c r="P1874" s="9">
        <v>838</v>
      </c>
      <c r="Q1874" s="20">
        <v>1</v>
      </c>
      <c r="R1874" s="9" t="s">
        <v>3870</v>
      </c>
      <c r="S1874" s="9" t="s">
        <v>1737</v>
      </c>
      <c r="T1874" s="9">
        <v>821</v>
      </c>
      <c r="U1874" s="9" t="s">
        <v>645</v>
      </c>
      <c r="V1874" s="27"/>
      <c r="W1874" s="31">
        <v>37784</v>
      </c>
      <c r="X1874" s="27" t="s">
        <v>1738</v>
      </c>
      <c r="Y1874" s="182"/>
      <c r="Z1874" s="182"/>
      <c r="AA1874" s="182"/>
      <c r="AB1874" s="182"/>
      <c r="AC1874" s="182"/>
      <c r="AD1874" s="182"/>
      <c r="AE1874" s="182"/>
      <c r="AF1874" s="182"/>
      <c r="AG1874" s="182"/>
      <c r="AH1874" s="182"/>
      <c r="AI1874" s="182"/>
      <c r="AJ1874" s="182"/>
      <c r="AK1874" s="27"/>
      <c r="AL1874" s="182"/>
      <c r="AM1874" s="182"/>
      <c r="AN1874" s="182"/>
      <c r="AO1874" s="196" t="s">
        <v>3870</v>
      </c>
      <c r="AP1874" s="196">
        <v>838</v>
      </c>
      <c r="AQ1874" s="196" t="s">
        <v>1700</v>
      </c>
      <c r="AR1874" s="196" t="s">
        <v>1739</v>
      </c>
      <c r="AS1874" s="196" t="s">
        <v>1740</v>
      </c>
      <c r="AT1874" s="196" t="s">
        <v>1741</v>
      </c>
      <c r="AU1874" s="196" t="s">
        <v>1959</v>
      </c>
      <c r="AV1874" s="196" t="s">
        <v>1720</v>
      </c>
      <c r="AW1874" s="196" t="s">
        <v>2698</v>
      </c>
      <c r="AX1874" s="196" t="s">
        <v>2801</v>
      </c>
      <c r="AY1874" s="196">
        <v>49.4358</v>
      </c>
      <c r="AZ1874" s="196">
        <v>-116.74639999999999</v>
      </c>
      <c r="BA1874" s="196">
        <v>821</v>
      </c>
      <c r="BB1874" s="182"/>
      <c r="BC1874" s="182"/>
      <c r="BD1874" s="182"/>
      <c r="BE1874" s="182"/>
      <c r="BF1874" s="182"/>
      <c r="BG1874" s="182"/>
      <c r="BH1874" s="182"/>
      <c r="BI1874" s="182"/>
      <c r="BJ1874" s="182"/>
      <c r="BK1874" s="182"/>
      <c r="BL1874" s="182"/>
      <c r="BM1874" s="182"/>
      <c r="BN1874" s="182"/>
      <c r="BO1874" s="182"/>
      <c r="BP1874" s="182"/>
      <c r="BQ1874" s="182"/>
      <c r="BR1874" s="182"/>
      <c r="BS1874" s="182"/>
      <c r="BT1874" s="182"/>
    </row>
    <row r="1875" spans="2:72" ht="14.25" customHeight="1" x14ac:dyDescent="0.2">
      <c r="B1875" s="4">
        <v>12</v>
      </c>
      <c r="C1875" s="4" t="s">
        <v>1711</v>
      </c>
      <c r="D1875" s="4">
        <v>839</v>
      </c>
      <c r="E1875" s="4">
        <v>2272</v>
      </c>
      <c r="F1875" s="212" t="s">
        <v>3873</v>
      </c>
      <c r="G1875" s="201" t="s">
        <v>3874</v>
      </c>
      <c r="H1875" s="4" t="s">
        <v>3875</v>
      </c>
      <c r="I1875" s="4" t="s">
        <v>641</v>
      </c>
      <c r="J1875" s="4" t="s">
        <v>1746</v>
      </c>
      <c r="K1875" s="4">
        <v>1</v>
      </c>
      <c r="L1875" s="4">
        <v>2675</v>
      </c>
      <c r="M1875" s="9"/>
      <c r="U1875"/>
      <c r="V1875" s="182"/>
      <c r="W1875" s="182"/>
      <c r="X1875" s="182"/>
      <c r="Y1875" s="182"/>
      <c r="Z1875" s="182"/>
      <c r="AA1875" s="182"/>
      <c r="AB1875" s="182"/>
      <c r="AC1875" s="182"/>
      <c r="AD1875" s="182"/>
      <c r="AE1875" s="182"/>
      <c r="AF1875" s="182"/>
      <c r="AG1875" s="182"/>
      <c r="AH1875" s="182"/>
      <c r="AI1875" s="182"/>
      <c r="AJ1875" s="182"/>
      <c r="AK1875" s="27"/>
      <c r="AL1875" s="182"/>
      <c r="AM1875" s="182"/>
      <c r="AN1875" s="182"/>
      <c r="AO1875" s="196" t="s">
        <v>3873</v>
      </c>
      <c r="AP1875" s="196">
        <v>839</v>
      </c>
      <c r="AQ1875" s="196" t="s">
        <v>1716</v>
      </c>
      <c r="AR1875" s="196" t="s">
        <v>1717</v>
      </c>
      <c r="AS1875" s="196" t="s">
        <v>1718</v>
      </c>
      <c r="AT1875" s="196" t="s">
        <v>1719</v>
      </c>
      <c r="AU1875" s="196" t="s">
        <v>1959</v>
      </c>
      <c r="AV1875" s="196" t="s">
        <v>1720</v>
      </c>
      <c r="AW1875" s="196" t="s">
        <v>1705</v>
      </c>
      <c r="AX1875" s="196" t="s">
        <v>1723</v>
      </c>
      <c r="AY1875" s="196">
        <v>49.887500000000003</v>
      </c>
      <c r="AZ1875" s="196">
        <v>-126.1454</v>
      </c>
      <c r="BA1875" s="196">
        <v>1125</v>
      </c>
      <c r="BB1875" s="182"/>
      <c r="BC1875" s="182"/>
      <c r="BD1875" s="182"/>
      <c r="BE1875" s="182"/>
      <c r="BF1875" s="182"/>
      <c r="BG1875" s="182"/>
      <c r="BH1875" s="182"/>
      <c r="BI1875" s="182"/>
      <c r="BJ1875" s="182"/>
      <c r="BK1875" s="182"/>
      <c r="BL1875" s="182"/>
      <c r="BM1875" s="182"/>
      <c r="BN1875" s="182"/>
      <c r="BO1875" s="182"/>
      <c r="BP1875" s="182"/>
      <c r="BQ1875" s="182"/>
      <c r="BR1875" s="182"/>
      <c r="BS1875" s="182"/>
      <c r="BT1875" s="182"/>
    </row>
    <row r="1876" spans="2:72" ht="14.25" customHeight="1" x14ac:dyDescent="0.2">
      <c r="B1876" s="4">
        <v>12</v>
      </c>
      <c r="C1876" s="9" t="s">
        <v>1711</v>
      </c>
      <c r="D1876" s="4">
        <v>863</v>
      </c>
      <c r="E1876" s="4">
        <v>2281</v>
      </c>
      <c r="F1876" s="211" t="s">
        <v>3903</v>
      </c>
      <c r="G1876" s="9" t="s">
        <v>3904</v>
      </c>
      <c r="H1876" s="4" t="s">
        <v>3905</v>
      </c>
      <c r="I1876" s="4" t="s">
        <v>641</v>
      </c>
      <c r="J1876" s="4" t="s">
        <v>1746</v>
      </c>
      <c r="K1876" s="4">
        <v>1</v>
      </c>
      <c r="L1876" s="4">
        <v>2684</v>
      </c>
      <c r="M1876" s="9"/>
      <c r="U1876"/>
      <c r="AK1876" s="9"/>
      <c r="AO1876" s="9" t="s">
        <v>3903</v>
      </c>
      <c r="AP1876" s="9">
        <v>863</v>
      </c>
      <c r="AQ1876" s="9" t="s">
        <v>1716</v>
      </c>
      <c r="AR1876" s="9" t="s">
        <v>1717</v>
      </c>
      <c r="AS1876" s="9" t="s">
        <v>1718</v>
      </c>
      <c r="AT1876" s="9" t="s">
        <v>1835</v>
      </c>
      <c r="AU1876" s="9" t="s">
        <v>1836</v>
      </c>
      <c r="AV1876" s="9"/>
      <c r="AW1876" s="9" t="s">
        <v>2368</v>
      </c>
      <c r="AX1876" s="9" t="s">
        <v>2369</v>
      </c>
      <c r="AY1876" s="9">
        <v>50.761099999999999</v>
      </c>
      <c r="AZ1876" s="9">
        <v>-121.56529999999999</v>
      </c>
      <c r="BA1876" s="9">
        <v>1085</v>
      </c>
    </row>
    <row r="1877" spans="2:72" ht="14.25" customHeight="1" x14ac:dyDescent="0.2">
      <c r="B1877" s="4">
        <v>12</v>
      </c>
      <c r="C1877" s="4" t="s">
        <v>1711</v>
      </c>
      <c r="D1877" s="4">
        <v>865</v>
      </c>
      <c r="E1877" s="4">
        <v>2282</v>
      </c>
      <c r="F1877" s="4" t="s">
        <v>3906</v>
      </c>
      <c r="G1877" s="4" t="s">
        <v>3907</v>
      </c>
      <c r="H1877" s="4" t="s">
        <v>3908</v>
      </c>
      <c r="I1877" s="4" t="s">
        <v>641</v>
      </c>
      <c r="J1877" s="4" t="s">
        <v>1891</v>
      </c>
      <c r="K1877" s="4">
        <v>1</v>
      </c>
      <c r="L1877" s="4">
        <v>2685</v>
      </c>
      <c r="M1877" s="34">
        <v>50.819299999999998</v>
      </c>
      <c r="N1877" s="34">
        <v>-116.2449</v>
      </c>
      <c r="O1877" s="35" t="s">
        <v>170</v>
      </c>
      <c r="P1877" s="9">
        <v>865</v>
      </c>
      <c r="Q1877" s="20">
        <v>2</v>
      </c>
      <c r="R1877" s="34" t="s">
        <v>3906</v>
      </c>
      <c r="S1877" s="9" t="s">
        <v>1737</v>
      </c>
      <c r="T1877" s="9">
        <v>930</v>
      </c>
      <c r="U1877" s="9"/>
      <c r="V1877" s="9"/>
      <c r="W1877" s="21">
        <v>38125</v>
      </c>
      <c r="X1877" s="9" t="s">
        <v>1738</v>
      </c>
      <c r="AK1877" s="9"/>
      <c r="AO1877" s="4" t="s">
        <v>3906</v>
      </c>
      <c r="AP1877" s="4">
        <v>865</v>
      </c>
      <c r="AQ1877" s="4" t="s">
        <v>1700</v>
      </c>
      <c r="AR1877" s="4" t="s">
        <v>1739</v>
      </c>
      <c r="AS1877" s="4" t="s">
        <v>1740</v>
      </c>
      <c r="AT1877" s="4" t="s">
        <v>1741</v>
      </c>
      <c r="AU1877" s="4" t="s">
        <v>1959</v>
      </c>
      <c r="AV1877" s="4" t="s">
        <v>1720</v>
      </c>
      <c r="AW1877" s="4" t="s">
        <v>2698</v>
      </c>
      <c r="AX1877" s="4" t="s">
        <v>2768</v>
      </c>
      <c r="AY1877" s="4">
        <v>50.819299999999998</v>
      </c>
      <c r="AZ1877" s="4">
        <v>-116.2449</v>
      </c>
      <c r="BA1877" s="4">
        <v>930</v>
      </c>
    </row>
    <row r="1878" spans="2:72" ht="14.25" customHeight="1" x14ac:dyDescent="0.2">
      <c r="B1878" s="4">
        <v>12</v>
      </c>
      <c r="C1878" s="4" t="s">
        <v>1711</v>
      </c>
      <c r="D1878" s="4">
        <v>866</v>
      </c>
      <c r="E1878" s="4">
        <v>2283</v>
      </c>
      <c r="F1878" s="4" t="s">
        <v>1145</v>
      </c>
      <c r="G1878" s="4" t="s">
        <v>3909</v>
      </c>
      <c r="H1878" s="4" t="s">
        <v>3910</v>
      </c>
      <c r="I1878" s="4" t="s">
        <v>641</v>
      </c>
      <c r="J1878" s="4" t="s">
        <v>1829</v>
      </c>
      <c r="K1878" s="4">
        <v>1</v>
      </c>
      <c r="L1878" s="4">
        <v>2686</v>
      </c>
      <c r="M1878" s="9">
        <v>51.435699999999997</v>
      </c>
      <c r="N1878" s="9">
        <v>-117.05710000000001</v>
      </c>
      <c r="O1878" s="9" t="s">
        <v>170</v>
      </c>
      <c r="P1878" s="9">
        <v>866</v>
      </c>
      <c r="Q1878" s="20">
        <v>1</v>
      </c>
      <c r="R1878" s="9" t="s">
        <v>1145</v>
      </c>
      <c r="S1878" s="9" t="s">
        <v>1737</v>
      </c>
      <c r="T1878" s="9">
        <v>861</v>
      </c>
      <c r="U1878" s="9" t="s">
        <v>645</v>
      </c>
      <c r="V1878" s="9"/>
      <c r="W1878" s="21">
        <v>38126</v>
      </c>
      <c r="X1878" s="9" t="s">
        <v>1738</v>
      </c>
      <c r="AK1878" s="9"/>
      <c r="AO1878" s="4" t="s">
        <v>1145</v>
      </c>
      <c r="AP1878" s="4">
        <v>866</v>
      </c>
      <c r="AQ1878" s="4" t="s">
        <v>1700</v>
      </c>
      <c r="AR1878" s="4" t="s">
        <v>1739</v>
      </c>
      <c r="AS1878" s="4" t="s">
        <v>1740</v>
      </c>
      <c r="AT1878" s="4" t="s">
        <v>1741</v>
      </c>
      <c r="AU1878" s="4" t="s">
        <v>1772</v>
      </c>
      <c r="AV1878" s="4" t="s">
        <v>1720</v>
      </c>
      <c r="AW1878" s="4" t="s">
        <v>2698</v>
      </c>
      <c r="AX1878" s="4" t="s">
        <v>2699</v>
      </c>
      <c r="AY1878" s="4">
        <v>51.435699999999997</v>
      </c>
      <c r="AZ1878" s="4">
        <v>-117.05710000000001</v>
      </c>
      <c r="BA1878" s="4">
        <v>861</v>
      </c>
    </row>
    <row r="1879" spans="2:72" ht="14.25" customHeight="1" x14ac:dyDescent="0.2">
      <c r="B1879" s="4">
        <v>12</v>
      </c>
      <c r="C1879" s="4" t="s">
        <v>1711</v>
      </c>
      <c r="D1879" s="4">
        <v>867</v>
      </c>
      <c r="E1879" s="4">
        <v>2284</v>
      </c>
      <c r="F1879" s="211" t="s">
        <v>3911</v>
      </c>
      <c r="G1879" s="9" t="s">
        <v>3912</v>
      </c>
      <c r="H1879" s="4" t="s">
        <v>3913</v>
      </c>
      <c r="I1879" s="4" t="s">
        <v>641</v>
      </c>
      <c r="J1879" s="4" t="s">
        <v>1746</v>
      </c>
      <c r="K1879" s="4">
        <v>1</v>
      </c>
      <c r="L1879" s="4">
        <v>2687</v>
      </c>
      <c r="M1879" s="9"/>
      <c r="U1879"/>
      <c r="AK1879" s="9"/>
      <c r="AO1879" s="4" t="s">
        <v>3911</v>
      </c>
      <c r="AP1879" s="4">
        <v>867</v>
      </c>
      <c r="AQ1879" s="4" t="s">
        <v>1716</v>
      </c>
      <c r="AR1879" s="4" t="s">
        <v>1717</v>
      </c>
      <c r="AS1879" s="4" t="s">
        <v>1718</v>
      </c>
      <c r="AT1879" s="4" t="s">
        <v>1719</v>
      </c>
      <c r="AU1879" s="4" t="s">
        <v>1959</v>
      </c>
      <c r="AV1879" s="4" t="s">
        <v>1720</v>
      </c>
      <c r="AW1879" s="4" t="s">
        <v>2368</v>
      </c>
      <c r="AX1879" s="4" t="s">
        <v>2258</v>
      </c>
      <c r="AY1879" s="4">
        <v>52.112499999999997</v>
      </c>
      <c r="AZ1879" s="4">
        <v>-119.12139999999999</v>
      </c>
      <c r="BA1879" s="4">
        <v>774</v>
      </c>
    </row>
    <row r="1880" spans="2:72" ht="14.25" customHeight="1" x14ac:dyDescent="0.2">
      <c r="B1880" s="4">
        <v>12</v>
      </c>
      <c r="C1880" s="188" t="s">
        <v>1711</v>
      </c>
      <c r="D1880" s="4">
        <v>868</v>
      </c>
      <c r="E1880" s="4">
        <v>2285</v>
      </c>
      <c r="F1880" s="4" t="s">
        <v>3914</v>
      </c>
      <c r="G1880" s="4" t="s">
        <v>3915</v>
      </c>
      <c r="H1880" s="4" t="s">
        <v>3916</v>
      </c>
      <c r="I1880" s="4" t="s">
        <v>641</v>
      </c>
      <c r="J1880" s="4" t="s">
        <v>1891</v>
      </c>
      <c r="K1880" s="4">
        <v>1</v>
      </c>
      <c r="L1880" s="4">
        <v>2688</v>
      </c>
      <c r="M1880" s="9">
        <v>51.85333</v>
      </c>
      <c r="N1880" s="9">
        <v>-118.59139</v>
      </c>
      <c r="O1880" s="9" t="s">
        <v>170</v>
      </c>
      <c r="P1880" s="9">
        <v>868</v>
      </c>
      <c r="Q1880" s="20">
        <v>2</v>
      </c>
      <c r="R1880" s="9" t="s">
        <v>3917</v>
      </c>
      <c r="S1880" s="9" t="s">
        <v>1737</v>
      </c>
      <c r="T1880" s="9">
        <v>1091</v>
      </c>
      <c r="U1880" s="9"/>
      <c r="V1880" s="9"/>
      <c r="W1880" s="21">
        <v>38148</v>
      </c>
      <c r="X1880" s="9" t="s">
        <v>1738</v>
      </c>
      <c r="AK1880" s="9"/>
      <c r="AO1880" s="4" t="s">
        <v>3917</v>
      </c>
      <c r="AP1880" s="4">
        <v>868</v>
      </c>
      <c r="AQ1880" s="4" t="s">
        <v>1716</v>
      </c>
      <c r="AR1880" s="4" t="s">
        <v>1739</v>
      </c>
      <c r="AS1880" s="4" t="s">
        <v>1740</v>
      </c>
      <c r="AT1880" s="4" t="s">
        <v>1741</v>
      </c>
      <c r="AU1880" s="4" t="s">
        <v>1742</v>
      </c>
      <c r="AV1880" s="4" t="s">
        <v>1720</v>
      </c>
      <c r="AW1880" s="4" t="s">
        <v>2698</v>
      </c>
      <c r="AX1880" s="4" t="s">
        <v>2699</v>
      </c>
      <c r="AY1880" s="4">
        <v>51.853299999999997</v>
      </c>
      <c r="AZ1880" s="4">
        <v>-118.59139999999999</v>
      </c>
      <c r="BA1880" s="4">
        <v>1091</v>
      </c>
    </row>
    <row r="1881" spans="2:72" ht="14.25" customHeight="1" x14ac:dyDescent="0.2">
      <c r="B1881" s="4">
        <v>12</v>
      </c>
      <c r="C1881" s="4" t="s">
        <v>1711</v>
      </c>
      <c r="D1881" s="4">
        <v>872</v>
      </c>
      <c r="E1881" s="4">
        <v>2288</v>
      </c>
      <c r="F1881" s="211" t="s">
        <v>3924</v>
      </c>
      <c r="G1881" s="4" t="s">
        <v>3925</v>
      </c>
      <c r="H1881" s="4" t="s">
        <v>3926</v>
      </c>
      <c r="I1881" s="4" t="s">
        <v>641</v>
      </c>
      <c r="J1881" s="4" t="s">
        <v>1746</v>
      </c>
      <c r="K1881" s="4">
        <v>1</v>
      </c>
      <c r="L1881" s="4">
        <v>2691</v>
      </c>
      <c r="M1881" s="9"/>
      <c r="U1881"/>
      <c r="AK1881" s="9"/>
      <c r="AO1881" s="4" t="s">
        <v>3924</v>
      </c>
      <c r="AP1881" s="4">
        <v>872</v>
      </c>
      <c r="AQ1881" s="4" t="s">
        <v>1716</v>
      </c>
      <c r="AR1881" s="4" t="s">
        <v>1717</v>
      </c>
      <c r="AS1881" s="4" t="s">
        <v>1718</v>
      </c>
      <c r="AT1881" s="4" t="s">
        <v>1835</v>
      </c>
      <c r="AU1881" s="4" t="s">
        <v>1836</v>
      </c>
      <c r="AV1881" s="4" t="s">
        <v>1720</v>
      </c>
      <c r="AX1881" s="4" t="s">
        <v>1986</v>
      </c>
      <c r="AY1881" s="4">
        <v>59.884300000000003</v>
      </c>
      <c r="AZ1881" s="4">
        <v>-131.4556</v>
      </c>
      <c r="BA1881" s="4">
        <v>690</v>
      </c>
    </row>
    <row r="1882" spans="2:72" ht="14.25" customHeight="1" x14ac:dyDescent="0.2">
      <c r="B1882" s="4">
        <v>12</v>
      </c>
      <c r="C1882" s="4" t="s">
        <v>1711</v>
      </c>
      <c r="D1882" s="4">
        <v>873</v>
      </c>
      <c r="E1882" s="4">
        <v>2289</v>
      </c>
      <c r="F1882" s="196" t="s">
        <v>3927</v>
      </c>
      <c r="G1882" s="9" t="s">
        <v>3928</v>
      </c>
      <c r="H1882" s="4" t="s">
        <v>3929</v>
      </c>
      <c r="I1882" s="4" t="s">
        <v>641</v>
      </c>
      <c r="J1882" s="4" t="s">
        <v>1829</v>
      </c>
      <c r="K1882" s="4">
        <v>1</v>
      </c>
      <c r="L1882" s="4">
        <v>2692</v>
      </c>
      <c r="M1882" s="27">
        <v>50.765000000000001</v>
      </c>
      <c r="N1882" s="196">
        <v>-117.95778</v>
      </c>
      <c r="O1882" s="196" t="s">
        <v>170</v>
      </c>
      <c r="P1882" s="196">
        <v>873</v>
      </c>
      <c r="Q1882" s="196">
        <v>1</v>
      </c>
      <c r="R1882" s="196" t="s">
        <v>3927</v>
      </c>
      <c r="S1882" s="196" t="s">
        <v>1737</v>
      </c>
      <c r="T1882" s="196">
        <v>887</v>
      </c>
      <c r="U1882" s="182"/>
      <c r="V1882" s="182"/>
      <c r="W1882" s="196">
        <v>38196</v>
      </c>
      <c r="X1882" s="196" t="s">
        <v>1738</v>
      </c>
      <c r="Y1882" s="182"/>
      <c r="Z1882" s="182"/>
      <c r="AA1882" s="182"/>
      <c r="AB1882" s="182"/>
      <c r="AC1882" s="182"/>
      <c r="AD1882" s="182"/>
      <c r="AE1882" s="182"/>
      <c r="AF1882" s="182"/>
      <c r="AG1882" s="182"/>
      <c r="AH1882" s="182"/>
      <c r="AI1882" s="182"/>
      <c r="AJ1882" s="182"/>
      <c r="AK1882" s="27"/>
      <c r="AL1882" s="182"/>
      <c r="AM1882" s="182"/>
      <c r="AN1882" s="182"/>
      <c r="AO1882" s="196" t="s">
        <v>3927</v>
      </c>
      <c r="AP1882" s="196">
        <v>873</v>
      </c>
      <c r="AQ1882" s="196" t="s">
        <v>1716</v>
      </c>
      <c r="AR1882" s="196" t="s">
        <v>1739</v>
      </c>
      <c r="AS1882" s="196" t="s">
        <v>1740</v>
      </c>
      <c r="AT1882" s="196" t="s">
        <v>1835</v>
      </c>
      <c r="AU1882" s="196" t="s">
        <v>1742</v>
      </c>
      <c r="AV1882" s="196" t="s">
        <v>1720</v>
      </c>
      <c r="AW1882" s="196" t="s">
        <v>2698</v>
      </c>
      <c r="AX1882" s="196" t="s">
        <v>2699</v>
      </c>
      <c r="AY1882" s="196">
        <v>50.765000000000001</v>
      </c>
      <c r="AZ1882" s="196">
        <v>-117.95780000000001</v>
      </c>
      <c r="BA1882" s="196">
        <v>887</v>
      </c>
      <c r="BB1882" s="182"/>
      <c r="BC1882" s="182"/>
      <c r="BD1882" s="182"/>
      <c r="BE1882" s="182"/>
      <c r="BF1882" s="182"/>
      <c r="BG1882" s="182"/>
      <c r="BH1882" s="182"/>
      <c r="BI1882" s="182"/>
      <c r="BJ1882" s="182"/>
      <c r="BK1882" s="182"/>
      <c r="BL1882" s="182"/>
      <c r="BM1882" s="182"/>
      <c r="BN1882" s="182"/>
      <c r="BO1882" s="182"/>
      <c r="BP1882" s="182"/>
      <c r="BQ1882" s="182"/>
      <c r="BR1882" s="182"/>
      <c r="BS1882" s="182"/>
      <c r="BT1882" s="182"/>
    </row>
    <row r="1883" spans="2:72" ht="14.25" customHeight="1" x14ac:dyDescent="0.2">
      <c r="B1883" s="4">
        <v>12</v>
      </c>
      <c r="C1883" s="4" t="s">
        <v>1711</v>
      </c>
      <c r="D1883" s="4">
        <v>903</v>
      </c>
      <c r="E1883" s="4">
        <v>2298</v>
      </c>
      <c r="F1883" s="4" t="s">
        <v>3958</v>
      </c>
      <c r="G1883" s="201" t="s">
        <v>3959</v>
      </c>
      <c r="H1883" s="4" t="s">
        <v>3960</v>
      </c>
      <c r="I1883" s="4" t="s">
        <v>641</v>
      </c>
      <c r="J1883" s="4" t="s">
        <v>1746</v>
      </c>
      <c r="K1883" s="4">
        <v>1</v>
      </c>
      <c r="L1883" s="4">
        <v>2701</v>
      </c>
      <c r="M1883" s="9"/>
      <c r="U1883"/>
      <c r="AK1883" s="9"/>
      <c r="AO1883" s="4" t="s">
        <v>3961</v>
      </c>
      <c r="AP1883" s="4">
        <v>903</v>
      </c>
      <c r="AQ1883" s="4" t="s">
        <v>1716</v>
      </c>
      <c r="AR1883" s="4" t="s">
        <v>1717</v>
      </c>
      <c r="AS1883" s="4" t="s">
        <v>1718</v>
      </c>
      <c r="AT1883" s="4" t="s">
        <v>1835</v>
      </c>
      <c r="AU1883" s="4" t="s">
        <v>1959</v>
      </c>
      <c r="AV1883" s="4" t="s">
        <v>1720</v>
      </c>
      <c r="AW1883" s="4" t="s">
        <v>2003</v>
      </c>
      <c r="AX1883" s="4" t="s">
        <v>2139</v>
      </c>
      <c r="AY1883" s="4">
        <v>53.400799999999997</v>
      </c>
      <c r="AZ1883" s="4">
        <v>-124.4389</v>
      </c>
      <c r="BA1883" s="4">
        <v>1000</v>
      </c>
    </row>
    <row r="1884" spans="2:72" ht="14.25" customHeight="1" x14ac:dyDescent="0.2">
      <c r="B1884" s="4">
        <v>12</v>
      </c>
      <c r="C1884" s="4" t="s">
        <v>1711</v>
      </c>
      <c r="D1884" s="4">
        <v>905</v>
      </c>
      <c r="E1884" s="4">
        <v>2300</v>
      </c>
      <c r="F1884" s="196" t="s">
        <v>3966</v>
      </c>
      <c r="G1884" s="4" t="s">
        <v>3967</v>
      </c>
      <c r="H1884" s="4" t="s">
        <v>3968</v>
      </c>
      <c r="I1884" s="4" t="s">
        <v>641</v>
      </c>
      <c r="J1884" s="4" t="s">
        <v>1891</v>
      </c>
      <c r="K1884" s="4">
        <v>1</v>
      </c>
      <c r="L1884" s="4">
        <v>2703</v>
      </c>
      <c r="M1884" s="9">
        <v>51.5154</v>
      </c>
      <c r="N1884" s="4">
        <v>-118.27207</v>
      </c>
      <c r="O1884" s="4" t="s">
        <v>170</v>
      </c>
      <c r="P1884" s="4">
        <v>905</v>
      </c>
      <c r="Q1884" s="4">
        <v>1</v>
      </c>
      <c r="R1884" s="4" t="s">
        <v>3966</v>
      </c>
      <c r="S1884" s="4" t="s">
        <v>1737</v>
      </c>
      <c r="T1884" s="4">
        <v>757</v>
      </c>
      <c r="U1884"/>
      <c r="W1884" s="4">
        <v>38547</v>
      </c>
      <c r="X1884" s="196" t="s">
        <v>1738</v>
      </c>
      <c r="Y1884" s="182"/>
      <c r="Z1884" s="182"/>
      <c r="AA1884" s="182"/>
      <c r="AB1884" s="182"/>
      <c r="AC1884" s="182"/>
      <c r="AD1884" s="182"/>
      <c r="AE1884" s="182"/>
      <c r="AF1884" s="182"/>
      <c r="AG1884" s="182"/>
      <c r="AH1884" s="182"/>
      <c r="AI1884" s="182"/>
      <c r="AJ1884" s="182"/>
      <c r="AK1884" s="27"/>
      <c r="AL1884" s="182"/>
      <c r="AM1884" s="182"/>
      <c r="AN1884" s="182"/>
      <c r="AO1884" s="196" t="s">
        <v>3966</v>
      </c>
      <c r="AP1884" s="196">
        <v>905</v>
      </c>
      <c r="AQ1884" s="196" t="s">
        <v>1716</v>
      </c>
      <c r="AR1884" s="196" t="s">
        <v>1739</v>
      </c>
      <c r="AS1884" s="196" t="s">
        <v>1740</v>
      </c>
      <c r="AT1884" s="196" t="s">
        <v>1741</v>
      </c>
      <c r="AU1884" s="196" t="s">
        <v>1742</v>
      </c>
      <c r="AV1884" s="196" t="s">
        <v>1720</v>
      </c>
      <c r="AW1884" s="196" t="s">
        <v>2698</v>
      </c>
      <c r="AX1884" s="196" t="s">
        <v>2699</v>
      </c>
      <c r="AY1884" s="196">
        <v>51.5154</v>
      </c>
      <c r="AZ1884" s="196">
        <v>-118.27209999999999</v>
      </c>
      <c r="BA1884" s="196">
        <v>757</v>
      </c>
      <c r="BB1884" s="182"/>
      <c r="BC1884" s="182"/>
      <c r="BD1884" s="182"/>
      <c r="BE1884" s="182"/>
      <c r="BF1884" s="182"/>
      <c r="BG1884" s="182"/>
      <c r="BH1884" s="182"/>
      <c r="BI1884" s="182"/>
      <c r="BJ1884" s="182"/>
      <c r="BK1884" s="182"/>
      <c r="BL1884" s="182"/>
      <c r="BM1884" s="182"/>
      <c r="BN1884" s="182"/>
      <c r="BO1884" s="182"/>
      <c r="BP1884" s="182"/>
      <c r="BQ1884" s="182"/>
      <c r="BR1884" s="182"/>
      <c r="BS1884" s="182"/>
      <c r="BT1884" s="182"/>
    </row>
    <row r="1885" spans="2:72" ht="14.25" customHeight="1" x14ac:dyDescent="0.2">
      <c r="B1885" s="4">
        <v>12</v>
      </c>
      <c r="C1885" s="4" t="s">
        <v>1711</v>
      </c>
      <c r="D1885" s="4">
        <v>956</v>
      </c>
      <c r="E1885" s="4">
        <v>2325</v>
      </c>
      <c r="F1885" s="4" t="s">
        <v>4055</v>
      </c>
      <c r="G1885" s="4" t="s">
        <v>4056</v>
      </c>
      <c r="H1885" s="4" t="s">
        <v>4057</v>
      </c>
      <c r="I1885" s="4" t="s">
        <v>641</v>
      </c>
      <c r="J1885" s="4" t="s">
        <v>1829</v>
      </c>
      <c r="K1885" s="4">
        <v>1</v>
      </c>
      <c r="L1885" s="4">
        <v>2728</v>
      </c>
      <c r="M1885" s="27">
        <v>49.17</v>
      </c>
      <c r="N1885" s="27">
        <v>-125.2825</v>
      </c>
      <c r="O1885" s="27" t="s">
        <v>51</v>
      </c>
      <c r="P1885" s="27">
        <v>956</v>
      </c>
      <c r="Q1885" s="29">
        <v>4</v>
      </c>
      <c r="R1885" s="27" t="s">
        <v>4055</v>
      </c>
      <c r="S1885" s="27" t="s">
        <v>4045</v>
      </c>
      <c r="T1885" s="27">
        <v>632</v>
      </c>
      <c r="U1885" s="27"/>
      <c r="V1885" s="27"/>
      <c r="W1885" s="31">
        <v>39020</v>
      </c>
      <c r="X1885" s="27" t="s">
        <v>1738</v>
      </c>
      <c r="Y1885" s="182"/>
      <c r="Z1885" s="182"/>
      <c r="AA1885" s="182"/>
      <c r="AB1885" s="182"/>
      <c r="AC1885" s="182"/>
      <c r="AD1885" s="182"/>
      <c r="AE1885" s="182"/>
      <c r="AF1885" s="182"/>
      <c r="AG1885" s="182"/>
      <c r="AH1885" s="182"/>
      <c r="AI1885" s="182"/>
      <c r="AJ1885" s="182"/>
      <c r="AK1885" s="27"/>
      <c r="AL1885" s="182"/>
      <c r="AM1885" s="182"/>
      <c r="AN1885" s="182"/>
      <c r="AO1885" s="196" t="s">
        <v>4055</v>
      </c>
      <c r="AP1885" s="196">
        <v>956</v>
      </c>
      <c r="AQ1885" s="196" t="s">
        <v>1716</v>
      </c>
      <c r="AR1885" s="196" t="s">
        <v>1739</v>
      </c>
      <c r="AS1885" s="196" t="s">
        <v>1740</v>
      </c>
      <c r="AT1885" s="196" t="s">
        <v>1835</v>
      </c>
      <c r="AU1885" s="196" t="s">
        <v>1742</v>
      </c>
      <c r="AV1885" s="196" t="s">
        <v>1720</v>
      </c>
      <c r="AW1885" s="196" t="s">
        <v>1705</v>
      </c>
      <c r="AX1885" s="196" t="s">
        <v>1706</v>
      </c>
      <c r="AY1885" s="196">
        <v>49.17</v>
      </c>
      <c r="AZ1885" s="196">
        <v>-125.2825</v>
      </c>
      <c r="BA1885" s="196">
        <v>632</v>
      </c>
      <c r="BB1885" s="182"/>
      <c r="BC1885" s="182"/>
      <c r="BD1885" s="182"/>
      <c r="BE1885" s="182"/>
      <c r="BF1885" s="182"/>
      <c r="BG1885" s="182"/>
      <c r="BH1885" s="182"/>
      <c r="BI1885" s="182"/>
      <c r="BJ1885" s="182"/>
      <c r="BK1885" s="182"/>
      <c r="BL1885" s="182"/>
      <c r="BM1885" s="182"/>
      <c r="BN1885" s="182"/>
      <c r="BO1885" s="182"/>
      <c r="BP1885" s="182"/>
      <c r="BQ1885" s="182"/>
      <c r="BR1885" s="182"/>
      <c r="BS1885" s="182"/>
      <c r="BT1885" s="182"/>
    </row>
    <row r="1886" spans="2:72" ht="14.25" customHeight="1" x14ac:dyDescent="0.2">
      <c r="B1886" s="4">
        <v>12</v>
      </c>
      <c r="C1886" s="4" t="s">
        <v>1711</v>
      </c>
      <c r="D1886" s="4">
        <v>1003</v>
      </c>
      <c r="E1886" s="4">
        <v>10992</v>
      </c>
      <c r="F1886" s="211" t="s">
        <v>4110</v>
      </c>
      <c r="G1886" s="201" t="s">
        <v>4111</v>
      </c>
      <c r="H1886" s="4" t="s">
        <v>4112</v>
      </c>
      <c r="I1886" s="4" t="s">
        <v>49</v>
      </c>
      <c r="J1886" s="4" t="s">
        <v>1746</v>
      </c>
      <c r="K1886" s="4">
        <v>1</v>
      </c>
      <c r="L1886" s="4">
        <v>13157</v>
      </c>
      <c r="M1886" s="72"/>
      <c r="N1886" s="72"/>
      <c r="O1886" s="72"/>
      <c r="P1886" s="314"/>
      <c r="Q1886" s="315"/>
      <c r="R1886" s="314"/>
      <c r="S1886" s="314"/>
      <c r="T1886" s="314"/>
      <c r="U1886" s="314"/>
      <c r="V1886" s="314"/>
      <c r="W1886" s="323"/>
      <c r="X1886" s="314"/>
      <c r="Y1886" s="182"/>
      <c r="Z1886" s="182"/>
      <c r="AA1886" s="182"/>
      <c r="AB1886" s="182"/>
      <c r="AC1886" s="182"/>
      <c r="AD1886" s="182"/>
      <c r="AE1886" s="182"/>
      <c r="AF1886" s="182"/>
      <c r="AG1886" s="182"/>
      <c r="AH1886" s="182"/>
      <c r="AI1886" s="182"/>
      <c r="AJ1886" s="182"/>
      <c r="AK1886" s="27"/>
      <c r="AL1886" s="182"/>
      <c r="AM1886" s="182"/>
      <c r="AN1886" s="182"/>
      <c r="AO1886" s="333" t="s">
        <v>4110</v>
      </c>
      <c r="AP1886" s="196">
        <v>1003</v>
      </c>
      <c r="AQ1886" s="196" t="s">
        <v>1716</v>
      </c>
      <c r="AR1886" s="196" t="s">
        <v>1717</v>
      </c>
      <c r="AS1886" s="196" t="s">
        <v>1718</v>
      </c>
      <c r="AT1886" s="196" t="s">
        <v>1835</v>
      </c>
      <c r="AU1886" s="196" t="s">
        <v>1836</v>
      </c>
      <c r="AV1886" s="196" t="s">
        <v>1720</v>
      </c>
      <c r="AW1886" s="196" t="s">
        <v>3863</v>
      </c>
      <c r="AX1886" s="182"/>
      <c r="AY1886" s="196">
        <v>48.434800000000003</v>
      </c>
      <c r="AZ1886" s="196">
        <v>-123.3749</v>
      </c>
      <c r="BA1886" s="196">
        <v>50</v>
      </c>
      <c r="BB1886" s="182"/>
      <c r="BC1886" s="182"/>
      <c r="BD1886" s="182"/>
      <c r="BE1886" s="182"/>
      <c r="BF1886" s="182"/>
      <c r="BG1886" s="182"/>
      <c r="BH1886" s="182"/>
      <c r="BI1886" s="182"/>
      <c r="BJ1886" s="182"/>
      <c r="BK1886" s="182"/>
      <c r="BL1886" s="182"/>
      <c r="BM1886" s="182"/>
      <c r="BN1886" s="182"/>
      <c r="BO1886" s="182"/>
      <c r="BP1886" s="182"/>
      <c r="BQ1886" s="182"/>
      <c r="BR1886" s="182"/>
      <c r="BS1886" s="182"/>
      <c r="BT1886" s="182"/>
    </row>
    <row r="1887" spans="2:72" ht="14.25" customHeight="1" x14ac:dyDescent="0.2">
      <c r="B1887" s="4">
        <v>12</v>
      </c>
      <c r="C1887" s="4" t="s">
        <v>1711</v>
      </c>
      <c r="D1887" s="4">
        <v>1092</v>
      </c>
      <c r="E1887" s="4">
        <v>10979</v>
      </c>
      <c r="F1887" s="196" t="s">
        <v>4223</v>
      </c>
      <c r="G1887" s="4" t="s">
        <v>4224</v>
      </c>
      <c r="H1887" s="4" t="s">
        <v>4225</v>
      </c>
      <c r="I1887" s="4" t="s">
        <v>49</v>
      </c>
      <c r="J1887" s="4" t="s">
        <v>1829</v>
      </c>
      <c r="K1887" s="4">
        <v>1</v>
      </c>
      <c r="L1887" s="4">
        <v>13143</v>
      </c>
      <c r="M1887" s="9">
        <v>50.61262</v>
      </c>
      <c r="N1887" s="4">
        <v>-116.79331999999999</v>
      </c>
      <c r="O1887" s="4" t="s">
        <v>170</v>
      </c>
      <c r="P1887" s="4">
        <v>1092</v>
      </c>
      <c r="Q1887" s="4">
        <v>5</v>
      </c>
      <c r="R1887" s="4" t="s">
        <v>4223</v>
      </c>
      <c r="S1887" s="4" t="s">
        <v>1737</v>
      </c>
      <c r="T1887" s="4">
        <v>1580</v>
      </c>
      <c r="U1887" s="182"/>
      <c r="V1887" s="182"/>
      <c r="W1887" s="196">
        <v>40458</v>
      </c>
      <c r="X1887" s="196" t="s">
        <v>1738</v>
      </c>
      <c r="Y1887" s="182"/>
      <c r="Z1887" s="182"/>
      <c r="AA1887" s="182"/>
      <c r="AB1887" s="182"/>
      <c r="AC1887" s="182"/>
      <c r="AD1887" s="182"/>
      <c r="AE1887" s="182"/>
      <c r="AF1887" s="182"/>
      <c r="AG1887" s="182"/>
      <c r="AH1887" s="182"/>
      <c r="AI1887" s="182"/>
      <c r="AJ1887" s="182"/>
      <c r="AK1887" s="27"/>
      <c r="AL1887" s="182"/>
      <c r="AM1887" s="182"/>
      <c r="AN1887" s="182"/>
      <c r="AO1887" s="196" t="s">
        <v>4223</v>
      </c>
      <c r="AP1887" s="196">
        <v>1092</v>
      </c>
      <c r="AQ1887" s="196" t="s">
        <v>1716</v>
      </c>
      <c r="AR1887" s="196" t="s">
        <v>1739</v>
      </c>
      <c r="AS1887" s="196" t="s">
        <v>1740</v>
      </c>
      <c r="AT1887" s="196" t="s">
        <v>1741</v>
      </c>
      <c r="AU1887" s="196" t="s">
        <v>1742</v>
      </c>
      <c r="AV1887" s="196" t="s">
        <v>1720</v>
      </c>
      <c r="AW1887" s="196" t="s">
        <v>2698</v>
      </c>
      <c r="AX1887" s="196" t="s">
        <v>2801</v>
      </c>
      <c r="AY1887" s="196">
        <v>50.6126</v>
      </c>
      <c r="AZ1887" s="196">
        <v>-116.7933</v>
      </c>
      <c r="BA1887" s="196">
        <v>1580</v>
      </c>
      <c r="BB1887" s="182"/>
      <c r="BC1887" s="182"/>
      <c r="BD1887" s="182"/>
      <c r="BE1887" s="182"/>
      <c r="BF1887" s="182"/>
      <c r="BG1887" s="182"/>
      <c r="BH1887" s="182"/>
      <c r="BI1887" s="182"/>
      <c r="BJ1887" s="182"/>
      <c r="BK1887" s="182"/>
      <c r="BL1887" s="182"/>
      <c r="BM1887" s="182"/>
      <c r="BN1887" s="182"/>
      <c r="BO1887" s="182"/>
      <c r="BP1887" s="182"/>
      <c r="BQ1887" s="182"/>
      <c r="BR1887" s="182"/>
      <c r="BS1887" s="182"/>
      <c r="BT1887" s="182"/>
    </row>
    <row r="1888" spans="2:72" ht="14.25" customHeight="1" x14ac:dyDescent="0.2">
      <c r="B1888" s="4">
        <v>12</v>
      </c>
      <c r="C1888" s="188" t="s">
        <v>1711</v>
      </c>
      <c r="D1888" s="4">
        <v>1099</v>
      </c>
      <c r="E1888" s="4">
        <v>11408</v>
      </c>
      <c r="F1888" s="4" t="s">
        <v>4230</v>
      </c>
      <c r="G1888" s="4" t="s">
        <v>4231</v>
      </c>
      <c r="H1888" s="4" t="s">
        <v>4232</v>
      </c>
      <c r="I1888" s="4" t="s">
        <v>49</v>
      </c>
      <c r="J1888" s="4" t="s">
        <v>1746</v>
      </c>
      <c r="K1888" s="4">
        <v>1</v>
      </c>
      <c r="L1888" s="4">
        <v>13469</v>
      </c>
      <c r="M1888" s="9"/>
      <c r="U1888"/>
      <c r="AK1888" s="9"/>
      <c r="AO1888" s="4" t="s">
        <v>4230</v>
      </c>
      <c r="AP1888" s="4">
        <v>1099</v>
      </c>
      <c r="AQ1888" s="4" t="s">
        <v>1716</v>
      </c>
      <c r="AR1888" s="4" t="s">
        <v>1717</v>
      </c>
      <c r="AS1888" s="4" t="s">
        <v>2257</v>
      </c>
      <c r="AT1888" s="4" t="s">
        <v>1835</v>
      </c>
      <c r="AU1888" s="4" t="s">
        <v>2443</v>
      </c>
      <c r="AW1888" s="4" t="s">
        <v>1705</v>
      </c>
      <c r="AX1888" s="4" t="s">
        <v>1747</v>
      </c>
      <c r="AY1888" s="4">
        <v>48.6447</v>
      </c>
      <c r="AZ1888" s="4">
        <v>-123.4365</v>
      </c>
      <c r="BA1888" s="4">
        <v>32</v>
      </c>
    </row>
    <row r="1889" spans="2:72" ht="14.25" customHeight="1" x14ac:dyDescent="0.2">
      <c r="B1889" s="4">
        <v>12</v>
      </c>
      <c r="C1889" s="4" t="s">
        <v>1711</v>
      </c>
      <c r="D1889" s="4">
        <v>1133</v>
      </c>
      <c r="E1889" s="4">
        <v>10981</v>
      </c>
      <c r="F1889" s="211" t="s">
        <v>4245</v>
      </c>
      <c r="G1889" s="4" t="s">
        <v>4246</v>
      </c>
      <c r="H1889" s="4" t="s">
        <v>4247</v>
      </c>
      <c r="I1889" s="4" t="s">
        <v>49</v>
      </c>
      <c r="J1889" s="4" t="s">
        <v>1746</v>
      </c>
      <c r="K1889" s="4">
        <v>1</v>
      </c>
      <c r="L1889" s="4">
        <v>13147</v>
      </c>
      <c r="M1889" s="9"/>
      <c r="U1889"/>
      <c r="AK1889" s="9"/>
      <c r="AO1889" s="4" t="s">
        <v>4245</v>
      </c>
      <c r="AP1889" s="4">
        <v>1133</v>
      </c>
      <c r="AQ1889" s="4" t="s">
        <v>1716</v>
      </c>
      <c r="AR1889" s="4" t="s">
        <v>1717</v>
      </c>
      <c r="AS1889" s="4" t="s">
        <v>1740</v>
      </c>
      <c r="AT1889" s="4" t="s">
        <v>1835</v>
      </c>
      <c r="AU1889" s="4" t="s">
        <v>1742</v>
      </c>
      <c r="AV1889" s="4" t="s">
        <v>1720</v>
      </c>
      <c r="AW1889" s="4" t="s">
        <v>2368</v>
      </c>
      <c r="AX1889" s="4" t="s">
        <v>2401</v>
      </c>
      <c r="AY1889" s="4">
        <v>51.202800000000003</v>
      </c>
      <c r="AZ1889" s="4">
        <v>-119.5136</v>
      </c>
      <c r="BA1889" s="4">
        <v>591</v>
      </c>
    </row>
    <row r="1890" spans="2:72" ht="14.25" customHeight="1" x14ac:dyDescent="0.2">
      <c r="B1890" s="4">
        <v>12</v>
      </c>
      <c r="C1890" s="4" t="s">
        <v>1711</v>
      </c>
      <c r="D1890" s="4">
        <v>1148</v>
      </c>
      <c r="E1890" s="4">
        <v>11010</v>
      </c>
      <c r="F1890" s="211" t="s">
        <v>4264</v>
      </c>
      <c r="G1890" s="4" t="s">
        <v>4265</v>
      </c>
      <c r="H1890" s="4" t="s">
        <v>4266</v>
      </c>
      <c r="I1890" s="4" t="s">
        <v>49</v>
      </c>
      <c r="J1890" s="4" t="s">
        <v>1746</v>
      </c>
      <c r="K1890" s="4">
        <v>1</v>
      </c>
      <c r="L1890" s="4">
        <v>13178</v>
      </c>
      <c r="M1890" s="9"/>
      <c r="U1890"/>
      <c r="V1890" s="182"/>
      <c r="W1890" s="182"/>
      <c r="X1890" s="182"/>
      <c r="Y1890" s="182"/>
      <c r="Z1890" s="182"/>
      <c r="AA1890" s="182"/>
      <c r="AB1890" s="182"/>
      <c r="AC1890" s="182"/>
      <c r="AD1890" s="182"/>
      <c r="AE1890" s="182"/>
      <c r="AF1890" s="182"/>
      <c r="AG1890" s="182"/>
      <c r="AH1890" s="182"/>
      <c r="AI1890" s="182"/>
      <c r="AJ1890" s="182"/>
      <c r="AK1890" s="27"/>
      <c r="AL1890" s="182"/>
      <c r="AM1890" s="182"/>
      <c r="AN1890" s="182"/>
      <c r="AO1890" s="333" t="s">
        <v>4264</v>
      </c>
      <c r="AP1890" s="196">
        <v>1148</v>
      </c>
      <c r="AQ1890" s="196" t="s">
        <v>1716</v>
      </c>
      <c r="AR1890" s="196" t="s">
        <v>1717</v>
      </c>
      <c r="AS1890" s="196" t="s">
        <v>1718</v>
      </c>
      <c r="AT1890" s="196" t="s">
        <v>1835</v>
      </c>
      <c r="AU1890" s="196" t="s">
        <v>1836</v>
      </c>
      <c r="AV1890" s="196" t="s">
        <v>1720</v>
      </c>
      <c r="AW1890" s="196" t="s">
        <v>2698</v>
      </c>
      <c r="AX1890" s="196" t="s">
        <v>2797</v>
      </c>
      <c r="AY1890" s="196">
        <v>49.294199999999996</v>
      </c>
      <c r="AZ1890" s="196">
        <v>-117.2593</v>
      </c>
      <c r="BA1890" s="196">
        <v>1250</v>
      </c>
      <c r="BB1890" s="182"/>
      <c r="BC1890" s="182"/>
      <c r="BD1890" s="182"/>
      <c r="BE1890" s="182"/>
      <c r="BF1890" s="182"/>
      <c r="BG1890" s="182"/>
      <c r="BH1890" s="182"/>
      <c r="BI1890" s="182"/>
      <c r="BJ1890" s="182"/>
      <c r="BK1890" s="182"/>
      <c r="BL1890" s="182"/>
      <c r="BM1890" s="182"/>
      <c r="BN1890" s="182"/>
      <c r="BO1890" s="182"/>
      <c r="BP1890" s="182"/>
      <c r="BQ1890" s="182"/>
      <c r="BR1890" s="182"/>
      <c r="BS1890" s="182"/>
      <c r="BT1890" s="182"/>
    </row>
    <row r="1891" spans="2:72" ht="14.25" customHeight="1" x14ac:dyDescent="0.2">
      <c r="B1891" s="4">
        <v>12</v>
      </c>
      <c r="C1891" s="4" t="s">
        <v>1711</v>
      </c>
      <c r="D1891" s="4">
        <v>1149</v>
      </c>
      <c r="E1891" s="4">
        <v>10993</v>
      </c>
      <c r="F1891" s="211" t="s">
        <v>4267</v>
      </c>
      <c r="G1891" s="4" t="s">
        <v>4268</v>
      </c>
      <c r="H1891" s="4" t="s">
        <v>4269</v>
      </c>
      <c r="I1891" s="4" t="s">
        <v>49</v>
      </c>
      <c r="J1891" s="4" t="s">
        <v>1746</v>
      </c>
      <c r="K1891" s="4">
        <v>1</v>
      </c>
      <c r="L1891" s="4">
        <v>13159</v>
      </c>
      <c r="M1891" s="9"/>
      <c r="U1891"/>
      <c r="AK1891" s="9"/>
      <c r="AO1891" s="4" t="s">
        <v>4267</v>
      </c>
      <c r="AP1891" s="4">
        <v>1149</v>
      </c>
      <c r="AQ1891" s="4" t="s">
        <v>1716</v>
      </c>
      <c r="AR1891" s="4" t="s">
        <v>2441</v>
      </c>
      <c r="AS1891" s="4" t="s">
        <v>1718</v>
      </c>
      <c r="AT1891" s="4" t="s">
        <v>1835</v>
      </c>
      <c r="AU1891" s="4" t="s">
        <v>1836</v>
      </c>
      <c r="AV1891" s="4" t="s">
        <v>1720</v>
      </c>
      <c r="AW1891" s="4" t="s">
        <v>1705</v>
      </c>
      <c r="AX1891" s="4" t="s">
        <v>1879</v>
      </c>
      <c r="AY1891" s="4">
        <v>49.715400000000002</v>
      </c>
      <c r="AZ1891" s="4">
        <v>-122.3652</v>
      </c>
      <c r="BA1891" s="4">
        <v>330</v>
      </c>
    </row>
    <row r="1892" spans="2:72" ht="14.25" customHeight="1" x14ac:dyDescent="0.2">
      <c r="B1892" s="4">
        <v>12</v>
      </c>
      <c r="C1892" s="188" t="s">
        <v>1711</v>
      </c>
      <c r="D1892" s="4">
        <v>1151</v>
      </c>
      <c r="E1892" s="4">
        <v>10996</v>
      </c>
      <c r="F1892" s="212" t="s">
        <v>4270</v>
      </c>
      <c r="G1892" s="4" t="s">
        <v>4271</v>
      </c>
      <c r="H1892" s="4" t="s">
        <v>4272</v>
      </c>
      <c r="I1892" s="4" t="s">
        <v>49</v>
      </c>
      <c r="J1892" s="4" t="s">
        <v>1746</v>
      </c>
      <c r="K1892" s="4">
        <v>1</v>
      </c>
      <c r="L1892" s="4">
        <v>13162</v>
      </c>
      <c r="M1892" s="9"/>
      <c r="U1892"/>
      <c r="W1892" s="182"/>
      <c r="X1892" s="182"/>
      <c r="Y1892" s="182"/>
      <c r="Z1892" s="182"/>
      <c r="AA1892" s="182"/>
      <c r="AB1892" s="182"/>
      <c r="AC1892" s="182"/>
      <c r="AD1892" s="182"/>
      <c r="AE1892" s="182"/>
      <c r="AF1892" s="182"/>
      <c r="AG1892" s="182"/>
      <c r="AH1892" s="182"/>
      <c r="AI1892" s="182"/>
      <c r="AJ1892" s="182"/>
      <c r="AK1892" s="27"/>
      <c r="AL1892" s="182"/>
      <c r="AM1892" s="182"/>
      <c r="AN1892" s="182"/>
      <c r="AO1892" s="196" t="s">
        <v>4270</v>
      </c>
      <c r="AP1892" s="196">
        <v>1151</v>
      </c>
      <c r="AQ1892" s="196" t="s">
        <v>1716</v>
      </c>
      <c r="AR1892" s="196" t="s">
        <v>1717</v>
      </c>
      <c r="AS1892" s="196" t="s">
        <v>1718</v>
      </c>
      <c r="AT1892" s="196" t="s">
        <v>1841</v>
      </c>
      <c r="AU1892" s="196" t="s">
        <v>1959</v>
      </c>
      <c r="AV1892" s="182"/>
      <c r="AW1892" s="196" t="s">
        <v>2368</v>
      </c>
      <c r="AX1892" s="196" t="s">
        <v>2516</v>
      </c>
      <c r="AY1892" s="196">
        <v>49.594700000000003</v>
      </c>
      <c r="AZ1892" s="196">
        <v>-119.9747</v>
      </c>
      <c r="BA1892" s="196">
        <v>1407</v>
      </c>
      <c r="BB1892" s="182"/>
      <c r="BC1892" s="182"/>
      <c r="BD1892" s="182"/>
      <c r="BE1892" s="182"/>
      <c r="BF1892" s="182"/>
      <c r="BG1892" s="182"/>
      <c r="BH1892" s="182"/>
      <c r="BI1892" s="182"/>
      <c r="BJ1892" s="182"/>
      <c r="BK1892" s="182"/>
      <c r="BL1892" s="182"/>
      <c r="BM1892" s="182"/>
      <c r="BN1892" s="182"/>
      <c r="BO1892" s="182"/>
      <c r="BP1892" s="182"/>
      <c r="BQ1892" s="182"/>
      <c r="BR1892" s="182"/>
      <c r="BS1892" s="182"/>
      <c r="BT1892" s="182"/>
    </row>
    <row r="1893" spans="2:72" ht="14.25" customHeight="1" x14ac:dyDescent="0.2">
      <c r="B1893" s="4">
        <v>12</v>
      </c>
      <c r="C1893" s="4" t="s">
        <v>1711</v>
      </c>
      <c r="D1893" s="4">
        <v>1171</v>
      </c>
      <c r="E1893" s="4">
        <v>10976</v>
      </c>
      <c r="F1893" s="211" t="s">
        <v>4282</v>
      </c>
      <c r="G1893" s="4" t="s">
        <v>4283</v>
      </c>
      <c r="H1893" s="4" t="s">
        <v>4284</v>
      </c>
      <c r="I1893" s="4" t="s">
        <v>49</v>
      </c>
      <c r="J1893" s="4" t="s">
        <v>1746</v>
      </c>
      <c r="K1893" s="4">
        <v>1</v>
      </c>
      <c r="L1893" s="4">
        <v>13151</v>
      </c>
      <c r="M1893" s="9"/>
      <c r="U1893"/>
      <c r="AK1893" s="9"/>
      <c r="AO1893" s="267" t="s">
        <v>4282</v>
      </c>
      <c r="AP1893" s="4">
        <v>1171</v>
      </c>
      <c r="AQ1893" s="4" t="s">
        <v>1716</v>
      </c>
      <c r="AR1893" s="4" t="s">
        <v>1717</v>
      </c>
      <c r="AS1893" s="4" t="s">
        <v>1718</v>
      </c>
      <c r="AT1893" s="4" t="s">
        <v>1835</v>
      </c>
      <c r="AU1893" s="4" t="s">
        <v>1836</v>
      </c>
      <c r="AV1893" s="4" t="s">
        <v>1720</v>
      </c>
      <c r="AX1893" s="4" t="s">
        <v>2827</v>
      </c>
      <c r="AY1893" s="4">
        <v>49.0505</v>
      </c>
      <c r="AZ1893" s="4">
        <v>-119.06100000000001</v>
      </c>
      <c r="BA1893" s="4">
        <v>930</v>
      </c>
    </row>
    <row r="1894" spans="2:72" ht="14.25" customHeight="1" x14ac:dyDescent="0.2">
      <c r="B1894" s="4">
        <v>12</v>
      </c>
      <c r="C1894" s="188" t="s">
        <v>1711</v>
      </c>
      <c r="D1894" s="4">
        <v>1174</v>
      </c>
      <c r="E1894" s="4">
        <v>10994</v>
      </c>
      <c r="F1894" s="212" t="s">
        <v>4289</v>
      </c>
      <c r="G1894" s="4" t="s">
        <v>4290</v>
      </c>
      <c r="H1894" s="4" t="s">
        <v>4291</v>
      </c>
      <c r="I1894" s="4" t="s">
        <v>49</v>
      </c>
      <c r="J1894" s="4" t="s">
        <v>1746</v>
      </c>
      <c r="K1894" s="4">
        <v>1</v>
      </c>
      <c r="L1894" s="4">
        <v>13160</v>
      </c>
      <c r="M1894" s="27"/>
      <c r="N1894" s="182"/>
      <c r="O1894" s="182"/>
      <c r="P1894" s="182"/>
      <c r="Q1894" s="182"/>
      <c r="R1894" s="182"/>
      <c r="S1894" s="182"/>
      <c r="T1894" s="182"/>
      <c r="U1894" s="182"/>
      <c r="V1894" s="182"/>
      <c r="W1894" s="182"/>
      <c r="X1894" s="182"/>
      <c r="Y1894" s="182"/>
      <c r="Z1894" s="182"/>
      <c r="AA1894" s="182"/>
      <c r="AB1894" s="182"/>
      <c r="AC1894" s="182"/>
      <c r="AD1894" s="182"/>
      <c r="AE1894" s="182"/>
      <c r="AF1894" s="182"/>
      <c r="AG1894" s="182"/>
      <c r="AH1894" s="182"/>
      <c r="AI1894" s="182"/>
      <c r="AJ1894" s="182"/>
      <c r="AK1894" s="27"/>
      <c r="AL1894" s="182"/>
      <c r="AM1894" s="182"/>
      <c r="AN1894" s="182"/>
      <c r="AO1894" s="196" t="s">
        <v>4289</v>
      </c>
      <c r="AP1894" s="196">
        <v>1174</v>
      </c>
      <c r="AQ1894" s="196" t="s">
        <v>1716</v>
      </c>
      <c r="AR1894" s="196" t="s">
        <v>1717</v>
      </c>
      <c r="AS1894" s="196" t="s">
        <v>1718</v>
      </c>
      <c r="AT1894" s="196" t="s">
        <v>1841</v>
      </c>
      <c r="AU1894" s="196" t="s">
        <v>1959</v>
      </c>
      <c r="AV1894" s="182"/>
      <c r="AW1894" s="196" t="s">
        <v>2368</v>
      </c>
      <c r="AX1894" s="196" t="s">
        <v>2707</v>
      </c>
      <c r="AY1894" s="196">
        <v>50.6828</v>
      </c>
      <c r="AZ1894" s="196">
        <v>-118.7758</v>
      </c>
      <c r="BA1894" s="196">
        <v>751</v>
      </c>
      <c r="BB1894" s="182"/>
      <c r="BC1894" s="182"/>
      <c r="BD1894" s="182"/>
      <c r="BE1894" s="182"/>
      <c r="BF1894" s="182"/>
      <c r="BG1894" s="182"/>
      <c r="BH1894" s="182"/>
      <c r="BI1894" s="182"/>
      <c r="BJ1894" s="182"/>
      <c r="BK1894" s="182"/>
      <c r="BL1894" s="182"/>
      <c r="BM1894" s="182"/>
      <c r="BN1894" s="182"/>
      <c r="BO1894" s="182"/>
      <c r="BP1894" s="182"/>
      <c r="BQ1894" s="182"/>
      <c r="BR1894" s="182"/>
      <c r="BS1894" s="182"/>
      <c r="BT1894" s="182"/>
    </row>
    <row r="1895" spans="2:72" ht="14.25" customHeight="1" x14ac:dyDescent="0.2">
      <c r="B1895" s="4">
        <v>12</v>
      </c>
      <c r="C1895" s="188" t="s">
        <v>1711</v>
      </c>
      <c r="D1895" s="4">
        <v>1179</v>
      </c>
      <c r="E1895" s="4">
        <v>10999</v>
      </c>
      <c r="F1895" s="211" t="s">
        <v>4301</v>
      </c>
      <c r="G1895" s="4" t="s">
        <v>4302</v>
      </c>
      <c r="H1895" s="4" t="s">
        <v>4303</v>
      </c>
      <c r="I1895" s="4" t="s">
        <v>49</v>
      </c>
      <c r="J1895" s="4" t="s">
        <v>1746</v>
      </c>
      <c r="K1895" s="4">
        <v>1</v>
      </c>
      <c r="L1895" s="4">
        <v>13165</v>
      </c>
      <c r="M1895" s="9"/>
      <c r="U1895"/>
      <c r="AK1895" s="9"/>
      <c r="AO1895" s="4" t="s">
        <v>4301</v>
      </c>
      <c r="AP1895" s="4">
        <v>1179</v>
      </c>
      <c r="AQ1895" s="4" t="s">
        <v>1716</v>
      </c>
      <c r="AR1895" s="4" t="s">
        <v>1717</v>
      </c>
      <c r="AS1895" s="4" t="s">
        <v>1718</v>
      </c>
      <c r="AT1895" s="4" t="s">
        <v>1835</v>
      </c>
      <c r="AU1895" s="4" t="s">
        <v>1836</v>
      </c>
      <c r="AV1895" s="4" t="s">
        <v>1720</v>
      </c>
      <c r="AW1895" s="4" t="s">
        <v>1705</v>
      </c>
      <c r="AX1895" s="4" t="s">
        <v>1879</v>
      </c>
      <c r="AY1895" s="4">
        <v>49.754399999999997</v>
      </c>
      <c r="AZ1895" s="4">
        <v>-122.22880000000001</v>
      </c>
      <c r="BA1895" s="4">
        <v>111</v>
      </c>
    </row>
    <row r="1896" spans="2:72" ht="14.25" customHeight="1" x14ac:dyDescent="0.2">
      <c r="B1896" s="4">
        <v>12</v>
      </c>
      <c r="C1896" s="4" t="s">
        <v>1711</v>
      </c>
      <c r="D1896" s="4">
        <v>1180</v>
      </c>
      <c r="E1896" s="4">
        <v>11000</v>
      </c>
      <c r="F1896" s="211" t="s">
        <v>4304</v>
      </c>
      <c r="G1896" s="4" t="s">
        <v>4305</v>
      </c>
      <c r="H1896" s="4" t="s">
        <v>4306</v>
      </c>
      <c r="I1896" s="4" t="s">
        <v>49</v>
      </c>
      <c r="J1896" s="4" t="s">
        <v>1746</v>
      </c>
      <c r="K1896" s="4">
        <v>1</v>
      </c>
      <c r="L1896" s="4">
        <v>13168</v>
      </c>
      <c r="M1896" s="9"/>
      <c r="U1896"/>
      <c r="AK1896" s="9"/>
      <c r="AO1896" s="4" t="s">
        <v>4304</v>
      </c>
      <c r="AP1896" s="4">
        <v>1180</v>
      </c>
      <c r="AQ1896" s="4" t="s">
        <v>1716</v>
      </c>
      <c r="AR1896" s="4" t="s">
        <v>1717</v>
      </c>
      <c r="AS1896" s="4" t="s">
        <v>1718</v>
      </c>
      <c r="AT1896" s="4" t="s">
        <v>1835</v>
      </c>
      <c r="AU1896" s="4" t="s">
        <v>1959</v>
      </c>
      <c r="AV1896" s="4" t="s">
        <v>1720</v>
      </c>
      <c r="AW1896" s="4" t="s">
        <v>2368</v>
      </c>
      <c r="AX1896" s="4" t="s">
        <v>2492</v>
      </c>
      <c r="AY1896" s="4">
        <v>49.529200000000003</v>
      </c>
      <c r="AZ1896" s="4">
        <v>-120.2208</v>
      </c>
      <c r="BA1896" s="4">
        <v>1400</v>
      </c>
    </row>
    <row r="1897" spans="2:72" ht="14.25" customHeight="1" x14ac:dyDescent="0.2">
      <c r="B1897" s="4">
        <v>12</v>
      </c>
      <c r="C1897" s="188" t="s">
        <v>1711</v>
      </c>
      <c r="D1897" s="4">
        <v>1203</v>
      </c>
      <c r="E1897" s="4">
        <v>11019</v>
      </c>
      <c r="F1897" s="4" t="s">
        <v>4351</v>
      </c>
      <c r="G1897" s="4" t="s">
        <v>4352</v>
      </c>
      <c r="H1897" s="4" t="s">
        <v>4353</v>
      </c>
      <c r="I1897" s="4" t="s">
        <v>49</v>
      </c>
      <c r="J1897" s="4" t="s">
        <v>1829</v>
      </c>
      <c r="K1897" s="4">
        <v>1</v>
      </c>
      <c r="L1897" s="4">
        <v>13187</v>
      </c>
      <c r="M1897" s="9">
        <v>49.3576111</v>
      </c>
      <c r="N1897" s="4">
        <v>-116.95025</v>
      </c>
      <c r="O1897" s="4" t="s">
        <v>170</v>
      </c>
      <c r="P1897" s="4">
        <v>1203</v>
      </c>
      <c r="Q1897" s="4">
        <v>5</v>
      </c>
      <c r="R1897" s="4" t="s">
        <v>4351</v>
      </c>
      <c r="S1897" s="4" t="s">
        <v>1737</v>
      </c>
      <c r="T1897" s="4">
        <v>1657</v>
      </c>
      <c r="U1897"/>
      <c r="X1897" s="4" t="s">
        <v>1738</v>
      </c>
      <c r="AK1897" s="9"/>
      <c r="AO1897" s="4" t="s">
        <v>4351</v>
      </c>
      <c r="AP1897" s="4">
        <v>1203</v>
      </c>
      <c r="AQ1897" s="4" t="s">
        <v>1716</v>
      </c>
      <c r="AR1897" s="4" t="s">
        <v>1739</v>
      </c>
      <c r="AS1897" s="4" t="s">
        <v>1740</v>
      </c>
      <c r="AT1897" s="4" t="s">
        <v>1741</v>
      </c>
      <c r="AU1897" s="4" t="s">
        <v>1742</v>
      </c>
      <c r="AV1897" s="4" t="s">
        <v>1720</v>
      </c>
      <c r="AW1897" s="4" t="s">
        <v>2698</v>
      </c>
      <c r="AX1897" s="4" t="s">
        <v>2801</v>
      </c>
      <c r="AY1897" s="4">
        <v>49.357599999999998</v>
      </c>
      <c r="AZ1897" s="4">
        <v>-116.9502</v>
      </c>
      <c r="BA1897" s="4">
        <v>1657</v>
      </c>
    </row>
    <row r="1898" spans="2:72" ht="14.25" customHeight="1" x14ac:dyDescent="0.2">
      <c r="B1898" s="4">
        <v>12</v>
      </c>
      <c r="C1898" s="4" t="s">
        <v>1711</v>
      </c>
      <c r="D1898" s="4">
        <v>1215</v>
      </c>
      <c r="E1898" s="4">
        <v>11416</v>
      </c>
      <c r="F1898" s="212" t="s">
        <v>4375</v>
      </c>
      <c r="G1898" s="4" t="s">
        <v>4376</v>
      </c>
      <c r="H1898" s="4" t="s">
        <v>4377</v>
      </c>
      <c r="I1898" s="4" t="s">
        <v>49</v>
      </c>
      <c r="J1898" s="4" t="s">
        <v>1746</v>
      </c>
      <c r="K1898" s="4">
        <v>1</v>
      </c>
      <c r="L1898" s="4">
        <v>13477</v>
      </c>
      <c r="M1898" s="27"/>
      <c r="N1898" s="182"/>
      <c r="O1898" s="182"/>
      <c r="P1898" s="182"/>
      <c r="Q1898" s="182"/>
      <c r="R1898" s="182"/>
      <c r="S1898" s="182"/>
      <c r="T1898" s="182"/>
      <c r="U1898" s="182"/>
      <c r="V1898" s="182"/>
      <c r="W1898" s="182"/>
      <c r="X1898" s="182"/>
      <c r="Y1898" s="182"/>
      <c r="Z1898" s="182"/>
      <c r="AA1898" s="182"/>
      <c r="AB1898" s="182"/>
      <c r="AC1898" s="182"/>
      <c r="AD1898" s="182"/>
      <c r="AE1898" s="182"/>
      <c r="AF1898" s="182"/>
      <c r="AG1898" s="182"/>
      <c r="AH1898" s="182"/>
      <c r="AI1898" s="182"/>
      <c r="AJ1898" s="182"/>
      <c r="AK1898" s="27"/>
      <c r="AL1898" s="182"/>
      <c r="AM1898" s="182"/>
      <c r="AN1898" s="182"/>
      <c r="AO1898" s="196" t="s">
        <v>4375</v>
      </c>
      <c r="AP1898" s="196">
        <v>1215</v>
      </c>
      <c r="AQ1898" s="196" t="s">
        <v>1716</v>
      </c>
      <c r="AR1898" s="196" t="s">
        <v>1717</v>
      </c>
      <c r="AS1898" s="196" t="s">
        <v>1718</v>
      </c>
      <c r="AT1898" s="196" t="s">
        <v>1841</v>
      </c>
      <c r="AU1898" s="196" t="s">
        <v>1959</v>
      </c>
      <c r="AV1898" s="182"/>
      <c r="AW1898" s="196" t="s">
        <v>2368</v>
      </c>
      <c r="AX1898" s="196" t="s">
        <v>2516</v>
      </c>
      <c r="AY1898" s="196">
        <v>49.985300000000002</v>
      </c>
      <c r="AZ1898" s="196">
        <v>-119.2294</v>
      </c>
      <c r="BA1898" s="196">
        <v>1395</v>
      </c>
      <c r="BB1898" s="182"/>
      <c r="BC1898" s="182"/>
      <c r="BD1898" s="182"/>
      <c r="BE1898" s="182"/>
      <c r="BF1898" s="182"/>
      <c r="BG1898" s="182"/>
      <c r="BH1898" s="182"/>
      <c r="BI1898" s="182"/>
      <c r="BJ1898" s="182"/>
      <c r="BK1898" s="182"/>
      <c r="BL1898" s="182"/>
      <c r="BM1898" s="182"/>
      <c r="BN1898" s="182"/>
      <c r="BO1898" s="182"/>
      <c r="BP1898" s="182"/>
      <c r="BQ1898" s="182"/>
      <c r="BR1898" s="182"/>
      <c r="BS1898" s="182"/>
      <c r="BT1898" s="182"/>
    </row>
    <row r="1899" spans="2:72" ht="14.25" customHeight="1" x14ac:dyDescent="0.2">
      <c r="B1899" s="4">
        <v>12</v>
      </c>
      <c r="C1899" s="4" t="s">
        <v>1711</v>
      </c>
      <c r="D1899" s="4">
        <v>1221</v>
      </c>
      <c r="E1899" s="4">
        <v>11421</v>
      </c>
      <c r="F1899" s="4" t="s">
        <v>4393</v>
      </c>
      <c r="G1899" s="4" t="s">
        <v>4394</v>
      </c>
      <c r="H1899" s="4" t="s">
        <v>4395</v>
      </c>
      <c r="I1899" s="4" t="s">
        <v>49</v>
      </c>
      <c r="J1899" s="4" t="s">
        <v>1829</v>
      </c>
      <c r="K1899" s="4">
        <v>1</v>
      </c>
      <c r="L1899" s="4">
        <v>13482</v>
      </c>
      <c r="M1899" s="9"/>
      <c r="U1899"/>
      <c r="V1899" s="182"/>
      <c r="W1899" s="182"/>
      <c r="X1899" s="182"/>
      <c r="Y1899" s="182"/>
      <c r="Z1899" s="182"/>
      <c r="AA1899" s="182"/>
      <c r="AB1899" s="182"/>
      <c r="AC1899" s="182"/>
      <c r="AD1899" s="182"/>
      <c r="AE1899" s="182"/>
      <c r="AF1899" s="182"/>
      <c r="AG1899" s="182"/>
      <c r="AH1899" s="182"/>
      <c r="AI1899" s="182"/>
      <c r="AJ1899" s="182"/>
      <c r="AK1899" s="27"/>
      <c r="AL1899" s="182"/>
      <c r="AM1899" s="182"/>
      <c r="AN1899" s="182"/>
      <c r="AO1899" s="196" t="s">
        <v>4393</v>
      </c>
      <c r="AP1899" s="196">
        <v>1221</v>
      </c>
      <c r="AQ1899" s="196" t="s">
        <v>1716</v>
      </c>
      <c r="AR1899" s="196" t="s">
        <v>1739</v>
      </c>
      <c r="AS1899" s="196" t="s">
        <v>1740</v>
      </c>
      <c r="AT1899" s="196" t="s">
        <v>1741</v>
      </c>
      <c r="AU1899" s="196" t="s">
        <v>1742</v>
      </c>
      <c r="AV1899" s="196" t="s">
        <v>1720</v>
      </c>
      <c r="AW1899" s="196" t="s">
        <v>1705</v>
      </c>
      <c r="AX1899" s="196" t="s">
        <v>1879</v>
      </c>
      <c r="AY1899" s="196">
        <v>50.070799999999998</v>
      </c>
      <c r="AZ1899" s="196">
        <v>-123.2771</v>
      </c>
      <c r="BA1899" s="196">
        <v>1592</v>
      </c>
      <c r="BB1899" s="182"/>
      <c r="BC1899" s="182"/>
      <c r="BD1899" s="182"/>
      <c r="BE1899" s="182"/>
      <c r="BF1899" s="182"/>
      <c r="BG1899" s="182"/>
      <c r="BH1899" s="182"/>
      <c r="BI1899" s="182"/>
      <c r="BJ1899" s="182"/>
      <c r="BK1899" s="182"/>
      <c r="BL1899" s="182"/>
      <c r="BM1899" s="182"/>
      <c r="BN1899" s="182"/>
      <c r="BO1899" s="182"/>
      <c r="BP1899" s="182"/>
      <c r="BQ1899" s="182"/>
      <c r="BR1899" s="182"/>
      <c r="BS1899" s="182"/>
      <c r="BT1899" s="182"/>
    </row>
    <row r="1900" spans="2:72" ht="14.25" customHeight="1" x14ac:dyDescent="0.2">
      <c r="B1900" s="4">
        <v>12</v>
      </c>
      <c r="C1900" s="188" t="s">
        <v>1711</v>
      </c>
      <c r="D1900" s="188">
        <v>1268</v>
      </c>
      <c r="E1900" s="4">
        <v>12027</v>
      </c>
      <c r="F1900" s="4" t="s">
        <v>4498</v>
      </c>
      <c r="G1900" s="4" t="s">
        <v>4499</v>
      </c>
      <c r="H1900" s="4" t="s">
        <v>4500</v>
      </c>
      <c r="I1900" s="4" t="s">
        <v>49</v>
      </c>
      <c r="J1900" s="4" t="s">
        <v>1829</v>
      </c>
      <c r="K1900" s="4">
        <v>1</v>
      </c>
      <c r="L1900" s="4">
        <v>14084</v>
      </c>
      <c r="M1900" s="72"/>
      <c r="N1900" s="72"/>
      <c r="O1900" s="72"/>
      <c r="P1900" s="72"/>
      <c r="Q1900" s="73"/>
      <c r="R1900" s="72"/>
      <c r="S1900" s="72"/>
      <c r="T1900" s="72"/>
      <c r="U1900" s="72"/>
      <c r="V1900" s="314"/>
      <c r="W1900" s="323"/>
      <c r="X1900" s="314"/>
      <c r="Y1900" s="182"/>
      <c r="Z1900" s="182"/>
      <c r="AA1900" s="182"/>
      <c r="AB1900" s="182"/>
      <c r="AC1900" s="182"/>
      <c r="AD1900" s="182"/>
      <c r="AE1900" s="182"/>
      <c r="AF1900" s="182"/>
      <c r="AG1900" s="182"/>
      <c r="AH1900" s="182"/>
      <c r="AI1900" s="182"/>
      <c r="AJ1900" s="182"/>
      <c r="AK1900" s="27"/>
      <c r="AL1900" s="182"/>
      <c r="AM1900" s="182"/>
      <c r="AN1900" s="182"/>
      <c r="AO1900" s="196" t="s">
        <v>4498</v>
      </c>
      <c r="AP1900" s="196">
        <v>1268</v>
      </c>
      <c r="AQ1900" s="196" t="s">
        <v>1700</v>
      </c>
      <c r="AR1900" s="196" t="s">
        <v>1739</v>
      </c>
      <c r="AS1900" s="196" t="s">
        <v>1740</v>
      </c>
      <c r="AT1900" s="196" t="s">
        <v>1741</v>
      </c>
      <c r="AU1900" s="196" t="s">
        <v>1959</v>
      </c>
      <c r="AV1900" s="196" t="s">
        <v>1720</v>
      </c>
      <c r="AW1900" s="196" t="s">
        <v>2003</v>
      </c>
      <c r="AX1900" s="196" t="s">
        <v>2258</v>
      </c>
      <c r="AY1900" s="196">
        <v>52.859699999999997</v>
      </c>
      <c r="AZ1900" s="196">
        <v>-119.3386</v>
      </c>
      <c r="BA1900" s="196">
        <v>788</v>
      </c>
      <c r="BB1900" s="182"/>
      <c r="BC1900" s="182"/>
      <c r="BD1900" s="182"/>
      <c r="BE1900" s="182"/>
      <c r="BF1900" s="182"/>
      <c r="BG1900" s="182"/>
      <c r="BH1900" s="182"/>
      <c r="BI1900" s="182"/>
      <c r="BJ1900" s="182"/>
      <c r="BK1900" s="182"/>
      <c r="BL1900" s="182"/>
      <c r="BM1900" s="182"/>
      <c r="BN1900" s="182"/>
      <c r="BO1900" s="182"/>
      <c r="BP1900" s="182"/>
      <c r="BQ1900" s="182"/>
      <c r="BR1900" s="182"/>
      <c r="BS1900" s="182"/>
      <c r="BT1900" s="182"/>
    </row>
    <row r="1901" spans="2:72" ht="14.25" customHeight="1" x14ac:dyDescent="0.2">
      <c r="B1901" s="4">
        <v>12</v>
      </c>
      <c r="C1901" s="4" t="s">
        <v>1711</v>
      </c>
      <c r="D1901" s="4">
        <v>1276</v>
      </c>
      <c r="E1901" s="4">
        <v>12034</v>
      </c>
      <c r="F1901" s="4" t="s">
        <v>4523</v>
      </c>
      <c r="G1901" s="4" t="s">
        <v>4524</v>
      </c>
      <c r="H1901" s="4" t="s">
        <v>4525</v>
      </c>
      <c r="I1901" s="4" t="s">
        <v>49</v>
      </c>
      <c r="J1901" s="4" t="s">
        <v>1829</v>
      </c>
      <c r="K1901" s="4">
        <v>1</v>
      </c>
      <c r="L1901" s="4">
        <v>14091</v>
      </c>
      <c r="M1901" s="9"/>
      <c r="U1901"/>
      <c r="AK1901" s="9"/>
      <c r="AO1901" s="4" t="s">
        <v>4523</v>
      </c>
      <c r="AP1901" s="4">
        <v>1276</v>
      </c>
      <c r="AQ1901" s="4" t="s">
        <v>1716</v>
      </c>
      <c r="AR1901" s="4" t="s">
        <v>1739</v>
      </c>
      <c r="AS1901" s="4" t="s">
        <v>1740</v>
      </c>
      <c r="AT1901" s="4" t="s">
        <v>1703</v>
      </c>
      <c r="AU1901" s="4" t="s">
        <v>1742</v>
      </c>
      <c r="AV1901" s="4" t="s">
        <v>1720</v>
      </c>
      <c r="AW1901" s="4" t="s">
        <v>1705</v>
      </c>
      <c r="AX1901" s="4" t="s">
        <v>1965</v>
      </c>
      <c r="AY1901" s="4">
        <v>51.6556</v>
      </c>
      <c r="AZ1901" s="4">
        <v>-126.1407</v>
      </c>
      <c r="BA1901" s="4">
        <v>1609</v>
      </c>
    </row>
    <row r="1902" spans="2:72" ht="14.25" customHeight="1" x14ac:dyDescent="0.2">
      <c r="B1902" s="4">
        <v>12</v>
      </c>
      <c r="C1902" s="4" t="s">
        <v>1711</v>
      </c>
      <c r="D1902" s="4">
        <v>1277</v>
      </c>
      <c r="E1902" s="4">
        <v>12035</v>
      </c>
      <c r="F1902" s="4" t="s">
        <v>4526</v>
      </c>
      <c r="G1902" s="4" t="s">
        <v>4527</v>
      </c>
      <c r="H1902" s="4" t="s">
        <v>4525</v>
      </c>
      <c r="I1902" s="4" t="s">
        <v>49</v>
      </c>
      <c r="J1902" s="4" t="s">
        <v>1891</v>
      </c>
      <c r="K1902" s="4">
        <v>1</v>
      </c>
      <c r="L1902" s="4">
        <v>14092</v>
      </c>
      <c r="M1902" s="9"/>
      <c r="U1902"/>
      <c r="AK1902" s="9"/>
      <c r="AO1902" s="4" t="s">
        <v>4526</v>
      </c>
      <c r="AP1902" s="4">
        <v>1277</v>
      </c>
      <c r="AQ1902" s="4" t="s">
        <v>1716</v>
      </c>
      <c r="AR1902" s="4" t="s">
        <v>1739</v>
      </c>
      <c r="AS1902" s="4" t="s">
        <v>1740</v>
      </c>
      <c r="AT1902" s="4" t="s">
        <v>1835</v>
      </c>
      <c r="AU1902" s="4" t="s">
        <v>1704</v>
      </c>
      <c r="AV1902" s="4" t="s">
        <v>1720</v>
      </c>
      <c r="AW1902" s="4" t="s">
        <v>2368</v>
      </c>
      <c r="AX1902" s="4" t="s">
        <v>2516</v>
      </c>
      <c r="AY1902" s="4">
        <v>49.883200000000002</v>
      </c>
      <c r="AZ1902" s="4">
        <v>-119.56950000000001</v>
      </c>
      <c r="BA1902" s="4">
        <v>650</v>
      </c>
    </row>
    <row r="1903" spans="2:72" ht="14.25" customHeight="1" x14ac:dyDescent="0.2">
      <c r="B1903" s="4">
        <v>12</v>
      </c>
      <c r="C1903" s="4" t="s">
        <v>1711</v>
      </c>
      <c r="D1903" s="4">
        <v>1281</v>
      </c>
      <c r="E1903" s="4">
        <v>12429</v>
      </c>
      <c r="F1903" s="211" t="s">
        <v>4534</v>
      </c>
      <c r="G1903" s="4" t="s">
        <v>4535</v>
      </c>
      <c r="H1903" s="4" t="s">
        <v>4536</v>
      </c>
      <c r="I1903" s="4" t="s">
        <v>49</v>
      </c>
      <c r="J1903" s="4" t="s">
        <v>1746</v>
      </c>
      <c r="K1903" s="4">
        <v>1</v>
      </c>
      <c r="L1903" s="4">
        <v>14451</v>
      </c>
      <c r="M1903" s="9"/>
      <c r="U1903"/>
      <c r="AK1903" s="9"/>
      <c r="AO1903" s="267" t="s">
        <v>4534</v>
      </c>
      <c r="AP1903" s="4">
        <v>1281</v>
      </c>
      <c r="AQ1903" s="4" t="s">
        <v>1716</v>
      </c>
      <c r="AR1903" s="4" t="s">
        <v>1717</v>
      </c>
      <c r="AS1903" s="4" t="s">
        <v>2257</v>
      </c>
      <c r="AT1903" s="4" t="s">
        <v>1835</v>
      </c>
      <c r="AU1903" s="4" t="s">
        <v>1836</v>
      </c>
      <c r="AV1903" s="4" t="s">
        <v>1720</v>
      </c>
      <c r="AW1903" s="4" t="s">
        <v>2698</v>
      </c>
      <c r="AX1903" s="4" t="s">
        <v>2801</v>
      </c>
      <c r="AY1903" s="4">
        <v>50.290999999999997</v>
      </c>
      <c r="AZ1903" s="4">
        <v>-116.899</v>
      </c>
      <c r="BA1903" s="4">
        <v>795</v>
      </c>
    </row>
    <row r="1904" spans="2:72" ht="14.25" customHeight="1" x14ac:dyDescent="0.2">
      <c r="B1904" s="4">
        <v>12</v>
      </c>
      <c r="C1904" s="4" t="s">
        <v>1711</v>
      </c>
      <c r="D1904" s="4">
        <v>1282</v>
      </c>
      <c r="E1904" s="4">
        <v>12043</v>
      </c>
      <c r="F1904" s="211" t="s">
        <v>4537</v>
      </c>
      <c r="G1904" s="4" t="s">
        <v>4538</v>
      </c>
      <c r="H1904" s="4" t="s">
        <v>4539</v>
      </c>
      <c r="I1904" s="4" t="s">
        <v>49</v>
      </c>
      <c r="J1904" s="4" t="s">
        <v>1746</v>
      </c>
      <c r="K1904" s="4">
        <v>1</v>
      </c>
      <c r="L1904" s="4">
        <v>14100</v>
      </c>
      <c r="M1904" s="27"/>
      <c r="N1904" s="182"/>
      <c r="O1904" s="182"/>
      <c r="P1904" s="182"/>
      <c r="Q1904" s="182"/>
      <c r="R1904" s="182"/>
      <c r="S1904" s="182"/>
      <c r="T1904" s="182"/>
      <c r="U1904" s="182"/>
      <c r="V1904" s="182"/>
      <c r="W1904" s="182"/>
      <c r="X1904" s="182"/>
      <c r="Y1904" s="182"/>
      <c r="Z1904" s="182"/>
      <c r="AA1904" s="182"/>
      <c r="AB1904" s="182"/>
      <c r="AC1904" s="182"/>
      <c r="AD1904" s="182"/>
      <c r="AE1904" s="182"/>
      <c r="AF1904" s="182"/>
      <c r="AG1904" s="182"/>
      <c r="AH1904" s="182"/>
      <c r="AI1904" s="182"/>
      <c r="AJ1904" s="182"/>
      <c r="AK1904" s="27"/>
      <c r="AL1904" s="182"/>
      <c r="AM1904" s="182"/>
      <c r="AN1904" s="182"/>
      <c r="AO1904" s="27" t="s">
        <v>4537</v>
      </c>
      <c r="AP1904" s="196">
        <v>1282</v>
      </c>
      <c r="AQ1904" s="196" t="s">
        <v>1716</v>
      </c>
      <c r="AR1904" s="196" t="s">
        <v>2441</v>
      </c>
      <c r="AS1904" s="196" t="s">
        <v>1740</v>
      </c>
      <c r="AT1904" s="196" t="s">
        <v>1835</v>
      </c>
      <c r="AU1904" s="196" t="s">
        <v>1742</v>
      </c>
      <c r="AV1904" s="196" t="s">
        <v>1720</v>
      </c>
      <c r="AW1904" s="196" t="s">
        <v>1705</v>
      </c>
      <c r="AX1904" s="196" t="s">
        <v>1747</v>
      </c>
      <c r="AY1904" s="196">
        <v>48.772799999999997</v>
      </c>
      <c r="AZ1904" s="196">
        <v>-123.4747</v>
      </c>
      <c r="BA1904" s="196">
        <v>18</v>
      </c>
      <c r="BB1904" s="182"/>
      <c r="BC1904" s="182"/>
      <c r="BD1904" s="182"/>
      <c r="BE1904" s="182"/>
      <c r="BF1904" s="182"/>
      <c r="BG1904" s="182"/>
      <c r="BH1904" s="182"/>
      <c r="BI1904" s="182"/>
      <c r="BJ1904" s="182"/>
      <c r="BK1904" s="182"/>
      <c r="BL1904" s="182"/>
      <c r="BM1904" s="182"/>
      <c r="BN1904" s="182"/>
      <c r="BO1904" s="182"/>
      <c r="BP1904" s="182"/>
      <c r="BQ1904" s="182"/>
      <c r="BR1904" s="182"/>
      <c r="BS1904" s="182"/>
      <c r="BT1904" s="182"/>
    </row>
    <row r="1905" spans="2:72" ht="14.25" customHeight="1" x14ac:dyDescent="0.2">
      <c r="B1905" s="4">
        <v>12</v>
      </c>
      <c r="C1905" s="4" t="s">
        <v>1711</v>
      </c>
      <c r="D1905" s="4">
        <v>1292</v>
      </c>
      <c r="E1905" s="4">
        <v>12049</v>
      </c>
      <c r="F1905" s="211" t="s">
        <v>4555</v>
      </c>
      <c r="G1905" s="4" t="s">
        <v>4556</v>
      </c>
      <c r="H1905" s="4" t="s">
        <v>4557</v>
      </c>
      <c r="I1905" s="4" t="s">
        <v>49</v>
      </c>
      <c r="J1905" s="4" t="s">
        <v>1746</v>
      </c>
      <c r="K1905" s="4">
        <v>1</v>
      </c>
      <c r="L1905" s="4">
        <v>14106</v>
      </c>
      <c r="M1905" s="9"/>
      <c r="U1905"/>
      <c r="AK1905" s="9"/>
      <c r="AO1905" s="4" t="s">
        <v>4555</v>
      </c>
      <c r="AP1905" s="4">
        <v>1292</v>
      </c>
      <c r="AQ1905" s="4" t="s">
        <v>1716</v>
      </c>
      <c r="AR1905" s="4" t="s">
        <v>1717</v>
      </c>
      <c r="AS1905" s="4" t="s">
        <v>1718</v>
      </c>
      <c r="AT1905" s="4" t="s">
        <v>1835</v>
      </c>
      <c r="AU1905" s="4" t="s">
        <v>1959</v>
      </c>
      <c r="AV1905" s="4" t="s">
        <v>1720</v>
      </c>
      <c r="AW1905" s="4" t="s">
        <v>2368</v>
      </c>
      <c r="AX1905" s="4" t="s">
        <v>2492</v>
      </c>
      <c r="AY1905" s="4">
        <v>49.523899999999998</v>
      </c>
      <c r="AZ1905" s="4">
        <v>-120.92310000000001</v>
      </c>
      <c r="BA1905" s="4">
        <v>1292</v>
      </c>
    </row>
    <row r="1906" spans="2:72" ht="14.25" customHeight="1" x14ac:dyDescent="0.2">
      <c r="B1906" s="4">
        <v>12</v>
      </c>
      <c r="C1906" s="4" t="s">
        <v>1711</v>
      </c>
      <c r="D1906" s="4">
        <v>1294</v>
      </c>
      <c r="E1906" s="4">
        <v>12052</v>
      </c>
      <c r="F1906" s="4" t="s">
        <v>4561</v>
      </c>
      <c r="G1906" s="4" t="s">
        <v>4562</v>
      </c>
      <c r="H1906" s="4" t="s">
        <v>4563</v>
      </c>
      <c r="I1906" s="4" t="s">
        <v>49</v>
      </c>
      <c r="J1906" s="4" t="s">
        <v>1746</v>
      </c>
      <c r="K1906" s="4">
        <v>1</v>
      </c>
      <c r="L1906" s="4">
        <v>14109</v>
      </c>
      <c r="M1906" s="9"/>
      <c r="U1906"/>
      <c r="AK1906" s="9"/>
      <c r="AO1906" s="4" t="s">
        <v>4561</v>
      </c>
      <c r="AP1906" s="4">
        <v>1294</v>
      </c>
      <c r="AQ1906" s="4" t="s">
        <v>1716</v>
      </c>
      <c r="AR1906" s="4" t="s">
        <v>1717</v>
      </c>
      <c r="AS1906" s="4" t="s">
        <v>2257</v>
      </c>
      <c r="AT1906" s="4" t="s">
        <v>1835</v>
      </c>
      <c r="AU1906" s="4" t="s">
        <v>2443</v>
      </c>
      <c r="AV1906" s="4" t="s">
        <v>1720</v>
      </c>
      <c r="AW1906" s="4" t="s">
        <v>1705</v>
      </c>
      <c r="AX1906" s="4" t="s">
        <v>1747</v>
      </c>
      <c r="AY1906" s="4">
        <v>48.434699999999999</v>
      </c>
      <c r="AZ1906" s="4">
        <v>-123.3746</v>
      </c>
      <c r="BA1906" s="4">
        <v>10</v>
      </c>
    </row>
    <row r="1907" spans="2:72" ht="14.25" customHeight="1" x14ac:dyDescent="0.2">
      <c r="B1907" s="4">
        <v>12</v>
      </c>
      <c r="C1907" s="188" t="s">
        <v>1711</v>
      </c>
      <c r="D1907" s="4">
        <v>1310</v>
      </c>
      <c r="E1907" s="4">
        <v>12327</v>
      </c>
      <c r="F1907" s="211" t="s">
        <v>4588</v>
      </c>
      <c r="G1907" s="201" t="s">
        <v>4589</v>
      </c>
      <c r="H1907" s="4" t="s">
        <v>4590</v>
      </c>
      <c r="I1907" s="4" t="s">
        <v>49</v>
      </c>
      <c r="J1907" s="4" t="s">
        <v>1746</v>
      </c>
      <c r="K1907" s="4">
        <v>1</v>
      </c>
      <c r="L1907" s="4">
        <v>14382</v>
      </c>
      <c r="M1907" s="9"/>
      <c r="U1907"/>
      <c r="AK1907" s="9"/>
      <c r="AO1907" s="267" t="s">
        <v>4591</v>
      </c>
      <c r="AP1907" s="211">
        <v>1307</v>
      </c>
      <c r="AQ1907" s="211" t="s">
        <v>1716</v>
      </c>
      <c r="AR1907" s="211" t="s">
        <v>1717</v>
      </c>
      <c r="AS1907" s="211" t="s">
        <v>1718</v>
      </c>
      <c r="AT1907" s="211" t="s">
        <v>1835</v>
      </c>
      <c r="AU1907" s="211" t="s">
        <v>1836</v>
      </c>
      <c r="AV1907" s="211" t="s">
        <v>1720</v>
      </c>
      <c r="AW1907" s="211"/>
      <c r="AX1907" s="211" t="s">
        <v>2801</v>
      </c>
      <c r="AY1907" s="211">
        <v>50.049399999999999</v>
      </c>
      <c r="AZ1907" s="211">
        <v>-117.0886</v>
      </c>
      <c r="BA1907" s="211">
        <v>1784</v>
      </c>
    </row>
    <row r="1908" spans="2:72" ht="14.25" customHeight="1" x14ac:dyDescent="0.2">
      <c r="B1908" s="4">
        <v>12</v>
      </c>
      <c r="C1908" s="188" t="s">
        <v>1711</v>
      </c>
      <c r="D1908" s="4">
        <v>1313</v>
      </c>
      <c r="E1908" s="4">
        <v>12328</v>
      </c>
      <c r="F1908" s="4" t="s">
        <v>4592</v>
      </c>
      <c r="G1908" s="4" t="s">
        <v>4593</v>
      </c>
      <c r="H1908" s="4" t="s">
        <v>4594</v>
      </c>
      <c r="I1908" s="4" t="s">
        <v>49</v>
      </c>
      <c r="J1908" s="4" t="s">
        <v>1746</v>
      </c>
      <c r="K1908" s="4">
        <v>1</v>
      </c>
      <c r="L1908" s="4">
        <v>14383</v>
      </c>
      <c r="M1908" s="9"/>
      <c r="U1908"/>
      <c r="AK1908" s="9"/>
      <c r="AO1908" s="4" t="s">
        <v>4592</v>
      </c>
      <c r="AP1908" s="4">
        <v>1313</v>
      </c>
      <c r="AQ1908" s="4" t="s">
        <v>1716</v>
      </c>
      <c r="AR1908" s="4" t="s">
        <v>1701</v>
      </c>
      <c r="AS1908" s="4" t="s">
        <v>1740</v>
      </c>
      <c r="AT1908" s="4" t="s">
        <v>1703</v>
      </c>
      <c r="AU1908" s="4" t="s">
        <v>1742</v>
      </c>
      <c r="AV1908" s="4" t="s">
        <v>1720</v>
      </c>
      <c r="AW1908" s="4" t="s">
        <v>1705</v>
      </c>
      <c r="AX1908" s="4" t="s">
        <v>1837</v>
      </c>
      <c r="AY1908" s="4">
        <v>49.597900000000003</v>
      </c>
      <c r="AZ1908" s="4">
        <v>-123.60509999999999</v>
      </c>
      <c r="BA1908" s="4">
        <v>1422</v>
      </c>
    </row>
    <row r="1909" spans="2:72" ht="14.25" customHeight="1" x14ac:dyDescent="0.2">
      <c r="B1909" s="4">
        <v>12</v>
      </c>
      <c r="C1909" s="188" t="s">
        <v>1711</v>
      </c>
      <c r="D1909" s="4">
        <v>1318</v>
      </c>
      <c r="E1909" s="4">
        <v>12331</v>
      </c>
      <c r="F1909" s="211" t="s">
        <v>4601</v>
      </c>
      <c r="G1909" s="4" t="s">
        <v>4602</v>
      </c>
      <c r="H1909" s="4" t="s">
        <v>4603</v>
      </c>
      <c r="I1909" s="4" t="s">
        <v>49</v>
      </c>
      <c r="J1909" s="4" t="s">
        <v>1746</v>
      </c>
      <c r="K1909" s="4">
        <v>1</v>
      </c>
      <c r="L1909" s="4">
        <v>14387</v>
      </c>
      <c r="M1909" s="9"/>
      <c r="U1909"/>
      <c r="AK1909" s="9"/>
      <c r="AO1909" s="267" t="s">
        <v>4601</v>
      </c>
      <c r="AP1909" s="4">
        <v>1318</v>
      </c>
      <c r="AQ1909" s="4" t="s">
        <v>1716</v>
      </c>
      <c r="AR1909" s="4" t="s">
        <v>1717</v>
      </c>
      <c r="AS1909" s="4" t="s">
        <v>1718</v>
      </c>
      <c r="AT1909" s="4" t="s">
        <v>1835</v>
      </c>
      <c r="AU1909" s="4" t="s">
        <v>1836</v>
      </c>
      <c r="AV1909" s="4" t="s">
        <v>1720</v>
      </c>
      <c r="AY1909" s="4">
        <v>52.864699999999999</v>
      </c>
      <c r="AZ1909" s="4">
        <v>-118.51860000000001</v>
      </c>
      <c r="BA1909" s="4">
        <v>1120</v>
      </c>
    </row>
    <row r="1910" spans="2:72" ht="14.25" customHeight="1" x14ac:dyDescent="0.2">
      <c r="B1910" s="4">
        <v>12</v>
      </c>
      <c r="C1910" s="188" t="s">
        <v>1711</v>
      </c>
      <c r="D1910" s="4">
        <v>1326</v>
      </c>
      <c r="E1910" s="4">
        <v>12340</v>
      </c>
      <c r="F1910" s="212" t="s">
        <v>4616</v>
      </c>
      <c r="G1910" s="4" t="s">
        <v>4617</v>
      </c>
      <c r="H1910" s="4" t="s">
        <v>4618</v>
      </c>
      <c r="I1910" s="4" t="s">
        <v>49</v>
      </c>
      <c r="J1910" s="4" t="s">
        <v>1746</v>
      </c>
      <c r="K1910" s="4">
        <v>1</v>
      </c>
      <c r="L1910" s="4">
        <v>14396</v>
      </c>
      <c r="M1910" s="27"/>
      <c r="N1910" s="182"/>
      <c r="O1910" s="182"/>
      <c r="P1910" s="182"/>
      <c r="Q1910" s="182"/>
      <c r="R1910" s="182"/>
      <c r="S1910" s="182"/>
      <c r="T1910" s="182"/>
      <c r="U1910" s="182"/>
      <c r="V1910" s="182"/>
      <c r="W1910" s="182"/>
      <c r="X1910" s="182"/>
      <c r="Y1910" s="182"/>
      <c r="Z1910" s="182"/>
      <c r="AA1910" s="182"/>
      <c r="AB1910" s="182"/>
      <c r="AC1910" s="182"/>
      <c r="AD1910" s="182"/>
      <c r="AE1910" s="182"/>
      <c r="AF1910" s="182"/>
      <c r="AG1910" s="182"/>
      <c r="AH1910" s="182"/>
      <c r="AI1910" s="182"/>
      <c r="AJ1910" s="182"/>
      <c r="AK1910" s="27"/>
      <c r="AL1910" s="182"/>
      <c r="AM1910" s="182"/>
      <c r="AN1910" s="182"/>
      <c r="AO1910" s="196" t="s">
        <v>4616</v>
      </c>
      <c r="AP1910" s="196">
        <v>1326</v>
      </c>
      <c r="AQ1910" s="196" t="s">
        <v>1716</v>
      </c>
      <c r="AR1910" s="196" t="s">
        <v>1717</v>
      </c>
      <c r="AS1910" s="196" t="s">
        <v>1740</v>
      </c>
      <c r="AT1910" s="196" t="s">
        <v>1703</v>
      </c>
      <c r="AU1910" s="196" t="s">
        <v>1742</v>
      </c>
      <c r="AV1910" s="196" t="s">
        <v>1720</v>
      </c>
      <c r="AW1910" s="196" t="s">
        <v>2368</v>
      </c>
      <c r="AX1910" s="196" t="s">
        <v>2492</v>
      </c>
      <c r="AY1910" s="196">
        <v>49.339300000000001</v>
      </c>
      <c r="AZ1910" s="196">
        <v>-120.4071</v>
      </c>
      <c r="BA1910" s="196">
        <v>1464</v>
      </c>
      <c r="BB1910" s="182"/>
      <c r="BC1910" s="182"/>
      <c r="BD1910" s="182"/>
      <c r="BE1910" s="182"/>
      <c r="BF1910" s="182"/>
      <c r="BG1910" s="182"/>
      <c r="BH1910" s="182"/>
      <c r="BI1910" s="182"/>
      <c r="BJ1910" s="182"/>
      <c r="BK1910" s="182"/>
      <c r="BL1910" s="182"/>
      <c r="BM1910" s="182"/>
      <c r="BN1910" s="182"/>
      <c r="BO1910" s="182"/>
      <c r="BP1910" s="182"/>
      <c r="BQ1910" s="182"/>
      <c r="BR1910" s="182"/>
      <c r="BS1910" s="182"/>
      <c r="BT1910" s="182"/>
    </row>
    <row r="1911" spans="2:72" ht="14.25" customHeight="1" x14ac:dyDescent="0.2">
      <c r="B1911" s="4">
        <v>12</v>
      </c>
      <c r="C1911" s="188" t="s">
        <v>1711</v>
      </c>
      <c r="D1911" s="4">
        <v>1330</v>
      </c>
      <c r="E1911" s="4">
        <v>12339</v>
      </c>
      <c r="F1911" s="4" t="s">
        <v>4619</v>
      </c>
      <c r="G1911" s="4" t="s">
        <v>4620</v>
      </c>
      <c r="H1911" s="4" t="s">
        <v>4621</v>
      </c>
      <c r="I1911" s="4" t="s">
        <v>49</v>
      </c>
      <c r="J1911" s="4" t="s">
        <v>1891</v>
      </c>
      <c r="K1911" s="4">
        <v>1</v>
      </c>
      <c r="L1911" s="4">
        <v>14394</v>
      </c>
      <c r="M1911" s="9">
        <v>49.469694400000002</v>
      </c>
      <c r="N1911" s="4">
        <v>-120.7925</v>
      </c>
      <c r="O1911" s="4" t="s">
        <v>142</v>
      </c>
      <c r="P1911" s="4">
        <v>1330</v>
      </c>
      <c r="Q1911" s="4">
        <v>6</v>
      </c>
      <c r="R1911" s="4" t="s">
        <v>4619</v>
      </c>
      <c r="S1911" s="4" t="s">
        <v>1737</v>
      </c>
      <c r="T1911" s="4">
        <v>1543</v>
      </c>
      <c r="U1911"/>
      <c r="W1911" s="4">
        <v>43831</v>
      </c>
      <c r="X1911" s="4" t="s">
        <v>1738</v>
      </c>
      <c r="AK1911" s="9"/>
      <c r="AO1911" s="4" t="s">
        <v>4619</v>
      </c>
      <c r="AP1911" s="4">
        <v>1330</v>
      </c>
      <c r="AQ1911" s="4" t="s">
        <v>1716</v>
      </c>
      <c r="AR1911" s="4" t="s">
        <v>1739</v>
      </c>
      <c r="AS1911" s="4" t="s">
        <v>1740</v>
      </c>
      <c r="AT1911" s="4" t="s">
        <v>1741</v>
      </c>
      <c r="AU1911" s="4" t="s">
        <v>1704</v>
      </c>
      <c r="AV1911" s="4" t="s">
        <v>1720</v>
      </c>
      <c r="AW1911" s="4" t="s">
        <v>2368</v>
      </c>
      <c r="AX1911" s="4" t="s">
        <v>2492</v>
      </c>
      <c r="AY1911" s="4">
        <v>49.469700000000003</v>
      </c>
      <c r="AZ1911" s="4">
        <v>-120.7925</v>
      </c>
      <c r="BA1911" s="4">
        <v>1543</v>
      </c>
    </row>
    <row r="1912" spans="2:72" ht="14.25" customHeight="1" x14ac:dyDescent="0.2">
      <c r="B1912" s="4">
        <v>12</v>
      </c>
      <c r="C1912" s="188" t="s">
        <v>1711</v>
      </c>
      <c r="D1912" s="4">
        <v>1333</v>
      </c>
      <c r="E1912" s="4">
        <v>12341</v>
      </c>
      <c r="F1912" s="16" t="s">
        <v>4629</v>
      </c>
      <c r="G1912" s="4" t="s">
        <v>4630</v>
      </c>
      <c r="H1912" s="4" t="s">
        <v>4631</v>
      </c>
      <c r="I1912" s="4" t="s">
        <v>49</v>
      </c>
      <c r="J1912" s="4" t="s">
        <v>1746</v>
      </c>
      <c r="K1912" s="4">
        <v>1</v>
      </c>
      <c r="L1912" s="4">
        <v>14397</v>
      </c>
      <c r="M1912" s="9"/>
      <c r="U1912"/>
      <c r="AK1912" s="9"/>
      <c r="AO1912" s="267" t="s">
        <v>4629</v>
      </c>
      <c r="AP1912" s="4">
        <v>1333</v>
      </c>
      <c r="AQ1912" s="4" t="s">
        <v>1716</v>
      </c>
      <c r="AR1912" s="4" t="s">
        <v>2441</v>
      </c>
      <c r="AS1912" s="4" t="s">
        <v>1718</v>
      </c>
      <c r="AT1912" s="4" t="s">
        <v>1835</v>
      </c>
      <c r="AU1912" s="4" t="s">
        <v>1836</v>
      </c>
      <c r="AV1912" s="4" t="s">
        <v>1720</v>
      </c>
      <c r="AW1912" s="4" t="s">
        <v>2698</v>
      </c>
      <c r="AX1912" s="4" t="s">
        <v>2902</v>
      </c>
      <c r="AY1912" s="4">
        <v>49.718699999999998</v>
      </c>
      <c r="AZ1912" s="4">
        <v>-115.02460000000001</v>
      </c>
      <c r="BA1912" s="4">
        <v>1770</v>
      </c>
    </row>
    <row r="1913" spans="2:72" ht="14.25" customHeight="1" x14ac:dyDescent="0.2">
      <c r="B1913" s="4">
        <v>12</v>
      </c>
      <c r="C1913" s="188" t="s">
        <v>1711</v>
      </c>
      <c r="D1913" s="4">
        <v>1347</v>
      </c>
      <c r="E1913" s="4">
        <v>12430</v>
      </c>
      <c r="F1913" s="4" t="s">
        <v>4663</v>
      </c>
      <c r="G1913" s="4" t="s">
        <v>4664</v>
      </c>
      <c r="H1913" s="4" t="s">
        <v>4665</v>
      </c>
      <c r="I1913" s="4" t="s">
        <v>49</v>
      </c>
      <c r="J1913" s="4" t="s">
        <v>1746</v>
      </c>
      <c r="K1913" s="4">
        <v>1</v>
      </c>
      <c r="L1913" s="4">
        <v>14452</v>
      </c>
      <c r="M1913" s="9"/>
      <c r="U1913"/>
      <c r="AK1913" s="9"/>
      <c r="AO1913" s="4" t="s">
        <v>4663</v>
      </c>
      <c r="AP1913" s="4">
        <v>1347</v>
      </c>
      <c r="AQ1913" s="4" t="s">
        <v>1716</v>
      </c>
      <c r="AR1913" s="4" t="s">
        <v>4666</v>
      </c>
      <c r="AS1913" s="4" t="s">
        <v>1740</v>
      </c>
      <c r="AT1913" s="4" t="s">
        <v>1835</v>
      </c>
      <c r="AU1913" s="4" t="s">
        <v>1742</v>
      </c>
      <c r="AV1913" s="4" t="s">
        <v>1720</v>
      </c>
      <c r="AW1913" s="4" t="s">
        <v>1705</v>
      </c>
      <c r="AX1913" s="4" t="s">
        <v>1723</v>
      </c>
      <c r="AY1913" s="4">
        <v>49.593600000000002</v>
      </c>
      <c r="AZ1913" s="4">
        <v>-125.1313</v>
      </c>
      <c r="BA1913" s="4">
        <v>970</v>
      </c>
    </row>
    <row r="1914" spans="2:72" ht="14.25" customHeight="1" x14ac:dyDescent="0.2">
      <c r="B1914" s="4">
        <v>12</v>
      </c>
      <c r="C1914" s="188" t="s">
        <v>1711</v>
      </c>
      <c r="D1914" s="4">
        <v>1348</v>
      </c>
      <c r="E1914" s="4">
        <v>12440</v>
      </c>
      <c r="F1914" s="4" t="s">
        <v>4667</v>
      </c>
      <c r="G1914" s="4" t="s">
        <v>4668</v>
      </c>
      <c r="H1914" s="4" t="s">
        <v>4669</v>
      </c>
      <c r="I1914" s="4" t="s">
        <v>49</v>
      </c>
      <c r="J1914" s="4" t="s">
        <v>1829</v>
      </c>
      <c r="K1914" s="4">
        <v>1</v>
      </c>
      <c r="L1914" s="4">
        <v>14462</v>
      </c>
      <c r="M1914" s="9"/>
      <c r="U1914"/>
      <c r="AK1914" s="9"/>
      <c r="AO1914" s="4" t="s">
        <v>4667</v>
      </c>
      <c r="AP1914" s="4">
        <v>1348</v>
      </c>
      <c r="AQ1914" s="4" t="s">
        <v>1716</v>
      </c>
      <c r="AR1914" s="4" t="s">
        <v>1739</v>
      </c>
      <c r="AS1914" s="4" t="s">
        <v>1740</v>
      </c>
      <c r="AT1914" s="4" t="s">
        <v>1835</v>
      </c>
      <c r="AU1914" s="4" t="s">
        <v>1742</v>
      </c>
      <c r="AV1914" s="4" t="s">
        <v>1720</v>
      </c>
      <c r="AW1914" s="4" t="s">
        <v>1705</v>
      </c>
      <c r="AX1914" s="4" t="s">
        <v>1710</v>
      </c>
      <c r="AY1914" s="4">
        <v>51.38</v>
      </c>
      <c r="AZ1914" s="4">
        <v>-125.76949999999999</v>
      </c>
      <c r="BA1914" s="4">
        <v>1532</v>
      </c>
    </row>
    <row r="1915" spans="2:72" ht="14.25" customHeight="1" x14ac:dyDescent="0.2">
      <c r="B1915" s="4">
        <v>12</v>
      </c>
      <c r="C1915" s="188" t="s">
        <v>1711</v>
      </c>
      <c r="D1915" s="4">
        <v>1349</v>
      </c>
      <c r="E1915" s="4">
        <v>12431</v>
      </c>
      <c r="F1915" s="4" t="s">
        <v>4670</v>
      </c>
      <c r="G1915" s="4" t="s">
        <v>4671</v>
      </c>
      <c r="H1915" s="4" t="s">
        <v>4672</v>
      </c>
      <c r="I1915" s="4" t="s">
        <v>49</v>
      </c>
      <c r="J1915" s="4" t="s">
        <v>1829</v>
      </c>
      <c r="K1915" s="4">
        <v>1</v>
      </c>
      <c r="L1915" s="4">
        <v>14453</v>
      </c>
      <c r="M1915" s="9"/>
      <c r="U1915"/>
      <c r="AK1915" s="9"/>
      <c r="AO1915" s="4" t="s">
        <v>4670</v>
      </c>
      <c r="AP1915" s="4">
        <v>1349</v>
      </c>
      <c r="AQ1915" s="4" t="s">
        <v>1716</v>
      </c>
      <c r="AR1915" s="4" t="s">
        <v>1739</v>
      </c>
      <c r="AS1915" s="4" t="s">
        <v>1740</v>
      </c>
      <c r="AT1915" s="4" t="s">
        <v>1835</v>
      </c>
      <c r="AU1915" s="4" t="s">
        <v>1742</v>
      </c>
      <c r="AV1915" s="4" t="s">
        <v>1720</v>
      </c>
      <c r="AW1915" s="4" t="s">
        <v>1705</v>
      </c>
      <c r="AX1915" s="4" t="s">
        <v>1837</v>
      </c>
      <c r="AY1915" s="4">
        <v>51.101900000000001</v>
      </c>
      <c r="AZ1915" s="4">
        <v>-124.9502</v>
      </c>
      <c r="BA1915" s="4">
        <v>1481</v>
      </c>
    </row>
    <row r="1916" spans="2:72" ht="14.25" customHeight="1" x14ac:dyDescent="0.2">
      <c r="B1916" s="4">
        <v>12</v>
      </c>
      <c r="C1916" s="188" t="s">
        <v>1711</v>
      </c>
      <c r="D1916" s="4">
        <v>1350</v>
      </c>
      <c r="E1916" s="4">
        <v>12432</v>
      </c>
      <c r="F1916" s="4" t="s">
        <v>4673</v>
      </c>
      <c r="G1916" s="4" t="s">
        <v>4674</v>
      </c>
      <c r="H1916" s="4" t="s">
        <v>4675</v>
      </c>
      <c r="I1916" s="4" t="s">
        <v>49</v>
      </c>
      <c r="J1916" s="4" t="s">
        <v>4676</v>
      </c>
      <c r="K1916" s="4">
        <v>1</v>
      </c>
      <c r="L1916" s="4">
        <v>14454</v>
      </c>
      <c r="M1916" s="9"/>
      <c r="U1916"/>
      <c r="AK1916" s="9"/>
      <c r="AO1916" s="4" t="s">
        <v>4673</v>
      </c>
      <c r="AP1916" s="4">
        <v>1350</v>
      </c>
      <c r="AQ1916" s="4" t="s">
        <v>1716</v>
      </c>
      <c r="AR1916" s="4" t="s">
        <v>1701</v>
      </c>
      <c r="AS1916" s="4" t="s">
        <v>1740</v>
      </c>
      <c r="AT1916" s="4" t="s">
        <v>1835</v>
      </c>
      <c r="AU1916" s="4" t="s">
        <v>1742</v>
      </c>
      <c r="AV1916" s="4" t="s">
        <v>1720</v>
      </c>
      <c r="AW1916" s="4" t="s">
        <v>1705</v>
      </c>
      <c r="AX1916" s="4" t="s">
        <v>1710</v>
      </c>
      <c r="AY1916" s="4">
        <v>50.2258</v>
      </c>
      <c r="AZ1916" s="4">
        <v>-126.3563</v>
      </c>
      <c r="BA1916" s="4">
        <v>1295</v>
      </c>
    </row>
    <row r="1917" spans="2:72" ht="14.25" customHeight="1" x14ac:dyDescent="0.2">
      <c r="B1917" s="4">
        <v>12</v>
      </c>
      <c r="C1917" s="188" t="s">
        <v>1711</v>
      </c>
      <c r="D1917" s="4">
        <v>1352</v>
      </c>
      <c r="E1917" s="4">
        <v>12448</v>
      </c>
      <c r="F1917" s="211" t="s">
        <v>4680</v>
      </c>
      <c r="G1917" s="4" t="s">
        <v>4681</v>
      </c>
      <c r="H1917" s="4" t="s">
        <v>4682</v>
      </c>
      <c r="I1917" s="4" t="s">
        <v>49</v>
      </c>
      <c r="J1917" s="4" t="s">
        <v>1746</v>
      </c>
      <c r="K1917" s="4">
        <v>1</v>
      </c>
      <c r="L1917" s="4">
        <v>14470</v>
      </c>
      <c r="M1917" s="9"/>
      <c r="U1917"/>
      <c r="AK1917" s="9"/>
      <c r="AO1917" s="267" t="s">
        <v>4680</v>
      </c>
      <c r="AP1917" s="4">
        <v>1352</v>
      </c>
      <c r="AQ1917" s="4" t="s">
        <v>1716</v>
      </c>
      <c r="AR1917" s="4" t="s">
        <v>1717</v>
      </c>
      <c r="AS1917" s="4" t="s">
        <v>1718</v>
      </c>
      <c r="AT1917" s="4" t="s">
        <v>1835</v>
      </c>
      <c r="AU1917" s="4" t="s">
        <v>1836</v>
      </c>
      <c r="AV1917" s="4" t="s">
        <v>1720</v>
      </c>
      <c r="AW1917" s="4" t="s">
        <v>2698</v>
      </c>
      <c r="AX1917" s="4" t="s">
        <v>2797</v>
      </c>
      <c r="AY1917" s="4">
        <v>49.695599999999999</v>
      </c>
      <c r="AZ1917" s="4">
        <v>-118.11969999999999</v>
      </c>
      <c r="BA1917" s="4">
        <v>720</v>
      </c>
    </row>
    <row r="1918" spans="2:72" ht="14.25" customHeight="1" x14ac:dyDescent="0.2">
      <c r="B1918" s="4">
        <v>12</v>
      </c>
      <c r="C1918" s="188" t="s">
        <v>1711</v>
      </c>
      <c r="D1918" s="4">
        <v>1359</v>
      </c>
      <c r="E1918" s="4">
        <v>12451</v>
      </c>
      <c r="F1918" s="4" t="s">
        <v>2646</v>
      </c>
      <c r="G1918" s="4" t="s">
        <v>4689</v>
      </c>
      <c r="H1918" s="4" t="s">
        <v>4690</v>
      </c>
      <c r="I1918" s="4" t="s">
        <v>49</v>
      </c>
      <c r="J1918" s="4" t="s">
        <v>1891</v>
      </c>
      <c r="K1918" s="4">
        <v>1</v>
      </c>
      <c r="L1918" s="4">
        <v>14473</v>
      </c>
      <c r="M1918" s="76">
        <v>50.500250000000001</v>
      </c>
      <c r="N1918" s="76">
        <v>-119.7013889</v>
      </c>
      <c r="O1918" s="76" t="s">
        <v>142</v>
      </c>
      <c r="P1918" s="76">
        <v>1132</v>
      </c>
      <c r="Q1918" s="77">
        <v>3</v>
      </c>
      <c r="R1918" s="76" t="s">
        <v>4241</v>
      </c>
      <c r="S1918" s="76" t="s">
        <v>1737</v>
      </c>
      <c r="T1918" s="76">
        <v>1153</v>
      </c>
      <c r="U1918" s="76"/>
      <c r="V1918" s="76"/>
      <c r="W1918" s="76"/>
      <c r="X1918" s="76" t="s">
        <v>1738</v>
      </c>
      <c r="Y1918" s="76"/>
      <c r="AK1918" s="9"/>
      <c r="AO1918" s="4" t="s">
        <v>2646</v>
      </c>
      <c r="AP1918" s="4">
        <v>1359</v>
      </c>
      <c r="AQ1918" s="4" t="s">
        <v>1700</v>
      </c>
      <c r="AR1918" s="4" t="s">
        <v>1739</v>
      </c>
      <c r="AS1918" s="4" t="s">
        <v>1740</v>
      </c>
      <c r="AT1918" s="4" t="s">
        <v>1741</v>
      </c>
      <c r="AU1918" s="4" t="s">
        <v>1959</v>
      </c>
      <c r="AV1918" s="4" t="s">
        <v>1720</v>
      </c>
      <c r="AW1918" s="4" t="s">
        <v>2368</v>
      </c>
      <c r="AX1918" s="4" t="s">
        <v>2522</v>
      </c>
      <c r="AY1918" s="4">
        <v>50.497199999999999</v>
      </c>
      <c r="AZ1918" s="4">
        <v>-119.7269</v>
      </c>
      <c r="BA1918" s="4">
        <v>1100</v>
      </c>
    </row>
    <row r="1919" spans="2:72" ht="14.25" customHeight="1" x14ac:dyDescent="0.2">
      <c r="B1919" s="4">
        <v>12</v>
      </c>
      <c r="C1919" s="188" t="s">
        <v>1711</v>
      </c>
      <c r="D1919" s="4">
        <v>1377</v>
      </c>
      <c r="E1919" s="4">
        <v>12456</v>
      </c>
      <c r="F1919" s="4" t="s">
        <v>4697</v>
      </c>
      <c r="G1919" s="4" t="s">
        <v>4698</v>
      </c>
      <c r="H1919" s="4" t="s">
        <v>4699</v>
      </c>
      <c r="I1919" s="4" t="s">
        <v>49</v>
      </c>
      <c r="J1919" s="4" t="s">
        <v>1891</v>
      </c>
      <c r="K1919" s="4">
        <v>1</v>
      </c>
      <c r="L1919" s="4">
        <v>14478</v>
      </c>
      <c r="M1919" s="9">
        <v>56.711638899999997</v>
      </c>
      <c r="N1919" s="9">
        <v>-130.67836109999999</v>
      </c>
      <c r="O1919" s="9" t="s">
        <v>1290</v>
      </c>
      <c r="P1919" s="9">
        <v>1377</v>
      </c>
      <c r="Q1919" s="20">
        <v>1</v>
      </c>
      <c r="R1919" s="9" t="s">
        <v>4697</v>
      </c>
      <c r="S1919" s="9" t="s">
        <v>1737</v>
      </c>
      <c r="T1919" s="9">
        <v>276</v>
      </c>
      <c r="U1919" s="9"/>
      <c r="V1919" s="9"/>
      <c r="W1919" s="21">
        <v>43831</v>
      </c>
      <c r="X1919" s="9" t="s">
        <v>1738</v>
      </c>
      <c r="AK1919" s="9"/>
      <c r="AO1919" s="4" t="s">
        <v>4697</v>
      </c>
      <c r="AP1919" s="4">
        <v>1377</v>
      </c>
      <c r="AQ1919" s="4" t="s">
        <v>1716</v>
      </c>
      <c r="AR1919" s="4" t="s">
        <v>1739</v>
      </c>
      <c r="AS1919" s="4" t="s">
        <v>1740</v>
      </c>
      <c r="AT1919" s="4" t="s">
        <v>1835</v>
      </c>
      <c r="AU1919" s="4" t="s">
        <v>1742</v>
      </c>
      <c r="AV1919" s="4" t="s">
        <v>1720</v>
      </c>
      <c r="AW1919" s="4" t="s">
        <v>1947</v>
      </c>
      <c r="AX1919" s="4" t="s">
        <v>1986</v>
      </c>
      <c r="AY1919" s="4">
        <v>56.711599999999997</v>
      </c>
      <c r="AZ1919" s="4">
        <v>-130.67840000000001</v>
      </c>
      <c r="BA1919" s="4">
        <v>276</v>
      </c>
    </row>
    <row r="1920" spans="2:72" ht="14.25" customHeight="1" x14ac:dyDescent="0.2">
      <c r="B1920" s="4">
        <v>12</v>
      </c>
      <c r="C1920" s="188" t="s">
        <v>1711</v>
      </c>
      <c r="D1920" s="4">
        <v>1386</v>
      </c>
      <c r="E1920" s="4">
        <v>12463</v>
      </c>
      <c r="F1920" s="16" t="s">
        <v>4715</v>
      </c>
      <c r="G1920" s="4" t="s">
        <v>4716</v>
      </c>
      <c r="H1920" s="4" t="s">
        <v>4717</v>
      </c>
      <c r="I1920" s="4" t="s">
        <v>49</v>
      </c>
      <c r="J1920" s="4" t="s">
        <v>1746</v>
      </c>
      <c r="K1920" s="4">
        <v>1</v>
      </c>
      <c r="L1920" s="4">
        <v>14485</v>
      </c>
      <c r="M1920" s="9"/>
      <c r="U1920"/>
      <c r="AK1920" s="9"/>
      <c r="AO1920" s="267" t="s">
        <v>4715</v>
      </c>
      <c r="AP1920" s="4">
        <v>1386</v>
      </c>
      <c r="AQ1920" s="4" t="s">
        <v>1716</v>
      </c>
      <c r="AR1920" s="4" t="s">
        <v>1717</v>
      </c>
      <c r="AS1920" s="4" t="s">
        <v>2257</v>
      </c>
      <c r="AT1920" s="4" t="s">
        <v>1835</v>
      </c>
      <c r="AU1920" s="4" t="s">
        <v>1742</v>
      </c>
      <c r="AW1920" s="4" t="s">
        <v>2368</v>
      </c>
      <c r="AX1920" s="4" t="s">
        <v>2522</v>
      </c>
      <c r="AY1920" s="4">
        <v>50.602200000000003</v>
      </c>
      <c r="AZ1920" s="4">
        <v>-118.4229</v>
      </c>
      <c r="BA1920" s="4">
        <v>1200</v>
      </c>
    </row>
    <row r="1921" spans="1:72" ht="14.25" customHeight="1" x14ac:dyDescent="0.2">
      <c r="B1921" s="4">
        <v>12</v>
      </c>
      <c r="C1921" s="188" t="s">
        <v>1711</v>
      </c>
      <c r="D1921" s="4">
        <v>1390</v>
      </c>
      <c r="E1921" s="4">
        <v>12522</v>
      </c>
      <c r="F1921" s="211" t="s">
        <v>4724</v>
      </c>
      <c r="G1921" s="4" t="s">
        <v>4725</v>
      </c>
      <c r="H1921" s="4" t="s">
        <v>4726</v>
      </c>
      <c r="I1921" s="4" t="s">
        <v>49</v>
      </c>
      <c r="J1921" s="4" t="s">
        <v>1746</v>
      </c>
      <c r="K1921" s="4">
        <v>1</v>
      </c>
      <c r="L1921" s="4">
        <v>14544</v>
      </c>
      <c r="M1921" s="9"/>
      <c r="U1921"/>
      <c r="AK1921" s="9"/>
      <c r="AO1921" s="267" t="s">
        <v>4724</v>
      </c>
      <c r="AP1921" s="4">
        <v>1390</v>
      </c>
      <c r="AQ1921" s="4" t="s">
        <v>1716</v>
      </c>
      <c r="AR1921" s="4" t="s">
        <v>1717</v>
      </c>
      <c r="AS1921" s="4" t="s">
        <v>1718</v>
      </c>
      <c r="AT1921" s="4" t="s">
        <v>1835</v>
      </c>
      <c r="AU1921" s="4" t="s">
        <v>1836</v>
      </c>
      <c r="AW1921" s="4" t="s">
        <v>2698</v>
      </c>
      <c r="AX1921" s="4" t="s">
        <v>2902</v>
      </c>
      <c r="AY1921" s="4">
        <v>49.833100000000002</v>
      </c>
      <c r="AZ1921" s="4">
        <v>-114.8823</v>
      </c>
      <c r="BA1921" s="4">
        <v>1172</v>
      </c>
    </row>
    <row r="1922" spans="1:72" ht="14.25" customHeight="1" x14ac:dyDescent="0.2">
      <c r="B1922" s="4">
        <v>12</v>
      </c>
      <c r="C1922" s="188" t="s">
        <v>1711</v>
      </c>
      <c r="D1922" s="4">
        <v>1392</v>
      </c>
      <c r="E1922" s="4">
        <v>12523</v>
      </c>
      <c r="F1922" s="4" t="s">
        <v>4727</v>
      </c>
      <c r="G1922" s="4" t="s">
        <v>4728</v>
      </c>
      <c r="H1922" s="4" t="s">
        <v>4729</v>
      </c>
      <c r="I1922" s="4" t="s">
        <v>49</v>
      </c>
      <c r="J1922" s="4" t="s">
        <v>1746</v>
      </c>
      <c r="K1922" s="4">
        <v>1</v>
      </c>
      <c r="L1922" s="4">
        <v>14545</v>
      </c>
      <c r="M1922" s="9"/>
      <c r="U1922"/>
      <c r="AK1922" s="9"/>
      <c r="AO1922" s="4" t="s">
        <v>4727</v>
      </c>
      <c r="AP1922" s="4">
        <v>1392</v>
      </c>
      <c r="AQ1922" s="4" t="s">
        <v>1716</v>
      </c>
      <c r="AR1922" s="4" t="s">
        <v>1739</v>
      </c>
      <c r="AS1922" s="4" t="s">
        <v>1740</v>
      </c>
      <c r="AT1922" s="4" t="s">
        <v>1835</v>
      </c>
      <c r="AU1922" s="4" t="s">
        <v>1742</v>
      </c>
      <c r="AV1922" s="4" t="s">
        <v>1720</v>
      </c>
      <c r="AW1922" s="4" t="s">
        <v>2368</v>
      </c>
      <c r="AX1922" s="4" t="s">
        <v>2492</v>
      </c>
      <c r="AY1922" s="4">
        <v>49.555700000000002</v>
      </c>
      <c r="AZ1922" s="4">
        <v>-120.17319999999999</v>
      </c>
      <c r="BA1922" s="4">
        <v>1595</v>
      </c>
    </row>
    <row r="1923" spans="1:72" ht="14.25" customHeight="1" x14ac:dyDescent="0.2">
      <c r="B1923" s="4">
        <v>12</v>
      </c>
      <c r="C1923" s="188" t="s">
        <v>1711</v>
      </c>
      <c r="D1923" s="4">
        <v>1790</v>
      </c>
      <c r="E1923" s="4">
        <v>13000</v>
      </c>
      <c r="F1923" s="201" t="s">
        <v>4784</v>
      </c>
      <c r="G1923" s="201" t="s">
        <v>4785</v>
      </c>
      <c r="H1923" s="4" t="s">
        <v>4786</v>
      </c>
      <c r="I1923" s="4" t="s">
        <v>49</v>
      </c>
      <c r="J1923" s="4" t="s">
        <v>1746</v>
      </c>
      <c r="K1923" s="4">
        <v>1</v>
      </c>
      <c r="L1923" s="4">
        <v>14932</v>
      </c>
      <c r="M1923" s="9"/>
      <c r="U1923"/>
      <c r="AK1923" s="9"/>
      <c r="AO1923" s="4" t="s">
        <v>3780</v>
      </c>
      <c r="AP1923" s="4">
        <v>1790</v>
      </c>
      <c r="AQ1923" s="4" t="s">
        <v>1716</v>
      </c>
      <c r="AR1923" s="4" t="s">
        <v>1739</v>
      </c>
      <c r="AS1923" s="4" t="s">
        <v>1740</v>
      </c>
      <c r="AT1923" s="4" t="s">
        <v>1741</v>
      </c>
      <c r="AU1923" s="4" t="s">
        <v>1742</v>
      </c>
      <c r="AV1923" s="4" t="s">
        <v>1720</v>
      </c>
      <c r="AW1923" s="4" t="s">
        <v>2698</v>
      </c>
      <c r="AX1923" s="4" t="s">
        <v>2768</v>
      </c>
      <c r="AY1923" s="4">
        <v>51.1753</v>
      </c>
      <c r="AZ1923" s="4">
        <v>-117.17570000000001</v>
      </c>
      <c r="BA1923" s="4">
        <v>1529</v>
      </c>
    </row>
    <row r="1924" spans="1:72" ht="14.25" customHeight="1" x14ac:dyDescent="0.2">
      <c r="B1924" s="4">
        <v>5</v>
      </c>
      <c r="C1924" s="188" t="s">
        <v>6010</v>
      </c>
      <c r="D1924" s="4" t="s">
        <v>6037</v>
      </c>
      <c r="E1924" s="4">
        <v>2429</v>
      </c>
      <c r="F1924" s="4" t="s">
        <v>6038</v>
      </c>
      <c r="G1924" s="4" t="s">
        <v>6039</v>
      </c>
      <c r="H1924" s="4" t="s">
        <v>6040</v>
      </c>
      <c r="I1924" s="4" t="s">
        <v>1664</v>
      </c>
      <c r="J1924" s="4" t="s">
        <v>6041</v>
      </c>
      <c r="K1924" s="4">
        <v>1</v>
      </c>
      <c r="L1924" s="4">
        <v>2832</v>
      </c>
      <c r="M1924" s="9">
        <v>-125.7416667</v>
      </c>
      <c r="N1924" s="9">
        <v>56.436666670000001</v>
      </c>
      <c r="O1924" s="9">
        <v>970</v>
      </c>
      <c r="P1924" s="4" t="s">
        <v>6037</v>
      </c>
      <c r="Q1924" s="70">
        <v>3</v>
      </c>
      <c r="R1924" s="9" t="s">
        <v>6038</v>
      </c>
      <c r="S1924" s="9" t="s">
        <v>6009</v>
      </c>
      <c r="U1924"/>
    </row>
    <row r="1925" spans="1:72" ht="14.25" customHeight="1" x14ac:dyDescent="0.2">
      <c r="B1925" s="4">
        <v>5</v>
      </c>
      <c r="C1925" s="188" t="s">
        <v>6010</v>
      </c>
      <c r="D1925" s="4" t="s">
        <v>6083</v>
      </c>
      <c r="E1925" s="4">
        <v>13112</v>
      </c>
      <c r="F1925" s="4" t="s">
        <v>6084</v>
      </c>
      <c r="G1925" s="4" t="s">
        <v>6085</v>
      </c>
      <c r="H1925" s="4" t="s">
        <v>6086</v>
      </c>
      <c r="I1925" s="4" t="s">
        <v>49</v>
      </c>
      <c r="J1925" s="4" t="s">
        <v>6087</v>
      </c>
      <c r="K1925" s="4">
        <v>1</v>
      </c>
      <c r="L1925" s="4">
        <v>15034</v>
      </c>
      <c r="M1925" s="9">
        <v>-122.78881944444444</v>
      </c>
      <c r="N1925" s="9">
        <v>50.775188888888891</v>
      </c>
      <c r="O1925" s="9">
        <v>1382</v>
      </c>
      <c r="P1925" s="4" t="s">
        <v>6083</v>
      </c>
      <c r="Q1925" s="70">
        <v>5</v>
      </c>
      <c r="R1925" s="9" t="s">
        <v>6084</v>
      </c>
      <c r="S1925" s="9" t="s">
        <v>6009</v>
      </c>
      <c r="U1925"/>
    </row>
    <row r="1926" spans="1:72" ht="14.25" customHeight="1" x14ac:dyDescent="0.2">
      <c r="B1926" s="4">
        <v>5</v>
      </c>
      <c r="C1926" s="4" t="s">
        <v>6010</v>
      </c>
      <c r="D1926" s="4" t="s">
        <v>6088</v>
      </c>
      <c r="E1926" s="4">
        <v>2435</v>
      </c>
      <c r="F1926" s="201" t="s">
        <v>6089</v>
      </c>
      <c r="G1926" s="4" t="s">
        <v>6090</v>
      </c>
      <c r="H1926" s="4" t="s">
        <v>6091</v>
      </c>
      <c r="I1926" s="4" t="s">
        <v>1664</v>
      </c>
      <c r="J1926" s="4" t="s">
        <v>6046</v>
      </c>
      <c r="K1926" s="4">
        <v>1</v>
      </c>
      <c r="L1926" s="4">
        <v>2838</v>
      </c>
      <c r="M1926" s="201" t="e">
        <f ca="1">_xludf.NUMBERVALUE(LEFT(G1926,9))</f>
        <v>#NAME?</v>
      </c>
      <c r="N1926" s="201" t="e">
        <f ca="1">_xludf.NUMBERVALUE(RIGHT(LEFT(G1926,20),8))</f>
        <v>#NAME?</v>
      </c>
      <c r="O1926" s="201" t="e">
        <f ca="1">_xludf.NUMBERVALUE(LEFT(RIGHT(G1926,5),3))</f>
        <v>#NAME?</v>
      </c>
      <c r="P1926" s="201" t="str">
        <f>D1926</f>
        <v>BLN</v>
      </c>
      <c r="Q1926" s="237"/>
      <c r="R1926" s="201" t="str">
        <f>F1926</f>
        <v>Bralorne Upper</v>
      </c>
      <c r="S1926" s="237"/>
      <c r="T1926" s="237"/>
      <c r="U1926" s="237"/>
      <c r="V1926" s="237"/>
      <c r="W1926" s="237"/>
      <c r="X1926" s="237"/>
      <c r="Y1926" s="237"/>
      <c r="Z1926" s="237"/>
      <c r="AA1926" s="237"/>
      <c r="AB1926" s="237"/>
      <c r="AC1926" s="237"/>
      <c r="AD1926" s="237"/>
      <c r="AE1926" s="237"/>
      <c r="AF1926" s="237"/>
      <c r="AG1926" s="237"/>
      <c r="AH1926" s="237"/>
      <c r="AI1926" s="237"/>
      <c r="AJ1926" s="237"/>
      <c r="AK1926" s="237"/>
      <c r="AL1926" s="237"/>
      <c r="AM1926" s="237"/>
      <c r="AN1926" s="237"/>
      <c r="AO1926" s="237"/>
      <c r="AP1926" s="237"/>
      <c r="AQ1926" s="237"/>
      <c r="AR1926" s="237"/>
      <c r="AS1926" s="237"/>
      <c r="AT1926" s="237"/>
      <c r="AU1926" s="237"/>
      <c r="AV1926" s="237"/>
      <c r="AW1926" s="237"/>
      <c r="AX1926" s="237"/>
      <c r="AY1926" s="237"/>
      <c r="AZ1926" s="237"/>
      <c r="BA1926" s="237"/>
      <c r="BB1926" s="237"/>
      <c r="BC1926" s="237"/>
      <c r="BD1926" s="237"/>
      <c r="BE1926" s="237"/>
      <c r="BF1926" s="237"/>
      <c r="BG1926" s="237"/>
      <c r="BH1926" s="237"/>
      <c r="BI1926" s="237"/>
      <c r="BJ1926" s="237"/>
      <c r="BK1926" s="237"/>
      <c r="BL1926" s="237"/>
      <c r="BM1926" s="237"/>
      <c r="BN1926" s="237"/>
      <c r="BO1926" s="237"/>
      <c r="BP1926" s="237"/>
      <c r="BQ1926" s="237"/>
      <c r="BR1926" s="237"/>
      <c r="BS1926" s="237"/>
      <c r="BT1926" s="237"/>
    </row>
    <row r="1927" spans="1:72" ht="14.25" customHeight="1" x14ac:dyDescent="0.2">
      <c r="B1927" s="4">
        <v>5</v>
      </c>
      <c r="C1927" s="4" t="s">
        <v>6010</v>
      </c>
      <c r="D1927" s="4" t="s">
        <v>6102</v>
      </c>
      <c r="E1927" s="4">
        <v>13210</v>
      </c>
      <c r="F1927" s="4" t="s">
        <v>6103</v>
      </c>
      <c r="G1927" s="4" t="s">
        <v>6104</v>
      </c>
      <c r="H1927" s="4" t="s">
        <v>6105</v>
      </c>
      <c r="I1927" s="4" t="s">
        <v>49</v>
      </c>
      <c r="J1927" s="4" t="s">
        <v>6087</v>
      </c>
      <c r="K1927" s="4">
        <v>1</v>
      </c>
      <c r="L1927" s="4">
        <v>15126</v>
      </c>
      <c r="M1927" s="9">
        <v>-123.486422</v>
      </c>
      <c r="N1927" s="9">
        <v>50.831491999999997</v>
      </c>
      <c r="O1927" s="9">
        <v>1505</v>
      </c>
      <c r="P1927" s="4" t="s">
        <v>6102</v>
      </c>
      <c r="Q1927" s="70">
        <v>6</v>
      </c>
      <c r="R1927" s="9" t="s">
        <v>6103</v>
      </c>
      <c r="S1927" s="9" t="s">
        <v>6009</v>
      </c>
      <c r="U1927"/>
    </row>
    <row r="1928" spans="1:72" ht="14.25" customHeight="1" x14ac:dyDescent="0.2">
      <c r="B1928" s="4">
        <v>5</v>
      </c>
      <c r="C1928" s="4" t="s">
        <v>6010</v>
      </c>
      <c r="D1928" s="4" t="s">
        <v>6120</v>
      </c>
      <c r="E1928" s="4">
        <v>13092</v>
      </c>
      <c r="F1928" s="4" t="s">
        <v>6121</v>
      </c>
      <c r="G1928" s="4" t="s">
        <v>6122</v>
      </c>
      <c r="H1928" s="4" t="s">
        <v>6014</v>
      </c>
      <c r="I1928" s="4" t="s">
        <v>49</v>
      </c>
      <c r="J1928" s="4" t="s">
        <v>6087</v>
      </c>
      <c r="K1928" s="4">
        <v>1</v>
      </c>
      <c r="L1928" s="4">
        <v>15014</v>
      </c>
      <c r="M1928" s="9">
        <v>-123.102889</v>
      </c>
      <c r="N1928" s="9">
        <v>50.137056000000001</v>
      </c>
      <c r="O1928" s="9">
        <v>1017</v>
      </c>
      <c r="P1928" s="4" t="s">
        <v>6120</v>
      </c>
      <c r="Q1928" s="70">
        <v>5</v>
      </c>
      <c r="R1928" s="9" t="s">
        <v>6121</v>
      </c>
      <c r="S1928" s="9" t="s">
        <v>6009</v>
      </c>
      <c r="U1928"/>
    </row>
    <row r="1929" spans="1:72" ht="14.25" customHeight="1" x14ac:dyDescent="0.2">
      <c r="A1929" s="192"/>
      <c r="B1929" s="188">
        <v>5</v>
      </c>
      <c r="C1929" s="188" t="s">
        <v>6010</v>
      </c>
      <c r="D1929" s="188" t="s">
        <v>6123</v>
      </c>
      <c r="E1929" s="188">
        <v>12416</v>
      </c>
      <c r="F1929" s="188" t="s">
        <v>6124</v>
      </c>
      <c r="G1929" s="188" t="s">
        <v>6125</v>
      </c>
      <c r="H1929" s="4" t="s">
        <v>6126</v>
      </c>
      <c r="I1929" s="4" t="s">
        <v>641</v>
      </c>
      <c r="J1929" s="4" t="s">
        <v>6127</v>
      </c>
      <c r="K1929" s="4">
        <v>1</v>
      </c>
      <c r="L1929" s="4">
        <v>14438</v>
      </c>
      <c r="M1929" s="9">
        <v>-117.2284167</v>
      </c>
      <c r="N1929" s="9">
        <v>51.109027779999998</v>
      </c>
      <c r="O1929" s="9">
        <v>2201</v>
      </c>
      <c r="P1929" s="4" t="s">
        <v>6123</v>
      </c>
      <c r="Q1929" s="70">
        <v>8</v>
      </c>
      <c r="R1929" s="9" t="s">
        <v>6124</v>
      </c>
      <c r="S1929" s="9" t="s">
        <v>6009</v>
      </c>
      <c r="U1929"/>
      <c r="AF1929" s="192"/>
      <c r="AG1929" s="192"/>
      <c r="AH1929" s="192"/>
    </row>
    <row r="1930" spans="1:72" ht="14.25" customHeight="1" x14ac:dyDescent="0.2">
      <c r="B1930" s="4">
        <v>5</v>
      </c>
      <c r="C1930" s="4" t="s">
        <v>6010</v>
      </c>
      <c r="D1930" s="4" t="s">
        <v>6133</v>
      </c>
      <c r="E1930" s="4">
        <v>2441</v>
      </c>
      <c r="F1930" s="188" t="s">
        <v>6134</v>
      </c>
      <c r="G1930" s="188" t="s">
        <v>6135</v>
      </c>
      <c r="H1930" s="4" t="s">
        <v>6136</v>
      </c>
      <c r="I1930" s="4" t="s">
        <v>1664</v>
      </c>
      <c r="J1930" s="4" t="s">
        <v>6041</v>
      </c>
      <c r="K1930" s="4">
        <v>1</v>
      </c>
      <c r="L1930" s="4">
        <v>2844</v>
      </c>
      <c r="M1930" s="9">
        <v>-122.77886669999999</v>
      </c>
      <c r="N1930" s="9">
        <v>56.636833330000002</v>
      </c>
      <c r="O1930" s="9">
        <v>1480</v>
      </c>
      <c r="P1930" s="4" t="s">
        <v>6133</v>
      </c>
      <c r="Q1930" s="70">
        <v>7</v>
      </c>
      <c r="R1930" s="9" t="s">
        <v>6134</v>
      </c>
      <c r="S1930" s="9" t="s">
        <v>6009</v>
      </c>
      <c r="U1930"/>
    </row>
    <row r="1931" spans="1:72" ht="14.25" customHeight="1" x14ac:dyDescent="0.2">
      <c r="B1931" s="4">
        <v>5</v>
      </c>
      <c r="C1931" s="4" t="s">
        <v>6010</v>
      </c>
      <c r="D1931" s="4" t="s">
        <v>6145</v>
      </c>
      <c r="E1931" s="4">
        <v>12388</v>
      </c>
      <c r="F1931" s="188" t="s">
        <v>6146</v>
      </c>
      <c r="G1931" s="188" t="s">
        <v>6147</v>
      </c>
      <c r="H1931" s="4" t="s">
        <v>6126</v>
      </c>
      <c r="I1931" s="4" t="s">
        <v>641</v>
      </c>
      <c r="J1931" s="4" t="s">
        <v>6087</v>
      </c>
      <c r="K1931" s="4">
        <v>1</v>
      </c>
      <c r="L1931" s="4">
        <v>14410</v>
      </c>
      <c r="M1931" s="9">
        <v>-117.61086109999999</v>
      </c>
      <c r="N1931" s="9">
        <v>51.607722219999999</v>
      </c>
      <c r="O1931" s="9">
        <v>2131</v>
      </c>
      <c r="P1931" s="4" t="s">
        <v>6145</v>
      </c>
      <c r="Q1931" s="70">
        <v>7</v>
      </c>
      <c r="R1931" s="9" t="s">
        <v>6146</v>
      </c>
      <c r="S1931" s="9" t="s">
        <v>6009</v>
      </c>
      <c r="U1931"/>
      <c r="AA1931" s="192"/>
      <c r="AB1931" s="192"/>
      <c r="AC1931" s="192"/>
      <c r="AD1931" s="192"/>
      <c r="AE1931" s="192"/>
      <c r="AF1931" s="192"/>
      <c r="AG1931" s="192"/>
      <c r="AH1931" s="192"/>
    </row>
    <row r="1932" spans="1:72" ht="14.25" customHeight="1" x14ac:dyDescent="0.2">
      <c r="B1932" s="188">
        <v>5</v>
      </c>
      <c r="C1932" s="188" t="s">
        <v>6010</v>
      </c>
      <c r="D1932" s="188" t="s">
        <v>6153</v>
      </c>
      <c r="E1932" s="4">
        <v>12392</v>
      </c>
      <c r="F1932" s="188" t="s">
        <v>6154</v>
      </c>
      <c r="G1932" s="188" t="s">
        <v>6155</v>
      </c>
      <c r="H1932" s="4" t="s">
        <v>6156</v>
      </c>
      <c r="I1932" s="4" t="s">
        <v>641</v>
      </c>
      <c r="J1932" s="4" t="s">
        <v>6021</v>
      </c>
      <c r="K1932" s="4">
        <v>1</v>
      </c>
      <c r="L1932" s="4">
        <v>14414</v>
      </c>
      <c r="M1932" s="9">
        <v>-117.1810139</v>
      </c>
      <c r="N1932" s="9">
        <v>51.483680560000003</v>
      </c>
      <c r="O1932" s="9">
        <v>770</v>
      </c>
      <c r="P1932" s="188" t="s">
        <v>6153</v>
      </c>
      <c r="Q1932" s="70">
        <v>1</v>
      </c>
      <c r="R1932" s="9" t="s">
        <v>6154</v>
      </c>
      <c r="S1932" s="9" t="s">
        <v>6009</v>
      </c>
      <c r="U1932"/>
    </row>
    <row r="1933" spans="1:72" ht="14.25" customHeight="1" x14ac:dyDescent="0.2">
      <c r="B1933" s="188">
        <v>5</v>
      </c>
      <c r="C1933" s="188" t="s">
        <v>6010</v>
      </c>
      <c r="D1933" s="188" t="s">
        <v>6165</v>
      </c>
      <c r="E1933" s="4">
        <v>13097</v>
      </c>
      <c r="F1933" s="188" t="s">
        <v>6166</v>
      </c>
      <c r="G1933" s="188" t="s">
        <v>6167</v>
      </c>
      <c r="H1933" s="4" t="s">
        <v>6014</v>
      </c>
      <c r="I1933" s="4" t="s">
        <v>49</v>
      </c>
      <c r="J1933" s="4" t="s">
        <v>6168</v>
      </c>
      <c r="K1933" s="4">
        <v>1</v>
      </c>
      <c r="L1933" s="4">
        <v>15019</v>
      </c>
      <c r="M1933" s="9">
        <v>-116.93975</v>
      </c>
      <c r="N1933" s="9">
        <v>50.812033</v>
      </c>
      <c r="O1933" s="9">
        <v>2599</v>
      </c>
      <c r="P1933" s="188" t="s">
        <v>6165</v>
      </c>
      <c r="Q1933" s="70">
        <v>8</v>
      </c>
      <c r="R1933" s="9" t="s">
        <v>6166</v>
      </c>
      <c r="S1933" s="9" t="s">
        <v>6009</v>
      </c>
      <c r="U1933"/>
    </row>
    <row r="1934" spans="1:72" ht="14.25" customHeight="1" x14ac:dyDescent="0.2">
      <c r="B1934" s="188">
        <v>5</v>
      </c>
      <c r="C1934" s="188" t="s">
        <v>6010</v>
      </c>
      <c r="D1934" s="188" t="s">
        <v>6169</v>
      </c>
      <c r="E1934" s="4">
        <v>13113</v>
      </c>
      <c r="F1934" s="188" t="s">
        <v>6170</v>
      </c>
      <c r="G1934" s="188" t="s">
        <v>6171</v>
      </c>
      <c r="H1934" s="4" t="s">
        <v>6172</v>
      </c>
      <c r="I1934" s="4" t="s">
        <v>49</v>
      </c>
      <c r="J1934" s="4" t="s">
        <v>6021</v>
      </c>
      <c r="K1934" s="4">
        <v>1</v>
      </c>
      <c r="L1934" s="4">
        <v>15035</v>
      </c>
      <c r="M1934" s="9">
        <v>-122.774737</v>
      </c>
      <c r="N1934" s="9">
        <v>49.354149999999997</v>
      </c>
      <c r="O1934" s="9">
        <v>152</v>
      </c>
      <c r="P1934" s="4" t="s">
        <v>6169</v>
      </c>
      <c r="Q1934" s="70">
        <v>2</v>
      </c>
      <c r="R1934" s="9" t="s">
        <v>6170</v>
      </c>
      <c r="S1934" s="9" t="s">
        <v>6009</v>
      </c>
      <c r="U1934"/>
    </row>
    <row r="1935" spans="1:72" ht="14.25" customHeight="1" x14ac:dyDescent="0.2">
      <c r="B1935" s="188">
        <v>5</v>
      </c>
      <c r="C1935" s="188" t="s">
        <v>6010</v>
      </c>
      <c r="D1935" s="188" t="s">
        <v>6180</v>
      </c>
      <c r="E1935" s="4">
        <v>13125</v>
      </c>
      <c r="F1935" s="188" t="s">
        <v>6181</v>
      </c>
      <c r="G1935" s="188" t="s">
        <v>6182</v>
      </c>
      <c r="H1935" s="4" t="s">
        <v>6172</v>
      </c>
      <c r="I1935" s="4" t="s">
        <v>49</v>
      </c>
      <c r="J1935" s="4" t="s">
        <v>6021</v>
      </c>
      <c r="K1935" s="4">
        <v>1</v>
      </c>
      <c r="L1935" s="4">
        <v>15047</v>
      </c>
      <c r="M1935" s="9">
        <v>-122.793048</v>
      </c>
      <c r="N1935" s="9">
        <v>49.487774999999999</v>
      </c>
      <c r="O1935" s="9">
        <v>290</v>
      </c>
      <c r="P1935" s="4" t="s">
        <v>6180</v>
      </c>
      <c r="Q1935" s="70">
        <v>2</v>
      </c>
      <c r="R1935" s="9" t="s">
        <v>6181</v>
      </c>
      <c r="S1935" s="9" t="s">
        <v>6009</v>
      </c>
      <c r="U1935"/>
    </row>
    <row r="1936" spans="1:72" ht="14.25" customHeight="1" x14ac:dyDescent="0.2">
      <c r="B1936" s="188">
        <v>5</v>
      </c>
      <c r="C1936" s="188" t="s">
        <v>6010</v>
      </c>
      <c r="D1936" s="188" t="s">
        <v>6192</v>
      </c>
      <c r="E1936" s="4">
        <v>13211</v>
      </c>
      <c r="F1936" s="188" t="s">
        <v>6193</v>
      </c>
      <c r="G1936" s="188" t="s">
        <v>6194</v>
      </c>
      <c r="H1936" s="4" t="s">
        <v>6086</v>
      </c>
      <c r="I1936" s="4" t="s">
        <v>49</v>
      </c>
      <c r="J1936" s="4" t="s">
        <v>6021</v>
      </c>
      <c r="K1936" s="4">
        <v>1</v>
      </c>
      <c r="L1936" s="4">
        <v>15127</v>
      </c>
      <c r="M1936" s="9">
        <v>-125.2089</v>
      </c>
      <c r="N1936" s="9">
        <v>49.578402777777782</v>
      </c>
      <c r="O1936" s="9">
        <v>150</v>
      </c>
      <c r="P1936" s="4" t="s">
        <v>6192</v>
      </c>
      <c r="Q1936" s="70">
        <v>3</v>
      </c>
      <c r="R1936" s="9" t="s">
        <v>6193</v>
      </c>
      <c r="S1936" s="9" t="s">
        <v>6009</v>
      </c>
      <c r="U1936"/>
    </row>
    <row r="1937" spans="1:72" ht="14.25" customHeight="1" x14ac:dyDescent="0.2">
      <c r="B1937" s="188">
        <v>5</v>
      </c>
      <c r="C1937" s="188" t="s">
        <v>6010</v>
      </c>
      <c r="D1937" s="188" t="s">
        <v>6195</v>
      </c>
      <c r="E1937" s="4">
        <v>12389</v>
      </c>
      <c r="F1937" s="188" t="s">
        <v>6196</v>
      </c>
      <c r="G1937" s="188" t="s">
        <v>6197</v>
      </c>
      <c r="H1937" s="4" t="s">
        <v>6126</v>
      </c>
      <c r="I1937" s="4" t="s">
        <v>641</v>
      </c>
      <c r="J1937" s="4" t="s">
        <v>6087</v>
      </c>
      <c r="K1937" s="4">
        <v>1</v>
      </c>
      <c r="L1937" s="4">
        <v>14411</v>
      </c>
      <c r="M1937" s="9">
        <v>-122.89283330000001</v>
      </c>
      <c r="N1937" s="9">
        <v>56.38586111</v>
      </c>
      <c r="O1937" s="9">
        <v>1358</v>
      </c>
      <c r="P1937" s="4" t="s">
        <v>6195</v>
      </c>
      <c r="Q1937" s="70">
        <v>6</v>
      </c>
      <c r="R1937" s="9" t="s">
        <v>6196</v>
      </c>
      <c r="S1937" s="9" t="s">
        <v>6009</v>
      </c>
      <c r="U1937"/>
    </row>
    <row r="1938" spans="1:72" ht="14.25" customHeight="1" x14ac:dyDescent="0.2">
      <c r="B1938" s="188">
        <v>5</v>
      </c>
      <c r="C1938" s="188" t="s">
        <v>6010</v>
      </c>
      <c r="D1938" s="188" t="s">
        <v>6198</v>
      </c>
      <c r="E1938" s="4">
        <v>12390</v>
      </c>
      <c r="F1938" s="188" t="s">
        <v>6199</v>
      </c>
      <c r="G1938" s="188" t="s">
        <v>6200</v>
      </c>
      <c r="H1938" s="4" t="s">
        <v>6201</v>
      </c>
      <c r="I1938" s="4" t="s">
        <v>641</v>
      </c>
      <c r="J1938" s="4" t="s">
        <v>6021</v>
      </c>
      <c r="K1938" s="4">
        <v>1</v>
      </c>
      <c r="L1938" s="4">
        <v>14412</v>
      </c>
      <c r="M1938" s="9">
        <v>-123.1347222</v>
      </c>
      <c r="N1938" s="9">
        <v>49.975000000000001</v>
      </c>
      <c r="O1938" s="9">
        <v>390</v>
      </c>
      <c r="P1938" s="4" t="s">
        <v>6198</v>
      </c>
      <c r="Q1938" s="70">
        <v>3</v>
      </c>
      <c r="R1938" s="9" t="s">
        <v>6199</v>
      </c>
      <c r="S1938" s="9" t="s">
        <v>6009</v>
      </c>
      <c r="U1938"/>
    </row>
    <row r="1939" spans="1:72" ht="14.25" customHeight="1" x14ac:dyDescent="0.2">
      <c r="B1939" s="188">
        <v>5</v>
      </c>
      <c r="C1939" s="188" t="s">
        <v>6010</v>
      </c>
      <c r="D1939" s="188" t="s">
        <v>6202</v>
      </c>
      <c r="E1939" s="4">
        <v>2444</v>
      </c>
      <c r="F1939" s="8" t="s">
        <v>6203</v>
      </c>
      <c r="G1939" s="188" t="s">
        <v>6204</v>
      </c>
      <c r="H1939" s="4" t="s">
        <v>6205</v>
      </c>
      <c r="I1939" s="4" t="s">
        <v>1664</v>
      </c>
      <c r="J1939" s="4" t="s">
        <v>6187</v>
      </c>
      <c r="K1939" s="4">
        <v>1</v>
      </c>
      <c r="L1939" s="4">
        <v>2847</v>
      </c>
      <c r="U1939" s="237"/>
      <c r="V1939" s="237"/>
      <c r="W1939" s="237"/>
      <c r="X1939" s="237"/>
      <c r="Y1939" s="237"/>
      <c r="Z1939" s="237"/>
      <c r="AA1939" s="237"/>
      <c r="AB1939" s="237"/>
      <c r="AC1939" s="237"/>
      <c r="AD1939" s="237"/>
      <c r="AE1939" s="237"/>
      <c r="AF1939" s="237"/>
      <c r="AG1939" s="237"/>
      <c r="AH1939" s="237"/>
      <c r="AI1939" s="237"/>
      <c r="AJ1939" s="237"/>
      <c r="AK1939" s="237"/>
      <c r="AL1939" s="237"/>
      <c r="AM1939" s="237"/>
      <c r="AN1939" s="237"/>
      <c r="AO1939" s="237"/>
      <c r="AP1939" s="237"/>
      <c r="AQ1939" s="237"/>
      <c r="AR1939" s="237"/>
      <c r="AS1939" s="237"/>
      <c r="AT1939" s="237"/>
      <c r="AU1939" s="237"/>
      <c r="AV1939" s="237"/>
      <c r="AW1939" s="237"/>
      <c r="AX1939" s="237"/>
      <c r="AY1939" s="237"/>
      <c r="AZ1939" s="237"/>
      <c r="BA1939" s="237"/>
      <c r="BB1939" s="237"/>
      <c r="BC1939" s="237"/>
      <c r="BD1939" s="237"/>
      <c r="BE1939" s="237"/>
      <c r="BF1939" s="237"/>
      <c r="BG1939" s="237"/>
      <c r="BH1939" s="237"/>
      <c r="BI1939" s="237"/>
      <c r="BJ1939" s="237"/>
      <c r="BK1939" s="237"/>
      <c r="BL1939" s="237"/>
      <c r="BM1939" s="237"/>
      <c r="BN1939" s="237"/>
      <c r="BO1939" s="237"/>
      <c r="BP1939" s="237"/>
      <c r="BQ1939" s="237"/>
      <c r="BR1939" s="237"/>
      <c r="BS1939" s="237"/>
      <c r="BT1939" s="237"/>
    </row>
    <row r="1940" spans="1:72" ht="14.25" customHeight="1" x14ac:dyDescent="0.2">
      <c r="B1940" s="188">
        <v>5</v>
      </c>
      <c r="C1940" s="188" t="s">
        <v>6010</v>
      </c>
      <c r="D1940" s="188" t="s">
        <v>6206</v>
      </c>
      <c r="E1940" s="4">
        <v>13212</v>
      </c>
      <c r="F1940" s="188" t="s">
        <v>6207</v>
      </c>
      <c r="G1940" s="188" t="s">
        <v>6208</v>
      </c>
      <c r="H1940" s="4" t="s">
        <v>6209</v>
      </c>
      <c r="I1940" s="4" t="s">
        <v>49</v>
      </c>
      <c r="J1940" s="4" t="s">
        <v>6087</v>
      </c>
      <c r="K1940" s="4">
        <v>1</v>
      </c>
      <c r="L1940" s="4">
        <v>15128</v>
      </c>
      <c r="M1940" s="4">
        <v>-122.06964952871201</v>
      </c>
      <c r="N1940" s="4">
        <v>49.316704357042902</v>
      </c>
      <c r="O1940" s="4">
        <v>1154.90087890625</v>
      </c>
      <c r="P1940" s="4" t="s">
        <v>6206</v>
      </c>
      <c r="Q1940" s="4">
        <v>6</v>
      </c>
      <c r="R1940" s="4" t="s">
        <v>6207</v>
      </c>
      <c r="S1940" s="4" t="s">
        <v>6009</v>
      </c>
      <c r="U1940"/>
    </row>
    <row r="1941" spans="1:72" ht="14.25" customHeight="1" x14ac:dyDescent="0.2">
      <c r="B1941" s="188">
        <v>5</v>
      </c>
      <c r="C1941" s="188" t="s">
        <v>6010</v>
      </c>
      <c r="D1941" s="188" t="s">
        <v>6210</v>
      </c>
      <c r="E1941" s="4">
        <v>12394</v>
      </c>
      <c r="F1941" s="188" t="s">
        <v>6211</v>
      </c>
      <c r="G1941" s="188" t="s">
        <v>6212</v>
      </c>
      <c r="H1941" s="4" t="s">
        <v>6126</v>
      </c>
      <c r="I1941" s="4" t="s">
        <v>641</v>
      </c>
      <c r="J1941" s="4" t="s">
        <v>6127</v>
      </c>
      <c r="K1941" s="4">
        <v>1</v>
      </c>
      <c r="L1941" s="4">
        <v>14416</v>
      </c>
      <c r="M1941" s="4">
        <v>-122.43625</v>
      </c>
      <c r="N1941" s="4">
        <v>55.825083329999998</v>
      </c>
      <c r="O1941" s="4">
        <v>1456</v>
      </c>
      <c r="P1941" s="4" t="s">
        <v>6210</v>
      </c>
      <c r="Q1941" s="4">
        <v>7</v>
      </c>
      <c r="R1941" s="4" t="s">
        <v>6211</v>
      </c>
      <c r="S1941" s="4" t="s">
        <v>6009</v>
      </c>
      <c r="U1941"/>
    </row>
    <row r="1942" spans="1:72" ht="14.25" customHeight="1" x14ac:dyDescent="0.2">
      <c r="B1942" s="188">
        <v>5</v>
      </c>
      <c r="C1942" s="188" t="s">
        <v>6010</v>
      </c>
      <c r="D1942" s="188" t="s">
        <v>6213</v>
      </c>
      <c r="E1942" s="4">
        <v>12391</v>
      </c>
      <c r="F1942" s="188" t="s">
        <v>6214</v>
      </c>
      <c r="G1942" s="188" t="s">
        <v>6215</v>
      </c>
      <c r="H1942" s="4" t="s">
        <v>6216</v>
      </c>
      <c r="I1942" s="4" t="s">
        <v>641</v>
      </c>
      <c r="J1942" s="4" t="s">
        <v>6127</v>
      </c>
      <c r="K1942" s="4">
        <v>1</v>
      </c>
      <c r="L1942" s="4">
        <v>14413</v>
      </c>
      <c r="M1942" s="4">
        <v>-123.1835</v>
      </c>
      <c r="N1942" s="4">
        <v>50.859333329999998</v>
      </c>
      <c r="O1942" s="4">
        <v>1829</v>
      </c>
      <c r="P1942" s="4" t="s">
        <v>6213</v>
      </c>
      <c r="Q1942" s="4">
        <v>8</v>
      </c>
      <c r="R1942" s="4" t="s">
        <v>6214</v>
      </c>
      <c r="S1942" s="4" t="s">
        <v>6009</v>
      </c>
      <c r="U1942"/>
    </row>
    <row r="1943" spans="1:72" ht="14.25" customHeight="1" x14ac:dyDescent="0.2">
      <c r="B1943" s="188">
        <v>5</v>
      </c>
      <c r="C1943" s="188" t="s">
        <v>6010</v>
      </c>
      <c r="D1943" s="188" t="s">
        <v>6243</v>
      </c>
      <c r="E1943" s="4">
        <v>13103</v>
      </c>
      <c r="F1943" s="188" t="s">
        <v>6244</v>
      </c>
      <c r="G1943" s="188" t="s">
        <v>6245</v>
      </c>
      <c r="H1943" s="4" t="s">
        <v>6246</v>
      </c>
      <c r="I1943" s="4" t="s">
        <v>49</v>
      </c>
      <c r="J1943" s="4" t="s">
        <v>6021</v>
      </c>
      <c r="K1943" s="4">
        <v>1</v>
      </c>
      <c r="L1943" s="4">
        <v>15025</v>
      </c>
      <c r="M1943" s="9">
        <v>-125.8132639</v>
      </c>
      <c r="N1943" s="9">
        <v>49.858047220000003</v>
      </c>
      <c r="O1943" s="9">
        <v>270</v>
      </c>
      <c r="P1943" s="4" t="s">
        <v>6243</v>
      </c>
      <c r="Q1943" s="70">
        <v>5</v>
      </c>
      <c r="R1943" s="9" t="s">
        <v>6244</v>
      </c>
      <c r="S1943" s="9" t="s">
        <v>6009</v>
      </c>
      <c r="U1943"/>
    </row>
    <row r="1944" spans="1:72" ht="14.25" customHeight="1" x14ac:dyDescent="0.2">
      <c r="A1944" s="5"/>
      <c r="B1944" s="188">
        <v>5</v>
      </c>
      <c r="C1944" s="188" t="s">
        <v>6010</v>
      </c>
      <c r="D1944" s="188" t="s">
        <v>6259</v>
      </c>
      <c r="E1944" s="4">
        <v>13099</v>
      </c>
      <c r="F1944" s="188" t="s">
        <v>6260</v>
      </c>
      <c r="G1944" s="188" t="s">
        <v>6261</v>
      </c>
      <c r="H1944" s="4" t="s">
        <v>6014</v>
      </c>
      <c r="I1944" s="4" t="s">
        <v>49</v>
      </c>
      <c r="J1944" s="4" t="s">
        <v>6262</v>
      </c>
      <c r="K1944" s="4">
        <v>1</v>
      </c>
      <c r="L1944" s="4">
        <v>15021</v>
      </c>
      <c r="M1944" s="9">
        <v>-118.07422800000001</v>
      </c>
      <c r="N1944" s="9">
        <v>49.864182</v>
      </c>
      <c r="O1944" s="9">
        <v>519</v>
      </c>
      <c r="P1944" s="4" t="s">
        <v>6259</v>
      </c>
      <c r="Q1944" s="70">
        <v>1</v>
      </c>
      <c r="R1944" s="9" t="s">
        <v>6260</v>
      </c>
      <c r="S1944" s="9" t="s">
        <v>6009</v>
      </c>
      <c r="U1944"/>
    </row>
    <row r="1945" spans="1:72" ht="14.25" customHeight="1" x14ac:dyDescent="0.2">
      <c r="B1945" s="188">
        <v>5</v>
      </c>
      <c r="C1945" s="188" t="s">
        <v>6010</v>
      </c>
      <c r="D1945" s="188" t="s">
        <v>6263</v>
      </c>
      <c r="E1945" s="4">
        <v>12395</v>
      </c>
      <c r="F1945" s="188" t="s">
        <v>6264</v>
      </c>
      <c r="G1945" s="188" t="s">
        <v>6265</v>
      </c>
      <c r="H1945" s="4" t="s">
        <v>6156</v>
      </c>
      <c r="I1945" s="4" t="s">
        <v>641</v>
      </c>
      <c r="J1945" s="4" t="s">
        <v>6262</v>
      </c>
      <c r="K1945" s="4">
        <v>1</v>
      </c>
      <c r="L1945" s="4">
        <v>14417</v>
      </c>
      <c r="M1945" s="9">
        <v>-115.0726361</v>
      </c>
      <c r="N1945" s="9">
        <v>49.488433329999999</v>
      </c>
      <c r="O1945" s="9">
        <v>1101</v>
      </c>
      <c r="P1945" s="4" t="s">
        <v>6263</v>
      </c>
      <c r="Q1945" s="70">
        <v>2</v>
      </c>
      <c r="R1945" s="9" t="s">
        <v>6264</v>
      </c>
      <c r="S1945" s="9" t="s">
        <v>6009</v>
      </c>
      <c r="U1945"/>
    </row>
    <row r="1946" spans="1:72" ht="14.25" customHeight="1" x14ac:dyDescent="0.2">
      <c r="B1946" s="188">
        <v>5</v>
      </c>
      <c r="C1946" s="188" t="s">
        <v>6010</v>
      </c>
      <c r="D1946" s="188" t="s">
        <v>6275</v>
      </c>
      <c r="E1946" s="4">
        <v>2460</v>
      </c>
      <c r="F1946" s="188" t="s">
        <v>6276</v>
      </c>
      <c r="G1946" s="188" t="s">
        <v>6277</v>
      </c>
      <c r="H1946" s="4" t="s">
        <v>6278</v>
      </c>
      <c r="I1946" s="4" t="s">
        <v>1664</v>
      </c>
      <c r="J1946" s="4" t="s">
        <v>6041</v>
      </c>
      <c r="K1946" s="4">
        <v>1</v>
      </c>
      <c r="L1946" s="4">
        <v>2863</v>
      </c>
      <c r="M1946" s="9">
        <v>-116.13711670000001</v>
      </c>
      <c r="N1946" s="9">
        <v>51.05991667</v>
      </c>
      <c r="O1946" s="9">
        <v>2090</v>
      </c>
      <c r="P1946" s="4" t="s">
        <v>6275</v>
      </c>
      <c r="Q1946" s="70">
        <v>7</v>
      </c>
      <c r="R1946" s="9" t="s">
        <v>6279</v>
      </c>
      <c r="S1946" s="9" t="s">
        <v>6009</v>
      </c>
      <c r="U1946"/>
    </row>
    <row r="1947" spans="1:72" ht="14.25" customHeight="1" x14ac:dyDescent="0.2">
      <c r="B1947" s="188">
        <v>5</v>
      </c>
      <c r="C1947" s="188" t="s">
        <v>6010</v>
      </c>
      <c r="D1947" s="188" t="s">
        <v>6280</v>
      </c>
      <c r="E1947" s="4">
        <v>13215</v>
      </c>
      <c r="F1947" s="188" t="s">
        <v>1232</v>
      </c>
      <c r="G1947" s="188" t="s">
        <v>6281</v>
      </c>
      <c r="H1947" s="4" t="s">
        <v>6282</v>
      </c>
      <c r="I1947" s="4" t="s">
        <v>49</v>
      </c>
      <c r="J1947" s="4" t="s">
        <v>6087</v>
      </c>
      <c r="K1947" s="4">
        <v>1</v>
      </c>
      <c r="L1947" s="4">
        <v>15131</v>
      </c>
      <c r="M1947" s="9">
        <v>-118.58593999999999</v>
      </c>
      <c r="N1947" s="9">
        <v>52.053809999999999</v>
      </c>
      <c r="O1947" s="9">
        <v>577</v>
      </c>
      <c r="P1947" s="188" t="s">
        <v>6280</v>
      </c>
      <c r="Q1947" s="70">
        <v>1</v>
      </c>
      <c r="R1947" s="9" t="s">
        <v>1232</v>
      </c>
      <c r="S1947" s="9" t="s">
        <v>6009</v>
      </c>
      <c r="U1947"/>
    </row>
    <row r="1948" spans="1:72" ht="14.25" customHeight="1" x14ac:dyDescent="0.2">
      <c r="B1948" s="188">
        <v>5</v>
      </c>
      <c r="C1948" s="188" t="s">
        <v>6010</v>
      </c>
      <c r="D1948" s="188" t="s">
        <v>6283</v>
      </c>
      <c r="E1948" s="4">
        <v>13216</v>
      </c>
      <c r="F1948" s="188" t="s">
        <v>6284</v>
      </c>
      <c r="G1948" s="188" t="s">
        <v>6285</v>
      </c>
      <c r="H1948" s="4" t="s">
        <v>6209</v>
      </c>
      <c r="I1948" s="4" t="s">
        <v>49</v>
      </c>
      <c r="J1948" s="4" t="s">
        <v>6087</v>
      </c>
      <c r="K1948" s="4">
        <v>1</v>
      </c>
      <c r="L1948" s="4">
        <v>15132</v>
      </c>
      <c r="M1948" s="4">
        <v>-126.52071599999999</v>
      </c>
      <c r="N1948" s="4">
        <v>56.948458000000002</v>
      </c>
      <c r="O1948" s="4">
        <v>1326</v>
      </c>
      <c r="P1948" s="4" t="s">
        <v>6283</v>
      </c>
      <c r="Q1948" s="4">
        <v>5</v>
      </c>
      <c r="R1948" s="4" t="s">
        <v>6284</v>
      </c>
      <c r="S1948" s="4" t="s">
        <v>6009</v>
      </c>
      <c r="U1948"/>
    </row>
    <row r="1949" spans="1:72" ht="14.25" customHeight="1" x14ac:dyDescent="0.2">
      <c r="B1949" s="188">
        <v>5</v>
      </c>
      <c r="C1949" s="188" t="s">
        <v>6010</v>
      </c>
      <c r="D1949" s="188" t="s">
        <v>6286</v>
      </c>
      <c r="E1949" s="4">
        <v>12415</v>
      </c>
      <c r="F1949" s="188" t="s">
        <v>6287</v>
      </c>
      <c r="G1949" s="188" t="s">
        <v>6288</v>
      </c>
      <c r="H1949" s="4" t="s">
        <v>6289</v>
      </c>
      <c r="I1949" s="4" t="s">
        <v>641</v>
      </c>
      <c r="J1949" s="4" t="s">
        <v>6262</v>
      </c>
      <c r="K1949" s="4">
        <v>1</v>
      </c>
      <c r="L1949" s="4">
        <v>14437</v>
      </c>
      <c r="M1949" s="4">
        <v>-124.7014444</v>
      </c>
      <c r="N1949" s="4">
        <v>55.785527780000002</v>
      </c>
      <c r="O1949" s="4">
        <v>766</v>
      </c>
      <c r="P1949" s="4" t="s">
        <v>6286</v>
      </c>
      <c r="Q1949" s="4">
        <v>2</v>
      </c>
      <c r="R1949" s="4" t="s">
        <v>6287</v>
      </c>
      <c r="S1949" s="4" t="s">
        <v>6009</v>
      </c>
      <c r="U1949"/>
    </row>
    <row r="1950" spans="1:72" ht="14.25" customHeight="1" x14ac:dyDescent="0.2">
      <c r="B1950" s="188">
        <v>5</v>
      </c>
      <c r="C1950" s="188" t="s">
        <v>6010</v>
      </c>
      <c r="D1950" s="188" t="s">
        <v>6299</v>
      </c>
      <c r="E1950" s="4">
        <v>2463</v>
      </c>
      <c r="F1950" s="188" t="s">
        <v>6300</v>
      </c>
      <c r="G1950" s="188" t="s">
        <v>6301</v>
      </c>
      <c r="H1950" s="4" t="s">
        <v>6040</v>
      </c>
      <c r="I1950" s="4" t="s">
        <v>1664</v>
      </c>
      <c r="J1950" s="4" t="s">
        <v>6046</v>
      </c>
      <c r="K1950" s="4">
        <v>1</v>
      </c>
      <c r="L1950" s="4">
        <v>2866</v>
      </c>
      <c r="M1950" s="9">
        <v>-122.4773611</v>
      </c>
      <c r="N1950" s="9">
        <v>49.44655556</v>
      </c>
      <c r="O1950" s="9">
        <v>794</v>
      </c>
      <c r="P1950" s="4" t="s">
        <v>6299</v>
      </c>
      <c r="Q1950" s="70">
        <v>4</v>
      </c>
      <c r="R1950" s="9" t="s">
        <v>6302</v>
      </c>
      <c r="S1950" s="9" t="s">
        <v>6009</v>
      </c>
      <c r="U1950"/>
    </row>
    <row r="1951" spans="1:72" ht="14.25" customHeight="1" x14ac:dyDescent="0.2">
      <c r="B1951" s="188">
        <v>5</v>
      </c>
      <c r="C1951" s="188" t="s">
        <v>6010</v>
      </c>
      <c r="D1951" s="188" t="s">
        <v>6315</v>
      </c>
      <c r="E1951" s="4">
        <v>13122</v>
      </c>
      <c r="F1951" s="188" t="s">
        <v>6316</v>
      </c>
      <c r="G1951" s="188" t="s">
        <v>6317</v>
      </c>
      <c r="H1951" s="4" t="s">
        <v>6172</v>
      </c>
      <c r="I1951" s="4" t="s">
        <v>49</v>
      </c>
      <c r="J1951" s="4" t="s">
        <v>6021</v>
      </c>
      <c r="K1951" s="4">
        <v>1</v>
      </c>
      <c r="L1951" s="4">
        <v>15044</v>
      </c>
      <c r="M1951" s="9">
        <v>-118.59605500000001</v>
      </c>
      <c r="N1951" s="9">
        <v>51.669195000000002</v>
      </c>
      <c r="O1951" s="9">
        <v>617</v>
      </c>
      <c r="P1951" s="4" t="s">
        <v>6315</v>
      </c>
      <c r="Q1951" s="70">
        <v>1</v>
      </c>
      <c r="R1951" s="9" t="s">
        <v>6316</v>
      </c>
      <c r="S1951" s="9" t="s">
        <v>6009</v>
      </c>
      <c r="U1951"/>
    </row>
    <row r="1952" spans="1:72" ht="14.25" customHeight="1" x14ac:dyDescent="0.2">
      <c r="B1952" s="4">
        <v>5</v>
      </c>
      <c r="C1952" s="188" t="s">
        <v>6010</v>
      </c>
      <c r="D1952" s="188" t="s">
        <v>6318</v>
      </c>
      <c r="E1952" s="4">
        <v>2465</v>
      </c>
      <c r="F1952" s="188" t="s">
        <v>6319</v>
      </c>
      <c r="G1952" s="188" t="s">
        <v>6320</v>
      </c>
      <c r="H1952" s="4" t="s">
        <v>6321</v>
      </c>
      <c r="I1952" s="4" t="s">
        <v>1664</v>
      </c>
      <c r="J1952" s="4" t="s">
        <v>6069</v>
      </c>
      <c r="K1952" s="4">
        <v>1</v>
      </c>
      <c r="L1952" s="4">
        <v>2868</v>
      </c>
      <c r="M1952" s="4">
        <v>-122.92461110000001</v>
      </c>
      <c r="N1952" s="4">
        <v>50.795583329999999</v>
      </c>
      <c r="O1952" s="4">
        <v>1780</v>
      </c>
      <c r="P1952" s="4" t="s">
        <v>6318</v>
      </c>
      <c r="Q1952" s="4">
        <v>7</v>
      </c>
      <c r="R1952" s="4" t="s">
        <v>6322</v>
      </c>
      <c r="S1952" s="4" t="s">
        <v>6009</v>
      </c>
      <c r="U1952"/>
    </row>
    <row r="1953" spans="2:21" ht="14.25" customHeight="1" x14ac:dyDescent="0.2">
      <c r="B1953" s="4">
        <v>5</v>
      </c>
      <c r="C1953" s="188" t="s">
        <v>6010</v>
      </c>
      <c r="D1953" s="188" t="s">
        <v>6335</v>
      </c>
      <c r="E1953" s="4">
        <v>2470</v>
      </c>
      <c r="F1953" s="188" t="s">
        <v>6336</v>
      </c>
      <c r="G1953" s="188" t="s">
        <v>6337</v>
      </c>
      <c r="H1953" s="4" t="s">
        <v>6338</v>
      </c>
      <c r="I1953" s="4" t="s">
        <v>1664</v>
      </c>
      <c r="J1953" s="4" t="s">
        <v>6041</v>
      </c>
      <c r="K1953" s="4">
        <v>1</v>
      </c>
      <c r="L1953" s="4">
        <v>2873</v>
      </c>
      <c r="M1953" s="9">
        <v>-123.60599999999999</v>
      </c>
      <c r="N1953" s="9">
        <v>56.734766669999999</v>
      </c>
      <c r="O1953" s="9">
        <v>1450</v>
      </c>
      <c r="P1953" s="4" t="s">
        <v>6335</v>
      </c>
      <c r="Q1953" s="70">
        <v>7</v>
      </c>
      <c r="R1953" s="9" t="s">
        <v>6339</v>
      </c>
      <c r="S1953" s="9" t="s">
        <v>6009</v>
      </c>
      <c r="U1953"/>
    </row>
    <row r="1954" spans="2:21" ht="14.25" customHeight="1" x14ac:dyDescent="0.2">
      <c r="B1954" s="4">
        <v>5</v>
      </c>
      <c r="C1954" s="188" t="s">
        <v>6010</v>
      </c>
      <c r="D1954" s="188" t="s">
        <v>6364</v>
      </c>
      <c r="E1954" s="4">
        <v>2474</v>
      </c>
      <c r="F1954" s="188" t="s">
        <v>6365</v>
      </c>
      <c r="G1954" s="188" t="s">
        <v>6366</v>
      </c>
      <c r="H1954" s="4" t="s">
        <v>6367</v>
      </c>
      <c r="I1954" s="4" t="s">
        <v>1664</v>
      </c>
      <c r="J1954" s="4" t="s">
        <v>6046</v>
      </c>
      <c r="K1954" s="4">
        <v>1</v>
      </c>
      <c r="L1954" s="4">
        <v>2877</v>
      </c>
      <c r="M1954" s="9">
        <v>-125.30861109999999</v>
      </c>
      <c r="N1954" s="9">
        <v>50.043333330000003</v>
      </c>
      <c r="O1954" s="9">
        <v>15</v>
      </c>
      <c r="P1954" s="4" t="s">
        <v>6364</v>
      </c>
      <c r="Q1954" s="70">
        <v>1</v>
      </c>
      <c r="R1954" s="9" t="s">
        <v>6368</v>
      </c>
      <c r="S1954" s="9" t="s">
        <v>6009</v>
      </c>
      <c r="U1954"/>
    </row>
    <row r="1955" spans="2:21" ht="14.25" customHeight="1" x14ac:dyDescent="0.2">
      <c r="B1955" s="4">
        <v>5</v>
      </c>
      <c r="C1955" s="188" t="s">
        <v>6010</v>
      </c>
      <c r="D1955" s="188" t="s">
        <v>6369</v>
      </c>
      <c r="E1955" s="4">
        <v>13098</v>
      </c>
      <c r="F1955" s="188" t="s">
        <v>6370</v>
      </c>
      <c r="G1955" s="188" t="s">
        <v>6371</v>
      </c>
      <c r="H1955" s="4" t="s">
        <v>6014</v>
      </c>
      <c r="I1955" s="4" t="s">
        <v>49</v>
      </c>
      <c r="J1955" s="4" t="s">
        <v>6262</v>
      </c>
      <c r="K1955" s="4">
        <v>1</v>
      </c>
      <c r="L1955" s="4">
        <v>15020</v>
      </c>
      <c r="M1955" s="4">
        <v>-116.92827777777778</v>
      </c>
      <c r="N1955" s="4">
        <v>49.903749999999995</v>
      </c>
      <c r="O1955" s="4">
        <v>717</v>
      </c>
      <c r="P1955" s="4" t="s">
        <v>6369</v>
      </c>
      <c r="Q1955" s="4">
        <v>1</v>
      </c>
      <c r="R1955" s="4" t="s">
        <v>6370</v>
      </c>
      <c r="S1955" s="4" t="s">
        <v>6009</v>
      </c>
      <c r="U1955"/>
    </row>
    <row r="1956" spans="2:21" ht="14.25" customHeight="1" x14ac:dyDescent="0.2">
      <c r="B1956" s="4">
        <v>5</v>
      </c>
      <c r="C1956" s="188" t="s">
        <v>6010</v>
      </c>
      <c r="D1956" s="188" t="s">
        <v>6372</v>
      </c>
      <c r="E1956" s="4">
        <v>13101</v>
      </c>
      <c r="F1956" s="188" t="s">
        <v>6373</v>
      </c>
      <c r="G1956" s="188" t="s">
        <v>6374</v>
      </c>
      <c r="H1956" s="4" t="s">
        <v>6014</v>
      </c>
      <c r="I1956" s="4" t="s">
        <v>49</v>
      </c>
      <c r="J1956" s="4" t="s">
        <v>6087</v>
      </c>
      <c r="K1956" s="4">
        <v>1</v>
      </c>
      <c r="L1956" s="4">
        <v>15023</v>
      </c>
      <c r="M1956" s="4">
        <v>-126.2975972</v>
      </c>
      <c r="N1956" s="4">
        <v>56.02119167</v>
      </c>
      <c r="O1956" s="4">
        <v>1257</v>
      </c>
      <c r="P1956" s="4" t="s">
        <v>6372</v>
      </c>
      <c r="Q1956" s="4">
        <v>6</v>
      </c>
      <c r="R1956" s="4" t="s">
        <v>6373</v>
      </c>
      <c r="S1956" s="4" t="s">
        <v>6009</v>
      </c>
      <c r="U1956"/>
    </row>
    <row r="1957" spans="2:21" ht="14.25" customHeight="1" x14ac:dyDescent="0.2">
      <c r="B1957" s="4">
        <v>5</v>
      </c>
      <c r="C1957" s="188" t="s">
        <v>6010</v>
      </c>
      <c r="D1957" s="188" t="s">
        <v>6375</v>
      </c>
      <c r="E1957" s="4">
        <v>12399</v>
      </c>
      <c r="F1957" s="188" t="s">
        <v>6376</v>
      </c>
      <c r="G1957" s="188" t="s">
        <v>6377</v>
      </c>
      <c r="H1957" s="4" t="s">
        <v>6289</v>
      </c>
      <c r="I1957" s="4" t="s">
        <v>641</v>
      </c>
      <c r="J1957" s="4" t="s">
        <v>6127</v>
      </c>
      <c r="K1957" s="4">
        <v>1</v>
      </c>
      <c r="L1957" s="4">
        <v>14421</v>
      </c>
      <c r="M1957" s="4">
        <v>-118.3606556</v>
      </c>
      <c r="N1957" s="4">
        <v>51.411288890000002</v>
      </c>
      <c r="O1957" s="4">
        <v>1840</v>
      </c>
      <c r="P1957" s="4" t="s">
        <v>6375</v>
      </c>
      <c r="Q1957" s="4">
        <v>6</v>
      </c>
      <c r="R1957" s="4" t="s">
        <v>6376</v>
      </c>
      <c r="S1957" s="4" t="s">
        <v>6009</v>
      </c>
      <c r="U1957"/>
    </row>
    <row r="1958" spans="2:21" ht="14.25" customHeight="1" x14ac:dyDescent="0.2">
      <c r="B1958" s="4">
        <v>5</v>
      </c>
      <c r="C1958" s="188" t="s">
        <v>6010</v>
      </c>
      <c r="D1958" s="188" t="s">
        <v>6398</v>
      </c>
      <c r="E1958" s="4">
        <v>13105</v>
      </c>
      <c r="F1958" s="188" t="s">
        <v>6399</v>
      </c>
      <c r="G1958" s="188" t="s">
        <v>6400</v>
      </c>
      <c r="H1958" s="4" t="s">
        <v>6401</v>
      </c>
      <c r="I1958" s="4" t="s">
        <v>49</v>
      </c>
      <c r="J1958" s="4" t="s">
        <v>6087</v>
      </c>
      <c r="K1958" s="4">
        <v>1</v>
      </c>
      <c r="L1958" s="4">
        <v>15027</v>
      </c>
      <c r="M1958" s="4">
        <v>-122.314283</v>
      </c>
      <c r="N1958" s="4">
        <v>49.581909000000003</v>
      </c>
      <c r="O1958" s="4">
        <v>1208</v>
      </c>
      <c r="P1958" s="4" t="s">
        <v>6398</v>
      </c>
      <c r="Q1958" s="4">
        <v>6</v>
      </c>
      <c r="R1958" s="4" t="s">
        <v>6402</v>
      </c>
      <c r="S1958" s="4" t="s">
        <v>6009</v>
      </c>
      <c r="U1958"/>
    </row>
    <row r="1959" spans="2:21" ht="14.25" customHeight="1" x14ac:dyDescent="0.2">
      <c r="B1959" s="4">
        <v>5</v>
      </c>
      <c r="C1959" s="188" t="s">
        <v>6010</v>
      </c>
      <c r="D1959" s="188" t="s">
        <v>6403</v>
      </c>
      <c r="E1959" s="4">
        <v>13121</v>
      </c>
      <c r="F1959" s="188" t="s">
        <v>6404</v>
      </c>
      <c r="G1959" s="188" t="s">
        <v>6405</v>
      </c>
      <c r="H1959" s="4" t="s">
        <v>6172</v>
      </c>
      <c r="I1959" s="4" t="s">
        <v>49</v>
      </c>
      <c r="J1959" s="4" t="s">
        <v>6127</v>
      </c>
      <c r="K1959" s="4">
        <v>1</v>
      </c>
      <c r="L1959" s="4">
        <v>15043</v>
      </c>
      <c r="M1959" s="4">
        <v>-122.62537499999999</v>
      </c>
      <c r="N1959" s="4">
        <v>50.698555555555551</v>
      </c>
      <c r="O1959" s="4">
        <v>1718</v>
      </c>
      <c r="P1959" s="4" t="s">
        <v>6403</v>
      </c>
      <c r="Q1959" s="4">
        <v>7</v>
      </c>
      <c r="R1959" s="4" t="s">
        <v>6404</v>
      </c>
      <c r="S1959" s="4" t="s">
        <v>6009</v>
      </c>
      <c r="U1959"/>
    </row>
    <row r="1960" spans="2:21" ht="14.25" customHeight="1" x14ac:dyDescent="0.2">
      <c r="B1960" s="4">
        <v>5</v>
      </c>
      <c r="C1960" s="188" t="s">
        <v>6010</v>
      </c>
      <c r="D1960" s="188" t="s">
        <v>6406</v>
      </c>
      <c r="E1960" s="4">
        <v>2478</v>
      </c>
      <c r="F1960" s="188" t="s">
        <v>6407</v>
      </c>
      <c r="G1960" s="188" t="s">
        <v>6408</v>
      </c>
      <c r="H1960" s="4" t="s">
        <v>6409</v>
      </c>
      <c r="I1960" s="4" t="s">
        <v>1664</v>
      </c>
      <c r="J1960" s="4" t="s">
        <v>6041</v>
      </c>
      <c r="K1960" s="4">
        <v>1</v>
      </c>
      <c r="L1960" s="4">
        <v>2881</v>
      </c>
      <c r="M1960" s="4">
        <v>-123.4041667</v>
      </c>
      <c r="N1960" s="4">
        <v>56.981499999999997</v>
      </c>
      <c r="O1960" s="4">
        <v>1200</v>
      </c>
      <c r="P1960" s="4" t="s">
        <v>6406</v>
      </c>
      <c r="Q1960" s="4">
        <v>4</v>
      </c>
      <c r="R1960" s="4" t="s">
        <v>6407</v>
      </c>
      <c r="S1960" s="4" t="s">
        <v>6009</v>
      </c>
      <c r="U1960"/>
    </row>
    <row r="1961" spans="2:21" ht="14.25" customHeight="1" x14ac:dyDescent="0.2">
      <c r="B1961" s="4">
        <v>5</v>
      </c>
      <c r="C1961" s="188" t="s">
        <v>6010</v>
      </c>
      <c r="D1961" s="188" t="s">
        <v>6415</v>
      </c>
      <c r="E1961" s="4">
        <v>2479</v>
      </c>
      <c r="F1961" s="188" t="s">
        <v>6416</v>
      </c>
      <c r="G1961" s="188" t="s">
        <v>6417</v>
      </c>
      <c r="H1961" s="4" t="s">
        <v>6418</v>
      </c>
      <c r="I1961" s="4" t="s">
        <v>1664</v>
      </c>
      <c r="J1961" s="4" t="s">
        <v>6041</v>
      </c>
      <c r="K1961" s="4">
        <v>1</v>
      </c>
      <c r="L1961" s="4">
        <v>2882</v>
      </c>
      <c r="M1961" s="4">
        <v>-122.20769439999999</v>
      </c>
      <c r="N1961" s="4">
        <v>50.762555560000003</v>
      </c>
      <c r="O1961" s="4">
        <v>1850</v>
      </c>
      <c r="P1961" s="4" t="s">
        <v>6415</v>
      </c>
      <c r="Q1961" s="4">
        <v>8</v>
      </c>
      <c r="R1961" s="4" t="s">
        <v>6416</v>
      </c>
      <c r="S1961" s="4" t="s">
        <v>6009</v>
      </c>
      <c r="U1961"/>
    </row>
    <row r="1962" spans="2:21" ht="14.25" customHeight="1" x14ac:dyDescent="0.2">
      <c r="B1962" s="4">
        <v>5</v>
      </c>
      <c r="C1962" s="188" t="s">
        <v>6010</v>
      </c>
      <c r="D1962" s="188" t="s">
        <v>6429</v>
      </c>
      <c r="E1962" s="4">
        <v>13119</v>
      </c>
      <c r="F1962" s="188" t="s">
        <v>6430</v>
      </c>
      <c r="G1962" s="188" t="s">
        <v>6431</v>
      </c>
      <c r="H1962" s="4" t="s">
        <v>6432</v>
      </c>
      <c r="I1962" s="4" t="s">
        <v>6433</v>
      </c>
      <c r="J1962" s="4" t="s">
        <v>6087</v>
      </c>
      <c r="K1962" s="4">
        <v>1</v>
      </c>
      <c r="L1962" s="4">
        <v>15041</v>
      </c>
      <c r="M1962" s="4">
        <v>-121.23169722222222</v>
      </c>
      <c r="N1962" s="4">
        <v>54.725280555555557</v>
      </c>
      <c r="O1962" s="4">
        <v>1570</v>
      </c>
      <c r="P1962" s="4" t="s">
        <v>6429</v>
      </c>
      <c r="Q1962" s="4">
        <v>7</v>
      </c>
      <c r="R1962" s="4" t="s">
        <v>6430</v>
      </c>
      <c r="S1962" s="4" t="s">
        <v>6009</v>
      </c>
      <c r="U1962"/>
    </row>
    <row r="1963" spans="2:21" ht="14.25" customHeight="1" x14ac:dyDescent="0.2">
      <c r="B1963" s="4">
        <v>5</v>
      </c>
      <c r="C1963" s="188" t="s">
        <v>6010</v>
      </c>
      <c r="D1963" s="188" t="s">
        <v>6434</v>
      </c>
      <c r="E1963" s="4">
        <v>2482</v>
      </c>
      <c r="F1963" s="188" t="s">
        <v>6435</v>
      </c>
      <c r="G1963" s="188" t="s">
        <v>6436</v>
      </c>
      <c r="H1963" s="4" t="s">
        <v>6437</v>
      </c>
      <c r="I1963" s="4" t="s">
        <v>1664</v>
      </c>
      <c r="J1963" s="4" t="s">
        <v>6069</v>
      </c>
      <c r="K1963" s="4">
        <v>1</v>
      </c>
      <c r="L1963" s="4">
        <v>2885</v>
      </c>
      <c r="M1963" s="4">
        <v>-114.97499999999999</v>
      </c>
      <c r="N1963" s="4">
        <v>49.44722222</v>
      </c>
      <c r="O1963" s="4">
        <v>1860</v>
      </c>
      <c r="P1963" s="4" t="s">
        <v>6434</v>
      </c>
      <c r="Q1963" s="4">
        <v>6</v>
      </c>
      <c r="R1963" s="4" t="s">
        <v>6435</v>
      </c>
      <c r="S1963" s="4" t="s">
        <v>6009</v>
      </c>
      <c r="U1963"/>
    </row>
    <row r="1964" spans="2:21" ht="14.25" customHeight="1" x14ac:dyDescent="0.2">
      <c r="B1964" s="4">
        <v>5</v>
      </c>
      <c r="C1964" s="188" t="s">
        <v>6010</v>
      </c>
      <c r="D1964" s="188" t="s">
        <v>6438</v>
      </c>
      <c r="E1964" s="4">
        <v>13091</v>
      </c>
      <c r="F1964" s="188" t="s">
        <v>6439</v>
      </c>
      <c r="G1964" s="188" t="s">
        <v>6440</v>
      </c>
      <c r="H1964" s="4" t="s">
        <v>6014</v>
      </c>
      <c r="I1964" s="4" t="s">
        <v>6433</v>
      </c>
      <c r="J1964" s="4" t="s">
        <v>6087</v>
      </c>
      <c r="K1964" s="4">
        <v>1</v>
      </c>
      <c r="L1964" s="4">
        <v>15013</v>
      </c>
      <c r="M1964" s="4">
        <v>-121.80416666666666</v>
      </c>
      <c r="N1964" s="4">
        <v>54.526666666666664</v>
      </c>
      <c r="O1964" s="4">
        <v>1484</v>
      </c>
      <c r="P1964" s="4" t="s">
        <v>6438</v>
      </c>
      <c r="Q1964" s="4">
        <v>7</v>
      </c>
      <c r="R1964" s="4" t="s">
        <v>6439</v>
      </c>
      <c r="S1964" s="4" t="s">
        <v>6009</v>
      </c>
      <c r="U1964"/>
    </row>
    <row r="1965" spans="2:21" ht="14.25" customHeight="1" x14ac:dyDescent="0.2">
      <c r="B1965" s="4">
        <v>5</v>
      </c>
      <c r="C1965" s="188" t="s">
        <v>6010</v>
      </c>
      <c r="D1965" s="188" t="s">
        <v>6445</v>
      </c>
      <c r="E1965" s="4">
        <v>12400</v>
      </c>
      <c r="F1965" s="188" t="s">
        <v>6446</v>
      </c>
      <c r="G1965" s="188" t="s">
        <v>6447</v>
      </c>
      <c r="H1965" s="4" t="s">
        <v>6289</v>
      </c>
      <c r="I1965" s="4" t="s">
        <v>641</v>
      </c>
      <c r="J1965" s="4" t="s">
        <v>6087</v>
      </c>
      <c r="K1965" s="4">
        <v>1</v>
      </c>
      <c r="L1965" s="4">
        <v>14422</v>
      </c>
      <c r="M1965" s="4">
        <v>-123.1063889</v>
      </c>
      <c r="N1965" s="4">
        <v>56.781388890000002</v>
      </c>
      <c r="O1965" s="4">
        <v>1196</v>
      </c>
      <c r="P1965" s="4" t="s">
        <v>6445</v>
      </c>
      <c r="Q1965" s="4">
        <v>5</v>
      </c>
      <c r="R1965" s="4" t="s">
        <v>6446</v>
      </c>
      <c r="S1965" s="4" t="s">
        <v>6009</v>
      </c>
      <c r="U1965"/>
    </row>
    <row r="1966" spans="2:21" ht="14.25" customHeight="1" x14ac:dyDescent="0.2">
      <c r="B1966" s="4">
        <v>5</v>
      </c>
      <c r="C1966" s="188" t="s">
        <v>6010</v>
      </c>
      <c r="D1966" s="188" t="s">
        <v>6453</v>
      </c>
      <c r="E1966" s="4">
        <v>13093</v>
      </c>
      <c r="F1966" s="188" t="s">
        <v>6454</v>
      </c>
      <c r="G1966" s="188" t="s">
        <v>6455</v>
      </c>
      <c r="H1966" s="4" t="s">
        <v>6014</v>
      </c>
      <c r="I1966" s="4" t="s">
        <v>49</v>
      </c>
      <c r="J1966" s="4" t="s">
        <v>6262</v>
      </c>
      <c r="K1966" s="4">
        <v>1</v>
      </c>
      <c r="L1966" s="4">
        <v>15015</v>
      </c>
      <c r="M1966" s="4">
        <v>-117.358372</v>
      </c>
      <c r="N1966" s="4">
        <v>49.996656999999999</v>
      </c>
      <c r="O1966" s="4">
        <v>653</v>
      </c>
      <c r="P1966" s="4" t="s">
        <v>6453</v>
      </c>
      <c r="Q1966" s="4">
        <v>1</v>
      </c>
      <c r="R1966" s="4" t="s">
        <v>6454</v>
      </c>
      <c r="S1966" s="4" t="s">
        <v>6009</v>
      </c>
      <c r="U1966"/>
    </row>
    <row r="1967" spans="2:21" ht="14.25" customHeight="1" x14ac:dyDescent="0.2">
      <c r="B1967" s="4">
        <v>5</v>
      </c>
      <c r="C1967" s="188" t="s">
        <v>6010</v>
      </c>
      <c r="D1967" s="188" t="s">
        <v>6487</v>
      </c>
      <c r="E1967" s="4">
        <v>12387</v>
      </c>
      <c r="F1967" s="188" t="s">
        <v>6488</v>
      </c>
      <c r="G1967" s="188" t="s">
        <v>6489</v>
      </c>
      <c r="H1967" s="4" t="s">
        <v>6490</v>
      </c>
      <c r="I1967" s="4" t="s">
        <v>641</v>
      </c>
      <c r="J1967" s="4" t="s">
        <v>6015</v>
      </c>
      <c r="K1967" s="4">
        <v>1</v>
      </c>
      <c r="L1967" s="4">
        <v>14409</v>
      </c>
      <c r="M1967" s="9"/>
      <c r="N1967" s="9"/>
      <c r="O1967" s="9"/>
      <c r="P1967" s="192"/>
      <c r="Q1967" s="70"/>
      <c r="R1967" s="9"/>
      <c r="S1967" s="9"/>
      <c r="U1967"/>
    </row>
    <row r="1968" spans="2:21" ht="14.25" customHeight="1" x14ac:dyDescent="0.2">
      <c r="B1968" s="4">
        <v>5</v>
      </c>
      <c r="C1968" s="188" t="s">
        <v>6010</v>
      </c>
      <c r="D1968" s="188" t="s">
        <v>6491</v>
      </c>
      <c r="E1968" s="4">
        <v>13118</v>
      </c>
      <c r="F1968" s="188" t="s">
        <v>6492</v>
      </c>
      <c r="G1968" s="188" t="s">
        <v>6493</v>
      </c>
      <c r="H1968" s="4" t="s">
        <v>6086</v>
      </c>
      <c r="I1968" s="4" t="s">
        <v>49</v>
      </c>
      <c r="J1968" s="4" t="s">
        <v>6087</v>
      </c>
      <c r="K1968" s="4">
        <v>1</v>
      </c>
      <c r="L1968" s="4">
        <v>15040</v>
      </c>
      <c r="M1968" s="4">
        <v>-123.897927</v>
      </c>
      <c r="N1968" s="4">
        <v>55.123800000000003</v>
      </c>
      <c r="O1968" s="4">
        <v>1028</v>
      </c>
      <c r="P1968" s="4" t="s">
        <v>6491</v>
      </c>
      <c r="Q1968" s="4">
        <v>4</v>
      </c>
      <c r="R1968" s="4" t="s">
        <v>6492</v>
      </c>
      <c r="S1968" s="4" t="s">
        <v>6009</v>
      </c>
      <c r="U1968"/>
    </row>
    <row r="1969" spans="2:72" ht="14.25" customHeight="1" x14ac:dyDescent="0.2">
      <c r="B1969" s="4">
        <v>5</v>
      </c>
      <c r="C1969" s="188" t="s">
        <v>6010</v>
      </c>
      <c r="D1969" s="188" t="s">
        <v>6494</v>
      </c>
      <c r="E1969" s="4">
        <v>2496</v>
      </c>
      <c r="F1969" s="188" t="s">
        <v>6495</v>
      </c>
      <c r="G1969" s="188" t="s">
        <v>6496</v>
      </c>
      <c r="H1969" s="4" t="s">
        <v>6497</v>
      </c>
      <c r="I1969" s="4" t="s">
        <v>1664</v>
      </c>
      <c r="J1969" s="4" t="s">
        <v>6041</v>
      </c>
      <c r="K1969" s="4">
        <v>1</v>
      </c>
      <c r="L1969" s="4">
        <v>2899</v>
      </c>
      <c r="M1969" s="9">
        <v>-122.63733329999999</v>
      </c>
      <c r="N1969" s="9">
        <v>55.353000000000002</v>
      </c>
      <c r="O1969" s="9">
        <v>1400</v>
      </c>
      <c r="P1969" s="4" t="s">
        <v>6494</v>
      </c>
      <c r="Q1969" s="70">
        <v>7</v>
      </c>
      <c r="R1969" s="9" t="s">
        <v>6495</v>
      </c>
      <c r="S1969" s="9" t="s">
        <v>6009</v>
      </c>
      <c r="U1969"/>
    </row>
    <row r="1970" spans="2:72" ht="14.25" customHeight="1" x14ac:dyDescent="0.2">
      <c r="B1970" s="4">
        <v>5</v>
      </c>
      <c r="C1970" s="4" t="s">
        <v>6010</v>
      </c>
      <c r="D1970" s="4" t="s">
        <v>6498</v>
      </c>
      <c r="E1970" s="4">
        <v>12404</v>
      </c>
      <c r="F1970" s="4" t="s">
        <v>6499</v>
      </c>
      <c r="G1970" s="4" t="s">
        <v>6500</v>
      </c>
      <c r="H1970" s="4" t="s">
        <v>6289</v>
      </c>
      <c r="I1970" s="4" t="s">
        <v>641</v>
      </c>
      <c r="J1970" s="4" t="s">
        <v>6021</v>
      </c>
      <c r="K1970" s="4">
        <v>1</v>
      </c>
      <c r="L1970" s="4">
        <v>14426</v>
      </c>
      <c r="M1970" s="203">
        <v>-122.8647222</v>
      </c>
      <c r="N1970" s="203">
        <v>57.061666670000001</v>
      </c>
      <c r="O1970" s="203">
        <v>1755</v>
      </c>
      <c r="P1970" s="188" t="s">
        <v>6498</v>
      </c>
      <c r="Q1970" s="263">
        <v>8</v>
      </c>
      <c r="R1970" s="203" t="s">
        <v>6499</v>
      </c>
      <c r="S1970" s="203" t="s">
        <v>6009</v>
      </c>
      <c r="T1970" s="192"/>
      <c r="U1970" s="192"/>
      <c r="V1970" s="192"/>
      <c r="W1970" s="192"/>
      <c r="X1970" s="192"/>
      <c r="Y1970" s="192"/>
    </row>
    <row r="1971" spans="2:72" ht="14.25" customHeight="1" x14ac:dyDescent="0.2">
      <c r="B1971" s="4">
        <v>5</v>
      </c>
      <c r="C1971" s="188" t="s">
        <v>6010</v>
      </c>
      <c r="D1971" s="188" t="s">
        <v>6507</v>
      </c>
      <c r="E1971" s="4">
        <v>13094</v>
      </c>
      <c r="F1971" s="188" t="s">
        <v>6508</v>
      </c>
      <c r="G1971" s="188" t="s">
        <v>6509</v>
      </c>
      <c r="H1971" s="4" t="s">
        <v>6014</v>
      </c>
      <c r="I1971" s="4" t="s">
        <v>49</v>
      </c>
      <c r="J1971" s="4" t="s">
        <v>6087</v>
      </c>
      <c r="K1971" s="4">
        <v>1</v>
      </c>
      <c r="L1971" s="4">
        <v>15016</v>
      </c>
      <c r="M1971" s="9">
        <v>-122.1829</v>
      </c>
      <c r="N1971" s="9">
        <v>56.013100000000001</v>
      </c>
      <c r="O1971" s="9">
        <v>720</v>
      </c>
      <c r="P1971" s="4" t="s">
        <v>6507</v>
      </c>
      <c r="Q1971" s="70">
        <v>1</v>
      </c>
      <c r="R1971" s="9" t="s">
        <v>6508</v>
      </c>
      <c r="S1971" s="9" t="s">
        <v>6009</v>
      </c>
      <c r="U1971"/>
    </row>
    <row r="1972" spans="2:72" ht="14.25" customHeight="1" x14ac:dyDescent="0.2">
      <c r="B1972" s="4">
        <v>5</v>
      </c>
      <c r="C1972" s="4" t="s">
        <v>6010</v>
      </c>
      <c r="D1972" s="4" t="s">
        <v>6528</v>
      </c>
      <c r="E1972" s="4">
        <v>13218</v>
      </c>
      <c r="F1972" s="9" t="s">
        <v>6529</v>
      </c>
      <c r="G1972" s="4" t="s">
        <v>6530</v>
      </c>
      <c r="H1972" s="4" t="s">
        <v>6531</v>
      </c>
      <c r="I1972" s="4" t="s">
        <v>49</v>
      </c>
      <c r="J1972" s="4" t="s">
        <v>6021</v>
      </c>
      <c r="K1972" s="4">
        <v>1</v>
      </c>
      <c r="L1972" s="4">
        <v>15134</v>
      </c>
      <c r="M1972" s="8">
        <v>-125.51</v>
      </c>
      <c r="N1972" s="8">
        <v>49.930019999999999</v>
      </c>
      <c r="O1972" s="8">
        <v>280</v>
      </c>
      <c r="P1972" s="8" t="s">
        <v>6528</v>
      </c>
      <c r="Q1972" s="8"/>
      <c r="R1972" s="8"/>
      <c r="S1972" s="53"/>
      <c r="T1972" s="53"/>
      <c r="U1972" s="53"/>
      <c r="V1972" s="53"/>
      <c r="W1972" s="53"/>
      <c r="X1972" s="53"/>
      <c r="Y1972" s="53"/>
      <c r="Z1972" s="237"/>
      <c r="AA1972" s="237"/>
      <c r="AB1972" s="237"/>
      <c r="AC1972" s="237"/>
      <c r="AD1972" s="237"/>
      <c r="AE1972" s="237"/>
      <c r="AF1972" s="237"/>
      <c r="AG1972" s="237"/>
      <c r="AH1972" s="237"/>
      <c r="AI1972" s="237"/>
      <c r="AJ1972" s="237"/>
      <c r="AK1972" s="237"/>
      <c r="AL1972" s="237"/>
      <c r="AM1972" s="237"/>
      <c r="AN1972" s="237"/>
      <c r="AO1972" s="237"/>
      <c r="AP1972" s="237"/>
      <c r="AQ1972" s="237"/>
      <c r="AR1972" s="237"/>
      <c r="AS1972" s="237"/>
      <c r="AT1972" s="237"/>
      <c r="AU1972" s="237"/>
      <c r="AV1972" s="237"/>
      <c r="AW1972" s="237"/>
      <c r="AX1972" s="237"/>
      <c r="AY1972" s="237"/>
      <c r="AZ1972" s="237"/>
      <c r="BA1972" s="237"/>
      <c r="BB1972" s="237"/>
      <c r="BC1972" s="237"/>
      <c r="BD1972" s="237"/>
      <c r="BE1972" s="237"/>
      <c r="BF1972" s="237"/>
      <c r="BG1972" s="237"/>
      <c r="BH1972" s="237"/>
      <c r="BI1972" s="237"/>
      <c r="BJ1972" s="237"/>
      <c r="BK1972" s="237"/>
      <c r="BL1972" s="237"/>
      <c r="BM1972" s="237"/>
      <c r="BN1972" s="237"/>
      <c r="BO1972" s="237"/>
      <c r="BP1972" s="237"/>
      <c r="BQ1972" s="237"/>
      <c r="BR1972" s="237"/>
      <c r="BS1972" s="237"/>
      <c r="BT1972" s="237"/>
    </row>
    <row r="1973" spans="2:72" ht="14.25" customHeight="1" x14ac:dyDescent="0.2">
      <c r="B1973" s="4">
        <v>5</v>
      </c>
      <c r="C1973" s="188" t="s">
        <v>6010</v>
      </c>
      <c r="D1973" s="188" t="s">
        <v>6546</v>
      </c>
      <c r="E1973" s="4">
        <v>12406</v>
      </c>
      <c r="F1973" s="188" t="s">
        <v>6547</v>
      </c>
      <c r="G1973" s="188" t="s">
        <v>6548</v>
      </c>
      <c r="H1973" s="4" t="s">
        <v>6201</v>
      </c>
      <c r="I1973" s="4" t="s">
        <v>641</v>
      </c>
      <c r="J1973" s="4" t="s">
        <v>6021</v>
      </c>
      <c r="K1973" s="4">
        <v>1</v>
      </c>
      <c r="L1973" s="4">
        <v>14428</v>
      </c>
      <c r="M1973" s="9">
        <v>-122.2423833</v>
      </c>
      <c r="N1973" s="9">
        <v>50.728080560000002</v>
      </c>
      <c r="O1973" s="9">
        <v>290</v>
      </c>
      <c r="P1973" s="4" t="s">
        <v>6546</v>
      </c>
      <c r="Q1973" s="70">
        <v>1</v>
      </c>
      <c r="R1973" s="9" t="s">
        <v>6547</v>
      </c>
      <c r="S1973" s="9" t="s">
        <v>6009</v>
      </c>
      <c r="U1973"/>
    </row>
    <row r="1974" spans="2:72" ht="14.25" customHeight="1" x14ac:dyDescent="0.2">
      <c r="B1974" s="4">
        <v>5</v>
      </c>
      <c r="C1974" s="188" t="s">
        <v>6010</v>
      </c>
      <c r="D1974" s="188" t="s">
        <v>6549</v>
      </c>
      <c r="E1974" s="4">
        <v>2504</v>
      </c>
      <c r="F1974" s="203" t="s">
        <v>6547</v>
      </c>
      <c r="G1974" s="188" t="s">
        <v>6550</v>
      </c>
      <c r="H1974" s="4" t="s">
        <v>6396</v>
      </c>
      <c r="I1974" s="4" t="s">
        <v>1664</v>
      </c>
      <c r="J1974" s="4" t="s">
        <v>6187</v>
      </c>
      <c r="K1974" s="4">
        <v>1</v>
      </c>
      <c r="L1974" s="4">
        <v>2907</v>
      </c>
      <c r="M1974" s="9"/>
      <c r="N1974" s="9"/>
      <c r="O1974" s="9"/>
      <c r="P1974" s="9"/>
      <c r="Q1974" s="9"/>
      <c r="R1974" s="9"/>
      <c r="S1974" s="9"/>
      <c r="T1974" s="9"/>
      <c r="U1974" s="9"/>
      <c r="V1974" s="237"/>
      <c r="W1974" s="237"/>
      <c r="X1974" s="237"/>
      <c r="Y1974" s="237"/>
      <c r="Z1974" s="237"/>
      <c r="AA1974" s="237"/>
      <c r="AB1974" s="237"/>
      <c r="AC1974" s="237"/>
      <c r="AD1974" s="237"/>
      <c r="AE1974" s="237"/>
      <c r="AF1974" s="237"/>
      <c r="AG1974" s="237"/>
      <c r="AH1974" s="237"/>
      <c r="AI1974" s="237"/>
      <c r="AJ1974" s="237"/>
      <c r="AK1974" s="237"/>
      <c r="AL1974" s="237"/>
      <c r="AM1974" s="237"/>
      <c r="AN1974" s="237"/>
      <c r="AO1974" s="237"/>
      <c r="AP1974" s="237"/>
      <c r="AQ1974" s="237"/>
      <c r="AR1974" s="237"/>
      <c r="AS1974" s="237"/>
      <c r="AT1974" s="237"/>
      <c r="AU1974" s="237"/>
      <c r="AV1974" s="237"/>
      <c r="AW1974" s="237"/>
      <c r="AX1974" s="237"/>
      <c r="AY1974" s="237"/>
      <c r="AZ1974" s="237"/>
      <c r="BA1974" s="237"/>
      <c r="BB1974" s="237"/>
      <c r="BC1974" s="237"/>
      <c r="BD1974" s="237"/>
      <c r="BE1974" s="237"/>
      <c r="BF1974" s="237"/>
      <c r="BG1974" s="237"/>
      <c r="BH1974" s="237"/>
      <c r="BI1974" s="237"/>
      <c r="BJ1974" s="237"/>
      <c r="BK1974" s="237"/>
      <c r="BL1974" s="237"/>
      <c r="BM1974" s="237"/>
      <c r="BN1974" s="237"/>
      <c r="BO1974" s="237"/>
      <c r="BP1974" s="237"/>
      <c r="BQ1974" s="237"/>
      <c r="BR1974" s="237"/>
      <c r="BS1974" s="237"/>
      <c r="BT1974" s="237"/>
    </row>
    <row r="1975" spans="2:72" ht="14.25" customHeight="1" x14ac:dyDescent="0.2">
      <c r="B1975" s="4">
        <v>5</v>
      </c>
      <c r="C1975" s="188" t="s">
        <v>6010</v>
      </c>
      <c r="D1975" s="188" t="s">
        <v>6551</v>
      </c>
      <c r="E1975" s="4">
        <v>13089</v>
      </c>
      <c r="F1975" s="188" t="s">
        <v>6552</v>
      </c>
      <c r="G1975" s="188" t="s">
        <v>6553</v>
      </c>
      <c r="H1975" s="4" t="s">
        <v>6246</v>
      </c>
      <c r="I1975" s="4" t="s">
        <v>49</v>
      </c>
      <c r="J1975" s="4" t="s">
        <v>6087</v>
      </c>
      <c r="K1975" s="4">
        <v>1</v>
      </c>
      <c r="L1975" s="4">
        <v>15011</v>
      </c>
      <c r="M1975" s="9">
        <v>-124.13198060000001</v>
      </c>
      <c r="N1975" s="9">
        <v>57.26375556</v>
      </c>
      <c r="O1975" s="9">
        <v>1387</v>
      </c>
      <c r="P1975" s="9" t="s">
        <v>6551</v>
      </c>
      <c r="Q1975" s="9">
        <v>5</v>
      </c>
      <c r="R1975" s="9" t="s">
        <v>6552</v>
      </c>
      <c r="S1975" s="9" t="s">
        <v>6009</v>
      </c>
      <c r="T1975" s="9"/>
      <c r="U1975" s="9"/>
      <c r="V1975" s="9"/>
      <c r="W1975" s="9"/>
      <c r="X1975" s="9"/>
      <c r="Y1975" s="9"/>
      <c r="Z1975" s="9"/>
      <c r="AA1975" s="9"/>
      <c r="AB1975" s="9"/>
      <c r="AC1975" s="9"/>
      <c r="AD1975" s="9"/>
      <c r="AE1975" s="9"/>
      <c r="AF1975" s="9"/>
      <c r="AG1975" s="9"/>
      <c r="AH1975" s="9"/>
      <c r="AI1975" s="9"/>
      <c r="AJ1975" s="9"/>
      <c r="AK1975" s="9"/>
      <c r="AL1975" s="9"/>
      <c r="AM1975" s="9"/>
      <c r="AN1975" s="9"/>
      <c r="AO1975" s="9"/>
      <c r="AP1975" s="9"/>
      <c r="AQ1975" s="9"/>
      <c r="AR1975" s="9"/>
      <c r="AS1975" s="9"/>
      <c r="AT1975" s="9"/>
      <c r="AU1975" s="9"/>
      <c r="AV1975" s="9"/>
      <c r="AW1975" s="9"/>
      <c r="AX1975" s="9"/>
      <c r="AY1975" s="9"/>
      <c r="AZ1975" s="9"/>
      <c r="BA1975" s="9"/>
      <c r="BB1975" s="9"/>
      <c r="BC1975" s="9"/>
      <c r="BD1975" s="9"/>
      <c r="BE1975" s="9"/>
      <c r="BF1975" s="9"/>
      <c r="BG1975" s="9"/>
      <c r="BH1975" s="9"/>
      <c r="BI1975" s="9"/>
      <c r="BJ1975" s="9"/>
      <c r="BK1975" s="9"/>
      <c r="BL1975" s="9"/>
      <c r="BM1975" s="9"/>
      <c r="BN1975" s="9"/>
      <c r="BO1975" s="9"/>
      <c r="BP1975" s="9"/>
      <c r="BQ1975" s="9"/>
      <c r="BR1975" s="9"/>
      <c r="BS1975" s="9"/>
      <c r="BT1975" s="9"/>
    </row>
    <row r="1976" spans="2:72" ht="14.25" customHeight="1" x14ac:dyDescent="0.2">
      <c r="B1976" s="4">
        <v>5</v>
      </c>
      <c r="C1976" s="188" t="s">
        <v>6010</v>
      </c>
      <c r="D1976" s="188" t="s">
        <v>6557</v>
      </c>
      <c r="E1976" s="4">
        <v>2503</v>
      </c>
      <c r="F1976" s="203" t="s">
        <v>6558</v>
      </c>
      <c r="G1976" s="188" t="s">
        <v>6559</v>
      </c>
      <c r="H1976" s="4" t="s">
        <v>6278</v>
      </c>
      <c r="I1976" s="4" t="s">
        <v>1664</v>
      </c>
      <c r="J1976" s="4" t="s">
        <v>6069</v>
      </c>
      <c r="K1976" s="4">
        <v>1</v>
      </c>
      <c r="L1976" s="4">
        <v>2906</v>
      </c>
      <c r="M1976" s="9">
        <v>-117.7012139</v>
      </c>
      <c r="N1976" s="9">
        <v>50.434172220000001</v>
      </c>
      <c r="O1976" s="9">
        <v>1800</v>
      </c>
      <c r="P1976" s="9" t="s">
        <v>6557</v>
      </c>
      <c r="Q1976" s="9">
        <v>6</v>
      </c>
      <c r="R1976" s="9" t="s">
        <v>6560</v>
      </c>
      <c r="S1976" s="9" t="s">
        <v>6009</v>
      </c>
      <c r="T1976" s="9"/>
      <c r="U1976" s="9"/>
      <c r="V1976" s="9"/>
      <c r="W1976" s="9"/>
      <c r="X1976" s="9"/>
      <c r="Y1976" s="9"/>
      <c r="Z1976" s="9"/>
      <c r="AA1976" s="9"/>
      <c r="AB1976" s="9"/>
      <c r="AC1976" s="9"/>
      <c r="AD1976" s="9"/>
      <c r="AE1976" s="9"/>
      <c r="AF1976" s="9"/>
      <c r="AG1976" s="9"/>
      <c r="AH1976" s="9"/>
      <c r="AI1976" s="9"/>
      <c r="AJ1976" s="9"/>
      <c r="AK1976" s="9"/>
      <c r="AL1976" s="9"/>
      <c r="AM1976" s="9"/>
      <c r="AN1976" s="9"/>
      <c r="AO1976" s="9"/>
      <c r="AP1976" s="9"/>
      <c r="AQ1976" s="9"/>
      <c r="AR1976" s="9"/>
      <c r="AS1976" s="9"/>
      <c r="AT1976" s="9"/>
      <c r="AU1976" s="9"/>
      <c r="AV1976" s="9"/>
      <c r="AW1976" s="9"/>
      <c r="AX1976" s="9"/>
      <c r="AY1976" s="9"/>
      <c r="AZ1976" s="9"/>
      <c r="BA1976" s="9"/>
      <c r="BB1976" s="9"/>
      <c r="BC1976" s="9"/>
      <c r="BD1976" s="9"/>
      <c r="BE1976" s="9"/>
      <c r="BF1976" s="9"/>
      <c r="BG1976" s="9"/>
      <c r="BH1976" s="9"/>
      <c r="BI1976" s="9"/>
      <c r="BJ1976" s="9"/>
      <c r="BK1976" s="9"/>
      <c r="BL1976" s="9"/>
      <c r="BM1976" s="9"/>
      <c r="BN1976" s="9"/>
      <c r="BO1976" s="9"/>
      <c r="BP1976" s="9"/>
      <c r="BQ1976" s="9"/>
      <c r="BR1976" s="9"/>
      <c r="BS1976" s="9"/>
      <c r="BT1976" s="9"/>
    </row>
    <row r="1977" spans="2:72" ht="14.25" customHeight="1" x14ac:dyDescent="0.2">
      <c r="B1977" s="4">
        <v>5</v>
      </c>
      <c r="C1977" s="188" t="s">
        <v>6010</v>
      </c>
      <c r="D1977" s="188" t="s">
        <v>6566</v>
      </c>
      <c r="E1977" s="4">
        <v>2506</v>
      </c>
      <c r="F1977" s="188" t="s">
        <v>6567</v>
      </c>
      <c r="G1977" s="188" t="s">
        <v>6568</v>
      </c>
      <c r="H1977" s="4" t="s">
        <v>6040</v>
      </c>
      <c r="I1977" s="4" t="s">
        <v>1664</v>
      </c>
      <c r="J1977" s="4" t="s">
        <v>6046</v>
      </c>
      <c r="K1977" s="4">
        <v>1</v>
      </c>
      <c r="L1977" s="4">
        <v>2909</v>
      </c>
      <c r="M1977" s="9">
        <v>-122.4020556</v>
      </c>
      <c r="N1977" s="9">
        <v>49.623666669999999</v>
      </c>
      <c r="O1977" s="9">
        <v>930</v>
      </c>
      <c r="P1977" s="4" t="s">
        <v>6566</v>
      </c>
      <c r="Q1977" s="70">
        <v>5</v>
      </c>
      <c r="R1977" s="9" t="s">
        <v>6569</v>
      </c>
      <c r="S1977" s="9" t="s">
        <v>6009</v>
      </c>
      <c r="U1977"/>
    </row>
    <row r="1978" spans="2:72" ht="14.25" customHeight="1" x14ac:dyDescent="0.2">
      <c r="B1978" s="4">
        <v>5</v>
      </c>
      <c r="C1978" s="188" t="s">
        <v>6010</v>
      </c>
      <c r="D1978" s="188" t="s">
        <v>6570</v>
      </c>
      <c r="E1978" s="4">
        <v>2501</v>
      </c>
      <c r="F1978" s="188" t="s">
        <v>6571</v>
      </c>
      <c r="G1978" s="188" t="s">
        <v>6572</v>
      </c>
      <c r="H1978" s="4" t="s">
        <v>6573</v>
      </c>
      <c r="I1978" s="4" t="s">
        <v>1664</v>
      </c>
      <c r="J1978" s="4" t="s">
        <v>6187</v>
      </c>
      <c r="K1978" s="4">
        <v>1</v>
      </c>
      <c r="L1978" s="4">
        <v>2904</v>
      </c>
      <c r="U1978"/>
    </row>
    <row r="1979" spans="2:72" ht="14.25" customHeight="1" x14ac:dyDescent="0.2">
      <c r="B1979" s="4">
        <v>5</v>
      </c>
      <c r="C1979" s="188" t="s">
        <v>6010</v>
      </c>
      <c r="D1979" s="188" t="s">
        <v>6574</v>
      </c>
      <c r="E1979" s="4">
        <v>13219</v>
      </c>
      <c r="F1979" s="188" t="s">
        <v>6575</v>
      </c>
      <c r="G1979" s="188" t="s">
        <v>6576</v>
      </c>
      <c r="H1979" s="4" t="s">
        <v>6209</v>
      </c>
      <c r="I1979" s="4" t="s">
        <v>49</v>
      </c>
      <c r="J1979" s="4" t="s">
        <v>6021</v>
      </c>
      <c r="K1979" s="4">
        <v>1</v>
      </c>
      <c r="L1979" s="4">
        <v>15135</v>
      </c>
      <c r="M1979" s="9">
        <v>-117.541639</v>
      </c>
      <c r="N1979" s="9">
        <v>51.716141</v>
      </c>
      <c r="O1979" s="9">
        <v>800</v>
      </c>
      <c r="P1979" s="4" t="s">
        <v>6574</v>
      </c>
      <c r="Q1979" s="70">
        <v>1</v>
      </c>
      <c r="R1979" s="9" t="s">
        <v>6575</v>
      </c>
      <c r="S1979" s="9" t="s">
        <v>6009</v>
      </c>
      <c r="U1979"/>
    </row>
    <row r="1980" spans="2:72" ht="14.25" customHeight="1" x14ac:dyDescent="0.2">
      <c r="B1980" s="4">
        <v>5</v>
      </c>
      <c r="C1980" s="4" t="s">
        <v>6010</v>
      </c>
      <c r="D1980" s="4" t="s">
        <v>6582</v>
      </c>
      <c r="E1980" s="4">
        <v>12352</v>
      </c>
      <c r="F1980" s="4" t="s">
        <v>6583</v>
      </c>
      <c r="G1980" s="188" t="s">
        <v>6584</v>
      </c>
      <c r="H1980" s="4" t="s">
        <v>6585</v>
      </c>
      <c r="I1980" s="4" t="s">
        <v>49</v>
      </c>
      <c r="J1980" s="4" t="s">
        <v>6258</v>
      </c>
      <c r="K1980" s="4">
        <v>1</v>
      </c>
      <c r="L1980" s="4">
        <v>14408</v>
      </c>
      <c r="U1980"/>
      <c r="V1980" s="237"/>
      <c r="W1980" s="237"/>
      <c r="X1980" s="237"/>
      <c r="Y1980" s="237"/>
      <c r="Z1980" s="237"/>
      <c r="AA1980" s="237"/>
      <c r="AB1980" s="237"/>
      <c r="AC1980" s="237"/>
      <c r="AD1980" s="237"/>
      <c r="AE1980" s="237"/>
      <c r="AF1980" s="237"/>
      <c r="AG1980" s="237"/>
      <c r="AH1980" s="237"/>
      <c r="AI1980" s="237"/>
      <c r="AJ1980" s="237"/>
      <c r="AK1980" s="237"/>
      <c r="AL1980" s="237"/>
      <c r="AM1980" s="237"/>
      <c r="AN1980" s="237"/>
      <c r="AO1980" s="237"/>
      <c r="AP1980" s="237"/>
      <c r="AQ1980" s="237"/>
      <c r="AR1980" s="237"/>
      <c r="AS1980" s="237"/>
      <c r="AT1980" s="237"/>
      <c r="AU1980" s="237"/>
      <c r="AV1980" s="237"/>
      <c r="AW1980" s="237"/>
      <c r="AX1980" s="237"/>
      <c r="AY1980" s="237"/>
      <c r="AZ1980" s="237"/>
      <c r="BA1980" s="237"/>
      <c r="BB1980" s="237"/>
      <c r="BC1980" s="237"/>
      <c r="BD1980" s="237"/>
      <c r="BE1980" s="237"/>
      <c r="BF1980" s="237"/>
      <c r="BG1980" s="237"/>
      <c r="BH1980" s="237"/>
      <c r="BI1980" s="237"/>
      <c r="BJ1980" s="237"/>
      <c r="BK1980" s="237"/>
      <c r="BL1980" s="237"/>
      <c r="BM1980" s="237"/>
      <c r="BN1980" s="237"/>
      <c r="BO1980" s="237"/>
      <c r="BP1980" s="237"/>
      <c r="BQ1980" s="237"/>
      <c r="BR1980" s="237"/>
      <c r="BS1980" s="237"/>
      <c r="BT1980" s="237"/>
    </row>
    <row r="1981" spans="2:72" ht="14.25" customHeight="1" x14ac:dyDescent="0.2">
      <c r="B1981" s="4">
        <v>5</v>
      </c>
      <c r="C1981" s="4" t="s">
        <v>6010</v>
      </c>
      <c r="D1981" s="4" t="s">
        <v>6586</v>
      </c>
      <c r="E1981" s="4">
        <v>12351</v>
      </c>
      <c r="F1981" s="9" t="s">
        <v>6587</v>
      </c>
      <c r="G1981" s="188" t="s">
        <v>6588</v>
      </c>
      <c r="H1981" s="4" t="s">
        <v>6589</v>
      </c>
      <c r="I1981" s="4" t="s">
        <v>49</v>
      </c>
      <c r="J1981" s="4" t="s">
        <v>6057</v>
      </c>
      <c r="K1981" s="4">
        <v>1</v>
      </c>
      <c r="L1981" s="4">
        <v>14407</v>
      </c>
      <c r="M1981" s="9"/>
      <c r="N1981" s="9"/>
      <c r="O1981" s="9"/>
      <c r="P1981" s="9"/>
      <c r="Q1981" s="9"/>
      <c r="R1981" s="9"/>
      <c r="S1981" s="9"/>
      <c r="T1981" s="9"/>
      <c r="U1981" s="9"/>
      <c r="V1981" s="237"/>
      <c r="W1981" s="237"/>
      <c r="X1981" s="237"/>
      <c r="Y1981" s="237"/>
      <c r="Z1981" s="237"/>
      <c r="AA1981" s="237"/>
      <c r="AB1981" s="237"/>
      <c r="AC1981" s="237"/>
      <c r="AD1981" s="237"/>
      <c r="AE1981" s="237"/>
      <c r="AF1981" s="237"/>
      <c r="AG1981" s="237"/>
      <c r="AH1981" s="237"/>
      <c r="AI1981" s="237"/>
      <c r="AJ1981" s="237"/>
      <c r="AK1981" s="237"/>
      <c r="AL1981" s="237"/>
      <c r="AM1981" s="237"/>
      <c r="AN1981" s="237"/>
      <c r="AO1981" s="237"/>
      <c r="AP1981" s="237"/>
      <c r="AQ1981" s="237"/>
      <c r="AR1981" s="237"/>
      <c r="AS1981" s="237"/>
      <c r="AT1981" s="237"/>
      <c r="AU1981" s="237"/>
      <c r="AV1981" s="237"/>
      <c r="AW1981" s="237"/>
      <c r="AX1981" s="237"/>
      <c r="AY1981" s="237"/>
      <c r="AZ1981" s="237"/>
      <c r="BA1981" s="237"/>
      <c r="BB1981" s="237"/>
      <c r="BC1981" s="237"/>
      <c r="BD1981" s="237"/>
      <c r="BE1981" s="237"/>
      <c r="BF1981" s="237"/>
      <c r="BG1981" s="237"/>
      <c r="BH1981" s="237"/>
      <c r="BI1981" s="237"/>
      <c r="BJ1981" s="237"/>
      <c r="BK1981" s="237"/>
      <c r="BL1981" s="237"/>
      <c r="BM1981" s="237"/>
      <c r="BN1981" s="237"/>
      <c r="BO1981" s="237"/>
      <c r="BP1981" s="237"/>
      <c r="BQ1981" s="237"/>
      <c r="BR1981" s="237"/>
      <c r="BS1981" s="237"/>
      <c r="BT1981" s="237"/>
    </row>
    <row r="1982" spans="2:72" ht="14.25" customHeight="1" x14ac:dyDescent="0.2">
      <c r="B1982" s="4">
        <v>5</v>
      </c>
      <c r="C1982" s="4" t="s">
        <v>6010</v>
      </c>
      <c r="D1982" s="4" t="s">
        <v>6596</v>
      </c>
      <c r="E1982" s="4">
        <v>12410</v>
      </c>
      <c r="F1982" s="4" t="s">
        <v>6597</v>
      </c>
      <c r="G1982" s="188" t="s">
        <v>6598</v>
      </c>
      <c r="H1982" s="4" t="s">
        <v>6201</v>
      </c>
      <c r="I1982" s="4" t="s">
        <v>641</v>
      </c>
      <c r="J1982" s="4" t="s">
        <v>6021</v>
      </c>
      <c r="K1982" s="4">
        <v>1</v>
      </c>
      <c r="L1982" s="4">
        <v>14432</v>
      </c>
      <c r="M1982" s="9">
        <v>-125.5844333</v>
      </c>
      <c r="N1982" s="9">
        <v>49.972666670000002</v>
      </c>
      <c r="O1982" s="9">
        <v>249</v>
      </c>
      <c r="P1982" s="4" t="s">
        <v>6596</v>
      </c>
      <c r="Q1982" s="70">
        <v>4</v>
      </c>
      <c r="R1982" s="9" t="s">
        <v>6597</v>
      </c>
      <c r="S1982" s="9" t="s">
        <v>6009</v>
      </c>
      <c r="U1982"/>
    </row>
    <row r="1983" spans="2:72" ht="14.25" customHeight="1" x14ac:dyDescent="0.2">
      <c r="B1983" s="4">
        <v>5</v>
      </c>
      <c r="C1983" s="4" t="s">
        <v>6010</v>
      </c>
      <c r="D1983" s="4" t="s">
        <v>6599</v>
      </c>
      <c r="E1983" s="4">
        <v>2445</v>
      </c>
      <c r="F1983" s="4" t="s">
        <v>6600</v>
      </c>
      <c r="G1983" s="188" t="s">
        <v>6601</v>
      </c>
      <c r="H1983" s="4" t="s">
        <v>6040</v>
      </c>
      <c r="I1983" s="4" t="s">
        <v>1664</v>
      </c>
      <c r="J1983" s="4" t="s">
        <v>6046</v>
      </c>
      <c r="K1983" s="4">
        <v>1</v>
      </c>
      <c r="L1983" s="4">
        <v>2848</v>
      </c>
      <c r="M1983" s="201">
        <v>-123.13333</v>
      </c>
      <c r="N1983" s="201">
        <v>50.122199999999999</v>
      </c>
      <c r="O1983" s="201">
        <v>880</v>
      </c>
      <c r="P1983" s="201" t="s">
        <v>6602</v>
      </c>
      <c r="Q1983" s="201"/>
      <c r="R1983" s="201" t="s">
        <v>6600</v>
      </c>
      <c r="S1983" s="237"/>
      <c r="T1983" s="237"/>
      <c r="U1983" s="237"/>
      <c r="V1983" s="237"/>
      <c r="W1983" s="237"/>
      <c r="X1983" s="237"/>
      <c r="Y1983" s="237"/>
      <c r="Z1983" s="237"/>
      <c r="AA1983" s="237"/>
      <c r="AB1983" s="237"/>
      <c r="AC1983" s="237"/>
      <c r="AD1983" s="237"/>
      <c r="AE1983" s="237"/>
      <c r="AF1983" s="237"/>
      <c r="AG1983" s="237"/>
      <c r="AH1983" s="237"/>
      <c r="AI1983" s="237"/>
      <c r="AJ1983" s="237"/>
      <c r="AK1983" s="237"/>
      <c r="AL1983" s="237"/>
      <c r="AM1983" s="237"/>
      <c r="AN1983" s="237"/>
      <c r="AO1983" s="237"/>
      <c r="AP1983" s="237"/>
      <c r="AQ1983" s="237"/>
      <c r="AR1983" s="237"/>
      <c r="AS1983" s="237"/>
      <c r="AT1983" s="237"/>
      <c r="AU1983" s="237"/>
      <c r="AV1983" s="237"/>
      <c r="AW1983" s="237"/>
      <c r="AX1983" s="237"/>
      <c r="AY1983" s="237"/>
      <c r="AZ1983" s="237"/>
      <c r="BA1983" s="237"/>
      <c r="BB1983" s="237"/>
      <c r="BC1983" s="237"/>
      <c r="BD1983" s="237"/>
      <c r="BE1983" s="237"/>
      <c r="BF1983" s="237"/>
      <c r="BG1983" s="237"/>
      <c r="BH1983" s="237"/>
      <c r="BI1983" s="237"/>
      <c r="BJ1983" s="237"/>
      <c r="BK1983" s="237"/>
      <c r="BL1983" s="237"/>
      <c r="BM1983" s="237"/>
      <c r="BN1983" s="237"/>
      <c r="BO1983" s="237"/>
      <c r="BP1983" s="237"/>
      <c r="BQ1983" s="237"/>
      <c r="BR1983" s="237"/>
      <c r="BS1983" s="237"/>
      <c r="BT1983" s="237"/>
    </row>
    <row r="1984" spans="2:72" ht="14.25" customHeight="1" x14ac:dyDescent="0.2">
      <c r="B1984" s="4">
        <v>5</v>
      </c>
      <c r="C1984" s="4" t="s">
        <v>6010</v>
      </c>
      <c r="D1984" s="4" t="s">
        <v>6607</v>
      </c>
      <c r="E1984" s="4">
        <v>13090</v>
      </c>
      <c r="F1984" s="4" t="s">
        <v>6608</v>
      </c>
      <c r="G1984" s="4" t="s">
        <v>6609</v>
      </c>
      <c r="H1984" s="4" t="s">
        <v>6014</v>
      </c>
      <c r="I1984" s="4" t="s">
        <v>49</v>
      </c>
      <c r="J1984" s="4" t="s">
        <v>6610</v>
      </c>
      <c r="K1984" s="4">
        <v>1</v>
      </c>
      <c r="L1984" s="4">
        <v>15012</v>
      </c>
      <c r="M1984" s="4">
        <v>-125.6773389</v>
      </c>
      <c r="N1984" s="4">
        <v>57.407555559999999</v>
      </c>
      <c r="O1984" s="4">
        <v>971</v>
      </c>
      <c r="P1984" s="4" t="s">
        <v>6607</v>
      </c>
      <c r="Q1984" s="4">
        <v>2</v>
      </c>
      <c r="R1984" s="4" t="s">
        <v>6608</v>
      </c>
      <c r="S1984" s="4" t="s">
        <v>6009</v>
      </c>
      <c r="U1984"/>
    </row>
    <row r="1985" spans="1:72" ht="14.25" customHeight="1" x14ac:dyDescent="0.2">
      <c r="B1985" s="4">
        <v>5</v>
      </c>
      <c r="C1985" s="188" t="s">
        <v>6010</v>
      </c>
      <c r="D1985" s="188" t="s">
        <v>6611</v>
      </c>
      <c r="E1985" s="4">
        <v>12414</v>
      </c>
      <c r="F1985" s="188" t="s">
        <v>6612</v>
      </c>
      <c r="G1985" s="188" t="s">
        <v>6613</v>
      </c>
      <c r="H1985" s="4" t="s">
        <v>6289</v>
      </c>
      <c r="I1985" s="4" t="s">
        <v>641</v>
      </c>
      <c r="J1985" s="4" t="s">
        <v>6087</v>
      </c>
      <c r="K1985" s="4">
        <v>1</v>
      </c>
      <c r="L1985" s="4">
        <v>14436</v>
      </c>
      <c r="M1985" s="4">
        <v>-125.7004694</v>
      </c>
      <c r="N1985" s="4">
        <v>57.396180559999998</v>
      </c>
      <c r="O1985" s="4">
        <v>1565</v>
      </c>
      <c r="P1985" s="188" t="s">
        <v>6611</v>
      </c>
      <c r="Q1985" s="4">
        <v>7</v>
      </c>
      <c r="R1985" s="4" t="s">
        <v>6612</v>
      </c>
      <c r="S1985" s="4" t="s">
        <v>6009</v>
      </c>
      <c r="U1985"/>
    </row>
    <row r="1986" spans="1:72" ht="14.25" customHeight="1" x14ac:dyDescent="0.2">
      <c r="B1986" s="4">
        <v>5</v>
      </c>
      <c r="C1986" s="188" t="s">
        <v>6010</v>
      </c>
      <c r="D1986" s="188" t="s">
        <v>6614</v>
      </c>
      <c r="E1986" s="4">
        <v>12411</v>
      </c>
      <c r="F1986" s="188" t="s">
        <v>6615</v>
      </c>
      <c r="G1986" s="188" t="s">
        <v>6616</v>
      </c>
      <c r="H1986" s="4" t="s">
        <v>6289</v>
      </c>
      <c r="I1986" s="4" t="s">
        <v>641</v>
      </c>
      <c r="J1986" s="4" t="s">
        <v>6127</v>
      </c>
      <c r="K1986" s="4">
        <v>1</v>
      </c>
      <c r="L1986" s="4">
        <v>14433</v>
      </c>
      <c r="M1986" s="4">
        <v>-116.6294111</v>
      </c>
      <c r="N1986" s="4">
        <v>51.696302780000003</v>
      </c>
      <c r="O1986" s="4">
        <v>2122</v>
      </c>
      <c r="P1986" s="4" t="s">
        <v>6614</v>
      </c>
      <c r="Q1986" s="4">
        <v>7</v>
      </c>
      <c r="R1986" s="4" t="s">
        <v>6615</v>
      </c>
      <c r="S1986" s="4" t="s">
        <v>6009</v>
      </c>
      <c r="U1986"/>
    </row>
    <row r="1987" spans="1:72" ht="14.25" customHeight="1" x14ac:dyDescent="0.2">
      <c r="B1987" s="4">
        <v>9</v>
      </c>
      <c r="C1987" s="188" t="s">
        <v>4969</v>
      </c>
      <c r="D1987" s="8" t="s">
        <v>5222</v>
      </c>
      <c r="E1987" s="4">
        <v>12139</v>
      </c>
      <c r="F1987" s="188" t="s">
        <v>5223</v>
      </c>
      <c r="G1987" s="188" t="s">
        <v>5224</v>
      </c>
      <c r="H1987" s="4" t="s">
        <v>5225</v>
      </c>
      <c r="I1987" s="4" t="s">
        <v>641</v>
      </c>
      <c r="J1987" s="4" t="s">
        <v>5177</v>
      </c>
      <c r="K1987" s="4">
        <v>1</v>
      </c>
      <c r="L1987" s="4">
        <v>14195</v>
      </c>
      <c r="M1987" s="9"/>
      <c r="U1987"/>
      <c r="AK1987" s="9"/>
    </row>
    <row r="1988" spans="1:72" ht="14.25" customHeight="1" x14ac:dyDescent="0.2">
      <c r="B1988" s="4">
        <v>9</v>
      </c>
      <c r="C1988" s="188" t="s">
        <v>4969</v>
      </c>
      <c r="D1988" s="8" t="s">
        <v>5230</v>
      </c>
      <c r="E1988" s="4">
        <v>2588</v>
      </c>
      <c r="F1988" s="188" t="s">
        <v>5231</v>
      </c>
      <c r="G1988" s="188" t="s">
        <v>5232</v>
      </c>
      <c r="H1988" s="4" t="s">
        <v>5233</v>
      </c>
      <c r="I1988" s="4" t="s">
        <v>641</v>
      </c>
      <c r="J1988" s="4" t="s">
        <v>5037</v>
      </c>
      <c r="K1988" s="4">
        <v>1</v>
      </c>
      <c r="L1988" s="4">
        <v>2991</v>
      </c>
      <c r="M1988" s="9"/>
      <c r="U1988"/>
      <c r="AK1988" s="9"/>
    </row>
    <row r="1989" spans="1:72" ht="14.25" customHeight="1" x14ac:dyDescent="0.2">
      <c r="B1989" s="4">
        <v>9</v>
      </c>
      <c r="C1989" s="188" t="s">
        <v>4969</v>
      </c>
      <c r="D1989" s="8" t="s">
        <v>5234</v>
      </c>
      <c r="E1989" s="4">
        <v>2590</v>
      </c>
      <c r="F1989" s="188" t="s">
        <v>5235</v>
      </c>
      <c r="G1989" s="188" t="s">
        <v>5236</v>
      </c>
      <c r="H1989" s="4" t="s">
        <v>5237</v>
      </c>
      <c r="I1989" s="4" t="s">
        <v>641</v>
      </c>
      <c r="J1989" s="4" t="s">
        <v>5083</v>
      </c>
      <c r="K1989" s="4">
        <v>1</v>
      </c>
      <c r="L1989" s="4">
        <v>2993</v>
      </c>
      <c r="M1989" s="9"/>
      <c r="U1989"/>
      <c r="AK1989" s="9"/>
    </row>
    <row r="1990" spans="1:72" ht="14.25" customHeight="1" x14ac:dyDescent="0.2">
      <c r="B1990" s="4">
        <v>9</v>
      </c>
      <c r="C1990" s="8" t="s">
        <v>5279</v>
      </c>
      <c r="D1990" s="8" t="s">
        <v>5508</v>
      </c>
      <c r="E1990" s="4">
        <v>12545</v>
      </c>
      <c r="F1990" s="8" t="s">
        <v>5509</v>
      </c>
      <c r="G1990" s="188" t="s">
        <v>5510</v>
      </c>
      <c r="H1990" s="4" t="s">
        <v>5511</v>
      </c>
      <c r="I1990" s="4" t="s">
        <v>49</v>
      </c>
      <c r="J1990" s="4" t="s">
        <v>5512</v>
      </c>
      <c r="K1990" s="4">
        <v>1</v>
      </c>
      <c r="L1990" s="4">
        <v>14567</v>
      </c>
      <c r="M1990" s="9"/>
      <c r="U1990"/>
      <c r="AK1990" s="9"/>
    </row>
    <row r="1991" spans="1:72" ht="14.25" customHeight="1" x14ac:dyDescent="0.2">
      <c r="B1991" s="4">
        <v>9</v>
      </c>
      <c r="C1991" s="203" t="s">
        <v>4969</v>
      </c>
      <c r="D1991" s="8" t="s">
        <v>5577</v>
      </c>
      <c r="E1991" s="4">
        <v>12570</v>
      </c>
      <c r="F1991" s="8" t="s">
        <v>5578</v>
      </c>
      <c r="G1991" s="188" t="s">
        <v>5579</v>
      </c>
      <c r="H1991" s="4" t="s">
        <v>5397</v>
      </c>
      <c r="I1991" s="4" t="s">
        <v>49</v>
      </c>
      <c r="J1991" s="4" t="s">
        <v>4983</v>
      </c>
      <c r="K1991" s="4">
        <v>1</v>
      </c>
      <c r="L1991" s="4">
        <v>14592</v>
      </c>
      <c r="M1991" s="9"/>
      <c r="U1991"/>
      <c r="AK1991" s="9"/>
    </row>
    <row r="1992" spans="1:72" ht="14.25" customHeight="1" x14ac:dyDescent="0.2">
      <c r="B1992" s="4">
        <v>9</v>
      </c>
      <c r="C1992" s="188" t="s">
        <v>4969</v>
      </c>
      <c r="D1992" s="8" t="s">
        <v>5790</v>
      </c>
      <c r="E1992" s="4">
        <v>1574</v>
      </c>
      <c r="F1992" s="188" t="s">
        <v>5791</v>
      </c>
      <c r="G1992" s="188" t="s">
        <v>5792</v>
      </c>
      <c r="H1992" s="4" t="s">
        <v>5793</v>
      </c>
      <c r="I1992" s="4" t="s">
        <v>641</v>
      </c>
      <c r="J1992" s="4" t="s">
        <v>5198</v>
      </c>
      <c r="K1992" s="4">
        <v>1</v>
      </c>
      <c r="L1992" s="4">
        <v>1977</v>
      </c>
      <c r="M1992" s="9"/>
      <c r="U1992"/>
      <c r="AK1992" s="9"/>
    </row>
    <row r="1993" spans="1:72" ht="14.25" customHeight="1" x14ac:dyDescent="0.2">
      <c r="B1993" s="4">
        <v>9</v>
      </c>
      <c r="C1993" s="188" t="s">
        <v>4969</v>
      </c>
      <c r="D1993" s="8" t="s">
        <v>5794</v>
      </c>
      <c r="E1993" s="4">
        <v>2606</v>
      </c>
      <c r="F1993" s="188" t="s">
        <v>5795</v>
      </c>
      <c r="G1993" s="188" t="s">
        <v>5796</v>
      </c>
      <c r="H1993" s="4" t="s">
        <v>5797</v>
      </c>
      <c r="I1993" s="4" t="s">
        <v>641</v>
      </c>
      <c r="J1993" s="4" t="s">
        <v>5073</v>
      </c>
      <c r="K1993" s="4">
        <v>1</v>
      </c>
      <c r="L1993" s="4">
        <v>3009</v>
      </c>
      <c r="M1993" s="9"/>
      <c r="U1993"/>
      <c r="AK1993" s="9"/>
    </row>
    <row r="1994" spans="1:72" ht="14.25" customHeight="1" x14ac:dyDescent="0.2">
      <c r="B1994" s="4">
        <v>9</v>
      </c>
      <c r="C1994" s="188" t="s">
        <v>4969</v>
      </c>
      <c r="D1994" s="8" t="s">
        <v>5802</v>
      </c>
      <c r="E1994" s="4">
        <v>1570</v>
      </c>
      <c r="F1994" s="188" t="s">
        <v>5803</v>
      </c>
      <c r="G1994" s="188" t="s">
        <v>5804</v>
      </c>
      <c r="H1994" s="4" t="s">
        <v>5805</v>
      </c>
      <c r="I1994" s="4" t="s">
        <v>641</v>
      </c>
      <c r="J1994" s="4" t="s">
        <v>5037</v>
      </c>
      <c r="K1994" s="4">
        <v>1</v>
      </c>
      <c r="L1994" s="4">
        <v>1973</v>
      </c>
      <c r="M1994" s="9"/>
      <c r="U1994"/>
      <c r="AK1994" s="9"/>
    </row>
    <row r="1995" spans="1:72" ht="14.25" customHeight="1" x14ac:dyDescent="0.2">
      <c r="B1995" s="4">
        <v>9</v>
      </c>
      <c r="C1995" s="4" t="s">
        <v>4969</v>
      </c>
      <c r="D1995" s="201" t="s">
        <v>5871</v>
      </c>
      <c r="E1995" s="4">
        <v>12288</v>
      </c>
      <c r="F1995" s="4" t="s">
        <v>5872</v>
      </c>
      <c r="G1995" s="4" t="s">
        <v>5873</v>
      </c>
      <c r="H1995" s="4" t="s">
        <v>5874</v>
      </c>
      <c r="I1995" s="4" t="s">
        <v>641</v>
      </c>
      <c r="J1995" s="4" t="s">
        <v>5177</v>
      </c>
      <c r="K1995" s="4">
        <v>1</v>
      </c>
      <c r="L1995" s="4">
        <v>14343</v>
      </c>
      <c r="M1995" s="9"/>
      <c r="U1995"/>
      <c r="AK1995" s="9"/>
    </row>
    <row r="1996" spans="1:72" ht="14.25" customHeight="1" x14ac:dyDescent="0.2">
      <c r="A1996" s="9"/>
      <c r="B1996" s="9">
        <v>9</v>
      </c>
      <c r="C1996" s="9" t="s">
        <v>4969</v>
      </c>
      <c r="D1996" s="9" t="s">
        <v>5926</v>
      </c>
      <c r="E1996" s="9">
        <v>2592</v>
      </c>
      <c r="F1996" s="9" t="s">
        <v>5927</v>
      </c>
      <c r="G1996" s="9" t="s">
        <v>5928</v>
      </c>
      <c r="H1996" s="9" t="s">
        <v>5929</v>
      </c>
      <c r="I1996" s="9" t="s">
        <v>641</v>
      </c>
      <c r="J1996" s="9" t="s">
        <v>5083</v>
      </c>
      <c r="K1996" s="9">
        <v>1</v>
      </c>
      <c r="L1996" s="9">
        <v>2995</v>
      </c>
      <c r="M1996" s="9"/>
      <c r="N1996" s="9"/>
      <c r="O1996" s="9"/>
      <c r="P1996" s="9"/>
      <c r="Q1996" s="9"/>
      <c r="R1996" s="9"/>
      <c r="S1996" s="9"/>
      <c r="T1996" s="9"/>
      <c r="U1996" s="9"/>
      <c r="V1996" s="9"/>
      <c r="W1996" s="9"/>
      <c r="X1996" s="9"/>
      <c r="Y1996" s="9"/>
      <c r="Z1996" s="9"/>
      <c r="AA1996" s="9"/>
      <c r="AB1996" s="9"/>
      <c r="AC1996" s="9"/>
      <c r="AD1996" s="9"/>
      <c r="AE1996" s="9"/>
      <c r="AF1996" s="9"/>
      <c r="AI1996" s="9"/>
    </row>
    <row r="1997" spans="1:72" ht="14.25" customHeight="1" x14ac:dyDescent="0.2">
      <c r="B1997" s="4">
        <v>14</v>
      </c>
      <c r="C1997" s="4" t="s">
        <v>6099</v>
      </c>
      <c r="D1997" s="4" t="s">
        <v>6641</v>
      </c>
      <c r="E1997" s="4">
        <v>2535</v>
      </c>
      <c r="F1997" s="4" t="s">
        <v>6642</v>
      </c>
      <c r="G1997" s="4" t="s">
        <v>6643</v>
      </c>
      <c r="H1997" s="4" t="s">
        <v>6644</v>
      </c>
      <c r="I1997" s="4" t="s">
        <v>1664</v>
      </c>
      <c r="J1997" s="4" t="s">
        <v>6645</v>
      </c>
      <c r="K1997" s="4">
        <v>1</v>
      </c>
      <c r="L1997" s="4">
        <v>2938</v>
      </c>
      <c r="M1997" s="9">
        <v>-119.7238333</v>
      </c>
      <c r="N1997" s="9">
        <v>52.59566667</v>
      </c>
      <c r="O1997" s="9">
        <v>1620</v>
      </c>
      <c r="P1997" s="224" t="s">
        <v>6641</v>
      </c>
      <c r="Q1997" s="70">
        <v>5</v>
      </c>
      <c r="R1997" s="9" t="s">
        <v>6642</v>
      </c>
      <c r="S1997" s="9" t="s">
        <v>6646</v>
      </c>
      <c r="U1997"/>
    </row>
    <row r="1998" spans="1:72" ht="14.25" customHeight="1" x14ac:dyDescent="0.2">
      <c r="B1998" s="4">
        <v>14</v>
      </c>
      <c r="C1998" s="4" t="s">
        <v>6099</v>
      </c>
      <c r="D1998" s="4" t="s">
        <v>6647</v>
      </c>
      <c r="E1998" s="4">
        <v>2514</v>
      </c>
      <c r="F1998" s="4" t="s">
        <v>6648</v>
      </c>
      <c r="G1998" s="4" t="s">
        <v>6649</v>
      </c>
      <c r="H1998" s="4" t="s">
        <v>6650</v>
      </c>
      <c r="I1998" s="4" t="s">
        <v>1664</v>
      </c>
      <c r="J1998" s="4" t="s">
        <v>6645</v>
      </c>
      <c r="K1998" s="4">
        <v>1</v>
      </c>
      <c r="L1998" s="4">
        <v>2917</v>
      </c>
      <c r="M1998" s="9">
        <v>-121.491</v>
      </c>
      <c r="N1998" s="9">
        <v>53.056833330000003</v>
      </c>
      <c r="O1998" s="9">
        <v>1480</v>
      </c>
      <c r="P1998" s="224" t="s">
        <v>6647</v>
      </c>
      <c r="Q1998" s="70">
        <v>4</v>
      </c>
      <c r="R1998" s="9" t="s">
        <v>6648</v>
      </c>
      <c r="S1998" s="9" t="s">
        <v>6646</v>
      </c>
      <c r="U1998"/>
    </row>
    <row r="1999" spans="1:72" ht="14.25" customHeight="1" x14ac:dyDescent="0.2">
      <c r="B1999" s="4">
        <v>14</v>
      </c>
      <c r="C1999" s="4" t="s">
        <v>6636</v>
      </c>
      <c r="D1999" s="4" t="s">
        <v>6655</v>
      </c>
      <c r="E1999" s="4">
        <v>2556</v>
      </c>
      <c r="F1999" s="188" t="s">
        <v>6656</v>
      </c>
      <c r="G1999" s="188" t="s">
        <v>6657</v>
      </c>
      <c r="H1999" s="4" t="s">
        <v>6658</v>
      </c>
      <c r="I1999" s="4" t="s">
        <v>1664</v>
      </c>
      <c r="J1999" s="4" t="s">
        <v>6645</v>
      </c>
      <c r="K1999" s="4">
        <v>1</v>
      </c>
      <c r="L1999" s="4">
        <v>2959</v>
      </c>
      <c r="M1999" s="9">
        <v>-120.7705</v>
      </c>
      <c r="N1999" s="9">
        <v>49.094499999999996</v>
      </c>
      <c r="O1999" s="9">
        <v>1940</v>
      </c>
      <c r="P1999" s="9" t="s">
        <v>6655</v>
      </c>
      <c r="Q1999" s="70">
        <v>8</v>
      </c>
      <c r="R1999" s="9" t="s">
        <v>6656</v>
      </c>
      <c r="S1999" s="9" t="s">
        <v>6646</v>
      </c>
      <c r="U1999" s="9"/>
      <c r="V1999" s="9"/>
      <c r="W1999" s="9"/>
      <c r="X1999" s="9"/>
      <c r="Y1999" s="9"/>
      <c r="Z1999" s="9"/>
      <c r="AA1999" s="9"/>
      <c r="AB1999" s="9"/>
      <c r="AC1999" s="9"/>
      <c r="AD1999" s="9"/>
      <c r="AE1999" s="9"/>
      <c r="AF1999" s="9"/>
      <c r="AG1999" s="9"/>
      <c r="AH1999" s="9"/>
      <c r="AI1999" s="9"/>
      <c r="AJ1999" s="9"/>
      <c r="AK1999" s="9"/>
      <c r="AL1999" s="9"/>
      <c r="AM1999" s="9"/>
      <c r="AN1999" s="9"/>
      <c r="AO1999" s="9"/>
      <c r="AP1999" s="9"/>
      <c r="AQ1999" s="9"/>
      <c r="AR1999" s="9"/>
      <c r="AS1999" s="9"/>
      <c r="AT1999" s="9"/>
      <c r="AU1999" s="9"/>
      <c r="AV1999" s="9"/>
      <c r="AW1999" s="9"/>
      <c r="AX1999" s="9"/>
      <c r="AY1999" s="9"/>
      <c r="AZ1999" s="9"/>
      <c r="BA1999" s="9"/>
      <c r="BB1999" s="9"/>
      <c r="BC1999" s="9"/>
      <c r="BD1999" s="9"/>
      <c r="BE1999" s="9"/>
      <c r="BF1999" s="9"/>
      <c r="BG1999" s="9"/>
      <c r="BH1999" s="9"/>
      <c r="BI1999" s="9"/>
      <c r="BJ1999" s="9"/>
      <c r="BK1999" s="9"/>
      <c r="BL1999" s="9"/>
      <c r="BM1999" s="9"/>
      <c r="BN1999" s="9"/>
      <c r="BO1999" s="9"/>
      <c r="BP1999" s="9"/>
      <c r="BQ1999" s="9"/>
      <c r="BR1999" s="9"/>
      <c r="BS1999" s="9"/>
      <c r="BT1999" s="9"/>
    </row>
    <row r="2000" spans="1:72" ht="14.25" customHeight="1" x14ac:dyDescent="0.2">
      <c r="B2000" s="193">
        <v>14</v>
      </c>
      <c r="C2000" s="4" t="s">
        <v>6636</v>
      </c>
      <c r="D2000" s="4" t="s">
        <v>6659</v>
      </c>
      <c r="E2000" s="4">
        <v>2576</v>
      </c>
      <c r="F2000" s="9" t="s">
        <v>6660</v>
      </c>
      <c r="G2000" s="188" t="s">
        <v>6661</v>
      </c>
      <c r="H2000" s="4" t="s">
        <v>6662</v>
      </c>
      <c r="I2000" s="4" t="s">
        <v>1664</v>
      </c>
      <c r="J2000" s="4" t="s">
        <v>6663</v>
      </c>
      <c r="K2000" s="4">
        <v>1</v>
      </c>
      <c r="L2000" s="4">
        <v>2979</v>
      </c>
      <c r="M2000" s="9"/>
      <c r="N2000" s="9"/>
      <c r="O2000" s="9"/>
      <c r="P2000" s="9"/>
      <c r="Q2000" s="9"/>
      <c r="R2000" s="9"/>
      <c r="S2000" s="9"/>
      <c r="T2000" s="9"/>
      <c r="U2000" s="9"/>
      <c r="V2000" s="9"/>
      <c r="W2000" s="9"/>
      <c r="X2000" s="9"/>
      <c r="Y2000" s="7"/>
      <c r="Z2000" s="9"/>
      <c r="AA2000" s="9"/>
      <c r="AB2000" s="9"/>
      <c r="AC2000" s="9"/>
      <c r="AD2000" s="9"/>
      <c r="AE2000" s="9"/>
      <c r="AF2000" s="9"/>
      <c r="AG2000" s="9"/>
      <c r="AH2000" s="9"/>
      <c r="AI2000" s="9"/>
      <c r="AJ2000" s="9"/>
      <c r="AK2000" s="9"/>
      <c r="AL2000" s="9"/>
      <c r="AM2000" s="9"/>
      <c r="AN2000" s="9"/>
      <c r="AO2000" s="9"/>
      <c r="AP2000" s="9"/>
      <c r="AQ2000" s="9"/>
      <c r="AR2000" s="9"/>
      <c r="AS2000" s="9"/>
      <c r="AT2000" s="9"/>
      <c r="AU2000" s="9"/>
      <c r="AV2000" s="9"/>
      <c r="AW2000" s="9"/>
      <c r="AX2000" s="9"/>
      <c r="AY2000" s="9"/>
      <c r="AZ2000" s="9"/>
      <c r="BA2000" s="9"/>
      <c r="BB2000" s="9"/>
      <c r="BC2000" s="9"/>
      <c r="BD2000" s="9"/>
      <c r="BE2000" s="9"/>
      <c r="BF2000" s="9"/>
      <c r="BG2000" s="9"/>
      <c r="BH2000" s="9"/>
      <c r="BI2000" s="9"/>
      <c r="BJ2000" s="9"/>
      <c r="BK2000" s="9"/>
      <c r="BL2000" s="9"/>
      <c r="BM2000" s="9"/>
      <c r="BN2000" s="9"/>
      <c r="BO2000" s="9"/>
      <c r="BP2000" s="9"/>
      <c r="BQ2000" s="9"/>
      <c r="BR2000" s="9"/>
      <c r="BS2000" s="9"/>
      <c r="BT2000" s="9"/>
    </row>
    <row r="2001" spans="1:72" ht="14.25" customHeight="1" x14ac:dyDescent="0.2">
      <c r="B2001" s="193">
        <v>14</v>
      </c>
      <c r="C2001" s="4" t="s">
        <v>6636</v>
      </c>
      <c r="D2001" s="4" t="s">
        <v>6664</v>
      </c>
      <c r="E2001" s="4">
        <v>2523</v>
      </c>
      <c r="F2001" s="188" t="s">
        <v>6665</v>
      </c>
      <c r="G2001" s="4" t="s">
        <v>6666</v>
      </c>
      <c r="H2001" s="4" t="s">
        <v>6667</v>
      </c>
      <c r="I2001" s="4" t="s">
        <v>1664</v>
      </c>
      <c r="J2001" s="4" t="s">
        <v>6645</v>
      </c>
      <c r="K2001" s="4">
        <v>1</v>
      </c>
      <c r="L2001" s="4">
        <v>2926</v>
      </c>
      <c r="M2001" s="9">
        <v>-120.86750000000001</v>
      </c>
      <c r="N2001" s="9">
        <v>52.106833330000001</v>
      </c>
      <c r="O2001" s="9">
        <v>1460</v>
      </c>
      <c r="P2001" s="9" t="s">
        <v>6664</v>
      </c>
      <c r="Q2001" s="70">
        <v>4</v>
      </c>
      <c r="R2001" s="9" t="s">
        <v>6665</v>
      </c>
      <c r="S2001" s="9" t="s">
        <v>6646</v>
      </c>
      <c r="U2001"/>
      <c r="Y2001" s="260"/>
    </row>
    <row r="2002" spans="1:72" ht="14.25" customHeight="1" x14ac:dyDescent="0.2">
      <c r="B2002" s="193">
        <v>14</v>
      </c>
      <c r="C2002" s="4" t="s">
        <v>6636</v>
      </c>
      <c r="D2002" s="4" t="s">
        <v>6668</v>
      </c>
      <c r="E2002" s="4">
        <v>2528</v>
      </c>
      <c r="F2002" s="4" t="s">
        <v>6669</v>
      </c>
      <c r="G2002" s="188" t="s">
        <v>6670</v>
      </c>
      <c r="H2002" s="4" t="s">
        <v>6671</v>
      </c>
      <c r="I2002" s="4" t="s">
        <v>1664</v>
      </c>
      <c r="J2002" s="4" t="s">
        <v>6672</v>
      </c>
      <c r="K2002" s="4">
        <v>1</v>
      </c>
      <c r="L2002" s="4">
        <v>2931</v>
      </c>
      <c r="U2002"/>
      <c r="Y2002" s="260"/>
    </row>
    <row r="2003" spans="1:72" ht="14.25" customHeight="1" x14ac:dyDescent="0.2">
      <c r="B2003" s="193">
        <v>14</v>
      </c>
      <c r="C2003" s="4" t="s">
        <v>6636</v>
      </c>
      <c r="D2003" s="4" t="s">
        <v>6673</v>
      </c>
      <c r="E2003" s="4">
        <v>2527</v>
      </c>
      <c r="F2003" s="4" t="s">
        <v>6674</v>
      </c>
      <c r="G2003" s="4" t="s">
        <v>6675</v>
      </c>
      <c r="H2003" s="4" t="s">
        <v>6676</v>
      </c>
      <c r="I2003" s="4" t="s">
        <v>1664</v>
      </c>
      <c r="J2003" s="4" t="s">
        <v>6677</v>
      </c>
      <c r="K2003" s="4">
        <v>1</v>
      </c>
      <c r="L2003" s="4">
        <v>2930</v>
      </c>
      <c r="U2003"/>
      <c r="Y2003" s="260"/>
    </row>
    <row r="2004" spans="1:72" ht="14.25" customHeight="1" x14ac:dyDescent="0.2">
      <c r="B2004" s="193">
        <v>14</v>
      </c>
      <c r="C2004" s="4" t="s">
        <v>6636</v>
      </c>
      <c r="D2004" s="4" t="s">
        <v>6678</v>
      </c>
      <c r="E2004" s="4">
        <v>2555</v>
      </c>
      <c r="F2004" s="4" t="s">
        <v>956</v>
      </c>
      <c r="G2004" s="4" t="s">
        <v>6679</v>
      </c>
      <c r="H2004" s="4" t="s">
        <v>6654</v>
      </c>
      <c r="I2004" s="4" t="s">
        <v>1664</v>
      </c>
      <c r="J2004" s="4" t="s">
        <v>5996</v>
      </c>
      <c r="K2004" s="4">
        <v>1</v>
      </c>
      <c r="L2004" s="4">
        <v>2958</v>
      </c>
      <c r="M2004" s="9">
        <v>-119.9821111</v>
      </c>
      <c r="N2004" s="9">
        <v>49.862361110000002</v>
      </c>
      <c r="O2004" s="9">
        <v>1460</v>
      </c>
      <c r="P2004" s="9" t="s">
        <v>6678</v>
      </c>
      <c r="Q2004" s="70">
        <v>6</v>
      </c>
      <c r="R2004" s="9" t="s">
        <v>6095</v>
      </c>
      <c r="S2004" s="9" t="s">
        <v>6646</v>
      </c>
      <c r="U2004"/>
      <c r="Y2004" s="260"/>
    </row>
    <row r="2005" spans="1:72" ht="14.25" customHeight="1" x14ac:dyDescent="0.2">
      <c r="B2005" s="193">
        <v>14</v>
      </c>
      <c r="C2005" s="4" t="s">
        <v>6636</v>
      </c>
      <c r="D2005" s="4" t="s">
        <v>6680</v>
      </c>
      <c r="E2005" s="4">
        <v>2564</v>
      </c>
      <c r="F2005" s="4" t="s">
        <v>6681</v>
      </c>
      <c r="G2005" s="4" t="s">
        <v>6682</v>
      </c>
      <c r="H2005" s="4" t="s">
        <v>6683</v>
      </c>
      <c r="I2005" s="4" t="s">
        <v>1664</v>
      </c>
      <c r="J2005" s="4" t="s">
        <v>6645</v>
      </c>
      <c r="K2005" s="4">
        <v>1</v>
      </c>
      <c r="L2005" s="4">
        <v>2967</v>
      </c>
      <c r="M2005" s="9">
        <v>-126.248</v>
      </c>
      <c r="N2005" s="9">
        <v>52.481000000000002</v>
      </c>
      <c r="O2005" s="9">
        <v>1330</v>
      </c>
      <c r="P2005" s="9" t="s">
        <v>6680</v>
      </c>
      <c r="Q2005" s="70">
        <v>7</v>
      </c>
      <c r="R2005" s="9" t="s">
        <v>6681</v>
      </c>
      <c r="S2005" s="9" t="s">
        <v>6646</v>
      </c>
      <c r="U2005"/>
      <c r="Y2005" s="260"/>
    </row>
    <row r="2006" spans="1:72" ht="14.25" customHeight="1" x14ac:dyDescent="0.2">
      <c r="A2006" s="9"/>
      <c r="B2006" s="6">
        <v>14</v>
      </c>
      <c r="C2006" s="9" t="s">
        <v>6636</v>
      </c>
      <c r="D2006" s="9" t="s">
        <v>6684</v>
      </c>
      <c r="E2006" s="9">
        <v>2574</v>
      </c>
      <c r="F2006" s="9" t="s">
        <v>6685</v>
      </c>
      <c r="G2006" s="203" t="s">
        <v>6686</v>
      </c>
      <c r="H2006" s="4" t="s">
        <v>6687</v>
      </c>
      <c r="I2006" s="4" t="s">
        <v>1664</v>
      </c>
      <c r="J2006" s="4" t="s">
        <v>6645</v>
      </c>
      <c r="K2006" s="4">
        <v>1</v>
      </c>
      <c r="L2006" s="4">
        <v>2977</v>
      </c>
      <c r="M2006" s="9"/>
      <c r="N2006" s="9"/>
      <c r="O2006" s="9"/>
      <c r="P2006" s="9"/>
      <c r="Q2006" s="9"/>
      <c r="R2006" s="9"/>
      <c r="S2006" s="9"/>
      <c r="T2006" s="9"/>
      <c r="U2006" s="9"/>
      <c r="V2006" s="9"/>
      <c r="W2006" s="9"/>
      <c r="X2006" s="9"/>
      <c r="Y2006" s="7"/>
      <c r="Z2006" s="9"/>
      <c r="AA2006" s="9"/>
      <c r="AB2006" s="9"/>
      <c r="AC2006" s="9"/>
      <c r="AD2006" s="9"/>
      <c r="AE2006" s="9"/>
      <c r="AF2006" s="9"/>
      <c r="AG2006" s="9"/>
      <c r="AH2006" s="9"/>
      <c r="AI2006" s="9"/>
      <c r="AJ2006" s="9"/>
      <c r="AK2006" s="9"/>
      <c r="AL2006" s="9"/>
      <c r="AM2006" s="9"/>
      <c r="AN2006" s="9"/>
      <c r="AO2006" s="9"/>
      <c r="AP2006" s="9"/>
      <c r="AQ2006" s="9"/>
      <c r="AR2006" s="9"/>
      <c r="AS2006" s="9"/>
      <c r="AT2006" s="9"/>
      <c r="AU2006" s="9"/>
      <c r="AV2006" s="9"/>
      <c r="AW2006" s="9"/>
      <c r="AX2006" s="9"/>
      <c r="AY2006" s="9"/>
      <c r="AZ2006" s="9"/>
      <c r="BA2006" s="9"/>
      <c r="BB2006" s="9"/>
      <c r="BC2006" s="9"/>
      <c r="BD2006" s="9"/>
      <c r="BE2006" s="9"/>
      <c r="BF2006" s="9"/>
      <c r="BG2006" s="9"/>
      <c r="BH2006" s="9"/>
      <c r="BI2006" s="9"/>
      <c r="BJ2006" s="9"/>
      <c r="BK2006" s="9"/>
      <c r="BL2006" s="9"/>
      <c r="BM2006" s="9"/>
      <c r="BN2006" s="9"/>
      <c r="BO2006" s="9"/>
      <c r="BP2006" s="9"/>
      <c r="BQ2006" s="9"/>
      <c r="BR2006" s="9"/>
      <c r="BS2006" s="9"/>
      <c r="BT2006" s="9"/>
    </row>
    <row r="2007" spans="1:72" ht="14.25" customHeight="1" x14ac:dyDescent="0.2">
      <c r="B2007" s="193">
        <v>14</v>
      </c>
      <c r="C2007" s="4" t="s">
        <v>6636</v>
      </c>
      <c r="D2007" s="4" t="s">
        <v>6688</v>
      </c>
      <c r="E2007" s="4">
        <v>2540</v>
      </c>
      <c r="F2007" s="201" t="s">
        <v>6689</v>
      </c>
      <c r="G2007" s="4" t="s">
        <v>6690</v>
      </c>
      <c r="H2007" s="4" t="s">
        <v>6691</v>
      </c>
      <c r="I2007" s="4" t="s">
        <v>1664</v>
      </c>
      <c r="J2007" s="4" t="s">
        <v>6692</v>
      </c>
      <c r="K2007" s="4">
        <v>1</v>
      </c>
      <c r="L2007" s="4">
        <v>2943</v>
      </c>
      <c r="M2007" s="9">
        <v>-118.9856944</v>
      </c>
      <c r="N2007" s="9">
        <v>51.406111109999998</v>
      </c>
      <c r="O2007" s="9">
        <v>1525</v>
      </c>
      <c r="P2007" s="9" t="s">
        <v>6688</v>
      </c>
      <c r="Q2007" s="70">
        <v>4</v>
      </c>
      <c r="R2007" s="9" t="s">
        <v>6693</v>
      </c>
      <c r="S2007" s="9" t="s">
        <v>6646</v>
      </c>
      <c r="U2007"/>
      <c r="Y2007" s="260"/>
    </row>
    <row r="2008" spans="1:72" ht="14.25" customHeight="1" x14ac:dyDescent="0.2">
      <c r="B2008" s="193">
        <v>14</v>
      </c>
      <c r="C2008" s="4" t="s">
        <v>6636</v>
      </c>
      <c r="D2008" s="4" t="s">
        <v>6694</v>
      </c>
      <c r="E2008" s="4">
        <v>2531</v>
      </c>
      <c r="F2008" s="4" t="s">
        <v>6695</v>
      </c>
      <c r="G2008" s="4" t="s">
        <v>6696</v>
      </c>
      <c r="H2008" s="4" t="s">
        <v>6697</v>
      </c>
      <c r="I2008" s="4" t="s">
        <v>1664</v>
      </c>
      <c r="J2008" s="4" t="s">
        <v>6645</v>
      </c>
      <c r="K2008" s="4">
        <v>1</v>
      </c>
      <c r="L2008" s="4">
        <v>2934</v>
      </c>
      <c r="M2008" s="9">
        <v>-121.71250000000001</v>
      </c>
      <c r="N2008" s="9">
        <v>49.03166667</v>
      </c>
      <c r="O2008" s="9">
        <v>1600</v>
      </c>
      <c r="P2008" s="9" t="s">
        <v>6694</v>
      </c>
      <c r="Q2008" s="70">
        <v>7</v>
      </c>
      <c r="R2008" s="9" t="s">
        <v>6695</v>
      </c>
      <c r="S2008" s="9" t="s">
        <v>6646</v>
      </c>
      <c r="U2008"/>
      <c r="Y2008" s="260"/>
    </row>
    <row r="2009" spans="1:72" ht="14.25" customHeight="1" x14ac:dyDescent="0.2">
      <c r="B2009" s="193">
        <v>14</v>
      </c>
      <c r="C2009" s="188" t="s">
        <v>6636</v>
      </c>
      <c r="D2009" s="188" t="s">
        <v>6698</v>
      </c>
      <c r="E2009" s="4">
        <v>2538</v>
      </c>
      <c r="F2009" s="203" t="s">
        <v>6699</v>
      </c>
      <c r="G2009" s="188" t="s">
        <v>6700</v>
      </c>
      <c r="H2009" s="4" t="s">
        <v>6701</v>
      </c>
      <c r="I2009" s="4" t="s">
        <v>1664</v>
      </c>
      <c r="J2009" s="4" t="s">
        <v>6645</v>
      </c>
      <c r="K2009" s="4">
        <v>1</v>
      </c>
      <c r="L2009" s="4">
        <v>2941</v>
      </c>
      <c r="M2009" s="9">
        <v>-119.30363199999999</v>
      </c>
      <c r="N2009" s="9">
        <v>52.167819999999999</v>
      </c>
      <c r="O2009" s="9">
        <v>1280</v>
      </c>
      <c r="P2009" s="9" t="s">
        <v>6698</v>
      </c>
      <c r="Q2009" s="70">
        <v>3</v>
      </c>
      <c r="R2009" s="9" t="s">
        <v>6699</v>
      </c>
      <c r="S2009" s="9" t="s">
        <v>6646</v>
      </c>
      <c r="T2009" s="9"/>
      <c r="U2009" s="9"/>
      <c r="V2009" s="9"/>
      <c r="W2009" s="9"/>
      <c r="X2009" s="9"/>
      <c r="Y2009" s="7"/>
      <c r="Z2009" s="9"/>
      <c r="AA2009" s="9"/>
      <c r="AB2009" s="9"/>
      <c r="AC2009" s="9"/>
      <c r="AD2009" s="9"/>
      <c r="AE2009" s="9"/>
      <c r="AF2009" s="9"/>
      <c r="AG2009" s="9"/>
      <c r="AH2009" s="9"/>
      <c r="AI2009" s="9"/>
      <c r="AJ2009" s="9"/>
      <c r="AK2009" s="9"/>
      <c r="AL2009" s="9"/>
      <c r="AM2009" s="9"/>
      <c r="AN2009" s="9"/>
      <c r="AO2009" s="9"/>
      <c r="AP2009" s="9"/>
      <c r="AQ2009" s="9"/>
      <c r="AR2009" s="9"/>
      <c r="AS2009" s="9"/>
      <c r="AT2009" s="9"/>
      <c r="AU2009" s="9"/>
      <c r="AV2009" s="9"/>
      <c r="AW2009" s="9"/>
      <c r="AX2009" s="9"/>
      <c r="AY2009" s="9"/>
      <c r="AZ2009" s="9"/>
      <c r="BA2009" s="9"/>
      <c r="BB2009" s="9"/>
      <c r="BC2009" s="9"/>
      <c r="BD2009" s="9"/>
      <c r="BE2009" s="9"/>
      <c r="BF2009" s="9"/>
      <c r="BG2009" s="9"/>
      <c r="BH2009" s="9"/>
      <c r="BI2009" s="9"/>
      <c r="BJ2009" s="9"/>
      <c r="BK2009" s="9"/>
      <c r="BL2009" s="9"/>
      <c r="BM2009" s="9"/>
      <c r="BN2009" s="9"/>
      <c r="BO2009" s="9"/>
      <c r="BP2009" s="9"/>
      <c r="BQ2009" s="9"/>
      <c r="BR2009" s="9"/>
      <c r="BS2009" s="9"/>
      <c r="BT2009" s="9"/>
    </row>
    <row r="2010" spans="1:72" ht="14.25" customHeight="1" x14ac:dyDescent="0.2">
      <c r="B2010" s="193">
        <v>14</v>
      </c>
      <c r="C2010" s="4" t="s">
        <v>6636</v>
      </c>
      <c r="D2010" s="4" t="s">
        <v>6702</v>
      </c>
      <c r="E2010" s="4">
        <v>2575</v>
      </c>
      <c r="F2010" s="9" t="s">
        <v>6703</v>
      </c>
      <c r="G2010" s="188" t="s">
        <v>6704</v>
      </c>
      <c r="H2010" s="4" t="s">
        <v>6705</v>
      </c>
      <c r="I2010" s="4" t="s">
        <v>1664</v>
      </c>
      <c r="J2010" s="4" t="s">
        <v>6706</v>
      </c>
      <c r="K2010" s="4">
        <v>1</v>
      </c>
      <c r="L2010" s="4">
        <v>2978</v>
      </c>
      <c r="M2010" s="9"/>
      <c r="N2010" s="9"/>
      <c r="O2010" s="9"/>
      <c r="P2010" s="9"/>
      <c r="Q2010" s="9"/>
      <c r="R2010" s="9"/>
      <c r="S2010" s="9"/>
      <c r="T2010" s="9"/>
      <c r="U2010" s="9"/>
      <c r="V2010" s="9"/>
      <c r="W2010" s="9"/>
      <c r="X2010" s="9"/>
      <c r="Y2010" s="7"/>
      <c r="Z2010" s="9"/>
      <c r="AA2010" s="9"/>
      <c r="AB2010" s="9"/>
      <c r="AC2010" s="9"/>
      <c r="AD2010" s="9"/>
      <c r="AE2010" s="9"/>
      <c r="AF2010" s="9"/>
      <c r="AG2010" s="9"/>
      <c r="AH2010" s="9"/>
      <c r="AI2010" s="9"/>
      <c r="AJ2010" s="9"/>
      <c r="AK2010" s="9"/>
      <c r="AL2010" s="9"/>
      <c r="AM2010" s="9"/>
      <c r="AN2010" s="9"/>
      <c r="AO2010" s="9"/>
      <c r="AP2010" s="9"/>
      <c r="AQ2010" s="9"/>
      <c r="AR2010" s="9"/>
      <c r="AS2010" s="9"/>
      <c r="AT2010" s="9"/>
      <c r="AU2010" s="9"/>
      <c r="AV2010" s="9"/>
      <c r="AW2010" s="9"/>
      <c r="AX2010" s="9"/>
      <c r="AY2010" s="9"/>
      <c r="AZ2010" s="9"/>
      <c r="BA2010" s="9"/>
      <c r="BB2010" s="9"/>
      <c r="BC2010" s="9"/>
      <c r="BD2010" s="9"/>
      <c r="BE2010" s="9"/>
      <c r="BF2010" s="9"/>
      <c r="BG2010" s="9"/>
      <c r="BH2010" s="9"/>
      <c r="BI2010" s="9"/>
      <c r="BJ2010" s="9"/>
      <c r="BK2010" s="9"/>
      <c r="BL2010" s="9"/>
      <c r="BM2010" s="9"/>
      <c r="BN2010" s="9"/>
      <c r="BO2010" s="9"/>
      <c r="BP2010" s="9"/>
      <c r="BQ2010" s="9"/>
      <c r="BR2010" s="9"/>
      <c r="BS2010" s="9"/>
      <c r="BT2010" s="9"/>
    </row>
    <row r="2011" spans="1:72" ht="14.25" customHeight="1" x14ac:dyDescent="0.2">
      <c r="B2011" s="193">
        <v>14</v>
      </c>
      <c r="C2011" s="188" t="s">
        <v>6636</v>
      </c>
      <c r="D2011" s="188" t="s">
        <v>6712</v>
      </c>
      <c r="E2011" s="4">
        <v>2517</v>
      </c>
      <c r="F2011" s="203" t="s">
        <v>6713</v>
      </c>
      <c r="G2011" s="188" t="s">
        <v>6714</v>
      </c>
      <c r="H2011" s="4" t="s">
        <v>6715</v>
      </c>
      <c r="I2011" s="4" t="s">
        <v>1664</v>
      </c>
      <c r="J2011" s="4" t="s">
        <v>6692</v>
      </c>
      <c r="K2011" s="4">
        <v>1</v>
      </c>
      <c r="L2011" s="4">
        <v>2920</v>
      </c>
      <c r="M2011" s="9">
        <v>-121.0244167</v>
      </c>
      <c r="N2011" s="9">
        <v>53.622083330000002</v>
      </c>
      <c r="O2011" s="9">
        <v>1820</v>
      </c>
      <c r="P2011" s="9" t="s">
        <v>6712</v>
      </c>
      <c r="Q2011" s="70">
        <v>6</v>
      </c>
      <c r="R2011" s="9" t="s">
        <v>6713</v>
      </c>
      <c r="S2011" s="9" t="s">
        <v>6646</v>
      </c>
      <c r="T2011" s="9"/>
      <c r="U2011" s="9"/>
      <c r="V2011" s="9"/>
      <c r="W2011" s="9"/>
      <c r="X2011" s="9"/>
      <c r="Y2011" s="7"/>
      <c r="Z2011" s="9"/>
      <c r="AA2011" s="9"/>
      <c r="AB2011" s="9"/>
      <c r="AC2011" s="9"/>
      <c r="AD2011" s="9"/>
      <c r="AE2011" s="9"/>
      <c r="AF2011" s="9"/>
      <c r="AG2011" s="9"/>
      <c r="AH2011" s="9"/>
      <c r="AI2011" s="9"/>
      <c r="AJ2011" s="9"/>
      <c r="AK2011" s="9"/>
      <c r="AL2011" s="9"/>
      <c r="AM2011" s="9"/>
      <c r="AN2011" s="9"/>
      <c r="AO2011" s="9"/>
      <c r="AP2011" s="9"/>
      <c r="AQ2011" s="9"/>
      <c r="AR2011" s="9"/>
      <c r="AS2011" s="9"/>
      <c r="AT2011" s="9"/>
      <c r="AU2011" s="9"/>
      <c r="AV2011" s="9"/>
      <c r="AW2011" s="9"/>
      <c r="AX2011" s="9"/>
      <c r="AY2011" s="9"/>
      <c r="AZ2011" s="9"/>
      <c r="BA2011" s="9"/>
      <c r="BB2011" s="9"/>
      <c r="BC2011" s="9"/>
      <c r="BD2011" s="9"/>
      <c r="BE2011" s="9"/>
      <c r="BF2011" s="9"/>
      <c r="BG2011" s="9"/>
      <c r="BH2011" s="9"/>
      <c r="BI2011" s="9"/>
      <c r="BJ2011" s="9"/>
      <c r="BK2011" s="9"/>
      <c r="BL2011" s="9"/>
      <c r="BM2011" s="9"/>
      <c r="BN2011" s="9"/>
      <c r="BO2011" s="9"/>
      <c r="BP2011" s="9"/>
      <c r="BQ2011" s="9"/>
      <c r="BR2011" s="9"/>
      <c r="BS2011" s="9"/>
      <c r="BT2011" s="9"/>
    </row>
    <row r="2012" spans="1:72" ht="14.25" customHeight="1" x14ac:dyDescent="0.2">
      <c r="B2012" s="193">
        <v>14</v>
      </c>
      <c r="C2012" s="4" t="s">
        <v>6636</v>
      </c>
      <c r="D2012" s="4" t="s">
        <v>6716</v>
      </c>
      <c r="E2012" s="4">
        <v>2544</v>
      </c>
      <c r="F2012" s="4" t="s">
        <v>6717</v>
      </c>
      <c r="G2012" s="188" t="s">
        <v>6718</v>
      </c>
      <c r="H2012" s="4" t="s">
        <v>6719</v>
      </c>
      <c r="I2012" s="4" t="s">
        <v>1664</v>
      </c>
      <c r="J2012" s="4" t="s">
        <v>6720</v>
      </c>
      <c r="K2012" s="4">
        <v>1</v>
      </c>
      <c r="L2012" s="4">
        <v>2947</v>
      </c>
      <c r="U2012"/>
      <c r="Y2012" s="260"/>
    </row>
    <row r="2013" spans="1:72" ht="14.25" customHeight="1" x14ac:dyDescent="0.2">
      <c r="B2013" s="193">
        <v>14</v>
      </c>
      <c r="C2013" s="4" t="s">
        <v>6636</v>
      </c>
      <c r="D2013" s="4" t="s">
        <v>6724</v>
      </c>
      <c r="E2013" s="4">
        <v>12498</v>
      </c>
      <c r="F2013" s="188" t="s">
        <v>6725</v>
      </c>
      <c r="G2013" s="188" t="s">
        <v>6726</v>
      </c>
      <c r="H2013" s="4" t="s">
        <v>6727</v>
      </c>
      <c r="I2013" s="4" t="s">
        <v>49</v>
      </c>
      <c r="J2013" s="4" t="s">
        <v>6728</v>
      </c>
      <c r="K2013" s="4">
        <v>1</v>
      </c>
      <c r="L2013" s="4">
        <v>14520</v>
      </c>
      <c r="M2013" s="9">
        <v>-118.943556</v>
      </c>
      <c r="N2013" s="9">
        <v>50.652472000000003</v>
      </c>
      <c r="O2013" s="9">
        <v>1950</v>
      </c>
      <c r="P2013" s="203" t="s">
        <v>6724</v>
      </c>
      <c r="Q2013" s="70">
        <v>7</v>
      </c>
      <c r="R2013" s="9" t="s">
        <v>6725</v>
      </c>
      <c r="S2013" s="9" t="s">
        <v>6646</v>
      </c>
      <c r="U2013"/>
      <c r="Y2013" s="260"/>
    </row>
    <row r="2014" spans="1:72" ht="14.25" customHeight="1" x14ac:dyDescent="0.2">
      <c r="B2014" s="193">
        <v>14</v>
      </c>
      <c r="C2014" s="4" t="s">
        <v>6636</v>
      </c>
      <c r="D2014" s="4" t="s">
        <v>6729</v>
      </c>
      <c r="E2014" s="4">
        <v>2542</v>
      </c>
      <c r="F2014" s="4" t="s">
        <v>6730</v>
      </c>
      <c r="G2014" s="188" t="s">
        <v>6731</v>
      </c>
      <c r="H2014" s="4" t="s">
        <v>6732</v>
      </c>
      <c r="I2014" s="4" t="s">
        <v>1664</v>
      </c>
      <c r="J2014" s="4" t="s">
        <v>6733</v>
      </c>
      <c r="K2014" s="4">
        <v>1</v>
      </c>
      <c r="L2014" s="4">
        <v>2945</v>
      </c>
      <c r="U2014"/>
      <c r="Y2014" s="260"/>
    </row>
    <row r="2015" spans="1:72" ht="14.25" customHeight="1" x14ac:dyDescent="0.2">
      <c r="B2015" s="193">
        <v>14</v>
      </c>
      <c r="C2015" s="4" t="s">
        <v>6636</v>
      </c>
      <c r="D2015" s="4" t="s">
        <v>6734</v>
      </c>
      <c r="E2015" s="4">
        <v>2559</v>
      </c>
      <c r="F2015" s="4" t="s">
        <v>6735</v>
      </c>
      <c r="G2015" s="188" t="s">
        <v>6736</v>
      </c>
      <c r="H2015" s="4" t="s">
        <v>6737</v>
      </c>
      <c r="I2015" s="4" t="s">
        <v>1664</v>
      </c>
      <c r="J2015" s="4" t="s">
        <v>6738</v>
      </c>
      <c r="K2015" s="4">
        <v>1</v>
      </c>
      <c r="L2015" s="4">
        <v>2962</v>
      </c>
      <c r="U2015"/>
      <c r="Y2015" s="260"/>
    </row>
    <row r="2016" spans="1:72" ht="14.25" customHeight="1" x14ac:dyDescent="0.2">
      <c r="B2016" s="193">
        <v>14</v>
      </c>
      <c r="C2016" s="4" t="s">
        <v>6636</v>
      </c>
      <c r="D2016" s="4" t="s">
        <v>6739</v>
      </c>
      <c r="E2016" s="4">
        <v>2550</v>
      </c>
      <c r="F2016" s="9" t="s">
        <v>6279</v>
      </c>
      <c r="G2016" s="4" t="s">
        <v>6740</v>
      </c>
      <c r="H2016" s="4" t="s">
        <v>6654</v>
      </c>
      <c r="I2016" s="4" t="s">
        <v>1664</v>
      </c>
      <c r="J2016" s="4" t="s">
        <v>5996</v>
      </c>
      <c r="K2016" s="4">
        <v>1</v>
      </c>
      <c r="L2016" s="4">
        <v>2953</v>
      </c>
      <c r="U2016"/>
      <c r="V2016" s="9"/>
      <c r="W2016" s="9"/>
      <c r="X2016" s="9"/>
      <c r="Y2016" s="7"/>
      <c r="Z2016" s="9"/>
      <c r="AA2016" s="9"/>
      <c r="AB2016" s="9"/>
      <c r="AC2016" s="9"/>
      <c r="AD2016" s="9"/>
      <c r="AE2016" s="9"/>
      <c r="AF2016" s="9"/>
      <c r="AG2016" s="9"/>
      <c r="AH2016" s="9"/>
      <c r="AI2016" s="9"/>
      <c r="AJ2016" s="9"/>
      <c r="AK2016" s="9"/>
      <c r="AL2016" s="9"/>
      <c r="AM2016" s="9"/>
      <c r="AN2016" s="9"/>
      <c r="AO2016" s="9"/>
      <c r="AP2016" s="9"/>
      <c r="AQ2016" s="9"/>
      <c r="AR2016" s="9"/>
      <c r="AS2016" s="9"/>
      <c r="AT2016" s="9"/>
      <c r="AU2016" s="9"/>
      <c r="AV2016" s="9"/>
      <c r="AW2016" s="9"/>
      <c r="AX2016" s="9"/>
      <c r="AY2016" s="9"/>
      <c r="AZ2016" s="9"/>
      <c r="BA2016" s="9"/>
      <c r="BB2016" s="9"/>
      <c r="BC2016" s="9"/>
      <c r="BD2016" s="9"/>
      <c r="BE2016" s="9"/>
      <c r="BF2016" s="9"/>
      <c r="BG2016" s="9"/>
      <c r="BH2016" s="9"/>
      <c r="BI2016" s="9"/>
      <c r="BJ2016" s="9"/>
      <c r="BK2016" s="9"/>
      <c r="BL2016" s="9"/>
      <c r="BM2016" s="9"/>
      <c r="BN2016" s="9"/>
      <c r="BO2016" s="9"/>
      <c r="BP2016" s="9"/>
      <c r="BQ2016" s="9"/>
      <c r="BR2016" s="9"/>
      <c r="BS2016" s="9"/>
      <c r="BT2016" s="9"/>
    </row>
    <row r="2017" spans="2:72" ht="14.25" customHeight="1" x14ac:dyDescent="0.2">
      <c r="B2017" s="193">
        <v>14</v>
      </c>
      <c r="C2017" s="4" t="s">
        <v>6636</v>
      </c>
      <c r="D2017" s="4" t="s">
        <v>6741</v>
      </c>
      <c r="E2017" s="4">
        <v>2578</v>
      </c>
      <c r="F2017" s="9" t="s">
        <v>6742</v>
      </c>
      <c r="G2017" s="4" t="s">
        <v>6743</v>
      </c>
      <c r="H2017" s="4" t="s">
        <v>6744</v>
      </c>
      <c r="I2017" s="4" t="s">
        <v>1664</v>
      </c>
      <c r="J2017" s="4" t="s">
        <v>6738</v>
      </c>
      <c r="K2017" s="4">
        <v>1</v>
      </c>
      <c r="L2017" s="4">
        <v>2981</v>
      </c>
      <c r="U2017"/>
      <c r="V2017" s="9"/>
      <c r="W2017" s="9"/>
      <c r="X2017" s="9"/>
      <c r="Y2017" s="7"/>
      <c r="Z2017" s="9"/>
      <c r="AA2017" s="9"/>
      <c r="AB2017" s="9"/>
      <c r="AC2017" s="9"/>
      <c r="AD2017" s="9"/>
      <c r="AE2017" s="9"/>
      <c r="AF2017" s="9"/>
      <c r="AG2017" s="9"/>
      <c r="AH2017" s="9"/>
      <c r="AI2017" s="9"/>
      <c r="AJ2017" s="9"/>
      <c r="AK2017" s="9"/>
      <c r="AL2017" s="9"/>
      <c r="AM2017" s="9"/>
      <c r="AN2017" s="9"/>
      <c r="AO2017" s="9"/>
      <c r="AP2017" s="9"/>
      <c r="AQ2017" s="9"/>
      <c r="AR2017" s="9"/>
      <c r="AS2017" s="9"/>
      <c r="AT2017" s="9"/>
      <c r="AU2017" s="9"/>
      <c r="AV2017" s="9"/>
      <c r="AW2017" s="9"/>
      <c r="AX2017" s="9"/>
      <c r="AY2017" s="9"/>
      <c r="AZ2017" s="9"/>
      <c r="BA2017" s="9"/>
      <c r="BB2017" s="9"/>
      <c r="BC2017" s="9"/>
      <c r="BD2017" s="9"/>
      <c r="BE2017" s="9"/>
      <c r="BF2017" s="9"/>
      <c r="BG2017" s="9"/>
      <c r="BH2017" s="9"/>
      <c r="BI2017" s="9"/>
      <c r="BJ2017" s="9"/>
      <c r="BK2017" s="9"/>
      <c r="BL2017" s="9"/>
      <c r="BM2017" s="9"/>
      <c r="BN2017" s="9"/>
      <c r="BO2017" s="9"/>
      <c r="BP2017" s="9"/>
      <c r="BQ2017" s="9"/>
      <c r="BR2017" s="9"/>
      <c r="BS2017" s="9"/>
      <c r="BT2017" s="9"/>
    </row>
    <row r="2018" spans="2:72" ht="14.25" customHeight="1" x14ac:dyDescent="0.2">
      <c r="B2018" s="193">
        <v>14</v>
      </c>
      <c r="C2018" s="4" t="s">
        <v>6636</v>
      </c>
      <c r="D2018" s="4" t="s">
        <v>6745</v>
      </c>
      <c r="E2018" s="4">
        <v>2577</v>
      </c>
      <c r="F2018" s="4" t="s">
        <v>6746</v>
      </c>
      <c r="G2018" s="188" t="s">
        <v>6747</v>
      </c>
      <c r="H2018" s="4" t="s">
        <v>6748</v>
      </c>
      <c r="I2018" s="4" t="s">
        <v>1664</v>
      </c>
      <c r="J2018" s="4" t="s">
        <v>6738</v>
      </c>
      <c r="K2018" s="4">
        <v>1</v>
      </c>
      <c r="L2018" s="4">
        <v>2980</v>
      </c>
      <c r="U2018"/>
      <c r="Y2018" s="260"/>
    </row>
    <row r="2019" spans="2:72" ht="14.25" customHeight="1" x14ac:dyDescent="0.2">
      <c r="B2019" s="193">
        <v>14</v>
      </c>
      <c r="C2019" s="4" t="s">
        <v>6636</v>
      </c>
      <c r="D2019" s="4" t="s">
        <v>6749</v>
      </c>
      <c r="E2019" s="4">
        <v>2570</v>
      </c>
      <c r="F2019" s="4" t="s">
        <v>6750</v>
      </c>
      <c r="G2019" s="188" t="s">
        <v>6751</v>
      </c>
      <c r="H2019" s="4" t="s">
        <v>6752</v>
      </c>
      <c r="I2019" s="4" t="s">
        <v>1664</v>
      </c>
      <c r="J2019" s="4" t="s">
        <v>6753</v>
      </c>
      <c r="K2019" s="4">
        <v>1</v>
      </c>
      <c r="L2019" s="4">
        <v>2973</v>
      </c>
      <c r="M2019" s="9"/>
      <c r="N2019" s="9"/>
      <c r="O2019" s="9"/>
      <c r="R2019" s="9"/>
      <c r="U2019"/>
      <c r="Y2019" s="260"/>
    </row>
    <row r="2020" spans="2:72" ht="14.25" customHeight="1" x14ac:dyDescent="0.2">
      <c r="B2020" s="193">
        <v>14</v>
      </c>
      <c r="C2020" s="4" t="s">
        <v>6636</v>
      </c>
      <c r="D2020" s="4" t="s">
        <v>6754</v>
      </c>
      <c r="E2020" s="4">
        <v>2553</v>
      </c>
      <c r="F2020" s="4" t="s">
        <v>6755</v>
      </c>
      <c r="G2020" s="188" t="s">
        <v>6756</v>
      </c>
      <c r="H2020" s="4" t="s">
        <v>6757</v>
      </c>
      <c r="I2020" s="4" t="s">
        <v>1664</v>
      </c>
      <c r="J2020" s="4" t="s">
        <v>6645</v>
      </c>
      <c r="K2020" s="4">
        <v>1</v>
      </c>
      <c r="L2020" s="4">
        <v>2956</v>
      </c>
      <c r="M2020" s="9">
        <v>-118.6776667</v>
      </c>
      <c r="N2020" s="9">
        <v>49.550666669999998</v>
      </c>
      <c r="O2020" s="9">
        <v>1860</v>
      </c>
      <c r="P2020" s="9" t="s">
        <v>6754</v>
      </c>
      <c r="Q2020" s="70">
        <v>6</v>
      </c>
      <c r="R2020" s="9" t="s">
        <v>6755</v>
      </c>
      <c r="S2020" s="9" t="s">
        <v>6646</v>
      </c>
      <c r="U2020"/>
      <c r="Y2020" s="260"/>
    </row>
    <row r="2021" spans="2:72" ht="14.25" customHeight="1" x14ac:dyDescent="0.2">
      <c r="B2021" s="193">
        <v>14</v>
      </c>
      <c r="C2021" s="188" t="s">
        <v>6636</v>
      </c>
      <c r="D2021" s="188" t="s">
        <v>6758</v>
      </c>
      <c r="E2021" s="4">
        <v>2530</v>
      </c>
      <c r="F2021" s="188" t="s">
        <v>868</v>
      </c>
      <c r="G2021" s="188" t="s">
        <v>6759</v>
      </c>
      <c r="H2021" s="4" t="s">
        <v>6760</v>
      </c>
      <c r="I2021" s="4" t="s">
        <v>1664</v>
      </c>
      <c r="J2021" s="4" t="s">
        <v>6761</v>
      </c>
      <c r="K2021" s="4">
        <v>1</v>
      </c>
      <c r="L2021" s="4">
        <v>2933</v>
      </c>
      <c r="U2021"/>
      <c r="Y2021" s="260"/>
    </row>
    <row r="2022" spans="2:72" ht="14.25" customHeight="1" x14ac:dyDescent="0.2">
      <c r="B2022" s="193">
        <v>14</v>
      </c>
      <c r="C2022" s="188" t="s">
        <v>6636</v>
      </c>
      <c r="D2022" s="188" t="s">
        <v>6765</v>
      </c>
      <c r="E2022" s="4">
        <v>12499</v>
      </c>
      <c r="F2022" s="188" t="s">
        <v>6766</v>
      </c>
      <c r="G2022" s="188" t="s">
        <v>6767</v>
      </c>
      <c r="H2022" s="4" t="s">
        <v>6727</v>
      </c>
      <c r="I2022" s="4" t="s">
        <v>49</v>
      </c>
      <c r="J2022" s="4" t="s">
        <v>6728</v>
      </c>
      <c r="K2022" s="4">
        <v>1</v>
      </c>
      <c r="L2022" s="4">
        <v>14521</v>
      </c>
      <c r="M2022" s="9">
        <v>-119.422417</v>
      </c>
      <c r="N2022" s="9">
        <v>49.615833000000002</v>
      </c>
      <c r="O2022" s="9">
        <v>1550</v>
      </c>
      <c r="P2022" s="9" t="s">
        <v>6765</v>
      </c>
      <c r="Q2022" s="70">
        <v>6</v>
      </c>
      <c r="R2022" s="9" t="s">
        <v>6766</v>
      </c>
      <c r="S2022" s="9" t="s">
        <v>6646</v>
      </c>
      <c r="U2022"/>
      <c r="Y2022" s="260"/>
    </row>
    <row r="2023" spans="2:72" ht="14.25" customHeight="1" x14ac:dyDescent="0.2">
      <c r="B2023" s="193">
        <v>14</v>
      </c>
      <c r="C2023" s="188" t="s">
        <v>6636</v>
      </c>
      <c r="D2023" s="188" t="s">
        <v>6768</v>
      </c>
      <c r="E2023" s="4">
        <v>12500</v>
      </c>
      <c r="F2023" s="203" t="s">
        <v>6769</v>
      </c>
      <c r="G2023" s="188" t="s">
        <v>6770</v>
      </c>
      <c r="H2023" s="4" t="s">
        <v>6727</v>
      </c>
      <c r="I2023" s="4" t="s">
        <v>49</v>
      </c>
      <c r="J2023" s="4" t="s">
        <v>6728</v>
      </c>
      <c r="K2023" s="4">
        <v>1</v>
      </c>
      <c r="L2023" s="4">
        <v>14522</v>
      </c>
      <c r="M2023" s="9">
        <v>-124.452102</v>
      </c>
      <c r="N2023" s="9">
        <v>48.943922999999998</v>
      </c>
      <c r="O2023" s="9">
        <v>1190</v>
      </c>
      <c r="P2023" s="9" t="s">
        <v>6768</v>
      </c>
      <c r="Q2023" s="70">
        <v>6</v>
      </c>
      <c r="R2023" s="9" t="s">
        <v>6769</v>
      </c>
      <c r="S2023" s="9" t="s">
        <v>6646</v>
      </c>
      <c r="T2023" s="9"/>
      <c r="U2023" s="9"/>
      <c r="V2023" s="9"/>
      <c r="W2023" s="9"/>
      <c r="X2023" s="9"/>
      <c r="Y2023" s="7"/>
      <c r="Z2023" s="9"/>
      <c r="AA2023" s="9"/>
      <c r="AB2023" s="9"/>
      <c r="AC2023" s="9"/>
      <c r="AD2023" s="9"/>
      <c r="AE2023" s="9"/>
      <c r="AF2023" s="9"/>
      <c r="AG2023" s="9"/>
      <c r="AH2023" s="9"/>
      <c r="AI2023" s="9"/>
      <c r="AJ2023" s="9"/>
      <c r="AK2023" s="9"/>
      <c r="AL2023" s="9"/>
      <c r="AM2023" s="9"/>
      <c r="AN2023" s="9"/>
      <c r="AO2023" s="9"/>
      <c r="AP2023" s="9"/>
      <c r="AQ2023" s="9"/>
      <c r="AR2023" s="9"/>
      <c r="AS2023" s="9"/>
      <c r="AT2023" s="9"/>
      <c r="AU2023" s="9"/>
      <c r="AV2023" s="9"/>
      <c r="AW2023" s="9"/>
      <c r="AX2023" s="9"/>
      <c r="AY2023" s="9"/>
      <c r="AZ2023" s="9"/>
      <c r="BA2023" s="9"/>
      <c r="BB2023" s="9"/>
      <c r="BC2023" s="9"/>
      <c r="BD2023" s="9"/>
      <c r="BE2023" s="9"/>
      <c r="BF2023" s="9"/>
      <c r="BG2023" s="9"/>
      <c r="BH2023" s="9"/>
      <c r="BI2023" s="9"/>
      <c r="BJ2023" s="9"/>
      <c r="BK2023" s="9"/>
      <c r="BL2023" s="9"/>
      <c r="BM2023" s="9"/>
      <c r="BN2023" s="9"/>
      <c r="BO2023" s="9"/>
      <c r="BP2023" s="9"/>
      <c r="BQ2023" s="9"/>
      <c r="BR2023" s="9"/>
      <c r="BS2023" s="9"/>
      <c r="BT2023" s="9"/>
    </row>
    <row r="2024" spans="2:72" ht="14.25" customHeight="1" x14ac:dyDescent="0.2">
      <c r="B2024" s="193">
        <v>14</v>
      </c>
      <c r="C2024" s="188" t="s">
        <v>6636</v>
      </c>
      <c r="D2024" s="188" t="s">
        <v>6771</v>
      </c>
      <c r="E2024" s="4">
        <v>2515</v>
      </c>
      <c r="F2024" s="188" t="s">
        <v>6772</v>
      </c>
      <c r="G2024" s="188" t="s">
        <v>6773</v>
      </c>
      <c r="H2024" s="4" t="s">
        <v>6774</v>
      </c>
      <c r="I2024" s="4" t="s">
        <v>1664</v>
      </c>
      <c r="J2024" s="4" t="s">
        <v>6645</v>
      </c>
      <c r="K2024" s="4">
        <v>1</v>
      </c>
      <c r="L2024" s="4">
        <v>2918</v>
      </c>
      <c r="M2024" s="9">
        <v>-121.0036111</v>
      </c>
      <c r="N2024" s="9">
        <v>54.105555559999999</v>
      </c>
      <c r="O2024" s="9">
        <v>1100</v>
      </c>
      <c r="P2024" s="9" t="s">
        <v>6771</v>
      </c>
      <c r="Q2024" s="70">
        <v>4</v>
      </c>
      <c r="R2024" s="9" t="s">
        <v>6772</v>
      </c>
      <c r="S2024" s="9" t="s">
        <v>6646</v>
      </c>
      <c r="U2024"/>
      <c r="Y2024" s="260"/>
    </row>
    <row r="2025" spans="2:72" ht="14.25" customHeight="1" x14ac:dyDescent="0.2">
      <c r="B2025" s="193">
        <v>14</v>
      </c>
      <c r="C2025" s="188" t="s">
        <v>6636</v>
      </c>
      <c r="D2025" s="188" t="s">
        <v>6775</v>
      </c>
      <c r="E2025" s="4">
        <v>2563</v>
      </c>
      <c r="F2025" s="203" t="s">
        <v>6776</v>
      </c>
      <c r="G2025" s="188" t="s">
        <v>6777</v>
      </c>
      <c r="H2025" s="4" t="s">
        <v>6778</v>
      </c>
      <c r="I2025" s="4" t="s">
        <v>1664</v>
      </c>
      <c r="J2025" s="4" t="s">
        <v>6645</v>
      </c>
      <c r="K2025" s="4">
        <v>1</v>
      </c>
      <c r="L2025" s="4">
        <v>2966</v>
      </c>
      <c r="M2025" s="9">
        <v>-124.279111</v>
      </c>
      <c r="N2025" s="9">
        <v>48.969444000000003</v>
      </c>
      <c r="O2025" s="9">
        <v>1160</v>
      </c>
      <c r="P2025" s="9" t="s">
        <v>6775</v>
      </c>
      <c r="Q2025" s="70">
        <v>8</v>
      </c>
      <c r="R2025" s="9" t="s">
        <v>6776</v>
      </c>
      <c r="S2025" s="9" t="s">
        <v>6646</v>
      </c>
      <c r="U2025"/>
      <c r="X2025" s="9"/>
      <c r="Y2025" s="7"/>
      <c r="Z2025" s="9"/>
      <c r="AA2025" s="9"/>
      <c r="AB2025" s="9"/>
      <c r="AC2025" s="9"/>
      <c r="AD2025" s="9"/>
      <c r="AE2025" s="9"/>
      <c r="AF2025" s="9"/>
      <c r="AG2025" s="9"/>
      <c r="AH2025" s="9"/>
      <c r="AI2025" s="9"/>
      <c r="AJ2025" s="9"/>
      <c r="AK2025" s="9"/>
      <c r="AL2025" s="9"/>
      <c r="AM2025" s="9"/>
      <c r="AN2025" s="9"/>
      <c r="AO2025" s="9"/>
      <c r="AP2025" s="9"/>
      <c r="AQ2025" s="9"/>
      <c r="AR2025" s="9"/>
      <c r="AS2025" s="9"/>
      <c r="AT2025" s="9"/>
      <c r="AU2025" s="9"/>
      <c r="AV2025" s="9"/>
      <c r="AW2025" s="9"/>
      <c r="AX2025" s="9"/>
      <c r="AY2025" s="9"/>
      <c r="AZ2025" s="9"/>
      <c r="BA2025" s="9"/>
      <c r="BB2025" s="9"/>
      <c r="BC2025" s="9"/>
      <c r="BD2025" s="9"/>
      <c r="BE2025" s="9"/>
      <c r="BF2025" s="9"/>
      <c r="BG2025" s="9"/>
      <c r="BH2025" s="9"/>
      <c r="BI2025" s="9"/>
      <c r="BJ2025" s="9"/>
      <c r="BK2025" s="9"/>
      <c r="BL2025" s="9"/>
      <c r="BM2025" s="9"/>
      <c r="BN2025" s="9"/>
      <c r="BO2025" s="9"/>
      <c r="BP2025" s="9"/>
      <c r="BQ2025" s="9"/>
      <c r="BR2025" s="9"/>
      <c r="BS2025" s="9"/>
      <c r="BT2025" s="9"/>
    </row>
    <row r="2026" spans="2:72" ht="14.25" customHeight="1" x14ac:dyDescent="0.2">
      <c r="B2026" s="193">
        <v>14</v>
      </c>
      <c r="C2026" s="188" t="s">
        <v>6636</v>
      </c>
      <c r="D2026" s="188" t="s">
        <v>6779</v>
      </c>
      <c r="E2026" s="4">
        <v>2580</v>
      </c>
      <c r="F2026" s="188" t="s">
        <v>6780</v>
      </c>
      <c r="G2026" s="188" t="s">
        <v>6781</v>
      </c>
      <c r="H2026" s="4" t="s">
        <v>6782</v>
      </c>
      <c r="I2026" s="4" t="s">
        <v>1664</v>
      </c>
      <c r="J2026" s="4" t="s">
        <v>6783</v>
      </c>
      <c r="K2026" s="4">
        <v>1</v>
      </c>
      <c r="L2026" s="4">
        <v>2983</v>
      </c>
      <c r="M2026" s="9"/>
      <c r="N2026" s="9"/>
      <c r="O2026" s="9"/>
      <c r="P2026" s="9"/>
      <c r="Q2026" s="9"/>
      <c r="R2026" s="9"/>
      <c r="S2026" s="9"/>
      <c r="T2026" s="9"/>
      <c r="U2026" s="9"/>
      <c r="V2026" s="9"/>
      <c r="W2026" s="9"/>
      <c r="X2026" s="9"/>
      <c r="Y2026" s="7"/>
      <c r="Z2026" s="9"/>
      <c r="AA2026" s="9"/>
      <c r="AB2026" s="9"/>
      <c r="AC2026" s="9"/>
      <c r="AD2026" s="9"/>
      <c r="AE2026" s="9"/>
      <c r="AF2026" s="9"/>
      <c r="AG2026" s="9"/>
      <c r="AH2026" s="9"/>
      <c r="AI2026" s="9"/>
      <c r="AJ2026" s="9"/>
      <c r="AK2026" s="9"/>
      <c r="AL2026" s="9"/>
      <c r="AM2026" s="9"/>
      <c r="AN2026" s="9"/>
      <c r="AO2026" s="9"/>
      <c r="AP2026" s="9"/>
      <c r="AQ2026" s="9"/>
      <c r="AR2026" s="9"/>
      <c r="AS2026" s="9"/>
      <c r="AT2026" s="9"/>
      <c r="AU2026" s="9"/>
      <c r="AV2026" s="9"/>
      <c r="AW2026" s="9"/>
      <c r="AX2026" s="9"/>
      <c r="AY2026" s="9"/>
      <c r="AZ2026" s="9"/>
      <c r="BA2026" s="9"/>
      <c r="BB2026" s="9"/>
      <c r="BC2026" s="9"/>
      <c r="BD2026" s="9"/>
      <c r="BE2026" s="9"/>
      <c r="BF2026" s="9"/>
      <c r="BG2026" s="9"/>
      <c r="BH2026" s="9"/>
      <c r="BI2026" s="9"/>
      <c r="BJ2026" s="9"/>
      <c r="BK2026" s="9"/>
      <c r="BL2026" s="9"/>
      <c r="BM2026" s="9"/>
      <c r="BN2026" s="9"/>
      <c r="BO2026" s="9"/>
      <c r="BP2026" s="9"/>
      <c r="BQ2026" s="9"/>
      <c r="BR2026" s="9"/>
      <c r="BS2026" s="9"/>
      <c r="BT2026" s="9"/>
    </row>
    <row r="2027" spans="2:72" ht="14.25" customHeight="1" x14ac:dyDescent="0.2">
      <c r="B2027" s="193">
        <v>14</v>
      </c>
      <c r="C2027" s="188" t="s">
        <v>6636</v>
      </c>
      <c r="D2027" s="188" t="s">
        <v>6784</v>
      </c>
      <c r="E2027" s="4">
        <v>12497</v>
      </c>
      <c r="F2027" s="188" t="s">
        <v>6785</v>
      </c>
      <c r="G2027" s="188" t="s">
        <v>6786</v>
      </c>
      <c r="H2027" s="4" t="s">
        <v>6787</v>
      </c>
      <c r="I2027" s="4" t="s">
        <v>49</v>
      </c>
      <c r="J2027" s="4" t="s">
        <v>6728</v>
      </c>
      <c r="K2027" s="4">
        <v>1</v>
      </c>
      <c r="L2027" s="4">
        <v>14519</v>
      </c>
      <c r="M2027" s="9">
        <v>-120.7824444</v>
      </c>
      <c r="N2027" s="9">
        <v>54.30277778</v>
      </c>
      <c r="O2027" s="9">
        <v>1601</v>
      </c>
      <c r="P2027" s="9" t="s">
        <v>6788</v>
      </c>
      <c r="Q2027" s="70">
        <v>8</v>
      </c>
      <c r="R2027" s="9" t="s">
        <v>6789</v>
      </c>
      <c r="S2027" s="9" t="s">
        <v>6646</v>
      </c>
      <c r="T2027" s="9"/>
      <c r="U2027" s="9"/>
      <c r="V2027" s="9"/>
      <c r="W2027" s="9"/>
      <c r="X2027" s="9"/>
      <c r="Y2027" s="7"/>
      <c r="Z2027" s="9"/>
      <c r="AA2027" s="9"/>
      <c r="AB2027" s="9"/>
      <c r="AC2027" s="9"/>
      <c r="AD2027" s="9"/>
      <c r="AE2027" s="9"/>
      <c r="AF2027" s="9"/>
      <c r="AG2027" s="9"/>
      <c r="AH2027" s="9"/>
      <c r="AI2027" s="9"/>
      <c r="AJ2027" s="9"/>
      <c r="AK2027" s="9"/>
      <c r="AL2027" s="9"/>
      <c r="AM2027" s="9"/>
      <c r="AN2027" s="9"/>
      <c r="AO2027" s="9"/>
      <c r="AP2027" s="9"/>
      <c r="AQ2027" s="9"/>
      <c r="AR2027" s="9"/>
      <c r="AS2027" s="9"/>
      <c r="AT2027" s="9"/>
      <c r="AU2027" s="9"/>
      <c r="AV2027" s="9"/>
      <c r="AW2027" s="9"/>
      <c r="AX2027" s="9"/>
      <c r="AY2027" s="9"/>
      <c r="AZ2027" s="9"/>
      <c r="BA2027" s="9"/>
      <c r="BB2027" s="9"/>
      <c r="BC2027" s="9"/>
      <c r="BD2027" s="9"/>
      <c r="BE2027" s="9"/>
      <c r="BF2027" s="9"/>
      <c r="BG2027" s="9"/>
      <c r="BH2027" s="9"/>
      <c r="BI2027" s="9"/>
      <c r="BJ2027" s="9"/>
      <c r="BK2027" s="9"/>
      <c r="BL2027" s="9"/>
      <c r="BM2027" s="9"/>
      <c r="BN2027" s="9"/>
      <c r="BO2027" s="9"/>
      <c r="BP2027" s="9"/>
      <c r="BQ2027" s="9"/>
      <c r="BR2027" s="9"/>
      <c r="BS2027" s="9"/>
      <c r="BT2027" s="9"/>
    </row>
    <row r="2028" spans="2:72" ht="14.25" customHeight="1" x14ac:dyDescent="0.2">
      <c r="B2028" s="193">
        <v>14</v>
      </c>
      <c r="C2028" s="4" t="s">
        <v>6636</v>
      </c>
      <c r="D2028" s="4" t="s">
        <v>6790</v>
      </c>
      <c r="E2028" s="4">
        <v>2536</v>
      </c>
      <c r="F2028" s="9" t="s">
        <v>6791</v>
      </c>
      <c r="G2028" s="188" t="s">
        <v>6792</v>
      </c>
      <c r="H2028" s="4" t="s">
        <v>6793</v>
      </c>
      <c r="I2028" s="4" t="s">
        <v>1664</v>
      </c>
      <c r="J2028" s="4" t="s">
        <v>6645</v>
      </c>
      <c r="K2028" s="4">
        <v>1</v>
      </c>
      <c r="L2028" s="4">
        <v>2939</v>
      </c>
      <c r="U2028" s="9"/>
      <c r="V2028" s="9"/>
      <c r="W2028" s="9"/>
      <c r="X2028" s="9"/>
      <c r="Y2028" s="7"/>
      <c r="Z2028" s="9"/>
      <c r="AA2028" s="9"/>
      <c r="AB2028" s="9"/>
      <c r="AC2028" s="9"/>
      <c r="AD2028" s="9"/>
      <c r="AE2028" s="9"/>
      <c r="AF2028" s="9"/>
      <c r="AG2028" s="9"/>
      <c r="AH2028" s="9"/>
      <c r="AI2028" s="9"/>
      <c r="AJ2028" s="9"/>
      <c r="AK2028" s="9"/>
      <c r="AL2028" s="9"/>
      <c r="AM2028" s="9"/>
      <c r="AN2028" s="9"/>
      <c r="AO2028" s="9"/>
      <c r="AP2028" s="9"/>
      <c r="AQ2028" s="9"/>
      <c r="AR2028" s="9"/>
      <c r="AS2028" s="9"/>
      <c r="AT2028" s="9"/>
      <c r="AU2028" s="9"/>
      <c r="AV2028" s="9"/>
      <c r="AW2028" s="9"/>
      <c r="AX2028" s="9"/>
      <c r="AY2028" s="9"/>
      <c r="AZ2028" s="9"/>
      <c r="BA2028" s="9"/>
      <c r="BB2028" s="9"/>
      <c r="BC2028" s="9"/>
      <c r="BD2028" s="9"/>
      <c r="BE2028" s="9"/>
      <c r="BF2028" s="9"/>
      <c r="BG2028" s="9"/>
      <c r="BH2028" s="9"/>
      <c r="BI2028" s="9"/>
      <c r="BJ2028" s="9"/>
      <c r="BK2028" s="9"/>
      <c r="BL2028" s="9"/>
      <c r="BM2028" s="9"/>
      <c r="BN2028" s="9"/>
      <c r="BO2028" s="9"/>
      <c r="BP2028" s="9"/>
      <c r="BQ2028" s="9"/>
      <c r="BR2028" s="9"/>
      <c r="BS2028" s="9"/>
      <c r="BT2028" s="9"/>
    </row>
    <row r="2029" spans="2:72" ht="14.25" customHeight="1" x14ac:dyDescent="0.2">
      <c r="B2029" s="193">
        <v>14</v>
      </c>
      <c r="C2029" s="4" t="s">
        <v>6636</v>
      </c>
      <c r="D2029" s="4" t="s">
        <v>6798</v>
      </c>
      <c r="E2029" s="4">
        <v>2571</v>
      </c>
      <c r="F2029" s="188" t="s">
        <v>6799</v>
      </c>
      <c r="G2029" s="188" t="s">
        <v>6800</v>
      </c>
      <c r="H2029" s="4" t="s">
        <v>6801</v>
      </c>
      <c r="I2029" s="4" t="s">
        <v>1664</v>
      </c>
      <c r="J2029" s="4" t="s">
        <v>6645</v>
      </c>
      <c r="K2029" s="4">
        <v>1</v>
      </c>
      <c r="L2029" s="4">
        <v>2974</v>
      </c>
      <c r="M2029" s="9">
        <v>-126.3046667</v>
      </c>
      <c r="N2029" s="9">
        <v>54.196166669999997</v>
      </c>
      <c r="O2029" s="9">
        <v>1300</v>
      </c>
      <c r="P2029" s="9" t="s">
        <v>6798</v>
      </c>
      <c r="Q2029" s="70">
        <v>6</v>
      </c>
      <c r="R2029" s="9" t="s">
        <v>6799</v>
      </c>
      <c r="S2029" s="9" t="s">
        <v>6646</v>
      </c>
      <c r="U2029"/>
      <c r="Y2029" s="260"/>
    </row>
    <row r="2030" spans="2:72" ht="14.25" customHeight="1" x14ac:dyDescent="0.2">
      <c r="B2030" s="193">
        <v>14</v>
      </c>
      <c r="C2030" s="4" t="s">
        <v>6636</v>
      </c>
      <c r="D2030" s="188" t="s">
        <v>6802</v>
      </c>
      <c r="E2030" s="4">
        <v>2513</v>
      </c>
      <c r="F2030" s="4" t="s">
        <v>6803</v>
      </c>
      <c r="G2030" s="4" t="s">
        <v>6804</v>
      </c>
      <c r="H2030" s="4" t="s">
        <v>6805</v>
      </c>
      <c r="I2030" s="4" t="s">
        <v>1664</v>
      </c>
      <c r="J2030" s="4" t="s">
        <v>6645</v>
      </c>
      <c r="K2030" s="4">
        <v>1</v>
      </c>
      <c r="L2030" s="4">
        <v>2916</v>
      </c>
      <c r="M2030" s="9">
        <v>-120.3172778</v>
      </c>
      <c r="N2030" s="9">
        <v>53.307749999999999</v>
      </c>
      <c r="O2030" s="9">
        <v>1580</v>
      </c>
      <c r="P2030" s="9" t="s">
        <v>6802</v>
      </c>
      <c r="Q2030" s="70">
        <v>5</v>
      </c>
      <c r="R2030" s="9" t="s">
        <v>6806</v>
      </c>
      <c r="S2030" s="9" t="s">
        <v>6646</v>
      </c>
      <c r="U2030"/>
      <c r="V2030" s="9"/>
      <c r="W2030" s="9"/>
      <c r="X2030" s="9"/>
      <c r="Y2030" s="7"/>
      <c r="Z2030" s="9"/>
      <c r="AA2030" s="9"/>
      <c r="AB2030" s="9"/>
      <c r="AC2030" s="9"/>
      <c r="AD2030" s="9"/>
      <c r="AE2030" s="9"/>
      <c r="AF2030" s="9"/>
      <c r="AG2030" s="9"/>
      <c r="AH2030" s="9"/>
      <c r="AI2030" s="9"/>
      <c r="AJ2030" s="9"/>
      <c r="AK2030" s="9"/>
      <c r="AL2030" s="9"/>
      <c r="AM2030" s="9"/>
      <c r="AN2030" s="9"/>
      <c r="AO2030" s="9"/>
      <c r="AP2030" s="9"/>
      <c r="AQ2030" s="9"/>
      <c r="AR2030" s="9"/>
      <c r="AS2030" s="9"/>
      <c r="AT2030" s="9"/>
      <c r="AU2030" s="9"/>
      <c r="AV2030" s="9"/>
      <c r="AW2030" s="9"/>
      <c r="AX2030" s="9"/>
      <c r="AY2030" s="9"/>
      <c r="AZ2030" s="9"/>
      <c r="BA2030" s="9"/>
      <c r="BB2030" s="9"/>
      <c r="BC2030" s="9"/>
      <c r="BD2030" s="9"/>
      <c r="BE2030" s="9"/>
      <c r="BF2030" s="9"/>
      <c r="BG2030" s="9"/>
      <c r="BH2030" s="9"/>
      <c r="BI2030" s="9"/>
      <c r="BJ2030" s="9"/>
      <c r="BK2030" s="9"/>
      <c r="BL2030" s="9"/>
      <c r="BM2030" s="9"/>
      <c r="BN2030" s="9"/>
      <c r="BO2030" s="9"/>
      <c r="BP2030" s="9"/>
      <c r="BQ2030" s="9"/>
      <c r="BR2030" s="9"/>
      <c r="BS2030" s="9"/>
      <c r="BT2030" s="9"/>
    </row>
    <row r="2031" spans="2:72" ht="14.25" customHeight="1" x14ac:dyDescent="0.2">
      <c r="B2031" s="193">
        <v>14</v>
      </c>
      <c r="C2031" s="4" t="s">
        <v>6636</v>
      </c>
      <c r="D2031" s="188" t="s">
        <v>6807</v>
      </c>
      <c r="E2031" s="4">
        <v>2554</v>
      </c>
      <c r="F2031" s="4" t="s">
        <v>6808</v>
      </c>
      <c r="G2031" s="4" t="s">
        <v>6809</v>
      </c>
      <c r="H2031" s="4" t="s">
        <v>6810</v>
      </c>
      <c r="I2031" s="4" t="s">
        <v>1664</v>
      </c>
      <c r="J2031" s="4" t="s">
        <v>6645</v>
      </c>
      <c r="K2031" s="4">
        <v>1</v>
      </c>
      <c r="L2031" s="4">
        <v>2957</v>
      </c>
      <c r="M2031" s="9">
        <v>-118.94966669999999</v>
      </c>
      <c r="N2031" s="9">
        <v>49.944666669999997</v>
      </c>
      <c r="O2031" s="9">
        <v>1780</v>
      </c>
      <c r="P2031" s="9" t="s">
        <v>6807</v>
      </c>
      <c r="Q2031" s="70">
        <v>7</v>
      </c>
      <c r="R2031" s="9" t="s">
        <v>6808</v>
      </c>
      <c r="S2031" s="9" t="s">
        <v>6646</v>
      </c>
      <c r="U2031"/>
      <c r="Y2031" s="260"/>
    </row>
    <row r="2032" spans="2:72" ht="14.25" customHeight="1" x14ac:dyDescent="0.2">
      <c r="B2032" s="193">
        <v>14</v>
      </c>
      <c r="C2032" s="4" t="s">
        <v>6636</v>
      </c>
      <c r="D2032" s="4" t="s">
        <v>6814</v>
      </c>
      <c r="E2032" s="4">
        <v>2543</v>
      </c>
      <c r="F2032" s="4" t="s">
        <v>6428</v>
      </c>
      <c r="G2032" s="4" t="s">
        <v>6815</v>
      </c>
      <c r="H2032" s="4" t="s">
        <v>6816</v>
      </c>
      <c r="I2032" s="4" t="s">
        <v>1664</v>
      </c>
      <c r="J2032" s="4" t="s">
        <v>5996</v>
      </c>
      <c r="K2032" s="4">
        <v>1</v>
      </c>
      <c r="L2032" s="4">
        <v>2946</v>
      </c>
      <c r="M2032" s="192"/>
      <c r="N2032" s="192"/>
      <c r="O2032" s="192"/>
      <c r="P2032" s="192"/>
      <c r="Q2032" s="192"/>
      <c r="R2032" s="192"/>
      <c r="S2032" s="192"/>
      <c r="T2032" s="192"/>
      <c r="U2032" s="192"/>
      <c r="V2032" s="192"/>
      <c r="W2032" s="192"/>
      <c r="X2032" s="192"/>
      <c r="Y2032" s="261"/>
      <c r="Z2032" s="192"/>
      <c r="AA2032" s="192"/>
    </row>
    <row r="2033" spans="2:72" ht="14.25" customHeight="1" x14ac:dyDescent="0.2">
      <c r="B2033" s="193">
        <v>14</v>
      </c>
      <c r="C2033" s="4" t="s">
        <v>6636</v>
      </c>
      <c r="D2033" s="4" t="s">
        <v>6823</v>
      </c>
      <c r="E2033" s="4">
        <v>2534</v>
      </c>
      <c r="F2033" s="4" t="s">
        <v>6824</v>
      </c>
      <c r="G2033" s="188" t="s">
        <v>6825</v>
      </c>
      <c r="H2033" s="4" t="s">
        <v>6826</v>
      </c>
      <c r="I2033" s="4" t="s">
        <v>1664</v>
      </c>
      <c r="J2033" s="4" t="s">
        <v>6645</v>
      </c>
      <c r="K2033" s="4">
        <v>1</v>
      </c>
      <c r="L2033" s="4">
        <v>2937</v>
      </c>
      <c r="M2033" s="9">
        <v>-119.3213889</v>
      </c>
      <c r="N2033" s="9">
        <v>52.182777780000002</v>
      </c>
      <c r="O2033" s="9">
        <v>1550</v>
      </c>
      <c r="P2033" s="9" t="s">
        <v>6823</v>
      </c>
      <c r="Q2033" s="70">
        <v>5</v>
      </c>
      <c r="R2033" s="9" t="s">
        <v>6824</v>
      </c>
      <c r="S2033" s="9" t="s">
        <v>6646</v>
      </c>
      <c r="U2033"/>
      <c r="Y2033" s="260"/>
    </row>
    <row r="2034" spans="2:72" ht="14.25" customHeight="1" x14ac:dyDescent="0.2">
      <c r="B2034" s="193">
        <v>14</v>
      </c>
      <c r="C2034" s="4" t="s">
        <v>6099</v>
      </c>
      <c r="D2034" s="4" t="s">
        <v>6830</v>
      </c>
      <c r="E2034" s="4">
        <v>2537</v>
      </c>
      <c r="F2034" s="9" t="s">
        <v>6831</v>
      </c>
      <c r="G2034" s="188" t="s">
        <v>6832</v>
      </c>
      <c r="H2034" s="4" t="s">
        <v>6676</v>
      </c>
      <c r="I2034" s="4" t="s">
        <v>1664</v>
      </c>
      <c r="J2034" s="4" t="s">
        <v>6677</v>
      </c>
      <c r="K2034" s="4">
        <v>1</v>
      </c>
      <c r="L2034" s="4">
        <v>2940</v>
      </c>
      <c r="M2034" s="9"/>
      <c r="N2034" s="9"/>
      <c r="O2034" s="9"/>
      <c r="P2034" s="9"/>
      <c r="Q2034" s="9"/>
      <c r="R2034" s="9"/>
      <c r="S2034" s="9"/>
      <c r="T2034" s="9"/>
      <c r="U2034" s="9"/>
      <c r="V2034" s="9"/>
      <c r="W2034" s="9"/>
      <c r="X2034" s="9"/>
      <c r="Y2034" s="7"/>
      <c r="Z2034" s="9"/>
      <c r="AA2034" s="9"/>
      <c r="AB2034" s="9"/>
      <c r="AC2034" s="9"/>
      <c r="AD2034" s="9"/>
      <c r="AE2034" s="9"/>
      <c r="AF2034" s="9"/>
      <c r="AG2034" s="9"/>
      <c r="AH2034" s="9"/>
      <c r="AI2034" s="9"/>
      <c r="AJ2034" s="9"/>
      <c r="AK2034" s="9"/>
      <c r="AL2034" s="9"/>
      <c r="AM2034" s="9"/>
      <c r="AN2034" s="9"/>
      <c r="AO2034" s="9"/>
      <c r="AP2034" s="9"/>
      <c r="AQ2034" s="9"/>
      <c r="AR2034" s="9"/>
      <c r="AS2034" s="9"/>
      <c r="AT2034" s="9"/>
      <c r="AU2034" s="9"/>
      <c r="AV2034" s="9"/>
      <c r="AW2034" s="9"/>
      <c r="AX2034" s="9"/>
      <c r="AY2034" s="9"/>
      <c r="AZ2034" s="9"/>
      <c r="BA2034" s="9"/>
      <c r="BB2034" s="9"/>
      <c r="BC2034" s="9"/>
      <c r="BD2034" s="9"/>
      <c r="BE2034" s="9"/>
      <c r="BF2034" s="9"/>
      <c r="BG2034" s="9"/>
      <c r="BH2034" s="9"/>
      <c r="BI2034" s="9"/>
      <c r="BJ2034" s="9"/>
      <c r="BK2034" s="9"/>
      <c r="BL2034" s="9"/>
      <c r="BM2034" s="9"/>
      <c r="BN2034" s="9"/>
      <c r="BO2034" s="9"/>
      <c r="BP2034" s="9"/>
      <c r="BQ2034" s="9"/>
      <c r="BR2034" s="9"/>
      <c r="BS2034" s="9"/>
      <c r="BT2034" s="9"/>
    </row>
    <row r="2035" spans="2:72" ht="14.25" customHeight="1" x14ac:dyDescent="0.2">
      <c r="B2035" s="193">
        <v>14</v>
      </c>
      <c r="C2035" s="188" t="s">
        <v>6099</v>
      </c>
      <c r="D2035" s="188" t="s">
        <v>6839</v>
      </c>
      <c r="E2035" s="4">
        <v>12501</v>
      </c>
      <c r="F2035" s="188" t="s">
        <v>6840</v>
      </c>
      <c r="G2035" s="188" t="s">
        <v>6841</v>
      </c>
      <c r="H2035" s="4" t="s">
        <v>6842</v>
      </c>
      <c r="I2035" s="4" t="s">
        <v>49</v>
      </c>
      <c r="J2035" s="4" t="s">
        <v>6728</v>
      </c>
      <c r="K2035" s="4">
        <v>1</v>
      </c>
      <c r="L2035" s="4">
        <v>14523</v>
      </c>
      <c r="U2035"/>
      <c r="Y2035" s="260"/>
    </row>
    <row r="2036" spans="2:72" ht="14.25" customHeight="1" x14ac:dyDescent="0.2">
      <c r="B2036" s="193">
        <v>14</v>
      </c>
      <c r="C2036" s="4" t="s">
        <v>6099</v>
      </c>
      <c r="D2036" s="4" t="s">
        <v>6843</v>
      </c>
      <c r="E2036" s="4">
        <v>2558</v>
      </c>
      <c r="F2036" s="4" t="s">
        <v>6844</v>
      </c>
      <c r="G2036" s="4" t="s">
        <v>6845</v>
      </c>
      <c r="H2036" s="4" t="s">
        <v>6846</v>
      </c>
      <c r="I2036" s="4" t="s">
        <v>1664</v>
      </c>
      <c r="J2036" s="4" t="s">
        <v>6645</v>
      </c>
      <c r="K2036" s="4">
        <v>1</v>
      </c>
      <c r="L2036" s="4">
        <v>2961</v>
      </c>
      <c r="M2036" s="9">
        <v>-124.4605</v>
      </c>
      <c r="N2036" s="9">
        <v>51.243666670000003</v>
      </c>
      <c r="O2036" s="9">
        <v>1500</v>
      </c>
      <c r="P2036" s="9" t="s">
        <v>6843</v>
      </c>
      <c r="Q2036" s="70">
        <v>7</v>
      </c>
      <c r="R2036" s="9" t="s">
        <v>6844</v>
      </c>
      <c r="S2036" s="9" t="s">
        <v>6646</v>
      </c>
      <c r="U2036"/>
      <c r="Y2036" s="260"/>
    </row>
    <row r="2037" spans="2:72" ht="14.25" customHeight="1" x14ac:dyDescent="0.2">
      <c r="B2037" s="193">
        <v>14</v>
      </c>
      <c r="C2037" s="188" t="s">
        <v>6099</v>
      </c>
      <c r="D2037" s="188" t="s">
        <v>6847</v>
      </c>
      <c r="E2037" s="4">
        <v>2529</v>
      </c>
      <c r="F2037" s="188" t="s">
        <v>6848</v>
      </c>
      <c r="G2037" s="188" t="s">
        <v>6849</v>
      </c>
      <c r="H2037" s="4" t="s">
        <v>6850</v>
      </c>
      <c r="I2037" s="4" t="s">
        <v>1664</v>
      </c>
      <c r="J2037" s="4" t="s">
        <v>6672</v>
      </c>
      <c r="K2037" s="4">
        <v>1</v>
      </c>
      <c r="L2037" s="4">
        <v>2932</v>
      </c>
      <c r="M2037" s="9"/>
      <c r="N2037" s="9"/>
      <c r="O2037" s="9"/>
      <c r="P2037" s="9"/>
      <c r="Q2037" s="9"/>
      <c r="R2037" s="9"/>
      <c r="S2037" s="9"/>
      <c r="T2037" s="9"/>
      <c r="U2037" s="9"/>
      <c r="V2037" s="9"/>
      <c r="W2037" s="9"/>
      <c r="X2037" s="9"/>
      <c r="Y2037" s="7"/>
      <c r="Z2037" s="9"/>
      <c r="AA2037" s="9"/>
      <c r="AB2037" s="9"/>
      <c r="AC2037" s="9"/>
      <c r="AD2037" s="9"/>
      <c r="AE2037" s="9"/>
      <c r="AF2037" s="9"/>
      <c r="AG2037" s="9"/>
      <c r="AH2037" s="9"/>
      <c r="AI2037" s="9"/>
      <c r="AJ2037" s="9"/>
      <c r="AK2037" s="9"/>
      <c r="AL2037" s="9"/>
      <c r="AM2037" s="9"/>
      <c r="AN2037" s="9"/>
      <c r="AO2037" s="9"/>
      <c r="AP2037" s="9"/>
      <c r="AQ2037" s="9"/>
      <c r="AR2037" s="9"/>
      <c r="AS2037" s="9"/>
      <c r="AT2037" s="9"/>
      <c r="AU2037" s="9"/>
      <c r="AV2037" s="9"/>
      <c r="AW2037" s="9"/>
      <c r="AX2037" s="9"/>
      <c r="AY2037" s="9"/>
      <c r="AZ2037" s="9"/>
      <c r="BA2037" s="9"/>
      <c r="BB2037" s="9"/>
      <c r="BC2037" s="9"/>
      <c r="BD2037" s="9"/>
      <c r="BE2037" s="9"/>
      <c r="BF2037" s="9"/>
      <c r="BG2037" s="9"/>
      <c r="BH2037" s="9"/>
      <c r="BI2037" s="9"/>
      <c r="BJ2037" s="9"/>
      <c r="BK2037" s="9"/>
      <c r="BL2037" s="9"/>
      <c r="BM2037" s="9"/>
      <c r="BN2037" s="9"/>
      <c r="BO2037" s="9"/>
      <c r="BP2037" s="9"/>
      <c r="BQ2037" s="9"/>
      <c r="BR2037" s="9"/>
      <c r="BS2037" s="9"/>
      <c r="BT2037" s="9"/>
    </row>
    <row r="2038" spans="2:72" ht="14.25" customHeight="1" x14ac:dyDescent="0.2">
      <c r="B2038" s="193">
        <v>14</v>
      </c>
      <c r="C2038" s="4" t="s">
        <v>6099</v>
      </c>
      <c r="D2038" s="4" t="s">
        <v>6856</v>
      </c>
      <c r="E2038" s="4">
        <v>2539</v>
      </c>
      <c r="F2038" s="4" t="s">
        <v>6852</v>
      </c>
      <c r="G2038" s="4" t="s">
        <v>6857</v>
      </c>
      <c r="H2038" s="4" t="s">
        <v>6858</v>
      </c>
      <c r="I2038" s="4" t="s">
        <v>1664</v>
      </c>
      <c r="J2038" s="4" t="s">
        <v>6645</v>
      </c>
      <c r="K2038" s="4">
        <v>1</v>
      </c>
      <c r="L2038" s="4">
        <v>2942</v>
      </c>
      <c r="M2038" s="4">
        <v>-118.6185</v>
      </c>
      <c r="N2038" s="4">
        <v>50.4495</v>
      </c>
      <c r="O2038" s="4">
        <v>1890</v>
      </c>
      <c r="P2038" s="4" t="s">
        <v>6856</v>
      </c>
      <c r="Q2038" s="4">
        <v>6</v>
      </c>
      <c r="R2038" s="4" t="s">
        <v>6852</v>
      </c>
      <c r="S2038" s="4" t="s">
        <v>6646</v>
      </c>
      <c r="U2038"/>
      <c r="Y2038" s="260"/>
    </row>
    <row r="2039" spans="2:72" ht="14.25" customHeight="1" x14ac:dyDescent="0.2">
      <c r="B2039" s="193">
        <v>14</v>
      </c>
      <c r="C2039" s="8" t="s">
        <v>6099</v>
      </c>
      <c r="D2039" s="188" t="s">
        <v>6862</v>
      </c>
      <c r="E2039" s="4">
        <v>2566</v>
      </c>
      <c r="F2039" s="188" t="s">
        <v>6514</v>
      </c>
      <c r="G2039" s="188" t="s">
        <v>6863</v>
      </c>
      <c r="H2039" s="4" t="s">
        <v>6864</v>
      </c>
      <c r="I2039" s="4" t="s">
        <v>1664</v>
      </c>
      <c r="J2039" s="4" t="s">
        <v>6640</v>
      </c>
      <c r="K2039" s="4">
        <v>1</v>
      </c>
      <c r="L2039" s="4">
        <v>2969</v>
      </c>
      <c r="U2039"/>
      <c r="Y2039" s="260"/>
    </row>
    <row r="2040" spans="2:72" ht="14.25" customHeight="1" x14ac:dyDescent="0.2">
      <c r="B2040" s="193">
        <v>14</v>
      </c>
      <c r="C2040" s="201" t="s">
        <v>6099</v>
      </c>
      <c r="D2040" s="4" t="s">
        <v>6865</v>
      </c>
      <c r="E2040" s="4">
        <v>2552</v>
      </c>
      <c r="F2040" s="4" t="s">
        <v>6866</v>
      </c>
      <c r="G2040" s="188" t="s">
        <v>6867</v>
      </c>
      <c r="H2040" s="4" t="s">
        <v>6868</v>
      </c>
      <c r="I2040" s="4" t="s">
        <v>1664</v>
      </c>
      <c r="J2040" s="4" t="s">
        <v>6692</v>
      </c>
      <c r="K2040" s="4">
        <v>1</v>
      </c>
      <c r="L2040" s="4">
        <v>2955</v>
      </c>
      <c r="M2040" s="9">
        <v>-117.0865</v>
      </c>
      <c r="N2040" s="9">
        <v>49.690166670000004</v>
      </c>
      <c r="O2040" s="9">
        <v>2100</v>
      </c>
      <c r="P2040" s="9" t="s">
        <v>6865</v>
      </c>
      <c r="Q2040" s="70">
        <v>7</v>
      </c>
      <c r="R2040" s="9" t="s">
        <v>6866</v>
      </c>
      <c r="S2040" s="9" t="s">
        <v>6646</v>
      </c>
      <c r="U2040"/>
      <c r="Y2040" s="260"/>
    </row>
    <row r="2041" spans="2:72" ht="14.25" customHeight="1" x14ac:dyDescent="0.2">
      <c r="B2041" s="193">
        <v>14</v>
      </c>
      <c r="C2041" s="201" t="s">
        <v>6099</v>
      </c>
      <c r="D2041" s="4" t="s">
        <v>6869</v>
      </c>
      <c r="E2041" s="4">
        <v>2516</v>
      </c>
      <c r="F2041" s="9" t="s">
        <v>6870</v>
      </c>
      <c r="G2041" s="188" t="s">
        <v>6871</v>
      </c>
      <c r="H2041" s="4" t="s">
        <v>6872</v>
      </c>
      <c r="I2041" s="4" t="s">
        <v>1664</v>
      </c>
      <c r="J2041" s="4" t="s">
        <v>6783</v>
      </c>
      <c r="K2041" s="4">
        <v>1</v>
      </c>
      <c r="L2041" s="4">
        <v>2919</v>
      </c>
      <c r="M2041" s="9">
        <v>-120.37516669999999</v>
      </c>
      <c r="N2041" s="9">
        <v>53.784166669999998</v>
      </c>
      <c r="O2041" s="9">
        <v>1690</v>
      </c>
      <c r="P2041" s="9" t="s">
        <v>6869</v>
      </c>
      <c r="Q2041" s="70">
        <v>8</v>
      </c>
      <c r="R2041" s="9" t="s">
        <v>6870</v>
      </c>
      <c r="S2041" s="9" t="s">
        <v>6646</v>
      </c>
      <c r="T2041" s="9"/>
      <c r="U2041" s="9"/>
      <c r="V2041" s="9"/>
      <c r="W2041" s="9"/>
      <c r="X2041" s="9"/>
      <c r="Y2041" s="7"/>
      <c r="Z2041" s="9"/>
      <c r="AA2041" s="9"/>
      <c r="AB2041" s="9"/>
      <c r="AC2041" s="9"/>
      <c r="AD2041" s="9"/>
      <c r="AE2041" s="9"/>
      <c r="AF2041" s="9"/>
      <c r="AG2041" s="9"/>
      <c r="AH2041" s="9"/>
      <c r="AI2041" s="9"/>
      <c r="AJ2041" s="9"/>
      <c r="AK2041" s="9"/>
      <c r="AL2041" s="9"/>
      <c r="AM2041" s="9"/>
      <c r="AN2041" s="9"/>
      <c r="AO2041" s="9"/>
      <c r="AP2041" s="9"/>
      <c r="AQ2041" s="9"/>
      <c r="AR2041" s="9"/>
      <c r="AS2041" s="9"/>
      <c r="AT2041" s="9"/>
      <c r="AU2041" s="9"/>
      <c r="AV2041" s="9"/>
      <c r="AW2041" s="9"/>
      <c r="AX2041" s="9"/>
      <c r="AY2041" s="9"/>
      <c r="AZ2041" s="9"/>
      <c r="BA2041" s="9"/>
      <c r="BB2041" s="9"/>
      <c r="BC2041" s="9"/>
      <c r="BD2041" s="9"/>
      <c r="BE2041" s="9"/>
      <c r="BF2041" s="9"/>
      <c r="BG2041" s="9"/>
      <c r="BH2041" s="9"/>
      <c r="BI2041" s="9"/>
      <c r="BJ2041" s="9"/>
      <c r="BK2041" s="9"/>
      <c r="BL2041" s="9"/>
      <c r="BM2041" s="9"/>
      <c r="BN2041" s="9"/>
      <c r="BO2041" s="9"/>
      <c r="BP2041" s="9"/>
      <c r="BQ2041" s="9"/>
      <c r="BR2041" s="9"/>
      <c r="BS2041" s="9"/>
      <c r="BT2041" s="9"/>
    </row>
    <row r="2042" spans="2:72" ht="14.25" customHeight="1" x14ac:dyDescent="0.2">
      <c r="B2042" s="193">
        <v>14</v>
      </c>
      <c r="C2042" s="8" t="s">
        <v>6099</v>
      </c>
      <c r="D2042" s="188" t="s">
        <v>6873</v>
      </c>
      <c r="E2042" s="4">
        <v>2572</v>
      </c>
      <c r="F2042" s="188" t="s">
        <v>6874</v>
      </c>
      <c r="G2042" s="188" t="s">
        <v>6875</v>
      </c>
      <c r="H2042" s="4" t="s">
        <v>6876</v>
      </c>
      <c r="I2042" s="4" t="s">
        <v>1664</v>
      </c>
      <c r="J2042" s="4" t="s">
        <v>6645</v>
      </c>
      <c r="K2042" s="4">
        <v>1</v>
      </c>
      <c r="L2042" s="4">
        <v>2975</v>
      </c>
      <c r="M2042" s="9">
        <v>-127.6955</v>
      </c>
      <c r="N2042" s="9">
        <v>55.857500000000002</v>
      </c>
      <c r="O2042" s="9">
        <v>1480</v>
      </c>
      <c r="P2042" s="203" t="s">
        <v>6873</v>
      </c>
      <c r="Q2042" s="70">
        <v>7</v>
      </c>
      <c r="R2042" s="9" t="s">
        <v>6874</v>
      </c>
      <c r="S2042" s="9" t="s">
        <v>6646</v>
      </c>
      <c r="U2042"/>
      <c r="Y2042" s="260"/>
    </row>
    <row r="2043" spans="2:72" ht="14.25" customHeight="1" x14ac:dyDescent="0.2">
      <c r="B2043" s="193">
        <v>14</v>
      </c>
      <c r="C2043" s="8" t="s">
        <v>6099</v>
      </c>
      <c r="D2043" s="188" t="s">
        <v>6877</v>
      </c>
      <c r="E2043" s="4">
        <v>2533</v>
      </c>
      <c r="F2043" s="8" t="s">
        <v>6878</v>
      </c>
      <c r="G2043" s="188" t="s">
        <v>6879</v>
      </c>
      <c r="H2043" s="4" t="s">
        <v>6880</v>
      </c>
      <c r="I2043" s="4" t="s">
        <v>1664</v>
      </c>
      <c r="J2043" s="4" t="s">
        <v>6645</v>
      </c>
      <c r="K2043" s="4">
        <v>1</v>
      </c>
      <c r="L2043" s="4">
        <v>2936</v>
      </c>
      <c r="M2043" s="9">
        <v>-121.65783329999999</v>
      </c>
      <c r="N2043" s="9">
        <v>49.660833330000003</v>
      </c>
      <c r="O2043" s="9">
        <v>1180</v>
      </c>
      <c r="P2043" s="9" t="s">
        <v>6877</v>
      </c>
      <c r="Q2043" s="70">
        <v>6</v>
      </c>
      <c r="R2043" s="9" t="s">
        <v>6881</v>
      </c>
      <c r="S2043" s="9" t="s">
        <v>6646</v>
      </c>
      <c r="U2043"/>
      <c r="Y2043" s="260"/>
    </row>
    <row r="2044" spans="2:72" ht="14.25" customHeight="1" x14ac:dyDescent="0.2">
      <c r="B2044" s="193">
        <v>14</v>
      </c>
      <c r="C2044" s="8" t="s">
        <v>6099</v>
      </c>
      <c r="D2044" s="188" t="s">
        <v>6882</v>
      </c>
      <c r="E2044" s="4">
        <v>2546</v>
      </c>
      <c r="F2044" s="188" t="s">
        <v>6560</v>
      </c>
      <c r="G2044" s="188" t="s">
        <v>6883</v>
      </c>
      <c r="H2044" s="4" t="s">
        <v>6884</v>
      </c>
      <c r="I2044" s="4" t="s">
        <v>1664</v>
      </c>
      <c r="J2044" s="4" t="s">
        <v>5996</v>
      </c>
      <c r="K2044" s="4">
        <v>1</v>
      </c>
      <c r="L2044" s="4">
        <v>2949</v>
      </c>
      <c r="U2044"/>
      <c r="Y2044" s="260"/>
    </row>
    <row r="2045" spans="2:72" ht="14.25" customHeight="1" x14ac:dyDescent="0.2">
      <c r="B2045" s="193">
        <v>14</v>
      </c>
      <c r="C2045" s="8" t="s">
        <v>6099</v>
      </c>
      <c r="D2045" s="188" t="s">
        <v>6885</v>
      </c>
      <c r="E2045" s="4">
        <v>2525</v>
      </c>
      <c r="F2045" s="188" t="s">
        <v>6886</v>
      </c>
      <c r="G2045" s="188" t="s">
        <v>6887</v>
      </c>
      <c r="H2045" s="4" t="s">
        <v>6888</v>
      </c>
      <c r="I2045" s="4" t="s">
        <v>1664</v>
      </c>
      <c r="J2045" s="4" t="s">
        <v>6645</v>
      </c>
      <c r="K2045" s="4">
        <v>1</v>
      </c>
      <c r="L2045" s="4">
        <v>2928</v>
      </c>
      <c r="M2045" s="9">
        <v>-122.9398333</v>
      </c>
      <c r="N2045" s="9">
        <v>50.539499999999997</v>
      </c>
      <c r="O2045" s="9">
        <v>1680</v>
      </c>
      <c r="P2045" s="9" t="s">
        <v>6885</v>
      </c>
      <c r="Q2045" s="70">
        <v>7</v>
      </c>
      <c r="R2045" s="9" t="s">
        <v>6886</v>
      </c>
      <c r="S2045" s="9" t="s">
        <v>6646</v>
      </c>
      <c r="U2045"/>
      <c r="Y2045" s="260"/>
    </row>
    <row r="2046" spans="2:72" ht="14.25" customHeight="1" x14ac:dyDescent="0.2">
      <c r="B2046" s="193">
        <v>14</v>
      </c>
      <c r="C2046" s="8" t="s">
        <v>6099</v>
      </c>
      <c r="D2046" s="188" t="s">
        <v>6889</v>
      </c>
      <c r="E2046" s="4">
        <v>2557</v>
      </c>
      <c r="F2046" s="188" t="s">
        <v>6890</v>
      </c>
      <c r="G2046" s="188" t="s">
        <v>6891</v>
      </c>
      <c r="H2046" s="4" t="s">
        <v>6737</v>
      </c>
      <c r="I2046" s="4" t="s">
        <v>1664</v>
      </c>
      <c r="J2046" s="4" t="s">
        <v>6738</v>
      </c>
      <c r="K2046" s="4">
        <v>1</v>
      </c>
      <c r="L2046" s="4">
        <v>2960</v>
      </c>
      <c r="U2046"/>
      <c r="Y2046" s="260"/>
    </row>
    <row r="2047" spans="2:72" ht="14.25" customHeight="1" x14ac:dyDescent="0.2">
      <c r="B2047" s="193">
        <v>14</v>
      </c>
      <c r="C2047" s="8" t="s">
        <v>6099</v>
      </c>
      <c r="D2047" s="188" t="s">
        <v>6892</v>
      </c>
      <c r="E2047" s="4">
        <v>12509</v>
      </c>
      <c r="F2047" s="188" t="s">
        <v>6893</v>
      </c>
      <c r="G2047" s="188" t="s">
        <v>6894</v>
      </c>
      <c r="H2047" s="4" t="s">
        <v>6895</v>
      </c>
      <c r="I2047" s="4" t="s">
        <v>49</v>
      </c>
      <c r="J2047" s="4" t="s">
        <v>6728</v>
      </c>
      <c r="K2047" s="4">
        <v>1</v>
      </c>
      <c r="L2047" s="4">
        <v>14531</v>
      </c>
      <c r="M2047" s="9">
        <v>-120.18810000000001</v>
      </c>
      <c r="N2047" s="9">
        <v>49.740720000000003</v>
      </c>
      <c r="O2047" s="9">
        <v>1420</v>
      </c>
      <c r="P2047" s="9" t="s">
        <v>6892</v>
      </c>
      <c r="Q2047" s="70">
        <v>5</v>
      </c>
      <c r="R2047" s="9" t="s">
        <v>6893</v>
      </c>
      <c r="S2047" s="9" t="s">
        <v>6646</v>
      </c>
      <c r="U2047"/>
      <c r="Y2047" s="260"/>
    </row>
    <row r="2048" spans="2:72" ht="14.25" customHeight="1" x14ac:dyDescent="0.2">
      <c r="B2048" s="193">
        <v>14</v>
      </c>
      <c r="C2048" s="8" t="s">
        <v>6099</v>
      </c>
      <c r="D2048" s="188" t="s">
        <v>6896</v>
      </c>
      <c r="E2048" s="4">
        <v>2573</v>
      </c>
      <c r="F2048" s="188" t="s">
        <v>6897</v>
      </c>
      <c r="G2048" s="188" t="s">
        <v>6898</v>
      </c>
      <c r="H2048" s="4" t="s">
        <v>6899</v>
      </c>
      <c r="I2048" s="4" t="s">
        <v>1664</v>
      </c>
      <c r="J2048" s="4" t="s">
        <v>6645</v>
      </c>
      <c r="K2048" s="4">
        <v>1</v>
      </c>
      <c r="L2048" s="4">
        <v>2976</v>
      </c>
      <c r="M2048" s="9">
        <v>-127.6748333</v>
      </c>
      <c r="N2048" s="9">
        <v>54.646166669999999</v>
      </c>
      <c r="O2048" s="9">
        <v>1360</v>
      </c>
      <c r="P2048" s="9" t="s">
        <v>6896</v>
      </c>
      <c r="Q2048" s="70">
        <v>7</v>
      </c>
      <c r="R2048" s="9" t="s">
        <v>6897</v>
      </c>
      <c r="S2048" s="9" t="s">
        <v>6646</v>
      </c>
      <c r="U2048"/>
      <c r="Y2048" s="260"/>
    </row>
    <row r="2049" spans="1:53" ht="14.25" customHeight="1" x14ac:dyDescent="0.2">
      <c r="B2049" s="193">
        <v>14</v>
      </c>
      <c r="C2049" s="8" t="s">
        <v>6099</v>
      </c>
      <c r="D2049" s="188" t="s">
        <v>6900</v>
      </c>
      <c r="E2049" s="4">
        <v>2579</v>
      </c>
      <c r="F2049" s="188" t="s">
        <v>6901</v>
      </c>
      <c r="G2049" s="188" t="s">
        <v>6902</v>
      </c>
      <c r="H2049" s="4" t="s">
        <v>6864</v>
      </c>
      <c r="I2049" s="4" t="s">
        <v>1664</v>
      </c>
      <c r="J2049" s="4" t="s">
        <v>6640</v>
      </c>
      <c r="K2049" s="4">
        <v>1</v>
      </c>
      <c r="L2049" s="4">
        <v>2982</v>
      </c>
      <c r="U2049"/>
      <c r="Y2049" s="260"/>
    </row>
    <row r="2050" spans="1:53" ht="14.25" customHeight="1" x14ac:dyDescent="0.2">
      <c r="B2050" s="193">
        <v>14</v>
      </c>
      <c r="C2050" s="8" t="s">
        <v>6099</v>
      </c>
      <c r="D2050" s="188" t="s">
        <v>6903</v>
      </c>
      <c r="E2050" s="4">
        <v>2560</v>
      </c>
      <c r="F2050" s="8" t="s">
        <v>6904</v>
      </c>
      <c r="G2050" s="188" t="s">
        <v>6905</v>
      </c>
      <c r="H2050" s="4" t="s">
        <v>6906</v>
      </c>
      <c r="I2050" s="4" t="s">
        <v>1664</v>
      </c>
      <c r="J2050" s="4" t="s">
        <v>6645</v>
      </c>
      <c r="K2050" s="4">
        <v>1</v>
      </c>
      <c r="L2050" s="4">
        <v>2963</v>
      </c>
      <c r="M2050" s="9">
        <v>-124.62050000000001</v>
      </c>
      <c r="N2050" s="9">
        <v>51.776166670000002</v>
      </c>
      <c r="O2050" s="9">
        <v>1650</v>
      </c>
      <c r="P2050" s="9" t="s">
        <v>6903</v>
      </c>
      <c r="Q2050" s="70">
        <v>8</v>
      </c>
      <c r="R2050" s="9" t="s">
        <v>6907</v>
      </c>
      <c r="S2050" s="9" t="s">
        <v>6646</v>
      </c>
      <c r="U2050"/>
      <c r="Y2050" s="260"/>
    </row>
    <row r="2051" spans="1:53" ht="14.25" customHeight="1" x14ac:dyDescent="0.2">
      <c r="B2051" s="193">
        <v>14</v>
      </c>
      <c r="C2051" s="8" t="s">
        <v>6099</v>
      </c>
      <c r="D2051" s="188" t="s">
        <v>6908</v>
      </c>
      <c r="E2051" s="4">
        <v>2568</v>
      </c>
      <c r="F2051" s="188" t="s">
        <v>6909</v>
      </c>
      <c r="G2051" s="188" t="s">
        <v>6910</v>
      </c>
      <c r="H2051" s="4" t="s">
        <v>6911</v>
      </c>
      <c r="I2051" s="4" t="s">
        <v>1664</v>
      </c>
      <c r="J2051" s="4" t="s">
        <v>6733</v>
      </c>
      <c r="K2051" s="4">
        <v>1</v>
      </c>
      <c r="L2051" s="4">
        <v>2971</v>
      </c>
      <c r="U2051"/>
      <c r="Y2051" s="260"/>
    </row>
    <row r="2052" spans="1:53" ht="14.25" customHeight="1" x14ac:dyDescent="0.2">
      <c r="B2052" s="193">
        <v>14</v>
      </c>
      <c r="C2052" s="8" t="s">
        <v>6099</v>
      </c>
      <c r="D2052" s="188" t="s">
        <v>6912</v>
      </c>
      <c r="E2052" s="4">
        <v>2561</v>
      </c>
      <c r="F2052" s="188" t="s">
        <v>6913</v>
      </c>
      <c r="G2052" s="188" t="s">
        <v>6914</v>
      </c>
      <c r="H2052" s="4" t="s">
        <v>6915</v>
      </c>
      <c r="I2052" s="4" t="s">
        <v>1664</v>
      </c>
      <c r="J2052" s="4" t="s">
        <v>6645</v>
      </c>
      <c r="K2052" s="4">
        <v>1</v>
      </c>
      <c r="L2052" s="4">
        <v>2964</v>
      </c>
      <c r="M2052" s="9">
        <v>-123.4360167</v>
      </c>
      <c r="N2052" s="9">
        <v>50.154083329999999</v>
      </c>
      <c r="O2052" s="9">
        <v>1340</v>
      </c>
      <c r="P2052" s="9" t="s">
        <v>6912</v>
      </c>
      <c r="Q2052" s="70">
        <v>7</v>
      </c>
      <c r="R2052" s="9" t="s">
        <v>6916</v>
      </c>
      <c r="S2052" s="9" t="s">
        <v>6646</v>
      </c>
      <c r="U2052"/>
      <c r="Y2052" s="260"/>
    </row>
    <row r="2053" spans="1:53" ht="14.25" customHeight="1" x14ac:dyDescent="0.2">
      <c r="B2053" s="193">
        <v>14</v>
      </c>
      <c r="C2053" s="8" t="s">
        <v>6099</v>
      </c>
      <c r="D2053" s="188" t="s">
        <v>6917</v>
      </c>
      <c r="E2053" s="4">
        <v>2581</v>
      </c>
      <c r="F2053" s="188" t="s">
        <v>6918</v>
      </c>
      <c r="G2053" s="188" t="s">
        <v>6919</v>
      </c>
      <c r="H2053" s="4" t="s">
        <v>6920</v>
      </c>
      <c r="I2053" s="4" t="s">
        <v>1664</v>
      </c>
      <c r="J2053" s="4" t="s">
        <v>6663</v>
      </c>
      <c r="K2053" s="4">
        <v>1</v>
      </c>
      <c r="L2053" s="4">
        <v>2984</v>
      </c>
      <c r="U2053"/>
      <c r="Y2053" s="260"/>
    </row>
    <row r="2054" spans="1:53" ht="14.25" customHeight="1" x14ac:dyDescent="0.2">
      <c r="B2054" s="193">
        <v>14</v>
      </c>
      <c r="C2054" s="8" t="s">
        <v>6099</v>
      </c>
      <c r="D2054" s="188" t="s">
        <v>6921</v>
      </c>
      <c r="E2054" s="4">
        <v>2582</v>
      </c>
      <c r="F2054" s="188" t="s">
        <v>6922</v>
      </c>
      <c r="G2054" s="188" t="s">
        <v>6923</v>
      </c>
      <c r="H2054" s="4" t="s">
        <v>6924</v>
      </c>
      <c r="I2054" s="4" t="s">
        <v>1664</v>
      </c>
      <c r="J2054" s="4" t="s">
        <v>6706</v>
      </c>
      <c r="K2054" s="4">
        <v>1</v>
      </c>
      <c r="L2054" s="4">
        <v>2985</v>
      </c>
      <c r="U2054"/>
      <c r="Y2054" s="260"/>
    </row>
    <row r="2055" spans="1:53" ht="14.25" customHeight="1" x14ac:dyDescent="0.2">
      <c r="B2055" s="193">
        <v>14</v>
      </c>
      <c r="C2055" s="188" t="s">
        <v>6099</v>
      </c>
      <c r="D2055" s="188" t="s">
        <v>6930</v>
      </c>
      <c r="E2055" s="4">
        <v>2562</v>
      </c>
      <c r="F2055" s="188" t="s">
        <v>6931</v>
      </c>
      <c r="G2055" s="188" t="s">
        <v>6932</v>
      </c>
      <c r="H2055" s="4" t="s">
        <v>6933</v>
      </c>
      <c r="I2055" s="4" t="s">
        <v>1664</v>
      </c>
      <c r="J2055" s="4" t="s">
        <v>5996</v>
      </c>
      <c r="K2055" s="4">
        <v>1</v>
      </c>
      <c r="L2055" s="4">
        <v>2965</v>
      </c>
      <c r="U2055"/>
      <c r="Y2055" s="260"/>
    </row>
    <row r="2056" spans="1:53" ht="14.25" customHeight="1" x14ac:dyDescent="0.2">
      <c r="B2056" s="193">
        <v>14</v>
      </c>
      <c r="C2056" s="188" t="s">
        <v>6099</v>
      </c>
      <c r="D2056" s="188" t="s">
        <v>6934</v>
      </c>
      <c r="E2056" s="4">
        <v>2524</v>
      </c>
      <c r="F2056" s="188" t="s">
        <v>6935</v>
      </c>
      <c r="G2056" s="188" t="s">
        <v>6936</v>
      </c>
      <c r="H2056" s="4" t="s">
        <v>6937</v>
      </c>
      <c r="I2056" s="4" t="s">
        <v>1664</v>
      </c>
      <c r="J2056" s="4" t="s">
        <v>6645</v>
      </c>
      <c r="K2056" s="4">
        <v>1</v>
      </c>
      <c r="L2056" s="4">
        <v>2927</v>
      </c>
      <c r="M2056" s="9">
        <v>-121.3548333</v>
      </c>
      <c r="N2056" s="9">
        <v>52.831666669999997</v>
      </c>
      <c r="O2056" s="9">
        <v>1670</v>
      </c>
      <c r="P2056" s="9" t="s">
        <v>6934</v>
      </c>
      <c r="Q2056" s="70">
        <v>5</v>
      </c>
      <c r="R2056" s="9" t="s">
        <v>6938</v>
      </c>
      <c r="S2056" s="9" t="s">
        <v>6646</v>
      </c>
      <c r="U2056"/>
      <c r="Y2056" s="260"/>
    </row>
    <row r="2057" spans="1:53" ht="14.25" customHeight="1" x14ac:dyDescent="0.2">
      <c r="B2057" s="193">
        <v>14</v>
      </c>
      <c r="C2057" s="188" t="s">
        <v>6099</v>
      </c>
      <c r="D2057" s="188" t="s">
        <v>6939</v>
      </c>
      <c r="E2057" s="4">
        <v>2512</v>
      </c>
      <c r="F2057" s="188" t="s">
        <v>1377</v>
      </c>
      <c r="G2057" s="188" t="s">
        <v>6940</v>
      </c>
      <c r="H2057" s="4" t="s">
        <v>6941</v>
      </c>
      <c r="I2057" s="4" t="s">
        <v>1664</v>
      </c>
      <c r="J2057" s="4" t="s">
        <v>6645</v>
      </c>
      <c r="K2057" s="4">
        <v>1</v>
      </c>
      <c r="L2057" s="4">
        <v>2915</v>
      </c>
      <c r="M2057" s="9">
        <v>-118.54766669999999</v>
      </c>
      <c r="N2057" s="9">
        <v>52.90666667</v>
      </c>
      <c r="O2057" s="9">
        <v>1860</v>
      </c>
      <c r="P2057" s="9" t="s">
        <v>6939</v>
      </c>
      <c r="Q2057" s="70">
        <v>6</v>
      </c>
      <c r="R2057" s="9" t="s">
        <v>6942</v>
      </c>
      <c r="S2057" s="9" t="s">
        <v>6646</v>
      </c>
      <c r="U2057"/>
      <c r="Y2057" s="260"/>
    </row>
    <row r="2058" spans="1:53" ht="14.25" customHeight="1" x14ac:dyDescent="0.2">
      <c r="B2058" s="223"/>
      <c r="C2058" s="203"/>
      <c r="D2058" s="192"/>
      <c r="F2058" s="192"/>
      <c r="G2058" s="192"/>
      <c r="M2058" s="233">
        <v>57.686050000000002</v>
      </c>
      <c r="N2058" s="233">
        <v>-130.48871</v>
      </c>
      <c r="O2058" s="233" t="s">
        <v>1577</v>
      </c>
      <c r="P2058" s="233" t="s">
        <v>7148</v>
      </c>
      <c r="Q2058" s="243">
        <v>7</v>
      </c>
      <c r="R2058" s="233" t="s">
        <v>7149</v>
      </c>
      <c r="S2058" s="233" t="str">
        <f>UPPER(R2058)</f>
        <v>MT. EDZIZA</v>
      </c>
      <c r="T2058" s="233" t="s">
        <v>4344</v>
      </c>
      <c r="U2058" s="233">
        <v>1661</v>
      </c>
      <c r="V2058" s="233"/>
      <c r="W2058" s="233" t="s">
        <v>7150</v>
      </c>
      <c r="X2058" s="258" t="s">
        <v>7151</v>
      </c>
      <c r="Y2058" s="327" t="s">
        <v>7140</v>
      </c>
    </row>
    <row r="2059" spans="1:53" ht="14.25" customHeight="1" x14ac:dyDescent="0.2">
      <c r="B2059" s="223"/>
      <c r="C2059" s="203"/>
      <c r="D2059" s="192"/>
      <c r="F2059" s="192"/>
      <c r="G2059" s="192"/>
      <c r="M2059" s="233">
        <v>50.593600000000002</v>
      </c>
      <c r="N2059" s="233">
        <v>-119.9211</v>
      </c>
      <c r="O2059" s="233" t="s">
        <v>142</v>
      </c>
      <c r="P2059" s="233" t="s">
        <v>7156</v>
      </c>
      <c r="Q2059" s="243">
        <v>2</v>
      </c>
      <c r="R2059" s="233" t="s">
        <v>7157</v>
      </c>
      <c r="S2059" s="233" t="str">
        <f>UPPER(R2059)</f>
        <v>DUCK HILL RANCH (IDFXH2)</v>
      </c>
      <c r="T2059" s="233" t="s">
        <v>4344</v>
      </c>
      <c r="U2059" s="233">
        <v>700</v>
      </c>
      <c r="V2059" s="233"/>
      <c r="W2059" s="233" t="s">
        <v>7158</v>
      </c>
      <c r="X2059" s="258" t="s">
        <v>7159</v>
      </c>
      <c r="Y2059" s="327" t="s">
        <v>7160</v>
      </c>
    </row>
    <row r="2060" spans="1:53" ht="14.25" customHeight="1" x14ac:dyDescent="0.2">
      <c r="A2060" s="166"/>
      <c r="B2060" s="282">
        <v>11</v>
      </c>
      <c r="C2060" s="285" t="s">
        <v>7179</v>
      </c>
      <c r="D2060" s="288" t="s">
        <v>7199</v>
      </c>
      <c r="E2060" s="167">
        <v>13047</v>
      </c>
      <c r="F2060" s="288" t="s">
        <v>7199</v>
      </c>
      <c r="G2060" s="288" t="s">
        <v>7200</v>
      </c>
      <c r="H2060" s="167" t="s">
        <v>84</v>
      </c>
      <c r="I2060" s="167" t="s">
        <v>49</v>
      </c>
      <c r="J2060" s="166"/>
      <c r="K2060" s="167">
        <v>1</v>
      </c>
      <c r="L2060" s="167">
        <v>14979</v>
      </c>
      <c r="M2060" s="168">
        <v>49.771599999999999</v>
      </c>
      <c r="N2060" s="168">
        <v>-117.1949</v>
      </c>
      <c r="O2060" s="168" t="s">
        <v>170</v>
      </c>
      <c r="P2060" s="168" t="s">
        <v>7201</v>
      </c>
      <c r="Q2060" s="169">
        <v>7</v>
      </c>
      <c r="R2060" s="168" t="s">
        <v>7199</v>
      </c>
      <c r="S2060" s="170" t="str">
        <f>UPPER(R2060)</f>
        <v>WADF7 KOKANEE</v>
      </c>
      <c r="T2060" s="168" t="s">
        <v>4344</v>
      </c>
      <c r="U2060" s="168">
        <v>1970</v>
      </c>
      <c r="V2060" s="168" t="s">
        <v>645</v>
      </c>
      <c r="W2060" s="168" t="s">
        <v>7202</v>
      </c>
      <c r="X2060" s="171" t="s">
        <v>7184</v>
      </c>
      <c r="Y2060" s="328" t="s">
        <v>7185</v>
      </c>
      <c r="Z2060" s="166"/>
      <c r="AA2060" s="166"/>
      <c r="AB2060" s="166"/>
      <c r="AC2060" s="166"/>
      <c r="AD2060" s="166"/>
      <c r="AE2060" s="166"/>
      <c r="AF2060" s="166"/>
      <c r="AG2060" s="166"/>
      <c r="AH2060" s="166"/>
      <c r="AI2060" s="166"/>
      <c r="AJ2060" s="166"/>
      <c r="AK2060" s="166"/>
      <c r="AL2060" s="166"/>
      <c r="AM2060" s="166"/>
      <c r="AN2060" s="166"/>
      <c r="AO2060" s="166"/>
      <c r="AP2060" s="166"/>
      <c r="AQ2060" s="166"/>
      <c r="AR2060" s="166"/>
      <c r="AS2060" s="166"/>
      <c r="AT2060" s="166"/>
      <c r="AU2060" s="166"/>
      <c r="AV2060" s="166"/>
      <c r="AW2060" s="166"/>
      <c r="AX2060" s="166"/>
      <c r="AY2060" s="166"/>
      <c r="AZ2060" s="166"/>
      <c r="BA2060" s="166"/>
    </row>
    <row r="2061" spans="1:53" ht="14.25" customHeight="1" x14ac:dyDescent="0.2">
      <c r="A2061" s="158"/>
      <c r="B2061" s="281">
        <v>11</v>
      </c>
      <c r="C2061" s="284" t="s">
        <v>7179</v>
      </c>
      <c r="D2061" s="287" t="s">
        <v>7240</v>
      </c>
      <c r="E2061" s="159">
        <v>13048</v>
      </c>
      <c r="F2061" s="287" t="s">
        <v>7240</v>
      </c>
      <c r="G2061" s="287" t="s">
        <v>7241</v>
      </c>
      <c r="H2061" s="159" t="s">
        <v>84</v>
      </c>
      <c r="I2061" s="159" t="s">
        <v>49</v>
      </c>
      <c r="J2061" s="158"/>
      <c r="K2061" s="159">
        <v>1</v>
      </c>
      <c r="L2061" s="159">
        <v>14980</v>
      </c>
      <c r="M2061" s="161"/>
      <c r="N2061" s="161"/>
      <c r="O2061" s="161"/>
      <c r="P2061" s="161"/>
      <c r="Q2061" s="162"/>
      <c r="R2061" s="161"/>
      <c r="S2061" s="163"/>
      <c r="T2061" s="161"/>
      <c r="U2061" s="161"/>
      <c r="V2061" s="161"/>
      <c r="W2061" s="161"/>
      <c r="X2061" s="164"/>
      <c r="Y2061" s="326" t="s">
        <v>7185</v>
      </c>
      <c r="Z2061" s="158"/>
      <c r="AA2061" s="158"/>
      <c r="AB2061" s="158"/>
      <c r="AC2061" s="158"/>
      <c r="AD2061" s="158"/>
      <c r="AE2061" s="158"/>
      <c r="AF2061" s="158"/>
      <c r="AG2061" s="158"/>
      <c r="AH2061" s="158"/>
      <c r="AI2061" s="158"/>
      <c r="AJ2061" s="158"/>
      <c r="AK2061" s="158"/>
      <c r="AL2061" s="158"/>
      <c r="AM2061" s="158"/>
      <c r="AN2061" s="158"/>
      <c r="AO2061" s="158"/>
      <c r="AP2061" s="158"/>
      <c r="AQ2061" s="158"/>
      <c r="AR2061" s="158"/>
      <c r="AS2061" s="158"/>
      <c r="AT2061" s="158"/>
      <c r="AU2061" s="158"/>
      <c r="AV2061" s="158"/>
      <c r="AW2061" s="158"/>
      <c r="AX2061" s="158"/>
      <c r="AY2061" s="158"/>
      <c r="AZ2061" s="158"/>
      <c r="BA2061" s="158"/>
    </row>
    <row r="2062" spans="1:53" ht="14.25" customHeight="1" x14ac:dyDescent="0.2">
      <c r="A2062" s="158"/>
      <c r="B2062" s="281">
        <v>11</v>
      </c>
      <c r="C2062" s="284" t="s">
        <v>7179</v>
      </c>
      <c r="D2062" s="287" t="s">
        <v>7242</v>
      </c>
      <c r="E2062" s="159">
        <v>13049</v>
      </c>
      <c r="F2062" s="287" t="s">
        <v>7242</v>
      </c>
      <c r="G2062" s="287" t="s">
        <v>7243</v>
      </c>
      <c r="H2062" s="159" t="s">
        <v>84</v>
      </c>
      <c r="I2062" s="159" t="s">
        <v>49</v>
      </c>
      <c r="J2062" s="158"/>
      <c r="K2062" s="159">
        <v>1</v>
      </c>
      <c r="L2062" s="159">
        <v>14981</v>
      </c>
      <c r="M2062" s="161"/>
      <c r="N2062" s="161"/>
      <c r="O2062" s="161"/>
      <c r="P2062" s="161"/>
      <c r="Q2062" s="162"/>
      <c r="R2062" s="161"/>
      <c r="S2062" s="163"/>
      <c r="T2062" s="161"/>
      <c r="U2062" s="161"/>
      <c r="V2062" s="161"/>
      <c r="W2062" s="161"/>
      <c r="X2062" s="164"/>
      <c r="Y2062" s="326" t="s">
        <v>7185</v>
      </c>
      <c r="Z2062" s="158"/>
      <c r="AA2062" s="158"/>
      <c r="AB2062" s="158"/>
      <c r="AC2062" s="158"/>
      <c r="AD2062" s="158"/>
      <c r="AE2062" s="158"/>
      <c r="AF2062" s="158"/>
      <c r="AG2062" s="158"/>
      <c r="AH2062" s="158"/>
      <c r="AI2062" s="158"/>
      <c r="AJ2062" s="158"/>
      <c r="AK2062" s="158"/>
      <c r="AL2062" s="158"/>
      <c r="AM2062" s="158"/>
      <c r="AN2062" s="158"/>
      <c r="AO2062" s="158"/>
      <c r="AP2062" s="158"/>
      <c r="AQ2062" s="158"/>
      <c r="AR2062" s="158"/>
      <c r="AS2062" s="158"/>
      <c r="AT2062" s="158"/>
      <c r="AU2062" s="158"/>
      <c r="AV2062" s="158"/>
      <c r="AW2062" s="158"/>
      <c r="AX2062" s="158"/>
      <c r="AY2062" s="158"/>
      <c r="AZ2062" s="158"/>
      <c r="BA2062" s="158"/>
    </row>
    <row r="2063" spans="1:53" ht="14.25" customHeight="1" x14ac:dyDescent="0.2">
      <c r="A2063" s="158"/>
      <c r="B2063" s="281">
        <v>11</v>
      </c>
      <c r="C2063" s="284" t="s">
        <v>7179</v>
      </c>
      <c r="D2063" s="287" t="s">
        <v>7244</v>
      </c>
      <c r="E2063" s="159">
        <v>13050</v>
      </c>
      <c r="F2063" s="287" t="s">
        <v>7244</v>
      </c>
      <c r="G2063" s="287" t="s">
        <v>7245</v>
      </c>
      <c r="H2063" s="159" t="s">
        <v>84</v>
      </c>
      <c r="I2063" s="159" t="s">
        <v>49</v>
      </c>
      <c r="J2063" s="158"/>
      <c r="K2063" s="159">
        <v>1</v>
      </c>
      <c r="L2063" s="159">
        <v>14982</v>
      </c>
      <c r="M2063" s="161"/>
      <c r="N2063" s="161"/>
      <c r="O2063" s="161"/>
      <c r="P2063" s="161"/>
      <c r="Q2063" s="162"/>
      <c r="R2063" s="161"/>
      <c r="S2063" s="163"/>
      <c r="T2063" s="161"/>
      <c r="U2063" s="161"/>
      <c r="V2063" s="161"/>
      <c r="W2063" s="161"/>
      <c r="X2063" s="164"/>
      <c r="Y2063" s="326" t="s">
        <v>7185</v>
      </c>
      <c r="Z2063" s="158"/>
      <c r="AA2063" s="158"/>
      <c r="AB2063" s="158"/>
      <c r="AC2063" s="158"/>
      <c r="AD2063" s="158"/>
      <c r="AE2063" s="158"/>
      <c r="AF2063" s="158"/>
      <c r="AG2063" s="158"/>
      <c r="AH2063" s="158"/>
      <c r="AI2063" s="158"/>
      <c r="AJ2063" s="158"/>
      <c r="AK2063" s="158"/>
      <c r="AL2063" s="158"/>
      <c r="AM2063" s="158"/>
      <c r="AN2063" s="158"/>
      <c r="AO2063" s="158"/>
      <c r="AP2063" s="158"/>
      <c r="AQ2063" s="158"/>
      <c r="AR2063" s="158"/>
      <c r="AS2063" s="158"/>
      <c r="AT2063" s="158"/>
      <c r="AU2063" s="158"/>
      <c r="AV2063" s="158"/>
      <c r="AW2063" s="158"/>
      <c r="AX2063" s="158"/>
      <c r="AY2063" s="158"/>
      <c r="AZ2063" s="158"/>
      <c r="BA2063" s="158"/>
    </row>
    <row r="2064" spans="1:53" ht="14.25" customHeight="1" x14ac:dyDescent="0.2">
      <c r="A2064" s="135"/>
      <c r="B2064" s="280">
        <v>11</v>
      </c>
      <c r="C2064" s="283" t="s">
        <v>7179</v>
      </c>
      <c r="D2064" s="181" t="s">
        <v>7246</v>
      </c>
      <c r="E2064" s="136">
        <v>13182</v>
      </c>
      <c r="F2064" s="283" t="s">
        <v>7247</v>
      </c>
      <c r="G2064" s="181" t="s">
        <v>7248</v>
      </c>
      <c r="H2064" s="136" t="s">
        <v>7249</v>
      </c>
      <c r="I2064" s="136" t="s">
        <v>49</v>
      </c>
      <c r="J2064" s="137" t="s">
        <v>7250</v>
      </c>
      <c r="K2064" s="136">
        <v>1</v>
      </c>
      <c r="L2064" s="136">
        <v>15104</v>
      </c>
      <c r="M2064" s="138">
        <v>54.510444</v>
      </c>
      <c r="N2064" s="138">
        <v>-126.614341</v>
      </c>
      <c r="O2064" s="138" t="s">
        <v>148</v>
      </c>
      <c r="P2064" s="138" t="s">
        <v>7246</v>
      </c>
      <c r="Q2064" s="139">
        <v>4</v>
      </c>
      <c r="R2064" s="138" t="s">
        <v>7247</v>
      </c>
      <c r="S2064" s="140" t="str">
        <f t="shared" ref="S2064:S2074" si="15">UPPER(R2064)</f>
        <v>BARRENWX</v>
      </c>
      <c r="T2064" s="138" t="s">
        <v>4344</v>
      </c>
      <c r="U2064" s="138">
        <v>1051</v>
      </c>
      <c r="V2064" s="138"/>
      <c r="W2064" s="138"/>
      <c r="X2064" s="141" t="s">
        <v>7251</v>
      </c>
      <c r="Y2064" s="144" t="s">
        <v>7252</v>
      </c>
    </row>
    <row r="2065" spans="1:27" ht="14.25" customHeight="1" x14ac:dyDescent="0.2">
      <c r="A2065" s="135"/>
      <c r="B2065" s="143">
        <v>11</v>
      </c>
      <c r="C2065" s="283" t="s">
        <v>7179</v>
      </c>
      <c r="D2065" s="181" t="s">
        <v>7283</v>
      </c>
      <c r="E2065" s="136">
        <v>12057</v>
      </c>
      <c r="F2065" s="181" t="s">
        <v>7284</v>
      </c>
      <c r="G2065" s="181" t="s">
        <v>7285</v>
      </c>
      <c r="H2065" s="136" t="s">
        <v>7286</v>
      </c>
      <c r="I2065" s="136" t="s">
        <v>641</v>
      </c>
      <c r="J2065" s="136" t="s">
        <v>7287</v>
      </c>
      <c r="K2065" s="136">
        <v>1</v>
      </c>
      <c r="L2065" s="136">
        <v>14113</v>
      </c>
      <c r="M2065" s="138">
        <v>52.709820000000001</v>
      </c>
      <c r="N2065" s="138">
        <v>-119.19126</v>
      </c>
      <c r="O2065" s="138" t="s">
        <v>170</v>
      </c>
      <c r="P2065" s="138" t="s">
        <v>7284</v>
      </c>
      <c r="Q2065" s="139">
        <v>8</v>
      </c>
      <c r="R2065" s="138" t="s">
        <v>7284</v>
      </c>
      <c r="S2065" s="140" t="str">
        <f t="shared" si="15"/>
        <v>CANOE MOUNTAIN STN</v>
      </c>
      <c r="T2065" s="138" t="s">
        <v>4344</v>
      </c>
      <c r="U2065" s="138">
        <v>2210</v>
      </c>
      <c r="V2065" s="138"/>
      <c r="W2065" s="138" t="s">
        <v>7288</v>
      </c>
      <c r="X2065" s="141" t="s">
        <v>7289</v>
      </c>
      <c r="Y2065" s="144" t="s">
        <v>7252</v>
      </c>
    </row>
    <row r="2066" spans="1:27" ht="14.25" customHeight="1" x14ac:dyDescent="0.2">
      <c r="A2066" s="135"/>
      <c r="B2066" s="143">
        <v>11</v>
      </c>
      <c r="C2066" s="283" t="s">
        <v>7179</v>
      </c>
      <c r="D2066" s="181" t="s">
        <v>7290</v>
      </c>
      <c r="E2066" s="136">
        <v>13220</v>
      </c>
      <c r="F2066" s="181" t="s">
        <v>7290</v>
      </c>
      <c r="G2066" s="181" t="s">
        <v>7291</v>
      </c>
      <c r="H2066" s="136" t="s">
        <v>7292</v>
      </c>
      <c r="I2066" s="136" t="s">
        <v>49</v>
      </c>
      <c r="J2066" s="136" t="s">
        <v>7287</v>
      </c>
      <c r="K2066" s="136">
        <v>1</v>
      </c>
      <c r="L2066" s="136">
        <v>15136</v>
      </c>
      <c r="M2066" s="138">
        <v>58.35718</v>
      </c>
      <c r="N2066" s="138">
        <v>-129.54637</v>
      </c>
      <c r="O2066" s="138" t="s">
        <v>1577</v>
      </c>
      <c r="P2066" s="138" t="s">
        <v>7293</v>
      </c>
      <c r="Q2066" s="139">
        <v>8</v>
      </c>
      <c r="R2066" s="138" t="s">
        <v>7290</v>
      </c>
      <c r="S2066" s="140" t="str">
        <f t="shared" si="15"/>
        <v>CARIBOU PASS</v>
      </c>
      <c r="T2066" s="138" t="s">
        <v>4344</v>
      </c>
      <c r="U2066" s="138">
        <v>1744</v>
      </c>
      <c r="V2066" s="138"/>
      <c r="W2066" s="138" t="s">
        <v>7294</v>
      </c>
      <c r="X2066" s="141" t="s">
        <v>7295</v>
      </c>
      <c r="Y2066" s="144" t="s">
        <v>7252</v>
      </c>
    </row>
    <row r="2067" spans="1:27" ht="14.25" customHeight="1" x14ac:dyDescent="0.2">
      <c r="A2067" s="135"/>
      <c r="B2067" s="143">
        <v>11</v>
      </c>
      <c r="C2067" s="283" t="s">
        <v>7179</v>
      </c>
      <c r="D2067" s="181" t="s">
        <v>7296</v>
      </c>
      <c r="E2067" s="136">
        <v>13184</v>
      </c>
      <c r="F2067" s="181" t="s">
        <v>7297</v>
      </c>
      <c r="G2067" s="136" t="s">
        <v>7298</v>
      </c>
      <c r="H2067" s="136" t="s">
        <v>7299</v>
      </c>
      <c r="I2067" s="136" t="s">
        <v>49</v>
      </c>
      <c r="J2067" s="136" t="s">
        <v>7250</v>
      </c>
      <c r="K2067" s="136">
        <v>1</v>
      </c>
      <c r="L2067" s="136">
        <v>15106</v>
      </c>
      <c r="M2067" s="138">
        <v>54.883902999999997</v>
      </c>
      <c r="N2067" s="138">
        <v>-126.62353299999999</v>
      </c>
      <c r="O2067" s="138" t="s">
        <v>1290</v>
      </c>
      <c r="P2067" s="145" t="s">
        <v>7296</v>
      </c>
      <c r="Q2067" s="139">
        <v>2</v>
      </c>
      <c r="R2067" s="138" t="s">
        <v>7297</v>
      </c>
      <c r="S2067" s="140" t="str">
        <f t="shared" si="15"/>
        <v>CHAPMANWX</v>
      </c>
      <c r="T2067" s="138" t="s">
        <v>4344</v>
      </c>
      <c r="U2067" s="138">
        <v>848</v>
      </c>
      <c r="V2067" s="138"/>
      <c r="W2067" s="138"/>
      <c r="X2067" s="141" t="s">
        <v>7300</v>
      </c>
      <c r="Y2067" s="144" t="s">
        <v>7252</v>
      </c>
    </row>
    <row r="2068" spans="1:27" ht="14.25" customHeight="1" x14ac:dyDescent="0.2">
      <c r="A2068" s="135"/>
      <c r="B2068" s="143">
        <v>11</v>
      </c>
      <c r="C2068" s="137" t="s">
        <v>7179</v>
      </c>
      <c r="D2068" s="136" t="s">
        <v>7309</v>
      </c>
      <c r="E2068" s="136">
        <v>12439</v>
      </c>
      <c r="F2068" s="136" t="s">
        <v>7310</v>
      </c>
      <c r="G2068" s="136" t="s">
        <v>7311</v>
      </c>
      <c r="H2068" s="136" t="s">
        <v>7312</v>
      </c>
      <c r="I2068" s="136" t="s">
        <v>49</v>
      </c>
      <c r="J2068" s="136" t="s">
        <v>7313</v>
      </c>
      <c r="K2068" s="136">
        <v>1</v>
      </c>
      <c r="L2068" s="136">
        <v>14461</v>
      </c>
      <c r="M2068" s="138">
        <v>53.741138999999997</v>
      </c>
      <c r="N2068" s="138">
        <v>-121.784639</v>
      </c>
      <c r="O2068" s="138" t="s">
        <v>170</v>
      </c>
      <c r="P2068" s="138" t="s">
        <v>7309</v>
      </c>
      <c r="Q2068" s="139">
        <v>1</v>
      </c>
      <c r="R2068" s="138" t="s">
        <v>7309</v>
      </c>
      <c r="S2068" s="140" t="str">
        <f t="shared" si="15"/>
        <v>COALMINEWX</v>
      </c>
      <c r="T2068" s="138" t="s">
        <v>4344</v>
      </c>
      <c r="U2068" s="138">
        <v>840</v>
      </c>
      <c r="V2068" s="138"/>
      <c r="W2068" s="138" t="s">
        <v>7314</v>
      </c>
      <c r="X2068" s="141" t="s">
        <v>7315</v>
      </c>
      <c r="Y2068" s="144" t="s">
        <v>7252</v>
      </c>
    </row>
    <row r="2069" spans="1:27" ht="14.25" customHeight="1" x14ac:dyDescent="0.2">
      <c r="A2069" s="135"/>
      <c r="B2069" s="143">
        <v>11</v>
      </c>
      <c r="C2069" s="137" t="s">
        <v>7179</v>
      </c>
      <c r="D2069" s="136" t="s">
        <v>7362</v>
      </c>
      <c r="E2069" s="136">
        <v>12433</v>
      </c>
      <c r="F2069" s="136" t="s">
        <v>7363</v>
      </c>
      <c r="G2069" s="136" t="s">
        <v>7364</v>
      </c>
      <c r="H2069" s="136" t="s">
        <v>7365</v>
      </c>
      <c r="I2069" s="136" t="s">
        <v>641</v>
      </c>
      <c r="J2069" s="136" t="s">
        <v>7287</v>
      </c>
      <c r="K2069" s="136">
        <v>1</v>
      </c>
      <c r="L2069" s="136">
        <v>14455</v>
      </c>
      <c r="M2069" s="138">
        <v>58.182749999999999</v>
      </c>
      <c r="N2069" s="138">
        <v>-129.89044000000001</v>
      </c>
      <c r="O2069" s="138" t="s">
        <v>1577</v>
      </c>
      <c r="P2069" s="138" t="s">
        <v>7362</v>
      </c>
      <c r="Q2069" s="139">
        <v>7</v>
      </c>
      <c r="R2069" s="138" t="s">
        <v>7362</v>
      </c>
      <c r="S2069" s="140" t="str">
        <f t="shared" si="15"/>
        <v>GNAT PASS STN</v>
      </c>
      <c r="T2069" s="138" t="s">
        <v>4344</v>
      </c>
      <c r="U2069" s="138">
        <v>1656</v>
      </c>
      <c r="V2069" s="138" t="s">
        <v>645</v>
      </c>
      <c r="W2069" s="138" t="s">
        <v>7366</v>
      </c>
      <c r="X2069" s="141" t="s">
        <v>7367</v>
      </c>
      <c r="Y2069" s="144" t="s">
        <v>7252</v>
      </c>
    </row>
    <row r="2070" spans="1:27" ht="14.25" customHeight="1" x14ac:dyDescent="0.2">
      <c r="A2070" s="135"/>
      <c r="B2070" s="143">
        <v>11</v>
      </c>
      <c r="C2070" s="137" t="s">
        <v>7179</v>
      </c>
      <c r="D2070" s="136" t="s">
        <v>7368</v>
      </c>
      <c r="E2070" s="136">
        <v>12435</v>
      </c>
      <c r="F2070" s="136" t="s">
        <v>7369</v>
      </c>
      <c r="G2070" s="136" t="s">
        <v>7370</v>
      </c>
      <c r="H2070" s="136" t="s">
        <v>7371</v>
      </c>
      <c r="I2070" s="136" t="s">
        <v>49</v>
      </c>
      <c r="J2070" s="136" t="s">
        <v>7287</v>
      </c>
      <c r="K2070" s="136">
        <v>1</v>
      </c>
      <c r="L2070" s="136">
        <v>14457</v>
      </c>
      <c r="M2070" s="138">
        <v>58.745694</v>
      </c>
      <c r="N2070" s="138">
        <v>-123.977778</v>
      </c>
      <c r="O2070" s="138" t="s">
        <v>2008</v>
      </c>
      <c r="P2070" s="138" t="s">
        <v>7368</v>
      </c>
      <c r="Q2070" s="139">
        <v>8</v>
      </c>
      <c r="R2070" s="138" t="s">
        <v>7369</v>
      </c>
      <c r="S2070" s="140" t="str">
        <f t="shared" si="15"/>
        <v>GUNNEL3</v>
      </c>
      <c r="T2070" s="138" t="s">
        <v>4344</v>
      </c>
      <c r="U2070" s="138">
        <v>1486</v>
      </c>
      <c r="V2070" s="138"/>
      <c r="W2070" s="138" t="s">
        <v>7372</v>
      </c>
      <c r="X2070" s="141" t="s">
        <v>7373</v>
      </c>
      <c r="Y2070" s="144" t="s">
        <v>7252</v>
      </c>
    </row>
    <row r="2071" spans="1:27" ht="14.25" customHeight="1" x14ac:dyDescent="0.2">
      <c r="A2071" s="135"/>
      <c r="B2071" s="143">
        <v>11</v>
      </c>
      <c r="C2071" s="137" t="s">
        <v>7179</v>
      </c>
      <c r="D2071" s="205" t="str">
        <f>CONCATENATE("'-&gt; ",P2071)</f>
        <v>'-&gt; MF1</v>
      </c>
      <c r="E2071" s="136">
        <v>1596</v>
      </c>
      <c r="F2071" s="136" t="s">
        <v>7433</v>
      </c>
      <c r="G2071" s="136" t="s">
        <v>7434</v>
      </c>
      <c r="H2071" s="136" t="s">
        <v>7435</v>
      </c>
      <c r="I2071" s="136" t="s">
        <v>641</v>
      </c>
      <c r="J2071" s="136" t="s">
        <v>7313</v>
      </c>
      <c r="K2071" s="136">
        <v>1</v>
      </c>
      <c r="L2071" s="136">
        <v>1999</v>
      </c>
      <c r="M2071" s="138">
        <v>57.550916999999998</v>
      </c>
      <c r="N2071" s="138">
        <v>-122.7963</v>
      </c>
      <c r="O2071" s="138" t="s">
        <v>2008</v>
      </c>
      <c r="P2071" s="138" t="s">
        <v>7436</v>
      </c>
      <c r="Q2071" s="139">
        <v>8</v>
      </c>
      <c r="R2071" s="138" t="s">
        <v>7433</v>
      </c>
      <c r="S2071" s="140" t="str">
        <f t="shared" si="15"/>
        <v>MIDDLEFORKWX</v>
      </c>
      <c r="T2071" s="138" t="s">
        <v>4344</v>
      </c>
      <c r="U2071" s="138">
        <v>972</v>
      </c>
      <c r="V2071" s="138"/>
      <c r="W2071" s="138" t="s">
        <v>7437</v>
      </c>
      <c r="X2071" s="141" t="s">
        <v>7438</v>
      </c>
      <c r="Y2071" s="144" t="s">
        <v>7252</v>
      </c>
    </row>
    <row r="2072" spans="1:27" ht="14.25" customHeight="1" x14ac:dyDescent="0.2">
      <c r="A2072" s="135"/>
      <c r="B2072" s="143">
        <v>11</v>
      </c>
      <c r="C2072" s="137" t="s">
        <v>7179</v>
      </c>
      <c r="D2072" s="205" t="str">
        <f>CONCATENATE("'-&gt; ",P2072)</f>
        <v>'-&gt; Nonda1</v>
      </c>
      <c r="E2072" s="136">
        <v>1594</v>
      </c>
      <c r="F2072" s="136" t="s">
        <v>7439</v>
      </c>
      <c r="G2072" s="136" t="s">
        <v>7440</v>
      </c>
      <c r="H2072" s="136" t="s">
        <v>7441</v>
      </c>
      <c r="I2072" s="136" t="s">
        <v>641</v>
      </c>
      <c r="J2072" s="136" t="s">
        <v>7287</v>
      </c>
      <c r="K2072" s="136">
        <v>1</v>
      </c>
      <c r="L2072" s="136">
        <v>1997</v>
      </c>
      <c r="M2072" s="138">
        <v>59.002110999999999</v>
      </c>
      <c r="N2072" s="138">
        <v>-125.509361</v>
      </c>
      <c r="O2072" s="138" t="s">
        <v>1577</v>
      </c>
      <c r="P2072" s="138" t="s">
        <v>7442</v>
      </c>
      <c r="Q2072" s="139">
        <v>7</v>
      </c>
      <c r="R2072" s="138" t="s">
        <v>7439</v>
      </c>
      <c r="S2072" s="140" t="str">
        <f t="shared" si="15"/>
        <v>NONDAWX</v>
      </c>
      <c r="T2072" s="138" t="s">
        <v>4344</v>
      </c>
      <c r="U2072" s="138">
        <v>1683</v>
      </c>
      <c r="V2072" s="138" t="s">
        <v>645</v>
      </c>
      <c r="W2072" s="138" t="s">
        <v>7443</v>
      </c>
      <c r="X2072" s="141" t="s">
        <v>7444</v>
      </c>
      <c r="Y2072" s="144" t="s">
        <v>7252</v>
      </c>
    </row>
    <row r="2073" spans="1:27" ht="14.25" customHeight="1" x14ac:dyDescent="0.2">
      <c r="A2073" s="135"/>
      <c r="B2073" s="143">
        <v>11</v>
      </c>
      <c r="C2073" s="137" t="s">
        <v>7179</v>
      </c>
      <c r="D2073" s="136" t="s">
        <v>7445</v>
      </c>
      <c r="E2073" s="136">
        <v>12436</v>
      </c>
      <c r="F2073" s="136" t="s">
        <v>7445</v>
      </c>
      <c r="G2073" s="136" t="s">
        <v>7446</v>
      </c>
      <c r="H2073" s="136" t="s">
        <v>7447</v>
      </c>
      <c r="I2073" s="136" t="s">
        <v>49</v>
      </c>
      <c r="J2073" s="136" t="s">
        <v>7287</v>
      </c>
      <c r="K2073" s="136">
        <v>1</v>
      </c>
      <c r="L2073" s="136">
        <v>14458</v>
      </c>
      <c r="M2073" s="309">
        <v>51.812959999999997</v>
      </c>
      <c r="N2073" s="309">
        <v>-125.03981</v>
      </c>
      <c r="O2073" s="309" t="s">
        <v>142</v>
      </c>
      <c r="P2073" s="309" t="s">
        <v>7445</v>
      </c>
      <c r="Q2073" s="317">
        <v>8</v>
      </c>
      <c r="R2073" s="309" t="s">
        <v>7445</v>
      </c>
      <c r="S2073" s="309" t="str">
        <f t="shared" si="15"/>
        <v>PERKINS PEAK STN</v>
      </c>
      <c r="T2073" s="309" t="s">
        <v>4344</v>
      </c>
      <c r="U2073" s="309">
        <v>2092</v>
      </c>
      <c r="V2073" s="309"/>
      <c r="W2073" s="309" t="s">
        <v>7448</v>
      </c>
      <c r="X2073" s="325" t="s">
        <v>7449</v>
      </c>
      <c r="Y2073" s="329" t="s">
        <v>7252</v>
      </c>
      <c r="Z2073" s="227"/>
      <c r="AA2073" s="227"/>
    </row>
    <row r="2074" spans="1:27" ht="14.25" customHeight="1" x14ac:dyDescent="0.2">
      <c r="A2074" s="135"/>
      <c r="B2074" s="143">
        <v>11</v>
      </c>
      <c r="C2074" s="137" t="s">
        <v>7179</v>
      </c>
      <c r="D2074" s="136">
        <v>1113697</v>
      </c>
      <c r="E2074" s="136">
        <v>1599</v>
      </c>
      <c r="F2074" s="136" t="s">
        <v>7467</v>
      </c>
      <c r="G2074" s="136" t="s">
        <v>7468</v>
      </c>
      <c r="H2074" s="136" t="s">
        <v>7469</v>
      </c>
      <c r="I2074" s="136" t="s">
        <v>641</v>
      </c>
      <c r="J2074" s="136" t="s">
        <v>7287</v>
      </c>
      <c r="K2074" s="136">
        <v>1</v>
      </c>
      <c r="L2074" s="136">
        <v>2002</v>
      </c>
      <c r="M2074" s="138">
        <v>54.773403000000002</v>
      </c>
      <c r="N2074" s="138">
        <v>-127.139994</v>
      </c>
      <c r="O2074" s="138" t="s">
        <v>148</v>
      </c>
      <c r="P2074" s="138" t="s">
        <v>7467</v>
      </c>
      <c r="Q2074" s="139">
        <v>1</v>
      </c>
      <c r="R2074" s="138" t="s">
        <v>7470</v>
      </c>
      <c r="S2074" s="140" t="str">
        <f t="shared" si="15"/>
        <v>SMITHERCMPD</v>
      </c>
      <c r="T2074" s="138" t="s">
        <v>4344</v>
      </c>
      <c r="U2074" s="138">
        <v>484</v>
      </c>
      <c r="V2074" s="138"/>
      <c r="W2074" s="138" t="s">
        <v>7471</v>
      </c>
      <c r="X2074" s="141" t="s">
        <v>7472</v>
      </c>
      <c r="Y2074" s="144" t="s">
        <v>7252</v>
      </c>
    </row>
    <row r="2075" spans="1:27" ht="14.25" customHeight="1" x14ac:dyDescent="0.2">
      <c r="A2075" s="158"/>
      <c r="B2075" s="165">
        <v>11</v>
      </c>
      <c r="C2075" s="160" t="s">
        <v>7179</v>
      </c>
      <c r="D2075" s="159" t="s">
        <v>7581</v>
      </c>
      <c r="E2075" s="159">
        <v>13183</v>
      </c>
      <c r="F2075" s="159" t="s">
        <v>7422</v>
      </c>
      <c r="G2075" s="159" t="s">
        <v>7582</v>
      </c>
      <c r="H2075" s="159" t="s">
        <v>7583</v>
      </c>
      <c r="I2075" s="159" t="s">
        <v>49</v>
      </c>
      <c r="J2075" s="159" t="s">
        <v>7584</v>
      </c>
      <c r="K2075" s="159">
        <v>1</v>
      </c>
      <c r="L2075" s="159">
        <v>15105</v>
      </c>
      <c r="U2075"/>
      <c r="Y2075" s="7"/>
    </row>
    <row r="2076" spans="1:27" ht="14.25" customHeight="1" x14ac:dyDescent="0.2">
      <c r="A2076" s="158"/>
      <c r="B2076" s="165">
        <v>11</v>
      </c>
      <c r="C2076" s="160" t="s">
        <v>7179</v>
      </c>
      <c r="D2076" s="159" t="s">
        <v>7585</v>
      </c>
      <c r="E2076" s="159">
        <v>3352</v>
      </c>
      <c r="F2076" s="159" t="s">
        <v>7586</v>
      </c>
      <c r="G2076" s="159" t="s">
        <v>7587</v>
      </c>
      <c r="H2076" s="159" t="s">
        <v>7588</v>
      </c>
      <c r="I2076" s="159" t="s">
        <v>49</v>
      </c>
      <c r="J2076" s="159" t="s">
        <v>7589</v>
      </c>
      <c r="K2076" s="159">
        <v>1</v>
      </c>
      <c r="L2076" s="159">
        <v>4192</v>
      </c>
      <c r="U2076"/>
      <c r="Y2076" s="7"/>
    </row>
    <row r="2077" spans="1:27" ht="14.25" customHeight="1" x14ac:dyDescent="0.2">
      <c r="A2077" s="158"/>
      <c r="B2077" s="165">
        <v>11</v>
      </c>
      <c r="C2077" s="160" t="s">
        <v>7179</v>
      </c>
      <c r="D2077" s="159" t="s">
        <v>7590</v>
      </c>
      <c r="E2077" s="159">
        <v>3354</v>
      </c>
      <c r="F2077" s="159" t="s">
        <v>7591</v>
      </c>
      <c r="G2077" s="159" t="s">
        <v>7592</v>
      </c>
      <c r="H2077" s="159" t="s">
        <v>7593</v>
      </c>
      <c r="I2077" s="159" t="s">
        <v>49</v>
      </c>
      <c r="J2077" s="159" t="s">
        <v>7594</v>
      </c>
      <c r="K2077" s="159">
        <v>1</v>
      </c>
      <c r="L2077" s="159">
        <v>4194</v>
      </c>
      <c r="U2077"/>
      <c r="Y2077" s="7"/>
    </row>
    <row r="2078" spans="1:27" ht="14.25" customHeight="1" x14ac:dyDescent="0.2">
      <c r="A2078" s="158"/>
      <c r="B2078" s="165">
        <v>11</v>
      </c>
      <c r="C2078" s="160" t="s">
        <v>7179</v>
      </c>
      <c r="D2078" s="159" t="s">
        <v>7595</v>
      </c>
      <c r="E2078" s="159">
        <v>3353</v>
      </c>
      <c r="F2078" s="159" t="s">
        <v>7596</v>
      </c>
      <c r="G2078" s="159" t="s">
        <v>7597</v>
      </c>
      <c r="H2078" s="159" t="s">
        <v>7598</v>
      </c>
      <c r="I2078" s="159" t="s">
        <v>49</v>
      </c>
      <c r="J2078" s="159" t="s">
        <v>7599</v>
      </c>
      <c r="K2078" s="159">
        <v>1</v>
      </c>
      <c r="L2078" s="159">
        <v>4193</v>
      </c>
      <c r="M2078" s="9"/>
      <c r="N2078" s="9"/>
      <c r="O2078" s="9"/>
      <c r="P2078" s="9"/>
      <c r="Q2078" s="20"/>
      <c r="R2078" s="9"/>
      <c r="S2078" s="11"/>
      <c r="T2078" s="9"/>
      <c r="U2078" s="9"/>
      <c r="V2078" s="9"/>
      <c r="W2078" s="9"/>
      <c r="X2078" s="58"/>
      <c r="Y2078" s="7"/>
    </row>
    <row r="2079" spans="1:27" ht="14.25" customHeight="1" x14ac:dyDescent="0.2">
      <c r="A2079" s="158"/>
      <c r="B2079" s="165">
        <v>11</v>
      </c>
      <c r="C2079" s="160" t="s">
        <v>7179</v>
      </c>
      <c r="D2079" s="159" t="s">
        <v>7600</v>
      </c>
      <c r="E2079" s="159">
        <v>3355</v>
      </c>
      <c r="F2079" s="159" t="s">
        <v>7601</v>
      </c>
      <c r="G2079" s="159" t="s">
        <v>7602</v>
      </c>
      <c r="H2079" s="159" t="s">
        <v>7603</v>
      </c>
      <c r="I2079" s="159" t="s">
        <v>49</v>
      </c>
      <c r="J2079" s="159" t="s">
        <v>7604</v>
      </c>
      <c r="K2079" s="159">
        <v>2</v>
      </c>
      <c r="L2079" s="159" t="s">
        <v>7605</v>
      </c>
      <c r="U2079"/>
      <c r="Y2079" s="7"/>
    </row>
    <row r="2080" spans="1:27" ht="14.25" customHeight="1" x14ac:dyDescent="0.2">
      <c r="A2080" s="158"/>
      <c r="B2080" s="165">
        <v>11</v>
      </c>
      <c r="C2080" s="284" t="s">
        <v>7179</v>
      </c>
      <c r="D2080" s="287" t="s">
        <v>7606</v>
      </c>
      <c r="E2080" s="159">
        <v>3356</v>
      </c>
      <c r="F2080" s="287" t="s">
        <v>7601</v>
      </c>
      <c r="G2080" s="287" t="s">
        <v>7607</v>
      </c>
      <c r="H2080" s="159" t="s">
        <v>7608</v>
      </c>
      <c r="I2080" s="159" t="s">
        <v>49</v>
      </c>
      <c r="J2080" s="159" t="s">
        <v>7589</v>
      </c>
      <c r="K2080" s="159">
        <v>1</v>
      </c>
      <c r="L2080" s="159">
        <v>4196</v>
      </c>
      <c r="U2080"/>
      <c r="Y2080" s="9"/>
      <c r="Z2080" s="260"/>
    </row>
    <row r="2081" spans="1:26" ht="14.25" customHeight="1" x14ac:dyDescent="0.2">
      <c r="A2081" s="158"/>
      <c r="B2081" s="165">
        <v>11</v>
      </c>
      <c r="C2081" s="284" t="s">
        <v>7179</v>
      </c>
      <c r="D2081" s="287" t="s">
        <v>7609</v>
      </c>
      <c r="E2081" s="159">
        <v>3357</v>
      </c>
      <c r="F2081" s="287" t="s">
        <v>7601</v>
      </c>
      <c r="G2081" s="287" t="s">
        <v>7610</v>
      </c>
      <c r="H2081" s="159" t="s">
        <v>7611</v>
      </c>
      <c r="I2081" s="159" t="s">
        <v>49</v>
      </c>
      <c r="J2081" s="159" t="s">
        <v>7589</v>
      </c>
      <c r="K2081" s="159">
        <v>1</v>
      </c>
      <c r="L2081" s="159">
        <v>4197</v>
      </c>
      <c r="U2081"/>
      <c r="Y2081" s="9"/>
      <c r="Z2081" s="260"/>
    </row>
    <row r="2082" spans="1:26" ht="14.25" customHeight="1" x14ac:dyDescent="0.2">
      <c r="A2082" s="158"/>
      <c r="B2082" s="165">
        <v>11</v>
      </c>
      <c r="C2082" s="284" t="s">
        <v>7179</v>
      </c>
      <c r="D2082" s="287" t="s">
        <v>7612</v>
      </c>
      <c r="E2082" s="159">
        <v>3358</v>
      </c>
      <c r="F2082" s="287" t="s">
        <v>7613</v>
      </c>
      <c r="G2082" s="287" t="s">
        <v>7614</v>
      </c>
      <c r="H2082" s="159" t="s">
        <v>7615</v>
      </c>
      <c r="I2082" s="159" t="s">
        <v>49</v>
      </c>
      <c r="J2082" s="159" t="s">
        <v>7594</v>
      </c>
      <c r="K2082" s="159">
        <v>1</v>
      </c>
      <c r="L2082" s="159">
        <v>4198</v>
      </c>
      <c r="U2082"/>
      <c r="Y2082" s="9"/>
      <c r="Z2082" s="260"/>
    </row>
    <row r="2083" spans="1:26" ht="14.25" customHeight="1" x14ac:dyDescent="0.2">
      <c r="A2083" s="158"/>
      <c r="B2083" s="165">
        <v>11</v>
      </c>
      <c r="C2083" s="284" t="s">
        <v>7179</v>
      </c>
      <c r="D2083" s="287" t="s">
        <v>7340</v>
      </c>
      <c r="E2083" s="159">
        <v>13185</v>
      </c>
      <c r="F2083" s="287" t="s">
        <v>7620</v>
      </c>
      <c r="G2083" s="287" t="s">
        <v>7621</v>
      </c>
      <c r="H2083" s="159" t="s">
        <v>7622</v>
      </c>
      <c r="I2083" s="159" t="s">
        <v>49</v>
      </c>
      <c r="J2083" s="159" t="s">
        <v>7250</v>
      </c>
      <c r="K2083" s="159">
        <v>1</v>
      </c>
      <c r="L2083" s="159">
        <v>15107</v>
      </c>
      <c r="M2083" s="9"/>
      <c r="N2083" s="9"/>
      <c r="O2083" s="9"/>
      <c r="P2083" s="9"/>
      <c r="Q2083" s="20"/>
      <c r="R2083" s="9"/>
      <c r="S2083" s="11"/>
      <c r="T2083" s="9"/>
      <c r="U2083" s="9"/>
      <c r="V2083" s="9"/>
      <c r="W2083" s="9"/>
      <c r="X2083" s="58"/>
      <c r="Y2083" s="9"/>
      <c r="Z2083" s="260"/>
    </row>
    <row r="2084" spans="1:26" ht="14.25" customHeight="1" x14ac:dyDescent="0.2">
      <c r="A2084" s="158"/>
      <c r="B2084" s="165">
        <v>11</v>
      </c>
      <c r="C2084" s="284" t="s">
        <v>7179</v>
      </c>
      <c r="D2084" s="287" t="s">
        <v>7623</v>
      </c>
      <c r="E2084" s="159">
        <v>13186</v>
      </c>
      <c r="F2084" s="287" t="s">
        <v>7623</v>
      </c>
      <c r="G2084" s="287" t="s">
        <v>7624</v>
      </c>
      <c r="H2084" s="159" t="s">
        <v>7625</v>
      </c>
      <c r="I2084" s="159" t="s">
        <v>49</v>
      </c>
      <c r="J2084" s="159" t="s">
        <v>7626</v>
      </c>
      <c r="K2084" s="159">
        <v>1</v>
      </c>
      <c r="L2084" s="159">
        <v>15108</v>
      </c>
      <c r="M2084" s="9"/>
      <c r="N2084" s="9"/>
      <c r="O2084" s="9"/>
      <c r="P2084" s="9"/>
      <c r="Q2084" s="20"/>
      <c r="R2084" s="9"/>
      <c r="S2084" s="11"/>
      <c r="T2084" s="9"/>
      <c r="U2084" s="9"/>
      <c r="V2084" s="9"/>
      <c r="W2084" s="9"/>
      <c r="X2084" s="58"/>
      <c r="Y2084" s="9"/>
      <c r="Z2084" s="260"/>
    </row>
    <row r="2085" spans="1:26" ht="14.25" customHeight="1" x14ac:dyDescent="0.2">
      <c r="A2085" s="158"/>
      <c r="B2085" s="165">
        <v>11</v>
      </c>
      <c r="C2085" s="284" t="s">
        <v>7179</v>
      </c>
      <c r="D2085" s="287" t="s">
        <v>7627</v>
      </c>
      <c r="E2085" s="159">
        <v>13187</v>
      </c>
      <c r="F2085" s="287" t="s">
        <v>7627</v>
      </c>
      <c r="G2085" s="287" t="s">
        <v>7628</v>
      </c>
      <c r="H2085" s="159" t="s">
        <v>7629</v>
      </c>
      <c r="I2085" s="159" t="s">
        <v>49</v>
      </c>
      <c r="J2085" s="159" t="s">
        <v>7630</v>
      </c>
      <c r="K2085" s="159">
        <v>1</v>
      </c>
      <c r="L2085" s="159">
        <v>15109</v>
      </c>
      <c r="M2085" s="9"/>
      <c r="N2085" s="9"/>
      <c r="O2085" s="9"/>
      <c r="P2085" s="9"/>
      <c r="Q2085" s="20"/>
      <c r="R2085" s="9"/>
      <c r="S2085" s="11"/>
      <c r="T2085" s="9"/>
      <c r="U2085" s="9"/>
      <c r="V2085" s="9"/>
      <c r="W2085" s="9"/>
      <c r="X2085" s="58"/>
      <c r="Y2085" s="7"/>
    </row>
  </sheetData>
  <autoFilter ref="A2:BT2085" xr:uid="{00000000-0009-0000-0000-000000000000}">
    <sortState xmlns:xlrd2="http://schemas.microsoft.com/office/spreadsheetml/2017/richdata2" ref="A3:BT2085">
      <sortCondition ref="A2:A2085"/>
    </sortState>
  </autoFilter>
  <mergeCells count="1">
    <mergeCell ref="A1:L1"/>
  </mergeCells>
  <conditionalFormatting sqref="S225:S226 S287 S327:S328 S330 S332:S333 S343 S348:S349 S351 S353 S355 S357 S361:S363 S365:S368 S371:S372">
    <cfRule type="endsWith" dxfId="93" priority="1" operator="endsWith" text=" ">
      <formula>RIGHT((S225),LEN(" "))=(" ")</formula>
    </cfRule>
    <cfRule type="beginsWith" dxfId="92" priority="2" operator="beginsWith" text=" ">
      <formula>LEFT((S225),LEN(" "))=(" ")</formula>
    </cfRule>
  </conditionalFormatting>
  <conditionalFormatting sqref="S322 S324 S337:S338 S340:S341">
    <cfRule type="endsWith" dxfId="91" priority="3" operator="endsWith" text=" ">
      <formula>RIGHT((S322),LEN(" "))=(" ")</formula>
    </cfRule>
    <cfRule type="beginsWith" dxfId="90" priority="4" operator="beginsWith" text=" ">
      <formula>LEFT((S322),LEN(" "))=(" ")</formula>
    </cfRule>
  </conditionalFormatting>
  <conditionalFormatting sqref="S375 S379 S386 S390 S405 S408 S412 S432 S437 S449:S450">
    <cfRule type="endsWith" dxfId="89" priority="5" operator="endsWith" text=" ">
      <formula>RIGHT((S375),LEN(" "))=(" ")</formula>
    </cfRule>
    <cfRule type="beginsWith" dxfId="88" priority="6" operator="beginsWith" text=" ">
      <formula>LEFT((S375),LEN(" "))=(" ")</formula>
    </cfRule>
  </conditionalFormatting>
  <conditionalFormatting sqref="S453">
    <cfRule type="endsWith" dxfId="87" priority="7" operator="endsWith" text=" ">
      <formula>RIGHT((S453),LEN(" "))=(" ")</formula>
    </cfRule>
    <cfRule type="beginsWith" dxfId="86" priority="8" operator="beginsWith" text=" ">
      <formula>LEFT((S453),LEN(" "))=(" ")</formula>
    </cfRule>
  </conditionalFormatting>
  <conditionalFormatting sqref="S455:S462">
    <cfRule type="endsWith" dxfId="85" priority="9" operator="endsWith" text=" ">
      <formula>RIGHT((S455),LEN(" "))=(" ")</formula>
    </cfRule>
    <cfRule type="beginsWith" dxfId="84" priority="10" operator="beginsWith" text=" ">
      <formula>LEFT((S455),LEN(" "))=(" ")</formula>
    </cfRule>
  </conditionalFormatting>
  <conditionalFormatting sqref="S983 S1246:S1251 S1253:S1288">
    <cfRule type="endsWith" dxfId="83" priority="11" operator="endsWith" text=" ">
      <formula>RIGHT((S983),LEN(" "))=(" ")</formula>
    </cfRule>
    <cfRule type="beginsWith" dxfId="82" priority="12" operator="beginsWith" text=" ">
      <formula>LEFT((S983),LEN(" "))=(" ")</formula>
    </cfRule>
  </conditionalFormatting>
  <conditionalFormatting sqref="S986">
    <cfRule type="endsWith" dxfId="81" priority="13" operator="endsWith" text=" ">
      <formula>RIGHT((S986),LEN(" "))=(" ")</formula>
    </cfRule>
    <cfRule type="beginsWith" dxfId="80" priority="14" operator="beginsWith" text=" ">
      <formula>LEFT((S986),LEN(" "))=(" ")</formula>
    </cfRule>
  </conditionalFormatting>
  <conditionalFormatting sqref="S995">
    <cfRule type="endsWith" dxfId="79" priority="15" operator="endsWith" text=" ">
      <formula>RIGHT((S995),LEN(" "))=(" ")</formula>
    </cfRule>
    <cfRule type="beginsWith" dxfId="78" priority="16" operator="beginsWith" text=" ">
      <formula>LEFT((S995),LEN(" "))=(" ")</formula>
    </cfRule>
  </conditionalFormatting>
  <conditionalFormatting sqref="S998">
    <cfRule type="endsWith" dxfId="77" priority="17" operator="endsWith" text=" ">
      <formula>RIGHT((S998),LEN(" "))=(" ")</formula>
    </cfRule>
    <cfRule type="beginsWith" dxfId="76" priority="18" operator="beginsWith" text=" ">
      <formula>LEFT((S998),LEN(" "))=(" ")</formula>
    </cfRule>
  </conditionalFormatting>
  <conditionalFormatting sqref="S1135:S1163 S1876 S1976:S1980 T2004:T2017 T2023:T2085">
    <cfRule type="endsWith" dxfId="75" priority="19" operator="endsWith" text=" ">
      <formula>RIGHT((S1135),LEN(" "))=(" ")</formula>
    </cfRule>
    <cfRule type="beginsWith" dxfId="74" priority="20" operator="beginsWith" text=" ">
      <formula>LEFT((S1135),LEN(" "))=(" ")</formula>
    </cfRule>
  </conditionalFormatting>
  <conditionalFormatting sqref="S1207:S1208">
    <cfRule type="endsWith" dxfId="73" priority="21" operator="endsWith" text=" ">
      <formula>RIGHT((S1207),LEN(" "))=(" ")</formula>
    </cfRule>
    <cfRule type="beginsWith" dxfId="72" priority="22" operator="beginsWith" text=" ">
      <formula>LEFT((S1207),LEN(" "))=(" ")</formula>
    </cfRule>
  </conditionalFormatting>
  <conditionalFormatting sqref="S1212:S1213">
    <cfRule type="endsWith" dxfId="71" priority="23" operator="endsWith" text=" ">
      <formula>RIGHT((S1212),LEN(" "))=(" ")</formula>
    </cfRule>
    <cfRule type="beginsWith" dxfId="70" priority="24" operator="beginsWith" text=" ">
      <formula>LEFT((S1212),LEN(" "))=(" ")</formula>
    </cfRule>
  </conditionalFormatting>
  <conditionalFormatting sqref="S1242:S1244">
    <cfRule type="endsWith" dxfId="69" priority="25" operator="endsWith" text=" ">
      <formula>RIGHT((S1242),LEN(" "))=(" ")</formula>
    </cfRule>
    <cfRule type="beginsWith" dxfId="68" priority="26" operator="beginsWith" text=" ">
      <formula>LEFT((S1242),LEN(" "))=(" ")</formula>
    </cfRule>
  </conditionalFormatting>
  <conditionalFormatting sqref="S1820 S1853 S1873 S1883 S1888:S1889 S1891 S1893 S1895 S1897 S1901:S1903 S1905:S1908 S1911:S1912">
    <cfRule type="endsWith" dxfId="67" priority="27" operator="endsWith" text=" ">
      <formula>RIGHT((S1820),LEN(" "))=(" ")</formula>
    </cfRule>
    <cfRule type="beginsWith" dxfId="66" priority="28" operator="beginsWith" text=" ">
      <formula>LEFT((S1820),LEN(" "))=(" ")</formula>
    </cfRule>
  </conditionalFormatting>
  <conditionalFormatting sqref="S1878 S1880:S1881">
    <cfRule type="endsWith" dxfId="65" priority="29" operator="endsWith" text=" ">
      <formula>RIGHT((S1878),LEN(" "))=(" ")</formula>
    </cfRule>
    <cfRule type="beginsWith" dxfId="64" priority="30" operator="beginsWith" text=" ">
      <formula>LEFT((S1878),LEN(" "))=(" ")</formula>
    </cfRule>
  </conditionalFormatting>
  <conditionalFormatting sqref="S1915 S1919 S1926 S1930 S1940 S1943 S1947 S1966 S1972">
    <cfRule type="endsWith" dxfId="63" priority="31" operator="endsWith" text=" ">
      <formula>RIGHT((S1915),LEN(" "))=(" ")</formula>
    </cfRule>
    <cfRule type="beginsWith" dxfId="62" priority="32" operator="beginsWith" text=" ">
      <formula>LEFT((S1915),LEN(" "))=(" ")</formula>
    </cfRule>
  </conditionalFormatting>
  <conditionalFormatting sqref="S1974">
    <cfRule type="endsWith" dxfId="61" priority="33" operator="endsWith" text=" ">
      <formula>RIGHT((S1974),LEN(" "))=(" ")</formula>
    </cfRule>
    <cfRule type="beginsWith" dxfId="60" priority="34" operator="beginsWith" text=" ">
      <formula>LEFT((S1974),LEN(" "))=(" ")</formula>
    </cfRule>
  </conditionalFormatting>
  <conditionalFormatting sqref="S987:T987 S1090:S1091 S1093:S1103 S1105:S1133 S1165:S1179 S1181:S1202 S1204:S1205 S1219">
    <cfRule type="endsWith" dxfId="59" priority="35" operator="endsWith" text=" ">
      <formula>RIGHT((S987),LEN(" "))=(" ")</formula>
    </cfRule>
    <cfRule type="beginsWith" dxfId="58" priority="36" operator="beginsWith" text=" ">
      <formula>LEFT((S987),LEN(" "))=(" ")</formula>
    </cfRule>
  </conditionalFormatting>
  <conditionalFormatting sqref="T489:T492 T494:T515 T518 T523:T601">
    <cfRule type="endsWith" dxfId="57" priority="37" operator="endsWith" text=" ">
      <formula>RIGHT((T489),LEN(" "))=(" ")</formula>
    </cfRule>
    <cfRule type="beginsWith" dxfId="56" priority="38" operator="beginsWith" text=" ">
      <formula>LEFT((T489),LEN(" "))=(" ")</formula>
    </cfRule>
  </conditionalFormatting>
  <conditionalFormatting sqref="T770:T772 AC770:AC772 T776:T782 AC776:AC782 T784:T785 AC784:AC785 T787:T799 AC787:AC799 T801 AC801 T804 AC804 T806:T826 AC806:AC826 T828:T841 AC828:AC841 T843:T857 AC843:AC858 T924 AC924 T950:T953 AC950:AC953 T960 AC960 T962 AC962">
    <cfRule type="endsWith" dxfId="55" priority="39" operator="endsWith" text=" ">
      <formula>RIGHT((T770),LEN(" "))=(" ")</formula>
    </cfRule>
    <cfRule type="beginsWith" dxfId="54" priority="40" operator="beginsWith" text=" ">
      <formula>LEFT((T770),LEN(" "))=(" ")</formula>
    </cfRule>
  </conditionalFormatting>
  <conditionalFormatting sqref="T2000:T2002">
    <cfRule type="endsWith" dxfId="53" priority="41" operator="endsWith" text=" ">
      <formula>RIGHT((T2000),LEN(" "))=(" ")</formula>
    </cfRule>
    <cfRule type="beginsWith" dxfId="52" priority="42" operator="beginsWith" text=" ">
      <formula>LEFT((T2000),LEN(" "))=(" ")</formula>
    </cfRule>
  </conditionalFormatting>
  <conditionalFormatting sqref="U2080:U2084">
    <cfRule type="endsWith" dxfId="51" priority="43" operator="endsWith" text=" ">
      <formula>RIGHT((U2080),LEN(" "))=(" ")</formula>
    </cfRule>
    <cfRule type="beginsWith" dxfId="50" priority="44" operator="beginsWith" text=" ">
      <formula>LEFT((U2080),LEN(" "))=(" ")</formula>
    </cfRule>
  </conditionalFormatting>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T2085"/>
  <sheetViews>
    <sheetView workbookViewId="0"/>
  </sheetViews>
  <sheetFormatPr baseColWidth="10" defaultColWidth="12.6640625" defaultRowHeight="15" customHeight="1" x14ac:dyDescent="0.2"/>
  <cols>
    <col min="1" max="1" width="46.1640625" customWidth="1"/>
    <col min="2" max="2" width="8.6640625" customWidth="1"/>
    <col min="3" max="3" width="46.6640625" customWidth="1"/>
    <col min="4" max="4" width="32.1640625" customWidth="1"/>
    <col min="5" max="5" width="8.6640625" customWidth="1"/>
    <col min="6" max="6" width="30.1640625" customWidth="1"/>
    <col min="7" max="7" width="81.1640625" customWidth="1"/>
    <col min="8" max="8" width="26.1640625" customWidth="1"/>
    <col min="9" max="9" width="14.6640625" customWidth="1"/>
    <col min="10" max="10" width="75.1640625" customWidth="1"/>
    <col min="11" max="11" width="10" customWidth="1"/>
    <col min="12" max="12" width="11.6640625" customWidth="1"/>
    <col min="13" max="14" width="15.33203125" customWidth="1"/>
    <col min="15" max="15" width="8.6640625" customWidth="1"/>
    <col min="16" max="16" width="16.1640625" customWidth="1"/>
    <col min="17" max="17" width="8.83203125" customWidth="1"/>
    <col min="18" max="18" width="30.83203125" customWidth="1"/>
    <col min="19" max="19" width="8.6640625" customWidth="1"/>
    <col min="20" max="20" width="8.83203125" customWidth="1"/>
    <col min="21" max="21" width="10.6640625" customWidth="1"/>
    <col min="22" max="22" width="8.6640625" customWidth="1"/>
    <col min="23" max="23" width="11.1640625" customWidth="1"/>
    <col min="24" max="40" width="8.6640625" customWidth="1"/>
    <col min="41" max="41" width="18.6640625" customWidth="1"/>
    <col min="42" max="72" width="8.6640625" customWidth="1"/>
  </cols>
  <sheetData>
    <row r="1" spans="1:50" ht="14.25" customHeight="1" x14ac:dyDescent="0.3">
      <c r="A1" s="339" t="s">
        <v>0</v>
      </c>
      <c r="B1" s="340"/>
      <c r="C1" s="340"/>
      <c r="D1" s="340"/>
      <c r="E1" s="340"/>
      <c r="F1" s="340"/>
      <c r="G1" s="340"/>
      <c r="H1" s="340"/>
      <c r="I1" s="340"/>
      <c r="J1" s="340"/>
      <c r="K1" s="340"/>
      <c r="L1" s="340"/>
      <c r="M1" s="1" t="s">
        <v>1</v>
      </c>
      <c r="N1" s="2"/>
      <c r="O1" s="2"/>
      <c r="P1" s="2"/>
      <c r="Q1" s="2"/>
      <c r="R1" s="2"/>
      <c r="S1" s="2"/>
      <c r="T1" s="2"/>
      <c r="U1" s="2"/>
      <c r="V1" s="2"/>
      <c r="W1" s="2"/>
      <c r="X1" s="2"/>
      <c r="Y1" s="2"/>
      <c r="Z1" s="2"/>
      <c r="AA1" s="2"/>
      <c r="AB1" s="2"/>
      <c r="AC1" s="2"/>
      <c r="AD1" s="2"/>
      <c r="AE1" s="2"/>
      <c r="AF1" s="2"/>
      <c r="AG1" s="2"/>
      <c r="AH1" s="2"/>
      <c r="AI1" s="2"/>
      <c r="AJ1" s="2"/>
      <c r="AK1" s="3"/>
      <c r="AL1" s="4" t="s">
        <v>2</v>
      </c>
      <c r="AM1" s="4" t="s">
        <v>3</v>
      </c>
      <c r="AN1" s="4" t="s">
        <v>4</v>
      </c>
    </row>
    <row r="2" spans="1:50" ht="14.25" customHeight="1" x14ac:dyDescent="0.2">
      <c r="A2" s="5" t="s">
        <v>5</v>
      </c>
      <c r="B2" s="4" t="s">
        <v>6</v>
      </c>
      <c r="C2" s="4" t="s">
        <v>7</v>
      </c>
      <c r="D2" s="4" t="s">
        <v>8</v>
      </c>
      <c r="E2" s="4" t="s">
        <v>9</v>
      </c>
      <c r="F2" s="4" t="s">
        <v>10</v>
      </c>
      <c r="G2" s="4" t="s">
        <v>11</v>
      </c>
      <c r="H2" s="4" t="s">
        <v>12</v>
      </c>
      <c r="I2" s="4" t="s">
        <v>13</v>
      </c>
      <c r="J2" s="4" t="s">
        <v>14</v>
      </c>
      <c r="K2" s="4" t="s">
        <v>15</v>
      </c>
      <c r="L2" s="4" t="s">
        <v>16</v>
      </c>
      <c r="M2" s="6" t="s">
        <v>17</v>
      </c>
      <c r="N2" s="4" t="s">
        <v>18</v>
      </c>
      <c r="O2" s="4" t="s">
        <v>19</v>
      </c>
      <c r="P2" s="4" t="s">
        <v>20</v>
      </c>
      <c r="Q2" s="4" t="s">
        <v>21</v>
      </c>
      <c r="R2" s="4" t="s">
        <v>22</v>
      </c>
      <c r="S2" s="4" t="s">
        <v>23</v>
      </c>
      <c r="U2" s="4" t="s">
        <v>24</v>
      </c>
      <c r="V2" s="4" t="s">
        <v>25</v>
      </c>
      <c r="W2" s="4" t="s">
        <v>26</v>
      </c>
      <c r="X2" s="4" t="s">
        <v>27</v>
      </c>
      <c r="Y2" s="4" t="s">
        <v>28</v>
      </c>
      <c r="AE2" s="4" t="s">
        <v>29</v>
      </c>
      <c r="AF2" s="4" t="s">
        <v>30</v>
      </c>
      <c r="AG2" s="4" t="s">
        <v>24</v>
      </c>
      <c r="AK2" s="7"/>
      <c r="AL2" s="4" t="s">
        <v>31</v>
      </c>
      <c r="AM2" s="4" t="s">
        <v>32</v>
      </c>
      <c r="AN2" s="4" t="s">
        <v>33</v>
      </c>
      <c r="AO2" s="4" t="s">
        <v>34</v>
      </c>
      <c r="AP2" s="4" t="s">
        <v>35</v>
      </c>
      <c r="AQ2" s="4" t="s">
        <v>36</v>
      </c>
      <c r="AR2" s="4" t="s">
        <v>37</v>
      </c>
      <c r="AS2" s="4" t="s">
        <v>38</v>
      </c>
      <c r="AT2" s="4" t="s">
        <v>39</v>
      </c>
      <c r="AU2" s="4" t="s">
        <v>40</v>
      </c>
      <c r="AV2" s="4" t="s">
        <v>41</v>
      </c>
      <c r="AW2" s="4" t="s">
        <v>42</v>
      </c>
      <c r="AX2" s="4" t="s">
        <v>43</v>
      </c>
    </row>
    <row r="3" spans="1:50" ht="14.25" customHeight="1" x14ac:dyDescent="0.2">
      <c r="A3" s="5"/>
      <c r="B3" s="4">
        <v>36</v>
      </c>
      <c r="C3" s="4" t="s">
        <v>7658</v>
      </c>
      <c r="D3" s="4" t="s">
        <v>45</v>
      </c>
      <c r="E3" s="4">
        <v>12613</v>
      </c>
      <c r="F3" s="4" t="s">
        <v>46</v>
      </c>
      <c r="G3" s="4" t="s">
        <v>47</v>
      </c>
      <c r="H3" s="4" t="s">
        <v>48</v>
      </c>
      <c r="I3" s="4" t="s">
        <v>49</v>
      </c>
      <c r="J3" s="4" t="s">
        <v>50</v>
      </c>
      <c r="K3" s="4">
        <v>1</v>
      </c>
      <c r="L3" s="4">
        <v>14635</v>
      </c>
      <c r="M3" s="6">
        <v>48.494166999999997</v>
      </c>
      <c r="N3" s="4">
        <v>-123.614722</v>
      </c>
      <c r="O3" s="4" t="s">
        <v>51</v>
      </c>
      <c r="P3" s="4" t="s">
        <v>45</v>
      </c>
      <c r="Q3" s="4">
        <v>3</v>
      </c>
      <c r="R3" s="4" t="s">
        <v>46</v>
      </c>
      <c r="S3" s="4" t="s">
        <v>44</v>
      </c>
      <c r="T3" s="4">
        <v>493</v>
      </c>
      <c r="V3" s="4" t="s">
        <v>52</v>
      </c>
      <c r="W3" s="4">
        <v>35886</v>
      </c>
      <c r="X3" s="4" t="s">
        <v>53</v>
      </c>
      <c r="Y3" s="4" t="s">
        <v>54</v>
      </c>
      <c r="AA3" s="4" t="s">
        <v>55</v>
      </c>
      <c r="AB3" s="4" t="s">
        <v>56</v>
      </c>
      <c r="AC3" s="4" t="s">
        <v>57</v>
      </c>
      <c r="AD3" s="4" t="s">
        <v>58</v>
      </c>
      <c r="AH3" s="4" t="s">
        <v>59</v>
      </c>
      <c r="AK3" s="7"/>
    </row>
    <row r="4" spans="1:50" ht="14.25" customHeight="1" x14ac:dyDescent="0.2">
      <c r="A4" s="5"/>
      <c r="B4" s="4">
        <v>36</v>
      </c>
      <c r="C4" s="4" t="s">
        <v>7658</v>
      </c>
      <c r="D4" s="4" t="s">
        <v>60</v>
      </c>
      <c r="E4" s="4">
        <v>12614</v>
      </c>
      <c r="F4" s="4" t="s">
        <v>61</v>
      </c>
      <c r="G4" s="4" t="s">
        <v>62</v>
      </c>
      <c r="H4" s="4" t="s">
        <v>63</v>
      </c>
      <c r="I4" s="4" t="s">
        <v>49</v>
      </c>
      <c r="J4" s="4" t="s">
        <v>64</v>
      </c>
      <c r="K4" s="4">
        <v>1</v>
      </c>
      <c r="L4" s="4">
        <v>14636</v>
      </c>
      <c r="M4" s="6">
        <v>48.529440000000001</v>
      </c>
      <c r="N4" s="4">
        <v>-123.638611</v>
      </c>
      <c r="O4" s="4" t="s">
        <v>51</v>
      </c>
      <c r="P4" s="4" t="s">
        <v>60</v>
      </c>
      <c r="Q4" s="4">
        <v>4</v>
      </c>
      <c r="R4" s="4" t="s">
        <v>61</v>
      </c>
      <c r="S4" s="4" t="s">
        <v>44</v>
      </c>
      <c r="T4" s="4">
        <v>606</v>
      </c>
      <c r="V4" s="4" t="s">
        <v>65</v>
      </c>
      <c r="W4" s="4">
        <v>35065</v>
      </c>
      <c r="X4" s="4" t="s">
        <v>53</v>
      </c>
      <c r="Y4" s="4" t="s">
        <v>54</v>
      </c>
      <c r="AA4" s="4" t="s">
        <v>55</v>
      </c>
      <c r="AB4" s="4" t="s">
        <v>56</v>
      </c>
      <c r="AC4" s="4" t="s">
        <v>66</v>
      </c>
      <c r="AK4" s="7"/>
    </row>
    <row r="5" spans="1:50" ht="14.25" customHeight="1" x14ac:dyDescent="0.2">
      <c r="A5" s="5"/>
      <c r="B5" s="4">
        <v>36</v>
      </c>
      <c r="C5" s="4" t="s">
        <v>7658</v>
      </c>
      <c r="D5" s="4" t="s">
        <v>67</v>
      </c>
      <c r="E5" s="4">
        <v>12615</v>
      </c>
      <c r="F5" s="4" t="s">
        <v>68</v>
      </c>
      <c r="G5" s="4" t="s">
        <v>69</v>
      </c>
      <c r="H5" s="4" t="s">
        <v>70</v>
      </c>
      <c r="I5" s="4" t="s">
        <v>49</v>
      </c>
      <c r="J5" s="4" t="s">
        <v>71</v>
      </c>
      <c r="K5" s="4">
        <v>1</v>
      </c>
      <c r="L5" s="4">
        <v>14637</v>
      </c>
      <c r="M5" s="6">
        <v>48.585833000000001</v>
      </c>
      <c r="N5" s="4">
        <v>-123.75111099999999</v>
      </c>
      <c r="O5" s="4" t="s">
        <v>51</v>
      </c>
      <c r="P5" s="4" t="s">
        <v>67</v>
      </c>
      <c r="Q5" s="4">
        <v>4</v>
      </c>
      <c r="R5" s="4" t="s">
        <v>68</v>
      </c>
      <c r="S5" s="4" t="s">
        <v>44</v>
      </c>
      <c r="T5" s="4">
        <v>675</v>
      </c>
      <c r="V5" s="4" t="s">
        <v>72</v>
      </c>
      <c r="W5" s="4">
        <v>35125</v>
      </c>
      <c r="X5" s="4" t="s">
        <v>53</v>
      </c>
      <c r="Y5" s="4" t="s">
        <v>54</v>
      </c>
      <c r="AA5" s="4" t="s">
        <v>55</v>
      </c>
      <c r="AB5" s="4" t="s">
        <v>56</v>
      </c>
      <c r="AC5" s="4" t="s">
        <v>57</v>
      </c>
      <c r="AD5" s="4" t="s">
        <v>58</v>
      </c>
      <c r="AI5" s="4" t="s">
        <v>73</v>
      </c>
      <c r="AK5" s="7"/>
    </row>
    <row r="6" spans="1:50" ht="14.25" customHeight="1" x14ac:dyDescent="0.2">
      <c r="A6" s="5"/>
      <c r="B6" s="4">
        <v>36</v>
      </c>
      <c r="C6" s="4" t="s">
        <v>7658</v>
      </c>
      <c r="D6" s="4" t="s">
        <v>74</v>
      </c>
      <c r="E6" s="4">
        <v>12616</v>
      </c>
      <c r="F6" s="4" t="s">
        <v>75</v>
      </c>
      <c r="G6" s="4" t="s">
        <v>76</v>
      </c>
      <c r="H6" s="4" t="s">
        <v>77</v>
      </c>
      <c r="I6" s="4" t="s">
        <v>49</v>
      </c>
      <c r="J6" s="4" t="s">
        <v>78</v>
      </c>
      <c r="K6" s="4">
        <v>1</v>
      </c>
      <c r="L6" s="4">
        <v>14638</v>
      </c>
      <c r="M6" s="4">
        <v>48.580278</v>
      </c>
      <c r="N6" s="4">
        <v>-123.84055600000001</v>
      </c>
      <c r="O6" s="4" t="s">
        <v>51</v>
      </c>
      <c r="P6" s="4" t="s">
        <v>74</v>
      </c>
      <c r="Q6" s="4">
        <v>4</v>
      </c>
      <c r="R6" s="4" t="s">
        <v>75</v>
      </c>
      <c r="S6" s="4" t="s">
        <v>44</v>
      </c>
      <c r="T6" s="4">
        <v>561</v>
      </c>
      <c r="V6" s="4" t="s">
        <v>79</v>
      </c>
      <c r="W6" s="4">
        <v>42750</v>
      </c>
      <c r="X6" s="4" t="s">
        <v>53</v>
      </c>
      <c r="Y6" s="4" t="s">
        <v>54</v>
      </c>
      <c r="AA6" s="4" t="s">
        <v>55</v>
      </c>
      <c r="AB6" s="4" t="s">
        <v>56</v>
      </c>
      <c r="AC6" s="4" t="s">
        <v>57</v>
      </c>
      <c r="AD6" s="4" t="s">
        <v>58</v>
      </c>
    </row>
    <row r="7" spans="1:50" ht="14.25" customHeight="1" x14ac:dyDescent="0.2">
      <c r="A7" s="5" t="s">
        <v>80</v>
      </c>
      <c r="B7" s="4">
        <v>36</v>
      </c>
      <c r="C7" s="4" t="s">
        <v>7658</v>
      </c>
      <c r="D7" s="4" t="s">
        <v>81</v>
      </c>
      <c r="E7" s="4">
        <v>12626</v>
      </c>
      <c r="F7" s="4" t="s">
        <v>82</v>
      </c>
      <c r="G7" s="4" t="s">
        <v>83</v>
      </c>
      <c r="H7" s="4" t="s">
        <v>84</v>
      </c>
      <c r="I7" s="4" t="s">
        <v>49</v>
      </c>
      <c r="K7" s="4">
        <v>1</v>
      </c>
      <c r="L7" s="4">
        <v>14648</v>
      </c>
      <c r="M7" s="4">
        <v>48.585278000000002</v>
      </c>
      <c r="N7" s="4">
        <v>-123.67361099999999</v>
      </c>
      <c r="O7" s="4" t="s">
        <v>51</v>
      </c>
      <c r="P7" s="4" t="s">
        <v>81</v>
      </c>
      <c r="Q7" s="4">
        <v>2</v>
      </c>
      <c r="R7" s="4" t="s">
        <v>82</v>
      </c>
      <c r="S7" s="4" t="s">
        <v>44</v>
      </c>
      <c r="T7" s="4">
        <v>200</v>
      </c>
      <c r="V7" s="4" t="s">
        <v>85</v>
      </c>
      <c r="W7" s="4">
        <v>34608</v>
      </c>
      <c r="X7" s="4" t="s">
        <v>53</v>
      </c>
      <c r="Y7" s="4" t="s">
        <v>54</v>
      </c>
      <c r="AA7" s="4" t="s">
        <v>55</v>
      </c>
      <c r="AB7" s="4" t="s">
        <v>56</v>
      </c>
      <c r="AC7" s="4" t="s">
        <v>86</v>
      </c>
      <c r="AK7" s="4" t="s">
        <v>87</v>
      </c>
    </row>
    <row r="8" spans="1:50" ht="14.25" customHeight="1" x14ac:dyDescent="0.2">
      <c r="A8" s="5" t="s">
        <v>88</v>
      </c>
      <c r="B8" s="4">
        <v>36</v>
      </c>
      <c r="C8" s="4" t="s">
        <v>7658</v>
      </c>
      <c r="D8" s="4" t="s">
        <v>89</v>
      </c>
      <c r="E8" s="4">
        <v>12617</v>
      </c>
      <c r="F8" s="4" t="s">
        <v>90</v>
      </c>
      <c r="G8" s="8" t="s">
        <v>91</v>
      </c>
      <c r="H8" s="4" t="s">
        <v>92</v>
      </c>
      <c r="I8" s="4" t="s">
        <v>49</v>
      </c>
      <c r="J8" s="4" t="s">
        <v>78</v>
      </c>
      <c r="K8" s="4">
        <v>1</v>
      </c>
      <c r="L8" s="4">
        <v>14639</v>
      </c>
      <c r="M8" s="4">
        <v>48.516159999999999</v>
      </c>
      <c r="N8" s="4">
        <v>-123.764438</v>
      </c>
      <c r="O8" s="4" t="s">
        <v>51</v>
      </c>
      <c r="P8" s="4" t="s">
        <v>89</v>
      </c>
      <c r="Q8" s="4">
        <v>3</v>
      </c>
      <c r="R8" s="4" t="s">
        <v>90</v>
      </c>
      <c r="S8" s="4" t="s">
        <v>44</v>
      </c>
      <c r="T8" s="4">
        <v>512</v>
      </c>
      <c r="V8" s="4" t="s">
        <v>93</v>
      </c>
      <c r="W8" s="4">
        <v>43048</v>
      </c>
      <c r="X8" s="4" t="s">
        <v>53</v>
      </c>
      <c r="Y8" s="4" t="s">
        <v>54</v>
      </c>
      <c r="AA8" s="4" t="s">
        <v>55</v>
      </c>
      <c r="AB8" s="4" t="s">
        <v>56</v>
      </c>
      <c r="AC8" s="4" t="s">
        <v>94</v>
      </c>
      <c r="AD8" s="4" t="s">
        <v>58</v>
      </c>
      <c r="AH8" s="4" t="s">
        <v>59</v>
      </c>
    </row>
    <row r="9" spans="1:50" ht="14.25" customHeight="1" x14ac:dyDescent="0.2">
      <c r="A9" s="5"/>
      <c r="B9" s="4">
        <v>36</v>
      </c>
      <c r="C9" s="4" t="s">
        <v>7658</v>
      </c>
      <c r="D9" s="4" t="s">
        <v>95</v>
      </c>
      <c r="E9" s="4">
        <v>12618</v>
      </c>
      <c r="F9" s="4" t="s">
        <v>96</v>
      </c>
      <c r="G9" s="4" t="s">
        <v>97</v>
      </c>
      <c r="H9" s="4" t="s">
        <v>98</v>
      </c>
      <c r="I9" s="4" t="s">
        <v>49</v>
      </c>
      <c r="J9" s="4" t="s">
        <v>99</v>
      </c>
      <c r="K9" s="4">
        <v>1</v>
      </c>
      <c r="L9" s="4">
        <v>14640</v>
      </c>
      <c r="M9" s="4">
        <v>48.441943999999999</v>
      </c>
      <c r="N9" s="4">
        <v>-123.568889</v>
      </c>
      <c r="O9" s="4" t="s">
        <v>51</v>
      </c>
      <c r="P9" s="4" t="s">
        <v>95</v>
      </c>
      <c r="Q9" s="4">
        <v>3</v>
      </c>
      <c r="R9" s="4" t="s">
        <v>96</v>
      </c>
      <c r="S9" s="4" t="s">
        <v>44</v>
      </c>
      <c r="T9" s="4">
        <v>436</v>
      </c>
      <c r="V9" s="4" t="s">
        <v>100</v>
      </c>
      <c r="W9" s="4">
        <v>35217</v>
      </c>
      <c r="X9" s="4" t="s">
        <v>53</v>
      </c>
      <c r="Y9" s="4" t="s">
        <v>54</v>
      </c>
      <c r="AA9" s="4" t="s">
        <v>55</v>
      </c>
      <c r="AB9" s="4" t="s">
        <v>56</v>
      </c>
      <c r="AC9" s="4" t="s">
        <v>66</v>
      </c>
    </row>
    <row r="10" spans="1:50" ht="14.25" customHeight="1" x14ac:dyDescent="0.2">
      <c r="A10" s="5"/>
      <c r="B10" s="4">
        <v>36</v>
      </c>
      <c r="C10" s="4" t="s">
        <v>7658</v>
      </c>
      <c r="D10" s="4" t="s">
        <v>101</v>
      </c>
      <c r="E10" s="4">
        <v>12619</v>
      </c>
      <c r="F10" s="4" t="s">
        <v>102</v>
      </c>
      <c r="G10" s="4" t="s">
        <v>103</v>
      </c>
      <c r="H10" s="4" t="s">
        <v>104</v>
      </c>
      <c r="I10" s="4" t="s">
        <v>49</v>
      </c>
      <c r="J10" s="4" t="s">
        <v>105</v>
      </c>
      <c r="K10" s="4">
        <v>1</v>
      </c>
      <c r="L10" s="4">
        <v>14641</v>
      </c>
      <c r="M10" s="4">
        <v>48.572499999999998</v>
      </c>
      <c r="N10" s="4">
        <v>-123.7075</v>
      </c>
      <c r="O10" s="4" t="s">
        <v>51</v>
      </c>
      <c r="P10" s="4" t="s">
        <v>101</v>
      </c>
      <c r="Q10" s="4">
        <v>2</v>
      </c>
      <c r="R10" s="4" t="s">
        <v>102</v>
      </c>
      <c r="S10" s="4" t="s">
        <v>44</v>
      </c>
      <c r="T10" s="4">
        <v>280</v>
      </c>
      <c r="V10" s="4" t="s">
        <v>106</v>
      </c>
      <c r="W10" s="4">
        <v>41495</v>
      </c>
      <c r="X10" s="4" t="s">
        <v>53</v>
      </c>
      <c r="Y10" s="4" t="s">
        <v>54</v>
      </c>
      <c r="AA10" s="4" t="s">
        <v>55</v>
      </c>
      <c r="AB10" s="4" t="s">
        <v>56</v>
      </c>
      <c r="AC10" s="4" t="s">
        <v>57</v>
      </c>
      <c r="AD10" s="4" t="s">
        <v>58</v>
      </c>
      <c r="AH10" s="4" t="s">
        <v>59</v>
      </c>
      <c r="AI10" s="4" t="s">
        <v>107</v>
      </c>
    </row>
    <row r="11" spans="1:50" ht="14.25" customHeight="1" x14ac:dyDescent="0.2">
      <c r="A11" s="5" t="s">
        <v>80</v>
      </c>
      <c r="B11" s="4">
        <v>36</v>
      </c>
      <c r="C11" s="4" t="s">
        <v>7658</v>
      </c>
      <c r="D11" s="4" t="s">
        <v>108</v>
      </c>
      <c r="E11" s="4">
        <v>12625</v>
      </c>
      <c r="F11" s="4" t="s">
        <v>109</v>
      </c>
      <c r="G11" s="4" t="s">
        <v>110</v>
      </c>
      <c r="H11" s="4" t="s">
        <v>84</v>
      </c>
      <c r="I11" s="4" t="s">
        <v>49</v>
      </c>
      <c r="K11" s="4">
        <v>1</v>
      </c>
      <c r="L11" s="4">
        <v>14647</v>
      </c>
      <c r="M11" s="4">
        <v>48.567500000000003</v>
      </c>
      <c r="N11" s="4">
        <v>-123.714167</v>
      </c>
      <c r="O11" s="4" t="s">
        <v>51</v>
      </c>
      <c r="P11" s="4" t="s">
        <v>108</v>
      </c>
      <c r="Q11" s="4">
        <v>2</v>
      </c>
      <c r="R11" s="4" t="s">
        <v>109</v>
      </c>
      <c r="S11" s="4" t="s">
        <v>44</v>
      </c>
      <c r="T11" s="4">
        <v>223</v>
      </c>
      <c r="V11" s="4" t="s">
        <v>85</v>
      </c>
      <c r="W11" s="4">
        <v>34608</v>
      </c>
      <c r="X11" s="4" t="s">
        <v>53</v>
      </c>
      <c r="Y11" s="4" t="s">
        <v>54</v>
      </c>
      <c r="AK11" s="4" t="s">
        <v>87</v>
      </c>
    </row>
    <row r="12" spans="1:50" ht="14.25" customHeight="1" x14ac:dyDescent="0.2">
      <c r="A12" s="5"/>
      <c r="B12" s="4">
        <v>36</v>
      </c>
      <c r="C12" s="4" t="s">
        <v>7658</v>
      </c>
      <c r="D12" s="4" t="s">
        <v>111</v>
      </c>
      <c r="E12" s="4">
        <v>12621</v>
      </c>
      <c r="F12" s="4" t="s">
        <v>112</v>
      </c>
      <c r="G12" s="4" t="s">
        <v>113</v>
      </c>
      <c r="H12" s="4" t="s">
        <v>114</v>
      </c>
      <c r="I12" s="4" t="s">
        <v>49</v>
      </c>
      <c r="J12" s="4" t="s">
        <v>71</v>
      </c>
      <c r="K12" s="4">
        <v>1</v>
      </c>
      <c r="L12" s="4">
        <v>14643</v>
      </c>
      <c r="M12" s="4">
        <v>48.516111000000002</v>
      </c>
      <c r="N12" s="4">
        <v>-123.70055600000001</v>
      </c>
      <c r="O12" s="4" t="s">
        <v>51</v>
      </c>
      <c r="P12" s="4" t="s">
        <v>111</v>
      </c>
      <c r="Q12" s="4">
        <v>2</v>
      </c>
      <c r="R12" s="4" t="s">
        <v>112</v>
      </c>
      <c r="S12" s="4" t="s">
        <v>44</v>
      </c>
      <c r="T12" s="4">
        <v>180</v>
      </c>
      <c r="V12" s="4" t="s">
        <v>115</v>
      </c>
      <c r="W12" s="4">
        <v>35004</v>
      </c>
      <c r="X12" s="4" t="s">
        <v>53</v>
      </c>
      <c r="Y12" s="4" t="s">
        <v>54</v>
      </c>
      <c r="AA12" s="4" t="s">
        <v>55</v>
      </c>
      <c r="AB12" s="4" t="s">
        <v>56</v>
      </c>
      <c r="AC12" s="4" t="s">
        <v>116</v>
      </c>
      <c r="AD12" s="4" t="s">
        <v>58</v>
      </c>
      <c r="AH12" s="4" t="s">
        <v>117</v>
      </c>
      <c r="AK12" s="4" t="s">
        <v>118</v>
      </c>
    </row>
    <row r="13" spans="1:50" ht="14.25" customHeight="1" x14ac:dyDescent="0.2">
      <c r="A13" s="5"/>
      <c r="B13" s="4">
        <v>36</v>
      </c>
      <c r="C13" s="4" t="s">
        <v>7658</v>
      </c>
      <c r="D13" s="4" t="s">
        <v>119</v>
      </c>
      <c r="E13" s="4">
        <v>12620</v>
      </c>
      <c r="F13" s="4" t="s">
        <v>120</v>
      </c>
      <c r="G13" s="4" t="s">
        <v>121</v>
      </c>
      <c r="H13" s="4" t="s">
        <v>122</v>
      </c>
      <c r="I13" s="4" t="s">
        <v>49</v>
      </c>
      <c r="J13" s="4" t="s">
        <v>123</v>
      </c>
      <c r="K13" s="4">
        <v>1</v>
      </c>
      <c r="L13" s="4">
        <v>14642</v>
      </c>
      <c r="M13" s="4">
        <v>48.560279999999999</v>
      </c>
      <c r="N13" s="4">
        <v>-123.79913000000001</v>
      </c>
      <c r="O13" s="4" t="s">
        <v>51</v>
      </c>
      <c r="P13" s="4" t="s">
        <v>119</v>
      </c>
      <c r="Q13" s="4">
        <v>5</v>
      </c>
      <c r="R13" s="4" t="s">
        <v>120</v>
      </c>
      <c r="S13" s="4" t="s">
        <v>44</v>
      </c>
      <c r="T13" s="4">
        <v>941</v>
      </c>
      <c r="V13" s="4" t="s">
        <v>124</v>
      </c>
      <c r="W13" s="4">
        <v>43669</v>
      </c>
      <c r="X13" s="4" t="s">
        <v>53</v>
      </c>
      <c r="Y13" s="4" t="s">
        <v>54</v>
      </c>
      <c r="AA13" s="4" t="s">
        <v>55</v>
      </c>
      <c r="AB13" s="4" t="s">
        <v>56</v>
      </c>
      <c r="AC13" s="4" t="s">
        <v>57</v>
      </c>
      <c r="AD13" s="4" t="s">
        <v>58</v>
      </c>
      <c r="AH13" s="4" t="s">
        <v>59</v>
      </c>
    </row>
    <row r="14" spans="1:50" ht="14.25" customHeight="1" x14ac:dyDescent="0.2">
      <c r="A14" s="5" t="s">
        <v>125</v>
      </c>
      <c r="B14" s="4">
        <v>36</v>
      </c>
      <c r="C14" s="4" t="s">
        <v>7658</v>
      </c>
      <c r="D14" s="8" t="s">
        <v>126</v>
      </c>
      <c r="E14" s="4">
        <v>12627</v>
      </c>
      <c r="F14" s="9"/>
      <c r="G14" s="4" t="s">
        <v>127</v>
      </c>
      <c r="H14" s="4" t="s">
        <v>128</v>
      </c>
      <c r="I14" s="4" t="s">
        <v>49</v>
      </c>
      <c r="J14" s="4" t="s">
        <v>78</v>
      </c>
      <c r="K14" s="4">
        <v>1</v>
      </c>
      <c r="L14" s="4">
        <v>14649</v>
      </c>
    </row>
    <row r="15" spans="1:50" ht="14.25" customHeight="1" x14ac:dyDescent="0.2">
      <c r="A15" s="5" t="s">
        <v>125</v>
      </c>
      <c r="B15" s="4">
        <v>36</v>
      </c>
      <c r="C15" s="4" t="s">
        <v>7658</v>
      </c>
      <c r="D15" s="8" t="s">
        <v>129</v>
      </c>
      <c r="E15" s="4">
        <v>12628</v>
      </c>
      <c r="F15" s="9"/>
      <c r="G15" s="4" t="s">
        <v>127</v>
      </c>
      <c r="H15" s="4" t="s">
        <v>128</v>
      </c>
      <c r="I15" s="4" t="s">
        <v>49</v>
      </c>
      <c r="J15" s="4" t="s">
        <v>64</v>
      </c>
      <c r="K15" s="4">
        <v>1</v>
      </c>
      <c r="L15" s="4">
        <v>14650</v>
      </c>
    </row>
    <row r="16" spans="1:50" ht="14.25" customHeight="1" x14ac:dyDescent="0.2">
      <c r="A16" s="5" t="s">
        <v>125</v>
      </c>
      <c r="B16" s="4">
        <v>36</v>
      </c>
      <c r="C16" s="4" t="s">
        <v>7658</v>
      </c>
      <c r="D16" s="8" t="s">
        <v>130</v>
      </c>
      <c r="E16" s="4">
        <v>12629</v>
      </c>
      <c r="F16" s="9"/>
      <c r="G16" s="4" t="s">
        <v>127</v>
      </c>
      <c r="H16" s="4" t="s">
        <v>128</v>
      </c>
      <c r="I16" s="4" t="s">
        <v>49</v>
      </c>
      <c r="J16" s="4" t="s">
        <v>71</v>
      </c>
      <c r="K16" s="4">
        <v>1</v>
      </c>
      <c r="L16" s="4">
        <v>14651</v>
      </c>
    </row>
    <row r="17" spans="1:33" ht="14.25" customHeight="1" x14ac:dyDescent="0.2">
      <c r="A17" s="5" t="s">
        <v>125</v>
      </c>
      <c r="B17" s="4">
        <v>36</v>
      </c>
      <c r="C17" s="4" t="s">
        <v>7658</v>
      </c>
      <c r="D17" s="8" t="s">
        <v>131</v>
      </c>
      <c r="E17" s="4">
        <v>12630</v>
      </c>
      <c r="F17" s="9"/>
      <c r="G17" s="4" t="s">
        <v>127</v>
      </c>
      <c r="H17" s="4" t="s">
        <v>128</v>
      </c>
      <c r="I17" s="4" t="s">
        <v>49</v>
      </c>
      <c r="J17" s="4" t="s">
        <v>78</v>
      </c>
      <c r="K17" s="4">
        <v>1</v>
      </c>
      <c r="L17" s="4">
        <v>14652</v>
      </c>
    </row>
    <row r="18" spans="1:33" ht="14.25" customHeight="1" x14ac:dyDescent="0.2">
      <c r="A18" s="5" t="s">
        <v>125</v>
      </c>
      <c r="B18" s="4">
        <v>36</v>
      </c>
      <c r="C18" s="4" t="s">
        <v>7658</v>
      </c>
      <c r="D18" s="8" t="s">
        <v>132</v>
      </c>
      <c r="E18" s="4">
        <v>12631</v>
      </c>
      <c r="F18" s="9"/>
      <c r="G18" s="4" t="s">
        <v>127</v>
      </c>
      <c r="H18" s="4" t="s">
        <v>128</v>
      </c>
      <c r="I18" s="4" t="s">
        <v>49</v>
      </c>
      <c r="J18" s="4" t="s">
        <v>78</v>
      </c>
      <c r="K18" s="4">
        <v>1</v>
      </c>
      <c r="L18" s="4">
        <v>14653</v>
      </c>
    </row>
    <row r="19" spans="1:33" ht="14.25" customHeight="1" x14ac:dyDescent="0.2">
      <c r="A19" s="5" t="s">
        <v>125</v>
      </c>
      <c r="B19" s="4">
        <v>36</v>
      </c>
      <c r="C19" s="4" t="s">
        <v>7658</v>
      </c>
      <c r="D19" s="8" t="s">
        <v>133</v>
      </c>
      <c r="E19" s="4">
        <v>12632</v>
      </c>
      <c r="F19" s="9"/>
      <c r="G19" s="4" t="s">
        <v>127</v>
      </c>
      <c r="H19" s="4" t="s">
        <v>128</v>
      </c>
      <c r="I19" s="4" t="s">
        <v>49</v>
      </c>
      <c r="J19" s="4" t="s">
        <v>64</v>
      </c>
      <c r="K19" s="4">
        <v>1</v>
      </c>
      <c r="L19" s="4">
        <v>14654</v>
      </c>
    </row>
    <row r="20" spans="1:33" ht="14.25" customHeight="1" x14ac:dyDescent="0.2">
      <c r="A20" s="5" t="s">
        <v>125</v>
      </c>
      <c r="B20" s="4">
        <v>36</v>
      </c>
      <c r="C20" s="4" t="s">
        <v>7658</v>
      </c>
      <c r="D20" s="8" t="s">
        <v>134</v>
      </c>
      <c r="E20" s="4">
        <v>12633</v>
      </c>
      <c r="F20" s="9"/>
      <c r="G20" s="4" t="s">
        <v>127</v>
      </c>
      <c r="H20" s="4" t="s">
        <v>128</v>
      </c>
      <c r="I20" s="4" t="s">
        <v>49</v>
      </c>
      <c r="J20" s="4" t="s">
        <v>105</v>
      </c>
      <c r="K20" s="4">
        <v>1</v>
      </c>
      <c r="L20" s="4">
        <v>14655</v>
      </c>
    </row>
    <row r="21" spans="1:33" ht="14.25" customHeight="1" x14ac:dyDescent="0.2">
      <c r="A21" s="5" t="s">
        <v>125</v>
      </c>
      <c r="B21" s="4">
        <v>36</v>
      </c>
      <c r="C21" s="4" t="s">
        <v>7658</v>
      </c>
      <c r="D21" s="8" t="s">
        <v>135</v>
      </c>
      <c r="E21" s="4">
        <v>12634</v>
      </c>
      <c r="F21" s="9"/>
      <c r="G21" s="4" t="s">
        <v>127</v>
      </c>
      <c r="H21" s="4" t="s">
        <v>128</v>
      </c>
      <c r="I21" s="4" t="s">
        <v>49</v>
      </c>
      <c r="J21" s="4" t="s">
        <v>136</v>
      </c>
      <c r="K21" s="4">
        <v>1</v>
      </c>
      <c r="L21" s="4">
        <v>14656</v>
      </c>
    </row>
    <row r="22" spans="1:33" ht="14.25" customHeight="1" x14ac:dyDescent="0.2">
      <c r="A22" s="5" t="s">
        <v>125</v>
      </c>
      <c r="B22" s="4">
        <v>36</v>
      </c>
      <c r="C22" s="4" t="s">
        <v>7658</v>
      </c>
      <c r="D22" s="8" t="s">
        <v>137</v>
      </c>
      <c r="E22" s="4">
        <v>12635</v>
      </c>
      <c r="F22" s="9"/>
      <c r="G22" s="4" t="s">
        <v>127</v>
      </c>
      <c r="H22" s="4" t="s">
        <v>128</v>
      </c>
      <c r="I22" s="4" t="s">
        <v>49</v>
      </c>
      <c r="J22" s="4" t="s">
        <v>71</v>
      </c>
      <c r="K22" s="4">
        <v>1</v>
      </c>
      <c r="L22" s="4">
        <v>14657</v>
      </c>
    </row>
    <row r="23" spans="1:33" ht="14.25" customHeight="1" x14ac:dyDescent="0.2">
      <c r="A23" s="5" t="s">
        <v>138</v>
      </c>
      <c r="B23" s="4">
        <v>10</v>
      </c>
      <c r="C23" s="10" t="s">
        <v>139</v>
      </c>
      <c r="D23" s="10" t="s">
        <v>140</v>
      </c>
      <c r="E23" s="8"/>
      <c r="F23" s="8" t="s">
        <v>141</v>
      </c>
      <c r="G23" s="8" t="str">
        <f t="shared" ref="G23:G90" si="0">CONCATENATE("-&gt; ",-1*AF23," W, ",AE23," N, Elev. ",AG23," m")</f>
        <v>-&gt; 119.651 W, 49.5794 N, Elev. 426 m</v>
      </c>
      <c r="H23" s="9"/>
      <c r="I23" s="9"/>
      <c r="J23" s="9"/>
      <c r="M23" s="11">
        <v>49.5794</v>
      </c>
      <c r="N23" s="11">
        <v>-119.651</v>
      </c>
      <c r="O23" s="11" t="s">
        <v>142</v>
      </c>
      <c r="P23" s="11" t="s">
        <v>143</v>
      </c>
      <c r="Q23" s="12">
        <v>1</v>
      </c>
      <c r="R23" s="11" t="s">
        <v>144</v>
      </c>
      <c r="S23" s="11" t="s">
        <v>145</v>
      </c>
      <c r="T23" s="11">
        <v>426</v>
      </c>
      <c r="AE23" s="8">
        <v>49.5794</v>
      </c>
      <c r="AF23" s="8">
        <v>-119.651</v>
      </c>
      <c r="AG23" s="8">
        <v>426</v>
      </c>
    </row>
    <row r="24" spans="1:33" ht="14.25" customHeight="1" x14ac:dyDescent="0.2">
      <c r="A24" s="5" t="s">
        <v>138</v>
      </c>
      <c r="B24" s="4">
        <v>10</v>
      </c>
      <c r="C24" s="10" t="s">
        <v>139</v>
      </c>
      <c r="D24" s="8" t="s">
        <v>146</v>
      </c>
      <c r="E24" s="8"/>
      <c r="F24" s="10" t="s">
        <v>147</v>
      </c>
      <c r="G24" s="8" t="str">
        <f t="shared" si="0"/>
        <v>-&gt; 121.2511111 W, 51.79027778 N, Elev. 677 m</v>
      </c>
      <c r="M24" s="11">
        <v>51.790277779999997</v>
      </c>
      <c r="N24" s="11">
        <v>-121.2511111</v>
      </c>
      <c r="O24" s="11" t="s">
        <v>148</v>
      </c>
      <c r="P24" s="11" t="s">
        <v>149</v>
      </c>
      <c r="Q24" s="12">
        <v>1</v>
      </c>
      <c r="R24" s="11" t="s">
        <v>150</v>
      </c>
      <c r="S24" s="11" t="s">
        <v>145</v>
      </c>
      <c r="T24" s="11">
        <v>677</v>
      </c>
      <c r="AE24" s="8">
        <v>51.790277779999997</v>
      </c>
      <c r="AF24" s="8">
        <v>-121.2511111</v>
      </c>
      <c r="AG24" s="8">
        <v>677</v>
      </c>
    </row>
    <row r="25" spans="1:33" ht="14.25" customHeight="1" x14ac:dyDescent="0.2">
      <c r="A25" s="5" t="s">
        <v>138</v>
      </c>
      <c r="B25" s="4">
        <v>10</v>
      </c>
      <c r="C25" s="10" t="s">
        <v>139</v>
      </c>
      <c r="D25" s="8" t="s">
        <v>151</v>
      </c>
      <c r="E25" s="8"/>
      <c r="F25" s="10" t="s">
        <v>152</v>
      </c>
      <c r="G25" s="8" t="str">
        <f t="shared" si="0"/>
        <v>-&gt; 120.143 W, 55.7721 N, Elev. 673 m</v>
      </c>
      <c r="M25" s="11">
        <v>55.772100000000002</v>
      </c>
      <c r="N25" s="11">
        <v>-120.143</v>
      </c>
      <c r="O25" s="11" t="s">
        <v>153</v>
      </c>
      <c r="P25" s="11" t="s">
        <v>154</v>
      </c>
      <c r="Q25" s="12">
        <v>2</v>
      </c>
      <c r="R25" s="11" t="s">
        <v>155</v>
      </c>
      <c r="S25" s="11" t="s">
        <v>145</v>
      </c>
      <c r="T25" s="11">
        <v>673</v>
      </c>
      <c r="AE25" s="8">
        <v>55.772100000000002</v>
      </c>
      <c r="AF25" s="8">
        <v>-120.143</v>
      </c>
      <c r="AG25" s="8">
        <v>673</v>
      </c>
    </row>
    <row r="26" spans="1:33" ht="14.25" customHeight="1" x14ac:dyDescent="0.2">
      <c r="A26" s="5" t="s">
        <v>138</v>
      </c>
      <c r="B26" s="4">
        <v>10</v>
      </c>
      <c r="C26" s="10" t="s">
        <v>139</v>
      </c>
      <c r="D26" s="8" t="s">
        <v>156</v>
      </c>
      <c r="E26" s="8"/>
      <c r="F26" s="10" t="s">
        <v>157</v>
      </c>
      <c r="G26" s="8" t="str">
        <f t="shared" si="0"/>
        <v>-&gt; 121.308 W, 56.2461 N, Elev. 504 m</v>
      </c>
      <c r="M26" s="11">
        <v>56.246099999999998</v>
      </c>
      <c r="N26" s="11">
        <v>-121.30800000000001</v>
      </c>
      <c r="O26" s="11" t="s">
        <v>148</v>
      </c>
      <c r="P26" s="11" t="s">
        <v>158</v>
      </c>
      <c r="Q26" s="12">
        <v>1</v>
      </c>
      <c r="R26" s="11" t="s">
        <v>159</v>
      </c>
      <c r="S26" s="11" t="s">
        <v>145</v>
      </c>
      <c r="T26" s="11">
        <v>504</v>
      </c>
      <c r="AE26" s="8">
        <v>56.246099999999998</v>
      </c>
      <c r="AF26" s="8">
        <v>-121.30800000000001</v>
      </c>
      <c r="AG26" s="8">
        <v>504</v>
      </c>
    </row>
    <row r="27" spans="1:33" ht="14.25" customHeight="1" x14ac:dyDescent="0.2">
      <c r="A27" s="5" t="s">
        <v>138</v>
      </c>
      <c r="B27" s="4">
        <v>10</v>
      </c>
      <c r="C27" s="10" t="s">
        <v>139</v>
      </c>
      <c r="D27" s="8" t="s">
        <v>160</v>
      </c>
      <c r="E27" s="8"/>
      <c r="F27" s="10" t="s">
        <v>161</v>
      </c>
      <c r="G27" s="8" t="str">
        <f t="shared" si="0"/>
        <v>-&gt; 119.3413 W, 50.2551 N, Elev. 437 m</v>
      </c>
      <c r="M27" s="11">
        <v>50.255099999999999</v>
      </c>
      <c r="N27" s="11">
        <v>-119.3413</v>
      </c>
      <c r="O27" s="11" t="s">
        <v>142</v>
      </c>
      <c r="P27" s="11" t="s">
        <v>162</v>
      </c>
      <c r="Q27" s="12">
        <v>1</v>
      </c>
      <c r="R27" s="11" t="s">
        <v>163</v>
      </c>
      <c r="S27" s="11" t="s">
        <v>145</v>
      </c>
      <c r="T27" s="11">
        <v>437</v>
      </c>
      <c r="Z27" s="11"/>
      <c r="AA27" s="11"/>
      <c r="AB27" s="11"/>
      <c r="AC27" s="11"/>
      <c r="AE27" s="8">
        <v>50.255099999999999</v>
      </c>
      <c r="AF27" s="8">
        <v>-119.3413</v>
      </c>
      <c r="AG27" s="8">
        <v>437</v>
      </c>
    </row>
    <row r="28" spans="1:33" ht="14.25" customHeight="1" x14ac:dyDescent="0.2">
      <c r="A28" s="5" t="s">
        <v>138</v>
      </c>
      <c r="B28" s="4">
        <v>10</v>
      </c>
      <c r="C28" s="10" t="s">
        <v>139</v>
      </c>
      <c r="D28" s="8" t="s">
        <v>164</v>
      </c>
      <c r="E28" s="8"/>
      <c r="F28" s="10" t="s">
        <v>165</v>
      </c>
      <c r="G28" s="8" t="str">
        <f t="shared" si="0"/>
        <v>-&gt; 121.085 W, 56.7637 N, Elev. 757 m</v>
      </c>
      <c r="M28" s="11">
        <v>56.7637</v>
      </c>
      <c r="N28" s="11">
        <v>-121.08499999999999</v>
      </c>
      <c r="O28" s="11" t="s">
        <v>153</v>
      </c>
      <c r="P28" s="11" t="s">
        <v>166</v>
      </c>
      <c r="Q28" s="12">
        <v>4</v>
      </c>
      <c r="R28" s="11" t="s">
        <v>167</v>
      </c>
      <c r="S28" s="11" t="s">
        <v>145</v>
      </c>
      <c r="T28" s="11">
        <v>757</v>
      </c>
      <c r="AE28" s="8">
        <v>56.7637</v>
      </c>
      <c r="AF28" s="8">
        <v>-121.08499999999999</v>
      </c>
      <c r="AG28" s="8">
        <v>757</v>
      </c>
    </row>
    <row r="29" spans="1:33" ht="14.25" customHeight="1" x14ac:dyDescent="0.2">
      <c r="A29" s="5" t="s">
        <v>138</v>
      </c>
      <c r="B29" s="4">
        <v>10</v>
      </c>
      <c r="C29" s="10" t="s">
        <v>139</v>
      </c>
      <c r="D29" s="8" t="s">
        <v>168</v>
      </c>
      <c r="E29" s="8"/>
      <c r="F29" s="10" t="s">
        <v>169</v>
      </c>
      <c r="G29" s="8" t="str">
        <f t="shared" si="0"/>
        <v>-&gt; 116.4475 W, 49.0853 N, Elev. 659 m</v>
      </c>
      <c r="M29" s="11">
        <v>49.085299999999997</v>
      </c>
      <c r="N29" s="11">
        <v>-116.44750000000001</v>
      </c>
      <c r="O29" s="11" t="s">
        <v>170</v>
      </c>
      <c r="P29" s="11" t="s">
        <v>171</v>
      </c>
      <c r="Q29" s="12">
        <v>1</v>
      </c>
      <c r="R29" s="11" t="s">
        <v>172</v>
      </c>
      <c r="S29" s="11" t="s">
        <v>145</v>
      </c>
      <c r="T29" s="11">
        <v>659</v>
      </c>
      <c r="AE29" s="8">
        <v>49.085299999999997</v>
      </c>
      <c r="AF29" s="8">
        <v>-116.44750000000001</v>
      </c>
      <c r="AG29" s="8">
        <v>659</v>
      </c>
    </row>
    <row r="30" spans="1:33" ht="14.25" customHeight="1" x14ac:dyDescent="0.2">
      <c r="A30" s="5" t="s">
        <v>138</v>
      </c>
      <c r="B30" s="4">
        <v>10</v>
      </c>
      <c r="C30" s="10" t="s">
        <v>139</v>
      </c>
      <c r="D30" s="10" t="s">
        <v>173</v>
      </c>
      <c r="E30" s="8"/>
      <c r="F30" s="10" t="s">
        <v>174</v>
      </c>
      <c r="G30" s="8" t="str">
        <f t="shared" si="0"/>
        <v>-&gt; 120.531 W, 56.3062 N, Elev. 718 m</v>
      </c>
      <c r="M30" s="11">
        <v>56.306199999999997</v>
      </c>
      <c r="N30" s="11">
        <v>-120.53100000000001</v>
      </c>
      <c r="O30" s="11" t="s">
        <v>153</v>
      </c>
      <c r="P30" s="11" t="s">
        <v>175</v>
      </c>
      <c r="Q30" s="12">
        <v>3</v>
      </c>
      <c r="R30" s="11" t="s">
        <v>176</v>
      </c>
      <c r="S30" s="11" t="s">
        <v>145</v>
      </c>
      <c r="T30" s="11">
        <v>718</v>
      </c>
      <c r="AE30" s="8">
        <v>56.306199999999997</v>
      </c>
      <c r="AF30" s="8">
        <v>-120.53100000000001</v>
      </c>
      <c r="AG30" s="8">
        <v>718</v>
      </c>
    </row>
    <row r="31" spans="1:33" ht="14.25" customHeight="1" x14ac:dyDescent="0.2">
      <c r="A31" s="5" t="s">
        <v>138</v>
      </c>
      <c r="B31" s="4">
        <v>10</v>
      </c>
      <c r="C31" s="10" t="s">
        <v>139</v>
      </c>
      <c r="D31" s="10" t="s">
        <v>177</v>
      </c>
      <c r="E31" s="8"/>
      <c r="F31" s="10" t="s">
        <v>178</v>
      </c>
      <c r="G31" s="8" t="str">
        <f t="shared" si="0"/>
        <v>-&gt; 116.4851 W, 49.0884 N, Elev. 648 m</v>
      </c>
      <c r="M31" s="11">
        <v>49.0884</v>
      </c>
      <c r="N31" s="11">
        <v>-116.4851</v>
      </c>
      <c r="O31" s="11" t="s">
        <v>170</v>
      </c>
      <c r="P31" s="11" t="s">
        <v>179</v>
      </c>
      <c r="Q31" s="12">
        <v>1</v>
      </c>
      <c r="R31" s="11" t="s">
        <v>180</v>
      </c>
      <c r="S31" s="11" t="s">
        <v>145</v>
      </c>
      <c r="T31" s="11">
        <v>648</v>
      </c>
      <c r="AE31" s="8">
        <v>49.0884</v>
      </c>
      <c r="AF31" s="8">
        <v>-116.4851</v>
      </c>
      <c r="AG31" s="8">
        <v>648</v>
      </c>
    </row>
    <row r="32" spans="1:33" ht="14.25" customHeight="1" x14ac:dyDescent="0.2">
      <c r="A32" s="5" t="s">
        <v>138</v>
      </c>
      <c r="B32" s="4">
        <v>10</v>
      </c>
      <c r="C32" s="10" t="s">
        <v>139</v>
      </c>
      <c r="D32" s="8" t="s">
        <v>181</v>
      </c>
      <c r="E32" s="8"/>
      <c r="F32" s="10" t="s">
        <v>182</v>
      </c>
      <c r="G32" s="8" t="str">
        <f t="shared" si="0"/>
        <v>-&gt; 123.0348 W, 49.1255 N, Elev. 3 m</v>
      </c>
      <c r="M32" s="11">
        <v>49.125500000000002</v>
      </c>
      <c r="N32" s="11">
        <v>-123.0348</v>
      </c>
      <c r="O32" s="11" t="s">
        <v>183</v>
      </c>
      <c r="P32" s="11" t="s">
        <v>184</v>
      </c>
      <c r="Q32" s="12">
        <v>1</v>
      </c>
      <c r="R32" s="11" t="s">
        <v>185</v>
      </c>
      <c r="S32" s="11" t="s">
        <v>145</v>
      </c>
      <c r="T32" s="11">
        <v>3</v>
      </c>
      <c r="AE32" s="8">
        <v>49.125500000000002</v>
      </c>
      <c r="AF32" s="8">
        <v>-123.0348</v>
      </c>
      <c r="AG32" s="8">
        <v>3</v>
      </c>
    </row>
    <row r="33" spans="1:33" ht="14.25" customHeight="1" x14ac:dyDescent="0.2">
      <c r="A33" s="5" t="s">
        <v>138</v>
      </c>
      <c r="B33" s="4">
        <v>10</v>
      </c>
      <c r="C33" s="10" t="s">
        <v>139</v>
      </c>
      <c r="D33" s="8" t="s">
        <v>186</v>
      </c>
      <c r="E33" s="8"/>
      <c r="F33" s="10" t="s">
        <v>187</v>
      </c>
      <c r="G33" s="8" t="str">
        <f t="shared" si="0"/>
        <v>-&gt; 120.586 W, 55.9103 N, Elev. 717 m</v>
      </c>
      <c r="M33" s="11">
        <v>55.910299999999999</v>
      </c>
      <c r="N33" s="11">
        <v>-120.586</v>
      </c>
      <c r="O33" s="11" t="s">
        <v>153</v>
      </c>
      <c r="P33" s="11" t="s">
        <v>188</v>
      </c>
      <c r="Q33" s="12">
        <v>3</v>
      </c>
      <c r="R33" s="11" t="s">
        <v>189</v>
      </c>
      <c r="S33" s="11" t="s">
        <v>145</v>
      </c>
      <c r="T33" s="11">
        <v>717</v>
      </c>
      <c r="AE33" s="8">
        <v>55.910299999999999</v>
      </c>
      <c r="AF33" s="8">
        <v>-120.586</v>
      </c>
      <c r="AG33" s="8">
        <v>717</v>
      </c>
    </row>
    <row r="34" spans="1:33" ht="14.25" customHeight="1" x14ac:dyDescent="0.2">
      <c r="A34" s="5" t="s">
        <v>138</v>
      </c>
      <c r="B34" s="4">
        <v>10</v>
      </c>
      <c r="C34" s="10" t="s">
        <v>139</v>
      </c>
      <c r="D34" s="8" t="s">
        <v>190</v>
      </c>
      <c r="E34" s="8"/>
      <c r="F34" s="10" t="s">
        <v>191</v>
      </c>
      <c r="G34" s="8" t="str">
        <f t="shared" si="0"/>
        <v>-&gt; 120.421 W, 56.2691 N, Elev. 693 m</v>
      </c>
      <c r="M34" s="11">
        <v>56.269100000000002</v>
      </c>
      <c r="N34" s="11">
        <v>-120.42100000000001</v>
      </c>
      <c r="O34" s="11" t="s">
        <v>153</v>
      </c>
      <c r="P34" s="11" t="s">
        <v>192</v>
      </c>
      <c r="Q34" s="12">
        <v>2</v>
      </c>
      <c r="R34" s="11" t="s">
        <v>193</v>
      </c>
      <c r="S34" s="11" t="s">
        <v>145</v>
      </c>
      <c r="T34" s="11">
        <v>693</v>
      </c>
      <c r="AE34" s="8">
        <v>56.269100000000002</v>
      </c>
      <c r="AF34" s="8">
        <v>-120.42100000000001</v>
      </c>
      <c r="AG34" s="8">
        <v>693</v>
      </c>
    </row>
    <row r="35" spans="1:33" ht="14.25" customHeight="1" x14ac:dyDescent="0.2">
      <c r="A35" s="5" t="s">
        <v>138</v>
      </c>
      <c r="B35" s="4">
        <v>10</v>
      </c>
      <c r="C35" s="10" t="s">
        <v>139</v>
      </c>
      <c r="D35" s="8" t="s">
        <v>194</v>
      </c>
      <c r="E35" s="8"/>
      <c r="F35" s="10" t="s">
        <v>195</v>
      </c>
      <c r="G35" s="8" t="str">
        <f t="shared" si="0"/>
        <v>-&gt; 119.2963 W, 50.382 N, Elev. 461 m</v>
      </c>
      <c r="M35" s="11">
        <v>50.381999999999998</v>
      </c>
      <c r="N35" s="11">
        <v>-119.2963</v>
      </c>
      <c r="O35" s="11" t="s">
        <v>196</v>
      </c>
      <c r="P35" s="11" t="s">
        <v>197</v>
      </c>
      <c r="Q35" s="12">
        <v>1</v>
      </c>
      <c r="R35" s="11" t="s">
        <v>198</v>
      </c>
      <c r="S35" s="11" t="s">
        <v>145</v>
      </c>
      <c r="T35" s="11">
        <v>461</v>
      </c>
      <c r="AE35" s="8">
        <v>50.381999999999998</v>
      </c>
      <c r="AF35" s="8">
        <v>-119.2963</v>
      </c>
      <c r="AG35" s="8">
        <v>461</v>
      </c>
    </row>
    <row r="36" spans="1:33" ht="14.25" customHeight="1" x14ac:dyDescent="0.2">
      <c r="A36" s="5" t="s">
        <v>138</v>
      </c>
      <c r="B36" s="4">
        <v>10</v>
      </c>
      <c r="C36" s="10" t="s">
        <v>139</v>
      </c>
      <c r="D36" s="8" t="s">
        <v>199</v>
      </c>
      <c r="E36" s="8"/>
      <c r="F36" s="10" t="s">
        <v>200</v>
      </c>
      <c r="G36" s="8" t="str">
        <f t="shared" si="0"/>
        <v>-&gt; 120.874 W, 55.7703 N, Elev. 743 m</v>
      </c>
      <c r="M36" s="11">
        <v>55.770299999999999</v>
      </c>
      <c r="N36" s="11">
        <v>-120.874</v>
      </c>
      <c r="O36" s="11" t="s">
        <v>170</v>
      </c>
      <c r="P36" s="11" t="s">
        <v>201</v>
      </c>
      <c r="Q36" s="12">
        <v>1</v>
      </c>
      <c r="R36" s="11" t="s">
        <v>202</v>
      </c>
      <c r="S36" s="11" t="s">
        <v>145</v>
      </c>
      <c r="T36" s="11">
        <v>743</v>
      </c>
      <c r="AE36" s="8">
        <v>55.770299999999999</v>
      </c>
      <c r="AF36" s="8">
        <v>-120.874</v>
      </c>
      <c r="AG36" s="8">
        <v>743</v>
      </c>
    </row>
    <row r="37" spans="1:33" ht="14.25" customHeight="1" x14ac:dyDescent="0.2">
      <c r="A37" s="5" t="s">
        <v>138</v>
      </c>
      <c r="B37" s="4">
        <v>10</v>
      </c>
      <c r="C37" s="10" t="s">
        <v>139</v>
      </c>
      <c r="D37" s="8" t="s">
        <v>203</v>
      </c>
      <c r="E37" s="8"/>
      <c r="F37" s="10" t="s">
        <v>204</v>
      </c>
      <c r="G37" s="8" t="str">
        <f t="shared" si="0"/>
        <v>-&gt; 119.22888 W, 50.54694 N, Elev. 531 m</v>
      </c>
      <c r="M37" s="11">
        <v>50.546939999999999</v>
      </c>
      <c r="N37" s="11">
        <v>-119.22888</v>
      </c>
      <c r="O37" s="11" t="s">
        <v>142</v>
      </c>
      <c r="P37" s="11" t="s">
        <v>205</v>
      </c>
      <c r="Q37" s="12">
        <v>1</v>
      </c>
      <c r="R37" s="11" t="s">
        <v>206</v>
      </c>
      <c r="S37" s="11" t="s">
        <v>145</v>
      </c>
      <c r="T37" s="11">
        <v>531</v>
      </c>
      <c r="AE37" s="8">
        <v>50.546939999999999</v>
      </c>
      <c r="AF37" s="8">
        <v>-119.22888</v>
      </c>
      <c r="AG37" s="8">
        <v>531</v>
      </c>
    </row>
    <row r="38" spans="1:33" ht="14.25" customHeight="1" x14ac:dyDescent="0.2">
      <c r="A38" s="5" t="s">
        <v>138</v>
      </c>
      <c r="B38" s="4">
        <v>10</v>
      </c>
      <c r="C38" s="10" t="s">
        <v>139</v>
      </c>
      <c r="D38" s="8" t="s">
        <v>207</v>
      </c>
      <c r="E38" s="8"/>
      <c r="F38" s="10" t="s">
        <v>208</v>
      </c>
      <c r="G38" s="8" t="str">
        <f t="shared" si="0"/>
        <v>-&gt; 119.28027 W, 50.53416 N, Elev. 561 m</v>
      </c>
      <c r="M38" s="11">
        <v>50.53416</v>
      </c>
      <c r="N38" s="11">
        <v>-119.28027</v>
      </c>
      <c r="O38" s="11" t="s">
        <v>142</v>
      </c>
      <c r="P38" s="11" t="s">
        <v>209</v>
      </c>
      <c r="Q38" s="12">
        <v>1</v>
      </c>
      <c r="R38" s="11" t="s">
        <v>210</v>
      </c>
      <c r="S38" s="11" t="s">
        <v>145</v>
      </c>
      <c r="T38" s="11">
        <v>561</v>
      </c>
      <c r="AE38" s="8">
        <v>50.53416</v>
      </c>
      <c r="AF38" s="8">
        <v>-119.28027</v>
      </c>
      <c r="AG38" s="8">
        <v>561</v>
      </c>
    </row>
    <row r="39" spans="1:33" ht="14.25" customHeight="1" x14ac:dyDescent="0.2">
      <c r="A39" s="5" t="s">
        <v>138</v>
      </c>
      <c r="B39" s="4">
        <v>10</v>
      </c>
      <c r="C39" s="10" t="s">
        <v>139</v>
      </c>
      <c r="D39" s="8" t="s">
        <v>211</v>
      </c>
      <c r="E39" s="8"/>
      <c r="F39" s="10" t="s">
        <v>212</v>
      </c>
      <c r="G39" s="8" t="str">
        <f t="shared" si="0"/>
        <v>-&gt; 119.6045 W, 49.399 N, Elev. 440 m</v>
      </c>
      <c r="M39" s="11">
        <v>49.399000000000001</v>
      </c>
      <c r="N39" s="11">
        <v>-119.6045</v>
      </c>
      <c r="O39" s="11" t="s">
        <v>142</v>
      </c>
      <c r="P39" s="11" t="s">
        <v>213</v>
      </c>
      <c r="Q39" s="12">
        <v>1</v>
      </c>
      <c r="R39" s="11" t="s">
        <v>214</v>
      </c>
      <c r="S39" s="11" t="s">
        <v>145</v>
      </c>
      <c r="T39" s="11">
        <v>440</v>
      </c>
      <c r="AE39" s="8">
        <v>49.399000000000001</v>
      </c>
      <c r="AF39" s="8">
        <v>-119.6045</v>
      </c>
      <c r="AG39" s="8">
        <v>440</v>
      </c>
    </row>
    <row r="40" spans="1:33" ht="14.25" customHeight="1" x14ac:dyDescent="0.2">
      <c r="A40" s="5" t="s">
        <v>138</v>
      </c>
      <c r="B40" s="4">
        <v>10</v>
      </c>
      <c r="C40" s="10" t="s">
        <v>139</v>
      </c>
      <c r="D40" s="8" t="s">
        <v>215</v>
      </c>
      <c r="E40" s="8"/>
      <c r="F40" s="10" t="s">
        <v>216</v>
      </c>
      <c r="G40" s="8" t="str">
        <f t="shared" si="0"/>
        <v>-&gt; 120.079 W, 55.2531 N, Elev. 880 m</v>
      </c>
      <c r="M40" s="11">
        <v>55.253100000000003</v>
      </c>
      <c r="N40" s="11">
        <v>-120.07899999999999</v>
      </c>
      <c r="O40" s="11" t="s">
        <v>153</v>
      </c>
      <c r="P40" s="11" t="s">
        <v>217</v>
      </c>
      <c r="Q40" s="12">
        <v>7</v>
      </c>
      <c r="R40" s="11" t="s">
        <v>218</v>
      </c>
      <c r="S40" s="11" t="s">
        <v>145</v>
      </c>
      <c r="T40" s="11">
        <v>880</v>
      </c>
      <c r="AE40" s="8">
        <v>55.253100000000003</v>
      </c>
      <c r="AF40" s="8">
        <v>-120.07899999999999</v>
      </c>
      <c r="AG40" s="8">
        <v>880</v>
      </c>
    </row>
    <row r="41" spans="1:33" ht="14.25" customHeight="1" x14ac:dyDescent="0.2">
      <c r="A41" s="5" t="s">
        <v>138</v>
      </c>
      <c r="B41" s="4">
        <v>10</v>
      </c>
      <c r="C41" s="10" t="s">
        <v>139</v>
      </c>
      <c r="D41" s="8" t="s">
        <v>219</v>
      </c>
      <c r="E41" s="8"/>
      <c r="F41" s="10" t="s">
        <v>220</v>
      </c>
      <c r="G41" s="8" t="str">
        <f t="shared" si="0"/>
        <v>-&gt; 119.8242 W, 49.2218 N, Elev. 456 m</v>
      </c>
      <c r="M41" s="11">
        <v>49.221800000000002</v>
      </c>
      <c r="N41" s="11">
        <v>-119.8242</v>
      </c>
      <c r="O41" s="11" t="s">
        <v>221</v>
      </c>
      <c r="P41" s="11" t="s">
        <v>222</v>
      </c>
      <c r="Q41" s="12">
        <v>1</v>
      </c>
      <c r="R41" s="11" t="s">
        <v>223</v>
      </c>
      <c r="S41" s="11" t="s">
        <v>145</v>
      </c>
      <c r="T41" s="11">
        <v>456</v>
      </c>
      <c r="AE41" s="8">
        <v>49.221800000000002</v>
      </c>
      <c r="AF41" s="8">
        <v>-119.8242</v>
      </c>
      <c r="AG41" s="8">
        <v>456</v>
      </c>
    </row>
    <row r="42" spans="1:33" ht="14.25" customHeight="1" x14ac:dyDescent="0.2">
      <c r="A42" s="5" t="s">
        <v>138</v>
      </c>
      <c r="B42" s="4">
        <v>10</v>
      </c>
      <c r="C42" s="10" t="s">
        <v>139</v>
      </c>
      <c r="D42" s="8" t="s">
        <v>224</v>
      </c>
      <c r="E42" s="8"/>
      <c r="F42" s="10" t="s">
        <v>225</v>
      </c>
      <c r="G42" s="8" t="str">
        <f t="shared" si="0"/>
        <v>-&gt; 119.1002 W, 50.2254 N, Elev. 550 m</v>
      </c>
      <c r="M42" s="11">
        <v>50.2254</v>
      </c>
      <c r="N42" s="11">
        <v>-119.1002</v>
      </c>
      <c r="O42" s="11" t="s">
        <v>221</v>
      </c>
      <c r="P42" s="11" t="s">
        <v>226</v>
      </c>
      <c r="Q42" s="12">
        <v>1</v>
      </c>
      <c r="R42" s="11" t="s">
        <v>227</v>
      </c>
      <c r="S42" s="11" t="s">
        <v>145</v>
      </c>
      <c r="T42" s="11">
        <v>550</v>
      </c>
      <c r="AE42" s="8">
        <v>50.2254</v>
      </c>
      <c r="AF42" s="8">
        <v>-119.1002</v>
      </c>
      <c r="AG42" s="8">
        <v>550</v>
      </c>
    </row>
    <row r="43" spans="1:33" ht="14.25" customHeight="1" x14ac:dyDescent="0.2">
      <c r="A43" s="5" t="s">
        <v>138</v>
      </c>
      <c r="B43" s="4">
        <v>10</v>
      </c>
      <c r="C43" s="10" t="s">
        <v>139</v>
      </c>
      <c r="D43" s="8" t="s">
        <v>228</v>
      </c>
      <c r="E43" s="8"/>
      <c r="F43" s="10" t="s">
        <v>229</v>
      </c>
      <c r="G43" s="8" t="str">
        <f t="shared" si="0"/>
        <v>-&gt; 125.0485 W, 49.7788 N, Elev. 49 m</v>
      </c>
      <c r="M43" s="11">
        <v>49.778799999999997</v>
      </c>
      <c r="N43" s="11">
        <v>-125.0485</v>
      </c>
      <c r="O43" s="11" t="s">
        <v>183</v>
      </c>
      <c r="P43" s="11" t="s">
        <v>230</v>
      </c>
      <c r="Q43" s="12">
        <v>2</v>
      </c>
      <c r="R43" s="11" t="s">
        <v>231</v>
      </c>
      <c r="S43" s="11" t="s">
        <v>145</v>
      </c>
      <c r="T43" s="11">
        <v>49</v>
      </c>
      <c r="AE43" s="8">
        <v>49.778799999999997</v>
      </c>
      <c r="AF43" s="8">
        <v>-125.0485</v>
      </c>
      <c r="AG43" s="8">
        <v>49</v>
      </c>
    </row>
    <row r="44" spans="1:33" ht="14.25" customHeight="1" x14ac:dyDescent="0.2">
      <c r="A44" s="5" t="s">
        <v>138</v>
      </c>
      <c r="B44" s="4">
        <v>10</v>
      </c>
      <c r="C44" s="10" t="s">
        <v>139</v>
      </c>
      <c r="D44" s="8" t="s">
        <v>232</v>
      </c>
      <c r="E44" s="8"/>
      <c r="F44" s="10" t="s">
        <v>233</v>
      </c>
      <c r="G44" s="8" t="str">
        <f t="shared" si="0"/>
        <v>-&gt; 119.9330295 W, 50.6436078 N, Elev. 385 m</v>
      </c>
      <c r="M44" s="11">
        <v>50.643607799999998</v>
      </c>
      <c r="N44" s="11">
        <v>-119.9330295</v>
      </c>
      <c r="O44" s="11" t="s">
        <v>142</v>
      </c>
      <c r="P44" s="11" t="s">
        <v>234</v>
      </c>
      <c r="Q44" s="12">
        <v>1</v>
      </c>
      <c r="R44" s="11" t="s">
        <v>235</v>
      </c>
      <c r="S44" s="11" t="s">
        <v>145</v>
      </c>
      <c r="T44" s="11">
        <v>385</v>
      </c>
      <c r="AE44" s="8">
        <v>50.643607799999998</v>
      </c>
      <c r="AF44" s="8">
        <v>-119.9330295</v>
      </c>
      <c r="AG44" s="8">
        <v>385</v>
      </c>
    </row>
    <row r="45" spans="1:33" ht="14.25" customHeight="1" x14ac:dyDescent="0.2">
      <c r="A45" s="5" t="s">
        <v>138</v>
      </c>
      <c r="B45" s="4">
        <v>10</v>
      </c>
      <c r="C45" s="10" t="s">
        <v>139</v>
      </c>
      <c r="D45" s="8" t="s">
        <v>236</v>
      </c>
      <c r="E45" s="8"/>
      <c r="F45" s="10" t="s">
        <v>237</v>
      </c>
      <c r="G45" s="8" t="str">
        <f t="shared" si="0"/>
        <v>-&gt; 120.878 W, 56.3537 N, Elev. 693 m</v>
      </c>
      <c r="M45" s="11">
        <v>56.353700000000003</v>
      </c>
      <c r="N45" s="11">
        <v>-120.878</v>
      </c>
      <c r="O45" s="11" t="s">
        <v>153</v>
      </c>
      <c r="P45" s="11" t="s">
        <v>238</v>
      </c>
      <c r="Q45" s="12">
        <v>2</v>
      </c>
      <c r="R45" s="11" t="s">
        <v>239</v>
      </c>
      <c r="S45" s="11" t="s">
        <v>145</v>
      </c>
      <c r="T45" s="11">
        <v>693</v>
      </c>
      <c r="AE45" s="8">
        <v>56.353700000000003</v>
      </c>
      <c r="AF45" s="8">
        <v>-120.878</v>
      </c>
      <c r="AG45" s="8">
        <v>693</v>
      </c>
    </row>
    <row r="46" spans="1:33" ht="14.25" customHeight="1" x14ac:dyDescent="0.2">
      <c r="A46" s="5" t="s">
        <v>138</v>
      </c>
      <c r="B46" s="4">
        <v>10</v>
      </c>
      <c r="C46" s="10" t="s">
        <v>139</v>
      </c>
      <c r="D46" s="8" t="s">
        <v>240</v>
      </c>
      <c r="E46" s="8"/>
      <c r="F46" s="10" t="s">
        <v>241</v>
      </c>
      <c r="G46" s="8" t="str">
        <f t="shared" si="0"/>
        <v>-&gt; 119.5672 W, 49.5342 N, Elev. 413 m</v>
      </c>
      <c r="M46" s="11">
        <v>49.534199999999998</v>
      </c>
      <c r="N46" s="11">
        <v>-119.5672</v>
      </c>
      <c r="O46" s="11" t="s">
        <v>221</v>
      </c>
      <c r="P46" s="11" t="s">
        <v>242</v>
      </c>
      <c r="Q46" s="12">
        <v>1</v>
      </c>
      <c r="R46" s="11" t="s">
        <v>243</v>
      </c>
      <c r="S46" s="11" t="s">
        <v>145</v>
      </c>
      <c r="T46" s="11">
        <v>413</v>
      </c>
      <c r="AE46" s="8">
        <v>49.534199999999998</v>
      </c>
      <c r="AF46" s="8">
        <v>-119.5672</v>
      </c>
      <c r="AG46" s="8">
        <v>413</v>
      </c>
    </row>
    <row r="47" spans="1:33" ht="14.25" customHeight="1" x14ac:dyDescent="0.2">
      <c r="A47" s="5" t="s">
        <v>138</v>
      </c>
      <c r="B47" s="4">
        <v>10</v>
      </c>
      <c r="C47" s="10" t="s">
        <v>139</v>
      </c>
      <c r="D47" s="8" t="s">
        <v>244</v>
      </c>
      <c r="E47" s="8"/>
      <c r="F47" s="10" t="s">
        <v>245</v>
      </c>
      <c r="G47" s="8" t="str">
        <f t="shared" si="0"/>
        <v>-&gt; 119.2424 W, 50.4823 N, Elev. 535 m</v>
      </c>
      <c r="M47" s="11">
        <v>50.482300000000002</v>
      </c>
      <c r="N47" s="11">
        <v>-119.2424</v>
      </c>
      <c r="O47" s="11" t="s">
        <v>142</v>
      </c>
      <c r="P47" s="11" t="s">
        <v>246</v>
      </c>
      <c r="Q47" s="12">
        <v>1</v>
      </c>
      <c r="R47" s="11" t="s">
        <v>247</v>
      </c>
      <c r="S47" s="11" t="s">
        <v>145</v>
      </c>
      <c r="T47" s="11">
        <v>535</v>
      </c>
      <c r="AE47" s="8">
        <v>50.482300000000002</v>
      </c>
      <c r="AF47" s="8">
        <v>-119.2424</v>
      </c>
      <c r="AG47" s="8">
        <v>535</v>
      </c>
    </row>
    <row r="48" spans="1:33" ht="14.25" customHeight="1" x14ac:dyDescent="0.2">
      <c r="A48" s="5" t="s">
        <v>138</v>
      </c>
      <c r="B48" s="4">
        <v>10</v>
      </c>
      <c r="C48" s="10" t="s">
        <v>139</v>
      </c>
      <c r="D48" s="8" t="s">
        <v>248</v>
      </c>
      <c r="E48" s="8"/>
      <c r="F48" s="10" t="s">
        <v>249</v>
      </c>
      <c r="G48" s="8" t="str">
        <f t="shared" si="0"/>
        <v>-&gt; 116.4653 W, 49.104 N, Elev. 710 m</v>
      </c>
      <c r="M48" s="11">
        <v>49.103999999999999</v>
      </c>
      <c r="N48" s="11">
        <v>-116.4653</v>
      </c>
      <c r="O48" s="11" t="s">
        <v>170</v>
      </c>
      <c r="P48" s="11" t="s">
        <v>250</v>
      </c>
      <c r="Q48" s="12">
        <v>1</v>
      </c>
      <c r="R48" s="11" t="s">
        <v>251</v>
      </c>
      <c r="S48" s="11" t="s">
        <v>145</v>
      </c>
      <c r="T48" s="11">
        <v>710</v>
      </c>
      <c r="AE48" s="8">
        <v>49.103999999999999</v>
      </c>
      <c r="AF48" s="8">
        <v>-116.4653</v>
      </c>
      <c r="AG48" s="8">
        <v>710</v>
      </c>
    </row>
    <row r="49" spans="1:33" ht="14.25" customHeight="1" x14ac:dyDescent="0.2">
      <c r="A49" s="5" t="s">
        <v>138</v>
      </c>
      <c r="B49" s="4">
        <v>10</v>
      </c>
      <c r="C49" s="10" t="s">
        <v>139</v>
      </c>
      <c r="D49" s="8" t="s">
        <v>252</v>
      </c>
      <c r="E49" s="8"/>
      <c r="F49" s="10" t="s">
        <v>253</v>
      </c>
      <c r="G49" s="8" t="str">
        <f t="shared" si="0"/>
        <v>-&gt; 118.4845 W, 49.0465 N, Elev. 593 m</v>
      </c>
      <c r="M49" s="11">
        <v>49.046500000000002</v>
      </c>
      <c r="N49" s="11">
        <v>-118.4845</v>
      </c>
      <c r="O49" s="11" t="s">
        <v>142</v>
      </c>
      <c r="P49" s="11" t="s">
        <v>254</v>
      </c>
      <c r="Q49" s="12">
        <v>1</v>
      </c>
      <c r="R49" s="11" t="s">
        <v>255</v>
      </c>
      <c r="S49" s="11" t="s">
        <v>145</v>
      </c>
      <c r="T49" s="11">
        <v>593</v>
      </c>
      <c r="AE49" s="8">
        <v>49.046500000000002</v>
      </c>
      <c r="AF49" s="8">
        <v>-118.4845</v>
      </c>
      <c r="AG49" s="8">
        <v>593</v>
      </c>
    </row>
    <row r="50" spans="1:33" ht="14.25" customHeight="1" x14ac:dyDescent="0.2">
      <c r="A50" s="5" t="s">
        <v>138</v>
      </c>
      <c r="B50" s="4">
        <v>10</v>
      </c>
      <c r="C50" s="10" t="s">
        <v>139</v>
      </c>
      <c r="D50" s="8" t="s">
        <v>256</v>
      </c>
      <c r="E50" s="8"/>
      <c r="F50" s="10" t="s">
        <v>257</v>
      </c>
      <c r="G50" s="8" t="str">
        <f t="shared" si="0"/>
        <v>-&gt; 116.5081 W, 49.0618 N, Elev. 609 m</v>
      </c>
      <c r="M50" s="11">
        <v>49.061799999999998</v>
      </c>
      <c r="N50" s="11">
        <v>-116.5081</v>
      </c>
      <c r="O50" s="11" t="s">
        <v>170</v>
      </c>
      <c r="P50" s="11" t="s">
        <v>258</v>
      </c>
      <c r="Q50" s="12">
        <v>1</v>
      </c>
      <c r="R50" s="11" t="s">
        <v>259</v>
      </c>
      <c r="S50" s="11" t="s">
        <v>145</v>
      </c>
      <c r="T50" s="11">
        <v>609</v>
      </c>
      <c r="AE50" s="8">
        <v>49.061799999999998</v>
      </c>
      <c r="AF50" s="8">
        <v>-116.5081</v>
      </c>
      <c r="AG50" s="8">
        <v>609</v>
      </c>
    </row>
    <row r="51" spans="1:33" ht="14.25" customHeight="1" x14ac:dyDescent="0.2">
      <c r="A51" s="5" t="s">
        <v>138</v>
      </c>
      <c r="B51" s="4">
        <v>10</v>
      </c>
      <c r="C51" s="10" t="s">
        <v>139</v>
      </c>
      <c r="D51" s="8" t="s">
        <v>260</v>
      </c>
      <c r="E51" s="8"/>
      <c r="F51" s="10" t="s">
        <v>261</v>
      </c>
      <c r="G51" s="8" t="str">
        <f t="shared" si="0"/>
        <v>-&gt; 119.5088 W, 49.0582 N, Elev. 328 m</v>
      </c>
      <c r="M51" s="11">
        <v>49.058199999999999</v>
      </c>
      <c r="N51" s="11">
        <v>-119.50879999999999</v>
      </c>
      <c r="O51" s="11" t="s">
        <v>142</v>
      </c>
      <c r="P51" s="11" t="s">
        <v>262</v>
      </c>
      <c r="Q51" s="12">
        <v>1</v>
      </c>
      <c r="R51" s="11" t="s">
        <v>263</v>
      </c>
      <c r="S51" s="11" t="s">
        <v>145</v>
      </c>
      <c r="T51" s="11">
        <v>328</v>
      </c>
      <c r="AE51" s="8">
        <v>49.058199999999999</v>
      </c>
      <c r="AF51" s="8">
        <v>-119.50879999999999</v>
      </c>
      <c r="AG51" s="8">
        <v>328</v>
      </c>
    </row>
    <row r="52" spans="1:33" ht="14.25" customHeight="1" x14ac:dyDescent="0.2">
      <c r="A52" s="5" t="s">
        <v>138</v>
      </c>
      <c r="B52" s="4">
        <v>10</v>
      </c>
      <c r="C52" s="10" t="s">
        <v>139</v>
      </c>
      <c r="D52" s="8" t="s">
        <v>264</v>
      </c>
      <c r="E52" s="8"/>
      <c r="F52" s="10" t="s">
        <v>265</v>
      </c>
      <c r="G52" s="8" t="str">
        <f t="shared" si="0"/>
        <v>-&gt; 119.4227 W, 49.0224 N, Elev. 356 m</v>
      </c>
      <c r="M52" s="11">
        <v>49.022399999999998</v>
      </c>
      <c r="N52" s="11">
        <v>-119.42270000000001</v>
      </c>
      <c r="O52" s="11" t="s">
        <v>142</v>
      </c>
      <c r="P52" s="11" t="s">
        <v>266</v>
      </c>
      <c r="Q52" s="12">
        <v>1</v>
      </c>
      <c r="R52" s="11" t="s">
        <v>267</v>
      </c>
      <c r="S52" s="11" t="s">
        <v>145</v>
      </c>
      <c r="T52" s="11">
        <v>356</v>
      </c>
      <c r="AE52" s="8">
        <v>49.022399999999998</v>
      </c>
      <c r="AF52" s="8">
        <v>-119.42270000000001</v>
      </c>
      <c r="AG52" s="8">
        <v>356</v>
      </c>
    </row>
    <row r="53" spans="1:33" ht="14.25" customHeight="1" x14ac:dyDescent="0.2">
      <c r="A53" s="5" t="s">
        <v>138</v>
      </c>
      <c r="B53" s="4">
        <v>10</v>
      </c>
      <c r="C53" s="10" t="s">
        <v>139</v>
      </c>
      <c r="D53" s="8" t="s">
        <v>268</v>
      </c>
      <c r="E53" s="8"/>
      <c r="F53" s="10" t="s">
        <v>269</v>
      </c>
      <c r="G53" s="8" t="str">
        <f t="shared" si="0"/>
        <v>-&gt; 122.9662 W, 50.4912 N, Elev. 226 m</v>
      </c>
      <c r="M53" s="11">
        <v>50.491199999999999</v>
      </c>
      <c r="N53" s="11">
        <v>-122.9662</v>
      </c>
      <c r="O53" s="11" t="s">
        <v>51</v>
      </c>
      <c r="P53" s="11" t="s">
        <v>270</v>
      </c>
      <c r="Q53" s="12">
        <v>2</v>
      </c>
      <c r="R53" s="11" t="s">
        <v>271</v>
      </c>
      <c r="S53" s="11" t="s">
        <v>145</v>
      </c>
      <c r="T53" s="11">
        <v>226</v>
      </c>
      <c r="AE53" s="8">
        <v>50.491199999999999</v>
      </c>
      <c r="AF53" s="8">
        <v>-122.9662</v>
      </c>
      <c r="AG53" s="8">
        <v>226</v>
      </c>
    </row>
    <row r="54" spans="1:33" ht="14.25" customHeight="1" x14ac:dyDescent="0.2">
      <c r="A54" s="5" t="s">
        <v>138</v>
      </c>
      <c r="B54" s="4">
        <v>10</v>
      </c>
      <c r="C54" s="10" t="s">
        <v>139</v>
      </c>
      <c r="D54" s="8" t="s">
        <v>272</v>
      </c>
      <c r="E54" s="8"/>
      <c r="F54" s="10" t="s">
        <v>273</v>
      </c>
      <c r="G54" s="8" t="str">
        <f t="shared" si="0"/>
        <v>-&gt; 121.062 W, 56.9021 N, Elev. 734 m</v>
      </c>
      <c r="M54" s="11">
        <v>56.902099999999997</v>
      </c>
      <c r="N54" s="11">
        <v>-121.062</v>
      </c>
      <c r="O54" s="11" t="s">
        <v>153</v>
      </c>
      <c r="P54" s="11" t="s">
        <v>274</v>
      </c>
      <c r="Q54" s="12">
        <v>4</v>
      </c>
      <c r="R54" s="11" t="s">
        <v>275</v>
      </c>
      <c r="S54" s="11" t="s">
        <v>145</v>
      </c>
      <c r="T54" s="11">
        <v>734</v>
      </c>
      <c r="AE54" s="8">
        <v>56.902099999999997</v>
      </c>
      <c r="AF54" s="8">
        <v>-121.062</v>
      </c>
      <c r="AG54" s="8">
        <v>734</v>
      </c>
    </row>
    <row r="55" spans="1:33" ht="14.25" customHeight="1" x14ac:dyDescent="0.2">
      <c r="A55" s="5" t="s">
        <v>138</v>
      </c>
      <c r="B55" s="4">
        <v>10</v>
      </c>
      <c r="C55" s="10" t="s">
        <v>139</v>
      </c>
      <c r="D55" s="8" t="s">
        <v>276</v>
      </c>
      <c r="E55" s="8"/>
      <c r="F55" s="10" t="s">
        <v>277</v>
      </c>
      <c r="G55" s="8" t="str">
        <f t="shared" si="0"/>
        <v>-&gt; 120.196 W, 55.8597 N, Elev. 718 m</v>
      </c>
      <c r="M55" s="11">
        <v>55.859699999999997</v>
      </c>
      <c r="N55" s="11">
        <v>-120.196</v>
      </c>
      <c r="O55" s="11" t="s">
        <v>153</v>
      </c>
      <c r="P55" s="11" t="s">
        <v>278</v>
      </c>
      <c r="Q55" s="12">
        <v>3</v>
      </c>
      <c r="R55" s="11" t="s">
        <v>279</v>
      </c>
      <c r="S55" s="11" t="s">
        <v>145</v>
      </c>
      <c r="T55" s="11">
        <v>718</v>
      </c>
      <c r="AE55" s="8">
        <v>55.859699999999997</v>
      </c>
      <c r="AF55" s="8">
        <v>-120.196</v>
      </c>
      <c r="AG55" s="8">
        <v>718</v>
      </c>
    </row>
    <row r="56" spans="1:33" ht="14.25" customHeight="1" x14ac:dyDescent="0.2">
      <c r="A56" s="5" t="s">
        <v>138</v>
      </c>
      <c r="B56" s="4">
        <v>10</v>
      </c>
      <c r="C56" s="10" t="s">
        <v>139</v>
      </c>
      <c r="D56" s="8" t="s">
        <v>280</v>
      </c>
      <c r="E56" s="8"/>
      <c r="F56" s="8" t="s">
        <v>281</v>
      </c>
      <c r="G56" s="8" t="str">
        <f t="shared" si="0"/>
        <v>-&gt; 123.4153 W, 48.5564 N, Elev. 90 m</v>
      </c>
      <c r="M56" s="11">
        <v>48.556399999999996</v>
      </c>
      <c r="N56" s="11">
        <v>-123.4153</v>
      </c>
      <c r="O56" s="11" t="s">
        <v>183</v>
      </c>
      <c r="P56" s="11" t="s">
        <v>282</v>
      </c>
      <c r="Q56" s="12">
        <v>3</v>
      </c>
      <c r="R56" s="11" t="s">
        <v>283</v>
      </c>
      <c r="S56" s="11" t="s">
        <v>145</v>
      </c>
      <c r="T56" s="11">
        <v>90</v>
      </c>
      <c r="AE56" s="8">
        <v>48.556399999999996</v>
      </c>
      <c r="AF56" s="8">
        <v>-123.4153</v>
      </c>
      <c r="AG56" s="8">
        <v>90</v>
      </c>
    </row>
    <row r="57" spans="1:33" ht="14.25" customHeight="1" x14ac:dyDescent="0.2">
      <c r="A57" s="5" t="s">
        <v>138</v>
      </c>
      <c r="B57" s="4">
        <v>10</v>
      </c>
      <c r="C57" s="10" t="s">
        <v>139</v>
      </c>
      <c r="D57" s="8" t="s">
        <v>284</v>
      </c>
      <c r="E57" s="8"/>
      <c r="F57" s="10" t="s">
        <v>285</v>
      </c>
      <c r="G57" s="8" t="str">
        <f t="shared" si="0"/>
        <v>-&gt; 116.4931 W, 49.0803 N, Elev. 650 m</v>
      </c>
      <c r="M57" s="11">
        <v>49.080300000000001</v>
      </c>
      <c r="N57" s="11">
        <v>-116.4931</v>
      </c>
      <c r="O57" s="11" t="s">
        <v>170</v>
      </c>
      <c r="P57" s="11" t="s">
        <v>286</v>
      </c>
      <c r="Q57" s="12">
        <v>1</v>
      </c>
      <c r="R57" s="11" t="s">
        <v>287</v>
      </c>
      <c r="S57" s="11" t="s">
        <v>145</v>
      </c>
      <c r="T57" s="11">
        <v>650</v>
      </c>
      <c r="AE57" s="8">
        <v>49.080300000000001</v>
      </c>
      <c r="AF57" s="8">
        <v>-116.4931</v>
      </c>
      <c r="AG57" s="8">
        <v>650</v>
      </c>
    </row>
    <row r="58" spans="1:33" ht="14.25" customHeight="1" x14ac:dyDescent="0.2">
      <c r="A58" s="5" t="s">
        <v>138</v>
      </c>
      <c r="B58" s="4">
        <v>10</v>
      </c>
      <c r="C58" s="10" t="s">
        <v>139</v>
      </c>
      <c r="D58" s="8" t="s">
        <v>288</v>
      </c>
      <c r="E58" s="8"/>
      <c r="F58" s="8" t="s">
        <v>289</v>
      </c>
      <c r="G58" s="8" t="str">
        <f t="shared" si="0"/>
        <v>-&gt; 119.452 W, 49.8299 N, Elev. 473 m</v>
      </c>
      <c r="M58" s="11">
        <v>49.829900000000002</v>
      </c>
      <c r="N58" s="11">
        <v>-119.452</v>
      </c>
      <c r="O58" s="11" t="s">
        <v>142</v>
      </c>
      <c r="P58" s="11" t="s">
        <v>290</v>
      </c>
      <c r="Q58" s="12">
        <v>1</v>
      </c>
      <c r="R58" s="11" t="s">
        <v>291</v>
      </c>
      <c r="S58" s="11" t="s">
        <v>145</v>
      </c>
      <c r="T58" s="11">
        <v>473</v>
      </c>
      <c r="AE58" s="8">
        <v>49.829900000000002</v>
      </c>
      <c r="AF58" s="8">
        <v>-119.452</v>
      </c>
      <c r="AG58" s="8">
        <v>473</v>
      </c>
    </row>
    <row r="59" spans="1:33" ht="14.25" customHeight="1" x14ac:dyDescent="0.2">
      <c r="A59" s="5" t="s">
        <v>138</v>
      </c>
      <c r="B59" s="4">
        <v>10</v>
      </c>
      <c r="C59" s="10" t="s">
        <v>139</v>
      </c>
      <c r="D59" s="8" t="s">
        <v>292</v>
      </c>
      <c r="E59" s="8"/>
      <c r="F59" s="10" t="s">
        <v>293</v>
      </c>
      <c r="G59" s="8" t="str">
        <f t="shared" si="0"/>
        <v>-&gt; 120.128 W, 55.569 N, Elev. 744 m</v>
      </c>
      <c r="M59" s="11">
        <v>55.569000000000003</v>
      </c>
      <c r="N59" s="11">
        <v>-120.128</v>
      </c>
      <c r="O59" s="11" t="s">
        <v>153</v>
      </c>
      <c r="P59" s="11" t="s">
        <v>294</v>
      </c>
      <c r="Q59" s="12">
        <v>4</v>
      </c>
      <c r="R59" s="11" t="s">
        <v>295</v>
      </c>
      <c r="S59" s="11" t="s">
        <v>145</v>
      </c>
      <c r="T59" s="11">
        <v>744</v>
      </c>
      <c r="AE59" s="8">
        <v>55.569000000000003</v>
      </c>
      <c r="AF59" s="8">
        <v>-120.128</v>
      </c>
      <c r="AG59" s="8">
        <v>744</v>
      </c>
    </row>
    <row r="60" spans="1:33" ht="14.25" customHeight="1" x14ac:dyDescent="0.2">
      <c r="A60" s="5" t="s">
        <v>138</v>
      </c>
      <c r="B60" s="4">
        <v>10</v>
      </c>
      <c r="C60" s="10" t="s">
        <v>139</v>
      </c>
      <c r="D60" s="8" t="s">
        <v>296</v>
      </c>
      <c r="E60" s="8"/>
      <c r="F60" s="10" t="s">
        <v>297</v>
      </c>
      <c r="G60" s="8" t="str">
        <f t="shared" si="0"/>
        <v>-&gt; 120.601 W, 56.0151 N, Elev. 783 m</v>
      </c>
      <c r="M60" s="11">
        <v>56.015099999999997</v>
      </c>
      <c r="N60" s="11">
        <v>-120.601</v>
      </c>
      <c r="O60" s="11" t="s">
        <v>153</v>
      </c>
      <c r="P60" s="11" t="s">
        <v>298</v>
      </c>
      <c r="Q60" s="12">
        <v>7</v>
      </c>
      <c r="R60" s="11" t="s">
        <v>299</v>
      </c>
      <c r="S60" s="11" t="s">
        <v>145</v>
      </c>
      <c r="T60" s="11">
        <v>783</v>
      </c>
      <c r="AE60" s="8">
        <v>56.015099999999997</v>
      </c>
      <c r="AF60" s="8">
        <v>-120.601</v>
      </c>
      <c r="AG60" s="8">
        <v>783</v>
      </c>
    </row>
    <row r="61" spans="1:33" ht="14.25" customHeight="1" x14ac:dyDescent="0.2">
      <c r="A61" s="5" t="s">
        <v>138</v>
      </c>
      <c r="B61" s="4">
        <v>10</v>
      </c>
      <c r="C61" s="10" t="s">
        <v>139</v>
      </c>
      <c r="D61" s="8" t="s">
        <v>300</v>
      </c>
      <c r="E61" s="8"/>
      <c r="F61" s="10" t="s">
        <v>301</v>
      </c>
      <c r="G61" s="8" t="str">
        <f t="shared" si="0"/>
        <v>-&gt; 123.0639 W, 49.0393 N, Elev. 3 m</v>
      </c>
      <c r="M61" s="11">
        <v>49.039299999999997</v>
      </c>
      <c r="N61" s="11">
        <v>-123.0639</v>
      </c>
      <c r="O61" s="11" t="s">
        <v>183</v>
      </c>
      <c r="P61" s="11" t="s">
        <v>302</v>
      </c>
      <c r="Q61" s="12">
        <v>1</v>
      </c>
      <c r="R61" s="11" t="s">
        <v>303</v>
      </c>
      <c r="S61" s="11" t="s">
        <v>145</v>
      </c>
      <c r="T61" s="11">
        <v>3</v>
      </c>
      <c r="Z61" s="11"/>
      <c r="AA61" s="11"/>
      <c r="AB61" s="11"/>
      <c r="AC61" s="11"/>
      <c r="AE61" s="8">
        <v>49.039299999999997</v>
      </c>
      <c r="AF61" s="8">
        <v>-123.0639</v>
      </c>
      <c r="AG61" s="8">
        <v>3</v>
      </c>
    </row>
    <row r="62" spans="1:33" ht="14.25" customHeight="1" x14ac:dyDescent="0.2">
      <c r="A62" s="5" t="s">
        <v>138</v>
      </c>
      <c r="B62" s="4">
        <v>10</v>
      </c>
      <c r="C62" s="10" t="s">
        <v>139</v>
      </c>
      <c r="D62" s="8" t="s">
        <v>304</v>
      </c>
      <c r="E62" s="8"/>
      <c r="F62" s="10" t="s">
        <v>305</v>
      </c>
      <c r="G62" s="8" t="str">
        <f t="shared" si="0"/>
        <v>-&gt; 122.313 W, 56.5215 N, Elev. 674 m</v>
      </c>
      <c r="M62" s="11">
        <v>56.521500000000003</v>
      </c>
      <c r="N62" s="11">
        <v>-122.313</v>
      </c>
      <c r="O62" s="11" t="s">
        <v>153</v>
      </c>
      <c r="P62" s="11" t="s">
        <v>306</v>
      </c>
      <c r="Q62" s="12">
        <v>2</v>
      </c>
      <c r="R62" s="11" t="s">
        <v>307</v>
      </c>
      <c r="S62" s="11" t="s">
        <v>145</v>
      </c>
      <c r="T62" s="11">
        <v>674</v>
      </c>
      <c r="AE62" s="8">
        <v>56.521500000000003</v>
      </c>
      <c r="AF62" s="8">
        <v>-122.313</v>
      </c>
      <c r="AG62" s="8">
        <v>674</v>
      </c>
    </row>
    <row r="63" spans="1:33" ht="14.25" customHeight="1" x14ac:dyDescent="0.2">
      <c r="A63" s="5" t="s">
        <v>138</v>
      </c>
      <c r="B63" s="4">
        <v>10</v>
      </c>
      <c r="C63" s="10" t="s">
        <v>139</v>
      </c>
      <c r="D63" s="8" t="s">
        <v>308</v>
      </c>
      <c r="E63" s="8"/>
      <c r="F63" s="10" t="s">
        <v>309</v>
      </c>
      <c r="G63" s="8" t="str">
        <f t="shared" si="0"/>
        <v>-&gt; 119.5746 W, 49.868 N, Elev. 487 m</v>
      </c>
      <c r="M63" s="11">
        <v>49.868000000000002</v>
      </c>
      <c r="N63" s="11">
        <v>-119.5746</v>
      </c>
      <c r="O63" s="11" t="s">
        <v>142</v>
      </c>
      <c r="P63" s="11" t="s">
        <v>310</v>
      </c>
      <c r="Q63" s="12">
        <v>1</v>
      </c>
      <c r="R63" s="11" t="s">
        <v>311</v>
      </c>
      <c r="S63" s="11" t="s">
        <v>145</v>
      </c>
      <c r="T63" s="11">
        <v>487</v>
      </c>
      <c r="AE63" s="8">
        <v>49.868000000000002</v>
      </c>
      <c r="AF63" s="8">
        <v>-119.5746</v>
      </c>
      <c r="AG63" s="8">
        <v>487</v>
      </c>
    </row>
    <row r="64" spans="1:33" ht="14.25" customHeight="1" x14ac:dyDescent="0.2">
      <c r="A64" s="5" t="s">
        <v>138</v>
      </c>
      <c r="B64" s="4">
        <v>10</v>
      </c>
      <c r="C64" s="10" t="s">
        <v>139</v>
      </c>
      <c r="D64" s="8" t="s">
        <v>312</v>
      </c>
      <c r="E64" s="8"/>
      <c r="F64" s="10" t="s">
        <v>313</v>
      </c>
      <c r="G64" s="8" t="str">
        <f t="shared" si="0"/>
        <v>-&gt; 123.158 W, 49.0827 N, Elev. 7 m</v>
      </c>
      <c r="M64" s="11">
        <v>49.082700000000003</v>
      </c>
      <c r="N64" s="11">
        <v>-123.158</v>
      </c>
      <c r="O64" s="11" t="s">
        <v>183</v>
      </c>
      <c r="P64" s="11" t="s">
        <v>314</v>
      </c>
      <c r="Q64" s="12">
        <v>1</v>
      </c>
      <c r="R64" s="11" t="s">
        <v>315</v>
      </c>
      <c r="S64" s="11" t="s">
        <v>145</v>
      </c>
      <c r="T64" s="11">
        <v>7</v>
      </c>
      <c r="AE64" s="8">
        <v>49.082700000000003</v>
      </c>
      <c r="AF64" s="8">
        <v>-123.158</v>
      </c>
      <c r="AG64" s="8">
        <v>7</v>
      </c>
    </row>
    <row r="65" spans="1:33" ht="14.25" customHeight="1" x14ac:dyDescent="0.2">
      <c r="A65" s="5" t="s">
        <v>138</v>
      </c>
      <c r="B65" s="4">
        <v>10</v>
      </c>
      <c r="C65" s="10" t="s">
        <v>139</v>
      </c>
      <c r="D65" s="8" t="s">
        <v>316</v>
      </c>
      <c r="E65" s="8"/>
      <c r="F65" s="10" t="s">
        <v>317</v>
      </c>
      <c r="G65" s="8" t="str">
        <f t="shared" si="0"/>
        <v>-&gt; 119.4343 W, 50.0596 N, Elev. 455 m</v>
      </c>
      <c r="M65" s="11">
        <v>50.059600000000003</v>
      </c>
      <c r="N65" s="11">
        <v>-119.43429999999999</v>
      </c>
      <c r="O65" s="11" t="s">
        <v>142</v>
      </c>
      <c r="P65" s="11" t="s">
        <v>318</v>
      </c>
      <c r="Q65" s="12">
        <v>1</v>
      </c>
      <c r="R65" s="11" t="s">
        <v>319</v>
      </c>
      <c r="S65" s="11" t="s">
        <v>145</v>
      </c>
      <c r="T65" s="11">
        <v>455</v>
      </c>
      <c r="AE65" s="8">
        <v>50.059600000000003</v>
      </c>
      <c r="AF65" s="8">
        <v>-119.43429999999999</v>
      </c>
      <c r="AG65" s="8">
        <v>455</v>
      </c>
    </row>
    <row r="66" spans="1:33" ht="14.25" customHeight="1" x14ac:dyDescent="0.2">
      <c r="A66" s="5" t="s">
        <v>138</v>
      </c>
      <c r="B66" s="4">
        <v>10</v>
      </c>
      <c r="C66" s="10" t="s">
        <v>139</v>
      </c>
      <c r="D66" s="8" t="s">
        <v>320</v>
      </c>
      <c r="E66" s="8"/>
      <c r="F66" s="10" t="s">
        <v>321</v>
      </c>
      <c r="G66" s="8" t="str">
        <f t="shared" si="0"/>
        <v>-&gt; 119.4205 W, 50.0471 N, Elev. 506 m</v>
      </c>
      <c r="M66" s="11">
        <v>50.0471</v>
      </c>
      <c r="N66" s="11">
        <v>-119.4205</v>
      </c>
      <c r="O66" s="11" t="s">
        <v>183</v>
      </c>
      <c r="P66" s="11" t="s">
        <v>322</v>
      </c>
      <c r="Q66" s="12">
        <v>6</v>
      </c>
      <c r="R66" s="11" t="s">
        <v>323</v>
      </c>
      <c r="S66" s="11" t="s">
        <v>145</v>
      </c>
      <c r="T66" s="11">
        <v>506</v>
      </c>
      <c r="AE66" s="8">
        <v>50.0471</v>
      </c>
      <c r="AF66" s="8">
        <v>-119.4205</v>
      </c>
      <c r="AG66" s="8">
        <v>506</v>
      </c>
    </row>
    <row r="67" spans="1:33" ht="14.25" customHeight="1" x14ac:dyDescent="0.2">
      <c r="A67" s="5" t="s">
        <v>138</v>
      </c>
      <c r="B67" s="4">
        <v>10</v>
      </c>
      <c r="C67" s="10" t="s">
        <v>139</v>
      </c>
      <c r="D67" s="8" t="s">
        <v>324</v>
      </c>
      <c r="E67" s="8"/>
      <c r="F67" s="10" t="s">
        <v>325</v>
      </c>
      <c r="G67" s="8" t="str">
        <f t="shared" si="0"/>
        <v>-&gt; 116.5696 W, 49.1678 N, Elev. 533 m</v>
      </c>
      <c r="M67" s="11">
        <v>49.1678</v>
      </c>
      <c r="N67" s="11">
        <v>-116.56959999999999</v>
      </c>
      <c r="O67" s="11" t="s">
        <v>170</v>
      </c>
      <c r="P67" s="11" t="s">
        <v>326</v>
      </c>
      <c r="Q67" s="12">
        <v>1</v>
      </c>
      <c r="R67" s="11" t="s">
        <v>327</v>
      </c>
      <c r="S67" s="11" t="s">
        <v>145</v>
      </c>
      <c r="T67" s="11">
        <v>533</v>
      </c>
      <c r="AE67" s="8">
        <v>49.1678</v>
      </c>
      <c r="AF67" s="8">
        <v>-116.56959999999999</v>
      </c>
      <c r="AG67" s="8">
        <v>533</v>
      </c>
    </row>
    <row r="68" spans="1:33" ht="14.25" customHeight="1" x14ac:dyDescent="0.2">
      <c r="A68" s="5" t="s">
        <v>328</v>
      </c>
      <c r="B68" s="4">
        <v>10</v>
      </c>
      <c r="C68" s="10" t="s">
        <v>139</v>
      </c>
      <c r="D68" s="8" t="s">
        <v>329</v>
      </c>
      <c r="E68" s="8"/>
      <c r="F68" s="10" t="s">
        <v>330</v>
      </c>
      <c r="G68" s="8" t="str">
        <f t="shared" si="0"/>
        <v>-&gt; 119.384 W, 49.8767 N, Elev. 468 m</v>
      </c>
      <c r="M68" s="11">
        <v>49.8767</v>
      </c>
      <c r="N68" s="11">
        <v>-119.384</v>
      </c>
      <c r="O68" s="11" t="s">
        <v>142</v>
      </c>
      <c r="P68" s="11" t="s">
        <v>331</v>
      </c>
      <c r="Q68" s="12">
        <v>1</v>
      </c>
      <c r="R68" s="8" t="s">
        <v>332</v>
      </c>
      <c r="S68" s="11" t="s">
        <v>145</v>
      </c>
      <c r="T68" s="11">
        <v>468</v>
      </c>
      <c r="AE68" s="8">
        <v>49.8767</v>
      </c>
      <c r="AF68" s="8">
        <v>-119.384</v>
      </c>
      <c r="AG68" s="8">
        <v>468</v>
      </c>
    </row>
    <row r="69" spans="1:33" ht="14.25" customHeight="1" x14ac:dyDescent="0.2">
      <c r="A69" s="5" t="s">
        <v>328</v>
      </c>
      <c r="B69" s="4">
        <v>10</v>
      </c>
      <c r="C69" s="10" t="s">
        <v>139</v>
      </c>
      <c r="D69" s="8" t="s">
        <v>333</v>
      </c>
      <c r="E69" s="8"/>
      <c r="F69" s="10" t="s">
        <v>334</v>
      </c>
      <c r="G69" s="8" t="str">
        <f t="shared" si="0"/>
        <v>-&gt; 119.4491 W, 49.872 N, Elev. 357 m</v>
      </c>
      <c r="M69" s="11">
        <v>49.872</v>
      </c>
      <c r="N69" s="11">
        <v>-119.4491</v>
      </c>
      <c r="O69" s="11" t="s">
        <v>142</v>
      </c>
      <c r="P69" s="11" t="s">
        <v>335</v>
      </c>
      <c r="Q69" s="12">
        <v>1</v>
      </c>
      <c r="R69" s="11" t="s">
        <v>336</v>
      </c>
      <c r="S69" s="11" t="s">
        <v>145</v>
      </c>
      <c r="T69" s="11">
        <v>357</v>
      </c>
      <c r="AE69" s="8">
        <v>49.872</v>
      </c>
      <c r="AF69" s="8">
        <v>-119.4491</v>
      </c>
      <c r="AG69" s="8">
        <v>357</v>
      </c>
    </row>
    <row r="70" spans="1:33" ht="14.25" customHeight="1" x14ac:dyDescent="0.2">
      <c r="A70" s="5" t="s">
        <v>328</v>
      </c>
      <c r="B70" s="4">
        <v>10</v>
      </c>
      <c r="C70" s="10" t="s">
        <v>139</v>
      </c>
      <c r="D70" s="10" t="s">
        <v>337</v>
      </c>
      <c r="E70" s="8"/>
      <c r="F70" s="10" t="s">
        <v>338</v>
      </c>
      <c r="G70" s="8" t="str">
        <f t="shared" si="0"/>
        <v>-&gt; 118.869 W, 50.248 N, Elev. 580 m</v>
      </c>
      <c r="M70" s="8">
        <v>50.247999999999998</v>
      </c>
      <c r="N70" s="8">
        <v>-118.87</v>
      </c>
      <c r="O70" s="8"/>
      <c r="P70" s="8" t="s">
        <v>339</v>
      </c>
      <c r="Q70" s="13"/>
      <c r="R70" s="8" t="s">
        <v>340</v>
      </c>
      <c r="S70" s="8" t="s">
        <v>145</v>
      </c>
      <c r="T70" s="8">
        <v>580</v>
      </c>
      <c r="AE70" s="8">
        <v>50.247999999999998</v>
      </c>
      <c r="AF70" s="8">
        <v>-118.869</v>
      </c>
      <c r="AG70" s="8">
        <v>580</v>
      </c>
    </row>
    <row r="71" spans="1:33" ht="14.25" customHeight="1" x14ac:dyDescent="0.2">
      <c r="A71" s="5" t="s">
        <v>328</v>
      </c>
      <c r="B71" s="4">
        <v>10</v>
      </c>
      <c r="C71" s="10" t="s">
        <v>139</v>
      </c>
      <c r="D71" s="8" t="s">
        <v>341</v>
      </c>
      <c r="E71" s="8"/>
      <c r="F71" s="10" t="s">
        <v>342</v>
      </c>
      <c r="G71" s="8" t="str">
        <f t="shared" si="0"/>
        <v>-&gt; 122.986 W, 49.0791 N, Elev. 8 m</v>
      </c>
      <c r="M71" s="11">
        <v>49.079099999999997</v>
      </c>
      <c r="N71" s="11">
        <v>-122.986</v>
      </c>
      <c r="O71" s="11" t="s">
        <v>183</v>
      </c>
      <c r="P71" s="11" t="s">
        <v>343</v>
      </c>
      <c r="Q71" s="12">
        <v>1</v>
      </c>
      <c r="R71" s="11" t="s">
        <v>344</v>
      </c>
      <c r="S71" s="11" t="s">
        <v>145</v>
      </c>
      <c r="T71" s="11">
        <v>8</v>
      </c>
      <c r="AE71" s="8">
        <v>49.079099999999997</v>
      </c>
      <c r="AF71" s="8">
        <v>-122.986</v>
      </c>
      <c r="AG71" s="8">
        <v>8</v>
      </c>
    </row>
    <row r="72" spans="1:33" ht="14.25" customHeight="1" x14ac:dyDescent="0.2">
      <c r="A72" s="5" t="s">
        <v>328</v>
      </c>
      <c r="B72" s="4">
        <v>10</v>
      </c>
      <c r="C72" s="10" t="s">
        <v>139</v>
      </c>
      <c r="D72" s="8" t="s">
        <v>345</v>
      </c>
      <c r="E72" s="8"/>
      <c r="F72" s="10" t="s">
        <v>346</v>
      </c>
      <c r="G72" s="8" t="str">
        <f t="shared" si="0"/>
        <v>-&gt; 119.7442 W, 49.1851 N, Elev. 421 m</v>
      </c>
      <c r="M72" s="11">
        <v>49.185099999999998</v>
      </c>
      <c r="N72" s="11">
        <v>-119.74420000000001</v>
      </c>
      <c r="O72" s="11" t="s">
        <v>142</v>
      </c>
      <c r="P72" s="11" t="s">
        <v>347</v>
      </c>
      <c r="Q72" s="12">
        <v>1</v>
      </c>
      <c r="R72" s="11" t="s">
        <v>348</v>
      </c>
      <c r="S72" s="11" t="s">
        <v>145</v>
      </c>
      <c r="T72" s="11">
        <v>421</v>
      </c>
      <c r="AE72" s="8">
        <v>49.185099999999998</v>
      </c>
      <c r="AF72" s="8">
        <v>-119.74420000000001</v>
      </c>
      <c r="AG72" s="8">
        <v>421</v>
      </c>
    </row>
    <row r="73" spans="1:33" ht="14.25" customHeight="1" x14ac:dyDescent="0.2">
      <c r="A73" s="5" t="s">
        <v>349</v>
      </c>
      <c r="B73" s="4">
        <v>10</v>
      </c>
      <c r="C73" s="10" t="s">
        <v>139</v>
      </c>
      <c r="D73" s="8" t="s">
        <v>350</v>
      </c>
      <c r="E73" s="8"/>
      <c r="F73" s="10" t="s">
        <v>351</v>
      </c>
      <c r="G73" s="8" t="str">
        <f t="shared" si="0"/>
        <v>-&gt; 116.5674 W, 49.0418 N, Elev. 536 m</v>
      </c>
      <c r="M73" s="11">
        <v>49.041800000000002</v>
      </c>
      <c r="N73" s="11">
        <v>-116.56740000000001</v>
      </c>
      <c r="O73" s="11" t="s">
        <v>170</v>
      </c>
      <c r="P73" s="11" t="s">
        <v>352</v>
      </c>
      <c r="Q73" s="12">
        <v>1</v>
      </c>
      <c r="R73" s="11" t="s">
        <v>353</v>
      </c>
      <c r="S73" s="11" t="s">
        <v>145</v>
      </c>
      <c r="T73" s="11">
        <v>536</v>
      </c>
      <c r="AE73" s="8">
        <v>49.041800000000002</v>
      </c>
      <c r="AF73" s="8">
        <v>-116.56740000000001</v>
      </c>
      <c r="AG73" s="8">
        <v>536</v>
      </c>
    </row>
    <row r="74" spans="1:33" ht="14.25" customHeight="1" x14ac:dyDescent="0.2">
      <c r="A74" s="5" t="s">
        <v>328</v>
      </c>
      <c r="B74" s="4">
        <v>10</v>
      </c>
      <c r="C74" s="10" t="s">
        <v>139</v>
      </c>
      <c r="D74" s="8" t="s">
        <v>354</v>
      </c>
      <c r="E74" s="8"/>
      <c r="F74" s="10" t="s">
        <v>355</v>
      </c>
      <c r="G74" s="8" t="str">
        <f t="shared" si="0"/>
        <v>-&gt; 120.038 W, 56.0888 N, Elev. 606 m</v>
      </c>
      <c r="M74" s="11">
        <v>56.088799999999999</v>
      </c>
      <c r="N74" s="11">
        <v>-120.038</v>
      </c>
      <c r="O74" s="11" t="s">
        <v>153</v>
      </c>
      <c r="P74" s="11" t="s">
        <v>356</v>
      </c>
      <c r="Q74" s="12">
        <v>1</v>
      </c>
      <c r="R74" s="11" t="s">
        <v>357</v>
      </c>
      <c r="S74" s="11" t="s">
        <v>145</v>
      </c>
      <c r="T74" s="11">
        <v>606</v>
      </c>
      <c r="AE74" s="8">
        <v>56.088799999999999</v>
      </c>
      <c r="AF74" s="8">
        <v>-120.038</v>
      </c>
      <c r="AG74" s="8">
        <v>606</v>
      </c>
    </row>
    <row r="75" spans="1:33" ht="14.25" customHeight="1" x14ac:dyDescent="0.2">
      <c r="A75" s="5" t="s">
        <v>328</v>
      </c>
      <c r="B75" s="4">
        <v>10</v>
      </c>
      <c r="C75" s="10" t="s">
        <v>139</v>
      </c>
      <c r="D75" s="8" t="s">
        <v>358</v>
      </c>
      <c r="E75" s="8"/>
      <c r="F75" s="10" t="s">
        <v>359</v>
      </c>
      <c r="G75" s="8" t="str">
        <f t="shared" si="0"/>
        <v>-&gt; 119.4201 W, 49.8654 N, Elev. 434 m</v>
      </c>
      <c r="M75" s="11">
        <v>49.865400000000001</v>
      </c>
      <c r="N75" s="11">
        <v>-119.42010000000001</v>
      </c>
      <c r="O75" s="11" t="s">
        <v>142</v>
      </c>
      <c r="P75" s="14" t="s">
        <v>360</v>
      </c>
      <c r="Q75" s="12">
        <v>1</v>
      </c>
      <c r="R75" s="11" t="s">
        <v>361</v>
      </c>
      <c r="S75" s="11" t="s">
        <v>145</v>
      </c>
      <c r="T75" s="11">
        <v>434</v>
      </c>
      <c r="AE75" s="8">
        <v>49.865400000000001</v>
      </c>
      <c r="AF75" s="8">
        <v>-119.42010000000001</v>
      </c>
      <c r="AG75" s="8">
        <v>434</v>
      </c>
    </row>
    <row r="76" spans="1:33" ht="14.25" customHeight="1" x14ac:dyDescent="0.2">
      <c r="A76" s="5" t="s">
        <v>328</v>
      </c>
      <c r="B76" s="4">
        <v>10</v>
      </c>
      <c r="C76" s="10" t="s">
        <v>139</v>
      </c>
      <c r="D76" s="8" t="s">
        <v>362</v>
      </c>
      <c r="E76" s="8"/>
      <c r="F76" s="10" t="s">
        <v>363</v>
      </c>
      <c r="G76" s="8" t="str">
        <f t="shared" si="0"/>
        <v>-&gt; 119.3652 W, 49.9508 N, Elev. 436 m</v>
      </c>
      <c r="M76" s="11">
        <v>49.950800000000001</v>
      </c>
      <c r="N76" s="11">
        <v>-119.3652</v>
      </c>
      <c r="O76" s="11" t="s">
        <v>142</v>
      </c>
      <c r="P76" s="11" t="s">
        <v>364</v>
      </c>
      <c r="Q76" s="12">
        <v>1</v>
      </c>
      <c r="R76" s="11" t="s">
        <v>365</v>
      </c>
      <c r="S76" s="11" t="s">
        <v>145</v>
      </c>
      <c r="T76" s="11">
        <v>436</v>
      </c>
      <c r="AE76" s="8">
        <v>49.950800000000001</v>
      </c>
      <c r="AF76" s="8">
        <v>-119.3652</v>
      </c>
      <c r="AG76" s="8">
        <v>436</v>
      </c>
    </row>
    <row r="77" spans="1:33" ht="14.25" customHeight="1" x14ac:dyDescent="0.2">
      <c r="A77" s="5" t="s">
        <v>138</v>
      </c>
      <c r="B77" s="4">
        <v>10</v>
      </c>
      <c r="C77" s="10" t="s">
        <v>139</v>
      </c>
      <c r="D77" s="8" t="s">
        <v>366</v>
      </c>
      <c r="E77" s="8"/>
      <c r="F77" s="10" t="s">
        <v>367</v>
      </c>
      <c r="G77" s="8" t="str">
        <f t="shared" si="0"/>
        <v>-&gt; 120.513 W, 55.6058 N, Elev. 731 m</v>
      </c>
      <c r="M77" s="11">
        <v>55.605800000000002</v>
      </c>
      <c r="N77" s="11">
        <v>-120.51300000000001</v>
      </c>
      <c r="O77" s="11" t="s">
        <v>153</v>
      </c>
      <c r="P77" s="11" t="s">
        <v>368</v>
      </c>
      <c r="Q77" s="12">
        <v>3</v>
      </c>
      <c r="R77" s="11" t="s">
        <v>369</v>
      </c>
      <c r="S77" s="11" t="s">
        <v>145</v>
      </c>
      <c r="T77" s="11">
        <v>731</v>
      </c>
      <c r="AE77" s="8">
        <v>55.605800000000002</v>
      </c>
      <c r="AF77" s="8">
        <v>-120.51300000000001</v>
      </c>
      <c r="AG77" s="8">
        <v>731</v>
      </c>
    </row>
    <row r="78" spans="1:33" ht="14.25" customHeight="1" x14ac:dyDescent="0.2">
      <c r="A78" s="5" t="s">
        <v>138</v>
      </c>
      <c r="B78" s="4">
        <v>10</v>
      </c>
      <c r="C78" s="10" t="s">
        <v>139</v>
      </c>
      <c r="D78" s="8" t="s">
        <v>370</v>
      </c>
      <c r="E78" s="8"/>
      <c r="F78" s="10" t="s">
        <v>371</v>
      </c>
      <c r="G78" s="8" t="str">
        <f t="shared" si="0"/>
        <v>-&gt; 119.4223 W, 49.9154 N, Elev. 447 m</v>
      </c>
      <c r="M78" s="11">
        <v>49.915399999999998</v>
      </c>
      <c r="N78" s="11">
        <v>-119.42230000000001</v>
      </c>
      <c r="O78" s="11" t="s">
        <v>142</v>
      </c>
      <c r="P78" s="11" t="s">
        <v>372</v>
      </c>
      <c r="Q78" s="12">
        <v>1</v>
      </c>
      <c r="R78" s="11" t="s">
        <v>373</v>
      </c>
      <c r="S78" s="11" t="s">
        <v>145</v>
      </c>
      <c r="T78" s="11">
        <v>447</v>
      </c>
      <c r="AE78" s="8">
        <v>49.915399999999998</v>
      </c>
      <c r="AF78" s="8">
        <v>-119.42230000000001</v>
      </c>
      <c r="AG78" s="8">
        <v>447</v>
      </c>
    </row>
    <row r="79" spans="1:33" ht="14.25" customHeight="1" x14ac:dyDescent="0.2">
      <c r="A79" s="5" t="s">
        <v>328</v>
      </c>
      <c r="B79" s="4">
        <v>10</v>
      </c>
      <c r="C79" s="10" t="s">
        <v>139</v>
      </c>
      <c r="D79" s="8" t="s">
        <v>374</v>
      </c>
      <c r="E79" s="8"/>
      <c r="F79" s="10" t="s">
        <v>375</v>
      </c>
      <c r="G79" s="8" t="str">
        <f t="shared" si="0"/>
        <v>-&gt; 120.183 W, 56.3335 N, Elev. 676 m</v>
      </c>
      <c r="M79" s="11">
        <v>56.333500000000001</v>
      </c>
      <c r="N79" s="11">
        <v>-120.18300000000001</v>
      </c>
      <c r="O79" s="11" t="s">
        <v>153</v>
      </c>
      <c r="P79" s="11" t="s">
        <v>376</v>
      </c>
      <c r="Q79" s="12">
        <v>2</v>
      </c>
      <c r="R79" s="11" t="s">
        <v>377</v>
      </c>
      <c r="S79" s="11" t="s">
        <v>145</v>
      </c>
      <c r="T79" s="11">
        <v>676</v>
      </c>
      <c r="AE79" s="8">
        <v>56.333500000000001</v>
      </c>
      <c r="AF79" s="8">
        <v>-120.18300000000001</v>
      </c>
      <c r="AG79" s="8">
        <v>676</v>
      </c>
    </row>
    <row r="80" spans="1:33" ht="14.25" customHeight="1" x14ac:dyDescent="0.2">
      <c r="A80" s="5" t="s">
        <v>328</v>
      </c>
      <c r="B80" s="4">
        <v>10</v>
      </c>
      <c r="C80" s="10" t="s">
        <v>139</v>
      </c>
      <c r="D80" s="8" t="s">
        <v>378</v>
      </c>
      <c r="E80" s="8"/>
      <c r="F80" s="10" t="s">
        <v>379</v>
      </c>
      <c r="G80" s="8" t="str">
        <f t="shared" si="0"/>
        <v>-&gt; 118.485 W, 49.006 N, Elev. 536 m</v>
      </c>
      <c r="M80" s="11">
        <v>49.006</v>
      </c>
      <c r="N80" s="11">
        <v>-118.485</v>
      </c>
      <c r="O80" s="11" t="s">
        <v>142</v>
      </c>
      <c r="P80" s="11" t="s">
        <v>380</v>
      </c>
      <c r="Q80" s="12">
        <v>1</v>
      </c>
      <c r="R80" s="11" t="s">
        <v>381</v>
      </c>
      <c r="S80" s="11" t="s">
        <v>145</v>
      </c>
      <c r="T80" s="11">
        <v>536</v>
      </c>
      <c r="AE80" s="8">
        <v>49.006</v>
      </c>
      <c r="AF80" s="8">
        <v>-118.485</v>
      </c>
      <c r="AG80" s="8">
        <v>536</v>
      </c>
    </row>
    <row r="81" spans="1:72" ht="14.25" customHeight="1" x14ac:dyDescent="0.2">
      <c r="A81" s="5" t="s">
        <v>328</v>
      </c>
      <c r="B81" s="4">
        <v>10</v>
      </c>
      <c r="C81" s="10" t="s">
        <v>139</v>
      </c>
      <c r="D81" s="8" t="s">
        <v>382</v>
      </c>
      <c r="E81" s="8"/>
      <c r="F81" s="10" t="s">
        <v>383</v>
      </c>
      <c r="G81" s="8" t="str">
        <f t="shared" si="0"/>
        <v>-&gt; 123.6917 W, 48.7319 N, Elev. 40 m</v>
      </c>
      <c r="M81" s="11">
        <v>48.731900000000003</v>
      </c>
      <c r="N81" s="11">
        <v>-123.6917</v>
      </c>
      <c r="O81" s="11" t="s">
        <v>183</v>
      </c>
      <c r="P81" s="11" t="s">
        <v>384</v>
      </c>
      <c r="Q81" s="12">
        <v>2</v>
      </c>
      <c r="R81" s="11" t="s">
        <v>385</v>
      </c>
      <c r="S81" s="11" t="s">
        <v>145</v>
      </c>
      <c r="T81" s="11">
        <v>40</v>
      </c>
      <c r="AE81" s="8">
        <v>48.731900000000003</v>
      </c>
      <c r="AF81" s="8">
        <v>-123.6917</v>
      </c>
      <c r="AG81" s="8">
        <v>40</v>
      </c>
    </row>
    <row r="82" spans="1:72" ht="14.25" customHeight="1" x14ac:dyDescent="0.2">
      <c r="A82" s="5" t="s">
        <v>328</v>
      </c>
      <c r="B82" s="4">
        <v>10</v>
      </c>
      <c r="C82" s="10" t="s">
        <v>139</v>
      </c>
      <c r="D82" s="8" t="s">
        <v>386</v>
      </c>
      <c r="E82" s="8"/>
      <c r="F82" s="10" t="s">
        <v>387</v>
      </c>
      <c r="G82" s="8" t="str">
        <f t="shared" si="0"/>
        <v>-&gt; 123.0793 W, 49.0637 N, Elev. 0 m</v>
      </c>
      <c r="M82" s="11">
        <v>49.063699999999997</v>
      </c>
      <c r="N82" s="11">
        <v>-123.0793</v>
      </c>
      <c r="O82" s="11" t="s">
        <v>183</v>
      </c>
      <c r="P82" s="11" t="s">
        <v>388</v>
      </c>
      <c r="Q82" s="12">
        <v>1</v>
      </c>
      <c r="R82" s="11" t="s">
        <v>389</v>
      </c>
      <c r="S82" s="11" t="s">
        <v>145</v>
      </c>
      <c r="T82" s="11">
        <v>0</v>
      </c>
      <c r="AE82" s="8">
        <v>49.063699999999997</v>
      </c>
      <c r="AF82" s="8">
        <v>-123.0793</v>
      </c>
      <c r="AG82" s="8">
        <v>0</v>
      </c>
    </row>
    <row r="83" spans="1:72" ht="14.25" customHeight="1" x14ac:dyDescent="0.2">
      <c r="A83" s="5" t="s">
        <v>328</v>
      </c>
      <c r="B83" s="4">
        <v>10</v>
      </c>
      <c r="C83" s="10" t="s">
        <v>139</v>
      </c>
      <c r="D83" s="8" t="s">
        <v>390</v>
      </c>
      <c r="E83" s="8"/>
      <c r="F83" s="10" t="s">
        <v>391</v>
      </c>
      <c r="G83" s="8" t="str">
        <f t="shared" si="0"/>
        <v>-&gt; 121.26 W, 55.5903 N, Elev. 729 m</v>
      </c>
      <c r="M83" s="11">
        <v>55.590299999999999</v>
      </c>
      <c r="N83" s="11">
        <v>-121.26</v>
      </c>
      <c r="O83" s="11" t="s">
        <v>153</v>
      </c>
      <c r="P83" s="11" t="s">
        <v>392</v>
      </c>
      <c r="Q83" s="12">
        <v>3</v>
      </c>
      <c r="R83" s="11" t="s">
        <v>393</v>
      </c>
      <c r="S83" s="11" t="s">
        <v>145</v>
      </c>
      <c r="T83" s="11">
        <v>729</v>
      </c>
      <c r="AE83" s="8">
        <v>55.590299999999999</v>
      </c>
      <c r="AF83" s="8">
        <v>-121.26</v>
      </c>
      <c r="AG83" s="8">
        <v>729</v>
      </c>
    </row>
    <row r="84" spans="1:72" ht="14.25" customHeight="1" x14ac:dyDescent="0.2">
      <c r="A84" s="5" t="s">
        <v>328</v>
      </c>
      <c r="B84" s="4">
        <v>10</v>
      </c>
      <c r="C84" s="10" t="s">
        <v>139</v>
      </c>
      <c r="D84" s="8" t="s">
        <v>394</v>
      </c>
      <c r="E84" s="8"/>
      <c r="F84" s="10" t="s">
        <v>395</v>
      </c>
      <c r="G84" s="8" t="str">
        <f t="shared" si="0"/>
        <v>-&gt; 119.575 W, 49.4617 N, Elev. 400 m</v>
      </c>
      <c r="M84" s="11">
        <v>49.4617</v>
      </c>
      <c r="N84" s="11">
        <v>-119.575</v>
      </c>
      <c r="O84" s="11" t="s">
        <v>142</v>
      </c>
      <c r="P84" s="11" t="s">
        <v>396</v>
      </c>
      <c r="Q84" s="12">
        <v>1</v>
      </c>
      <c r="R84" s="11" t="s">
        <v>397</v>
      </c>
      <c r="S84" s="11" t="s">
        <v>145</v>
      </c>
      <c r="T84" s="11">
        <v>400</v>
      </c>
      <c r="AE84" s="8">
        <v>49.4617</v>
      </c>
      <c r="AF84" s="8">
        <v>-119.575</v>
      </c>
      <c r="AG84" s="8">
        <v>400</v>
      </c>
    </row>
    <row r="85" spans="1:72" ht="14.25" customHeight="1" x14ac:dyDescent="0.2">
      <c r="A85" s="5" t="s">
        <v>328</v>
      </c>
      <c r="B85" s="4">
        <v>10</v>
      </c>
      <c r="C85" s="10" t="s">
        <v>139</v>
      </c>
      <c r="D85" s="8" t="s">
        <v>398</v>
      </c>
      <c r="E85" s="8"/>
      <c r="F85" s="10" t="s">
        <v>399</v>
      </c>
      <c r="G85" s="8" t="str">
        <f t="shared" si="0"/>
        <v>-&gt; 120.087 W, 55.7056 N, Elev. 665 m</v>
      </c>
      <c r="M85" s="11">
        <v>55.705599999999997</v>
      </c>
      <c r="N85" s="11">
        <v>-120.087</v>
      </c>
      <c r="O85" s="11" t="s">
        <v>153</v>
      </c>
      <c r="P85" s="11" t="s">
        <v>400</v>
      </c>
      <c r="Q85" s="12">
        <v>2</v>
      </c>
      <c r="R85" s="11" t="s">
        <v>401</v>
      </c>
      <c r="S85" s="11" t="s">
        <v>145</v>
      </c>
      <c r="T85" s="11">
        <v>665</v>
      </c>
      <c r="AE85" s="8">
        <v>55.705599999999997</v>
      </c>
      <c r="AF85" s="8">
        <v>-120.087</v>
      </c>
      <c r="AG85" s="8">
        <v>665</v>
      </c>
    </row>
    <row r="86" spans="1:72" ht="14.25" customHeight="1" x14ac:dyDescent="0.2">
      <c r="A86" s="5" t="s">
        <v>328</v>
      </c>
      <c r="B86" s="4">
        <v>10</v>
      </c>
      <c r="C86" s="10" t="s">
        <v>139</v>
      </c>
      <c r="D86" s="8" t="s">
        <v>402</v>
      </c>
      <c r="E86" s="8"/>
      <c r="F86" s="10" t="s">
        <v>403</v>
      </c>
      <c r="G86" s="8" t="str">
        <f t="shared" si="0"/>
        <v>-&gt; 120.767 W, 56.5376 N, Elev. 713 m</v>
      </c>
      <c r="M86" s="11">
        <v>56.537599999999998</v>
      </c>
      <c r="N86" s="11">
        <v>-120.767</v>
      </c>
      <c r="O86" s="11" t="s">
        <v>153</v>
      </c>
      <c r="P86" s="11" t="s">
        <v>404</v>
      </c>
      <c r="Q86" s="12">
        <v>3</v>
      </c>
      <c r="R86" s="11" t="s">
        <v>405</v>
      </c>
      <c r="S86" s="11" t="s">
        <v>145</v>
      </c>
      <c r="T86" s="11">
        <v>713</v>
      </c>
      <c r="AE86" s="8">
        <v>56.537599999999998</v>
      </c>
      <c r="AF86" s="8">
        <v>-120.767</v>
      </c>
      <c r="AG86" s="8">
        <v>713</v>
      </c>
    </row>
    <row r="87" spans="1:72" ht="14.25" customHeight="1" x14ac:dyDescent="0.2">
      <c r="A87" s="5" t="s">
        <v>328</v>
      </c>
      <c r="B87" s="4">
        <v>10</v>
      </c>
      <c r="C87" s="10" t="s">
        <v>139</v>
      </c>
      <c r="D87" s="10" t="s">
        <v>406</v>
      </c>
      <c r="E87" s="8"/>
      <c r="F87" s="10" t="s">
        <v>407</v>
      </c>
      <c r="G87" s="8" t="str">
        <f t="shared" si="0"/>
        <v>-&gt; 119.765 W, 50.4788 N, Elev. 654 m</v>
      </c>
      <c r="M87" s="8">
        <v>50.4788</v>
      </c>
      <c r="N87" s="8">
        <v>-119.77</v>
      </c>
      <c r="O87" s="8"/>
      <c r="P87" s="8" t="s">
        <v>408</v>
      </c>
      <c r="Q87" s="13"/>
      <c r="R87" s="8" t="s">
        <v>409</v>
      </c>
      <c r="S87" s="8" t="s">
        <v>145</v>
      </c>
      <c r="T87" s="8">
        <v>654</v>
      </c>
      <c r="AE87" s="8">
        <v>50.4788</v>
      </c>
      <c r="AF87" s="8">
        <v>-119.765</v>
      </c>
      <c r="AG87" s="8">
        <v>654</v>
      </c>
    </row>
    <row r="88" spans="1:72" ht="14.25" customHeight="1" x14ac:dyDescent="0.2">
      <c r="A88" s="5" t="s">
        <v>138</v>
      </c>
      <c r="B88" s="4">
        <v>10</v>
      </c>
      <c r="C88" s="10" t="s">
        <v>139</v>
      </c>
      <c r="D88" s="8" t="s">
        <v>410</v>
      </c>
      <c r="E88" s="8"/>
      <c r="F88" s="10" t="s">
        <v>411</v>
      </c>
      <c r="G88" s="8" t="str">
        <f t="shared" si="0"/>
        <v>-&gt; 121.0258333 W, 50.14111111 N, Elev. 531 m</v>
      </c>
      <c r="M88" s="11">
        <v>50.141111109999997</v>
      </c>
      <c r="N88" s="11">
        <v>-121.0258333</v>
      </c>
      <c r="O88" s="11" t="s">
        <v>142</v>
      </c>
      <c r="P88" s="11" t="s">
        <v>412</v>
      </c>
      <c r="Q88" s="12">
        <v>1</v>
      </c>
      <c r="R88" s="11" t="s">
        <v>413</v>
      </c>
      <c r="S88" s="11" t="s">
        <v>145</v>
      </c>
      <c r="T88" s="11">
        <v>531</v>
      </c>
      <c r="AE88" s="8">
        <v>50.141111109999997</v>
      </c>
      <c r="AF88" s="8">
        <v>-121.0258333</v>
      </c>
      <c r="AG88" s="8">
        <v>531</v>
      </c>
    </row>
    <row r="89" spans="1:72" ht="14.25" customHeight="1" x14ac:dyDescent="0.2">
      <c r="A89" s="5" t="s">
        <v>328</v>
      </c>
      <c r="B89" s="4">
        <v>10</v>
      </c>
      <c r="C89" s="10" t="s">
        <v>139</v>
      </c>
      <c r="D89" s="8" t="s">
        <v>414</v>
      </c>
      <c r="E89" s="8"/>
      <c r="F89" s="10" t="s">
        <v>415</v>
      </c>
      <c r="G89" s="8" t="str">
        <f t="shared" si="0"/>
        <v>-&gt; 119.6944 W, 49.6141 N, Elev. 514 m</v>
      </c>
      <c r="M89" s="11">
        <v>49.614100000000001</v>
      </c>
      <c r="N89" s="11">
        <v>-119.6944</v>
      </c>
      <c r="O89" s="11" t="s">
        <v>142</v>
      </c>
      <c r="P89" s="11" t="s">
        <v>416</v>
      </c>
      <c r="Q89" s="12">
        <v>1</v>
      </c>
      <c r="R89" s="11" t="s">
        <v>417</v>
      </c>
      <c r="S89" s="11" t="s">
        <v>145</v>
      </c>
      <c r="T89" s="11">
        <v>514</v>
      </c>
      <c r="AE89" s="8">
        <v>49.614100000000001</v>
      </c>
      <c r="AF89" s="8">
        <v>-119.6944</v>
      </c>
      <c r="AG89" s="8">
        <v>514</v>
      </c>
    </row>
    <row r="90" spans="1:72" ht="14.25" customHeight="1" x14ac:dyDescent="0.2">
      <c r="A90" s="5" t="s">
        <v>328</v>
      </c>
      <c r="B90" s="4">
        <v>10</v>
      </c>
      <c r="C90" s="10" t="s">
        <v>139</v>
      </c>
      <c r="D90" s="10" t="s">
        <v>418</v>
      </c>
      <c r="E90" s="8"/>
      <c r="F90" s="8" t="s">
        <v>419</v>
      </c>
      <c r="G90" s="8" t="str">
        <f t="shared" si="0"/>
        <v>-&gt; 119.3839 W, 50.6304 N, Elev. 361 m</v>
      </c>
      <c r="M90" s="11">
        <v>50.630400000000002</v>
      </c>
      <c r="N90" s="11">
        <v>-119.38</v>
      </c>
      <c r="O90" s="11"/>
      <c r="P90" s="11" t="s">
        <v>420</v>
      </c>
      <c r="Q90" s="12"/>
      <c r="R90" s="11" t="s">
        <v>421</v>
      </c>
      <c r="T90" s="11">
        <v>361</v>
      </c>
      <c r="AE90" s="8">
        <v>50.630400000000002</v>
      </c>
      <c r="AF90" s="8">
        <v>-119.3839</v>
      </c>
      <c r="AG90" s="8">
        <v>361</v>
      </c>
    </row>
    <row r="91" spans="1:72" ht="14.25" customHeight="1" x14ac:dyDescent="0.2">
      <c r="A91" s="15" t="s">
        <v>422</v>
      </c>
      <c r="B91" s="4">
        <v>10</v>
      </c>
      <c r="C91" s="4" t="s">
        <v>7659</v>
      </c>
      <c r="D91" s="4" t="s">
        <v>424</v>
      </c>
      <c r="E91" s="4">
        <v>1527</v>
      </c>
      <c r="F91" s="4" t="s">
        <v>425</v>
      </c>
      <c r="G91" s="4">
        <v>1930</v>
      </c>
      <c r="H91" s="4" t="s">
        <v>426</v>
      </c>
      <c r="I91" s="4" t="s">
        <v>427</v>
      </c>
      <c r="J91" s="4">
        <v>36169</v>
      </c>
      <c r="M91" s="11"/>
      <c r="N91" s="11"/>
      <c r="O91" s="11"/>
      <c r="P91" s="11"/>
      <c r="Q91" s="12"/>
      <c r="R91" s="11"/>
      <c r="S91" s="16"/>
      <c r="T91" s="16"/>
      <c r="U91" s="16"/>
      <c r="V91" s="16"/>
      <c r="W91" s="16"/>
      <c r="X91" s="16"/>
      <c r="Y91" s="16"/>
      <c r="Z91" s="16"/>
      <c r="AA91" s="16"/>
      <c r="AB91" s="16"/>
      <c r="AC91" s="16"/>
      <c r="AD91" s="16"/>
      <c r="AE91" s="16">
        <v>49.156111109999998</v>
      </c>
      <c r="AF91" s="16">
        <v>-121.9405556</v>
      </c>
      <c r="AG91" s="16">
        <v>11</v>
      </c>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6"/>
      <c r="BJ91" s="16"/>
      <c r="BK91" s="16"/>
      <c r="BL91" s="16"/>
      <c r="BM91" s="16"/>
      <c r="BN91" s="16"/>
      <c r="BO91" s="16"/>
      <c r="BP91" s="16"/>
      <c r="BQ91" s="16"/>
      <c r="BR91" s="16"/>
      <c r="BS91" s="16"/>
      <c r="BT91" s="16"/>
    </row>
    <row r="92" spans="1:72" ht="14.25" customHeight="1" x14ac:dyDescent="0.2">
      <c r="A92" s="15" t="s">
        <v>422</v>
      </c>
      <c r="B92" s="4">
        <v>10</v>
      </c>
      <c r="C92" s="4" t="s">
        <v>7659</v>
      </c>
      <c r="D92" s="4" t="s">
        <v>428</v>
      </c>
      <c r="E92" s="4">
        <v>1528</v>
      </c>
      <c r="F92" s="4" t="s">
        <v>429</v>
      </c>
      <c r="G92" s="4">
        <v>1931</v>
      </c>
      <c r="H92" s="4" t="s">
        <v>426</v>
      </c>
      <c r="I92" s="4" t="s">
        <v>427</v>
      </c>
      <c r="J92" s="4">
        <v>33555</v>
      </c>
      <c r="M92" s="11"/>
      <c r="N92" s="11"/>
      <c r="O92" s="11"/>
      <c r="P92" s="11"/>
      <c r="Q92" s="12"/>
      <c r="R92" s="11"/>
      <c r="S92" s="16"/>
      <c r="T92" s="16"/>
      <c r="U92" s="16"/>
      <c r="V92" s="16"/>
      <c r="W92" s="16"/>
      <c r="X92" s="16"/>
      <c r="Y92" s="16"/>
      <c r="Z92" s="16"/>
      <c r="AA92" s="16"/>
      <c r="AB92" s="16"/>
      <c r="AC92" s="16"/>
      <c r="AD92" s="16"/>
      <c r="AE92" s="16">
        <v>49.158333329999998</v>
      </c>
      <c r="AF92" s="16">
        <v>-122.90166670000001</v>
      </c>
      <c r="AG92" s="16">
        <v>111</v>
      </c>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c r="BF92" s="16"/>
      <c r="BG92" s="16"/>
      <c r="BH92" s="16"/>
      <c r="BI92" s="16"/>
      <c r="BJ92" s="16"/>
      <c r="BK92" s="16"/>
      <c r="BL92" s="16"/>
      <c r="BM92" s="16"/>
      <c r="BN92" s="16"/>
      <c r="BO92" s="16"/>
      <c r="BP92" s="16"/>
      <c r="BQ92" s="16"/>
      <c r="BR92" s="16"/>
      <c r="BS92" s="16"/>
      <c r="BT92" s="16"/>
    </row>
    <row r="93" spans="1:72" ht="14.25" customHeight="1" x14ac:dyDescent="0.2">
      <c r="A93" s="15" t="s">
        <v>422</v>
      </c>
      <c r="B93" s="4">
        <v>10</v>
      </c>
      <c r="C93" s="4" t="s">
        <v>7659</v>
      </c>
      <c r="D93" s="4" t="s">
        <v>430</v>
      </c>
      <c r="E93" s="4">
        <v>1529</v>
      </c>
      <c r="F93" s="4" t="s">
        <v>431</v>
      </c>
      <c r="G93" s="4">
        <v>1932</v>
      </c>
      <c r="H93" s="4" t="s">
        <v>426</v>
      </c>
      <c r="I93" s="4" t="s">
        <v>427</v>
      </c>
      <c r="J93" s="4">
        <v>33532</v>
      </c>
      <c r="M93" s="11"/>
      <c r="N93" s="11"/>
      <c r="O93" s="11"/>
      <c r="P93" s="11"/>
      <c r="Q93" s="12"/>
      <c r="R93" s="11"/>
      <c r="S93" s="16"/>
      <c r="T93" s="16"/>
      <c r="U93" s="16"/>
      <c r="V93" s="16"/>
      <c r="W93" s="16"/>
      <c r="X93" s="16"/>
      <c r="Y93" s="16"/>
      <c r="Z93" s="16"/>
      <c r="AA93" s="16"/>
      <c r="AB93" s="16"/>
      <c r="AC93" s="16"/>
      <c r="AD93" s="16"/>
      <c r="AE93" s="16">
        <v>49.132777779999998</v>
      </c>
      <c r="AF93" s="16">
        <v>-122.69333330000001</v>
      </c>
      <c r="AG93" s="16">
        <v>79</v>
      </c>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6"/>
      <c r="BG93" s="16"/>
      <c r="BH93" s="16"/>
      <c r="BI93" s="16"/>
      <c r="BJ93" s="16"/>
      <c r="BK93" s="16"/>
      <c r="BL93" s="16"/>
      <c r="BM93" s="16"/>
      <c r="BN93" s="16"/>
      <c r="BO93" s="16"/>
      <c r="BP93" s="16"/>
      <c r="BQ93" s="16"/>
      <c r="BR93" s="16"/>
      <c r="BS93" s="16"/>
      <c r="BT93" s="16"/>
    </row>
    <row r="94" spans="1:72" ht="14.25" customHeight="1" x14ac:dyDescent="0.2">
      <c r="A94" s="15" t="s">
        <v>422</v>
      </c>
      <c r="B94" s="4">
        <v>10</v>
      </c>
      <c r="C94" s="4" t="s">
        <v>7659</v>
      </c>
      <c r="D94" s="4" t="s">
        <v>432</v>
      </c>
      <c r="E94" s="4">
        <v>1530</v>
      </c>
      <c r="F94" s="4" t="s">
        <v>433</v>
      </c>
      <c r="G94" s="4">
        <v>1933</v>
      </c>
      <c r="H94" s="4" t="s">
        <v>426</v>
      </c>
      <c r="I94" s="4" t="s">
        <v>427</v>
      </c>
      <c r="J94" s="4">
        <v>33800</v>
      </c>
      <c r="M94" s="11"/>
      <c r="N94" s="11"/>
      <c r="O94" s="11"/>
      <c r="P94" s="11"/>
      <c r="Q94" s="12"/>
      <c r="R94" s="11"/>
      <c r="S94" s="16"/>
      <c r="T94" s="16"/>
      <c r="U94" s="16"/>
      <c r="V94" s="16"/>
      <c r="W94" s="16"/>
      <c r="X94" s="16"/>
      <c r="Y94" s="16"/>
      <c r="Z94" s="16"/>
      <c r="AA94" s="16"/>
      <c r="AB94" s="16"/>
      <c r="AC94" s="16"/>
      <c r="AD94" s="16"/>
      <c r="AE94" s="16">
        <v>49.141666669999999</v>
      </c>
      <c r="AF94" s="16">
        <v>-123.1080556</v>
      </c>
      <c r="AG94" s="16">
        <v>5</v>
      </c>
      <c r="AH94" s="16"/>
      <c r="AI94" s="16"/>
      <c r="AJ94" s="16"/>
      <c r="AK94" s="16"/>
      <c r="AL94" s="16"/>
      <c r="AM94" s="16"/>
      <c r="AN94" s="16"/>
      <c r="AO94" s="16"/>
      <c r="AP94" s="16"/>
      <c r="AQ94" s="16"/>
      <c r="AR94" s="16"/>
      <c r="AS94" s="16"/>
      <c r="AT94" s="16"/>
      <c r="AU94" s="16"/>
      <c r="AV94" s="16"/>
      <c r="AW94" s="16"/>
      <c r="AX94" s="16"/>
      <c r="AY94" s="16"/>
      <c r="AZ94" s="16"/>
      <c r="BA94" s="16"/>
      <c r="BB94" s="16"/>
      <c r="BC94" s="16"/>
      <c r="BD94" s="16"/>
      <c r="BE94" s="16"/>
      <c r="BF94" s="16"/>
      <c r="BG94" s="16"/>
      <c r="BH94" s="16"/>
      <c r="BI94" s="16"/>
      <c r="BJ94" s="16"/>
      <c r="BK94" s="16"/>
      <c r="BL94" s="16"/>
      <c r="BM94" s="16"/>
      <c r="BN94" s="16"/>
      <c r="BO94" s="16"/>
      <c r="BP94" s="16"/>
      <c r="BQ94" s="16"/>
      <c r="BR94" s="16"/>
      <c r="BS94" s="16"/>
      <c r="BT94" s="16"/>
    </row>
    <row r="95" spans="1:72" ht="14.25" customHeight="1" x14ac:dyDescent="0.2">
      <c r="A95" s="15" t="s">
        <v>422</v>
      </c>
      <c r="B95" s="4">
        <v>10</v>
      </c>
      <c r="C95" s="4" t="s">
        <v>7659</v>
      </c>
      <c r="D95" s="4" t="s">
        <v>434</v>
      </c>
      <c r="E95" s="4">
        <v>1531</v>
      </c>
      <c r="F95" s="4" t="s">
        <v>435</v>
      </c>
      <c r="G95" s="4">
        <v>1934</v>
      </c>
      <c r="H95" s="4" t="s">
        <v>426</v>
      </c>
      <c r="I95" s="4" t="s">
        <v>427</v>
      </c>
      <c r="J95" s="4">
        <v>36288</v>
      </c>
      <c r="M95" s="11"/>
      <c r="N95" s="11"/>
      <c r="O95" s="11"/>
      <c r="P95" s="11"/>
      <c r="Q95" s="12"/>
      <c r="R95" s="11"/>
      <c r="S95" s="16"/>
      <c r="T95" s="16"/>
      <c r="U95" s="16"/>
      <c r="V95" s="16"/>
      <c r="W95" s="16"/>
      <c r="X95" s="16"/>
      <c r="Y95" s="16"/>
      <c r="Z95" s="16"/>
      <c r="AA95" s="16"/>
      <c r="AB95" s="16"/>
      <c r="AC95" s="16"/>
      <c r="AD95" s="16"/>
      <c r="AE95" s="16">
        <v>49.215555559999999</v>
      </c>
      <c r="AF95" s="16">
        <v>-122.9825</v>
      </c>
      <c r="AG95" s="16">
        <v>145</v>
      </c>
      <c r="AH95" s="16"/>
      <c r="AI95" s="16"/>
      <c r="AJ95" s="16"/>
      <c r="AK95" s="16"/>
      <c r="AL95" s="16"/>
      <c r="AM95" s="16"/>
      <c r="AN95" s="16"/>
      <c r="AO95" s="16"/>
      <c r="AP95" s="16"/>
      <c r="AQ95" s="16"/>
      <c r="AR95" s="16"/>
      <c r="AS95" s="16"/>
      <c r="AT95" s="16"/>
      <c r="AU95" s="16"/>
      <c r="AV95" s="16"/>
      <c r="AW95" s="16"/>
      <c r="AX95" s="16"/>
      <c r="AY95" s="16"/>
      <c r="AZ95" s="16"/>
      <c r="BA95" s="16"/>
      <c r="BB95" s="16"/>
      <c r="BC95" s="16"/>
      <c r="BD95" s="16"/>
      <c r="BE95" s="16"/>
      <c r="BF95" s="16"/>
      <c r="BG95" s="16"/>
      <c r="BH95" s="16"/>
      <c r="BI95" s="16"/>
      <c r="BJ95" s="16"/>
      <c r="BK95" s="16"/>
      <c r="BL95" s="16"/>
      <c r="BM95" s="16"/>
      <c r="BN95" s="16"/>
      <c r="BO95" s="16"/>
      <c r="BP95" s="16"/>
      <c r="BQ95" s="16"/>
      <c r="BR95" s="16"/>
      <c r="BS95" s="16"/>
      <c r="BT95" s="16"/>
    </row>
    <row r="96" spans="1:72" ht="14.25" customHeight="1" x14ac:dyDescent="0.2">
      <c r="A96" s="15" t="s">
        <v>422</v>
      </c>
      <c r="B96" s="4">
        <v>10</v>
      </c>
      <c r="C96" s="4" t="s">
        <v>7659</v>
      </c>
      <c r="D96" s="4" t="s">
        <v>436</v>
      </c>
      <c r="E96" s="4">
        <v>1532</v>
      </c>
      <c r="F96" s="4" t="s">
        <v>437</v>
      </c>
      <c r="G96" s="4">
        <v>1935</v>
      </c>
      <c r="H96" s="4" t="s">
        <v>426</v>
      </c>
      <c r="I96" s="4" t="s">
        <v>427</v>
      </c>
      <c r="J96" s="4">
        <v>37773</v>
      </c>
      <c r="M96" s="11"/>
      <c r="N96" s="11"/>
      <c r="O96" s="11"/>
      <c r="P96" s="11"/>
      <c r="Q96" s="12"/>
      <c r="R96" s="11"/>
      <c r="S96" s="16"/>
      <c r="T96" s="16"/>
      <c r="U96" s="16"/>
      <c r="V96" s="16"/>
      <c r="W96" s="16"/>
      <c r="X96" s="16"/>
      <c r="Y96" s="16"/>
      <c r="Z96" s="16"/>
      <c r="AA96" s="16"/>
      <c r="AB96" s="16"/>
      <c r="AC96" s="16"/>
      <c r="AD96" s="16"/>
      <c r="AE96" s="16">
        <v>49.245277780000002</v>
      </c>
      <c r="AF96" s="16">
        <v>-122.7091667</v>
      </c>
      <c r="AG96" s="16">
        <v>20</v>
      </c>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16"/>
      <c r="BF96" s="16"/>
      <c r="BG96" s="16"/>
      <c r="BH96" s="16"/>
      <c r="BI96" s="16"/>
      <c r="BJ96" s="16"/>
      <c r="BK96" s="16"/>
      <c r="BL96" s="16"/>
      <c r="BM96" s="16"/>
      <c r="BN96" s="16"/>
      <c r="BO96" s="16"/>
      <c r="BP96" s="16"/>
      <c r="BQ96" s="16"/>
      <c r="BR96" s="16"/>
      <c r="BS96" s="16"/>
      <c r="BT96" s="16"/>
    </row>
    <row r="97" spans="1:72" ht="14.25" customHeight="1" x14ac:dyDescent="0.2">
      <c r="A97" s="15" t="s">
        <v>422</v>
      </c>
      <c r="B97" s="4">
        <v>10</v>
      </c>
      <c r="C97" s="4" t="s">
        <v>7659</v>
      </c>
      <c r="D97" s="4" t="s">
        <v>438</v>
      </c>
      <c r="E97" s="4">
        <v>1533</v>
      </c>
      <c r="F97" s="4" t="s">
        <v>439</v>
      </c>
      <c r="G97" s="4">
        <v>1936</v>
      </c>
      <c r="H97" s="4" t="s">
        <v>426</v>
      </c>
      <c r="I97" s="4" t="s">
        <v>427</v>
      </c>
      <c r="J97" s="4">
        <v>33930</v>
      </c>
      <c r="M97" s="11"/>
      <c r="N97" s="11"/>
      <c r="O97" s="11"/>
      <c r="P97" s="11"/>
      <c r="Q97" s="12"/>
      <c r="R97" s="11"/>
      <c r="S97" s="16"/>
      <c r="T97" s="16"/>
      <c r="U97" s="16"/>
      <c r="V97" s="16"/>
      <c r="W97" s="16"/>
      <c r="X97" s="16"/>
      <c r="Y97" s="16"/>
      <c r="Z97" s="11"/>
      <c r="AA97" s="11"/>
      <c r="AB97" s="11"/>
      <c r="AC97" s="11"/>
      <c r="AD97" s="16"/>
      <c r="AE97" s="16">
        <v>49.096111110000002</v>
      </c>
      <c r="AF97" s="16">
        <v>-122.56638890000001</v>
      </c>
      <c r="AG97" s="16">
        <v>82</v>
      </c>
      <c r="AH97" s="16"/>
      <c r="AI97" s="16"/>
      <c r="AJ97" s="16"/>
      <c r="AK97" s="16"/>
      <c r="AL97" s="16"/>
      <c r="AM97" s="16"/>
      <c r="AN97" s="16"/>
      <c r="AO97" s="16"/>
      <c r="AP97" s="16"/>
      <c r="AQ97" s="16"/>
      <c r="AR97" s="16"/>
      <c r="AS97" s="16"/>
      <c r="AT97" s="16"/>
      <c r="AU97" s="16"/>
      <c r="AV97" s="16"/>
      <c r="AW97" s="16"/>
      <c r="AX97" s="16"/>
      <c r="AY97" s="16"/>
      <c r="AZ97" s="16"/>
      <c r="BA97" s="16"/>
      <c r="BB97" s="16"/>
      <c r="BC97" s="16"/>
      <c r="BD97" s="16"/>
      <c r="BE97" s="16"/>
      <c r="BF97" s="16"/>
      <c r="BG97" s="16"/>
      <c r="BH97" s="16"/>
      <c r="BI97" s="16"/>
      <c r="BJ97" s="16"/>
      <c r="BK97" s="16"/>
      <c r="BL97" s="16"/>
      <c r="BM97" s="16"/>
      <c r="BN97" s="16"/>
      <c r="BO97" s="16"/>
      <c r="BP97" s="16"/>
      <c r="BQ97" s="16"/>
      <c r="BR97" s="16"/>
      <c r="BS97" s="16"/>
      <c r="BT97" s="16"/>
    </row>
    <row r="98" spans="1:72" ht="14.25" customHeight="1" x14ac:dyDescent="0.2">
      <c r="A98" s="15" t="s">
        <v>422</v>
      </c>
      <c r="B98" s="4">
        <v>10</v>
      </c>
      <c r="C98" s="4" t="s">
        <v>7659</v>
      </c>
      <c r="D98" s="4" t="s">
        <v>440</v>
      </c>
      <c r="E98" s="4">
        <v>1534</v>
      </c>
      <c r="F98" s="4" t="s">
        <v>441</v>
      </c>
      <c r="G98" s="4">
        <v>1937</v>
      </c>
      <c r="H98" s="4" t="s">
        <v>426</v>
      </c>
      <c r="I98" s="4" t="s">
        <v>427</v>
      </c>
      <c r="J98" s="4">
        <v>35998</v>
      </c>
      <c r="M98" s="11"/>
      <c r="N98" s="11"/>
      <c r="O98" s="11"/>
      <c r="P98" s="11"/>
      <c r="Q98" s="12"/>
      <c r="R98" s="11"/>
      <c r="S98" s="16"/>
      <c r="T98" s="16"/>
      <c r="U98" s="16"/>
      <c r="V98" s="16"/>
      <c r="W98" s="16"/>
      <c r="X98" s="16"/>
      <c r="Y98" s="16"/>
      <c r="Z98" s="16"/>
      <c r="AA98" s="16"/>
      <c r="AB98" s="16"/>
      <c r="AC98" s="16"/>
      <c r="AD98" s="16"/>
      <c r="AE98" s="16">
        <v>49.214722219999999</v>
      </c>
      <c r="AF98" s="16">
        <v>-122.5819444</v>
      </c>
      <c r="AG98" s="16">
        <v>100</v>
      </c>
      <c r="AH98" s="16"/>
      <c r="AI98" s="16"/>
      <c r="AJ98" s="16"/>
      <c r="AK98" s="16"/>
      <c r="AL98" s="16"/>
      <c r="AM98" s="16"/>
      <c r="AN98" s="16"/>
      <c r="AO98" s="16"/>
      <c r="AP98" s="16"/>
      <c r="AQ98" s="16"/>
      <c r="AR98" s="16"/>
      <c r="AS98" s="16"/>
      <c r="AT98" s="16"/>
      <c r="AU98" s="16"/>
      <c r="AV98" s="16"/>
      <c r="AW98" s="16"/>
      <c r="AX98" s="16"/>
      <c r="AY98" s="16"/>
      <c r="AZ98" s="16"/>
      <c r="BA98" s="16"/>
      <c r="BB98" s="16"/>
      <c r="BC98" s="16"/>
      <c r="BD98" s="16"/>
      <c r="BE98" s="16"/>
      <c r="BF98" s="16"/>
      <c r="BG98" s="16"/>
      <c r="BH98" s="16"/>
      <c r="BI98" s="16"/>
      <c r="BJ98" s="16"/>
      <c r="BK98" s="16"/>
      <c r="BL98" s="16"/>
      <c r="BM98" s="16"/>
      <c r="BN98" s="16"/>
      <c r="BO98" s="16"/>
      <c r="BP98" s="16"/>
      <c r="BQ98" s="16"/>
      <c r="BR98" s="16"/>
      <c r="BS98" s="16"/>
      <c r="BT98" s="16"/>
    </row>
    <row r="99" spans="1:72" ht="14.25" customHeight="1" x14ac:dyDescent="0.2">
      <c r="A99" s="15" t="s">
        <v>422</v>
      </c>
      <c r="B99" s="4">
        <v>10</v>
      </c>
      <c r="C99" s="4" t="s">
        <v>7659</v>
      </c>
      <c r="D99" s="4" t="s">
        <v>442</v>
      </c>
      <c r="E99" s="4">
        <v>1535</v>
      </c>
      <c r="F99" s="4" t="s">
        <v>443</v>
      </c>
      <c r="G99" s="4">
        <v>1938</v>
      </c>
      <c r="H99" s="4" t="s">
        <v>426</v>
      </c>
      <c r="I99" s="4" t="s">
        <v>427</v>
      </c>
      <c r="J99" s="4">
        <v>37773</v>
      </c>
      <c r="M99" s="11"/>
      <c r="N99" s="11"/>
      <c r="O99" s="11"/>
      <c r="P99" s="11"/>
      <c r="Q99" s="12"/>
      <c r="R99" s="11"/>
      <c r="S99" s="16"/>
      <c r="T99" s="16"/>
      <c r="U99" s="16"/>
      <c r="V99" s="16"/>
      <c r="W99" s="16"/>
      <c r="X99" s="16"/>
      <c r="Y99" s="16"/>
      <c r="Z99" s="11"/>
      <c r="AA99" s="11"/>
      <c r="AB99" s="11"/>
      <c r="AC99" s="11"/>
      <c r="AD99" s="16"/>
      <c r="AE99" s="16">
        <v>49.186388890000003</v>
      </c>
      <c r="AF99" s="16">
        <v>-123.1525</v>
      </c>
      <c r="AG99" s="16">
        <v>5</v>
      </c>
      <c r="AH99" s="16"/>
      <c r="AI99" s="16"/>
      <c r="AJ99" s="16"/>
      <c r="AK99" s="16"/>
      <c r="AL99" s="16"/>
      <c r="AM99" s="16"/>
      <c r="AN99" s="16"/>
      <c r="AO99" s="16"/>
      <c r="AP99" s="16"/>
      <c r="AQ99" s="16"/>
      <c r="AR99" s="16"/>
      <c r="AS99" s="16"/>
      <c r="AT99" s="16"/>
      <c r="AU99" s="16"/>
      <c r="AV99" s="16"/>
      <c r="AW99" s="16"/>
      <c r="AX99" s="16"/>
      <c r="AY99" s="16"/>
      <c r="AZ99" s="16"/>
      <c r="BA99" s="16"/>
      <c r="BB99" s="16"/>
      <c r="BC99" s="16"/>
      <c r="BD99" s="16"/>
      <c r="BE99" s="16"/>
      <c r="BF99" s="16"/>
      <c r="BG99" s="16"/>
      <c r="BH99" s="16"/>
      <c r="BI99" s="16"/>
      <c r="BJ99" s="16"/>
      <c r="BK99" s="16"/>
      <c r="BL99" s="16"/>
      <c r="BM99" s="16"/>
      <c r="BN99" s="16"/>
      <c r="BO99" s="16"/>
      <c r="BP99" s="16"/>
      <c r="BQ99" s="16"/>
      <c r="BR99" s="16"/>
      <c r="BS99" s="16"/>
      <c r="BT99" s="16"/>
    </row>
    <row r="100" spans="1:72" ht="14.25" customHeight="1" x14ac:dyDescent="0.2">
      <c r="A100" s="15" t="s">
        <v>422</v>
      </c>
      <c r="B100" s="4">
        <v>10</v>
      </c>
      <c r="C100" s="4" t="s">
        <v>7659</v>
      </c>
      <c r="D100" s="4" t="s">
        <v>444</v>
      </c>
      <c r="E100" s="4">
        <v>1536</v>
      </c>
      <c r="F100" s="4" t="s">
        <v>445</v>
      </c>
      <c r="G100" s="4">
        <v>1939</v>
      </c>
      <c r="H100" s="4" t="s">
        <v>426</v>
      </c>
      <c r="I100" s="4" t="s">
        <v>427</v>
      </c>
      <c r="J100" s="4">
        <v>37773</v>
      </c>
      <c r="M100" s="11"/>
      <c r="N100" s="11"/>
      <c r="O100" s="11"/>
      <c r="P100" s="11"/>
      <c r="Q100" s="12"/>
      <c r="R100" s="11"/>
      <c r="S100" s="16"/>
      <c r="T100" s="16"/>
      <c r="U100" s="16"/>
      <c r="V100" s="16"/>
      <c r="W100" s="16"/>
      <c r="X100" s="16"/>
      <c r="Y100" s="16"/>
      <c r="Z100" s="16"/>
      <c r="AA100" s="16"/>
      <c r="AB100" s="16"/>
      <c r="AC100" s="16"/>
      <c r="AD100" s="16"/>
      <c r="AE100" s="16">
        <v>49.023611109999997</v>
      </c>
      <c r="AF100" s="16">
        <v>-122.3438889</v>
      </c>
      <c r="AG100" s="16">
        <v>58</v>
      </c>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16"/>
      <c r="BE100" s="16"/>
      <c r="BF100" s="16"/>
      <c r="BG100" s="16"/>
      <c r="BH100" s="16"/>
      <c r="BI100" s="16"/>
      <c r="BJ100" s="16"/>
      <c r="BK100" s="16"/>
      <c r="BL100" s="16"/>
      <c r="BM100" s="16"/>
      <c r="BN100" s="16"/>
      <c r="BO100" s="16"/>
      <c r="BP100" s="16"/>
      <c r="BQ100" s="16"/>
      <c r="BR100" s="16"/>
      <c r="BS100" s="16"/>
      <c r="BT100" s="16"/>
    </row>
    <row r="101" spans="1:72" ht="14.25" customHeight="1" x14ac:dyDescent="0.2">
      <c r="A101" s="15" t="s">
        <v>422</v>
      </c>
      <c r="B101" s="4">
        <v>10</v>
      </c>
      <c r="C101" s="4" t="s">
        <v>7659</v>
      </c>
      <c r="D101" s="4" t="s">
        <v>446</v>
      </c>
      <c r="E101" s="4">
        <v>1537</v>
      </c>
      <c r="F101" s="4" t="s">
        <v>447</v>
      </c>
      <c r="G101" s="4">
        <v>1940</v>
      </c>
      <c r="H101" s="4" t="s">
        <v>426</v>
      </c>
      <c r="I101" s="4" t="s">
        <v>427</v>
      </c>
      <c r="J101" s="4">
        <v>37054</v>
      </c>
      <c r="M101" s="11"/>
      <c r="N101" s="11"/>
      <c r="O101" s="11"/>
      <c r="P101" s="11"/>
      <c r="Q101" s="12"/>
      <c r="R101" s="11"/>
      <c r="S101" s="16"/>
      <c r="T101" s="16"/>
      <c r="U101" s="16"/>
      <c r="V101" s="16"/>
      <c r="W101" s="16"/>
      <c r="X101" s="16"/>
      <c r="Y101" s="16"/>
      <c r="Z101" s="16"/>
      <c r="AA101" s="16"/>
      <c r="AB101" s="16"/>
      <c r="AC101" s="16"/>
      <c r="AD101" s="16"/>
      <c r="AE101" s="16">
        <v>50.716666670000002</v>
      </c>
      <c r="AF101" s="16">
        <v>-121.33333330000001</v>
      </c>
      <c r="AG101" s="16">
        <v>305</v>
      </c>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16"/>
      <c r="BH101" s="16"/>
      <c r="BI101" s="16"/>
      <c r="BJ101" s="16"/>
      <c r="BK101" s="16"/>
      <c r="BL101" s="16"/>
      <c r="BM101" s="16"/>
      <c r="BN101" s="16"/>
      <c r="BO101" s="16"/>
      <c r="BP101" s="16"/>
      <c r="BQ101" s="16"/>
      <c r="BR101" s="16"/>
      <c r="BS101" s="16"/>
      <c r="BT101" s="16"/>
    </row>
    <row r="102" spans="1:72" ht="14.25" customHeight="1" x14ac:dyDescent="0.2">
      <c r="A102" s="15" t="s">
        <v>422</v>
      </c>
      <c r="B102" s="4">
        <v>10</v>
      </c>
      <c r="C102" s="4" t="s">
        <v>7659</v>
      </c>
      <c r="D102" s="16" t="s">
        <v>448</v>
      </c>
      <c r="E102" s="16">
        <v>1554</v>
      </c>
      <c r="F102" s="16" t="s">
        <v>449</v>
      </c>
      <c r="G102" s="16">
        <v>1957</v>
      </c>
      <c r="H102" s="16" t="s">
        <v>426</v>
      </c>
      <c r="I102" s="16" t="s">
        <v>427</v>
      </c>
      <c r="J102" s="16">
        <v>37773</v>
      </c>
      <c r="K102" s="16"/>
      <c r="L102" s="16"/>
      <c r="M102" s="11"/>
      <c r="N102" s="11"/>
      <c r="O102" s="11"/>
      <c r="P102" s="11"/>
      <c r="Q102" s="12"/>
      <c r="R102" s="11"/>
      <c r="S102" s="16"/>
      <c r="T102" s="16"/>
      <c r="U102" s="16"/>
      <c r="V102" s="16"/>
      <c r="W102" s="16"/>
      <c r="X102" s="16"/>
      <c r="Y102" s="16"/>
      <c r="Z102" s="16"/>
      <c r="AA102" s="16"/>
      <c r="AB102" s="16"/>
      <c r="AC102" s="16"/>
      <c r="AD102" s="16"/>
      <c r="AE102" s="16">
        <v>49.369722000000003</v>
      </c>
      <c r="AF102" s="16">
        <v>-121.499444</v>
      </c>
      <c r="AG102" s="16">
        <v>131</v>
      </c>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16"/>
      <c r="BH102" s="16"/>
      <c r="BI102" s="16"/>
      <c r="BJ102" s="16"/>
      <c r="BK102" s="16"/>
      <c r="BL102" s="16"/>
      <c r="BM102" s="16"/>
      <c r="BN102" s="16"/>
      <c r="BO102" s="16"/>
      <c r="BP102" s="16"/>
      <c r="BQ102" s="16"/>
      <c r="BR102" s="16"/>
      <c r="BS102" s="16"/>
      <c r="BT102" s="16"/>
    </row>
    <row r="103" spans="1:72" ht="14.25" customHeight="1" x14ac:dyDescent="0.2">
      <c r="A103" s="5"/>
      <c r="B103" s="4">
        <v>10</v>
      </c>
      <c r="C103" s="4" t="s">
        <v>7660</v>
      </c>
      <c r="D103" s="4" t="s">
        <v>451</v>
      </c>
      <c r="E103" s="4">
        <v>1507</v>
      </c>
      <c r="F103" s="4" t="s">
        <v>409</v>
      </c>
      <c r="G103" s="9" t="str">
        <f t="shared" ref="G103:G121" si="1">CONCATENATE(-1*AF103," W, ",AE103," N, Elev. ",AG103," m")</f>
        <v>119.7644719 W, 50.46743472 N, Elev. 653.6 m</v>
      </c>
      <c r="H103" s="4" t="s">
        <v>426</v>
      </c>
      <c r="I103" s="4" t="s">
        <v>427</v>
      </c>
      <c r="J103" s="4">
        <v>38133</v>
      </c>
      <c r="M103" s="11"/>
      <c r="N103" s="11"/>
      <c r="O103" s="11"/>
      <c r="P103" s="11"/>
      <c r="Q103" s="12"/>
      <c r="R103" s="11"/>
      <c r="AE103" s="4">
        <v>50.46743472</v>
      </c>
      <c r="AF103" s="4">
        <v>-119.7644719</v>
      </c>
      <c r="AG103" s="4">
        <v>653.6</v>
      </c>
    </row>
    <row r="104" spans="1:72" ht="14.25" customHeight="1" x14ac:dyDescent="0.2">
      <c r="A104" s="5"/>
      <c r="B104" s="4">
        <v>10</v>
      </c>
      <c r="C104" s="4" t="s">
        <v>7660</v>
      </c>
      <c r="D104" s="4" t="s">
        <v>452</v>
      </c>
      <c r="E104" s="4">
        <v>1521</v>
      </c>
      <c r="F104" s="4" t="s">
        <v>413</v>
      </c>
      <c r="G104" s="9" t="str">
        <f t="shared" si="1"/>
        <v>121.0258333 W, 50.14111111 N, Elev. 530.9616 m</v>
      </c>
      <c r="H104" s="4" t="s">
        <v>426</v>
      </c>
      <c r="I104" s="4" t="s">
        <v>427</v>
      </c>
      <c r="J104" s="4">
        <v>38569</v>
      </c>
      <c r="M104" s="11"/>
      <c r="N104" s="11"/>
      <c r="O104" s="11"/>
      <c r="P104" s="11"/>
      <c r="Q104" s="12"/>
      <c r="R104" s="11"/>
      <c r="AE104" s="4">
        <v>50.141111109999997</v>
      </c>
      <c r="AF104" s="4">
        <v>-121.0258333</v>
      </c>
      <c r="AG104" s="4">
        <v>530.96159999999998</v>
      </c>
    </row>
    <row r="105" spans="1:72" ht="14.25" customHeight="1" x14ac:dyDescent="0.2">
      <c r="A105" s="5"/>
      <c r="B105" s="4">
        <v>10</v>
      </c>
      <c r="C105" s="4" t="s">
        <v>7660</v>
      </c>
      <c r="D105" s="4">
        <v>18482</v>
      </c>
      <c r="E105" s="4">
        <v>1524</v>
      </c>
      <c r="F105" s="4" t="s">
        <v>453</v>
      </c>
      <c r="G105" s="9" t="str">
        <f t="shared" si="1"/>
        <v>119.4208056 W, 49.02408333 N, Elev. 371 m</v>
      </c>
      <c r="H105" s="4" t="s">
        <v>426</v>
      </c>
      <c r="I105" s="4" t="s">
        <v>427</v>
      </c>
      <c r="J105" s="4">
        <v>38557</v>
      </c>
      <c r="M105" s="11"/>
      <c r="N105" s="11"/>
      <c r="O105" s="11"/>
      <c r="P105" s="11"/>
      <c r="Q105" s="12"/>
      <c r="R105" s="11"/>
      <c r="AE105" s="4">
        <v>49.024083330000003</v>
      </c>
      <c r="AF105" s="4">
        <v>-119.42080559999999</v>
      </c>
      <c r="AG105" s="4">
        <v>371</v>
      </c>
    </row>
    <row r="106" spans="1:72" ht="14.25" customHeight="1" x14ac:dyDescent="0.2">
      <c r="A106" s="5"/>
      <c r="B106" s="4">
        <v>10</v>
      </c>
      <c r="C106" s="4" t="s">
        <v>7660</v>
      </c>
      <c r="D106" s="4">
        <v>25602</v>
      </c>
      <c r="E106" s="4">
        <v>1525</v>
      </c>
      <c r="F106" s="4" t="s">
        <v>454</v>
      </c>
      <c r="G106" s="9" t="str">
        <f t="shared" si="1"/>
        <v>119.46275 W, 49.01183333 N, Elev. 295.5 m</v>
      </c>
      <c r="H106" s="4" t="s">
        <v>426</v>
      </c>
      <c r="I106" s="4" t="s">
        <v>427</v>
      </c>
      <c r="J106" s="4">
        <v>38557</v>
      </c>
      <c r="M106" s="11"/>
      <c r="N106" s="11"/>
      <c r="O106" s="11"/>
      <c r="P106" s="11"/>
      <c r="Q106" s="12"/>
      <c r="R106" s="11"/>
      <c r="AE106" s="4">
        <v>49.011833330000002</v>
      </c>
      <c r="AF106" s="4">
        <v>-119.46275</v>
      </c>
      <c r="AG106" s="4">
        <v>295.5</v>
      </c>
    </row>
    <row r="107" spans="1:72" ht="14.25" customHeight="1" x14ac:dyDescent="0.2">
      <c r="A107" s="5"/>
      <c r="B107" s="4">
        <v>10</v>
      </c>
      <c r="C107" s="4" t="s">
        <v>7660</v>
      </c>
      <c r="D107" s="4" t="s">
        <v>455</v>
      </c>
      <c r="E107" s="4">
        <v>1552</v>
      </c>
      <c r="F107" s="4" t="s">
        <v>456</v>
      </c>
      <c r="G107" s="9" t="str">
        <f t="shared" si="1"/>
        <v>119.373225 W, 49.879864 N, Elev. 475.5 m</v>
      </c>
      <c r="H107" s="4" t="s">
        <v>426</v>
      </c>
      <c r="I107" s="4" t="s">
        <v>427</v>
      </c>
      <c r="J107" s="4">
        <v>37988</v>
      </c>
      <c r="M107" s="11"/>
      <c r="N107" s="11"/>
      <c r="O107" s="11"/>
      <c r="P107" s="11"/>
      <c r="Q107" s="12"/>
      <c r="R107" s="11"/>
      <c r="AE107" s="4">
        <v>49.879863999999998</v>
      </c>
      <c r="AF107" s="4">
        <v>-119.37322500000001</v>
      </c>
      <c r="AG107" s="4">
        <v>475.5</v>
      </c>
    </row>
    <row r="108" spans="1:72" ht="14.25" customHeight="1" x14ac:dyDescent="0.2">
      <c r="A108" s="5"/>
      <c r="B108" s="4">
        <v>10</v>
      </c>
      <c r="C108" s="4" t="s">
        <v>7660</v>
      </c>
      <c r="D108" s="4" t="s">
        <v>457</v>
      </c>
      <c r="E108" s="4">
        <v>1555</v>
      </c>
      <c r="F108" s="4" t="s">
        <v>458</v>
      </c>
      <c r="G108" s="9" t="str">
        <f t="shared" si="1"/>
        <v>118.97295 W, 50.5367 N, Elev. 362 m</v>
      </c>
      <c r="H108" s="4" t="s">
        <v>426</v>
      </c>
      <c r="I108" s="4" t="s">
        <v>427</v>
      </c>
      <c r="J108" s="4">
        <v>38975</v>
      </c>
      <c r="M108" s="11"/>
      <c r="N108" s="11"/>
      <c r="O108" s="11"/>
      <c r="P108" s="11"/>
      <c r="Q108" s="12"/>
      <c r="R108" s="11"/>
      <c r="AE108" s="4">
        <v>50.536700000000003</v>
      </c>
      <c r="AF108" s="4">
        <v>-118.97295</v>
      </c>
      <c r="AG108" s="4">
        <v>362</v>
      </c>
    </row>
    <row r="109" spans="1:72" ht="14.25" customHeight="1" x14ac:dyDescent="0.2">
      <c r="A109" s="5"/>
      <c r="B109" s="4">
        <v>10</v>
      </c>
      <c r="C109" s="4" t="s">
        <v>7660</v>
      </c>
      <c r="D109" s="4" t="s">
        <v>459</v>
      </c>
      <c r="E109" s="4">
        <v>3097</v>
      </c>
      <c r="F109" s="4" t="s">
        <v>373</v>
      </c>
      <c r="G109" s="9" t="str">
        <f t="shared" si="1"/>
        <v>119.421042 W, 49.912417 N, Elev. 439.6 m</v>
      </c>
      <c r="H109" s="4" t="s">
        <v>426</v>
      </c>
      <c r="I109" s="4" t="s">
        <v>427</v>
      </c>
      <c r="J109" s="4">
        <v>37988</v>
      </c>
      <c r="M109" s="11"/>
      <c r="N109" s="11"/>
      <c r="O109" s="11"/>
      <c r="P109" s="11"/>
      <c r="Q109" s="12"/>
      <c r="R109" s="11"/>
      <c r="AE109" s="4">
        <v>49.912416999999998</v>
      </c>
      <c r="AF109" s="4">
        <v>-119.421042</v>
      </c>
      <c r="AG109" s="4">
        <v>439.6</v>
      </c>
    </row>
    <row r="110" spans="1:72" ht="14.25" customHeight="1" x14ac:dyDescent="0.2">
      <c r="A110" s="5"/>
      <c r="B110" s="4">
        <v>10</v>
      </c>
      <c r="C110" s="4" t="s">
        <v>7660</v>
      </c>
      <c r="D110" s="4" t="s">
        <v>460</v>
      </c>
      <c r="E110" s="4">
        <v>3098</v>
      </c>
      <c r="F110" s="4" t="s">
        <v>461</v>
      </c>
      <c r="G110" s="9" t="str">
        <f t="shared" si="1"/>
        <v>119.421542 W, 49.872875 N, Elev. 416 m</v>
      </c>
      <c r="H110" s="4" t="s">
        <v>426</v>
      </c>
      <c r="I110" s="4" t="s">
        <v>427</v>
      </c>
      <c r="J110" s="4">
        <v>37988</v>
      </c>
      <c r="AE110" s="4">
        <v>49.872875000000001</v>
      </c>
      <c r="AF110" s="4">
        <v>-119.421542</v>
      </c>
      <c r="AG110" s="4">
        <v>416</v>
      </c>
    </row>
    <row r="111" spans="1:72" ht="14.25" customHeight="1" x14ac:dyDescent="0.2">
      <c r="A111" s="5"/>
      <c r="B111" s="4">
        <v>10</v>
      </c>
      <c r="C111" s="4" t="s">
        <v>7660</v>
      </c>
      <c r="D111" s="4" t="s">
        <v>462</v>
      </c>
      <c r="E111" s="4">
        <v>3099</v>
      </c>
      <c r="F111" s="4" t="s">
        <v>463</v>
      </c>
      <c r="G111" s="9" t="str">
        <f t="shared" si="1"/>
        <v>119.446385 W, 49.838374 N, Elev. 419.4 m</v>
      </c>
      <c r="H111" s="4" t="s">
        <v>426</v>
      </c>
      <c r="I111" s="4" t="s">
        <v>427</v>
      </c>
      <c r="J111" s="4">
        <v>37988</v>
      </c>
      <c r="AE111" s="4">
        <v>49.838374000000002</v>
      </c>
      <c r="AF111" s="4">
        <v>-119.44638500000001</v>
      </c>
      <c r="AG111" s="4">
        <v>419.4</v>
      </c>
    </row>
    <row r="112" spans="1:72" ht="14.25" customHeight="1" x14ac:dyDescent="0.2">
      <c r="A112" s="5"/>
      <c r="B112" s="4">
        <v>10</v>
      </c>
      <c r="C112" s="4" t="s">
        <v>7660</v>
      </c>
      <c r="D112" s="4" t="s">
        <v>464</v>
      </c>
      <c r="E112" s="4">
        <v>3100</v>
      </c>
      <c r="F112" s="4" t="s">
        <v>465</v>
      </c>
      <c r="G112" s="9" t="str">
        <f t="shared" si="1"/>
        <v>119.342583 W, 50.257171 N, Elev. 437 m</v>
      </c>
      <c r="H112" s="4" t="s">
        <v>426</v>
      </c>
      <c r="I112" s="4" t="s">
        <v>427</v>
      </c>
      <c r="J112" s="4">
        <v>38225</v>
      </c>
      <c r="AE112" s="4">
        <v>50.257171</v>
      </c>
      <c r="AF112" s="4">
        <v>-119.342583</v>
      </c>
      <c r="AG112" s="4">
        <v>437</v>
      </c>
    </row>
    <row r="113" spans="1:72" ht="14.25" customHeight="1" x14ac:dyDescent="0.2">
      <c r="A113" s="5"/>
      <c r="B113" s="4">
        <v>10</v>
      </c>
      <c r="C113" s="4" t="s">
        <v>7660</v>
      </c>
      <c r="D113" s="4" t="s">
        <v>466</v>
      </c>
      <c r="E113" s="4">
        <v>3103</v>
      </c>
      <c r="F113" s="4" t="s">
        <v>467</v>
      </c>
      <c r="G113" s="9" t="str">
        <f t="shared" si="1"/>
        <v>119.624523 W, 49.821304 N, Elev. 391.6 m</v>
      </c>
      <c r="H113" s="4" t="s">
        <v>426</v>
      </c>
      <c r="I113" s="4" t="s">
        <v>427</v>
      </c>
      <c r="J113" s="4">
        <v>37988</v>
      </c>
      <c r="AE113" s="4">
        <v>49.821303999999998</v>
      </c>
      <c r="AF113" s="4">
        <v>-119.624523</v>
      </c>
      <c r="AG113" s="4">
        <v>391.6</v>
      </c>
    </row>
    <row r="114" spans="1:72" ht="14.25" customHeight="1" x14ac:dyDescent="0.2">
      <c r="A114" s="5"/>
      <c r="B114" s="4">
        <v>10</v>
      </c>
      <c r="C114" s="4" t="s">
        <v>7660</v>
      </c>
      <c r="D114" s="4" t="s">
        <v>468</v>
      </c>
      <c r="E114" s="4">
        <v>3104</v>
      </c>
      <c r="F114" s="4" t="s">
        <v>319</v>
      </c>
      <c r="G114" s="9" t="str">
        <f t="shared" si="1"/>
        <v>119.414536 W, 50.063203 N, Elev. 468 m</v>
      </c>
      <c r="H114" s="4" t="s">
        <v>426</v>
      </c>
      <c r="I114" s="4" t="s">
        <v>427</v>
      </c>
      <c r="J114" s="4">
        <v>37988</v>
      </c>
      <c r="AE114" s="4">
        <v>50.063203000000001</v>
      </c>
      <c r="AF114" s="4">
        <v>-119.414536</v>
      </c>
      <c r="AG114" s="4">
        <v>468</v>
      </c>
    </row>
    <row r="115" spans="1:72" ht="14.25" customHeight="1" x14ac:dyDescent="0.2">
      <c r="A115" s="5"/>
      <c r="B115" s="4">
        <v>10</v>
      </c>
      <c r="C115" s="4" t="s">
        <v>7660</v>
      </c>
      <c r="D115" s="4" t="s">
        <v>469</v>
      </c>
      <c r="E115" s="4">
        <v>3105</v>
      </c>
      <c r="F115" s="4" t="s">
        <v>323</v>
      </c>
      <c r="G115" s="9" t="str">
        <f t="shared" si="1"/>
        <v>119.424527 W, 50.041193 N, Elev. 525 m</v>
      </c>
      <c r="H115" s="4" t="s">
        <v>426</v>
      </c>
      <c r="I115" s="4" t="s">
        <v>427</v>
      </c>
      <c r="J115" s="4">
        <v>37988</v>
      </c>
      <c r="AE115" s="4">
        <v>50.041193</v>
      </c>
      <c r="AF115" s="4">
        <v>-119.424527</v>
      </c>
      <c r="AG115" s="4">
        <v>525</v>
      </c>
    </row>
    <row r="116" spans="1:72" ht="14.25" customHeight="1" x14ac:dyDescent="0.2">
      <c r="A116" s="5"/>
      <c r="B116" s="4">
        <v>10</v>
      </c>
      <c r="C116" s="4" t="s">
        <v>7660</v>
      </c>
      <c r="D116" s="4" t="s">
        <v>470</v>
      </c>
      <c r="E116" s="4">
        <v>3106</v>
      </c>
      <c r="F116" s="4" t="s">
        <v>471</v>
      </c>
      <c r="G116" s="9" t="str">
        <f t="shared" si="1"/>
        <v>119.74325 W, 49.182528 N, Elev. 414.1 m</v>
      </c>
      <c r="H116" s="4" t="s">
        <v>426</v>
      </c>
      <c r="I116" s="4" t="s">
        <v>427</v>
      </c>
      <c r="J116" s="4">
        <v>38200</v>
      </c>
      <c r="AE116" s="4">
        <v>49.182527999999998</v>
      </c>
      <c r="AF116" s="4">
        <v>-119.74325</v>
      </c>
      <c r="AG116" s="4">
        <v>414.1</v>
      </c>
    </row>
    <row r="117" spans="1:72" ht="14.25" customHeight="1" x14ac:dyDescent="0.2">
      <c r="A117" s="5"/>
      <c r="B117" s="4">
        <v>10</v>
      </c>
      <c r="C117" s="4" t="s">
        <v>7660</v>
      </c>
      <c r="D117" s="4" t="s">
        <v>472</v>
      </c>
      <c r="E117" s="4">
        <v>3108</v>
      </c>
      <c r="F117" s="4" t="s">
        <v>473</v>
      </c>
      <c r="G117" s="9" t="str">
        <f t="shared" si="1"/>
        <v>119.56442 W, 49.498417 N, Elev. 374.7 m</v>
      </c>
      <c r="H117" s="4" t="s">
        <v>426</v>
      </c>
      <c r="I117" s="4" t="s">
        <v>427</v>
      </c>
      <c r="J117" s="4">
        <v>38200</v>
      </c>
      <c r="AE117" s="4">
        <v>49.498417000000003</v>
      </c>
      <c r="AF117" s="4">
        <v>-119.56442</v>
      </c>
      <c r="AG117" s="4">
        <v>374.7</v>
      </c>
    </row>
    <row r="118" spans="1:72" ht="14.25" customHeight="1" x14ac:dyDescent="0.2">
      <c r="A118" s="5"/>
      <c r="B118" s="9">
        <v>10</v>
      </c>
      <c r="C118" s="4" t="s">
        <v>7660</v>
      </c>
      <c r="D118" s="9" t="s">
        <v>474</v>
      </c>
      <c r="E118" s="9">
        <v>3109</v>
      </c>
      <c r="F118" s="9" t="s">
        <v>475</v>
      </c>
      <c r="G118" s="9" t="str">
        <f t="shared" si="1"/>
        <v>119.684639 W, 49.613667 N, Elev. 492.2 m</v>
      </c>
      <c r="H118" s="9" t="s">
        <v>426</v>
      </c>
      <c r="I118" s="9" t="s">
        <v>427</v>
      </c>
      <c r="J118" s="9">
        <v>38229</v>
      </c>
      <c r="K118" s="9"/>
      <c r="L118" s="9"/>
      <c r="M118" s="9"/>
      <c r="N118" s="9"/>
      <c r="O118" s="9"/>
      <c r="P118" s="9"/>
      <c r="Q118" s="9"/>
      <c r="R118" s="9"/>
      <c r="S118" s="9"/>
      <c r="T118" s="9"/>
      <c r="U118" s="9"/>
      <c r="V118" s="9"/>
      <c r="W118" s="9"/>
      <c r="X118" s="9"/>
      <c r="Y118" s="9"/>
      <c r="Z118" s="9"/>
      <c r="AA118" s="9"/>
      <c r="AB118" s="9"/>
      <c r="AC118" s="9"/>
      <c r="AD118" s="9"/>
      <c r="AE118" s="9">
        <v>49.613667</v>
      </c>
      <c r="AF118" s="9">
        <v>-119.684639</v>
      </c>
      <c r="AG118" s="9">
        <v>492.2</v>
      </c>
      <c r="AH118" s="9"/>
      <c r="AI118" s="9"/>
      <c r="AJ118" s="9"/>
      <c r="AK118" s="9"/>
      <c r="AL118" s="9"/>
      <c r="AM118" s="9"/>
      <c r="AN118" s="9"/>
      <c r="AO118" s="9"/>
      <c r="AP118" s="9"/>
      <c r="AQ118" s="9"/>
      <c r="AR118" s="9"/>
      <c r="AS118" s="9"/>
      <c r="AT118" s="9"/>
      <c r="AU118" s="9"/>
      <c r="AV118" s="9"/>
      <c r="AW118" s="9"/>
      <c r="AX118" s="9"/>
      <c r="AY118" s="9"/>
      <c r="AZ118" s="9"/>
      <c r="BA118" s="9"/>
      <c r="BB118" s="9"/>
      <c r="BC118" s="9"/>
      <c r="BD118" s="9"/>
      <c r="BE118" s="9"/>
      <c r="BF118" s="9"/>
      <c r="BG118" s="9"/>
      <c r="BH118" s="9"/>
      <c r="BI118" s="9"/>
      <c r="BJ118" s="9"/>
      <c r="BK118" s="9"/>
      <c r="BL118" s="9"/>
      <c r="BM118" s="9"/>
      <c r="BN118" s="9"/>
      <c r="BO118" s="9"/>
      <c r="BP118" s="9"/>
      <c r="BQ118" s="9"/>
      <c r="BR118" s="9"/>
      <c r="BS118" s="9"/>
      <c r="BT118" s="9"/>
    </row>
    <row r="119" spans="1:72" ht="14.25" customHeight="1" x14ac:dyDescent="0.2">
      <c r="A119" s="5"/>
      <c r="B119" s="9">
        <v>10</v>
      </c>
      <c r="C119" s="4" t="s">
        <v>7660</v>
      </c>
      <c r="D119" s="9" t="s">
        <v>476</v>
      </c>
      <c r="E119" s="9">
        <v>3111</v>
      </c>
      <c r="F119" s="9" t="s">
        <v>365</v>
      </c>
      <c r="G119" s="9" t="str">
        <f t="shared" si="1"/>
        <v>119.354164 W, 49.943325 N, Elev. 473.3 m</v>
      </c>
      <c r="H119" s="9" t="s">
        <v>426</v>
      </c>
      <c r="I119" s="9" t="s">
        <v>427</v>
      </c>
      <c r="J119" s="9">
        <v>37988</v>
      </c>
      <c r="K119" s="9"/>
      <c r="L119" s="9"/>
      <c r="M119" s="9"/>
      <c r="N119" s="9"/>
      <c r="O119" s="9"/>
      <c r="P119" s="9"/>
      <c r="Q119" s="9"/>
      <c r="R119" s="9"/>
      <c r="S119" s="9"/>
      <c r="T119" s="9"/>
      <c r="U119" s="9"/>
      <c r="V119" s="9"/>
      <c r="W119" s="9"/>
      <c r="X119" s="9"/>
      <c r="Y119" s="9"/>
      <c r="Z119" s="9"/>
      <c r="AA119" s="9"/>
      <c r="AB119" s="9"/>
      <c r="AC119" s="9"/>
      <c r="AD119" s="9"/>
      <c r="AE119" s="9">
        <v>49.943325000000002</v>
      </c>
      <c r="AF119" s="9">
        <v>-119.354164</v>
      </c>
      <c r="AG119" s="9">
        <v>473.3</v>
      </c>
      <c r="AH119" s="9"/>
      <c r="AI119" s="9"/>
      <c r="AJ119" s="9"/>
      <c r="AK119" s="9"/>
      <c r="AL119" s="9"/>
      <c r="AM119" s="9"/>
      <c r="AN119" s="9"/>
      <c r="AO119" s="9"/>
      <c r="AP119" s="9"/>
      <c r="AQ119" s="9"/>
      <c r="AR119" s="9"/>
      <c r="AS119" s="9"/>
      <c r="AT119" s="9"/>
      <c r="AU119" s="9"/>
      <c r="AV119" s="9"/>
      <c r="AW119" s="9"/>
      <c r="AX119" s="9"/>
      <c r="AY119" s="9"/>
      <c r="AZ119" s="9"/>
      <c r="BA119" s="9"/>
      <c r="BB119" s="9"/>
      <c r="BC119" s="9"/>
      <c r="BD119" s="9"/>
      <c r="BE119" s="9"/>
      <c r="BF119" s="9"/>
      <c r="BG119" s="9"/>
      <c r="BH119" s="9"/>
      <c r="BI119" s="9"/>
      <c r="BJ119" s="9"/>
      <c r="BK119" s="9"/>
      <c r="BL119" s="9"/>
      <c r="BM119" s="9"/>
      <c r="BN119" s="9"/>
      <c r="BO119" s="9"/>
      <c r="BP119" s="9"/>
      <c r="BQ119" s="9"/>
      <c r="BR119" s="9"/>
      <c r="BS119" s="9"/>
      <c r="BT119" s="9"/>
    </row>
    <row r="120" spans="1:72" ht="14.25" customHeight="1" x14ac:dyDescent="0.2">
      <c r="A120" s="5"/>
      <c r="B120" s="4">
        <v>10</v>
      </c>
      <c r="C120" s="4" t="s">
        <v>7660</v>
      </c>
      <c r="D120" s="4" t="s">
        <v>477</v>
      </c>
      <c r="E120" s="4">
        <v>1506</v>
      </c>
      <c r="F120" s="4" t="s">
        <v>421</v>
      </c>
      <c r="G120" s="9" t="str">
        <f t="shared" si="1"/>
        <v>119.385515 W, 50.63235361 N, Elev. 374.3 m</v>
      </c>
      <c r="H120" s="4" t="s">
        <v>426</v>
      </c>
      <c r="I120" s="4" t="s">
        <v>427</v>
      </c>
      <c r="J120" s="4">
        <v>38133</v>
      </c>
      <c r="K120" s="9"/>
      <c r="L120" s="9"/>
      <c r="M120" s="9"/>
      <c r="N120" s="9"/>
      <c r="O120" s="9"/>
      <c r="P120" s="9"/>
      <c r="Q120" s="9"/>
      <c r="R120" s="9"/>
      <c r="S120" s="9"/>
      <c r="T120" s="9"/>
      <c r="U120" s="9"/>
      <c r="V120" s="9"/>
      <c r="W120" s="9"/>
      <c r="X120" s="9"/>
      <c r="Y120" s="9"/>
      <c r="Z120" s="9"/>
      <c r="AA120" s="9"/>
      <c r="AB120" s="9"/>
      <c r="AC120" s="9"/>
      <c r="AD120" s="9"/>
      <c r="AE120" s="4">
        <v>50.632353610000003</v>
      </c>
      <c r="AF120" s="4">
        <v>-119.385515</v>
      </c>
      <c r="AG120" s="4">
        <v>374.3</v>
      </c>
      <c r="AH120" s="9"/>
      <c r="AI120" s="9"/>
      <c r="AJ120" s="9"/>
      <c r="AK120" s="9"/>
      <c r="AL120" s="9"/>
      <c r="AM120" s="9"/>
      <c r="AN120" s="9"/>
      <c r="AO120" s="9"/>
      <c r="AP120" s="9"/>
      <c r="AQ120" s="9"/>
      <c r="AR120" s="9"/>
      <c r="AS120" s="9"/>
      <c r="AT120" s="9"/>
      <c r="AU120" s="9"/>
      <c r="AV120" s="9"/>
      <c r="AW120" s="9"/>
      <c r="AX120" s="9"/>
      <c r="AY120" s="9"/>
      <c r="AZ120" s="9"/>
      <c r="BA120" s="9"/>
      <c r="BB120" s="9"/>
      <c r="BC120" s="9"/>
      <c r="BD120" s="9"/>
      <c r="BE120" s="9"/>
      <c r="BF120" s="9"/>
      <c r="BG120" s="9"/>
      <c r="BH120" s="9"/>
      <c r="BI120" s="9"/>
      <c r="BJ120" s="9"/>
      <c r="BK120" s="9"/>
      <c r="BL120" s="9"/>
      <c r="BM120" s="9"/>
      <c r="BN120" s="9"/>
      <c r="BO120" s="9"/>
      <c r="BP120" s="9"/>
      <c r="BQ120" s="9"/>
      <c r="BR120" s="9"/>
      <c r="BS120" s="9"/>
      <c r="BT120" s="9"/>
    </row>
    <row r="121" spans="1:72" ht="14.25" customHeight="1" x14ac:dyDescent="0.2">
      <c r="A121" s="5" t="s">
        <v>478</v>
      </c>
      <c r="B121" s="9">
        <v>10</v>
      </c>
      <c r="C121" s="4" t="s">
        <v>7660</v>
      </c>
      <c r="D121" s="9" t="s">
        <v>479</v>
      </c>
      <c r="E121" s="9">
        <v>3284</v>
      </c>
      <c r="F121" s="9" t="s">
        <v>480</v>
      </c>
      <c r="G121" s="9" t="str">
        <f t="shared" si="1"/>
        <v>120.8044444 W, 50.36222222 N, Elev. 979 m</v>
      </c>
      <c r="H121" s="9" t="s">
        <v>426</v>
      </c>
      <c r="I121" s="9"/>
      <c r="J121" s="9">
        <v>40183</v>
      </c>
      <c r="K121" s="9"/>
      <c r="L121" s="9"/>
      <c r="M121" s="9"/>
      <c r="N121" s="9"/>
      <c r="O121" s="9"/>
      <c r="P121" s="9"/>
      <c r="Q121" s="9"/>
      <c r="R121" s="9"/>
      <c r="S121" s="9"/>
      <c r="T121" s="9"/>
      <c r="U121" s="9"/>
      <c r="V121" s="9"/>
      <c r="W121" s="9"/>
      <c r="X121" s="9"/>
      <c r="Y121" s="9"/>
      <c r="Z121" s="9"/>
      <c r="AA121" s="9"/>
      <c r="AB121" s="9"/>
      <c r="AC121" s="9"/>
      <c r="AD121" s="9"/>
      <c r="AE121" s="9">
        <v>50.36222222</v>
      </c>
      <c r="AF121" s="9">
        <v>-120.80444439999999</v>
      </c>
      <c r="AG121" s="9">
        <v>979</v>
      </c>
      <c r="AH121" s="9"/>
      <c r="AI121" s="9"/>
      <c r="AJ121" s="9"/>
      <c r="AK121" s="9"/>
      <c r="AL121" s="9"/>
      <c r="AM121" s="9"/>
      <c r="AN121" s="9"/>
      <c r="AO121" s="9"/>
      <c r="AP121" s="9"/>
      <c r="AQ121" s="9"/>
      <c r="AR121" s="9"/>
      <c r="AS121" s="9"/>
      <c r="AT121" s="9"/>
      <c r="AU121" s="9"/>
      <c r="AV121" s="9"/>
      <c r="AW121" s="9"/>
      <c r="AX121" s="9"/>
      <c r="AY121" s="9"/>
      <c r="AZ121" s="9"/>
      <c r="BA121" s="9"/>
      <c r="BB121" s="9"/>
      <c r="BC121" s="9"/>
      <c r="BD121" s="9"/>
      <c r="BE121" s="9"/>
      <c r="BF121" s="9"/>
      <c r="BG121" s="9"/>
      <c r="BH121" s="9"/>
      <c r="BI121" s="9"/>
      <c r="BJ121" s="9"/>
      <c r="BK121" s="9"/>
      <c r="BL121" s="9"/>
      <c r="BM121" s="9"/>
      <c r="BN121" s="9"/>
      <c r="BO121" s="9"/>
      <c r="BP121" s="9"/>
      <c r="BQ121" s="9"/>
      <c r="BR121" s="9"/>
      <c r="BS121" s="9"/>
      <c r="BT121" s="9"/>
    </row>
    <row r="122" spans="1:72" ht="14.25" customHeight="1" x14ac:dyDescent="0.2">
      <c r="A122" s="5" t="s">
        <v>481</v>
      </c>
      <c r="B122" s="4">
        <v>10</v>
      </c>
      <c r="C122" s="10" t="s">
        <v>139</v>
      </c>
      <c r="D122" s="10" t="s">
        <v>482</v>
      </c>
      <c r="E122" s="9"/>
      <c r="F122" s="10" t="s">
        <v>483</v>
      </c>
      <c r="G122" s="8" t="str">
        <f>CONCATENATE("-&gt; ",-1*AF122," W, ",AE122," N, Elev. ",AG122," m")</f>
        <v>-&gt; 120.8044444 W, 50.36222222 N, Elev. 979 m</v>
      </c>
      <c r="H122" s="9"/>
      <c r="I122" s="9"/>
      <c r="J122" s="9"/>
      <c r="K122" s="9"/>
      <c r="L122" s="9"/>
      <c r="M122" s="11">
        <v>50.36222222</v>
      </c>
      <c r="N122" s="11">
        <v>-120.80444439999999</v>
      </c>
      <c r="O122" s="11" t="s">
        <v>142</v>
      </c>
      <c r="P122" s="11" t="s">
        <v>484</v>
      </c>
      <c r="Q122" s="12">
        <v>2</v>
      </c>
      <c r="R122" s="11" t="s">
        <v>480</v>
      </c>
      <c r="S122" s="11" t="s">
        <v>145</v>
      </c>
      <c r="T122" s="11">
        <v>979</v>
      </c>
      <c r="U122" s="9"/>
      <c r="V122" s="9"/>
      <c r="W122" s="9"/>
      <c r="X122" s="9"/>
      <c r="Y122" s="9"/>
      <c r="Z122" s="9"/>
      <c r="AA122" s="9"/>
      <c r="AB122" s="9"/>
      <c r="AC122" s="9"/>
      <c r="AD122" s="9"/>
      <c r="AE122" s="8">
        <v>50.36222222</v>
      </c>
      <c r="AF122" s="8">
        <v>-120.80444439999999</v>
      </c>
      <c r="AG122" s="8">
        <v>979</v>
      </c>
      <c r="AH122" s="9"/>
      <c r="AI122" s="9"/>
      <c r="AJ122" s="9"/>
      <c r="AK122" s="9"/>
      <c r="AL122" s="9"/>
      <c r="AM122" s="9"/>
      <c r="AN122" s="9"/>
      <c r="AO122" s="9"/>
      <c r="AP122" s="9"/>
      <c r="AQ122" s="9"/>
      <c r="AR122" s="9"/>
      <c r="AS122" s="9"/>
      <c r="AT122" s="9"/>
      <c r="AU122" s="9"/>
      <c r="AV122" s="9"/>
      <c r="AW122" s="9"/>
      <c r="AX122" s="9"/>
      <c r="AY122" s="9"/>
      <c r="AZ122" s="9"/>
      <c r="BA122" s="9"/>
      <c r="BB122" s="9"/>
      <c r="BC122" s="9"/>
      <c r="BD122" s="9"/>
      <c r="BE122" s="9"/>
      <c r="BF122" s="9"/>
      <c r="BG122" s="9"/>
      <c r="BH122" s="9"/>
      <c r="BI122" s="9"/>
      <c r="BJ122" s="9"/>
      <c r="BK122" s="9"/>
      <c r="BL122" s="9"/>
      <c r="BM122" s="9"/>
      <c r="BN122" s="9"/>
      <c r="BO122" s="9"/>
      <c r="BP122" s="9"/>
      <c r="BQ122" s="9"/>
      <c r="BR122" s="9"/>
      <c r="BS122" s="9"/>
      <c r="BT122" s="9"/>
    </row>
    <row r="123" spans="1:72" ht="14.25" customHeight="1" x14ac:dyDescent="0.2">
      <c r="A123" s="5" t="s">
        <v>485</v>
      </c>
      <c r="B123" s="4">
        <v>10</v>
      </c>
      <c r="C123" s="4" t="s">
        <v>7660</v>
      </c>
      <c r="D123" s="9" t="s">
        <v>486</v>
      </c>
      <c r="E123" s="9">
        <v>1508</v>
      </c>
      <c r="F123" s="9" t="s">
        <v>487</v>
      </c>
      <c r="G123" s="9" t="str">
        <f>CONCATENATE(-1*AF123," W, ",AE123," N, Elev. ",AG123," m")</f>
        <v>120.8913889 W, 50.00777778 N, Elev. 729 m</v>
      </c>
      <c r="H123" s="9" t="s">
        <v>426</v>
      </c>
      <c r="I123" s="9" t="s">
        <v>427</v>
      </c>
      <c r="J123" s="9">
        <v>38557</v>
      </c>
      <c r="K123" s="9"/>
      <c r="L123" s="9"/>
      <c r="M123" s="9"/>
      <c r="N123" s="9"/>
      <c r="O123" s="9"/>
      <c r="P123" s="9"/>
      <c r="Q123" s="9"/>
      <c r="R123" s="9"/>
      <c r="S123" s="9"/>
      <c r="T123" s="9"/>
      <c r="U123" s="9"/>
      <c r="V123" s="9"/>
      <c r="W123" s="9"/>
      <c r="X123" s="9"/>
      <c r="Y123" s="9"/>
      <c r="Z123" s="9"/>
      <c r="AA123" s="9"/>
      <c r="AB123" s="9"/>
      <c r="AC123" s="9"/>
      <c r="AD123" s="9"/>
      <c r="AE123" s="9">
        <v>50.007777779999998</v>
      </c>
      <c r="AF123" s="9">
        <v>-120.8913889</v>
      </c>
      <c r="AG123" s="9">
        <v>729</v>
      </c>
      <c r="AH123" s="9"/>
      <c r="AI123" s="9"/>
      <c r="AJ123" s="9"/>
      <c r="AK123" s="9"/>
      <c r="AL123" s="9"/>
      <c r="AM123" s="9"/>
      <c r="AN123" s="9"/>
      <c r="AO123" s="9"/>
      <c r="AP123" s="9"/>
      <c r="AQ123" s="9"/>
      <c r="AR123" s="9"/>
      <c r="AS123" s="9"/>
      <c r="AT123" s="9"/>
      <c r="AU123" s="9"/>
      <c r="AV123" s="9"/>
      <c r="AW123" s="9"/>
      <c r="AX123" s="9"/>
      <c r="AY123" s="9"/>
      <c r="AZ123" s="9"/>
      <c r="BA123" s="9"/>
      <c r="BB123" s="9"/>
      <c r="BC123" s="9"/>
      <c r="BD123" s="9"/>
      <c r="BE123" s="9"/>
      <c r="BF123" s="9"/>
      <c r="BG123" s="9"/>
      <c r="BH123" s="9"/>
      <c r="BI123" s="9"/>
      <c r="BJ123" s="9"/>
      <c r="BK123" s="9"/>
      <c r="BL123" s="9"/>
      <c r="BM123" s="9"/>
      <c r="BN123" s="9"/>
      <c r="BO123" s="9"/>
      <c r="BP123" s="9"/>
      <c r="BQ123" s="9"/>
      <c r="BR123" s="9"/>
      <c r="BS123" s="9"/>
      <c r="BT123" s="9"/>
    </row>
    <row r="124" spans="1:72" ht="14.25" customHeight="1" x14ac:dyDescent="0.2">
      <c r="A124" s="5" t="s">
        <v>488</v>
      </c>
      <c r="B124" s="4">
        <v>10</v>
      </c>
      <c r="C124" s="10" t="s">
        <v>139</v>
      </c>
      <c r="D124" s="10" t="s">
        <v>489</v>
      </c>
      <c r="E124" s="8"/>
      <c r="F124" s="10" t="s">
        <v>490</v>
      </c>
      <c r="G124" s="8" t="str">
        <f>CONCATENATE("-&gt; ",-1*AF124," W, ",AE124," N, Elev. ",AG124," m")</f>
        <v>-&gt; 118.7758333 W, 50.39361111 N, Elev. 729 m</v>
      </c>
      <c r="I124" s="9"/>
      <c r="J124" s="9"/>
      <c r="K124" s="9"/>
      <c r="L124" s="9"/>
      <c r="M124" s="11">
        <v>50.393611110000002</v>
      </c>
      <c r="N124" s="11">
        <v>-118.7758333</v>
      </c>
      <c r="O124" s="11" t="s">
        <v>142</v>
      </c>
      <c r="P124" s="11" t="s">
        <v>491</v>
      </c>
      <c r="Q124" s="12">
        <v>2</v>
      </c>
      <c r="R124" s="11" t="s">
        <v>487</v>
      </c>
      <c r="S124" s="11" t="s">
        <v>145</v>
      </c>
      <c r="T124" s="11">
        <v>729</v>
      </c>
      <c r="U124" s="9"/>
      <c r="V124" s="9"/>
      <c r="W124" s="9"/>
      <c r="X124" s="9"/>
      <c r="Y124" s="9"/>
      <c r="Z124" s="9"/>
      <c r="AA124" s="9"/>
      <c r="AB124" s="9"/>
      <c r="AC124" s="9"/>
      <c r="AD124" s="9"/>
      <c r="AE124" s="8">
        <v>50.393611110000002</v>
      </c>
      <c r="AF124" s="8">
        <v>-118.7758333</v>
      </c>
      <c r="AG124" s="8">
        <v>729</v>
      </c>
      <c r="AH124" s="9"/>
      <c r="AI124" s="9"/>
      <c r="AJ124" s="9"/>
      <c r="AK124" s="9"/>
      <c r="AL124" s="9"/>
      <c r="AM124" s="9"/>
      <c r="AN124" s="9"/>
      <c r="AO124" s="9"/>
      <c r="AP124" s="9"/>
      <c r="AQ124" s="9"/>
      <c r="AR124" s="9"/>
      <c r="AS124" s="9"/>
      <c r="AT124" s="9"/>
      <c r="AU124" s="9"/>
      <c r="AV124" s="9"/>
      <c r="AW124" s="9"/>
      <c r="AX124" s="9"/>
      <c r="AY124" s="9"/>
      <c r="AZ124" s="9"/>
      <c r="BA124" s="9"/>
      <c r="BB124" s="9"/>
      <c r="BC124" s="9"/>
      <c r="BD124" s="9"/>
      <c r="BE124" s="9"/>
      <c r="BF124" s="9"/>
      <c r="BG124" s="9"/>
      <c r="BH124" s="9"/>
      <c r="BI124" s="9"/>
      <c r="BJ124" s="9"/>
      <c r="BK124" s="9"/>
      <c r="BL124" s="9"/>
      <c r="BM124" s="9"/>
      <c r="BN124" s="9"/>
      <c r="BO124" s="9"/>
      <c r="BP124" s="9"/>
      <c r="BQ124" s="9"/>
      <c r="BR124" s="9"/>
      <c r="BS124" s="9"/>
      <c r="BT124" s="9"/>
    </row>
    <row r="125" spans="1:72" ht="14.25" customHeight="1" x14ac:dyDescent="0.2">
      <c r="A125" s="5" t="s">
        <v>492</v>
      </c>
      <c r="B125" s="4">
        <v>10</v>
      </c>
      <c r="C125" s="4" t="s">
        <v>7660</v>
      </c>
      <c r="D125" s="9" t="s">
        <v>493</v>
      </c>
      <c r="E125" s="9">
        <v>1509</v>
      </c>
      <c r="F125" s="9" t="s">
        <v>494</v>
      </c>
      <c r="G125" s="9" t="str">
        <f>CONCATENATE(-1*AF125," W, ",AE125," N, Elev. ",AG125," m")</f>
        <v>118.6905556 W, 50.25333333 N, Elev. 495 m</v>
      </c>
      <c r="H125" s="4" t="s">
        <v>426</v>
      </c>
      <c r="I125" s="9" t="s">
        <v>427</v>
      </c>
      <c r="J125" s="9">
        <v>39555</v>
      </c>
      <c r="K125" s="9"/>
      <c r="L125" s="9"/>
      <c r="M125" s="9"/>
      <c r="N125" s="9"/>
      <c r="O125" s="9"/>
      <c r="P125" s="9"/>
      <c r="Q125" s="9"/>
      <c r="R125" s="9"/>
      <c r="S125" s="9"/>
      <c r="T125" s="9"/>
      <c r="U125" s="9"/>
      <c r="V125" s="9"/>
      <c r="W125" s="9"/>
      <c r="X125" s="9"/>
      <c r="Y125" s="9"/>
      <c r="Z125" s="9"/>
      <c r="AA125" s="9"/>
      <c r="AB125" s="9"/>
      <c r="AC125" s="9"/>
      <c r="AD125" s="9"/>
      <c r="AE125" s="9">
        <v>50.253333329999997</v>
      </c>
      <c r="AF125" s="9">
        <v>-118.6905556</v>
      </c>
      <c r="AG125" s="9">
        <v>495</v>
      </c>
      <c r="AH125" s="9"/>
      <c r="AI125" s="9"/>
      <c r="AJ125" s="9"/>
      <c r="AK125" s="9"/>
      <c r="AL125" s="9"/>
      <c r="AM125" s="9"/>
      <c r="AN125" s="9"/>
      <c r="AO125" s="9"/>
      <c r="AP125" s="9"/>
      <c r="AQ125" s="9"/>
      <c r="AR125" s="9"/>
      <c r="AS125" s="9"/>
      <c r="AT125" s="9"/>
      <c r="AU125" s="9"/>
      <c r="AV125" s="9"/>
      <c r="AW125" s="9"/>
      <c r="AX125" s="9"/>
      <c r="AY125" s="9"/>
      <c r="AZ125" s="9"/>
      <c r="BA125" s="9"/>
      <c r="BB125" s="9"/>
      <c r="BC125" s="9"/>
      <c r="BD125" s="9"/>
      <c r="BE125" s="9"/>
      <c r="BF125" s="9"/>
      <c r="BG125" s="9"/>
      <c r="BH125" s="9"/>
      <c r="BI125" s="9"/>
      <c r="BJ125" s="9"/>
      <c r="BK125" s="9"/>
      <c r="BL125" s="9"/>
      <c r="BM125" s="9"/>
      <c r="BN125" s="9"/>
      <c r="BO125" s="9"/>
      <c r="BP125" s="9"/>
      <c r="BQ125" s="9"/>
      <c r="BR125" s="9"/>
      <c r="BS125" s="9"/>
      <c r="BT125" s="9"/>
    </row>
    <row r="126" spans="1:72" ht="14.25" customHeight="1" x14ac:dyDescent="0.2">
      <c r="A126" s="5" t="s">
        <v>495</v>
      </c>
      <c r="B126" s="4">
        <v>10</v>
      </c>
      <c r="C126" s="10" t="s">
        <v>139</v>
      </c>
      <c r="D126" s="10" t="s">
        <v>496</v>
      </c>
      <c r="E126" s="8"/>
      <c r="F126" s="10" t="s">
        <v>497</v>
      </c>
      <c r="G126" s="8" t="str">
        <f>CONCATENATE("-&gt; ",-1*AF126," W, ",AE126," N, Elev. ",AG126," m")</f>
        <v>-&gt; 118.6905556 W, 50.25333333 N, Elev. 495 m</v>
      </c>
      <c r="I126" s="9"/>
      <c r="J126" s="9"/>
      <c r="K126" s="9"/>
      <c r="L126" s="9"/>
      <c r="M126" s="11">
        <v>50.253333329999997</v>
      </c>
      <c r="N126" s="11">
        <v>-118.6905556</v>
      </c>
      <c r="O126" s="11" t="s">
        <v>142</v>
      </c>
      <c r="P126" s="11" t="s">
        <v>498</v>
      </c>
      <c r="Q126" s="12">
        <v>1</v>
      </c>
      <c r="R126" s="11" t="s">
        <v>499</v>
      </c>
      <c r="S126" s="11" t="s">
        <v>145</v>
      </c>
      <c r="T126" s="11">
        <v>495</v>
      </c>
      <c r="U126" s="9"/>
      <c r="V126" s="9"/>
      <c r="W126" s="9"/>
      <c r="X126" s="9"/>
      <c r="Y126" s="9"/>
      <c r="Z126" s="9"/>
      <c r="AA126" s="9"/>
      <c r="AB126" s="9"/>
      <c r="AC126" s="9"/>
      <c r="AD126" s="9"/>
      <c r="AE126" s="8">
        <v>50.253333329999997</v>
      </c>
      <c r="AF126" s="8">
        <v>-118.6905556</v>
      </c>
      <c r="AG126" s="8">
        <v>495</v>
      </c>
      <c r="AH126" s="9"/>
      <c r="AI126" s="9"/>
      <c r="AJ126" s="9"/>
      <c r="AK126" s="9"/>
      <c r="AL126" s="9"/>
      <c r="AM126" s="9"/>
      <c r="AN126" s="9"/>
      <c r="AO126" s="9"/>
      <c r="AP126" s="9"/>
      <c r="AQ126" s="9"/>
      <c r="AR126" s="9"/>
      <c r="AS126" s="9"/>
      <c r="AT126" s="9"/>
      <c r="AU126" s="9"/>
      <c r="AV126" s="9"/>
      <c r="AW126" s="9"/>
      <c r="AX126" s="9"/>
      <c r="AY126" s="9"/>
      <c r="AZ126" s="9"/>
      <c r="BA126" s="9"/>
      <c r="BB126" s="9"/>
      <c r="BC126" s="9"/>
      <c r="BD126" s="9"/>
      <c r="BE126" s="9"/>
      <c r="BF126" s="9"/>
      <c r="BG126" s="9"/>
      <c r="BH126" s="9"/>
      <c r="BI126" s="9"/>
      <c r="BJ126" s="9"/>
      <c r="BK126" s="9"/>
      <c r="BL126" s="9"/>
      <c r="BM126" s="9"/>
      <c r="BN126" s="9"/>
      <c r="BO126" s="9"/>
      <c r="BP126" s="9"/>
      <c r="BQ126" s="9"/>
      <c r="BR126" s="9"/>
      <c r="BS126" s="9"/>
      <c r="BT126" s="9"/>
    </row>
    <row r="127" spans="1:72" ht="14.25" customHeight="1" x14ac:dyDescent="0.2">
      <c r="A127" s="5" t="s">
        <v>500</v>
      </c>
      <c r="B127" s="4">
        <v>10</v>
      </c>
      <c r="C127" s="4" t="s">
        <v>7660</v>
      </c>
      <c r="D127" s="9" t="s">
        <v>501</v>
      </c>
      <c r="E127" s="9">
        <v>1510</v>
      </c>
      <c r="F127" s="9" t="s">
        <v>502</v>
      </c>
      <c r="G127" s="9" t="str">
        <f>CONCATENATE(-1*AF127," W, ",AE127," N, Elev. ",AG127," m")</f>
        <v>121.2794667 W, 50.7448 N, Elev. 446 m</v>
      </c>
      <c r="H127" s="4" t="s">
        <v>426</v>
      </c>
      <c r="I127" s="9" t="s">
        <v>427</v>
      </c>
      <c r="J127" s="9">
        <v>38982</v>
      </c>
      <c r="K127" s="9"/>
      <c r="L127" s="9"/>
      <c r="M127" s="9"/>
      <c r="N127" s="9"/>
      <c r="O127" s="9"/>
      <c r="P127" s="9"/>
      <c r="Q127" s="9"/>
      <c r="R127" s="9"/>
      <c r="S127" s="9"/>
      <c r="T127" s="9"/>
      <c r="U127" s="9"/>
      <c r="V127" s="9"/>
      <c r="W127" s="9"/>
      <c r="X127" s="9"/>
      <c r="Y127" s="9"/>
      <c r="Z127" s="9"/>
      <c r="AA127" s="9"/>
      <c r="AB127" s="9"/>
      <c r="AC127" s="9"/>
      <c r="AD127" s="9"/>
      <c r="AE127" s="9">
        <v>50.744799999999998</v>
      </c>
      <c r="AF127" s="9">
        <v>-121.2794667</v>
      </c>
      <c r="AG127" s="9">
        <v>446</v>
      </c>
      <c r="AH127" s="9"/>
      <c r="AI127" s="9"/>
      <c r="AJ127" s="9"/>
      <c r="AK127" s="9"/>
      <c r="AL127" s="9"/>
      <c r="AM127" s="9"/>
      <c r="AN127" s="9"/>
      <c r="AO127" s="9"/>
      <c r="AP127" s="9"/>
      <c r="AQ127" s="9"/>
      <c r="AR127" s="9"/>
      <c r="AS127" s="9"/>
      <c r="AT127" s="9"/>
      <c r="AU127" s="9"/>
      <c r="AV127" s="9"/>
      <c r="AW127" s="9"/>
      <c r="AX127" s="9"/>
      <c r="AY127" s="9"/>
      <c r="AZ127" s="9"/>
      <c r="BA127" s="9"/>
      <c r="BB127" s="9"/>
      <c r="BC127" s="9"/>
      <c r="BD127" s="9"/>
      <c r="BE127" s="9"/>
      <c r="BF127" s="9"/>
      <c r="BG127" s="9"/>
      <c r="BH127" s="9"/>
      <c r="BI127" s="9"/>
      <c r="BJ127" s="9"/>
      <c r="BK127" s="9"/>
      <c r="BL127" s="9"/>
      <c r="BM127" s="9"/>
      <c r="BN127" s="9"/>
      <c r="BO127" s="9"/>
      <c r="BP127" s="9"/>
      <c r="BQ127" s="9"/>
      <c r="BR127" s="9"/>
      <c r="BS127" s="9"/>
      <c r="BT127" s="9"/>
    </row>
    <row r="128" spans="1:72" ht="14.25" customHeight="1" x14ac:dyDescent="0.2">
      <c r="A128" s="5" t="s">
        <v>503</v>
      </c>
      <c r="B128" s="4">
        <v>10</v>
      </c>
      <c r="C128" s="10" t="s">
        <v>139</v>
      </c>
      <c r="D128" s="10" t="s">
        <v>504</v>
      </c>
      <c r="E128" s="8"/>
      <c r="F128" s="10" t="s">
        <v>505</v>
      </c>
      <c r="G128" s="8" t="str">
        <f>CONCATENATE("-&gt; ",-1*AF128," W, ",AE128," N, Elev. ",AG128," m")</f>
        <v>-&gt; 121.2794444 W, 50.74472222 N, Elev. 446 m</v>
      </c>
      <c r="I128" s="9"/>
      <c r="J128" s="9"/>
      <c r="K128" s="9"/>
      <c r="L128" s="9"/>
      <c r="M128" s="11">
        <v>50.74472222</v>
      </c>
      <c r="N128" s="11">
        <v>-121.2794444</v>
      </c>
      <c r="O128" s="11" t="s">
        <v>142</v>
      </c>
      <c r="P128" s="11" t="s">
        <v>506</v>
      </c>
      <c r="Q128" s="12">
        <v>1</v>
      </c>
      <c r="R128" s="11" t="s">
        <v>502</v>
      </c>
      <c r="S128" s="11" t="s">
        <v>145</v>
      </c>
      <c r="T128" s="11">
        <v>446</v>
      </c>
      <c r="U128" s="9"/>
      <c r="V128" s="9"/>
      <c r="W128" s="9"/>
      <c r="X128" s="9"/>
      <c r="Y128" s="9"/>
      <c r="Z128" s="9"/>
      <c r="AA128" s="9"/>
      <c r="AB128" s="9"/>
      <c r="AC128" s="9"/>
      <c r="AD128" s="9"/>
      <c r="AE128" s="8">
        <v>50.74472222</v>
      </c>
      <c r="AF128" s="8">
        <v>-121.2794444</v>
      </c>
      <c r="AG128" s="8">
        <v>446</v>
      </c>
      <c r="AH128" s="9"/>
      <c r="AI128" s="9"/>
      <c r="AJ128" s="9"/>
      <c r="AK128" s="9"/>
      <c r="AL128" s="9"/>
      <c r="AM128" s="9"/>
      <c r="AN128" s="9"/>
      <c r="AO128" s="9"/>
      <c r="AP128" s="9"/>
      <c r="AQ128" s="9"/>
      <c r="AR128" s="9"/>
      <c r="AS128" s="9"/>
      <c r="AT128" s="9"/>
      <c r="AU128" s="9"/>
      <c r="AV128" s="9"/>
      <c r="AW128" s="9"/>
      <c r="AX128" s="9"/>
      <c r="AY128" s="9"/>
      <c r="AZ128" s="9"/>
      <c r="BA128" s="9"/>
      <c r="BB128" s="9"/>
      <c r="BC128" s="9"/>
      <c r="BD128" s="9"/>
      <c r="BE128" s="9"/>
      <c r="BF128" s="9"/>
      <c r="BG128" s="9"/>
      <c r="BH128" s="9"/>
      <c r="BI128" s="9"/>
      <c r="BJ128" s="9"/>
      <c r="BK128" s="9"/>
      <c r="BL128" s="9"/>
      <c r="BM128" s="9"/>
      <c r="BN128" s="9"/>
      <c r="BO128" s="9"/>
      <c r="BP128" s="9"/>
      <c r="BQ128" s="9"/>
      <c r="BR128" s="9"/>
      <c r="BS128" s="9"/>
      <c r="BT128" s="9"/>
    </row>
    <row r="129" spans="1:72" ht="14.25" customHeight="1" x14ac:dyDescent="0.2">
      <c r="A129" s="5" t="s">
        <v>507</v>
      </c>
      <c r="B129" s="4">
        <v>10</v>
      </c>
      <c r="C129" s="4" t="s">
        <v>7660</v>
      </c>
      <c r="D129" s="9" t="s">
        <v>508</v>
      </c>
      <c r="E129" s="9">
        <v>1511</v>
      </c>
      <c r="F129" s="9" t="s">
        <v>509</v>
      </c>
      <c r="G129" s="9" t="str">
        <f>CONCATENATE(-1*AF129," W, ",AE129," N, Elev. ",AG129," m")</f>
        <v>119.7084833 W, 50.8039 N, Elev. 355 m</v>
      </c>
      <c r="H129" s="4" t="s">
        <v>426</v>
      </c>
      <c r="I129" s="9" t="s">
        <v>427</v>
      </c>
      <c r="J129" s="9">
        <v>38960</v>
      </c>
      <c r="K129" s="9"/>
      <c r="L129" s="9"/>
      <c r="M129" s="9"/>
      <c r="N129" s="9"/>
      <c r="O129" s="9"/>
      <c r="P129" s="9"/>
      <c r="Q129" s="9"/>
      <c r="R129" s="9"/>
      <c r="S129" s="9"/>
      <c r="T129" s="9"/>
      <c r="U129" s="9"/>
      <c r="V129" s="9"/>
      <c r="W129" s="9"/>
      <c r="X129" s="9"/>
      <c r="Y129" s="9"/>
      <c r="Z129" s="9"/>
      <c r="AA129" s="9"/>
      <c r="AB129" s="9"/>
      <c r="AC129" s="9"/>
      <c r="AD129" s="9"/>
      <c r="AE129" s="9">
        <v>50.803899999999999</v>
      </c>
      <c r="AF129" s="9">
        <v>-119.7084833</v>
      </c>
      <c r="AG129" s="9">
        <v>355</v>
      </c>
      <c r="AH129" s="9"/>
      <c r="AI129" s="9"/>
      <c r="AJ129" s="9"/>
      <c r="AK129" s="9"/>
      <c r="AL129" s="9"/>
      <c r="AM129" s="9"/>
      <c r="AN129" s="9"/>
      <c r="AO129" s="9"/>
      <c r="AP129" s="9"/>
      <c r="AQ129" s="9"/>
      <c r="AR129" s="9"/>
      <c r="AS129" s="9"/>
      <c r="AT129" s="9"/>
      <c r="AU129" s="9"/>
      <c r="AV129" s="9"/>
      <c r="AW129" s="9"/>
      <c r="AX129" s="9"/>
      <c r="AY129" s="9"/>
      <c r="AZ129" s="9"/>
      <c r="BA129" s="9"/>
      <c r="BB129" s="9"/>
      <c r="BC129" s="9"/>
      <c r="BD129" s="9"/>
      <c r="BE129" s="9"/>
      <c r="BF129" s="9"/>
      <c r="BG129" s="9"/>
      <c r="BH129" s="9"/>
      <c r="BI129" s="9"/>
      <c r="BJ129" s="9"/>
      <c r="BK129" s="9"/>
      <c r="BL129" s="9"/>
      <c r="BM129" s="9"/>
      <c r="BN129" s="9"/>
      <c r="BO129" s="9"/>
      <c r="BP129" s="9"/>
      <c r="BQ129" s="9"/>
      <c r="BR129" s="9"/>
      <c r="BS129" s="9"/>
      <c r="BT129" s="9"/>
    </row>
    <row r="130" spans="1:72" ht="14.25" customHeight="1" x14ac:dyDescent="0.2">
      <c r="A130" s="5" t="s">
        <v>510</v>
      </c>
      <c r="B130" s="4">
        <v>10</v>
      </c>
      <c r="C130" s="10" t="s">
        <v>139</v>
      </c>
      <c r="D130" s="10" t="s">
        <v>511</v>
      </c>
      <c r="E130" s="8"/>
      <c r="F130" s="10" t="s">
        <v>512</v>
      </c>
      <c r="G130" s="8" t="str">
        <f>CONCATENATE("-&gt; ",-1*AF130," W, ",AE130," N, Elev. ",AG130," m")</f>
        <v>-&gt; 119.7083333 W, 50.80388889 N, Elev. 355 m</v>
      </c>
      <c r="I130" s="9"/>
      <c r="J130" s="9"/>
      <c r="K130" s="9"/>
      <c r="L130" s="9"/>
      <c r="M130" s="11">
        <v>50.803888890000003</v>
      </c>
      <c r="N130" s="11">
        <v>-119.70833330000001</v>
      </c>
      <c r="O130" s="11" t="s">
        <v>142</v>
      </c>
      <c r="P130" s="11" t="s">
        <v>513</v>
      </c>
      <c r="Q130" s="12">
        <v>1</v>
      </c>
      <c r="R130" s="11" t="s">
        <v>509</v>
      </c>
      <c r="S130" s="11" t="s">
        <v>145</v>
      </c>
      <c r="T130" s="11">
        <v>355</v>
      </c>
      <c r="U130" s="9"/>
      <c r="V130" s="9"/>
      <c r="W130" s="9"/>
      <c r="X130" s="9"/>
      <c r="Y130" s="9"/>
      <c r="Z130" s="9"/>
      <c r="AA130" s="9"/>
      <c r="AB130" s="9"/>
      <c r="AC130" s="9"/>
      <c r="AD130" s="9"/>
      <c r="AE130" s="8">
        <v>50.803888890000003</v>
      </c>
      <c r="AF130" s="8">
        <v>-119.70833330000001</v>
      </c>
      <c r="AG130" s="8">
        <v>355</v>
      </c>
      <c r="AH130" s="9"/>
      <c r="AI130" s="9"/>
      <c r="AJ130" s="9"/>
      <c r="AK130" s="9"/>
      <c r="AL130" s="9"/>
      <c r="AM130" s="9"/>
      <c r="AN130" s="9"/>
      <c r="AO130" s="9"/>
      <c r="AP130" s="9"/>
      <c r="AQ130" s="9"/>
      <c r="AR130" s="9"/>
      <c r="AS130" s="9"/>
      <c r="AT130" s="9"/>
      <c r="AU130" s="9"/>
      <c r="AV130" s="9"/>
      <c r="AW130" s="9"/>
      <c r="AX130" s="9"/>
      <c r="AY130" s="9"/>
      <c r="AZ130" s="9"/>
      <c r="BA130" s="9"/>
      <c r="BB130" s="9"/>
      <c r="BC130" s="9"/>
      <c r="BD130" s="9"/>
      <c r="BE130" s="9"/>
      <c r="BF130" s="9"/>
      <c r="BG130" s="9"/>
      <c r="BH130" s="9"/>
      <c r="BI130" s="9"/>
      <c r="BJ130" s="9"/>
      <c r="BK130" s="9"/>
      <c r="BL130" s="9"/>
      <c r="BM130" s="9"/>
      <c r="BN130" s="9"/>
      <c r="BO130" s="9"/>
      <c r="BP130" s="9"/>
      <c r="BQ130" s="9"/>
      <c r="BR130" s="9"/>
      <c r="BS130" s="9"/>
      <c r="BT130" s="9"/>
    </row>
    <row r="131" spans="1:72" ht="14.25" customHeight="1" x14ac:dyDescent="0.2">
      <c r="A131" s="5" t="s">
        <v>514</v>
      </c>
      <c r="B131" s="4">
        <v>10</v>
      </c>
      <c r="C131" s="4" t="s">
        <v>7660</v>
      </c>
      <c r="D131" s="9" t="s">
        <v>515</v>
      </c>
      <c r="E131" s="9">
        <v>1512</v>
      </c>
      <c r="F131" s="9" t="s">
        <v>516</v>
      </c>
      <c r="G131" s="9" t="str">
        <f>CONCATENATE(-1*AF131," W, ",AE131," N, Elev. ",AG131," m")</f>
        <v>120.8911667 W, 50.01166667 N, Elev. 718 m</v>
      </c>
      <c r="H131" s="4" t="s">
        <v>426</v>
      </c>
      <c r="I131" s="9" t="s">
        <v>427</v>
      </c>
      <c r="J131" s="9">
        <v>39792</v>
      </c>
      <c r="K131" s="9"/>
      <c r="L131" s="9"/>
      <c r="M131" s="9"/>
      <c r="N131" s="9"/>
      <c r="O131" s="9"/>
      <c r="P131" s="9"/>
      <c r="Q131" s="9"/>
      <c r="R131" s="9"/>
      <c r="S131" s="9"/>
      <c r="T131" s="9"/>
      <c r="U131" s="9"/>
      <c r="V131" s="9"/>
      <c r="W131" s="9"/>
      <c r="X131" s="9"/>
      <c r="Y131" s="9"/>
      <c r="Z131" s="9"/>
      <c r="AA131" s="9"/>
      <c r="AB131" s="9"/>
      <c r="AC131" s="9"/>
      <c r="AD131" s="9"/>
      <c r="AE131" s="9">
        <v>50.011666669999997</v>
      </c>
      <c r="AF131" s="9">
        <v>-120.8911667</v>
      </c>
      <c r="AG131" s="9">
        <v>718</v>
      </c>
      <c r="AH131" s="9"/>
      <c r="AI131" s="9"/>
      <c r="AJ131" s="9"/>
      <c r="AK131" s="9"/>
      <c r="AL131" s="9"/>
      <c r="AM131" s="9"/>
      <c r="AN131" s="9"/>
      <c r="AO131" s="9"/>
      <c r="AP131" s="9"/>
      <c r="AQ131" s="9"/>
      <c r="AR131" s="9"/>
      <c r="AS131" s="9"/>
      <c r="AT131" s="9"/>
      <c r="AU131" s="9"/>
      <c r="AV131" s="9"/>
      <c r="AW131" s="9"/>
      <c r="AX131" s="9"/>
      <c r="AY131" s="9"/>
      <c r="AZ131" s="9"/>
      <c r="BA131" s="9"/>
      <c r="BB131" s="9"/>
      <c r="BC131" s="9"/>
      <c r="BD131" s="9"/>
      <c r="BE131" s="9"/>
      <c r="BF131" s="9"/>
      <c r="BG131" s="9"/>
      <c r="BH131" s="9"/>
      <c r="BI131" s="9"/>
      <c r="BJ131" s="9"/>
      <c r="BK131" s="9"/>
      <c r="BL131" s="9"/>
      <c r="BM131" s="9"/>
      <c r="BN131" s="9"/>
      <c r="BO131" s="9"/>
      <c r="BP131" s="9"/>
      <c r="BQ131" s="9"/>
      <c r="BR131" s="9"/>
      <c r="BS131" s="9"/>
      <c r="BT131" s="9"/>
    </row>
    <row r="132" spans="1:72" ht="14.25" customHeight="1" x14ac:dyDescent="0.2">
      <c r="A132" s="5" t="s">
        <v>517</v>
      </c>
      <c r="B132" s="4">
        <v>10</v>
      </c>
      <c r="C132" s="10" t="s">
        <v>139</v>
      </c>
      <c r="D132" s="10" t="s">
        <v>518</v>
      </c>
      <c r="E132" s="8"/>
      <c r="F132" s="10" t="s">
        <v>519</v>
      </c>
      <c r="G132" s="8" t="str">
        <f>CONCATENATE("-&gt; ",-1*AF132," W, ",AE132," N, Elev. ",AG132," m")</f>
        <v>-&gt; 120.8911111 W, 50.01166667 N, Elev. 718 m</v>
      </c>
      <c r="I132" s="9"/>
      <c r="J132" s="9"/>
      <c r="K132" s="17"/>
      <c r="L132" s="17"/>
      <c r="M132" s="11">
        <v>50.011666669999997</v>
      </c>
      <c r="N132" s="11">
        <v>-120.8911111</v>
      </c>
      <c r="O132" s="11" t="s">
        <v>142</v>
      </c>
      <c r="P132" s="11" t="s">
        <v>520</v>
      </c>
      <c r="Q132" s="12">
        <v>2</v>
      </c>
      <c r="R132" s="11" t="s">
        <v>516</v>
      </c>
      <c r="S132" s="11" t="s">
        <v>145</v>
      </c>
      <c r="T132" s="11">
        <v>718</v>
      </c>
      <c r="U132" s="17"/>
      <c r="V132" s="17"/>
      <c r="W132" s="17"/>
      <c r="X132" s="17"/>
      <c r="Y132" s="17"/>
      <c r="Z132" s="17"/>
      <c r="AA132" s="17"/>
      <c r="AB132" s="17"/>
      <c r="AC132" s="17"/>
      <c r="AD132" s="17"/>
      <c r="AE132" s="8">
        <v>50.011666669999997</v>
      </c>
      <c r="AF132" s="8">
        <v>-120.8911111</v>
      </c>
      <c r="AG132" s="8">
        <v>718</v>
      </c>
      <c r="AH132" s="17"/>
      <c r="AI132" s="17"/>
      <c r="AJ132" s="17"/>
      <c r="AK132" s="17"/>
      <c r="AL132" s="17"/>
      <c r="AM132" s="17"/>
      <c r="AN132" s="17"/>
      <c r="AO132" s="17"/>
      <c r="AP132" s="17"/>
      <c r="AQ132" s="17"/>
      <c r="AR132" s="17"/>
      <c r="AS132" s="17"/>
      <c r="AT132" s="17"/>
      <c r="AU132" s="17"/>
      <c r="AV132" s="17"/>
      <c r="AW132" s="17"/>
      <c r="AX132" s="17"/>
      <c r="AY132" s="17"/>
      <c r="AZ132" s="17"/>
      <c r="BA132" s="17"/>
      <c r="BB132" s="17"/>
      <c r="BC132" s="17"/>
      <c r="BD132" s="17"/>
      <c r="BE132" s="17"/>
      <c r="BF132" s="17"/>
      <c r="BG132" s="17"/>
      <c r="BH132" s="17"/>
      <c r="BI132" s="17"/>
      <c r="BJ132" s="17"/>
      <c r="BK132" s="17"/>
      <c r="BL132" s="17"/>
      <c r="BM132" s="17"/>
      <c r="BN132" s="17"/>
      <c r="BO132" s="17"/>
      <c r="BP132" s="17"/>
      <c r="BQ132" s="17"/>
      <c r="BR132" s="17"/>
      <c r="BS132" s="17"/>
      <c r="BT132" s="17"/>
    </row>
    <row r="133" spans="1:72" ht="14.25" customHeight="1" x14ac:dyDescent="0.2">
      <c r="A133" s="5" t="s">
        <v>521</v>
      </c>
      <c r="B133" s="4">
        <v>10</v>
      </c>
      <c r="C133" s="4" t="s">
        <v>7660</v>
      </c>
      <c r="D133" s="9" t="s">
        <v>522</v>
      </c>
      <c r="E133" s="9">
        <v>1513</v>
      </c>
      <c r="F133" s="9" t="s">
        <v>523</v>
      </c>
      <c r="G133" s="9" t="str">
        <f>CONCATENATE(-1*AF133," W, ",AE133," N, Elev. ",AG133," m")</f>
        <v>119.1942667 W, 50.6276 N, Elev. 517 m</v>
      </c>
      <c r="H133" s="4" t="s">
        <v>426</v>
      </c>
      <c r="I133" s="9" t="s">
        <v>427</v>
      </c>
      <c r="J133" s="9">
        <v>38975</v>
      </c>
      <c r="K133" s="9"/>
      <c r="L133" s="9"/>
      <c r="M133" s="9"/>
      <c r="N133" s="9"/>
      <c r="O133" s="9"/>
      <c r="P133" s="9"/>
      <c r="Q133" s="9"/>
      <c r="R133" s="9"/>
      <c r="S133" s="9"/>
      <c r="T133" s="9"/>
      <c r="U133" s="9"/>
      <c r="V133" s="9"/>
      <c r="W133" s="9"/>
      <c r="X133" s="9"/>
      <c r="Y133" s="9"/>
      <c r="Z133" s="9"/>
      <c r="AA133" s="9"/>
      <c r="AB133" s="9"/>
      <c r="AC133" s="9"/>
      <c r="AD133" s="9"/>
      <c r="AE133" s="9">
        <v>50.627600000000001</v>
      </c>
      <c r="AF133" s="9">
        <v>-119.1942667</v>
      </c>
      <c r="AG133" s="9">
        <v>517</v>
      </c>
      <c r="AH133" s="9"/>
      <c r="AI133" s="9"/>
      <c r="AJ133" s="9"/>
      <c r="AK133" s="9"/>
      <c r="AL133" s="9"/>
      <c r="AM133" s="9"/>
      <c r="AN133" s="9"/>
      <c r="AO133" s="9"/>
      <c r="AP133" s="9"/>
      <c r="AQ133" s="9"/>
      <c r="AR133" s="9"/>
      <c r="AS133" s="9"/>
      <c r="AT133" s="9"/>
      <c r="AU133" s="9"/>
      <c r="AV133" s="9"/>
      <c r="AW133" s="9"/>
      <c r="AX133" s="9"/>
      <c r="AY133" s="9"/>
      <c r="AZ133" s="9"/>
      <c r="BA133" s="9"/>
      <c r="BB133" s="9"/>
      <c r="BC133" s="9"/>
      <c r="BD133" s="9"/>
      <c r="BE133" s="9"/>
      <c r="BF133" s="9"/>
      <c r="BG133" s="9"/>
      <c r="BH133" s="9"/>
      <c r="BI133" s="9"/>
      <c r="BJ133" s="9"/>
      <c r="BK133" s="9"/>
      <c r="BL133" s="9"/>
      <c r="BM133" s="9"/>
      <c r="BN133" s="9"/>
      <c r="BO133" s="9"/>
      <c r="BP133" s="9"/>
      <c r="BQ133" s="9"/>
      <c r="BR133" s="9"/>
      <c r="BS133" s="9"/>
      <c r="BT133" s="9"/>
    </row>
    <row r="134" spans="1:72" ht="14.25" customHeight="1" x14ac:dyDescent="0.2">
      <c r="A134" s="5" t="s">
        <v>524</v>
      </c>
      <c r="B134" s="4">
        <v>10</v>
      </c>
      <c r="C134" s="10" t="s">
        <v>139</v>
      </c>
      <c r="D134" s="10" t="s">
        <v>525</v>
      </c>
      <c r="E134" s="8"/>
      <c r="F134" s="10" t="s">
        <v>526</v>
      </c>
      <c r="G134" s="8" t="str">
        <f>CONCATENATE("-&gt; ",-1*AF134," W, ",AE134," N, Elev. ",AG134," m")</f>
        <v>-&gt; 119.1941667 W, 50.6275 N, Elev. 517 m</v>
      </c>
      <c r="I134" s="9"/>
      <c r="J134" s="9"/>
      <c r="K134" s="9"/>
      <c r="L134" s="9"/>
      <c r="M134" s="11">
        <v>50.627499999999998</v>
      </c>
      <c r="N134" s="11">
        <v>-119.1941667</v>
      </c>
      <c r="O134" s="11" t="s">
        <v>142</v>
      </c>
      <c r="P134" s="11" t="s">
        <v>527</v>
      </c>
      <c r="Q134" s="12">
        <v>1</v>
      </c>
      <c r="R134" s="11" t="s">
        <v>523</v>
      </c>
      <c r="S134" s="11" t="s">
        <v>145</v>
      </c>
      <c r="T134" s="11">
        <v>517</v>
      </c>
      <c r="U134" s="9"/>
      <c r="V134" s="9"/>
      <c r="W134" s="9"/>
      <c r="X134" s="9"/>
      <c r="Y134" s="9"/>
      <c r="Z134" s="9"/>
      <c r="AA134" s="9"/>
      <c r="AB134" s="9"/>
      <c r="AC134" s="9"/>
      <c r="AD134" s="9"/>
      <c r="AE134" s="8">
        <v>50.627499999999998</v>
      </c>
      <c r="AF134" s="8">
        <v>-119.1941667</v>
      </c>
      <c r="AG134" s="8">
        <v>517</v>
      </c>
      <c r="AH134" s="9"/>
      <c r="AI134" s="9"/>
      <c r="AJ134" s="9"/>
      <c r="AK134" s="9"/>
      <c r="AL134" s="9"/>
      <c r="AM134" s="9"/>
      <c r="AN134" s="9"/>
      <c r="AO134" s="9"/>
      <c r="AP134" s="9"/>
      <c r="AQ134" s="9"/>
      <c r="AR134" s="9"/>
      <c r="AS134" s="9"/>
      <c r="AT134" s="9"/>
      <c r="AU134" s="9"/>
      <c r="AV134" s="9"/>
      <c r="AW134" s="9"/>
      <c r="AX134" s="9"/>
      <c r="AY134" s="9"/>
      <c r="AZ134" s="9"/>
      <c r="BA134" s="9"/>
      <c r="BB134" s="9"/>
      <c r="BC134" s="9"/>
      <c r="BD134" s="9"/>
      <c r="BE134" s="9"/>
      <c r="BF134" s="9"/>
      <c r="BG134" s="9"/>
      <c r="BH134" s="9"/>
      <c r="BI134" s="9"/>
      <c r="BJ134" s="9"/>
      <c r="BK134" s="9"/>
      <c r="BL134" s="9"/>
      <c r="BM134" s="9"/>
      <c r="BN134" s="9"/>
      <c r="BO134" s="9"/>
      <c r="BP134" s="9"/>
      <c r="BQ134" s="9"/>
      <c r="BR134" s="9"/>
      <c r="BS134" s="9"/>
      <c r="BT134" s="9"/>
    </row>
    <row r="135" spans="1:72" ht="14.25" customHeight="1" x14ac:dyDescent="0.2">
      <c r="A135" s="5" t="s">
        <v>528</v>
      </c>
      <c r="B135" s="4">
        <v>10</v>
      </c>
      <c r="C135" s="4" t="s">
        <v>7660</v>
      </c>
      <c r="D135" s="9" t="s">
        <v>529</v>
      </c>
      <c r="E135" s="9">
        <v>1514</v>
      </c>
      <c r="F135" s="9" t="s">
        <v>530</v>
      </c>
      <c r="G135" s="9" t="str">
        <f>CONCATENATE(-1*AF135," W, ",AE135," N, Elev. ",AG135," m")</f>
        <v>121.86749 W, 50.85193 N, Elev. 450 m</v>
      </c>
      <c r="H135" s="4" t="s">
        <v>426</v>
      </c>
      <c r="I135" s="9" t="s">
        <v>427</v>
      </c>
      <c r="J135" s="9">
        <v>39339</v>
      </c>
      <c r="K135" s="9"/>
      <c r="L135" s="9"/>
      <c r="M135" s="9"/>
      <c r="N135" s="9"/>
      <c r="O135" s="9"/>
      <c r="P135" s="9"/>
      <c r="Q135" s="9"/>
      <c r="R135" s="9"/>
      <c r="S135" s="9"/>
      <c r="T135" s="9"/>
      <c r="U135" s="9"/>
      <c r="V135" s="9"/>
      <c r="W135" s="9"/>
      <c r="X135" s="9"/>
      <c r="Y135" s="9"/>
      <c r="Z135" s="9"/>
      <c r="AA135" s="9"/>
      <c r="AB135" s="9"/>
      <c r="AC135" s="9"/>
      <c r="AD135" s="9"/>
      <c r="AE135" s="9">
        <v>50.851930000000003</v>
      </c>
      <c r="AF135" s="9">
        <v>-121.86749</v>
      </c>
      <c r="AG135" s="9">
        <v>450</v>
      </c>
      <c r="AH135" s="9"/>
      <c r="AI135" s="9"/>
      <c r="AJ135" s="9"/>
      <c r="AK135" s="9"/>
      <c r="AL135" s="9"/>
      <c r="AM135" s="9"/>
      <c r="AN135" s="9"/>
      <c r="AO135" s="9"/>
      <c r="AP135" s="9"/>
      <c r="AQ135" s="9"/>
      <c r="AR135" s="9"/>
      <c r="AS135" s="9"/>
      <c r="AT135" s="9"/>
      <c r="AU135" s="9"/>
      <c r="AV135" s="9"/>
      <c r="AW135" s="9"/>
      <c r="AX135" s="9"/>
      <c r="AY135" s="9"/>
      <c r="AZ135" s="9"/>
      <c r="BA135" s="9"/>
      <c r="BB135" s="9"/>
      <c r="BC135" s="9"/>
      <c r="BD135" s="9"/>
      <c r="BE135" s="9"/>
      <c r="BF135" s="9"/>
      <c r="BG135" s="9"/>
      <c r="BH135" s="9"/>
      <c r="BI135" s="9"/>
      <c r="BJ135" s="9"/>
      <c r="BK135" s="9"/>
      <c r="BL135" s="9"/>
      <c r="BM135" s="9"/>
      <c r="BN135" s="9"/>
      <c r="BO135" s="9"/>
      <c r="BP135" s="9"/>
      <c r="BQ135" s="9"/>
      <c r="BR135" s="9"/>
      <c r="BS135" s="9"/>
      <c r="BT135" s="9"/>
    </row>
    <row r="136" spans="1:72" ht="14.25" customHeight="1" x14ac:dyDescent="0.2">
      <c r="A136" s="5" t="s">
        <v>531</v>
      </c>
      <c r="B136" s="4">
        <v>10</v>
      </c>
      <c r="C136" s="10" t="s">
        <v>139</v>
      </c>
      <c r="D136" s="10" t="s">
        <v>532</v>
      </c>
      <c r="E136" s="8"/>
      <c r="F136" s="10" t="s">
        <v>533</v>
      </c>
      <c r="G136" s="8" t="str">
        <f>CONCATENATE("-&gt; ",-1*AF136," W, ",AE136," N, Elev. ",AG136," m")</f>
        <v>-&gt; 121.8672222 W, 50.85166667 N, Elev. 450 m</v>
      </c>
      <c r="I136" s="9"/>
      <c r="J136" s="9"/>
      <c r="K136" s="9"/>
      <c r="L136" s="9"/>
      <c r="M136" s="11">
        <v>50.85166667</v>
      </c>
      <c r="N136" s="11">
        <v>-121.8672222</v>
      </c>
      <c r="O136" s="11" t="s">
        <v>142</v>
      </c>
      <c r="P136" s="11" t="s">
        <v>534</v>
      </c>
      <c r="Q136" s="12">
        <v>1</v>
      </c>
      <c r="R136" s="11" t="s">
        <v>535</v>
      </c>
      <c r="S136" s="11" t="s">
        <v>145</v>
      </c>
      <c r="T136" s="11">
        <v>450</v>
      </c>
      <c r="U136" s="9"/>
      <c r="V136" s="9"/>
      <c r="W136" s="9"/>
      <c r="X136" s="9"/>
      <c r="Y136" s="9"/>
      <c r="Z136" s="9"/>
      <c r="AA136" s="9"/>
      <c r="AB136" s="9"/>
      <c r="AC136" s="9"/>
      <c r="AD136" s="9"/>
      <c r="AE136" s="8">
        <v>50.85166667</v>
      </c>
      <c r="AF136" s="8">
        <v>-121.8672222</v>
      </c>
      <c r="AG136" s="8">
        <v>450</v>
      </c>
      <c r="AH136" s="9"/>
      <c r="AI136" s="9"/>
      <c r="AJ136" s="9"/>
      <c r="AK136" s="9"/>
      <c r="AL136" s="9"/>
      <c r="AM136" s="9"/>
      <c r="AN136" s="9"/>
      <c r="AO136" s="9"/>
      <c r="AP136" s="9"/>
      <c r="AQ136" s="9"/>
      <c r="AR136" s="9"/>
      <c r="AS136" s="9"/>
      <c r="AT136" s="9"/>
      <c r="AU136" s="9"/>
      <c r="AV136" s="9"/>
      <c r="AW136" s="9"/>
      <c r="AX136" s="9"/>
      <c r="AY136" s="9"/>
      <c r="AZ136" s="9"/>
      <c r="BA136" s="9"/>
      <c r="BB136" s="9"/>
      <c r="BC136" s="9"/>
      <c r="BD136" s="9"/>
      <c r="BE136" s="9"/>
      <c r="BF136" s="9"/>
      <c r="BG136" s="9"/>
      <c r="BH136" s="9"/>
      <c r="BI136" s="9"/>
      <c r="BJ136" s="9"/>
      <c r="BK136" s="9"/>
      <c r="BL136" s="9"/>
      <c r="BM136" s="9"/>
      <c r="BN136" s="9"/>
      <c r="BO136" s="9"/>
      <c r="BP136" s="9"/>
      <c r="BQ136" s="9"/>
      <c r="BR136" s="9"/>
      <c r="BS136" s="9"/>
      <c r="BT136" s="9"/>
    </row>
    <row r="137" spans="1:72" ht="14.25" customHeight="1" x14ac:dyDescent="0.2">
      <c r="A137" s="5" t="s">
        <v>536</v>
      </c>
      <c r="B137" s="4">
        <v>10</v>
      </c>
      <c r="C137" s="4" t="s">
        <v>7660</v>
      </c>
      <c r="D137" s="9" t="s">
        <v>537</v>
      </c>
      <c r="E137" s="9">
        <v>1515</v>
      </c>
      <c r="F137" s="9" t="s">
        <v>538</v>
      </c>
      <c r="G137" s="9" t="str">
        <f>CONCATENATE(-1*AF137," W, ",AE137," N, Elev. ",AG137," m")</f>
        <v>120.0247222 W, 50.20472222 N, Elev. 951.8904 m</v>
      </c>
      <c r="H137" s="4" t="s">
        <v>426</v>
      </c>
      <c r="I137" s="9" t="s">
        <v>427</v>
      </c>
      <c r="J137" s="9">
        <v>38557</v>
      </c>
      <c r="K137" s="9"/>
      <c r="L137" s="9"/>
      <c r="M137" s="9"/>
      <c r="N137" s="9"/>
      <c r="O137" s="9"/>
      <c r="P137" s="9"/>
      <c r="Q137" s="9"/>
      <c r="R137" s="9"/>
      <c r="S137" s="9"/>
      <c r="T137" s="9"/>
      <c r="U137" s="9"/>
      <c r="V137" s="9"/>
      <c r="W137" s="9"/>
      <c r="X137" s="9"/>
      <c r="Y137" s="9"/>
      <c r="Z137" s="9"/>
      <c r="AA137" s="9"/>
      <c r="AB137" s="9"/>
      <c r="AC137" s="9"/>
      <c r="AD137" s="9"/>
      <c r="AE137" s="9">
        <v>50.204722220000001</v>
      </c>
      <c r="AF137" s="9">
        <v>-120.0247222</v>
      </c>
      <c r="AG137" s="9">
        <v>951.8904</v>
      </c>
      <c r="AH137" s="9"/>
      <c r="AI137" s="9"/>
      <c r="AJ137" s="9"/>
      <c r="AK137" s="9"/>
      <c r="AL137" s="9"/>
      <c r="AM137" s="9"/>
      <c r="AN137" s="9"/>
      <c r="AO137" s="9"/>
      <c r="AP137" s="9"/>
      <c r="AQ137" s="9"/>
      <c r="AR137" s="9"/>
      <c r="AS137" s="9"/>
      <c r="AT137" s="9"/>
      <c r="AU137" s="9"/>
      <c r="AV137" s="9"/>
      <c r="AW137" s="9"/>
      <c r="AX137" s="9"/>
      <c r="AY137" s="9"/>
      <c r="AZ137" s="9"/>
      <c r="BA137" s="9"/>
      <c r="BB137" s="9"/>
      <c r="BC137" s="9"/>
      <c r="BD137" s="9"/>
      <c r="BE137" s="9"/>
      <c r="BF137" s="9"/>
      <c r="BG137" s="9"/>
      <c r="BH137" s="9"/>
      <c r="BI137" s="9"/>
      <c r="BJ137" s="9"/>
      <c r="BK137" s="9"/>
      <c r="BL137" s="9"/>
      <c r="BM137" s="9"/>
      <c r="BN137" s="9"/>
      <c r="BO137" s="9"/>
      <c r="BP137" s="9"/>
      <c r="BQ137" s="9"/>
      <c r="BR137" s="9"/>
      <c r="BS137" s="9"/>
      <c r="BT137" s="9"/>
    </row>
    <row r="138" spans="1:72" ht="14.25" customHeight="1" x14ac:dyDescent="0.2">
      <c r="A138" s="5" t="s">
        <v>539</v>
      </c>
      <c r="B138" s="4">
        <v>10</v>
      </c>
      <c r="C138" s="10" t="s">
        <v>139</v>
      </c>
      <c r="D138" s="10" t="s">
        <v>540</v>
      </c>
      <c r="E138" s="8"/>
      <c r="F138" s="10" t="s">
        <v>541</v>
      </c>
      <c r="G138" s="8" t="str">
        <f>CONCATENATE("-&gt; ",-1*AF138," W, ",AE138," N, Elev. ",AG138," m")</f>
        <v>-&gt; 120.0247222 W, 50.20472222 N, Elev. 952 m</v>
      </c>
      <c r="I138" s="9"/>
      <c r="J138" s="9"/>
      <c r="K138" s="9"/>
      <c r="L138" s="9"/>
      <c r="M138" s="11">
        <v>50.204722220000001</v>
      </c>
      <c r="N138" s="11">
        <v>-120.0247222</v>
      </c>
      <c r="O138" s="11" t="s">
        <v>142</v>
      </c>
      <c r="P138" s="11" t="s">
        <v>542</v>
      </c>
      <c r="Q138" s="12">
        <v>2</v>
      </c>
      <c r="R138" s="11" t="s">
        <v>538</v>
      </c>
      <c r="S138" s="11" t="s">
        <v>145</v>
      </c>
      <c r="T138" s="11">
        <v>952</v>
      </c>
      <c r="U138" s="9"/>
      <c r="V138" s="9"/>
      <c r="W138" s="9"/>
      <c r="X138" s="9"/>
      <c r="Y138" s="9"/>
      <c r="Z138" s="9"/>
      <c r="AA138" s="9"/>
      <c r="AB138" s="9"/>
      <c r="AC138" s="9"/>
      <c r="AD138" s="9"/>
      <c r="AE138" s="8">
        <v>50.204722220000001</v>
      </c>
      <c r="AF138" s="8">
        <v>-120.0247222</v>
      </c>
      <c r="AG138" s="8">
        <v>952</v>
      </c>
      <c r="AH138" s="9"/>
      <c r="AI138" s="9"/>
      <c r="AJ138" s="9"/>
      <c r="AK138" s="9"/>
      <c r="AL138" s="9"/>
      <c r="AM138" s="9"/>
      <c r="AN138" s="9"/>
      <c r="AO138" s="9"/>
      <c r="AP138" s="9"/>
      <c r="AQ138" s="9"/>
      <c r="AR138" s="9"/>
      <c r="AS138" s="9"/>
      <c r="AT138" s="9"/>
      <c r="AU138" s="9"/>
      <c r="AV138" s="9"/>
      <c r="AW138" s="9"/>
      <c r="AX138" s="9"/>
      <c r="AY138" s="9"/>
      <c r="AZ138" s="9"/>
      <c r="BA138" s="9"/>
      <c r="BB138" s="9"/>
      <c r="BC138" s="9"/>
      <c r="BD138" s="9"/>
      <c r="BE138" s="9"/>
      <c r="BF138" s="9"/>
      <c r="BG138" s="9"/>
      <c r="BH138" s="9"/>
      <c r="BI138" s="9"/>
      <c r="BJ138" s="9"/>
      <c r="BK138" s="9"/>
      <c r="BL138" s="9"/>
      <c r="BM138" s="9"/>
      <c r="BN138" s="9"/>
      <c r="BO138" s="9"/>
      <c r="BP138" s="9"/>
      <c r="BQ138" s="9"/>
      <c r="BR138" s="9"/>
      <c r="BS138" s="9"/>
      <c r="BT138" s="9"/>
    </row>
    <row r="139" spans="1:72" ht="14.25" customHeight="1" x14ac:dyDescent="0.2">
      <c r="A139" s="5" t="s">
        <v>543</v>
      </c>
      <c r="B139" s="4">
        <v>10</v>
      </c>
      <c r="C139" s="4" t="s">
        <v>7660</v>
      </c>
      <c r="D139" s="9" t="s">
        <v>544</v>
      </c>
      <c r="E139" s="9">
        <v>1517</v>
      </c>
      <c r="F139" s="9" t="s">
        <v>545</v>
      </c>
      <c r="G139" s="9" t="str">
        <f>CONCATENATE(-1*AF139," W, ",AE139," N, Elev. ",AG139," m")</f>
        <v>121.71737 W, 50.48667 N, Elev. 300 m</v>
      </c>
      <c r="H139" s="4" t="s">
        <v>426</v>
      </c>
      <c r="I139" s="9" t="s">
        <v>427</v>
      </c>
      <c r="J139" s="9">
        <v>39339</v>
      </c>
      <c r="K139" s="9"/>
      <c r="L139" s="9"/>
      <c r="M139" s="9"/>
      <c r="N139" s="9"/>
      <c r="O139" s="9"/>
      <c r="P139" s="9"/>
      <c r="Q139" s="9"/>
      <c r="R139" s="9"/>
      <c r="S139" s="9"/>
      <c r="T139" s="9"/>
      <c r="U139" s="9"/>
      <c r="V139" s="9"/>
      <c r="W139" s="9"/>
      <c r="X139" s="9"/>
      <c r="Y139" s="9"/>
      <c r="Z139" s="9"/>
      <c r="AA139" s="9"/>
      <c r="AB139" s="9"/>
      <c r="AC139" s="9"/>
      <c r="AD139" s="9"/>
      <c r="AE139" s="9">
        <v>50.486669999999997</v>
      </c>
      <c r="AF139" s="9">
        <v>-121.71737</v>
      </c>
      <c r="AG139" s="9">
        <v>300</v>
      </c>
      <c r="AH139" s="9"/>
      <c r="AI139" s="9"/>
      <c r="AJ139" s="9"/>
      <c r="AK139" s="9"/>
      <c r="AL139" s="9"/>
      <c r="AM139" s="9"/>
      <c r="AN139" s="9"/>
      <c r="AO139" s="9"/>
      <c r="AP139" s="9"/>
      <c r="AQ139" s="9"/>
      <c r="AR139" s="9"/>
      <c r="AS139" s="9"/>
      <c r="AT139" s="9"/>
      <c r="AU139" s="9"/>
      <c r="AV139" s="9"/>
      <c r="AW139" s="9"/>
      <c r="AX139" s="9"/>
      <c r="AY139" s="9"/>
      <c r="AZ139" s="9"/>
      <c r="BA139" s="9"/>
      <c r="BB139" s="9"/>
      <c r="BC139" s="9"/>
      <c r="BD139" s="9"/>
      <c r="BE139" s="9"/>
      <c r="BF139" s="9"/>
      <c r="BG139" s="9"/>
      <c r="BH139" s="9"/>
      <c r="BI139" s="9"/>
      <c r="BJ139" s="9"/>
      <c r="BK139" s="9"/>
      <c r="BL139" s="9"/>
      <c r="BM139" s="9"/>
      <c r="BN139" s="9"/>
      <c r="BO139" s="9"/>
      <c r="BP139" s="9"/>
      <c r="BQ139" s="9"/>
      <c r="BR139" s="9"/>
      <c r="BS139" s="9"/>
      <c r="BT139" s="9"/>
    </row>
    <row r="140" spans="1:72" ht="14.25" customHeight="1" x14ac:dyDescent="0.2">
      <c r="A140" s="5" t="s">
        <v>546</v>
      </c>
      <c r="B140" s="4">
        <v>10</v>
      </c>
      <c r="C140" s="10" t="s">
        <v>139</v>
      </c>
      <c r="D140" s="10" t="s">
        <v>547</v>
      </c>
      <c r="E140" s="8"/>
      <c r="F140" s="10" t="s">
        <v>548</v>
      </c>
      <c r="G140" s="8" t="str">
        <f>CONCATENATE("-&gt; ",-1*AF140," W, ",AE140," N, Elev. ",AG140," m")</f>
        <v>-&gt; 121.7172222 W, 50.48666667 N, Elev. 300 m</v>
      </c>
      <c r="I140" s="9"/>
      <c r="J140" s="9"/>
      <c r="K140" s="9"/>
      <c r="L140" s="9"/>
      <c r="M140" s="11">
        <v>50.486666669999998</v>
      </c>
      <c r="N140" s="11">
        <v>-121.71722219999999</v>
      </c>
      <c r="O140" s="11" t="s">
        <v>142</v>
      </c>
      <c r="P140" s="11" t="s">
        <v>549</v>
      </c>
      <c r="Q140" s="12">
        <v>1</v>
      </c>
      <c r="R140" s="11" t="s">
        <v>550</v>
      </c>
      <c r="S140" s="11" t="s">
        <v>145</v>
      </c>
      <c r="T140" s="11">
        <v>300</v>
      </c>
      <c r="U140" s="9"/>
      <c r="V140" s="9"/>
      <c r="W140" s="9"/>
      <c r="X140" s="9"/>
      <c r="Y140" s="9"/>
      <c r="Z140" s="9"/>
      <c r="AA140" s="9"/>
      <c r="AB140" s="9"/>
      <c r="AC140" s="9"/>
      <c r="AD140" s="9"/>
      <c r="AE140" s="8">
        <v>50.486666669999998</v>
      </c>
      <c r="AF140" s="8">
        <v>-121.71722219999999</v>
      </c>
      <c r="AG140" s="8">
        <v>300</v>
      </c>
      <c r="AH140" s="9"/>
      <c r="AI140" s="9"/>
      <c r="AJ140" s="9"/>
      <c r="AK140" s="9"/>
      <c r="AL140" s="9"/>
      <c r="AM140" s="9"/>
      <c r="AN140" s="9"/>
      <c r="AO140" s="9"/>
      <c r="AP140" s="9"/>
      <c r="AQ140" s="9"/>
      <c r="AR140" s="9"/>
      <c r="AS140" s="9"/>
      <c r="AT140" s="9"/>
      <c r="AU140" s="9"/>
      <c r="AV140" s="9"/>
      <c r="AW140" s="9"/>
      <c r="AX140" s="9"/>
      <c r="AY140" s="9"/>
      <c r="AZ140" s="9"/>
      <c r="BA140" s="9"/>
      <c r="BB140" s="9"/>
      <c r="BC140" s="9"/>
      <c r="BD140" s="9"/>
      <c r="BE140" s="9"/>
      <c r="BF140" s="9"/>
      <c r="BG140" s="9"/>
      <c r="BH140" s="9"/>
      <c r="BI140" s="9"/>
      <c r="BJ140" s="9"/>
      <c r="BK140" s="9"/>
      <c r="BL140" s="9"/>
      <c r="BM140" s="9"/>
      <c r="BN140" s="9"/>
      <c r="BO140" s="9"/>
      <c r="BP140" s="9"/>
      <c r="BQ140" s="9"/>
      <c r="BR140" s="9"/>
      <c r="BS140" s="9"/>
      <c r="BT140" s="9"/>
    </row>
    <row r="141" spans="1:72" ht="14.25" customHeight="1" x14ac:dyDescent="0.2">
      <c r="A141" s="5" t="s">
        <v>551</v>
      </c>
      <c r="B141" s="4">
        <v>10</v>
      </c>
      <c r="C141" s="4" t="s">
        <v>7660</v>
      </c>
      <c r="D141" s="9" t="s">
        <v>552</v>
      </c>
      <c r="E141" s="9">
        <v>1518</v>
      </c>
      <c r="F141" s="9" t="s">
        <v>553</v>
      </c>
      <c r="G141" s="9" t="str">
        <f>CONCATENATE(-1*AF141," W, ",AE141," N, Elev. ",AG141," m")</f>
        <v>120.8913889 W, 50.89444444 N, Elev. 728 m</v>
      </c>
      <c r="H141" s="4" t="s">
        <v>426</v>
      </c>
      <c r="I141" s="9" t="s">
        <v>427</v>
      </c>
      <c r="J141" s="9">
        <v>39924</v>
      </c>
      <c r="K141" s="9"/>
      <c r="L141" s="9"/>
      <c r="M141" s="9"/>
      <c r="N141" s="9"/>
      <c r="O141" s="9"/>
      <c r="P141" s="9"/>
      <c r="Q141" s="9"/>
      <c r="R141" s="9"/>
      <c r="S141" s="9"/>
      <c r="T141" s="9"/>
      <c r="U141" s="9"/>
      <c r="V141" s="9"/>
      <c r="W141" s="9"/>
      <c r="X141" s="9"/>
      <c r="Y141" s="9"/>
      <c r="Z141" s="9"/>
      <c r="AA141" s="9"/>
      <c r="AB141" s="9"/>
      <c r="AC141" s="9"/>
      <c r="AD141" s="9"/>
      <c r="AE141" s="9">
        <v>50.894444440000001</v>
      </c>
      <c r="AF141" s="9">
        <v>-120.8913889</v>
      </c>
      <c r="AG141" s="9">
        <v>728</v>
      </c>
      <c r="AH141" s="9"/>
      <c r="AI141" s="9"/>
      <c r="AJ141" s="9"/>
      <c r="AK141" s="9"/>
      <c r="AL141" s="9"/>
      <c r="AM141" s="9"/>
      <c r="AN141" s="9"/>
      <c r="AO141" s="9"/>
      <c r="AP141" s="9"/>
      <c r="AQ141" s="9"/>
      <c r="AR141" s="9"/>
      <c r="AS141" s="9"/>
      <c r="AT141" s="9"/>
      <c r="AU141" s="9"/>
      <c r="AV141" s="9"/>
      <c r="AW141" s="9"/>
      <c r="AX141" s="9"/>
      <c r="AY141" s="9"/>
      <c r="AZ141" s="9"/>
      <c r="BA141" s="9"/>
      <c r="BB141" s="9"/>
      <c r="BC141" s="9"/>
      <c r="BD141" s="9"/>
      <c r="BE141" s="9"/>
      <c r="BF141" s="9"/>
      <c r="BG141" s="9"/>
      <c r="BH141" s="9"/>
      <c r="BI141" s="9"/>
      <c r="BJ141" s="9"/>
      <c r="BK141" s="9"/>
      <c r="BL141" s="9"/>
      <c r="BM141" s="9"/>
      <c r="BN141" s="9"/>
      <c r="BO141" s="9"/>
      <c r="BP141" s="9"/>
      <c r="BQ141" s="9"/>
      <c r="BR141" s="9"/>
      <c r="BS141" s="9"/>
      <c r="BT141" s="9"/>
    </row>
    <row r="142" spans="1:72" ht="14.25" customHeight="1" x14ac:dyDescent="0.2">
      <c r="A142" s="5" t="s">
        <v>554</v>
      </c>
      <c r="B142" s="4">
        <v>10</v>
      </c>
      <c r="C142" s="10" t="s">
        <v>139</v>
      </c>
      <c r="D142" s="10" t="s">
        <v>555</v>
      </c>
      <c r="E142" s="8"/>
      <c r="F142" s="10" t="s">
        <v>556</v>
      </c>
      <c r="G142" s="8" t="str">
        <f>CONCATENATE("-&gt; ",-1*AF142," W, ",AE142," N, Elev. ",AG142," m")</f>
        <v>-&gt; 120.8913889 W, 50.89444444 N, Elev. 728 m</v>
      </c>
      <c r="I142" s="9"/>
      <c r="J142" s="9"/>
      <c r="K142" s="9"/>
      <c r="L142" s="9"/>
      <c r="M142" s="11">
        <v>50.894444440000001</v>
      </c>
      <c r="N142" s="11">
        <v>-120.8913889</v>
      </c>
      <c r="O142" s="11" t="s">
        <v>142</v>
      </c>
      <c r="P142" s="11" t="s">
        <v>557</v>
      </c>
      <c r="Q142" s="12">
        <v>2</v>
      </c>
      <c r="R142" s="11" t="s">
        <v>558</v>
      </c>
      <c r="S142" s="11" t="s">
        <v>145</v>
      </c>
      <c r="T142" s="11">
        <v>728</v>
      </c>
      <c r="U142" s="9"/>
      <c r="V142" s="9"/>
      <c r="W142" s="9"/>
      <c r="X142" s="9"/>
      <c r="Y142" s="9"/>
      <c r="Z142" s="9"/>
      <c r="AA142" s="9"/>
      <c r="AB142" s="9"/>
      <c r="AC142" s="9"/>
      <c r="AD142" s="9"/>
      <c r="AE142" s="8">
        <v>50.894444440000001</v>
      </c>
      <c r="AF142" s="8">
        <v>-120.8913889</v>
      </c>
      <c r="AG142" s="8">
        <v>728</v>
      </c>
      <c r="AH142" s="9"/>
      <c r="AI142" s="9"/>
      <c r="AJ142" s="9"/>
      <c r="AK142" s="9"/>
      <c r="AL142" s="9"/>
      <c r="AM142" s="9"/>
      <c r="AN142" s="9"/>
      <c r="AO142" s="9"/>
      <c r="AP142" s="9"/>
      <c r="AQ142" s="9"/>
      <c r="AR142" s="9"/>
      <c r="AS142" s="9"/>
      <c r="AT142" s="9"/>
      <c r="AU142" s="9"/>
      <c r="AV142" s="9"/>
      <c r="AW142" s="9"/>
      <c r="AX142" s="9"/>
      <c r="AY142" s="9"/>
      <c r="AZ142" s="9"/>
      <c r="BA142" s="9"/>
      <c r="BB142" s="9"/>
      <c r="BC142" s="9"/>
      <c r="BD142" s="9"/>
      <c r="BE142" s="9"/>
      <c r="BF142" s="9"/>
      <c r="BG142" s="9"/>
      <c r="BH142" s="9"/>
      <c r="BI142" s="9"/>
      <c r="BJ142" s="9"/>
      <c r="BK142" s="9"/>
      <c r="BL142" s="9"/>
      <c r="BM142" s="9"/>
      <c r="BN142" s="9"/>
      <c r="BO142" s="9"/>
      <c r="BP142" s="9"/>
      <c r="BQ142" s="9"/>
      <c r="BR142" s="9"/>
      <c r="BS142" s="9"/>
      <c r="BT142" s="9"/>
    </row>
    <row r="143" spans="1:72" ht="14.25" customHeight="1" x14ac:dyDescent="0.2">
      <c r="A143" s="5" t="s">
        <v>559</v>
      </c>
      <c r="B143" s="4">
        <v>10</v>
      </c>
      <c r="C143" s="4" t="s">
        <v>7660</v>
      </c>
      <c r="D143" s="9" t="s">
        <v>560</v>
      </c>
      <c r="E143" s="9">
        <v>1519</v>
      </c>
      <c r="F143" s="9" t="s">
        <v>561</v>
      </c>
      <c r="G143" s="9" t="str">
        <f>CONCATENATE(-1*AF143," W, ",AE143," N, Elev. ",AG143," m")</f>
        <v>120.505 W, 50.17972222 N, Elev. 316.0776 m</v>
      </c>
      <c r="H143" s="4" t="s">
        <v>426</v>
      </c>
      <c r="I143" s="9" t="s">
        <v>427</v>
      </c>
      <c r="J143" s="9">
        <v>38557</v>
      </c>
      <c r="K143" s="9"/>
      <c r="L143" s="9"/>
      <c r="M143" s="9"/>
      <c r="N143" s="9"/>
      <c r="O143" s="9"/>
      <c r="P143" s="9"/>
      <c r="Q143" s="9"/>
      <c r="R143" s="9"/>
      <c r="S143" s="9"/>
      <c r="T143" s="9"/>
      <c r="U143" s="9"/>
      <c r="V143" s="9"/>
      <c r="W143" s="9"/>
      <c r="X143" s="9"/>
      <c r="Y143" s="9"/>
      <c r="Z143" s="9"/>
      <c r="AA143" s="9"/>
      <c r="AB143" s="9"/>
      <c r="AC143" s="9"/>
      <c r="AD143" s="9"/>
      <c r="AE143" s="9">
        <v>50.179722220000002</v>
      </c>
      <c r="AF143" s="9">
        <v>-120.505</v>
      </c>
      <c r="AG143" s="9">
        <v>316.07760000000002</v>
      </c>
      <c r="AH143" s="9"/>
      <c r="AI143" s="9"/>
      <c r="AJ143" s="9"/>
      <c r="AK143" s="9"/>
      <c r="AL143" s="9"/>
      <c r="AM143" s="9"/>
      <c r="AN143" s="9"/>
      <c r="AO143" s="9"/>
      <c r="AP143" s="9"/>
      <c r="AQ143" s="9"/>
      <c r="AR143" s="9"/>
      <c r="AS143" s="9"/>
      <c r="AT143" s="9"/>
      <c r="AU143" s="9"/>
      <c r="AV143" s="9"/>
      <c r="AW143" s="9"/>
      <c r="AX143" s="9"/>
      <c r="AY143" s="9"/>
      <c r="AZ143" s="9"/>
      <c r="BA143" s="9"/>
      <c r="BB143" s="9"/>
      <c r="BC143" s="9"/>
      <c r="BD143" s="9"/>
      <c r="BE143" s="9"/>
      <c r="BF143" s="9"/>
      <c r="BG143" s="9"/>
      <c r="BH143" s="9"/>
      <c r="BI143" s="9"/>
      <c r="BJ143" s="9"/>
      <c r="BK143" s="9"/>
      <c r="BL143" s="9"/>
      <c r="BM143" s="9"/>
      <c r="BN143" s="9"/>
      <c r="BO143" s="9"/>
      <c r="BP143" s="9"/>
      <c r="BQ143" s="9"/>
      <c r="BR143" s="9"/>
      <c r="BS143" s="9"/>
      <c r="BT143" s="9"/>
    </row>
    <row r="144" spans="1:72" ht="14.25" customHeight="1" x14ac:dyDescent="0.2">
      <c r="A144" s="5" t="s">
        <v>562</v>
      </c>
      <c r="B144" s="4">
        <v>10</v>
      </c>
      <c r="C144" s="10" t="s">
        <v>139</v>
      </c>
      <c r="D144" s="10" t="s">
        <v>563</v>
      </c>
      <c r="E144" s="8"/>
      <c r="F144" s="10" t="s">
        <v>564</v>
      </c>
      <c r="G144" s="8" t="str">
        <f>CONCATENATE("-&gt; ",-1*AF144," W, ",AE144," N, Elev. ",AG144," m")</f>
        <v>-&gt; 120.496103 W, 50.168431 N, Elev. 316 m</v>
      </c>
      <c r="I144" s="9"/>
      <c r="J144" s="9"/>
      <c r="K144" s="9"/>
      <c r="L144" s="9"/>
      <c r="M144" s="11">
        <v>50.168430999999998</v>
      </c>
      <c r="N144" s="11">
        <v>-120.49610300000001</v>
      </c>
      <c r="O144" s="11" t="s">
        <v>142</v>
      </c>
      <c r="P144" s="11" t="s">
        <v>565</v>
      </c>
      <c r="Q144" s="12">
        <v>1</v>
      </c>
      <c r="R144" s="11" t="s">
        <v>561</v>
      </c>
      <c r="S144" s="11" t="s">
        <v>145</v>
      </c>
      <c r="T144" s="11">
        <v>316</v>
      </c>
      <c r="U144" s="9"/>
      <c r="V144" s="9"/>
      <c r="W144" s="9"/>
      <c r="X144" s="9"/>
      <c r="Y144" s="9"/>
      <c r="Z144" s="9"/>
      <c r="AA144" s="9"/>
      <c r="AB144" s="9"/>
      <c r="AC144" s="9"/>
      <c r="AD144" s="9"/>
      <c r="AE144" s="8">
        <v>50.168430999999998</v>
      </c>
      <c r="AF144" s="8">
        <v>-120.49610300000001</v>
      </c>
      <c r="AG144" s="8">
        <v>316</v>
      </c>
      <c r="AH144" s="9"/>
      <c r="AI144" s="9"/>
      <c r="AJ144" s="9"/>
      <c r="AK144" s="9"/>
      <c r="AL144" s="9"/>
      <c r="AM144" s="9"/>
      <c r="AN144" s="9"/>
      <c r="AO144" s="9"/>
      <c r="AP144" s="9"/>
      <c r="AQ144" s="9"/>
      <c r="AR144" s="9"/>
      <c r="AS144" s="9"/>
      <c r="AT144" s="9"/>
      <c r="AU144" s="9"/>
      <c r="AV144" s="9"/>
      <c r="AW144" s="9"/>
      <c r="AX144" s="9"/>
      <c r="AY144" s="9"/>
      <c r="AZ144" s="9"/>
      <c r="BA144" s="9"/>
      <c r="BB144" s="9"/>
      <c r="BC144" s="9"/>
      <c r="BD144" s="9"/>
      <c r="BE144" s="9"/>
      <c r="BF144" s="9"/>
      <c r="BG144" s="9"/>
      <c r="BH144" s="9"/>
      <c r="BI144" s="9"/>
      <c r="BJ144" s="9"/>
      <c r="BK144" s="9"/>
      <c r="BL144" s="9"/>
      <c r="BM144" s="9"/>
      <c r="BN144" s="9"/>
      <c r="BO144" s="9"/>
      <c r="BP144" s="9"/>
      <c r="BQ144" s="9"/>
      <c r="BR144" s="9"/>
      <c r="BS144" s="9"/>
      <c r="BT144" s="9"/>
    </row>
    <row r="145" spans="1:72" ht="14.25" customHeight="1" x14ac:dyDescent="0.2">
      <c r="A145" s="5" t="s">
        <v>566</v>
      </c>
      <c r="B145" s="4">
        <v>10</v>
      </c>
      <c r="C145" s="4" t="s">
        <v>7660</v>
      </c>
      <c r="D145" s="9" t="s">
        <v>567</v>
      </c>
      <c r="E145" s="9">
        <v>1520</v>
      </c>
      <c r="F145" s="9" t="s">
        <v>568</v>
      </c>
      <c r="G145" s="9" t="str">
        <f>CONCATENATE(-1*AF145," W, ",AE145," N, Elev. ",AG145," m")</f>
        <v>119.7745333 W, 50.7382 N, Elev. 413 m</v>
      </c>
      <c r="H145" s="4" t="s">
        <v>426</v>
      </c>
      <c r="I145" s="9" t="s">
        <v>427</v>
      </c>
      <c r="J145" s="9">
        <v>38960</v>
      </c>
      <c r="K145" s="9"/>
      <c r="L145" s="9"/>
      <c r="M145" s="9"/>
      <c r="N145" s="9"/>
      <c r="O145" s="9"/>
      <c r="P145" s="9"/>
      <c r="Q145" s="9"/>
      <c r="R145" s="9"/>
      <c r="S145" s="9"/>
      <c r="T145" s="9"/>
      <c r="U145" s="9"/>
      <c r="V145" s="9"/>
      <c r="W145" s="9"/>
      <c r="X145" s="9"/>
      <c r="Y145" s="9"/>
      <c r="Z145" s="9"/>
      <c r="AA145" s="9"/>
      <c r="AB145" s="9"/>
      <c r="AC145" s="9"/>
      <c r="AD145" s="9"/>
      <c r="AE145" s="9">
        <v>50.738199999999999</v>
      </c>
      <c r="AF145" s="9">
        <v>-119.7745333</v>
      </c>
      <c r="AG145" s="9">
        <v>413</v>
      </c>
      <c r="AH145" s="9"/>
      <c r="AI145" s="9"/>
      <c r="AJ145" s="9"/>
      <c r="AK145" s="9"/>
      <c r="AL145" s="9"/>
      <c r="AM145" s="9"/>
      <c r="AN145" s="9"/>
      <c r="AO145" s="9"/>
      <c r="AP145" s="9"/>
      <c r="AQ145" s="9"/>
      <c r="AR145" s="9"/>
      <c r="AS145" s="9"/>
      <c r="AT145" s="9"/>
      <c r="AU145" s="9"/>
      <c r="AV145" s="9"/>
      <c r="AW145" s="9"/>
      <c r="AX145" s="9"/>
      <c r="AY145" s="9"/>
      <c r="AZ145" s="9"/>
      <c r="BA145" s="9"/>
      <c r="BB145" s="9"/>
      <c r="BC145" s="9"/>
      <c r="BD145" s="9"/>
      <c r="BE145" s="9"/>
      <c r="BF145" s="9"/>
      <c r="BG145" s="9"/>
      <c r="BH145" s="9"/>
      <c r="BI145" s="9"/>
      <c r="BJ145" s="9"/>
      <c r="BK145" s="9"/>
      <c r="BL145" s="9"/>
      <c r="BM145" s="9"/>
      <c r="BN145" s="9"/>
      <c r="BO145" s="9"/>
      <c r="BP145" s="9"/>
      <c r="BQ145" s="9"/>
      <c r="BR145" s="9"/>
      <c r="BS145" s="9"/>
      <c r="BT145" s="9"/>
    </row>
    <row r="146" spans="1:72" ht="14.25" customHeight="1" x14ac:dyDescent="0.2">
      <c r="A146" s="5" t="s">
        <v>569</v>
      </c>
      <c r="B146" s="4">
        <v>10</v>
      </c>
      <c r="C146" s="10" t="s">
        <v>139</v>
      </c>
      <c r="D146" s="10" t="s">
        <v>570</v>
      </c>
      <c r="E146" s="8"/>
      <c r="F146" s="10" t="s">
        <v>571</v>
      </c>
      <c r="G146" s="8" t="str">
        <f>CONCATENATE("-&gt; ",-1*AF146," W, ",AE146," N, Elev. ",AG146," m")</f>
        <v>-&gt; 119.7744444 W, 50.73805556 N, Elev. 413 m</v>
      </c>
      <c r="I146" s="9"/>
      <c r="J146" s="9"/>
      <c r="K146" s="9"/>
      <c r="L146" s="9"/>
      <c r="M146" s="11">
        <v>50.738055559999999</v>
      </c>
      <c r="N146" s="11">
        <v>-119.77444439999999</v>
      </c>
      <c r="O146" s="11" t="s">
        <v>142</v>
      </c>
      <c r="P146" s="11" t="s">
        <v>572</v>
      </c>
      <c r="Q146" s="12">
        <v>1</v>
      </c>
      <c r="R146" s="11" t="s">
        <v>568</v>
      </c>
      <c r="S146" s="11" t="s">
        <v>145</v>
      </c>
      <c r="T146" s="11">
        <v>413</v>
      </c>
      <c r="U146" s="9"/>
      <c r="V146" s="9"/>
      <c r="W146" s="9"/>
      <c r="X146" s="9"/>
      <c r="Y146" s="9"/>
      <c r="Z146" s="9"/>
      <c r="AA146" s="9"/>
      <c r="AB146" s="9"/>
      <c r="AC146" s="9"/>
      <c r="AD146" s="9"/>
      <c r="AE146" s="8">
        <v>50.738055559999999</v>
      </c>
      <c r="AF146" s="8">
        <v>-119.77444439999999</v>
      </c>
      <c r="AG146" s="8">
        <v>413</v>
      </c>
      <c r="AH146" s="9"/>
      <c r="AI146" s="9"/>
      <c r="AJ146" s="9"/>
      <c r="AK146" s="9"/>
      <c r="AL146" s="9"/>
      <c r="AM146" s="9"/>
      <c r="AN146" s="9"/>
      <c r="AO146" s="9"/>
      <c r="AP146" s="9"/>
      <c r="AQ146" s="9"/>
      <c r="AR146" s="9"/>
      <c r="AS146" s="9"/>
      <c r="AT146" s="9"/>
      <c r="AU146" s="9"/>
      <c r="AV146" s="9"/>
      <c r="AW146" s="9"/>
      <c r="AX146" s="9"/>
      <c r="AY146" s="9"/>
      <c r="AZ146" s="9"/>
      <c r="BA146" s="9"/>
      <c r="BB146" s="9"/>
      <c r="BC146" s="9"/>
      <c r="BD146" s="9"/>
      <c r="BE146" s="9"/>
      <c r="BF146" s="9"/>
      <c r="BG146" s="9"/>
      <c r="BH146" s="9"/>
      <c r="BI146" s="9"/>
      <c r="BJ146" s="9"/>
      <c r="BK146" s="9"/>
      <c r="BL146" s="9"/>
      <c r="BM146" s="9"/>
      <c r="BN146" s="9"/>
      <c r="BO146" s="9"/>
      <c r="BP146" s="9"/>
      <c r="BQ146" s="9"/>
      <c r="BR146" s="9"/>
      <c r="BS146" s="9"/>
      <c r="BT146" s="9"/>
    </row>
    <row r="147" spans="1:72" ht="14.25" customHeight="1" x14ac:dyDescent="0.2">
      <c r="A147" s="5" t="s">
        <v>573</v>
      </c>
      <c r="B147" s="4">
        <v>10</v>
      </c>
      <c r="C147" s="4" t="s">
        <v>7660</v>
      </c>
      <c r="D147" s="17" t="s">
        <v>574</v>
      </c>
      <c r="E147" s="17">
        <v>1522</v>
      </c>
      <c r="F147" s="17" t="s">
        <v>575</v>
      </c>
      <c r="G147" s="9" t="str">
        <f>CONCATENATE(-1*AF147," W, ",AE147," N, Elev. ",AG147," m")</f>
        <v>120.9333333 W, 50.14583333 N, Elev. 560.832 m</v>
      </c>
      <c r="H147" s="4" t="s">
        <v>426</v>
      </c>
      <c r="I147" s="17" t="s">
        <v>427</v>
      </c>
      <c r="J147" s="17">
        <v>38569</v>
      </c>
      <c r="K147" s="9"/>
      <c r="L147" s="9"/>
      <c r="M147" s="9"/>
      <c r="N147" s="9"/>
      <c r="O147" s="9"/>
      <c r="P147" s="9"/>
      <c r="Q147" s="9"/>
      <c r="R147" s="9"/>
      <c r="S147" s="9"/>
      <c r="T147" s="9"/>
      <c r="U147" s="9"/>
      <c r="V147" s="9"/>
      <c r="W147" s="9"/>
      <c r="X147" s="9"/>
      <c r="Y147" s="9"/>
      <c r="Z147" s="9"/>
      <c r="AA147" s="9"/>
      <c r="AB147" s="9"/>
      <c r="AC147" s="9"/>
      <c r="AD147" s="9"/>
      <c r="AE147" s="17">
        <v>50.145833330000002</v>
      </c>
      <c r="AF147" s="17">
        <v>-120.9333333</v>
      </c>
      <c r="AG147" s="17">
        <v>560.83199999999999</v>
      </c>
      <c r="AH147" s="9"/>
      <c r="AI147" s="9"/>
      <c r="AJ147" s="9"/>
      <c r="AK147" s="9"/>
      <c r="AL147" s="9"/>
      <c r="AM147" s="9"/>
      <c r="AN147" s="9"/>
      <c r="AO147" s="9"/>
      <c r="AP147" s="9"/>
      <c r="AQ147" s="9"/>
      <c r="AR147" s="9"/>
      <c r="AS147" s="9"/>
      <c r="AT147" s="9"/>
      <c r="AU147" s="9"/>
      <c r="AV147" s="9"/>
      <c r="AW147" s="9"/>
      <c r="AX147" s="9"/>
      <c r="AY147" s="9"/>
      <c r="AZ147" s="9"/>
      <c r="BA147" s="9"/>
      <c r="BB147" s="9"/>
      <c r="BC147" s="9"/>
      <c r="BD147" s="9"/>
      <c r="BE147" s="9"/>
      <c r="BF147" s="9"/>
      <c r="BG147" s="9"/>
      <c r="BH147" s="9"/>
      <c r="BI147" s="9"/>
      <c r="BJ147" s="9"/>
      <c r="BK147" s="9"/>
      <c r="BL147" s="9"/>
      <c r="BM147" s="9"/>
      <c r="BN147" s="9"/>
      <c r="BO147" s="9"/>
      <c r="BP147" s="9"/>
      <c r="BQ147" s="9"/>
      <c r="BR147" s="9"/>
      <c r="BS147" s="9"/>
      <c r="BT147" s="9"/>
    </row>
    <row r="148" spans="1:72" ht="14.25" customHeight="1" x14ac:dyDescent="0.2">
      <c r="A148" s="18" t="s">
        <v>576</v>
      </c>
      <c r="B148" s="4">
        <v>10</v>
      </c>
      <c r="C148" s="10" t="s">
        <v>139</v>
      </c>
      <c r="D148" s="10" t="s">
        <v>577</v>
      </c>
      <c r="E148" s="8"/>
      <c r="F148" s="10" t="s">
        <v>578</v>
      </c>
      <c r="G148" s="8" t="str">
        <f>CONCATENATE("-&gt; ",-1*AF148," W, ",AE148," N, Elev. ",AG148," m")</f>
        <v>-&gt; 120.9333333 W, 50.14583333 N, Elev. 561 m</v>
      </c>
      <c r="I148" s="17"/>
      <c r="J148" s="17"/>
      <c r="K148" s="9"/>
      <c r="L148" s="9"/>
      <c r="M148" s="11">
        <v>50.145833330000002</v>
      </c>
      <c r="N148" s="11">
        <v>-120.9333333</v>
      </c>
      <c r="O148" s="11" t="s">
        <v>142</v>
      </c>
      <c r="P148" s="11" t="s">
        <v>579</v>
      </c>
      <c r="Q148" s="12">
        <v>1</v>
      </c>
      <c r="R148" s="11" t="s">
        <v>575</v>
      </c>
      <c r="S148" s="11" t="s">
        <v>145</v>
      </c>
      <c r="T148" s="11">
        <v>561</v>
      </c>
      <c r="U148" s="9"/>
      <c r="V148" s="9"/>
      <c r="W148" s="9"/>
      <c r="X148" s="9"/>
      <c r="Y148" s="9"/>
      <c r="Z148" s="9"/>
      <c r="AA148" s="9"/>
      <c r="AB148" s="9"/>
      <c r="AC148" s="9"/>
      <c r="AD148" s="9"/>
      <c r="AE148" s="8">
        <v>50.145833330000002</v>
      </c>
      <c r="AF148" s="8">
        <v>-120.9333333</v>
      </c>
      <c r="AG148" s="8">
        <v>561</v>
      </c>
      <c r="AH148" s="9"/>
      <c r="AI148" s="9"/>
      <c r="AJ148" s="9"/>
      <c r="AK148" s="9"/>
      <c r="AL148" s="9"/>
      <c r="AM148" s="9"/>
      <c r="AN148" s="9"/>
      <c r="AO148" s="9"/>
      <c r="AP148" s="9"/>
      <c r="AQ148" s="9"/>
      <c r="AR148" s="9"/>
      <c r="AS148" s="9"/>
      <c r="AT148" s="9"/>
      <c r="AU148" s="9"/>
      <c r="AV148" s="9"/>
      <c r="AW148" s="9"/>
      <c r="AX148" s="9"/>
      <c r="AY148" s="9"/>
      <c r="AZ148" s="9"/>
      <c r="BA148" s="9"/>
      <c r="BB148" s="9"/>
      <c r="BC148" s="9"/>
      <c r="BD148" s="9"/>
      <c r="BE148" s="9"/>
      <c r="BF148" s="9"/>
      <c r="BG148" s="9"/>
      <c r="BH148" s="9"/>
      <c r="BI148" s="9"/>
      <c r="BJ148" s="9"/>
      <c r="BK148" s="9"/>
      <c r="BL148" s="9"/>
      <c r="BM148" s="9"/>
      <c r="BN148" s="9"/>
      <c r="BO148" s="9"/>
      <c r="BP148" s="9"/>
      <c r="BQ148" s="9"/>
      <c r="BR148" s="9"/>
      <c r="BS148" s="9"/>
      <c r="BT148" s="9"/>
    </row>
    <row r="149" spans="1:72" ht="14.25" customHeight="1" x14ac:dyDescent="0.2">
      <c r="A149" s="5" t="s">
        <v>580</v>
      </c>
      <c r="B149" s="4">
        <v>10</v>
      </c>
      <c r="C149" s="4" t="s">
        <v>7660</v>
      </c>
      <c r="D149" s="9">
        <v>24547</v>
      </c>
      <c r="E149" s="9">
        <v>1523</v>
      </c>
      <c r="F149" s="9" t="s">
        <v>581</v>
      </c>
      <c r="G149" s="9" t="str">
        <f>CONCATENATE(-1*AF149," W, ",AE149," N, Elev. ",AG149," m")</f>
        <v>119.5874 W, 49.1574 N, Elev. 342.5 m</v>
      </c>
      <c r="H149" s="4" t="s">
        <v>426</v>
      </c>
      <c r="I149" s="9" t="s">
        <v>427</v>
      </c>
      <c r="J149" s="9">
        <v>38699</v>
      </c>
      <c r="K149" s="9"/>
      <c r="L149" s="9"/>
      <c r="M149" s="9"/>
      <c r="N149" s="9"/>
      <c r="O149" s="9"/>
      <c r="P149" s="9"/>
      <c r="Q149" s="9"/>
      <c r="R149" s="9"/>
      <c r="S149" s="9"/>
      <c r="T149" s="9"/>
      <c r="U149" s="9"/>
      <c r="V149" s="9"/>
      <c r="W149" s="9"/>
      <c r="X149" s="9"/>
      <c r="Y149" s="9"/>
      <c r="Z149" s="9"/>
      <c r="AA149" s="9"/>
      <c r="AB149" s="9"/>
      <c r="AC149" s="9"/>
      <c r="AD149" s="9"/>
      <c r="AE149" s="9">
        <v>49.157400000000003</v>
      </c>
      <c r="AF149" s="9">
        <v>-119.5874</v>
      </c>
      <c r="AG149" s="9">
        <v>342.5</v>
      </c>
      <c r="AH149" s="9"/>
      <c r="AI149" s="9"/>
      <c r="AJ149" s="9"/>
      <c r="AK149" s="9"/>
      <c r="AL149" s="9"/>
      <c r="AM149" s="9"/>
      <c r="AN149" s="9"/>
      <c r="AO149" s="9"/>
      <c r="AP149" s="9"/>
      <c r="AQ149" s="9"/>
      <c r="AR149" s="9"/>
      <c r="AS149" s="9"/>
      <c r="AT149" s="9"/>
      <c r="AU149" s="9"/>
      <c r="AV149" s="9"/>
      <c r="AW149" s="9"/>
      <c r="AX149" s="9"/>
      <c r="AY149" s="9"/>
      <c r="AZ149" s="9"/>
      <c r="BA149" s="9"/>
      <c r="BB149" s="9"/>
      <c r="BC149" s="9"/>
      <c r="BD149" s="9"/>
      <c r="BE149" s="9"/>
      <c r="BF149" s="9"/>
      <c r="BG149" s="9"/>
      <c r="BH149" s="9"/>
      <c r="BI149" s="9"/>
      <c r="BJ149" s="9"/>
      <c r="BK149" s="9"/>
      <c r="BL149" s="9"/>
      <c r="BM149" s="9"/>
      <c r="BN149" s="9"/>
      <c r="BO149" s="9"/>
      <c r="BP149" s="9"/>
      <c r="BQ149" s="9"/>
      <c r="BR149" s="9"/>
      <c r="BS149" s="9"/>
      <c r="BT149" s="9"/>
    </row>
    <row r="150" spans="1:72" ht="14.25" customHeight="1" x14ac:dyDescent="0.2">
      <c r="A150" s="5" t="s">
        <v>582</v>
      </c>
      <c r="B150" s="4">
        <v>10</v>
      </c>
      <c r="C150" s="10" t="s">
        <v>139</v>
      </c>
      <c r="D150" s="10" t="s">
        <v>583</v>
      </c>
      <c r="E150" s="8"/>
      <c r="F150" s="10" t="s">
        <v>584</v>
      </c>
      <c r="G150" s="8" t="str">
        <f>CONCATENATE("-&gt; ",-1*AF150," W, ",AE150," N, Elev. ",AG150," m")</f>
        <v>-&gt; 119.5619 W, 49.1764 N, Elev. 328 m</v>
      </c>
      <c r="I150" s="9"/>
      <c r="J150" s="9"/>
      <c r="K150" s="9"/>
      <c r="L150" s="9"/>
      <c r="M150" s="11">
        <v>49.176400000000001</v>
      </c>
      <c r="N150" s="11">
        <v>-119.56189999999999</v>
      </c>
      <c r="O150" s="11" t="s">
        <v>142</v>
      </c>
      <c r="P150" s="11" t="s">
        <v>585</v>
      </c>
      <c r="Q150" s="12">
        <v>1</v>
      </c>
      <c r="R150" s="11" t="s">
        <v>586</v>
      </c>
      <c r="S150" s="11" t="s">
        <v>145</v>
      </c>
      <c r="T150" s="11">
        <v>328</v>
      </c>
      <c r="U150" s="9"/>
      <c r="V150" s="9"/>
      <c r="W150" s="9"/>
      <c r="X150" s="9"/>
      <c r="Y150" s="9"/>
      <c r="Z150" s="9"/>
      <c r="AA150" s="9"/>
      <c r="AB150" s="9"/>
      <c r="AC150" s="9"/>
      <c r="AD150" s="9"/>
      <c r="AE150" s="8">
        <v>49.176400000000001</v>
      </c>
      <c r="AF150" s="8">
        <v>-119.56189999999999</v>
      </c>
      <c r="AG150" s="8">
        <v>328</v>
      </c>
      <c r="AH150" s="9"/>
      <c r="AI150" s="9"/>
      <c r="AJ150" s="9"/>
      <c r="AK150" s="9"/>
      <c r="AL150" s="9"/>
      <c r="AM150" s="9"/>
      <c r="AN150" s="9"/>
      <c r="AO150" s="9"/>
      <c r="AP150" s="9"/>
      <c r="AQ150" s="9"/>
      <c r="AR150" s="9"/>
      <c r="AS150" s="9"/>
      <c r="AT150" s="9"/>
      <c r="AU150" s="9"/>
      <c r="AV150" s="9"/>
      <c r="AW150" s="9"/>
      <c r="AX150" s="9"/>
      <c r="AY150" s="9"/>
      <c r="AZ150" s="9"/>
      <c r="BA150" s="9"/>
      <c r="BB150" s="9"/>
      <c r="BC150" s="9"/>
      <c r="BD150" s="9"/>
      <c r="BE150" s="9"/>
      <c r="BF150" s="9"/>
      <c r="BG150" s="9"/>
      <c r="BH150" s="9"/>
      <c r="BI150" s="9"/>
      <c r="BJ150" s="9"/>
      <c r="BK150" s="9"/>
      <c r="BL150" s="9"/>
      <c r="BM150" s="9"/>
      <c r="BN150" s="9"/>
      <c r="BO150" s="9"/>
      <c r="BP150" s="9"/>
      <c r="BQ150" s="9"/>
      <c r="BR150" s="9"/>
      <c r="BS150" s="9"/>
      <c r="BT150" s="9"/>
    </row>
    <row r="151" spans="1:72" ht="14.25" customHeight="1" x14ac:dyDescent="0.2">
      <c r="A151" s="5" t="s">
        <v>587</v>
      </c>
      <c r="B151" s="4">
        <v>10</v>
      </c>
      <c r="C151" s="4" t="s">
        <v>7660</v>
      </c>
      <c r="D151" s="9">
        <v>25672</v>
      </c>
      <c r="E151" s="9">
        <v>1526</v>
      </c>
      <c r="F151" s="9" t="s">
        <v>588</v>
      </c>
      <c r="G151" s="9" t="str">
        <f>CONCATENATE(-1*AF151," W, ",AE151," N, Elev. ",AG151," m")</f>
        <v>119.5766 W, 49.1228 N, Elev. 292 m</v>
      </c>
      <c r="H151" s="4" t="s">
        <v>426</v>
      </c>
      <c r="I151" s="9" t="s">
        <v>427</v>
      </c>
      <c r="J151" s="9">
        <v>38557</v>
      </c>
      <c r="K151" s="9"/>
      <c r="L151" s="9"/>
      <c r="M151" s="9"/>
      <c r="N151" s="9"/>
      <c r="O151" s="9"/>
      <c r="P151" s="9"/>
      <c r="Q151" s="9"/>
      <c r="R151" s="9"/>
      <c r="S151" s="9"/>
      <c r="T151" s="9"/>
      <c r="U151" s="9"/>
      <c r="V151" s="9"/>
      <c r="W151" s="9"/>
      <c r="X151" s="9"/>
      <c r="Y151" s="9"/>
      <c r="Z151" s="9"/>
      <c r="AA151" s="9"/>
      <c r="AB151" s="9"/>
      <c r="AC151" s="9"/>
      <c r="AD151" s="9"/>
      <c r="AE151" s="9">
        <v>49.122799999999998</v>
      </c>
      <c r="AF151" s="9">
        <v>-119.5766</v>
      </c>
      <c r="AG151" s="9">
        <v>292</v>
      </c>
      <c r="AH151" s="9"/>
      <c r="AI151" s="9"/>
      <c r="AJ151" s="9"/>
      <c r="AK151" s="9"/>
      <c r="AL151" s="9"/>
      <c r="AM151" s="9"/>
      <c r="AN151" s="9"/>
      <c r="AO151" s="9"/>
      <c r="AP151" s="9"/>
      <c r="AQ151" s="9"/>
      <c r="AR151" s="9"/>
      <c r="AS151" s="9"/>
      <c r="AT151" s="9"/>
      <c r="AU151" s="9"/>
      <c r="AV151" s="9"/>
      <c r="AW151" s="9"/>
      <c r="AX151" s="9"/>
      <c r="AY151" s="9"/>
      <c r="AZ151" s="9"/>
      <c r="BA151" s="9"/>
      <c r="BB151" s="9"/>
      <c r="BC151" s="9"/>
      <c r="BD151" s="9"/>
      <c r="BE151" s="9"/>
      <c r="BF151" s="9"/>
      <c r="BG151" s="9"/>
      <c r="BH151" s="9"/>
      <c r="BI151" s="9"/>
      <c r="BJ151" s="9"/>
      <c r="BK151" s="9"/>
      <c r="BL151" s="9"/>
      <c r="BM151" s="9"/>
      <c r="BN151" s="9"/>
      <c r="BO151" s="9"/>
      <c r="BP151" s="9"/>
      <c r="BQ151" s="9"/>
      <c r="BR151" s="9"/>
      <c r="BS151" s="9"/>
      <c r="BT151" s="9"/>
    </row>
    <row r="152" spans="1:72" ht="14.25" customHeight="1" x14ac:dyDescent="0.2">
      <c r="A152" s="5" t="s">
        <v>589</v>
      </c>
      <c r="B152" s="4">
        <v>10</v>
      </c>
      <c r="C152" s="10" t="s">
        <v>139</v>
      </c>
      <c r="D152" s="10" t="s">
        <v>590</v>
      </c>
      <c r="E152" s="8"/>
      <c r="F152" s="10" t="s">
        <v>591</v>
      </c>
      <c r="G152" s="8" t="str">
        <f>CONCATENATE("-&gt; ",-1*AF152," W, ",AE152," N, Elev. ",AG152," m")</f>
        <v>-&gt; 119.5715 W, 49.1086 N, Elev. 289 m</v>
      </c>
      <c r="I152" s="9"/>
      <c r="J152" s="9"/>
      <c r="K152" s="9"/>
      <c r="L152" s="9"/>
      <c r="M152" s="11">
        <v>49.108600000000003</v>
      </c>
      <c r="N152" s="11">
        <v>-119.5715</v>
      </c>
      <c r="O152" s="11" t="s">
        <v>142</v>
      </c>
      <c r="P152" s="11" t="s">
        <v>592</v>
      </c>
      <c r="Q152" s="12">
        <v>1</v>
      </c>
      <c r="R152" s="11" t="s">
        <v>588</v>
      </c>
      <c r="S152" s="11" t="s">
        <v>145</v>
      </c>
      <c r="T152" s="11">
        <v>289</v>
      </c>
      <c r="U152" s="9"/>
      <c r="V152" s="9"/>
      <c r="W152" s="9"/>
      <c r="X152" s="9"/>
      <c r="Y152" s="9"/>
      <c r="Z152" s="9"/>
      <c r="AA152" s="9"/>
      <c r="AB152" s="9"/>
      <c r="AC152" s="9"/>
      <c r="AD152" s="9"/>
      <c r="AE152" s="8">
        <v>49.108600000000003</v>
      </c>
      <c r="AF152" s="8">
        <v>-119.5715</v>
      </c>
      <c r="AG152" s="8">
        <v>289</v>
      </c>
      <c r="AH152" s="9"/>
      <c r="AI152" s="9"/>
      <c r="AJ152" s="9"/>
      <c r="AK152" s="9"/>
      <c r="AL152" s="9"/>
      <c r="AM152" s="9"/>
      <c r="AN152" s="9"/>
      <c r="AO152" s="9"/>
      <c r="AP152" s="9"/>
      <c r="AQ152" s="9"/>
      <c r="AR152" s="9"/>
      <c r="AS152" s="9"/>
      <c r="AT152" s="9"/>
      <c r="AU152" s="9"/>
      <c r="AV152" s="9"/>
      <c r="AW152" s="9"/>
      <c r="AX152" s="9"/>
      <c r="AY152" s="9"/>
      <c r="AZ152" s="9"/>
      <c r="BA152" s="9"/>
      <c r="BB152" s="9"/>
      <c r="BC152" s="9"/>
      <c r="BD152" s="9"/>
      <c r="BE152" s="9"/>
      <c r="BF152" s="9"/>
      <c r="BG152" s="9"/>
      <c r="BH152" s="9"/>
      <c r="BI152" s="9"/>
      <c r="BJ152" s="9"/>
      <c r="BK152" s="9"/>
      <c r="BL152" s="9"/>
      <c r="BM152" s="9"/>
      <c r="BN152" s="9"/>
      <c r="BO152" s="9"/>
      <c r="BP152" s="9"/>
      <c r="BQ152" s="9"/>
      <c r="BR152" s="9"/>
      <c r="BS152" s="9"/>
      <c r="BT152" s="9"/>
    </row>
    <row r="153" spans="1:72" ht="14.25" customHeight="1" x14ac:dyDescent="0.2">
      <c r="A153" s="5" t="s">
        <v>593</v>
      </c>
      <c r="B153" s="4">
        <v>10</v>
      </c>
      <c r="C153" s="4" t="s">
        <v>7660</v>
      </c>
      <c r="D153" s="9" t="s">
        <v>594</v>
      </c>
      <c r="E153" s="9">
        <v>1538</v>
      </c>
      <c r="F153" s="9" t="s">
        <v>595</v>
      </c>
      <c r="G153" s="9" t="str">
        <f>CONCATENATE(-1*AF153," W, ",AE153," N, Elev. ",AG153," m")</f>
        <v>122.145833 W, 49.0725 N, Elev. 100 m</v>
      </c>
      <c r="H153" s="4" t="s">
        <v>426</v>
      </c>
      <c r="I153" s="9" t="s">
        <v>427</v>
      </c>
      <c r="J153" s="9">
        <v>37366</v>
      </c>
      <c r="K153" s="9"/>
      <c r="L153" s="9"/>
      <c r="M153" s="9"/>
      <c r="N153" s="9"/>
      <c r="O153" s="9"/>
      <c r="P153" s="9"/>
      <c r="Q153" s="9"/>
      <c r="R153" s="9"/>
      <c r="S153" s="9"/>
      <c r="T153" s="9"/>
      <c r="U153" s="9"/>
      <c r="V153" s="9"/>
      <c r="W153" s="9"/>
      <c r="X153" s="9"/>
      <c r="Y153" s="9"/>
      <c r="Z153" s="9"/>
      <c r="AA153" s="9"/>
      <c r="AB153" s="9"/>
      <c r="AC153" s="9"/>
      <c r="AD153" s="9"/>
      <c r="AE153" s="9">
        <v>49.072499999999998</v>
      </c>
      <c r="AF153" s="9">
        <v>-122.145833</v>
      </c>
      <c r="AG153" s="9">
        <v>100</v>
      </c>
      <c r="AH153" s="9"/>
      <c r="AI153" s="9"/>
      <c r="AJ153" s="9"/>
      <c r="AK153" s="9"/>
      <c r="AL153" s="9"/>
      <c r="AM153" s="9"/>
      <c r="AN153" s="9"/>
      <c r="AO153" s="9"/>
      <c r="AP153" s="9"/>
      <c r="AQ153" s="9"/>
      <c r="AR153" s="9"/>
      <c r="AS153" s="9"/>
      <c r="AT153" s="9"/>
      <c r="AU153" s="9"/>
      <c r="AV153" s="9"/>
      <c r="AW153" s="9"/>
      <c r="AX153" s="9"/>
      <c r="AY153" s="9"/>
      <c r="AZ153" s="9"/>
      <c r="BA153" s="9"/>
      <c r="BB153" s="9"/>
      <c r="BC153" s="9"/>
      <c r="BD153" s="9"/>
      <c r="BE153" s="9"/>
      <c r="BF153" s="9"/>
      <c r="BG153" s="9"/>
      <c r="BH153" s="9"/>
      <c r="BI153" s="9"/>
      <c r="BJ153" s="9"/>
      <c r="BK153" s="9"/>
      <c r="BL153" s="9"/>
      <c r="BM153" s="9"/>
      <c r="BN153" s="9"/>
      <c r="BO153" s="9"/>
      <c r="BP153" s="9"/>
      <c r="BQ153" s="9"/>
      <c r="BR153" s="9"/>
      <c r="BS153" s="9"/>
      <c r="BT153" s="9"/>
    </row>
    <row r="154" spans="1:72" ht="14.25" customHeight="1" x14ac:dyDescent="0.2">
      <c r="A154" s="5" t="s">
        <v>596</v>
      </c>
      <c r="B154" s="4">
        <v>10</v>
      </c>
      <c r="C154" s="10" t="s">
        <v>139</v>
      </c>
      <c r="D154" s="10" t="s">
        <v>597</v>
      </c>
      <c r="E154" s="8"/>
      <c r="F154" s="10" t="s">
        <v>598</v>
      </c>
      <c r="G154" s="8" t="str">
        <f>CONCATENATE("-&gt; ",-1*AF154," W, ",AE154," N, Elev. ",AG154," m")</f>
        <v>-&gt; 122.1406 W, 49.0518 N, Elev. 9 m</v>
      </c>
      <c r="I154" s="9"/>
      <c r="J154" s="9"/>
      <c r="K154" s="9"/>
      <c r="L154" s="9"/>
      <c r="M154" s="11">
        <v>49.0518</v>
      </c>
      <c r="N154" s="11">
        <v>-122.14060000000001</v>
      </c>
      <c r="O154" s="11" t="s">
        <v>183</v>
      </c>
      <c r="P154" s="11" t="s">
        <v>599</v>
      </c>
      <c r="Q154" s="12">
        <v>1</v>
      </c>
      <c r="R154" s="11" t="s">
        <v>595</v>
      </c>
      <c r="S154" s="11" t="s">
        <v>145</v>
      </c>
      <c r="T154" s="11">
        <v>9</v>
      </c>
      <c r="U154" s="9"/>
      <c r="V154" s="9"/>
      <c r="W154" s="9"/>
      <c r="X154" s="9"/>
      <c r="Y154" s="9"/>
      <c r="Z154" s="9"/>
      <c r="AA154" s="9"/>
      <c r="AB154" s="9"/>
      <c r="AC154" s="9"/>
      <c r="AD154" s="9"/>
      <c r="AE154" s="8">
        <v>49.0518</v>
      </c>
      <c r="AF154" s="8">
        <v>-122.14060000000001</v>
      </c>
      <c r="AG154" s="8">
        <v>9</v>
      </c>
      <c r="AH154" s="9"/>
      <c r="AI154" s="9"/>
      <c r="AJ154" s="9"/>
      <c r="AK154" s="9"/>
      <c r="AL154" s="9"/>
      <c r="AM154" s="9"/>
      <c r="AN154" s="9"/>
      <c r="AO154" s="9"/>
      <c r="AP154" s="9"/>
      <c r="AQ154" s="9"/>
      <c r="AR154" s="9"/>
      <c r="AS154" s="9"/>
      <c r="AT154" s="9"/>
      <c r="AU154" s="9"/>
      <c r="AV154" s="9"/>
      <c r="AW154" s="9"/>
      <c r="AX154" s="9"/>
      <c r="AY154" s="9"/>
      <c r="AZ154" s="9"/>
      <c r="BA154" s="9"/>
      <c r="BB154" s="9"/>
      <c r="BC154" s="9"/>
      <c r="BD154" s="9"/>
      <c r="BE154" s="9"/>
      <c r="BF154" s="9"/>
      <c r="BG154" s="9"/>
      <c r="BH154" s="9"/>
      <c r="BI154" s="9"/>
      <c r="BJ154" s="9"/>
      <c r="BK154" s="9"/>
      <c r="BL154" s="9"/>
      <c r="BM154" s="9"/>
      <c r="BN154" s="9"/>
      <c r="BO154" s="9"/>
      <c r="BP154" s="9"/>
      <c r="BQ154" s="9"/>
      <c r="BR154" s="9"/>
      <c r="BS154" s="9"/>
      <c r="BT154" s="9"/>
    </row>
    <row r="155" spans="1:72" ht="14.25" customHeight="1" x14ac:dyDescent="0.2">
      <c r="A155" s="5" t="s">
        <v>600</v>
      </c>
      <c r="B155" s="4">
        <v>10</v>
      </c>
      <c r="C155" s="4" t="s">
        <v>7660</v>
      </c>
      <c r="D155" s="9" t="s">
        <v>601</v>
      </c>
      <c r="E155" s="9">
        <v>3101</v>
      </c>
      <c r="F155" s="9" t="s">
        <v>602</v>
      </c>
      <c r="G155" s="9" t="str">
        <f>CONCATENATE(-1*AF155," W, ",AE155," N, Elev. ",AG155," m")</f>
        <v>119.367128 W, 50.090526 N, Elev. 491 m</v>
      </c>
      <c r="H155" s="4" t="s">
        <v>426</v>
      </c>
      <c r="I155" s="9" t="s">
        <v>427</v>
      </c>
      <c r="J155" s="9">
        <v>37988</v>
      </c>
      <c r="K155" s="9"/>
      <c r="L155" s="9"/>
      <c r="M155" s="9"/>
      <c r="N155" s="9"/>
      <c r="O155" s="9"/>
      <c r="P155" s="9"/>
      <c r="Q155" s="9"/>
      <c r="R155" s="9"/>
      <c r="S155" s="9"/>
      <c r="T155" s="9"/>
      <c r="U155" s="9"/>
      <c r="V155" s="9"/>
      <c r="W155" s="9"/>
      <c r="X155" s="9"/>
      <c r="Y155" s="9"/>
      <c r="Z155" s="9"/>
      <c r="AA155" s="9"/>
      <c r="AB155" s="9"/>
      <c r="AC155" s="9"/>
      <c r="AD155" s="9"/>
      <c r="AE155" s="9">
        <v>50.090525999999997</v>
      </c>
      <c r="AF155" s="9">
        <v>-119.36712799999999</v>
      </c>
      <c r="AG155" s="9">
        <v>491</v>
      </c>
      <c r="AH155" s="9"/>
      <c r="AI155" s="9"/>
      <c r="AJ155" s="9"/>
      <c r="AK155" s="9"/>
      <c r="AL155" s="9"/>
      <c r="AM155" s="9"/>
      <c r="AN155" s="9"/>
      <c r="AO155" s="9"/>
      <c r="AP155" s="9"/>
      <c r="AQ155" s="9"/>
      <c r="AR155" s="9"/>
      <c r="AS155" s="9"/>
      <c r="AT155" s="9"/>
      <c r="AU155" s="9"/>
      <c r="AV155" s="9"/>
      <c r="AW155" s="9"/>
      <c r="AX155" s="9"/>
      <c r="AY155" s="9"/>
      <c r="AZ155" s="9"/>
      <c r="BA155" s="9"/>
      <c r="BB155" s="9"/>
      <c r="BC155" s="9"/>
      <c r="BD155" s="9"/>
      <c r="BE155" s="9"/>
      <c r="BF155" s="9"/>
      <c r="BG155" s="9"/>
      <c r="BH155" s="9"/>
      <c r="BI155" s="9"/>
      <c r="BJ155" s="9"/>
      <c r="BK155" s="9"/>
      <c r="BL155" s="9"/>
      <c r="BM155" s="9"/>
      <c r="BN155" s="9"/>
      <c r="BO155" s="9"/>
      <c r="BP155" s="9"/>
      <c r="BQ155" s="9"/>
      <c r="BR155" s="9"/>
      <c r="BS155" s="9"/>
      <c r="BT155" s="9"/>
    </row>
    <row r="156" spans="1:72" ht="14.25" customHeight="1" x14ac:dyDescent="0.2">
      <c r="A156" s="5" t="s">
        <v>603</v>
      </c>
      <c r="B156" s="4">
        <v>10</v>
      </c>
      <c r="C156" s="10" t="s">
        <v>139</v>
      </c>
      <c r="D156" s="10" t="s">
        <v>604</v>
      </c>
      <c r="E156" s="8"/>
      <c r="F156" s="10" t="s">
        <v>605</v>
      </c>
      <c r="G156" s="8" t="str">
        <f>CONCATENATE("-&gt; ",-1*AF156," W, ",AE156," N, Elev. ",AG156," m")</f>
        <v>-&gt; 119.3585 W, 50.093 N, Elev. 538 m</v>
      </c>
      <c r="I156" s="9"/>
      <c r="J156" s="9"/>
      <c r="K156" s="9"/>
      <c r="L156" s="9"/>
      <c r="M156" s="11">
        <v>50.093000000000004</v>
      </c>
      <c r="N156" s="11">
        <v>-119.35850000000001</v>
      </c>
      <c r="O156" s="11" t="s">
        <v>142</v>
      </c>
      <c r="P156" s="11" t="s">
        <v>606</v>
      </c>
      <c r="Q156" s="12">
        <v>1</v>
      </c>
      <c r="R156" s="11" t="s">
        <v>602</v>
      </c>
      <c r="S156" s="11" t="s">
        <v>145</v>
      </c>
      <c r="T156" s="11">
        <v>538</v>
      </c>
      <c r="U156" s="9"/>
      <c r="V156" s="9"/>
      <c r="W156" s="9"/>
      <c r="X156" s="9"/>
      <c r="Y156" s="9"/>
      <c r="Z156" s="9"/>
      <c r="AA156" s="9"/>
      <c r="AB156" s="9"/>
      <c r="AC156" s="9"/>
      <c r="AD156" s="9"/>
      <c r="AE156" s="8">
        <v>50.093000000000004</v>
      </c>
      <c r="AF156" s="8">
        <v>-119.35850000000001</v>
      </c>
      <c r="AG156" s="8">
        <v>538</v>
      </c>
      <c r="AH156" s="9"/>
      <c r="AI156" s="9"/>
      <c r="AJ156" s="9"/>
      <c r="AK156" s="9"/>
      <c r="AL156" s="9"/>
      <c r="AM156" s="9"/>
      <c r="AN156" s="9"/>
      <c r="AO156" s="9"/>
      <c r="AP156" s="9"/>
      <c r="AQ156" s="9"/>
      <c r="AR156" s="9"/>
      <c r="AS156" s="9"/>
      <c r="AT156" s="9"/>
      <c r="AU156" s="9"/>
      <c r="AV156" s="9"/>
      <c r="AW156" s="9"/>
      <c r="AX156" s="9"/>
      <c r="AY156" s="9"/>
      <c r="AZ156" s="9"/>
      <c r="BA156" s="9"/>
      <c r="BB156" s="9"/>
      <c r="BC156" s="9"/>
      <c r="BD156" s="9"/>
      <c r="BE156" s="9"/>
      <c r="BF156" s="9"/>
      <c r="BG156" s="9"/>
      <c r="BH156" s="9"/>
      <c r="BI156" s="9"/>
      <c r="BJ156" s="9"/>
      <c r="BK156" s="9"/>
      <c r="BL156" s="9"/>
      <c r="BM156" s="9"/>
      <c r="BN156" s="9"/>
      <c r="BO156" s="9"/>
      <c r="BP156" s="9"/>
      <c r="BQ156" s="9"/>
      <c r="BR156" s="9"/>
      <c r="BS156" s="9"/>
      <c r="BT156" s="9"/>
    </row>
    <row r="157" spans="1:72" ht="14.25" customHeight="1" x14ac:dyDescent="0.2">
      <c r="A157" s="5" t="s">
        <v>607</v>
      </c>
      <c r="B157" s="4">
        <v>10</v>
      </c>
      <c r="C157" s="4" t="s">
        <v>7660</v>
      </c>
      <c r="D157" s="9" t="s">
        <v>608</v>
      </c>
      <c r="E157" s="9">
        <v>3102</v>
      </c>
      <c r="F157" s="9" t="s">
        <v>609</v>
      </c>
      <c r="G157" s="9" t="str">
        <f>CONCATENATE(-1*AF157," W, ",AE157," N, Elev. ",AG157," m")</f>
        <v>119.233686 W, 50.294251 N, Elev. 509 m</v>
      </c>
      <c r="H157" s="4" t="s">
        <v>426</v>
      </c>
      <c r="I157" s="9" t="s">
        <v>427</v>
      </c>
      <c r="J157" s="9">
        <v>38225</v>
      </c>
      <c r="K157" s="9"/>
      <c r="L157" s="9"/>
      <c r="M157" s="9"/>
      <c r="N157" s="9"/>
      <c r="O157" s="9"/>
      <c r="P157" s="9"/>
      <c r="Q157" s="9"/>
      <c r="R157" s="9"/>
      <c r="S157" s="9"/>
      <c r="T157" s="9"/>
      <c r="U157" s="9"/>
      <c r="V157" s="9"/>
      <c r="W157" s="9"/>
      <c r="X157" s="9"/>
      <c r="Y157" s="9"/>
      <c r="Z157" s="9"/>
      <c r="AA157" s="9"/>
      <c r="AB157" s="9"/>
      <c r="AC157" s="9"/>
      <c r="AD157" s="9"/>
      <c r="AE157" s="9">
        <v>50.294251000000003</v>
      </c>
      <c r="AF157" s="9">
        <v>-119.23368600000001</v>
      </c>
      <c r="AG157" s="9">
        <v>509</v>
      </c>
      <c r="AH157" s="9"/>
      <c r="AI157" s="9"/>
      <c r="AJ157" s="9"/>
      <c r="AK157" s="9"/>
      <c r="AL157" s="9"/>
      <c r="AM157" s="9"/>
      <c r="AN157" s="9"/>
      <c r="AO157" s="9"/>
      <c r="AP157" s="9"/>
      <c r="AQ157" s="9"/>
      <c r="AR157" s="9"/>
      <c r="AS157" s="9"/>
      <c r="AT157" s="9"/>
      <c r="AU157" s="9"/>
      <c r="AV157" s="9"/>
      <c r="AW157" s="9"/>
      <c r="AX157" s="9"/>
      <c r="AY157" s="9"/>
      <c r="AZ157" s="9"/>
      <c r="BA157" s="9"/>
      <c r="BB157" s="9"/>
      <c r="BC157" s="9"/>
      <c r="BD157" s="9"/>
      <c r="BE157" s="9"/>
      <c r="BF157" s="9"/>
      <c r="BG157" s="9"/>
      <c r="BH157" s="9"/>
      <c r="BI157" s="9"/>
      <c r="BJ157" s="9"/>
      <c r="BK157" s="9"/>
      <c r="BL157" s="9"/>
      <c r="BM157" s="9"/>
      <c r="BN157" s="9"/>
      <c r="BO157" s="9"/>
      <c r="BP157" s="9"/>
      <c r="BQ157" s="9"/>
      <c r="BR157" s="9"/>
      <c r="BS157" s="9"/>
      <c r="BT157" s="9"/>
    </row>
    <row r="158" spans="1:72" ht="14.25" customHeight="1" x14ac:dyDescent="0.2">
      <c r="A158" s="5" t="s">
        <v>610</v>
      </c>
      <c r="B158" s="4">
        <v>10</v>
      </c>
      <c r="C158" s="10" t="s">
        <v>139</v>
      </c>
      <c r="D158" s="10" t="s">
        <v>611</v>
      </c>
      <c r="E158" s="8"/>
      <c r="F158" s="10" t="s">
        <v>612</v>
      </c>
      <c r="G158" s="8" t="str">
        <f>CONCATENATE("-&gt; ",-1*AF158," W, ",AE158," N, Elev. ",AG158," m")</f>
        <v>-&gt; 119.231 W, 50.2901 N, Elev. 515 m</v>
      </c>
      <c r="I158" s="9"/>
      <c r="J158" s="9"/>
      <c r="K158" s="9"/>
      <c r="L158" s="9"/>
      <c r="M158" s="11">
        <v>50.290100000000002</v>
      </c>
      <c r="N158" s="11">
        <v>-119.23099999999999</v>
      </c>
      <c r="O158" s="11" t="s">
        <v>183</v>
      </c>
      <c r="P158" s="11" t="s">
        <v>613</v>
      </c>
      <c r="Q158" s="12">
        <v>6</v>
      </c>
      <c r="R158" s="11" t="s">
        <v>614</v>
      </c>
      <c r="S158" s="11" t="s">
        <v>145</v>
      </c>
      <c r="T158" s="11">
        <v>515</v>
      </c>
      <c r="U158" s="9"/>
      <c r="V158" s="9"/>
      <c r="W158" s="9"/>
      <c r="X158" s="9"/>
      <c r="Y158" s="9"/>
      <c r="Z158" s="9"/>
      <c r="AA158" s="9"/>
      <c r="AB158" s="9"/>
      <c r="AC158" s="9"/>
      <c r="AD158" s="9"/>
      <c r="AE158" s="8">
        <v>50.290100000000002</v>
      </c>
      <c r="AF158" s="8">
        <v>-119.23099999999999</v>
      </c>
      <c r="AG158" s="8">
        <v>515</v>
      </c>
      <c r="AH158" s="9"/>
      <c r="AI158" s="9"/>
      <c r="AJ158" s="9"/>
      <c r="AK158" s="9"/>
      <c r="AL158" s="9"/>
      <c r="AM158" s="9"/>
      <c r="AN158" s="9"/>
      <c r="AO158" s="9"/>
      <c r="AP158" s="9"/>
      <c r="AQ158" s="9"/>
      <c r="AR158" s="9"/>
      <c r="AS158" s="9"/>
      <c r="AT158" s="9"/>
      <c r="AU158" s="9"/>
      <c r="AV158" s="9"/>
      <c r="AW158" s="9"/>
      <c r="AX158" s="9"/>
      <c r="AY158" s="9"/>
      <c r="AZ158" s="9"/>
      <c r="BA158" s="9"/>
      <c r="BB158" s="9"/>
      <c r="BC158" s="9"/>
      <c r="BD158" s="9"/>
      <c r="BE158" s="9"/>
      <c r="BF158" s="9"/>
      <c r="BG158" s="9"/>
      <c r="BH158" s="9"/>
      <c r="BI158" s="9"/>
      <c r="BJ158" s="9"/>
      <c r="BK158" s="9"/>
      <c r="BL158" s="9"/>
      <c r="BM158" s="9"/>
      <c r="BN158" s="9"/>
      <c r="BO158" s="9"/>
      <c r="BP158" s="9"/>
      <c r="BQ158" s="9"/>
      <c r="BR158" s="9"/>
      <c r="BS158" s="9"/>
      <c r="BT158" s="9"/>
    </row>
    <row r="159" spans="1:72" ht="14.25" customHeight="1" x14ac:dyDescent="0.2">
      <c r="A159" s="5" t="s">
        <v>615</v>
      </c>
      <c r="B159" s="4">
        <v>10</v>
      </c>
      <c r="C159" s="4" t="s">
        <v>7660</v>
      </c>
      <c r="D159" s="9" t="s">
        <v>616</v>
      </c>
      <c r="E159" s="9">
        <v>3107</v>
      </c>
      <c r="F159" s="9" t="s">
        <v>617</v>
      </c>
      <c r="G159" s="9" t="str">
        <f>CONCATENATE(-1*AF159," W, ",AE159," N, Elev. ",AG159," m")</f>
        <v>119.847531 W, 49.202333 N, Elev. 414 m</v>
      </c>
      <c r="H159" s="4" t="s">
        <v>426</v>
      </c>
      <c r="I159" s="9" t="s">
        <v>427</v>
      </c>
      <c r="J159" s="9">
        <v>38200</v>
      </c>
      <c r="K159" s="9"/>
      <c r="L159" s="9"/>
      <c r="M159" s="9"/>
      <c r="N159" s="9"/>
      <c r="O159" s="9"/>
      <c r="P159" s="9"/>
      <c r="Q159" s="9"/>
      <c r="R159" s="9"/>
      <c r="S159" s="9"/>
      <c r="T159" s="9"/>
      <c r="U159" s="9"/>
      <c r="V159" s="9"/>
      <c r="W159" s="9"/>
      <c r="X159" s="9"/>
      <c r="Y159" s="9"/>
      <c r="Z159" s="9"/>
      <c r="AA159" s="9"/>
      <c r="AB159" s="9"/>
      <c r="AC159" s="9"/>
      <c r="AD159" s="9"/>
      <c r="AE159" s="9">
        <v>49.202333000000003</v>
      </c>
      <c r="AF159" s="9">
        <v>-119.847531</v>
      </c>
      <c r="AG159" s="9">
        <v>414</v>
      </c>
      <c r="AH159" s="9"/>
      <c r="AI159" s="9"/>
      <c r="AJ159" s="9"/>
      <c r="AK159" s="9"/>
      <c r="AL159" s="9"/>
      <c r="AM159" s="9"/>
      <c r="AN159" s="9"/>
      <c r="AO159" s="9"/>
      <c r="AP159" s="9"/>
      <c r="AQ159" s="9"/>
      <c r="AR159" s="9"/>
      <c r="AS159" s="9"/>
      <c r="AT159" s="9"/>
      <c r="AU159" s="9"/>
      <c r="AV159" s="9"/>
      <c r="AW159" s="9"/>
      <c r="AX159" s="9"/>
      <c r="AY159" s="9"/>
      <c r="AZ159" s="9"/>
      <c r="BA159" s="9"/>
      <c r="BB159" s="9"/>
      <c r="BC159" s="9"/>
      <c r="BD159" s="9"/>
      <c r="BE159" s="9"/>
      <c r="BF159" s="9"/>
      <c r="BG159" s="9"/>
      <c r="BH159" s="9"/>
      <c r="BI159" s="9"/>
      <c r="BJ159" s="9"/>
      <c r="BK159" s="9"/>
      <c r="BL159" s="9"/>
      <c r="BM159" s="9"/>
      <c r="BN159" s="9"/>
      <c r="BO159" s="9"/>
      <c r="BP159" s="9"/>
      <c r="BQ159" s="9"/>
      <c r="BR159" s="9"/>
      <c r="BS159" s="9"/>
      <c r="BT159" s="9"/>
    </row>
    <row r="160" spans="1:72" ht="14.25" customHeight="1" x14ac:dyDescent="0.2">
      <c r="A160" s="5" t="s">
        <v>618</v>
      </c>
      <c r="B160" s="4">
        <v>10</v>
      </c>
      <c r="C160" s="10" t="s">
        <v>139</v>
      </c>
      <c r="D160" s="10" t="s">
        <v>619</v>
      </c>
      <c r="E160" s="8"/>
      <c r="F160" s="10" t="s">
        <v>620</v>
      </c>
      <c r="G160" s="8" t="str">
        <f>CONCATENATE("-&gt; ",-1*AF160," W, ",AE160," N, Elev. ",AG160," m")</f>
        <v>-&gt; 119.8523 W, 49.2029 N, Elev. 418 m</v>
      </c>
      <c r="I160" s="9"/>
      <c r="J160" s="9"/>
      <c r="K160" s="9"/>
      <c r="L160" s="9"/>
      <c r="M160" s="11">
        <v>49.2029</v>
      </c>
      <c r="N160" s="11">
        <v>-119.8523</v>
      </c>
      <c r="O160" s="11" t="s">
        <v>221</v>
      </c>
      <c r="P160" s="11" t="s">
        <v>621</v>
      </c>
      <c r="Q160" s="12">
        <v>1</v>
      </c>
      <c r="R160" s="11" t="s">
        <v>617</v>
      </c>
      <c r="S160" s="11" t="s">
        <v>145</v>
      </c>
      <c r="T160" s="11">
        <v>418</v>
      </c>
      <c r="U160" s="9"/>
      <c r="V160" s="9"/>
      <c r="W160" s="9"/>
      <c r="X160" s="9"/>
      <c r="Y160" s="9"/>
      <c r="Z160" s="9"/>
      <c r="AA160" s="9"/>
      <c r="AB160" s="9"/>
      <c r="AC160" s="9"/>
      <c r="AD160" s="9"/>
      <c r="AE160" s="8">
        <v>49.2029</v>
      </c>
      <c r="AF160" s="8">
        <v>-119.8523</v>
      </c>
      <c r="AG160" s="8">
        <v>418</v>
      </c>
      <c r="AH160" s="9"/>
      <c r="AI160" s="9"/>
      <c r="AJ160" s="9"/>
      <c r="AK160" s="9"/>
      <c r="AL160" s="9"/>
      <c r="AM160" s="9"/>
      <c r="AN160" s="9"/>
      <c r="AO160" s="9"/>
      <c r="AP160" s="9"/>
      <c r="AQ160" s="9"/>
      <c r="AR160" s="9"/>
      <c r="AS160" s="9"/>
      <c r="AT160" s="9"/>
      <c r="AU160" s="9"/>
      <c r="AV160" s="9"/>
      <c r="AW160" s="9"/>
      <c r="AX160" s="9"/>
      <c r="AY160" s="9"/>
      <c r="AZ160" s="9"/>
      <c r="BA160" s="9"/>
      <c r="BB160" s="9"/>
      <c r="BC160" s="9"/>
      <c r="BD160" s="9"/>
      <c r="BE160" s="9"/>
      <c r="BF160" s="9"/>
      <c r="BG160" s="9"/>
      <c r="BH160" s="9"/>
      <c r="BI160" s="9"/>
      <c r="BJ160" s="9"/>
      <c r="BK160" s="9"/>
      <c r="BL160" s="9"/>
      <c r="BM160" s="9"/>
      <c r="BN160" s="9"/>
      <c r="BO160" s="9"/>
      <c r="BP160" s="9"/>
      <c r="BQ160" s="9"/>
      <c r="BR160" s="9"/>
      <c r="BS160" s="9"/>
      <c r="BT160" s="9"/>
    </row>
    <row r="161" spans="1:72" ht="14.25" customHeight="1" x14ac:dyDescent="0.2">
      <c r="A161" s="5" t="s">
        <v>622</v>
      </c>
      <c r="B161" s="4">
        <v>10</v>
      </c>
      <c r="C161" s="4" t="s">
        <v>7660</v>
      </c>
      <c r="D161" s="9" t="s">
        <v>623</v>
      </c>
      <c r="E161" s="9">
        <v>1516</v>
      </c>
      <c r="F161" s="9" t="s">
        <v>624</v>
      </c>
      <c r="G161" s="9" t="str">
        <f>CONCATENATE(-1*AF161," W, ",AE161," N, Elev. ",AG161," m")</f>
        <v>119.1392 W, 50.6051 N, Elev. 355 m</v>
      </c>
      <c r="H161" s="4" t="s">
        <v>426</v>
      </c>
      <c r="I161" s="9" t="s">
        <v>427</v>
      </c>
      <c r="J161" s="9">
        <v>38975</v>
      </c>
      <c r="K161" s="9"/>
      <c r="L161" s="9"/>
      <c r="M161" s="9"/>
      <c r="N161" s="9"/>
      <c r="O161" s="9"/>
      <c r="P161" s="9"/>
      <c r="Q161" s="9"/>
      <c r="R161" s="9"/>
      <c r="S161" s="9"/>
      <c r="T161" s="9"/>
      <c r="U161" s="9"/>
      <c r="V161" s="9"/>
      <c r="W161" s="9"/>
      <c r="X161" s="9"/>
      <c r="Y161" s="9"/>
      <c r="Z161" s="9"/>
      <c r="AA161" s="9"/>
      <c r="AB161" s="9"/>
      <c r="AC161" s="9"/>
      <c r="AD161" s="9"/>
      <c r="AE161" s="9">
        <v>50.6051</v>
      </c>
      <c r="AF161" s="9">
        <v>-119.1392</v>
      </c>
      <c r="AG161" s="9">
        <v>355</v>
      </c>
      <c r="AH161" s="9"/>
      <c r="AI161" s="9"/>
      <c r="AJ161" s="9"/>
      <c r="AK161" s="9"/>
      <c r="AL161" s="9"/>
      <c r="AM161" s="9"/>
      <c r="AN161" s="9"/>
      <c r="AO161" s="9"/>
      <c r="AP161" s="9"/>
      <c r="AQ161" s="9"/>
      <c r="AR161" s="9"/>
      <c r="AS161" s="9"/>
      <c r="AT161" s="9"/>
      <c r="AU161" s="9"/>
      <c r="AV161" s="9"/>
      <c r="AW161" s="9"/>
      <c r="AX161" s="9"/>
      <c r="AY161" s="9"/>
      <c r="AZ161" s="9"/>
      <c r="BA161" s="9"/>
      <c r="BB161" s="9"/>
      <c r="BC161" s="9"/>
      <c r="BD161" s="9"/>
      <c r="BE161" s="9"/>
      <c r="BF161" s="9"/>
      <c r="BG161" s="9"/>
      <c r="BH161" s="9"/>
      <c r="BI161" s="9"/>
      <c r="BJ161" s="9"/>
      <c r="BK161" s="9"/>
      <c r="BL161" s="9"/>
      <c r="BM161" s="9"/>
      <c r="BN161" s="9"/>
      <c r="BO161" s="9"/>
      <c r="BP161" s="9"/>
      <c r="BQ161" s="9"/>
      <c r="BR161" s="9"/>
      <c r="BS161" s="9"/>
      <c r="BT161" s="9"/>
    </row>
    <row r="162" spans="1:72" ht="14.25" customHeight="1" x14ac:dyDescent="0.2">
      <c r="A162" s="5" t="s">
        <v>625</v>
      </c>
      <c r="B162" s="4">
        <v>10</v>
      </c>
      <c r="C162" s="10" t="s">
        <v>139</v>
      </c>
      <c r="D162" s="10" t="s">
        <v>626</v>
      </c>
      <c r="E162" s="8"/>
      <c r="F162" s="10" t="s">
        <v>627</v>
      </c>
      <c r="G162" s="8" t="str">
        <f>CONCATENATE("-&gt; ",-1*AF162," W, ",AE162," N, Elev. ",AG162," m")</f>
        <v>-&gt; 119.137926 W, 50.600903 N, Elev. 385 m</v>
      </c>
      <c r="I162" s="9"/>
      <c r="J162" s="9"/>
      <c r="K162" s="17"/>
      <c r="L162" s="17"/>
      <c r="M162" s="11">
        <v>50.600903000000002</v>
      </c>
      <c r="N162" s="11">
        <v>-119.13792599999999</v>
      </c>
      <c r="O162" s="11" t="s">
        <v>142</v>
      </c>
      <c r="P162" s="11" t="s">
        <v>628</v>
      </c>
      <c r="Q162" s="12">
        <v>1</v>
      </c>
      <c r="R162" s="11" t="s">
        <v>624</v>
      </c>
      <c r="S162" s="11" t="s">
        <v>145</v>
      </c>
      <c r="T162" s="11">
        <v>385</v>
      </c>
      <c r="U162" s="17"/>
      <c r="V162" s="17"/>
      <c r="W162" s="17"/>
      <c r="X162" s="17"/>
      <c r="Y162" s="17"/>
      <c r="Z162" s="17"/>
      <c r="AA162" s="17"/>
      <c r="AB162" s="17"/>
      <c r="AC162" s="17"/>
      <c r="AD162" s="17"/>
      <c r="AE162" s="8">
        <v>50.600903000000002</v>
      </c>
      <c r="AF162" s="8">
        <v>-119.13792599999999</v>
      </c>
      <c r="AG162" s="8">
        <v>385</v>
      </c>
      <c r="AH162" s="17"/>
      <c r="AI162" s="17"/>
      <c r="AJ162" s="17"/>
      <c r="AK162" s="17"/>
      <c r="AL162" s="17"/>
      <c r="AM162" s="17"/>
      <c r="AN162" s="17"/>
      <c r="AO162" s="17"/>
      <c r="AP162" s="17"/>
      <c r="AQ162" s="17"/>
      <c r="AR162" s="17"/>
      <c r="AS162" s="17"/>
      <c r="AT162" s="17"/>
      <c r="AU162" s="17"/>
      <c r="AV162" s="17"/>
      <c r="AW162" s="17"/>
      <c r="AX162" s="17"/>
      <c r="AY162" s="17"/>
      <c r="AZ162" s="17"/>
      <c r="BA162" s="17"/>
      <c r="BB162" s="17"/>
      <c r="BC162" s="17"/>
      <c r="BD162" s="17"/>
      <c r="BE162" s="17"/>
      <c r="BF162" s="17"/>
      <c r="BG162" s="17"/>
      <c r="BH162" s="17"/>
      <c r="BI162" s="17"/>
      <c r="BJ162" s="17"/>
      <c r="BK162" s="17"/>
      <c r="BL162" s="17"/>
      <c r="BM162" s="17"/>
      <c r="BN162" s="17"/>
      <c r="BO162" s="17"/>
      <c r="BP162" s="17"/>
      <c r="BQ162" s="17"/>
      <c r="BR162" s="17"/>
      <c r="BS162" s="17"/>
      <c r="BT162" s="17"/>
    </row>
    <row r="163" spans="1:72" ht="14.25" customHeight="1" x14ac:dyDescent="0.2">
      <c r="A163" s="5" t="s">
        <v>629</v>
      </c>
      <c r="B163" s="4">
        <v>10</v>
      </c>
      <c r="C163" s="4" t="s">
        <v>7660</v>
      </c>
      <c r="D163" s="9" t="s">
        <v>630</v>
      </c>
      <c r="E163" s="9">
        <v>3110</v>
      </c>
      <c r="F163" s="9" t="s">
        <v>631</v>
      </c>
      <c r="G163" s="9" t="str">
        <f>CONCATENATE(-1*AF163," W, ",AE163," N, Elev. ",AG163," m")</f>
        <v>119.65425 W, 49.585028 N, Elev. 459 m</v>
      </c>
      <c r="H163" s="4" t="s">
        <v>426</v>
      </c>
      <c r="I163" s="9" t="s">
        <v>427</v>
      </c>
      <c r="J163" s="9">
        <v>38200</v>
      </c>
      <c r="K163" s="9"/>
      <c r="L163" s="9"/>
      <c r="M163" s="9"/>
      <c r="N163" s="9"/>
      <c r="O163" s="9"/>
      <c r="P163" s="9"/>
      <c r="Q163" s="9"/>
      <c r="R163" s="9"/>
      <c r="S163" s="9"/>
      <c r="T163" s="9"/>
      <c r="U163" s="9"/>
      <c r="V163" s="9"/>
      <c r="W163" s="9"/>
      <c r="X163" s="9"/>
      <c r="Y163" s="9"/>
      <c r="Z163" s="9"/>
      <c r="AA163" s="9"/>
      <c r="AB163" s="9"/>
      <c r="AC163" s="9"/>
      <c r="AD163" s="9"/>
      <c r="AE163" s="9">
        <v>49.585028000000001</v>
      </c>
      <c r="AF163" s="9">
        <v>-119.65425</v>
      </c>
      <c r="AG163" s="9">
        <v>459</v>
      </c>
      <c r="AH163" s="9"/>
      <c r="AI163" s="9"/>
      <c r="AJ163" s="9"/>
      <c r="AK163" s="9"/>
      <c r="AL163" s="9"/>
      <c r="AM163" s="9"/>
      <c r="AN163" s="9"/>
      <c r="AO163" s="9"/>
      <c r="AP163" s="9"/>
      <c r="AQ163" s="9"/>
      <c r="AR163" s="9"/>
      <c r="AS163" s="9"/>
      <c r="AT163" s="9"/>
      <c r="AU163" s="9"/>
      <c r="AV163" s="9"/>
      <c r="AW163" s="9"/>
      <c r="AX163" s="9"/>
      <c r="AY163" s="9"/>
      <c r="AZ163" s="9"/>
      <c r="BA163" s="9"/>
      <c r="BB163" s="9"/>
      <c r="BC163" s="9"/>
      <c r="BD163" s="9"/>
      <c r="BE163" s="9"/>
      <c r="BF163" s="9"/>
      <c r="BG163" s="9"/>
      <c r="BH163" s="9"/>
      <c r="BI163" s="9"/>
      <c r="BJ163" s="9"/>
      <c r="BK163" s="9"/>
      <c r="BL163" s="9"/>
      <c r="BM163" s="9"/>
      <c r="BN163" s="9"/>
      <c r="BO163" s="9"/>
      <c r="BP163" s="9"/>
      <c r="BQ163" s="9"/>
      <c r="BR163" s="9"/>
      <c r="BS163" s="9"/>
      <c r="BT163" s="9"/>
    </row>
    <row r="164" spans="1:72" ht="14.25" customHeight="1" x14ac:dyDescent="0.2">
      <c r="A164" s="5" t="s">
        <v>632</v>
      </c>
      <c r="B164" s="4">
        <v>10</v>
      </c>
      <c r="C164" s="10" t="s">
        <v>139</v>
      </c>
      <c r="D164" s="10" t="s">
        <v>633</v>
      </c>
      <c r="E164" s="8"/>
      <c r="F164" s="10" t="s">
        <v>634</v>
      </c>
      <c r="G164" s="8" t="str">
        <f>CONCATENATE("-&gt; ",-1*AF164," W, ",AE164," N, Elev. ",AG164," m")</f>
        <v>-&gt; 119.6796 W, 49.5675 N, Elev. 566 m</v>
      </c>
      <c r="I164" s="9"/>
      <c r="J164" s="9"/>
      <c r="K164" s="9"/>
      <c r="L164" s="9"/>
      <c r="M164" s="11">
        <v>49.567500000000003</v>
      </c>
      <c r="N164" s="11">
        <v>-119.67959999999999</v>
      </c>
      <c r="O164" s="11" t="s">
        <v>142</v>
      </c>
      <c r="P164" s="11" t="s">
        <v>635</v>
      </c>
      <c r="Q164" s="12">
        <v>1</v>
      </c>
      <c r="R164" s="11" t="s">
        <v>636</v>
      </c>
      <c r="S164" s="11" t="s">
        <v>145</v>
      </c>
      <c r="T164" s="11">
        <v>566</v>
      </c>
      <c r="U164" s="9"/>
      <c r="V164" s="9"/>
      <c r="W164" s="9"/>
      <c r="X164" s="9"/>
      <c r="Y164" s="9"/>
      <c r="Z164" s="9"/>
      <c r="AA164" s="9"/>
      <c r="AB164" s="9"/>
      <c r="AC164" s="9"/>
      <c r="AD164" s="9"/>
      <c r="AE164" s="8">
        <v>49.567500000000003</v>
      </c>
      <c r="AF164" s="8">
        <v>-119.67959999999999</v>
      </c>
      <c r="AG164" s="8">
        <v>566</v>
      </c>
      <c r="AH164" s="9"/>
      <c r="AI164" s="9"/>
      <c r="AJ164" s="9"/>
      <c r="AK164" s="9"/>
      <c r="AL164" s="9"/>
      <c r="AM164" s="9"/>
      <c r="AN164" s="9"/>
      <c r="AO164" s="9"/>
      <c r="AP164" s="9"/>
      <c r="AQ164" s="9"/>
      <c r="AR164" s="9"/>
      <c r="AS164" s="9"/>
      <c r="AT164" s="9"/>
      <c r="AU164" s="9"/>
      <c r="AV164" s="9"/>
      <c r="AW164" s="9"/>
      <c r="AX164" s="9"/>
      <c r="AY164" s="9"/>
      <c r="AZ164" s="9"/>
      <c r="BA164" s="9"/>
      <c r="BB164" s="9"/>
      <c r="BC164" s="9"/>
      <c r="BD164" s="9"/>
      <c r="BE164" s="9"/>
      <c r="BF164" s="9"/>
      <c r="BG164" s="9"/>
      <c r="BH164" s="9"/>
      <c r="BI164" s="9"/>
      <c r="BJ164" s="9"/>
      <c r="BK164" s="9"/>
      <c r="BL164" s="9"/>
      <c r="BM164" s="9"/>
      <c r="BN164" s="9"/>
      <c r="BO164" s="9"/>
      <c r="BP164" s="9"/>
      <c r="BQ164" s="9"/>
      <c r="BR164" s="9"/>
      <c r="BS164" s="9"/>
      <c r="BT164" s="9"/>
    </row>
    <row r="165" spans="1:72" ht="14.25" customHeight="1" x14ac:dyDescent="0.2">
      <c r="A165" s="5"/>
      <c r="B165" s="4">
        <v>2</v>
      </c>
      <c r="C165" s="4" t="s">
        <v>7661</v>
      </c>
      <c r="D165" s="4">
        <v>11091</v>
      </c>
      <c r="E165" s="4">
        <v>2654</v>
      </c>
      <c r="F165" s="4" t="s">
        <v>638</v>
      </c>
      <c r="G165" s="19" t="s">
        <v>639</v>
      </c>
      <c r="H165" s="4" t="s">
        <v>640</v>
      </c>
      <c r="I165" s="4" t="s">
        <v>641</v>
      </c>
      <c r="J165" s="4" t="s">
        <v>642</v>
      </c>
      <c r="K165" s="4">
        <v>1</v>
      </c>
      <c r="L165" s="4">
        <v>3397</v>
      </c>
      <c r="M165" s="9">
        <v>50.054169999999999</v>
      </c>
      <c r="N165" s="9">
        <v>-123.11806</v>
      </c>
      <c r="O165" s="9" t="s">
        <v>51</v>
      </c>
      <c r="P165" s="9">
        <v>11091</v>
      </c>
      <c r="Q165" s="20">
        <v>3</v>
      </c>
      <c r="R165" s="9" t="s">
        <v>638</v>
      </c>
      <c r="S165" s="11" t="s">
        <v>643</v>
      </c>
      <c r="T165" s="9" t="s">
        <v>644</v>
      </c>
      <c r="U165" s="9">
        <v>496</v>
      </c>
      <c r="Z165" s="9" t="s">
        <v>645</v>
      </c>
      <c r="AA165" s="9" t="s">
        <v>646</v>
      </c>
      <c r="AB165" s="9"/>
      <c r="AC165" s="21"/>
      <c r="AD165" s="9"/>
      <c r="AH165" s="9"/>
      <c r="AI165" s="9"/>
    </row>
    <row r="166" spans="1:72" ht="14.25" customHeight="1" x14ac:dyDescent="0.2">
      <c r="A166" s="5"/>
      <c r="B166" s="4">
        <v>2</v>
      </c>
      <c r="C166" s="4" t="s">
        <v>7661</v>
      </c>
      <c r="D166" s="4">
        <v>11092</v>
      </c>
      <c r="E166" s="4">
        <v>2655</v>
      </c>
      <c r="F166" s="4" t="s">
        <v>647</v>
      </c>
      <c r="G166" s="19" t="s">
        <v>648</v>
      </c>
      <c r="H166" s="4" t="s">
        <v>649</v>
      </c>
      <c r="I166" s="4" t="s">
        <v>641</v>
      </c>
      <c r="J166" s="4" t="s">
        <v>642</v>
      </c>
      <c r="K166" s="4">
        <v>1</v>
      </c>
      <c r="L166" s="4">
        <v>3398</v>
      </c>
      <c r="M166" s="9">
        <v>49.843470000000003</v>
      </c>
      <c r="N166" s="9">
        <v>-123.14339</v>
      </c>
      <c r="O166" s="9" t="s">
        <v>51</v>
      </c>
      <c r="P166" s="9">
        <v>11092</v>
      </c>
      <c r="Q166" s="20">
        <v>3</v>
      </c>
      <c r="R166" s="9" t="s">
        <v>647</v>
      </c>
      <c r="S166" s="11" t="s">
        <v>650</v>
      </c>
      <c r="T166" s="9" t="s">
        <v>644</v>
      </c>
      <c r="U166" s="9">
        <v>320</v>
      </c>
      <c r="Z166" s="9" t="s">
        <v>645</v>
      </c>
      <c r="AA166" s="9" t="s">
        <v>651</v>
      </c>
      <c r="AB166" s="9"/>
      <c r="AC166" s="21"/>
      <c r="AD166" s="9"/>
      <c r="AH166" s="9"/>
      <c r="AI166" s="9"/>
    </row>
    <row r="167" spans="1:72" ht="14.25" customHeight="1" x14ac:dyDescent="0.2">
      <c r="A167" s="5"/>
      <c r="B167" s="4">
        <v>2</v>
      </c>
      <c r="C167" s="4" t="s">
        <v>7661</v>
      </c>
      <c r="D167" s="4">
        <v>11121</v>
      </c>
      <c r="E167" s="4">
        <v>2657</v>
      </c>
      <c r="F167" s="4" t="s">
        <v>652</v>
      </c>
      <c r="G167" s="19" t="s">
        <v>653</v>
      </c>
      <c r="H167" s="4" t="s">
        <v>654</v>
      </c>
      <c r="I167" s="4" t="s">
        <v>641</v>
      </c>
      <c r="J167" s="4" t="s">
        <v>655</v>
      </c>
      <c r="K167" s="4">
        <v>1</v>
      </c>
      <c r="L167" s="4">
        <v>3400</v>
      </c>
      <c r="M167" s="9">
        <v>49.404440000000001</v>
      </c>
      <c r="N167" s="9">
        <v>-123.19110999999999</v>
      </c>
      <c r="O167" s="9" t="s">
        <v>51</v>
      </c>
      <c r="P167" s="9">
        <v>11121</v>
      </c>
      <c r="Q167" s="20">
        <v>6</v>
      </c>
      <c r="R167" s="9" t="s">
        <v>656</v>
      </c>
      <c r="S167" s="11" t="s">
        <v>657</v>
      </c>
      <c r="T167" s="9" t="s">
        <v>644</v>
      </c>
      <c r="U167" s="9">
        <v>1220</v>
      </c>
      <c r="Z167" s="9" t="s">
        <v>645</v>
      </c>
      <c r="AA167" s="9" t="s">
        <v>658</v>
      </c>
      <c r="AB167" s="9"/>
      <c r="AC167" s="9"/>
      <c r="AD167" s="9"/>
      <c r="AE167" s="9"/>
      <c r="AF167" s="9"/>
      <c r="AG167" s="9"/>
      <c r="AH167" s="9"/>
      <c r="AI167" s="9"/>
    </row>
    <row r="168" spans="1:72" ht="14.25" customHeight="1" x14ac:dyDescent="0.2">
      <c r="A168" s="5"/>
      <c r="B168" s="4">
        <v>2</v>
      </c>
      <c r="C168" s="4" t="s">
        <v>7661</v>
      </c>
      <c r="D168" s="4">
        <v>11122</v>
      </c>
      <c r="E168" s="4">
        <v>2658</v>
      </c>
      <c r="F168" s="4" t="s">
        <v>659</v>
      </c>
      <c r="G168" s="22" t="s">
        <v>660</v>
      </c>
      <c r="H168" s="4" t="s">
        <v>661</v>
      </c>
      <c r="I168" s="4" t="s">
        <v>641</v>
      </c>
      <c r="J168" s="4" t="s">
        <v>662</v>
      </c>
      <c r="K168" s="4">
        <v>1</v>
      </c>
      <c r="L168" s="4">
        <v>3401</v>
      </c>
    </row>
    <row r="169" spans="1:72" ht="14.25" customHeight="1" x14ac:dyDescent="0.2">
      <c r="A169" s="5"/>
      <c r="B169" s="4">
        <v>2</v>
      </c>
      <c r="C169" s="4" t="s">
        <v>7661</v>
      </c>
      <c r="D169" s="4">
        <v>11123</v>
      </c>
      <c r="E169" s="4">
        <v>2659</v>
      </c>
      <c r="F169" s="4" t="s">
        <v>663</v>
      </c>
      <c r="G169" s="22" t="s">
        <v>664</v>
      </c>
      <c r="H169" s="4" t="s">
        <v>665</v>
      </c>
      <c r="I169" s="4" t="s">
        <v>641</v>
      </c>
      <c r="J169" s="4" t="s">
        <v>666</v>
      </c>
      <c r="K169" s="4">
        <v>1</v>
      </c>
      <c r="L169" s="4">
        <v>3402</v>
      </c>
    </row>
    <row r="170" spans="1:72" ht="14.25" customHeight="1" x14ac:dyDescent="0.2">
      <c r="A170" s="5"/>
      <c r="B170" s="4">
        <v>2</v>
      </c>
      <c r="C170" s="4" t="s">
        <v>7661</v>
      </c>
      <c r="D170" s="4">
        <v>11124</v>
      </c>
      <c r="E170" s="4">
        <v>2660</v>
      </c>
      <c r="F170" s="4" t="s">
        <v>667</v>
      </c>
      <c r="G170" s="22" t="s">
        <v>668</v>
      </c>
      <c r="H170" s="4" t="s">
        <v>669</v>
      </c>
      <c r="I170" s="4" t="s">
        <v>641</v>
      </c>
      <c r="J170" s="4" t="s">
        <v>670</v>
      </c>
      <c r="K170" s="4">
        <v>1</v>
      </c>
      <c r="L170" s="4">
        <v>3403</v>
      </c>
    </row>
    <row r="171" spans="1:72" ht="14.25" customHeight="1" x14ac:dyDescent="0.2">
      <c r="A171" s="5"/>
      <c r="B171" s="4">
        <v>2</v>
      </c>
      <c r="C171" s="4" t="s">
        <v>7661</v>
      </c>
      <c r="D171" s="4">
        <v>11125</v>
      </c>
      <c r="E171" s="4">
        <v>2661</v>
      </c>
      <c r="F171" s="4" t="s">
        <v>671</v>
      </c>
      <c r="G171" s="22" t="s">
        <v>672</v>
      </c>
      <c r="H171" s="4" t="s">
        <v>673</v>
      </c>
      <c r="I171" s="4" t="s">
        <v>641</v>
      </c>
      <c r="J171" s="4" t="s">
        <v>674</v>
      </c>
      <c r="K171" s="4">
        <v>1</v>
      </c>
      <c r="L171" s="4">
        <v>3404</v>
      </c>
      <c r="M171" s="9">
        <v>49.534170000000003</v>
      </c>
      <c r="N171" s="9">
        <v>-123.21832999999999</v>
      </c>
      <c r="O171" s="9" t="s">
        <v>51</v>
      </c>
      <c r="P171" s="9">
        <v>11125</v>
      </c>
      <c r="Q171" s="20">
        <v>6</v>
      </c>
      <c r="R171" s="9" t="s">
        <v>671</v>
      </c>
      <c r="S171" s="11" t="s">
        <v>675</v>
      </c>
      <c r="T171" s="9" t="s">
        <v>644</v>
      </c>
      <c r="U171" s="9">
        <v>1280</v>
      </c>
      <c r="Z171" s="9"/>
      <c r="AA171" s="9" t="s">
        <v>676</v>
      </c>
      <c r="AB171" s="9"/>
      <c r="AC171" s="9"/>
      <c r="AD171" s="9"/>
      <c r="AE171" s="9"/>
      <c r="AF171" s="9"/>
      <c r="AG171" s="9"/>
      <c r="AH171" s="9"/>
      <c r="AI171" s="9"/>
    </row>
    <row r="172" spans="1:72" ht="14.25" customHeight="1" x14ac:dyDescent="0.2">
      <c r="A172" s="5"/>
      <c r="B172" s="4">
        <v>2</v>
      </c>
      <c r="C172" s="4" t="s">
        <v>7661</v>
      </c>
      <c r="D172" s="4">
        <v>11128</v>
      </c>
      <c r="E172" s="4">
        <v>12502</v>
      </c>
      <c r="F172" s="4" t="s">
        <v>677</v>
      </c>
      <c r="G172" s="19" t="s">
        <v>678</v>
      </c>
      <c r="H172" s="4" t="s">
        <v>679</v>
      </c>
      <c r="I172" s="4" t="s">
        <v>49</v>
      </c>
      <c r="J172" s="4" t="s">
        <v>680</v>
      </c>
      <c r="K172" s="4">
        <v>1</v>
      </c>
      <c r="L172" s="4">
        <v>14524</v>
      </c>
      <c r="M172" s="9">
        <v>49.546709999999997</v>
      </c>
      <c r="N172" s="9">
        <v>-123.23985</v>
      </c>
      <c r="O172" s="9" t="s">
        <v>51</v>
      </c>
      <c r="P172" s="9">
        <v>11128</v>
      </c>
      <c r="Q172" s="20">
        <v>1</v>
      </c>
      <c r="R172" s="9" t="s">
        <v>677</v>
      </c>
      <c r="S172" s="11" t="s">
        <v>681</v>
      </c>
      <c r="T172" s="9" t="s">
        <v>644</v>
      </c>
      <c r="U172" s="9">
        <v>65</v>
      </c>
      <c r="Z172" s="9"/>
      <c r="AA172" s="9" t="s">
        <v>682</v>
      </c>
      <c r="AB172" s="9"/>
      <c r="AC172" s="9"/>
      <c r="AD172" s="9"/>
      <c r="AE172" s="9"/>
      <c r="AF172" s="9"/>
      <c r="AG172" s="9"/>
      <c r="AH172" s="9"/>
      <c r="AI172" s="9"/>
    </row>
    <row r="173" spans="1:72" ht="14.25" customHeight="1" x14ac:dyDescent="0.2">
      <c r="A173" s="5"/>
      <c r="B173" s="4">
        <v>2</v>
      </c>
      <c r="C173" s="4" t="s">
        <v>7661</v>
      </c>
      <c r="D173" s="4">
        <v>11191</v>
      </c>
      <c r="E173" s="4">
        <v>2662</v>
      </c>
      <c r="F173" s="4" t="s">
        <v>683</v>
      </c>
      <c r="G173" s="19" t="s">
        <v>684</v>
      </c>
      <c r="H173" s="4" t="s">
        <v>685</v>
      </c>
      <c r="I173" s="4" t="s">
        <v>641</v>
      </c>
      <c r="J173" s="4" t="s">
        <v>642</v>
      </c>
      <c r="K173" s="4">
        <v>1</v>
      </c>
      <c r="L173" s="4">
        <v>3405</v>
      </c>
      <c r="M173" s="8">
        <v>49.371859999999998</v>
      </c>
      <c r="N173" s="8">
        <v>-123.26969</v>
      </c>
      <c r="O173" s="9" t="s">
        <v>183</v>
      </c>
      <c r="P173" s="4">
        <v>11191</v>
      </c>
      <c r="Q173" s="20">
        <v>3</v>
      </c>
      <c r="R173" s="9" t="s">
        <v>683</v>
      </c>
      <c r="S173" s="11" t="s">
        <v>686</v>
      </c>
      <c r="T173" s="9" t="s">
        <v>644</v>
      </c>
      <c r="U173" s="9">
        <v>140</v>
      </c>
      <c r="Z173" s="9" t="s">
        <v>645</v>
      </c>
      <c r="AA173" s="9" t="s">
        <v>687</v>
      </c>
      <c r="AB173" s="9"/>
      <c r="AC173" s="21"/>
      <c r="AD173" s="9"/>
      <c r="AE173" s="9"/>
      <c r="AF173" s="9"/>
      <c r="AG173" s="9"/>
      <c r="AH173" s="9"/>
      <c r="AI173" s="9"/>
    </row>
    <row r="174" spans="1:72" ht="14.25" customHeight="1" x14ac:dyDescent="0.2">
      <c r="A174" s="5" t="s">
        <v>328</v>
      </c>
      <c r="B174" s="4">
        <v>2</v>
      </c>
      <c r="C174" s="10" t="s">
        <v>7662</v>
      </c>
      <c r="D174" s="10" t="s">
        <v>689</v>
      </c>
      <c r="F174" s="10" t="s">
        <v>690</v>
      </c>
      <c r="G174" s="10" t="s">
        <v>691</v>
      </c>
      <c r="I174" s="8" t="s">
        <v>641</v>
      </c>
      <c r="M174" s="9">
        <v>49.507249999999999</v>
      </c>
      <c r="N174" s="9">
        <v>-123.87978</v>
      </c>
      <c r="O174" s="9" t="s">
        <v>183</v>
      </c>
      <c r="P174" s="9">
        <v>12092</v>
      </c>
      <c r="Q174" s="20">
        <v>3</v>
      </c>
      <c r="R174" s="9" t="s">
        <v>692</v>
      </c>
      <c r="S174" s="11" t="s">
        <v>693</v>
      </c>
      <c r="T174" s="9" t="s">
        <v>644</v>
      </c>
      <c r="U174" s="9">
        <v>164</v>
      </c>
      <c r="Z174" s="9"/>
      <c r="AA174" s="9" t="s">
        <v>694</v>
      </c>
      <c r="AB174" s="9"/>
      <c r="AC174" s="9"/>
      <c r="AD174" s="9"/>
      <c r="AE174" s="9"/>
      <c r="AF174" s="9"/>
      <c r="AG174" s="9"/>
      <c r="AH174" s="9"/>
      <c r="AI174" s="9"/>
    </row>
    <row r="175" spans="1:72" ht="14.25" customHeight="1" x14ac:dyDescent="0.2">
      <c r="A175" s="5" t="s">
        <v>328</v>
      </c>
      <c r="B175" s="4">
        <v>2</v>
      </c>
      <c r="C175" s="10" t="s">
        <v>7662</v>
      </c>
      <c r="D175" s="10" t="s">
        <v>695</v>
      </c>
      <c r="F175" s="10" t="s">
        <v>696</v>
      </c>
      <c r="G175" s="10" t="s">
        <v>697</v>
      </c>
      <c r="I175" s="8" t="s">
        <v>641</v>
      </c>
      <c r="M175" s="9">
        <v>49.217779999999998</v>
      </c>
      <c r="N175" s="9">
        <v>-122.81194000000001</v>
      </c>
      <c r="O175" s="9" t="s">
        <v>183</v>
      </c>
      <c r="P175" s="9">
        <v>14092</v>
      </c>
      <c r="Q175" s="20">
        <v>2</v>
      </c>
      <c r="R175" s="9" t="s">
        <v>698</v>
      </c>
      <c r="S175" s="11" t="s">
        <v>699</v>
      </c>
      <c r="T175" s="9" t="s">
        <v>644</v>
      </c>
      <c r="U175" s="9">
        <v>40</v>
      </c>
      <c r="Z175" s="9"/>
      <c r="AA175" s="9" t="s">
        <v>700</v>
      </c>
      <c r="AB175" s="9"/>
      <c r="AC175" s="9"/>
      <c r="AD175" s="9"/>
      <c r="AE175" s="9"/>
      <c r="AF175" s="9"/>
      <c r="AG175" s="9"/>
      <c r="AH175" s="9"/>
      <c r="AI175" s="9"/>
    </row>
    <row r="176" spans="1:72" ht="14.25" customHeight="1" x14ac:dyDescent="0.2">
      <c r="A176" s="5" t="s">
        <v>138</v>
      </c>
      <c r="B176" s="4">
        <v>2</v>
      </c>
      <c r="C176" s="10" t="s">
        <v>7662</v>
      </c>
      <c r="D176" s="10" t="s">
        <v>701</v>
      </c>
      <c r="F176" s="10" t="s">
        <v>702</v>
      </c>
      <c r="G176" s="10" t="s">
        <v>703</v>
      </c>
      <c r="I176" s="8" t="s">
        <v>641</v>
      </c>
      <c r="M176" s="9">
        <v>49.205280000000002</v>
      </c>
      <c r="N176" s="9">
        <v>-122.80202</v>
      </c>
      <c r="O176" s="9" t="s">
        <v>183</v>
      </c>
      <c r="P176" s="9">
        <v>14093</v>
      </c>
      <c r="Q176" s="20">
        <v>3</v>
      </c>
      <c r="R176" s="8" t="s">
        <v>704</v>
      </c>
      <c r="S176" s="11" t="s">
        <v>705</v>
      </c>
      <c r="T176" s="9" t="s">
        <v>644</v>
      </c>
      <c r="U176" s="9">
        <v>93</v>
      </c>
      <c r="Z176" s="9"/>
      <c r="AA176" s="9" t="s">
        <v>706</v>
      </c>
      <c r="AB176" s="9"/>
      <c r="AC176" s="9"/>
      <c r="AD176" s="9"/>
      <c r="AE176" s="9"/>
      <c r="AF176" s="9"/>
      <c r="AG176" s="9"/>
      <c r="AH176" s="9"/>
      <c r="AI176" s="9"/>
    </row>
    <row r="177" spans="1:35" ht="14.25" customHeight="1" x14ac:dyDescent="0.2">
      <c r="A177" s="5"/>
      <c r="B177" s="4">
        <v>2</v>
      </c>
      <c r="C177" s="4" t="s">
        <v>7661</v>
      </c>
      <c r="D177" s="4">
        <v>14094</v>
      </c>
      <c r="E177" s="4">
        <v>12496</v>
      </c>
      <c r="F177" s="4" t="s">
        <v>707</v>
      </c>
      <c r="G177" s="19" t="s">
        <v>708</v>
      </c>
      <c r="H177" s="4" t="s">
        <v>709</v>
      </c>
      <c r="I177" s="4" t="s">
        <v>49</v>
      </c>
      <c r="J177" s="4" t="s">
        <v>710</v>
      </c>
      <c r="K177" s="4">
        <v>1</v>
      </c>
      <c r="L177" s="4">
        <v>14518</v>
      </c>
      <c r="M177" s="9">
        <v>49.126710000000003</v>
      </c>
      <c r="N177" s="9">
        <v>-123.07947</v>
      </c>
      <c r="O177" s="9" t="s">
        <v>183</v>
      </c>
      <c r="P177" s="9">
        <v>14094</v>
      </c>
      <c r="Q177" s="20">
        <v>1</v>
      </c>
      <c r="R177" s="9" t="s">
        <v>707</v>
      </c>
      <c r="S177" s="11" t="s">
        <v>711</v>
      </c>
      <c r="T177" s="9" t="s">
        <v>644</v>
      </c>
      <c r="U177" s="9">
        <v>5</v>
      </c>
      <c r="Z177" s="9"/>
      <c r="AA177" s="9" t="s">
        <v>712</v>
      </c>
      <c r="AB177" s="9"/>
      <c r="AC177" s="9"/>
      <c r="AD177" s="9"/>
      <c r="AE177" s="9"/>
      <c r="AF177" s="9"/>
      <c r="AG177" s="9"/>
      <c r="AH177" s="9"/>
      <c r="AI177" s="9"/>
    </row>
    <row r="178" spans="1:35" ht="14.25" customHeight="1" x14ac:dyDescent="0.2">
      <c r="A178" s="5"/>
      <c r="B178" s="4">
        <v>2</v>
      </c>
      <c r="C178" s="4" t="s">
        <v>7661</v>
      </c>
      <c r="D178" s="4">
        <v>14095</v>
      </c>
      <c r="E178" s="4">
        <v>12503</v>
      </c>
      <c r="F178" s="4" t="s">
        <v>713</v>
      </c>
      <c r="G178" s="19" t="s">
        <v>714</v>
      </c>
      <c r="H178" s="4" t="s">
        <v>679</v>
      </c>
      <c r="I178" s="4" t="s">
        <v>49</v>
      </c>
      <c r="J178" s="4" t="s">
        <v>715</v>
      </c>
      <c r="K178" s="4">
        <v>1</v>
      </c>
      <c r="L178" s="4">
        <v>14525</v>
      </c>
      <c r="M178" s="9">
        <v>49.160029999999999</v>
      </c>
      <c r="N178" s="9">
        <v>-122.94307999999999</v>
      </c>
      <c r="O178" s="9" t="s">
        <v>183</v>
      </c>
      <c r="P178" s="9">
        <v>14095</v>
      </c>
      <c r="Q178" s="20">
        <v>2</v>
      </c>
      <c r="R178" s="9" t="s">
        <v>713</v>
      </c>
      <c r="S178" s="11" t="s">
        <v>716</v>
      </c>
      <c r="T178" s="9" t="s">
        <v>644</v>
      </c>
      <c r="U178" s="9">
        <v>60</v>
      </c>
      <c r="Z178" s="9"/>
      <c r="AA178" s="9" t="s">
        <v>717</v>
      </c>
      <c r="AB178" s="9"/>
      <c r="AC178" s="9"/>
      <c r="AD178" s="9"/>
      <c r="AE178" s="9"/>
      <c r="AF178" s="9"/>
      <c r="AG178" s="9"/>
      <c r="AH178" s="9"/>
      <c r="AI178" s="9"/>
    </row>
    <row r="179" spans="1:35" ht="14.25" customHeight="1" x14ac:dyDescent="0.2">
      <c r="A179" s="5" t="s">
        <v>88</v>
      </c>
      <c r="B179" s="4">
        <v>2</v>
      </c>
      <c r="C179" s="4" t="s">
        <v>7661</v>
      </c>
      <c r="D179" s="4">
        <v>14096</v>
      </c>
      <c r="E179" s="4">
        <v>12998</v>
      </c>
      <c r="F179" s="4" t="s">
        <v>718</v>
      </c>
      <c r="G179" s="8" t="s">
        <v>719</v>
      </c>
      <c r="H179" s="4" t="s">
        <v>720</v>
      </c>
      <c r="I179" s="4" t="s">
        <v>49</v>
      </c>
      <c r="J179" s="4" t="s">
        <v>721</v>
      </c>
      <c r="K179" s="4">
        <v>1</v>
      </c>
      <c r="L179" s="4">
        <v>14930</v>
      </c>
      <c r="M179" s="8">
        <v>49.16187</v>
      </c>
      <c r="N179" s="8">
        <v>-122.94392000000001</v>
      </c>
      <c r="O179" s="8" t="s">
        <v>183</v>
      </c>
      <c r="P179" s="8">
        <v>14094</v>
      </c>
      <c r="Q179" s="8"/>
      <c r="R179" s="8" t="s">
        <v>722</v>
      </c>
      <c r="S179" s="8"/>
      <c r="T179" s="8"/>
      <c r="U179" s="8">
        <v>130</v>
      </c>
      <c r="Z179" s="8"/>
      <c r="AA179" s="8" t="s">
        <v>723</v>
      </c>
    </row>
    <row r="180" spans="1:35" ht="14.25" customHeight="1" x14ac:dyDescent="0.2">
      <c r="A180" s="5" t="s">
        <v>88</v>
      </c>
      <c r="B180" s="4">
        <v>2</v>
      </c>
      <c r="C180" s="4" t="s">
        <v>7661</v>
      </c>
      <c r="D180" s="4">
        <v>14097</v>
      </c>
      <c r="E180" s="4">
        <v>12999</v>
      </c>
      <c r="F180" s="4" t="s">
        <v>724</v>
      </c>
      <c r="G180" s="8" t="s">
        <v>725</v>
      </c>
      <c r="H180" s="4" t="s">
        <v>720</v>
      </c>
      <c r="I180" s="4" t="s">
        <v>49</v>
      </c>
      <c r="J180" s="4" t="s">
        <v>726</v>
      </c>
      <c r="K180" s="4">
        <v>1</v>
      </c>
      <c r="L180" s="4">
        <v>14931</v>
      </c>
      <c r="M180" s="8">
        <v>49.161799999999999</v>
      </c>
      <c r="N180" s="8">
        <v>-122.94391</v>
      </c>
      <c r="O180" s="8" t="s">
        <v>183</v>
      </c>
      <c r="P180" s="8">
        <v>14095</v>
      </c>
      <c r="Q180" s="8"/>
      <c r="R180" s="8" t="s">
        <v>727</v>
      </c>
      <c r="S180" s="8"/>
      <c r="T180" s="8"/>
      <c r="U180" s="8">
        <v>80</v>
      </c>
      <c r="Z180" s="8"/>
      <c r="AA180" s="8" t="s">
        <v>728</v>
      </c>
    </row>
    <row r="181" spans="1:35" ht="14.25" customHeight="1" x14ac:dyDescent="0.2">
      <c r="A181" s="5"/>
      <c r="B181" s="4">
        <v>2</v>
      </c>
      <c r="C181" s="4" t="s">
        <v>7661</v>
      </c>
      <c r="D181" s="4">
        <v>14098</v>
      </c>
      <c r="E181" s="4">
        <v>12504</v>
      </c>
      <c r="F181" s="4" t="s">
        <v>729</v>
      </c>
      <c r="G181" s="19" t="s">
        <v>730</v>
      </c>
      <c r="H181" s="4" t="s">
        <v>679</v>
      </c>
      <c r="I181" s="4" t="s">
        <v>49</v>
      </c>
      <c r="J181" s="4" t="s">
        <v>731</v>
      </c>
      <c r="K181" s="4">
        <v>1</v>
      </c>
      <c r="L181" s="4">
        <v>14526</v>
      </c>
      <c r="M181" s="8">
        <v>49.171529999999997</v>
      </c>
      <c r="N181" s="8">
        <v>-122.9516</v>
      </c>
      <c r="O181" s="8" t="s">
        <v>183</v>
      </c>
      <c r="P181" s="8">
        <v>14098</v>
      </c>
      <c r="Q181" s="8"/>
      <c r="R181" s="8" t="s">
        <v>732</v>
      </c>
      <c r="S181" s="8"/>
      <c r="T181" s="8"/>
      <c r="U181" s="8">
        <v>4</v>
      </c>
      <c r="Z181" s="8"/>
      <c r="AA181" s="8"/>
      <c r="AB181" s="8"/>
      <c r="AC181" s="8"/>
      <c r="AD181" s="8"/>
    </row>
    <row r="182" spans="1:35" ht="14.25" customHeight="1" x14ac:dyDescent="0.2">
      <c r="A182" s="5"/>
      <c r="B182" s="4">
        <v>2</v>
      </c>
      <c r="C182" s="4" t="s">
        <v>7661</v>
      </c>
      <c r="D182" s="4">
        <v>15092</v>
      </c>
      <c r="E182" s="4">
        <v>2667</v>
      </c>
      <c r="F182" s="4" t="s">
        <v>733</v>
      </c>
      <c r="G182" s="19" t="s">
        <v>734</v>
      </c>
      <c r="H182" s="4" t="s">
        <v>735</v>
      </c>
      <c r="I182" s="4" t="s">
        <v>641</v>
      </c>
      <c r="J182" s="4" t="s">
        <v>642</v>
      </c>
      <c r="K182" s="4">
        <v>1</v>
      </c>
      <c r="L182" s="4">
        <v>3410</v>
      </c>
      <c r="M182" s="9">
        <v>49.075560000000003</v>
      </c>
      <c r="N182" s="9">
        <v>-122.42528</v>
      </c>
      <c r="O182" s="9" t="s">
        <v>183</v>
      </c>
      <c r="P182" s="9">
        <v>15092</v>
      </c>
      <c r="Q182" s="20">
        <v>3</v>
      </c>
      <c r="R182" s="9" t="s">
        <v>733</v>
      </c>
      <c r="S182" s="11" t="s">
        <v>736</v>
      </c>
      <c r="T182" s="9" t="s">
        <v>644</v>
      </c>
      <c r="U182" s="9">
        <v>110</v>
      </c>
      <c r="Z182" s="9" t="s">
        <v>645</v>
      </c>
      <c r="AA182" s="9" t="s">
        <v>737</v>
      </c>
      <c r="AB182" s="9"/>
      <c r="AC182" s="21"/>
      <c r="AD182" s="9"/>
      <c r="AE182" s="9"/>
      <c r="AF182" s="9"/>
      <c r="AG182" s="9"/>
      <c r="AH182" s="9"/>
      <c r="AI182" s="9"/>
    </row>
    <row r="183" spans="1:35" ht="14.25" customHeight="1" x14ac:dyDescent="0.2">
      <c r="A183" s="5"/>
      <c r="B183" s="4">
        <v>2</v>
      </c>
      <c r="C183" s="4" t="s">
        <v>7661</v>
      </c>
      <c r="D183" s="4">
        <v>15093</v>
      </c>
      <c r="E183" s="4">
        <v>2668</v>
      </c>
      <c r="F183" s="4" t="s">
        <v>738</v>
      </c>
      <c r="G183" s="19" t="s">
        <v>739</v>
      </c>
      <c r="H183" s="4" t="s">
        <v>740</v>
      </c>
      <c r="I183" s="4" t="s">
        <v>641</v>
      </c>
      <c r="J183" s="4" t="s">
        <v>642</v>
      </c>
      <c r="K183" s="4">
        <v>1</v>
      </c>
      <c r="L183" s="4">
        <v>3411</v>
      </c>
      <c r="M183" s="9">
        <v>49.363059999999997</v>
      </c>
      <c r="N183" s="9">
        <v>-121.35611</v>
      </c>
      <c r="O183" s="9" t="s">
        <v>51</v>
      </c>
      <c r="P183" s="9">
        <v>15093</v>
      </c>
      <c r="Q183" s="20">
        <v>2</v>
      </c>
      <c r="R183" s="9" t="s">
        <v>738</v>
      </c>
      <c r="S183" s="11" t="s">
        <v>741</v>
      </c>
      <c r="T183" s="9" t="s">
        <v>644</v>
      </c>
      <c r="U183" s="9">
        <v>244</v>
      </c>
      <c r="Z183" s="9"/>
      <c r="AA183" s="9" t="s">
        <v>742</v>
      </c>
      <c r="AB183" s="9"/>
      <c r="AC183" s="21"/>
      <c r="AD183" s="9"/>
      <c r="AE183" s="9"/>
      <c r="AF183" s="9"/>
      <c r="AG183" s="9"/>
      <c r="AH183" s="9"/>
      <c r="AI183" s="9"/>
    </row>
    <row r="184" spans="1:35" ht="14.25" customHeight="1" x14ac:dyDescent="0.2">
      <c r="A184" s="5"/>
      <c r="B184" s="4">
        <v>2</v>
      </c>
      <c r="C184" s="4" t="s">
        <v>7661</v>
      </c>
      <c r="D184" s="4">
        <v>15122</v>
      </c>
      <c r="E184" s="4">
        <v>2671</v>
      </c>
      <c r="F184" s="4" t="s">
        <v>743</v>
      </c>
      <c r="G184" s="19" t="s">
        <v>744</v>
      </c>
      <c r="H184" s="4" t="s">
        <v>745</v>
      </c>
      <c r="I184" s="4" t="s">
        <v>641</v>
      </c>
      <c r="J184" s="4" t="s">
        <v>642</v>
      </c>
      <c r="K184" s="4">
        <v>1</v>
      </c>
      <c r="L184" s="4">
        <v>3414</v>
      </c>
      <c r="M184" s="9">
        <v>49.75703</v>
      </c>
      <c r="N184" s="9">
        <v>-121.41803</v>
      </c>
      <c r="O184" s="9" t="s">
        <v>142</v>
      </c>
      <c r="P184" s="9">
        <v>15122</v>
      </c>
      <c r="Q184" s="20">
        <v>1</v>
      </c>
      <c r="R184" s="9" t="s">
        <v>743</v>
      </c>
      <c r="S184" s="11" t="s">
        <v>746</v>
      </c>
      <c r="T184" s="9" t="s">
        <v>644</v>
      </c>
      <c r="U184" s="9">
        <v>280</v>
      </c>
      <c r="Z184" s="9" t="s">
        <v>645</v>
      </c>
      <c r="AA184" s="9" t="s">
        <v>747</v>
      </c>
      <c r="AB184" s="9"/>
      <c r="AC184" s="21"/>
      <c r="AD184" s="9"/>
      <c r="AE184" s="9"/>
      <c r="AF184" s="9"/>
      <c r="AG184" s="9"/>
      <c r="AH184" s="9"/>
      <c r="AI184" s="9"/>
    </row>
    <row r="185" spans="1:35" ht="14.25" customHeight="1" x14ac:dyDescent="0.2">
      <c r="A185" s="5"/>
      <c r="B185" s="4">
        <v>2</v>
      </c>
      <c r="C185" s="4" t="s">
        <v>7661</v>
      </c>
      <c r="D185" s="4">
        <v>15123</v>
      </c>
      <c r="E185" s="4">
        <v>2672</v>
      </c>
      <c r="F185" s="4" t="s">
        <v>748</v>
      </c>
      <c r="G185" s="19" t="s">
        <v>749</v>
      </c>
      <c r="H185" s="4" t="s">
        <v>750</v>
      </c>
      <c r="I185" s="4" t="s">
        <v>641</v>
      </c>
      <c r="J185" s="4" t="s">
        <v>751</v>
      </c>
      <c r="K185" s="4">
        <v>1</v>
      </c>
      <c r="L185" s="4">
        <v>3415</v>
      </c>
    </row>
    <row r="186" spans="1:35" ht="14.25" customHeight="1" x14ac:dyDescent="0.2">
      <c r="A186" s="5"/>
      <c r="B186" s="4">
        <v>2</v>
      </c>
      <c r="C186" s="4" t="s">
        <v>7661</v>
      </c>
      <c r="D186" s="4">
        <v>15124</v>
      </c>
      <c r="E186" s="4">
        <v>2673</v>
      </c>
      <c r="F186" s="4" t="s">
        <v>752</v>
      </c>
      <c r="G186" s="19" t="s">
        <v>753</v>
      </c>
      <c r="H186" s="4" t="s">
        <v>754</v>
      </c>
      <c r="I186" s="4" t="s">
        <v>641</v>
      </c>
      <c r="J186" s="4" t="s">
        <v>755</v>
      </c>
      <c r="K186" s="4">
        <v>1</v>
      </c>
      <c r="L186" s="4">
        <v>3416</v>
      </c>
      <c r="M186" s="9">
        <v>50.07611</v>
      </c>
      <c r="N186" s="9">
        <v>-121.5475</v>
      </c>
      <c r="O186" s="9" t="s">
        <v>142</v>
      </c>
      <c r="P186" s="9">
        <v>15124</v>
      </c>
      <c r="Q186" s="20">
        <v>1</v>
      </c>
      <c r="R186" s="9" t="s">
        <v>752</v>
      </c>
      <c r="S186" s="11" t="s">
        <v>756</v>
      </c>
      <c r="T186" s="9" t="s">
        <v>644</v>
      </c>
      <c r="U186" s="9">
        <v>350</v>
      </c>
      <c r="Z186" s="9" t="s">
        <v>645</v>
      </c>
      <c r="AA186" s="9" t="s">
        <v>757</v>
      </c>
      <c r="AB186" s="9"/>
      <c r="AC186" s="21"/>
      <c r="AD186" s="9"/>
      <c r="AE186" s="9"/>
      <c r="AF186" s="9"/>
      <c r="AG186" s="9"/>
      <c r="AH186" s="9"/>
      <c r="AI186" s="9"/>
    </row>
    <row r="187" spans="1:35" ht="14.25" customHeight="1" x14ac:dyDescent="0.2">
      <c r="A187" s="5"/>
      <c r="B187" s="4">
        <v>2</v>
      </c>
      <c r="C187" s="4" t="s">
        <v>7661</v>
      </c>
      <c r="D187" s="4">
        <v>15321</v>
      </c>
      <c r="E187" s="4">
        <v>2676</v>
      </c>
      <c r="F187" s="4" t="s">
        <v>758</v>
      </c>
      <c r="G187" s="19" t="s">
        <v>759</v>
      </c>
      <c r="H187" s="4" t="s">
        <v>760</v>
      </c>
      <c r="I187" s="4" t="s">
        <v>641</v>
      </c>
      <c r="J187" s="4" t="s">
        <v>761</v>
      </c>
      <c r="K187" s="4">
        <v>1</v>
      </c>
      <c r="L187" s="4">
        <v>3419</v>
      </c>
      <c r="M187" s="9">
        <v>49.23</v>
      </c>
      <c r="N187" s="8">
        <v>-121.08417</v>
      </c>
      <c r="O187" s="9" t="s">
        <v>51</v>
      </c>
      <c r="P187" s="9">
        <v>15321</v>
      </c>
      <c r="Q187" s="20">
        <v>8</v>
      </c>
      <c r="R187" s="9" t="s">
        <v>758</v>
      </c>
      <c r="S187" s="11" t="s">
        <v>762</v>
      </c>
      <c r="T187" s="9" t="s">
        <v>644</v>
      </c>
      <c r="U187" s="9">
        <v>1650</v>
      </c>
      <c r="Z187" s="9" t="s">
        <v>645</v>
      </c>
      <c r="AA187" s="9" t="s">
        <v>763</v>
      </c>
      <c r="AB187" s="9"/>
      <c r="AC187" s="9"/>
      <c r="AD187" s="9"/>
      <c r="AE187" s="9"/>
      <c r="AF187" s="9"/>
      <c r="AG187" s="9"/>
      <c r="AH187" s="9"/>
      <c r="AI187" s="9"/>
    </row>
    <row r="188" spans="1:35" ht="14.25" customHeight="1" x14ac:dyDescent="0.2">
      <c r="A188" s="5"/>
      <c r="B188" s="4">
        <v>2</v>
      </c>
      <c r="C188" s="4" t="s">
        <v>7661</v>
      </c>
      <c r="D188" s="4">
        <v>15322</v>
      </c>
      <c r="E188" s="4">
        <v>2677</v>
      </c>
      <c r="F188" s="4" t="s">
        <v>764</v>
      </c>
      <c r="G188" s="22" t="s">
        <v>765</v>
      </c>
      <c r="H188" s="4" t="s">
        <v>766</v>
      </c>
      <c r="I188" s="4" t="s">
        <v>641</v>
      </c>
      <c r="J188" s="4" t="s">
        <v>666</v>
      </c>
      <c r="K188" s="4">
        <v>1</v>
      </c>
      <c r="L188" s="4">
        <v>3420</v>
      </c>
    </row>
    <row r="189" spans="1:35" ht="14.25" customHeight="1" x14ac:dyDescent="0.2">
      <c r="A189" s="5"/>
      <c r="B189" s="4">
        <v>2</v>
      </c>
      <c r="C189" s="4" t="s">
        <v>7661</v>
      </c>
      <c r="D189" s="4">
        <v>15392</v>
      </c>
      <c r="E189" s="4">
        <v>2678</v>
      </c>
      <c r="F189" s="4" t="s">
        <v>767</v>
      </c>
      <c r="G189" s="19" t="s">
        <v>768</v>
      </c>
      <c r="H189" s="4" t="s">
        <v>769</v>
      </c>
      <c r="I189" s="4" t="s">
        <v>641</v>
      </c>
      <c r="J189" s="4" t="s">
        <v>642</v>
      </c>
      <c r="K189" s="4">
        <v>1</v>
      </c>
      <c r="L189" s="4">
        <v>3421</v>
      </c>
      <c r="M189" s="9">
        <v>49.115639999999999</v>
      </c>
      <c r="N189" s="9">
        <v>-120.86744</v>
      </c>
      <c r="O189" s="9" t="s">
        <v>142</v>
      </c>
      <c r="P189" s="9">
        <v>15392</v>
      </c>
      <c r="Q189" s="20">
        <v>5</v>
      </c>
      <c r="R189" s="9" t="s">
        <v>767</v>
      </c>
      <c r="S189" s="11" t="s">
        <v>770</v>
      </c>
      <c r="T189" s="9" t="s">
        <v>644</v>
      </c>
      <c r="U189" s="9">
        <v>1340</v>
      </c>
      <c r="Z189" s="9" t="s">
        <v>645</v>
      </c>
      <c r="AA189" s="9" t="s">
        <v>771</v>
      </c>
      <c r="AB189" s="9"/>
      <c r="AC189" s="21"/>
      <c r="AD189" s="9"/>
      <c r="AE189" s="9"/>
      <c r="AF189" s="9"/>
      <c r="AG189" s="9"/>
      <c r="AH189" s="9"/>
      <c r="AI189" s="9"/>
    </row>
    <row r="190" spans="1:35" ht="14.25" customHeight="1" x14ac:dyDescent="0.2">
      <c r="A190" s="5" t="s">
        <v>772</v>
      </c>
      <c r="B190" s="4">
        <v>2</v>
      </c>
      <c r="C190" s="4" t="s">
        <v>7661</v>
      </c>
      <c r="D190" s="4">
        <v>15394</v>
      </c>
      <c r="E190" s="4">
        <v>13026</v>
      </c>
      <c r="F190" s="10" t="s">
        <v>773</v>
      </c>
      <c r="G190" s="8" t="s">
        <v>774</v>
      </c>
      <c r="H190" s="4" t="s">
        <v>775</v>
      </c>
      <c r="I190" s="4" t="s">
        <v>49</v>
      </c>
      <c r="J190" s="4" t="s">
        <v>776</v>
      </c>
      <c r="K190" s="4">
        <v>1</v>
      </c>
      <c r="L190" s="4">
        <v>14958</v>
      </c>
      <c r="M190" s="9">
        <v>49.166089999999997</v>
      </c>
      <c r="N190" s="9">
        <v>-120.56784</v>
      </c>
      <c r="O190" s="9" t="s">
        <v>142</v>
      </c>
      <c r="P190" s="9">
        <v>15394</v>
      </c>
      <c r="Q190" s="20">
        <v>3</v>
      </c>
      <c r="R190" s="9" t="s">
        <v>777</v>
      </c>
      <c r="S190" s="11" t="s">
        <v>778</v>
      </c>
      <c r="T190" s="9" t="s">
        <v>644</v>
      </c>
      <c r="U190" s="9">
        <v>988</v>
      </c>
      <c r="Z190" s="9"/>
      <c r="AA190" s="9" t="s">
        <v>779</v>
      </c>
      <c r="AB190" s="9"/>
      <c r="AC190" s="9"/>
      <c r="AD190" s="9"/>
      <c r="AE190" s="9"/>
      <c r="AF190" s="9"/>
      <c r="AG190" s="9"/>
      <c r="AH190" s="9"/>
      <c r="AI190" s="9"/>
    </row>
    <row r="191" spans="1:35" ht="14.25" customHeight="1" x14ac:dyDescent="0.2">
      <c r="A191" s="5"/>
      <c r="B191" s="4">
        <v>2</v>
      </c>
      <c r="C191" s="4" t="s">
        <v>7661</v>
      </c>
      <c r="D191" s="4">
        <v>21091</v>
      </c>
      <c r="E191" s="4">
        <v>2680</v>
      </c>
      <c r="F191" s="4" t="s">
        <v>780</v>
      </c>
      <c r="G191" s="19" t="s">
        <v>781</v>
      </c>
      <c r="H191" s="4" t="s">
        <v>782</v>
      </c>
      <c r="I191" s="4" t="s">
        <v>641</v>
      </c>
      <c r="J191" s="4" t="s">
        <v>642</v>
      </c>
      <c r="K191" s="4">
        <v>1</v>
      </c>
      <c r="L191" s="4">
        <v>3423</v>
      </c>
      <c r="M191" s="4">
        <v>50.52861</v>
      </c>
      <c r="N191" s="4">
        <v>-120.47833</v>
      </c>
      <c r="O191" s="4" t="s">
        <v>142</v>
      </c>
      <c r="P191" s="9">
        <v>21091</v>
      </c>
      <c r="Q191" s="20">
        <v>5</v>
      </c>
      <c r="R191" s="9" t="s">
        <v>780</v>
      </c>
      <c r="S191" s="11" t="s">
        <v>783</v>
      </c>
      <c r="T191" s="9" t="s">
        <v>644</v>
      </c>
      <c r="U191" s="9">
        <v>1300</v>
      </c>
      <c r="Z191" s="9" t="s">
        <v>645</v>
      </c>
      <c r="AA191" s="9" t="s">
        <v>784</v>
      </c>
      <c r="AB191" s="9"/>
      <c r="AC191" s="21"/>
      <c r="AD191" s="9"/>
      <c r="AE191" s="9"/>
      <c r="AF191" s="9"/>
      <c r="AG191" s="9"/>
      <c r="AH191" s="9"/>
      <c r="AI191" s="9"/>
    </row>
    <row r="192" spans="1:35" ht="14.25" customHeight="1" x14ac:dyDescent="0.2">
      <c r="A192" s="5"/>
      <c r="B192" s="4">
        <v>2</v>
      </c>
      <c r="C192" s="4" t="s">
        <v>7661</v>
      </c>
      <c r="D192" s="4">
        <v>21123</v>
      </c>
      <c r="E192" s="4">
        <v>2682</v>
      </c>
      <c r="F192" s="4" t="s">
        <v>785</v>
      </c>
      <c r="G192" s="22" t="s">
        <v>786</v>
      </c>
      <c r="H192" s="4" t="s">
        <v>787</v>
      </c>
      <c r="I192" s="4" t="s">
        <v>641</v>
      </c>
      <c r="J192" s="4" t="s">
        <v>755</v>
      </c>
      <c r="K192" s="4">
        <v>1</v>
      </c>
      <c r="L192" s="4">
        <v>3425</v>
      </c>
      <c r="M192" s="9">
        <v>51.113329999999998</v>
      </c>
      <c r="N192" s="9">
        <v>-120.13556</v>
      </c>
      <c r="O192" s="9" t="s">
        <v>142</v>
      </c>
      <c r="P192" s="9">
        <v>21123</v>
      </c>
      <c r="Q192" s="20">
        <v>1</v>
      </c>
      <c r="R192" s="9" t="s">
        <v>785</v>
      </c>
      <c r="S192" s="11" t="s">
        <v>788</v>
      </c>
      <c r="T192" s="9" t="s">
        <v>644</v>
      </c>
      <c r="U192" s="9">
        <v>390</v>
      </c>
      <c r="Z192" s="9" t="s">
        <v>645</v>
      </c>
      <c r="AA192" s="9" t="s">
        <v>789</v>
      </c>
      <c r="AB192" s="9"/>
      <c r="AC192" s="21"/>
      <c r="AD192" s="9"/>
      <c r="AE192" s="9"/>
      <c r="AF192" s="9"/>
      <c r="AG192" s="9"/>
      <c r="AH192" s="9"/>
      <c r="AI192" s="9"/>
    </row>
    <row r="193" spans="1:35" ht="14.25" customHeight="1" x14ac:dyDescent="0.2">
      <c r="A193" s="5" t="s">
        <v>772</v>
      </c>
      <c r="B193" s="4">
        <v>2</v>
      </c>
      <c r="C193" s="4" t="s">
        <v>7661</v>
      </c>
      <c r="D193" s="4">
        <v>21192</v>
      </c>
      <c r="E193" s="4">
        <v>13016</v>
      </c>
      <c r="F193" s="10" t="s">
        <v>790</v>
      </c>
      <c r="G193" s="8" t="s">
        <v>791</v>
      </c>
      <c r="H193" s="4" t="s">
        <v>792</v>
      </c>
      <c r="I193" s="4" t="s">
        <v>49</v>
      </c>
      <c r="J193" s="4" t="s">
        <v>793</v>
      </c>
      <c r="K193" s="4">
        <v>1</v>
      </c>
      <c r="L193" s="4">
        <v>14948</v>
      </c>
      <c r="M193" s="9">
        <v>51.66977</v>
      </c>
      <c r="N193" s="9">
        <v>-119.56574999999999</v>
      </c>
      <c r="O193" s="9" t="s">
        <v>170</v>
      </c>
      <c r="P193" s="9">
        <v>21192</v>
      </c>
      <c r="Q193" s="20">
        <v>1</v>
      </c>
      <c r="R193" s="9" t="s">
        <v>794</v>
      </c>
      <c r="S193" s="11" t="s">
        <v>795</v>
      </c>
      <c r="T193" s="9" t="s">
        <v>644</v>
      </c>
      <c r="U193" s="9">
        <v>545</v>
      </c>
      <c r="Z193" s="9"/>
      <c r="AA193" s="9" t="s">
        <v>796</v>
      </c>
      <c r="AB193" s="9"/>
      <c r="AC193" s="9"/>
      <c r="AD193" s="9"/>
      <c r="AE193" s="9"/>
      <c r="AF193" s="9"/>
      <c r="AG193" s="9"/>
      <c r="AH193" s="9"/>
      <c r="AI193" s="9"/>
    </row>
    <row r="194" spans="1:35" ht="14.25" customHeight="1" x14ac:dyDescent="0.2">
      <c r="A194" s="5"/>
      <c r="B194" s="4">
        <v>2</v>
      </c>
      <c r="C194" s="4" t="s">
        <v>7661</v>
      </c>
      <c r="D194" s="4">
        <v>22095</v>
      </c>
      <c r="E194" s="4">
        <v>12465</v>
      </c>
      <c r="F194" s="4" t="s">
        <v>797</v>
      </c>
      <c r="G194" s="19" t="s">
        <v>798</v>
      </c>
      <c r="H194" s="4" t="s">
        <v>709</v>
      </c>
      <c r="I194" s="4" t="s">
        <v>49</v>
      </c>
      <c r="J194" s="4" t="s">
        <v>799</v>
      </c>
      <c r="K194" s="4">
        <v>1</v>
      </c>
      <c r="L194" s="4">
        <v>14487</v>
      </c>
      <c r="M194" s="9">
        <v>50.789580000000001</v>
      </c>
      <c r="N194" s="9">
        <v>-119.07934</v>
      </c>
      <c r="O194" s="9" t="s">
        <v>170</v>
      </c>
      <c r="P194" s="14">
        <v>22095</v>
      </c>
      <c r="Q194" s="20">
        <v>1</v>
      </c>
      <c r="R194" s="9" t="s">
        <v>797</v>
      </c>
      <c r="S194" s="11" t="s">
        <v>800</v>
      </c>
      <c r="T194" s="9" t="s">
        <v>644</v>
      </c>
      <c r="U194" s="9">
        <v>420</v>
      </c>
      <c r="Z194" s="9"/>
      <c r="AA194" s="9" t="s">
        <v>801</v>
      </c>
      <c r="AB194" s="9"/>
      <c r="AC194" s="9"/>
      <c r="AD194" s="9"/>
      <c r="AE194" s="9"/>
      <c r="AF194" s="9"/>
      <c r="AG194" s="9"/>
      <c r="AH194" s="9"/>
      <c r="AI194" s="9"/>
    </row>
    <row r="195" spans="1:35" ht="14.25" customHeight="1" x14ac:dyDescent="0.2">
      <c r="A195" s="5"/>
      <c r="B195" s="4">
        <v>2</v>
      </c>
      <c r="C195" s="4" t="s">
        <v>7661</v>
      </c>
      <c r="D195" s="4">
        <v>22096</v>
      </c>
      <c r="E195" s="4">
        <v>2687</v>
      </c>
      <c r="F195" s="4" t="s">
        <v>802</v>
      </c>
      <c r="G195" s="19" t="s">
        <v>803</v>
      </c>
      <c r="H195" s="4" t="s">
        <v>804</v>
      </c>
      <c r="I195" s="4" t="s">
        <v>641</v>
      </c>
      <c r="J195" s="4" t="s">
        <v>755</v>
      </c>
      <c r="K195" s="4">
        <v>1</v>
      </c>
      <c r="L195" s="4">
        <v>3430</v>
      </c>
      <c r="M195" s="9">
        <v>50.934170000000002</v>
      </c>
      <c r="N195" s="9">
        <v>-118.78861000000001</v>
      </c>
      <c r="O195" s="9" t="s">
        <v>170</v>
      </c>
      <c r="P195" s="9">
        <v>22096</v>
      </c>
      <c r="Q195" s="20">
        <v>1</v>
      </c>
      <c r="R195" s="9" t="s">
        <v>802</v>
      </c>
      <c r="S195" s="11" t="s">
        <v>805</v>
      </c>
      <c r="T195" s="9" t="s">
        <v>644</v>
      </c>
      <c r="U195" s="9">
        <v>335</v>
      </c>
      <c r="Z195" s="9" t="s">
        <v>645</v>
      </c>
      <c r="AA195" s="9" t="s">
        <v>806</v>
      </c>
      <c r="AB195" s="9"/>
      <c r="AC195" s="21"/>
      <c r="AD195" s="9"/>
      <c r="AE195" s="9"/>
      <c r="AF195" s="9"/>
      <c r="AG195" s="9"/>
      <c r="AH195" s="9"/>
      <c r="AI195" s="9"/>
    </row>
    <row r="196" spans="1:35" ht="14.25" customHeight="1" x14ac:dyDescent="0.2">
      <c r="A196" s="5"/>
      <c r="B196" s="4">
        <v>2</v>
      </c>
      <c r="C196" s="4" t="s">
        <v>7661</v>
      </c>
      <c r="D196" s="4">
        <v>22123</v>
      </c>
      <c r="E196" s="4">
        <v>2689</v>
      </c>
      <c r="F196" s="4" t="s">
        <v>807</v>
      </c>
      <c r="G196" s="19" t="s">
        <v>808</v>
      </c>
      <c r="H196" s="4" t="s">
        <v>809</v>
      </c>
      <c r="I196" s="4" t="s">
        <v>641</v>
      </c>
      <c r="J196" s="4" t="s">
        <v>755</v>
      </c>
      <c r="K196" s="4">
        <v>1</v>
      </c>
      <c r="L196" s="4">
        <v>3432</v>
      </c>
      <c r="M196" s="9">
        <v>50.872779999999999</v>
      </c>
      <c r="N196" s="9">
        <v>-119.57111</v>
      </c>
      <c r="O196" s="9" t="s">
        <v>142</v>
      </c>
      <c r="P196" s="9">
        <v>22123</v>
      </c>
      <c r="Q196" s="20">
        <v>1</v>
      </c>
      <c r="R196" s="9" t="s">
        <v>807</v>
      </c>
      <c r="S196" s="11" t="s">
        <v>810</v>
      </c>
      <c r="T196" s="9" t="s">
        <v>644</v>
      </c>
      <c r="U196" s="9">
        <v>366</v>
      </c>
      <c r="Z196" s="9"/>
      <c r="AA196" s="9" t="s">
        <v>811</v>
      </c>
      <c r="AB196" s="9"/>
      <c r="AC196" s="21"/>
      <c r="AD196" s="9"/>
      <c r="AE196" s="9"/>
      <c r="AF196" s="9"/>
      <c r="AG196" s="9"/>
      <c r="AH196" s="9"/>
      <c r="AI196" s="9"/>
    </row>
    <row r="197" spans="1:35" ht="14.25" customHeight="1" x14ac:dyDescent="0.2">
      <c r="A197" s="5"/>
      <c r="B197" s="4">
        <v>2</v>
      </c>
      <c r="C197" s="4" t="s">
        <v>7661</v>
      </c>
      <c r="D197" s="4">
        <v>23097</v>
      </c>
      <c r="E197" s="4">
        <v>2690</v>
      </c>
      <c r="F197" s="4" t="s">
        <v>812</v>
      </c>
      <c r="G197" s="19" t="s">
        <v>813</v>
      </c>
      <c r="H197" s="4" t="s">
        <v>814</v>
      </c>
      <c r="I197" s="4" t="s">
        <v>641</v>
      </c>
      <c r="J197" s="4" t="s">
        <v>755</v>
      </c>
      <c r="K197" s="4">
        <v>1</v>
      </c>
      <c r="L197" s="4">
        <v>3433</v>
      </c>
      <c r="M197" s="8">
        <v>50.211199999999998</v>
      </c>
      <c r="N197" s="8">
        <v>-119.30607000000001</v>
      </c>
      <c r="O197" s="9" t="s">
        <v>142</v>
      </c>
      <c r="P197" s="9">
        <v>23097</v>
      </c>
      <c r="Q197" s="20">
        <v>1</v>
      </c>
      <c r="R197" s="9" t="s">
        <v>812</v>
      </c>
      <c r="S197" s="11" t="s">
        <v>815</v>
      </c>
      <c r="T197" s="9" t="s">
        <v>644</v>
      </c>
      <c r="U197" s="9">
        <v>570</v>
      </c>
      <c r="Z197" s="9" t="s">
        <v>645</v>
      </c>
      <c r="AA197" s="9" t="s">
        <v>816</v>
      </c>
      <c r="AB197" s="9"/>
      <c r="AC197" s="21"/>
      <c r="AD197" s="9"/>
      <c r="AE197" s="9"/>
      <c r="AF197" s="9"/>
      <c r="AG197" s="9"/>
      <c r="AH197" s="9"/>
      <c r="AI197" s="9"/>
    </row>
    <row r="198" spans="1:35" ht="14.25" customHeight="1" x14ac:dyDescent="0.2">
      <c r="A198" s="5"/>
      <c r="B198" s="4">
        <v>2</v>
      </c>
      <c r="C198" s="4" t="s">
        <v>7661</v>
      </c>
      <c r="D198" s="4">
        <v>24093</v>
      </c>
      <c r="E198" s="4">
        <v>12466</v>
      </c>
      <c r="F198" s="4" t="s">
        <v>817</v>
      </c>
      <c r="G198" s="19" t="s">
        <v>818</v>
      </c>
      <c r="H198" s="4" t="s">
        <v>709</v>
      </c>
      <c r="I198" s="4" t="s">
        <v>49</v>
      </c>
      <c r="J198" s="4" t="s">
        <v>819</v>
      </c>
      <c r="K198" s="4">
        <v>1</v>
      </c>
      <c r="L198" s="4">
        <v>14488</v>
      </c>
      <c r="M198" s="9">
        <v>49.40616</v>
      </c>
      <c r="N198" s="9">
        <v>-120.26299</v>
      </c>
      <c r="O198" s="9" t="s">
        <v>142</v>
      </c>
      <c r="P198" s="9">
        <v>24093</v>
      </c>
      <c r="Q198" s="20">
        <v>1</v>
      </c>
      <c r="R198" s="9" t="s">
        <v>817</v>
      </c>
      <c r="S198" s="11" t="s">
        <v>820</v>
      </c>
      <c r="T198" s="9" t="s">
        <v>644</v>
      </c>
      <c r="U198" s="9">
        <v>566</v>
      </c>
      <c r="Z198" s="9"/>
      <c r="AA198" s="9" t="s">
        <v>821</v>
      </c>
      <c r="AB198" s="9"/>
      <c r="AC198" s="9"/>
      <c r="AD198" s="9"/>
      <c r="AE198" s="9"/>
      <c r="AF198" s="9"/>
      <c r="AG198" s="9"/>
      <c r="AH198" s="9"/>
      <c r="AI198" s="9"/>
    </row>
    <row r="199" spans="1:35" ht="14.25" customHeight="1" x14ac:dyDescent="0.2">
      <c r="A199" s="5"/>
      <c r="B199" s="4">
        <v>2</v>
      </c>
      <c r="C199" s="4" t="s">
        <v>7661</v>
      </c>
      <c r="D199" s="4">
        <v>24126</v>
      </c>
      <c r="E199" s="4">
        <v>2696</v>
      </c>
      <c r="F199" s="4" t="s">
        <v>822</v>
      </c>
      <c r="G199" s="19" t="s">
        <v>823</v>
      </c>
      <c r="H199" s="4" t="s">
        <v>824</v>
      </c>
      <c r="I199" s="4" t="s">
        <v>641</v>
      </c>
      <c r="J199" s="4" t="s">
        <v>825</v>
      </c>
      <c r="K199" s="4">
        <v>1</v>
      </c>
      <c r="L199" s="4">
        <v>3439</v>
      </c>
      <c r="M199" s="4">
        <v>49.396389999999997</v>
      </c>
      <c r="N199" s="8">
        <v>-119.9008</v>
      </c>
      <c r="O199" s="4" t="s">
        <v>142</v>
      </c>
      <c r="P199" s="4">
        <v>24126</v>
      </c>
      <c r="Q199" s="4">
        <v>8</v>
      </c>
      <c r="R199" s="4" t="s">
        <v>822</v>
      </c>
      <c r="S199" s="4" t="s">
        <v>826</v>
      </c>
      <c r="T199" s="4" t="s">
        <v>644</v>
      </c>
      <c r="U199" s="8">
        <v>1700</v>
      </c>
      <c r="Z199" s="4" t="s">
        <v>645</v>
      </c>
      <c r="AA199" s="4" t="s">
        <v>827</v>
      </c>
    </row>
    <row r="200" spans="1:35" ht="14.25" customHeight="1" x14ac:dyDescent="0.2">
      <c r="A200" s="5"/>
      <c r="B200" s="4">
        <v>2</v>
      </c>
      <c r="C200" s="4" t="s">
        <v>7661</v>
      </c>
      <c r="D200" s="4">
        <v>24191</v>
      </c>
      <c r="E200" s="4">
        <v>12467</v>
      </c>
      <c r="F200" s="4" t="s">
        <v>828</v>
      </c>
      <c r="G200" s="19" t="s">
        <v>829</v>
      </c>
      <c r="H200" s="4" t="s">
        <v>709</v>
      </c>
      <c r="I200" s="4" t="s">
        <v>49</v>
      </c>
      <c r="J200" s="4" t="s">
        <v>830</v>
      </c>
      <c r="K200" s="4">
        <v>1</v>
      </c>
      <c r="L200" s="4">
        <v>14489</v>
      </c>
      <c r="M200" s="8">
        <v>49.396929999999998</v>
      </c>
      <c r="N200" s="8">
        <v>-119.9008</v>
      </c>
      <c r="P200" s="8">
        <v>24191</v>
      </c>
      <c r="R200" s="8" t="s">
        <v>828</v>
      </c>
      <c r="U200" s="8">
        <v>780</v>
      </c>
      <c r="AA200" s="8" t="s">
        <v>831</v>
      </c>
    </row>
    <row r="201" spans="1:35" ht="14.25" customHeight="1" x14ac:dyDescent="0.2">
      <c r="A201" s="5"/>
      <c r="B201" s="4">
        <v>2</v>
      </c>
      <c r="C201" s="4" t="s">
        <v>7661</v>
      </c>
      <c r="D201" s="4">
        <v>24225</v>
      </c>
      <c r="E201" s="4">
        <v>2698</v>
      </c>
      <c r="F201" s="4" t="s">
        <v>832</v>
      </c>
      <c r="G201" s="19" t="s">
        <v>833</v>
      </c>
      <c r="H201" s="4" t="s">
        <v>834</v>
      </c>
      <c r="I201" s="4" t="s">
        <v>641</v>
      </c>
      <c r="J201" s="4" t="s">
        <v>755</v>
      </c>
      <c r="K201" s="4">
        <v>1</v>
      </c>
      <c r="L201" s="4">
        <v>3441</v>
      </c>
      <c r="M201" s="8">
        <v>49.476190000000003</v>
      </c>
      <c r="N201" s="8">
        <v>-120.62430999999999</v>
      </c>
      <c r="O201" s="9" t="s">
        <v>142</v>
      </c>
      <c r="P201" s="9">
        <v>24225</v>
      </c>
      <c r="Q201" s="20">
        <v>2</v>
      </c>
      <c r="R201" s="9" t="s">
        <v>832</v>
      </c>
      <c r="S201" s="11" t="s">
        <v>835</v>
      </c>
      <c r="T201" s="9" t="s">
        <v>644</v>
      </c>
      <c r="U201" s="9">
        <v>830</v>
      </c>
      <c r="Z201" s="9"/>
      <c r="AA201" s="9" t="s">
        <v>836</v>
      </c>
      <c r="AB201" s="9"/>
      <c r="AC201" s="9"/>
      <c r="AD201" s="9"/>
      <c r="AE201" s="9"/>
      <c r="AF201" s="9"/>
      <c r="AG201" s="9"/>
      <c r="AH201" s="9"/>
      <c r="AI201" s="9"/>
    </row>
    <row r="202" spans="1:35" ht="14.25" customHeight="1" x14ac:dyDescent="0.2">
      <c r="A202" s="5"/>
      <c r="B202" s="4">
        <v>2</v>
      </c>
      <c r="C202" s="4" t="s">
        <v>7661</v>
      </c>
      <c r="D202" s="4">
        <v>25092</v>
      </c>
      <c r="E202" s="4">
        <v>2702</v>
      </c>
      <c r="F202" s="4" t="s">
        <v>837</v>
      </c>
      <c r="G202" s="19" t="s">
        <v>838</v>
      </c>
      <c r="H202" s="4" t="s">
        <v>839</v>
      </c>
      <c r="I202" s="4" t="s">
        <v>641</v>
      </c>
      <c r="J202" s="4" t="s">
        <v>755</v>
      </c>
      <c r="K202" s="4">
        <v>1</v>
      </c>
      <c r="L202" s="4">
        <v>3445</v>
      </c>
      <c r="M202" s="8">
        <v>50.320830000000001</v>
      </c>
      <c r="N202" s="8">
        <v>-120.63661</v>
      </c>
      <c r="O202" s="9" t="s">
        <v>142</v>
      </c>
      <c r="P202" s="9">
        <v>25092</v>
      </c>
      <c r="Q202" s="20">
        <v>5</v>
      </c>
      <c r="R202" s="9" t="s">
        <v>840</v>
      </c>
      <c r="S202" s="11" t="s">
        <v>841</v>
      </c>
      <c r="T202" s="9" t="s">
        <v>644</v>
      </c>
      <c r="U202" s="9">
        <v>1385</v>
      </c>
      <c r="Z202" s="9" t="s">
        <v>645</v>
      </c>
      <c r="AA202" s="9" t="s">
        <v>842</v>
      </c>
      <c r="AB202" s="9"/>
      <c r="AC202" s="21"/>
      <c r="AD202" s="9"/>
      <c r="AE202" s="9"/>
      <c r="AF202" s="9"/>
      <c r="AG202" s="9"/>
      <c r="AH202" s="9"/>
      <c r="AI202" s="9"/>
    </row>
    <row r="203" spans="1:35" ht="14.25" customHeight="1" x14ac:dyDescent="0.2">
      <c r="A203" s="5"/>
      <c r="B203" s="4">
        <v>2</v>
      </c>
      <c r="C203" s="4" t="s">
        <v>7661</v>
      </c>
      <c r="D203" s="4">
        <v>25093</v>
      </c>
      <c r="E203" s="4">
        <v>2703</v>
      </c>
      <c r="F203" s="4" t="s">
        <v>843</v>
      </c>
      <c r="G203" s="19" t="s">
        <v>844</v>
      </c>
      <c r="H203" s="4" t="s">
        <v>845</v>
      </c>
      <c r="I203" s="4" t="s">
        <v>641</v>
      </c>
      <c r="J203" s="4" t="s">
        <v>755</v>
      </c>
      <c r="K203" s="4">
        <v>1</v>
      </c>
      <c r="L203" s="4">
        <v>3446</v>
      </c>
      <c r="M203" s="9">
        <v>49.831110000000002</v>
      </c>
      <c r="N203" s="9">
        <v>-120.935</v>
      </c>
      <c r="O203" s="9" t="s">
        <v>142</v>
      </c>
      <c r="P203" s="9">
        <v>25093</v>
      </c>
      <c r="Q203" s="20">
        <v>3</v>
      </c>
      <c r="R203" s="9" t="s">
        <v>843</v>
      </c>
      <c r="S203" s="11" t="s">
        <v>846</v>
      </c>
      <c r="T203" s="9" t="s">
        <v>644</v>
      </c>
      <c r="U203" s="9">
        <v>1060</v>
      </c>
      <c r="Z203" s="9" t="s">
        <v>645</v>
      </c>
      <c r="AA203" s="9" t="s">
        <v>847</v>
      </c>
      <c r="AB203" s="9"/>
      <c r="AC203" s="21"/>
      <c r="AD203" s="9"/>
      <c r="AE203" s="9"/>
      <c r="AF203" s="9"/>
      <c r="AG203" s="9"/>
      <c r="AH203" s="9"/>
      <c r="AI203" s="9"/>
    </row>
    <row r="204" spans="1:35" ht="14.25" customHeight="1" x14ac:dyDescent="0.2">
      <c r="A204" s="5"/>
      <c r="B204" s="4">
        <v>2</v>
      </c>
      <c r="C204" s="4" t="s">
        <v>7661</v>
      </c>
      <c r="D204" s="4">
        <v>25094</v>
      </c>
      <c r="E204" s="4">
        <v>12505</v>
      </c>
      <c r="F204" s="4" t="s">
        <v>848</v>
      </c>
      <c r="G204" s="19" t="s">
        <v>849</v>
      </c>
      <c r="H204" s="4" t="s">
        <v>679</v>
      </c>
      <c r="I204" s="4" t="s">
        <v>49</v>
      </c>
      <c r="J204" s="4" t="s">
        <v>850</v>
      </c>
      <c r="K204" s="4">
        <v>1</v>
      </c>
      <c r="L204" s="4">
        <v>14527</v>
      </c>
      <c r="M204" s="9">
        <v>50.439990000000002</v>
      </c>
      <c r="N204" s="9">
        <v>-120.59869999999999</v>
      </c>
      <c r="O204" s="9" t="s">
        <v>142</v>
      </c>
      <c r="P204" s="9">
        <v>25094</v>
      </c>
      <c r="Q204" s="20">
        <v>5</v>
      </c>
      <c r="R204" s="9" t="s">
        <v>848</v>
      </c>
      <c r="S204" s="11" t="s">
        <v>851</v>
      </c>
      <c r="T204" s="9" t="s">
        <v>644</v>
      </c>
      <c r="U204" s="9">
        <v>1300</v>
      </c>
      <c r="Z204" s="9"/>
      <c r="AA204" s="9" t="s">
        <v>852</v>
      </c>
      <c r="AB204" s="9"/>
      <c r="AC204" s="9"/>
      <c r="AD204" s="9"/>
      <c r="AE204" s="9"/>
      <c r="AF204" s="9"/>
      <c r="AG204" s="9"/>
      <c r="AH204" s="9"/>
      <c r="AI204" s="9"/>
    </row>
    <row r="205" spans="1:35" ht="14.25" customHeight="1" x14ac:dyDescent="0.2">
      <c r="A205" s="5"/>
      <c r="B205" s="4">
        <v>2</v>
      </c>
      <c r="C205" s="4" t="s">
        <v>7661</v>
      </c>
      <c r="D205" s="4">
        <v>25095</v>
      </c>
      <c r="E205" s="4">
        <v>12506</v>
      </c>
      <c r="F205" s="4" t="s">
        <v>853</v>
      </c>
      <c r="G205" s="19" t="s">
        <v>854</v>
      </c>
      <c r="H205" s="4" t="s">
        <v>679</v>
      </c>
      <c r="I205" s="4" t="s">
        <v>49</v>
      </c>
      <c r="J205" s="4" t="s">
        <v>855</v>
      </c>
      <c r="K205" s="4">
        <v>1</v>
      </c>
      <c r="L205" s="4">
        <v>14528</v>
      </c>
      <c r="M205" s="9">
        <v>50.017490000000002</v>
      </c>
      <c r="N205" s="9">
        <v>-120.83608</v>
      </c>
      <c r="O205" s="9" t="s">
        <v>142</v>
      </c>
      <c r="P205" s="9">
        <v>25095</v>
      </c>
      <c r="Q205" s="20">
        <v>2</v>
      </c>
      <c r="R205" s="9" t="s">
        <v>853</v>
      </c>
      <c r="S205" s="11" t="s">
        <v>856</v>
      </c>
      <c r="T205" s="9" t="s">
        <v>644</v>
      </c>
      <c r="U205" s="9">
        <v>945</v>
      </c>
      <c r="Z205" s="9"/>
      <c r="AA205" s="9" t="s">
        <v>857</v>
      </c>
      <c r="AB205" s="9"/>
      <c r="AC205" s="9"/>
      <c r="AD205" s="9"/>
      <c r="AE205" s="9"/>
      <c r="AF205" s="9"/>
      <c r="AG205" s="9"/>
      <c r="AH205" s="9"/>
      <c r="AI205" s="9"/>
    </row>
    <row r="206" spans="1:35" ht="14.25" customHeight="1" x14ac:dyDescent="0.2">
      <c r="A206" s="5"/>
      <c r="B206" s="4">
        <v>2</v>
      </c>
      <c r="C206" s="4" t="s">
        <v>7661</v>
      </c>
      <c r="D206" s="4">
        <v>25221</v>
      </c>
      <c r="E206" s="4">
        <v>2710</v>
      </c>
      <c r="F206" s="4" t="s">
        <v>858</v>
      </c>
      <c r="G206" s="22" t="s">
        <v>859</v>
      </c>
      <c r="H206" s="4" t="s">
        <v>860</v>
      </c>
      <c r="I206" s="4" t="s">
        <v>641</v>
      </c>
      <c r="J206" s="4" t="s">
        <v>861</v>
      </c>
      <c r="K206" s="4">
        <v>1</v>
      </c>
      <c r="L206" s="4">
        <v>3453</v>
      </c>
      <c r="M206" s="9">
        <v>49.594059999999999</v>
      </c>
      <c r="N206" s="8">
        <v>-121.09948</v>
      </c>
      <c r="O206" s="9" t="s">
        <v>51</v>
      </c>
      <c r="P206" s="9">
        <v>25221</v>
      </c>
      <c r="Q206" s="20">
        <v>6</v>
      </c>
      <c r="R206" s="9" t="s">
        <v>858</v>
      </c>
      <c r="S206" s="11" t="s">
        <v>862</v>
      </c>
      <c r="T206" s="9" t="s">
        <v>644</v>
      </c>
      <c r="U206" s="9">
        <v>1230</v>
      </c>
      <c r="Z206" s="9" t="s">
        <v>645</v>
      </c>
      <c r="AA206" s="9" t="s">
        <v>863</v>
      </c>
      <c r="AB206" s="9"/>
      <c r="AC206" s="21"/>
      <c r="AD206" s="9"/>
      <c r="AE206" s="9"/>
      <c r="AF206" s="9"/>
      <c r="AG206" s="9"/>
      <c r="AH206" s="9"/>
      <c r="AI206" s="9"/>
    </row>
    <row r="207" spans="1:35" ht="14.25" customHeight="1" x14ac:dyDescent="0.2">
      <c r="A207" s="5"/>
      <c r="B207" s="4">
        <v>2</v>
      </c>
      <c r="C207" s="4" t="s">
        <v>7661</v>
      </c>
      <c r="D207" s="4">
        <v>25223</v>
      </c>
      <c r="E207" s="4">
        <v>2711</v>
      </c>
      <c r="F207" s="4" t="s">
        <v>864</v>
      </c>
      <c r="G207" s="22" t="s">
        <v>865</v>
      </c>
      <c r="H207" s="4" t="s">
        <v>866</v>
      </c>
      <c r="I207" s="4" t="s">
        <v>641</v>
      </c>
      <c r="J207" s="4" t="s">
        <v>867</v>
      </c>
      <c r="K207" s="4">
        <v>1</v>
      </c>
      <c r="L207" s="4">
        <v>3454</v>
      </c>
    </row>
    <row r="208" spans="1:35" ht="14.25" customHeight="1" x14ac:dyDescent="0.2">
      <c r="A208" s="5"/>
      <c r="B208" s="4">
        <v>2</v>
      </c>
      <c r="C208" s="4" t="s">
        <v>7661</v>
      </c>
      <c r="D208" s="4">
        <v>25225</v>
      </c>
      <c r="E208" s="4">
        <v>2712</v>
      </c>
      <c r="F208" s="4" t="s">
        <v>868</v>
      </c>
      <c r="G208" s="19" t="s">
        <v>869</v>
      </c>
      <c r="H208" s="4" t="s">
        <v>870</v>
      </c>
      <c r="I208" s="4" t="s">
        <v>641</v>
      </c>
      <c r="J208" s="4" t="s">
        <v>871</v>
      </c>
      <c r="K208" s="4">
        <v>1</v>
      </c>
      <c r="L208" s="4">
        <v>3455</v>
      </c>
      <c r="M208" s="8">
        <v>49.595820000000003</v>
      </c>
      <c r="N208" s="8">
        <v>-121.17805</v>
      </c>
      <c r="O208" s="9" t="s">
        <v>51</v>
      </c>
      <c r="P208" s="9">
        <v>25225</v>
      </c>
      <c r="Q208" s="20">
        <v>8</v>
      </c>
      <c r="R208" s="9" t="s">
        <v>868</v>
      </c>
      <c r="S208" s="11" t="s">
        <v>872</v>
      </c>
      <c r="T208" s="9" t="s">
        <v>644</v>
      </c>
      <c r="U208" s="9">
        <v>1710</v>
      </c>
      <c r="Z208" s="9"/>
      <c r="AA208" s="9" t="s">
        <v>873</v>
      </c>
      <c r="AB208" s="9"/>
      <c r="AC208" s="9"/>
      <c r="AD208" s="9"/>
      <c r="AE208" s="9"/>
      <c r="AF208" s="9"/>
      <c r="AG208" s="9"/>
      <c r="AH208" s="9"/>
      <c r="AI208" s="9"/>
    </row>
    <row r="209" spans="1:72" ht="14.25" customHeight="1" x14ac:dyDescent="0.2">
      <c r="A209" s="5"/>
      <c r="B209" s="4">
        <v>2</v>
      </c>
      <c r="C209" s="4" t="s">
        <v>7661</v>
      </c>
      <c r="D209" s="4">
        <v>25226</v>
      </c>
      <c r="E209" s="4">
        <v>2713</v>
      </c>
      <c r="F209" s="4" t="s">
        <v>874</v>
      </c>
      <c r="G209" s="22" t="s">
        <v>875</v>
      </c>
      <c r="H209" s="4" t="s">
        <v>876</v>
      </c>
      <c r="I209" s="4" t="s">
        <v>641</v>
      </c>
      <c r="J209" s="4" t="s">
        <v>867</v>
      </c>
      <c r="K209" s="4">
        <v>1</v>
      </c>
      <c r="L209" s="4">
        <v>3456</v>
      </c>
    </row>
    <row r="210" spans="1:72" ht="14.25" customHeight="1" x14ac:dyDescent="0.2">
      <c r="A210" s="5"/>
      <c r="B210" s="4">
        <v>2</v>
      </c>
      <c r="C210" s="4" t="s">
        <v>7661</v>
      </c>
      <c r="D210" s="4">
        <v>25227</v>
      </c>
      <c r="E210" s="4">
        <v>2714</v>
      </c>
      <c r="F210" s="4" t="s">
        <v>877</v>
      </c>
      <c r="G210" s="22" t="s">
        <v>878</v>
      </c>
      <c r="H210" s="4" t="s">
        <v>866</v>
      </c>
      <c r="I210" s="4" t="s">
        <v>641</v>
      </c>
      <c r="J210" s="4" t="s">
        <v>879</v>
      </c>
      <c r="K210" s="4">
        <v>1</v>
      </c>
      <c r="L210" s="4">
        <v>3457</v>
      </c>
    </row>
    <row r="211" spans="1:72" ht="14.25" customHeight="1" x14ac:dyDescent="0.2">
      <c r="A211" s="5"/>
      <c r="B211" s="4">
        <v>2</v>
      </c>
      <c r="C211" s="4" t="s">
        <v>7661</v>
      </c>
      <c r="D211" s="4">
        <v>25229</v>
      </c>
      <c r="E211" s="4">
        <v>2715</v>
      </c>
      <c r="F211" s="4" t="s">
        <v>880</v>
      </c>
      <c r="G211" s="23" t="s">
        <v>881</v>
      </c>
      <c r="H211" s="4" t="s">
        <v>882</v>
      </c>
      <c r="I211" s="4" t="s">
        <v>641</v>
      </c>
      <c r="J211" s="4" t="s">
        <v>883</v>
      </c>
      <c r="K211" s="4">
        <v>1</v>
      </c>
      <c r="L211" s="4">
        <v>3458</v>
      </c>
      <c r="M211" s="8">
        <v>49.599240000000002</v>
      </c>
      <c r="N211" s="8">
        <v>-121.17801</v>
      </c>
      <c r="O211" s="9" t="s">
        <v>51</v>
      </c>
      <c r="P211" s="9">
        <v>25229</v>
      </c>
      <c r="Q211" s="20">
        <v>8</v>
      </c>
      <c r="R211" s="9" t="s">
        <v>880</v>
      </c>
      <c r="S211" s="11" t="s">
        <v>884</v>
      </c>
      <c r="T211" s="9" t="s">
        <v>644</v>
      </c>
      <c r="U211" s="9">
        <v>1660</v>
      </c>
      <c r="Z211" s="9"/>
      <c r="AA211" s="9" t="s">
        <v>885</v>
      </c>
      <c r="AB211" s="9"/>
      <c r="AC211" s="9"/>
      <c r="AD211" s="9"/>
      <c r="AE211" s="9"/>
      <c r="AF211" s="9"/>
      <c r="AG211" s="9"/>
      <c r="AH211" s="9"/>
      <c r="AI211" s="9"/>
    </row>
    <row r="212" spans="1:72" ht="14.25" customHeight="1" x14ac:dyDescent="0.2">
      <c r="A212" s="5"/>
      <c r="B212" s="4">
        <v>2</v>
      </c>
      <c r="C212" s="4" t="s">
        <v>7661</v>
      </c>
      <c r="D212" s="4">
        <v>26123</v>
      </c>
      <c r="E212" s="4">
        <v>2722</v>
      </c>
      <c r="F212" s="4" t="s">
        <v>886</v>
      </c>
      <c r="G212" s="22" t="s">
        <v>887</v>
      </c>
      <c r="H212" s="4" t="s">
        <v>888</v>
      </c>
      <c r="I212" s="4" t="s">
        <v>641</v>
      </c>
      <c r="J212" s="4" t="s">
        <v>674</v>
      </c>
      <c r="K212" s="4">
        <v>1</v>
      </c>
      <c r="L212" s="4">
        <v>3465</v>
      </c>
    </row>
    <row r="213" spans="1:72" ht="14.25" customHeight="1" x14ac:dyDescent="0.2">
      <c r="A213" s="5"/>
      <c r="B213" s="4">
        <v>2</v>
      </c>
      <c r="C213" s="4" t="s">
        <v>7661</v>
      </c>
      <c r="D213" s="4">
        <v>26124</v>
      </c>
      <c r="E213" s="4">
        <v>11022</v>
      </c>
      <c r="F213" s="4" t="s">
        <v>889</v>
      </c>
      <c r="G213" s="19" t="s">
        <v>890</v>
      </c>
      <c r="H213" s="4" t="s">
        <v>891</v>
      </c>
      <c r="I213" s="4" t="s">
        <v>49</v>
      </c>
      <c r="J213" s="4" t="s">
        <v>710</v>
      </c>
      <c r="K213" s="4">
        <v>1</v>
      </c>
      <c r="L213" s="4">
        <v>13190</v>
      </c>
      <c r="M213" s="9">
        <v>50.813859999999998</v>
      </c>
      <c r="N213" s="9">
        <v>-122.18831</v>
      </c>
      <c r="O213" s="9" t="s">
        <v>142</v>
      </c>
      <c r="P213" s="9">
        <v>26124</v>
      </c>
      <c r="Q213" s="20">
        <v>3</v>
      </c>
      <c r="R213" s="9" t="s">
        <v>889</v>
      </c>
      <c r="S213" s="11" t="s">
        <v>892</v>
      </c>
      <c r="T213" s="9" t="s">
        <v>644</v>
      </c>
      <c r="U213" s="9">
        <v>1070</v>
      </c>
      <c r="Z213" s="9"/>
      <c r="AA213" s="9" t="s">
        <v>893</v>
      </c>
      <c r="AB213" s="9"/>
      <c r="AC213" s="9"/>
      <c r="AD213" s="9"/>
      <c r="AE213" s="9"/>
      <c r="AF213" s="9"/>
      <c r="AG213" s="9"/>
      <c r="AH213" s="9"/>
      <c r="AI213" s="9"/>
    </row>
    <row r="214" spans="1:72" ht="14.25" customHeight="1" x14ac:dyDescent="0.2">
      <c r="A214" s="5"/>
      <c r="B214" s="4">
        <v>2</v>
      </c>
      <c r="C214" s="4" t="s">
        <v>7661</v>
      </c>
      <c r="D214" s="4">
        <v>26125</v>
      </c>
      <c r="E214" s="4">
        <v>12468</v>
      </c>
      <c r="F214" s="4" t="s">
        <v>894</v>
      </c>
      <c r="G214" s="19" t="s">
        <v>895</v>
      </c>
      <c r="H214" s="4" t="s">
        <v>709</v>
      </c>
      <c r="I214" s="4" t="s">
        <v>49</v>
      </c>
      <c r="J214" s="4" t="s">
        <v>896</v>
      </c>
      <c r="K214" s="4">
        <v>1</v>
      </c>
      <c r="L214" s="4">
        <v>14490</v>
      </c>
      <c r="M214" s="9">
        <v>50.854419999999998</v>
      </c>
      <c r="N214" s="9">
        <v>-122.83625000000001</v>
      </c>
      <c r="O214" s="9" t="s">
        <v>142</v>
      </c>
      <c r="P214" s="9">
        <v>26125</v>
      </c>
      <c r="Q214" s="20">
        <v>1</v>
      </c>
      <c r="R214" s="9" t="s">
        <v>897</v>
      </c>
      <c r="S214" s="11" t="s">
        <v>898</v>
      </c>
      <c r="T214" s="9" t="s">
        <v>644</v>
      </c>
      <c r="U214" s="9">
        <v>685</v>
      </c>
      <c r="Z214" s="9"/>
      <c r="AA214" s="9" t="s">
        <v>899</v>
      </c>
      <c r="AB214" s="9"/>
      <c r="AC214" s="9"/>
      <c r="AD214" s="9"/>
      <c r="AE214" s="9"/>
      <c r="AF214" s="9"/>
      <c r="AG214" s="9"/>
      <c r="AH214" s="9"/>
      <c r="AI214" s="9"/>
    </row>
    <row r="215" spans="1:72" ht="14.25" customHeight="1" x14ac:dyDescent="0.2">
      <c r="A215" s="5"/>
      <c r="B215" s="4">
        <v>2</v>
      </c>
      <c r="C215" s="4" t="s">
        <v>7661</v>
      </c>
      <c r="D215" s="4">
        <v>26221</v>
      </c>
      <c r="E215" s="4">
        <v>2731</v>
      </c>
      <c r="F215" s="4" t="s">
        <v>900</v>
      </c>
      <c r="G215" s="19" t="s">
        <v>901</v>
      </c>
      <c r="H215" s="4" t="s">
        <v>902</v>
      </c>
      <c r="I215" s="4" t="s">
        <v>641</v>
      </c>
      <c r="J215" s="4" t="s">
        <v>903</v>
      </c>
      <c r="K215" s="4">
        <v>1</v>
      </c>
      <c r="L215" s="4">
        <v>3474</v>
      </c>
      <c r="M215" s="9">
        <v>50.406939999999999</v>
      </c>
      <c r="N215" s="9">
        <v>-122.25556</v>
      </c>
      <c r="O215" s="9" t="s">
        <v>142</v>
      </c>
      <c r="P215" s="9">
        <v>26221</v>
      </c>
      <c r="Q215" s="20">
        <v>8</v>
      </c>
      <c r="R215" s="9" t="s">
        <v>900</v>
      </c>
      <c r="S215" s="11" t="s">
        <v>904</v>
      </c>
      <c r="T215" s="9" t="s">
        <v>644</v>
      </c>
      <c r="U215" s="9">
        <v>2320</v>
      </c>
      <c r="Z215" s="9"/>
      <c r="AA215" s="9" t="s">
        <v>905</v>
      </c>
      <c r="AB215" s="9"/>
      <c r="AC215" s="9"/>
      <c r="AD215" s="9"/>
      <c r="AE215" s="9"/>
      <c r="AF215" s="9"/>
      <c r="AG215" s="9"/>
      <c r="AH215" s="9"/>
      <c r="AI215" s="9"/>
    </row>
    <row r="216" spans="1:72" ht="14.25" customHeight="1" x14ac:dyDescent="0.2">
      <c r="A216" s="5"/>
      <c r="B216" s="4">
        <v>2</v>
      </c>
      <c r="C216" s="4" t="s">
        <v>7661</v>
      </c>
      <c r="D216" s="4">
        <v>26222</v>
      </c>
      <c r="E216" s="4">
        <v>2732</v>
      </c>
      <c r="F216" s="4" t="s">
        <v>906</v>
      </c>
      <c r="G216" s="19" t="s">
        <v>907</v>
      </c>
      <c r="H216" s="4" t="s">
        <v>908</v>
      </c>
      <c r="I216" s="4" t="s">
        <v>641</v>
      </c>
      <c r="J216" s="4" t="s">
        <v>909</v>
      </c>
      <c r="K216" s="4">
        <v>1</v>
      </c>
      <c r="L216" s="4">
        <v>3475</v>
      </c>
      <c r="M216" s="9">
        <v>50.40222</v>
      </c>
      <c r="N216" s="9">
        <v>-122.26472</v>
      </c>
      <c r="O216" s="9" t="s">
        <v>142</v>
      </c>
      <c r="P216" s="9">
        <v>26222</v>
      </c>
      <c r="Q216" s="20">
        <v>8</v>
      </c>
      <c r="R216" s="9" t="s">
        <v>906</v>
      </c>
      <c r="S216" s="11" t="s">
        <v>910</v>
      </c>
      <c r="T216" s="9" t="s">
        <v>644</v>
      </c>
      <c r="U216" s="9">
        <v>1890</v>
      </c>
      <c r="Z216" s="9"/>
      <c r="AA216" s="9" t="s">
        <v>911</v>
      </c>
      <c r="AB216" s="9"/>
      <c r="AC216" s="9"/>
      <c r="AD216" s="9"/>
      <c r="AE216" s="9"/>
      <c r="AF216" s="9"/>
      <c r="AG216" s="9"/>
      <c r="AH216" s="9"/>
      <c r="AI216" s="9"/>
    </row>
    <row r="217" spans="1:72" ht="14.25" customHeight="1" x14ac:dyDescent="0.2">
      <c r="A217" s="5" t="s">
        <v>912</v>
      </c>
      <c r="B217" s="4">
        <v>2</v>
      </c>
      <c r="C217" s="4" t="s">
        <v>7661</v>
      </c>
      <c r="D217" s="4">
        <v>26224</v>
      </c>
      <c r="E217" s="4">
        <v>2733</v>
      </c>
      <c r="F217" s="4" t="s">
        <v>913</v>
      </c>
      <c r="G217" s="8" t="s">
        <v>914</v>
      </c>
      <c r="H217" s="4" t="s">
        <v>915</v>
      </c>
      <c r="I217" s="4" t="s">
        <v>641</v>
      </c>
      <c r="J217" s="4" t="s">
        <v>755</v>
      </c>
      <c r="K217" s="4">
        <v>1</v>
      </c>
      <c r="L217" s="4">
        <v>3476</v>
      </c>
      <c r="M217" s="24">
        <v>50.379779999999997</v>
      </c>
      <c r="N217" s="8">
        <v>-122.47403</v>
      </c>
      <c r="O217" s="9" t="s">
        <v>142</v>
      </c>
      <c r="P217" s="9">
        <v>26224</v>
      </c>
      <c r="Q217" s="20">
        <v>5</v>
      </c>
      <c r="R217" s="9" t="s">
        <v>913</v>
      </c>
      <c r="S217" s="11" t="s">
        <v>916</v>
      </c>
      <c r="T217" s="9" t="s">
        <v>644</v>
      </c>
      <c r="U217" s="8">
        <v>1250</v>
      </c>
      <c r="Z217" s="9"/>
      <c r="AA217" s="9" t="s">
        <v>917</v>
      </c>
      <c r="AB217" s="9"/>
      <c r="AC217" s="9"/>
      <c r="AD217" s="9"/>
      <c r="AE217" s="9"/>
      <c r="AF217" s="9"/>
      <c r="AG217" s="9"/>
      <c r="AH217" s="9"/>
      <c r="AI217" s="9"/>
    </row>
    <row r="218" spans="1:72" ht="14.25" customHeight="1" x14ac:dyDescent="0.2">
      <c r="A218" s="5"/>
      <c r="B218" s="4">
        <v>2</v>
      </c>
      <c r="C218" s="4" t="s">
        <v>7661</v>
      </c>
      <c r="D218" s="4">
        <v>26501</v>
      </c>
      <c r="E218" s="4">
        <v>2734</v>
      </c>
      <c r="F218" s="4" t="s">
        <v>918</v>
      </c>
      <c r="G218" s="19" t="s">
        <v>919</v>
      </c>
      <c r="H218" s="4" t="s">
        <v>920</v>
      </c>
      <c r="I218" s="4" t="s">
        <v>641</v>
      </c>
      <c r="J218" s="4" t="s">
        <v>921</v>
      </c>
      <c r="K218" s="4">
        <v>1</v>
      </c>
      <c r="L218" s="4">
        <v>3477</v>
      </c>
      <c r="M218" s="25">
        <v>50.74</v>
      </c>
      <c r="N218" s="9">
        <v>-121.86167</v>
      </c>
      <c r="O218" s="9" t="s">
        <v>142</v>
      </c>
      <c r="P218" s="9">
        <v>26501</v>
      </c>
      <c r="Q218" s="20">
        <v>1</v>
      </c>
      <c r="R218" s="9" t="s">
        <v>918</v>
      </c>
      <c r="S218" s="11" t="s">
        <v>922</v>
      </c>
      <c r="T218" s="9" t="s">
        <v>644</v>
      </c>
      <c r="U218" s="9">
        <v>378</v>
      </c>
      <c r="Z218" s="9" t="s">
        <v>645</v>
      </c>
      <c r="AA218" s="9" t="s">
        <v>923</v>
      </c>
      <c r="AB218" s="9"/>
      <c r="AC218" s="21"/>
      <c r="AD218" s="9"/>
      <c r="AE218" s="9"/>
      <c r="AF218" s="9"/>
      <c r="AG218" s="9"/>
      <c r="AH218" s="9"/>
      <c r="AI218" s="9"/>
    </row>
    <row r="219" spans="1:72" ht="14.25" customHeight="1" x14ac:dyDescent="0.2">
      <c r="A219" s="5" t="s">
        <v>328</v>
      </c>
      <c r="B219" s="4">
        <v>2</v>
      </c>
      <c r="C219" s="10" t="s">
        <v>7662</v>
      </c>
      <c r="D219" s="10" t="s">
        <v>924</v>
      </c>
      <c r="F219" s="10" t="s">
        <v>925</v>
      </c>
      <c r="G219" s="10" t="s">
        <v>926</v>
      </c>
      <c r="I219" s="8" t="s">
        <v>927</v>
      </c>
      <c r="M219" s="8">
        <v>50.623309999999996</v>
      </c>
      <c r="N219" s="9">
        <v>-122.4432</v>
      </c>
      <c r="O219" s="9" t="s">
        <v>142</v>
      </c>
      <c r="P219" s="9">
        <v>26521</v>
      </c>
      <c r="Q219" s="20">
        <v>2</v>
      </c>
      <c r="R219" s="9" t="s">
        <v>928</v>
      </c>
      <c r="S219" s="11" t="s">
        <v>929</v>
      </c>
      <c r="T219" s="9" t="s">
        <v>644</v>
      </c>
      <c r="U219" s="26">
        <v>742</v>
      </c>
      <c r="Z219" s="9"/>
      <c r="AA219" s="9" t="s">
        <v>930</v>
      </c>
      <c r="AB219" s="9"/>
      <c r="AC219" s="9"/>
      <c r="AD219" s="9"/>
      <c r="AE219" s="9"/>
      <c r="AF219" s="9"/>
      <c r="AG219" s="9"/>
      <c r="AH219" s="9"/>
      <c r="AI219" s="9"/>
    </row>
    <row r="220" spans="1:72" ht="14.25" customHeight="1" x14ac:dyDescent="0.2">
      <c r="A220" s="5" t="s">
        <v>88</v>
      </c>
      <c r="B220" s="4">
        <v>2</v>
      </c>
      <c r="C220" s="4" t="s">
        <v>7661</v>
      </c>
      <c r="D220" s="4">
        <v>28071</v>
      </c>
      <c r="E220" s="4">
        <v>12469</v>
      </c>
      <c r="F220" s="4" t="s">
        <v>931</v>
      </c>
      <c r="G220" s="8" t="s">
        <v>932</v>
      </c>
      <c r="H220" s="4" t="s">
        <v>709</v>
      </c>
      <c r="I220" s="4" t="s">
        <v>49</v>
      </c>
      <c r="J220" s="4" t="s">
        <v>933</v>
      </c>
      <c r="K220" s="4">
        <v>1</v>
      </c>
      <c r="L220" s="4">
        <v>14491</v>
      </c>
      <c r="M220" s="9">
        <v>51.146929999999998</v>
      </c>
      <c r="N220" s="9">
        <v>-121.50162</v>
      </c>
      <c r="O220" s="9" t="s">
        <v>148</v>
      </c>
      <c r="P220" s="9">
        <v>28071</v>
      </c>
      <c r="Q220" s="20">
        <v>4</v>
      </c>
      <c r="R220" s="9" t="s">
        <v>931</v>
      </c>
      <c r="S220" s="11" t="s">
        <v>934</v>
      </c>
      <c r="T220" s="9" t="s">
        <v>644</v>
      </c>
      <c r="U220" s="9">
        <v>1049</v>
      </c>
      <c r="Z220" s="9"/>
      <c r="AA220" s="9" t="s">
        <v>935</v>
      </c>
      <c r="AB220" s="9"/>
      <c r="AC220" s="9"/>
      <c r="AD220" s="9"/>
      <c r="AE220" s="9"/>
      <c r="AF220" s="9"/>
      <c r="AG220" s="9"/>
      <c r="AH220" s="9"/>
      <c r="AI220" s="9"/>
    </row>
    <row r="221" spans="1:72" ht="14.25" customHeight="1" x14ac:dyDescent="0.2">
      <c r="A221" s="5" t="s">
        <v>88</v>
      </c>
      <c r="B221" s="4">
        <v>2</v>
      </c>
      <c r="C221" s="4" t="s">
        <v>7661</v>
      </c>
      <c r="D221" s="4">
        <v>28072</v>
      </c>
      <c r="E221" s="4">
        <v>12510</v>
      </c>
      <c r="F221" s="4" t="s">
        <v>936</v>
      </c>
      <c r="G221" s="8" t="s">
        <v>937</v>
      </c>
      <c r="H221" s="4" t="s">
        <v>938</v>
      </c>
      <c r="I221" s="4" t="s">
        <v>49</v>
      </c>
      <c r="J221" s="4" t="s">
        <v>939</v>
      </c>
      <c r="K221" s="4">
        <v>1</v>
      </c>
      <c r="L221" s="4">
        <v>14532</v>
      </c>
      <c r="M221" s="8">
        <v>51.192869999999999</v>
      </c>
      <c r="N221" s="8">
        <v>-121.5295</v>
      </c>
      <c r="O221" s="8"/>
      <c r="P221" s="8">
        <v>28072</v>
      </c>
      <c r="Q221" s="8"/>
      <c r="R221" s="8" t="s">
        <v>936</v>
      </c>
      <c r="S221" s="8"/>
      <c r="T221" s="8"/>
      <c r="U221" s="8">
        <v>1093</v>
      </c>
      <c r="Z221" s="8"/>
      <c r="AA221" s="8" t="s">
        <v>940</v>
      </c>
    </row>
    <row r="222" spans="1:72" ht="14.25" customHeight="1" x14ac:dyDescent="0.2">
      <c r="A222" s="5"/>
      <c r="B222" s="4">
        <v>2</v>
      </c>
      <c r="C222" s="4" t="s">
        <v>7661</v>
      </c>
      <c r="D222" s="4">
        <v>28093</v>
      </c>
      <c r="E222" s="4">
        <v>2737</v>
      </c>
      <c r="F222" s="4" t="s">
        <v>941</v>
      </c>
      <c r="G222" s="19" t="s">
        <v>942</v>
      </c>
      <c r="H222" s="4" t="s">
        <v>943</v>
      </c>
      <c r="I222" s="4" t="s">
        <v>641</v>
      </c>
      <c r="J222" s="4" t="s">
        <v>642</v>
      </c>
      <c r="K222" s="4">
        <v>1</v>
      </c>
      <c r="L222" s="4">
        <v>3480</v>
      </c>
      <c r="M222" s="8">
        <v>51.476109999999998</v>
      </c>
      <c r="N222" s="8">
        <v>-121.37083</v>
      </c>
      <c r="O222" s="9" t="s">
        <v>148</v>
      </c>
      <c r="P222" s="9">
        <v>28093</v>
      </c>
      <c r="Q222" s="20">
        <v>5</v>
      </c>
      <c r="R222" s="9" t="s">
        <v>941</v>
      </c>
      <c r="S222" s="11" t="s">
        <v>944</v>
      </c>
      <c r="T222" s="9" t="s">
        <v>644</v>
      </c>
      <c r="U222" s="9">
        <v>1127</v>
      </c>
      <c r="Z222" s="9" t="s">
        <v>645</v>
      </c>
      <c r="AA222" s="9" t="s">
        <v>945</v>
      </c>
      <c r="AB222" s="9"/>
      <c r="AC222" s="21"/>
      <c r="AD222" s="9"/>
      <c r="AE222" s="9"/>
      <c r="AF222" s="9"/>
      <c r="AG222" s="9"/>
      <c r="AH222" s="9"/>
      <c r="AI222" s="9"/>
    </row>
    <row r="223" spans="1:72" ht="14.25" customHeight="1" x14ac:dyDescent="0.2">
      <c r="A223" s="5"/>
      <c r="B223" s="4">
        <v>2</v>
      </c>
      <c r="C223" s="4" t="s">
        <v>7661</v>
      </c>
      <c r="D223" s="4">
        <v>29092</v>
      </c>
      <c r="E223" s="4">
        <v>2739</v>
      </c>
      <c r="F223" s="27" t="s">
        <v>946</v>
      </c>
      <c r="G223" s="28" t="s">
        <v>947</v>
      </c>
      <c r="H223" s="4" t="s">
        <v>948</v>
      </c>
      <c r="I223" s="4" t="s">
        <v>641</v>
      </c>
      <c r="J223" s="4" t="s">
        <v>755</v>
      </c>
      <c r="K223" s="4">
        <v>1</v>
      </c>
      <c r="L223" s="4">
        <v>3482</v>
      </c>
      <c r="M223" s="27">
        <v>49.90672</v>
      </c>
      <c r="N223" s="27">
        <v>-120.01336000000001</v>
      </c>
      <c r="O223" s="27" t="s">
        <v>142</v>
      </c>
      <c r="P223" s="27">
        <v>29092</v>
      </c>
      <c r="Q223" s="29">
        <v>7</v>
      </c>
      <c r="R223" s="27" t="s">
        <v>946</v>
      </c>
      <c r="S223" s="30" t="s">
        <v>949</v>
      </c>
      <c r="T223" s="27" t="s">
        <v>644</v>
      </c>
      <c r="U223" s="27">
        <v>1700</v>
      </c>
      <c r="V223" s="27"/>
      <c r="W223" s="27"/>
      <c r="X223" s="27"/>
      <c r="Y223" s="27"/>
      <c r="Z223" s="27" t="s">
        <v>645</v>
      </c>
      <c r="AA223" s="27" t="s">
        <v>950</v>
      </c>
      <c r="AB223" s="27"/>
      <c r="AC223" s="31"/>
      <c r="AD223" s="27"/>
      <c r="AE223" s="27"/>
      <c r="AF223" s="27"/>
      <c r="AG223" s="27"/>
      <c r="AH223" s="27"/>
      <c r="AI223" s="27"/>
      <c r="AJ223" s="27"/>
      <c r="AK223" s="27"/>
      <c r="AL223" s="27"/>
      <c r="AM223" s="27"/>
      <c r="AN223" s="27"/>
      <c r="AO223" s="27"/>
      <c r="AP223" s="27"/>
      <c r="AQ223" s="27"/>
      <c r="AR223" s="27"/>
      <c r="AS223" s="27"/>
      <c r="AT223" s="27"/>
      <c r="AU223" s="27"/>
      <c r="AV223" s="27"/>
      <c r="AW223" s="27"/>
      <c r="AX223" s="27"/>
      <c r="AY223" s="27"/>
      <c r="AZ223" s="27"/>
      <c r="BA223" s="27"/>
      <c r="BB223" s="27"/>
      <c r="BC223" s="27"/>
      <c r="BD223" s="27"/>
      <c r="BE223" s="27"/>
      <c r="BF223" s="27"/>
      <c r="BG223" s="27"/>
      <c r="BH223" s="27"/>
      <c r="BI223" s="27"/>
      <c r="BJ223" s="27"/>
      <c r="BK223" s="27"/>
      <c r="BL223" s="27"/>
      <c r="BM223" s="27"/>
      <c r="BN223" s="27"/>
      <c r="BO223" s="27"/>
      <c r="BP223" s="27"/>
      <c r="BQ223" s="27"/>
      <c r="BR223" s="27"/>
      <c r="BS223" s="27"/>
      <c r="BT223" s="27"/>
    </row>
    <row r="224" spans="1:72" ht="14.25" customHeight="1" x14ac:dyDescent="0.2">
      <c r="A224" s="5"/>
      <c r="B224" s="4">
        <v>2</v>
      </c>
      <c r="C224" s="4" t="s">
        <v>7661</v>
      </c>
      <c r="D224" s="4">
        <v>29093</v>
      </c>
      <c r="E224" s="4">
        <v>12470</v>
      </c>
      <c r="F224" s="27" t="s">
        <v>951</v>
      </c>
      <c r="G224" s="28" t="s">
        <v>952</v>
      </c>
      <c r="H224" s="4" t="s">
        <v>709</v>
      </c>
      <c r="I224" s="4" t="s">
        <v>49</v>
      </c>
      <c r="J224" s="4" t="s">
        <v>953</v>
      </c>
      <c r="K224" s="4">
        <v>1</v>
      </c>
      <c r="L224" s="4">
        <v>14492</v>
      </c>
      <c r="M224" s="27">
        <v>49.939509999999999</v>
      </c>
      <c r="N224" s="27">
        <v>-120.54637</v>
      </c>
      <c r="O224" s="27" t="s">
        <v>142</v>
      </c>
      <c r="P224" s="27">
        <v>29093</v>
      </c>
      <c r="Q224" s="29">
        <v>3</v>
      </c>
      <c r="R224" s="27" t="s">
        <v>951</v>
      </c>
      <c r="S224" s="30" t="s">
        <v>954</v>
      </c>
      <c r="T224" s="27" t="s">
        <v>644</v>
      </c>
      <c r="U224" s="27">
        <v>1045</v>
      </c>
      <c r="V224" s="27"/>
      <c r="W224" s="27"/>
      <c r="X224" s="27"/>
      <c r="Y224" s="27"/>
      <c r="Z224" s="27"/>
      <c r="AA224" s="27" t="s">
        <v>955</v>
      </c>
      <c r="AB224" s="27"/>
      <c r="AC224" s="27"/>
      <c r="AD224" s="27"/>
      <c r="AE224" s="27"/>
      <c r="AF224" s="27"/>
      <c r="AG224" s="27"/>
      <c r="AH224" s="27"/>
      <c r="AI224" s="27"/>
      <c r="AJ224" s="27"/>
      <c r="AK224" s="27"/>
      <c r="AL224" s="27"/>
      <c r="AM224" s="27"/>
      <c r="AN224" s="27"/>
      <c r="AO224" s="27"/>
      <c r="AP224" s="27"/>
      <c r="AQ224" s="27"/>
      <c r="AR224" s="27"/>
      <c r="AS224" s="27"/>
      <c r="AT224" s="27"/>
      <c r="AU224" s="27"/>
      <c r="AV224" s="27"/>
      <c r="AW224" s="27"/>
      <c r="AX224" s="27"/>
      <c r="AY224" s="27"/>
      <c r="AZ224" s="27"/>
      <c r="BA224" s="27"/>
      <c r="BB224" s="27"/>
      <c r="BC224" s="27"/>
      <c r="BD224" s="27"/>
      <c r="BE224" s="27"/>
      <c r="BF224" s="27"/>
      <c r="BG224" s="27"/>
      <c r="BH224" s="27"/>
      <c r="BI224" s="27"/>
      <c r="BJ224" s="27"/>
      <c r="BK224" s="27"/>
      <c r="BL224" s="27"/>
      <c r="BM224" s="27"/>
      <c r="BN224" s="27"/>
      <c r="BO224" s="27"/>
      <c r="BP224" s="27"/>
      <c r="BQ224" s="27"/>
      <c r="BR224" s="27"/>
      <c r="BS224" s="27"/>
      <c r="BT224" s="27"/>
    </row>
    <row r="225" spans="1:72" ht="14.25" customHeight="1" x14ac:dyDescent="0.2">
      <c r="A225" s="5"/>
      <c r="B225" s="4">
        <v>2</v>
      </c>
      <c r="C225" s="4" t="s">
        <v>7661</v>
      </c>
      <c r="D225" s="4">
        <v>29094</v>
      </c>
      <c r="E225" s="4">
        <v>12471</v>
      </c>
      <c r="F225" s="27" t="s">
        <v>956</v>
      </c>
      <c r="G225" s="28" t="s">
        <v>957</v>
      </c>
      <c r="H225" s="4" t="s">
        <v>958</v>
      </c>
      <c r="I225" s="4" t="s">
        <v>49</v>
      </c>
      <c r="J225" s="4" t="s">
        <v>959</v>
      </c>
      <c r="K225" s="4">
        <v>1</v>
      </c>
      <c r="L225" s="4">
        <v>14493</v>
      </c>
      <c r="M225" s="9">
        <v>49.869729999999997</v>
      </c>
      <c r="N225" s="9">
        <v>-119.93686</v>
      </c>
      <c r="O225" s="9" t="s">
        <v>142</v>
      </c>
      <c r="P225" s="9">
        <v>29094</v>
      </c>
      <c r="Q225" s="20">
        <v>4</v>
      </c>
      <c r="R225" s="9" t="s">
        <v>956</v>
      </c>
      <c r="S225" s="11" t="s">
        <v>960</v>
      </c>
      <c r="T225" s="9" t="s">
        <v>644</v>
      </c>
      <c r="U225" s="27">
        <v>1270</v>
      </c>
      <c r="V225" s="27"/>
      <c r="W225" s="27"/>
      <c r="X225" s="27"/>
      <c r="Y225" s="27"/>
      <c r="Z225" s="27"/>
      <c r="AA225" s="27" t="s">
        <v>961</v>
      </c>
      <c r="AB225" s="27"/>
      <c r="AC225" s="27"/>
      <c r="AD225" s="27"/>
      <c r="AE225" s="27"/>
      <c r="AF225" s="27"/>
      <c r="AG225" s="27"/>
      <c r="AH225" s="27"/>
      <c r="AI225" s="27"/>
      <c r="AJ225" s="27"/>
      <c r="AK225" s="27"/>
      <c r="AL225" s="27"/>
      <c r="AM225" s="27"/>
      <c r="AN225" s="27"/>
      <c r="AO225" s="27"/>
      <c r="AP225" s="27"/>
      <c r="AQ225" s="27"/>
      <c r="AR225" s="27"/>
      <c r="AS225" s="27"/>
      <c r="AT225" s="27"/>
      <c r="AU225" s="27"/>
      <c r="AV225" s="27"/>
      <c r="AW225" s="27"/>
      <c r="AX225" s="27"/>
      <c r="AY225" s="27"/>
      <c r="AZ225" s="27"/>
      <c r="BA225" s="27"/>
      <c r="BB225" s="27"/>
      <c r="BC225" s="27"/>
      <c r="BD225" s="27"/>
      <c r="BE225" s="27"/>
      <c r="BF225" s="27"/>
      <c r="BG225" s="27"/>
      <c r="BH225" s="27"/>
      <c r="BI225" s="27"/>
      <c r="BJ225" s="27"/>
      <c r="BK225" s="27"/>
      <c r="BL225" s="27"/>
      <c r="BM225" s="27"/>
      <c r="BN225" s="27"/>
      <c r="BO225" s="27"/>
      <c r="BP225" s="27"/>
      <c r="BQ225" s="27"/>
      <c r="BR225" s="27"/>
      <c r="BS225" s="27"/>
      <c r="BT225" s="27"/>
    </row>
    <row r="226" spans="1:72" ht="14.25" customHeight="1" x14ac:dyDescent="0.2">
      <c r="A226" s="5"/>
      <c r="B226" s="4">
        <v>2</v>
      </c>
      <c r="C226" s="4" t="s">
        <v>7661</v>
      </c>
      <c r="D226" s="4">
        <v>31091</v>
      </c>
      <c r="E226" s="4">
        <v>2742</v>
      </c>
      <c r="F226" s="4" t="s">
        <v>962</v>
      </c>
      <c r="G226" s="19" t="s">
        <v>963</v>
      </c>
      <c r="H226" s="4" t="s">
        <v>964</v>
      </c>
      <c r="I226" s="4" t="s">
        <v>641</v>
      </c>
      <c r="J226" s="4" t="s">
        <v>642</v>
      </c>
      <c r="K226" s="4">
        <v>1</v>
      </c>
      <c r="L226" s="4">
        <v>3485</v>
      </c>
      <c r="M226" s="9">
        <v>49.373330000000003</v>
      </c>
      <c r="N226" s="9">
        <v>-117.24250000000001</v>
      </c>
      <c r="O226" s="9" t="s">
        <v>170</v>
      </c>
      <c r="P226" s="9">
        <v>31091</v>
      </c>
      <c r="Q226" s="20">
        <v>1</v>
      </c>
      <c r="R226" s="9" t="s">
        <v>962</v>
      </c>
      <c r="S226" s="11" t="s">
        <v>965</v>
      </c>
      <c r="T226" s="9" t="s">
        <v>644</v>
      </c>
      <c r="U226" s="9">
        <v>860</v>
      </c>
      <c r="Z226" s="9" t="s">
        <v>645</v>
      </c>
      <c r="AA226" s="9" t="s">
        <v>966</v>
      </c>
      <c r="AB226" s="9"/>
      <c r="AC226" s="21"/>
      <c r="AD226" s="9"/>
      <c r="AE226" s="9"/>
      <c r="AF226" s="9"/>
      <c r="AG226" s="9"/>
      <c r="AH226" s="9"/>
      <c r="AI226" s="9"/>
    </row>
    <row r="227" spans="1:72" ht="14.25" customHeight="1" x14ac:dyDescent="0.2">
      <c r="A227" s="5"/>
      <c r="B227" s="4">
        <v>2</v>
      </c>
      <c r="C227" s="4" t="s">
        <v>7661</v>
      </c>
      <c r="D227" s="4">
        <v>31092</v>
      </c>
      <c r="E227" s="4">
        <v>11023</v>
      </c>
      <c r="F227" s="4" t="s">
        <v>967</v>
      </c>
      <c r="G227" s="19" t="s">
        <v>968</v>
      </c>
      <c r="H227" s="4" t="s">
        <v>969</v>
      </c>
      <c r="I227" s="4" t="s">
        <v>49</v>
      </c>
      <c r="J227" s="4" t="s">
        <v>710</v>
      </c>
      <c r="K227" s="4">
        <v>1</v>
      </c>
      <c r="L227" s="4">
        <v>13191</v>
      </c>
      <c r="M227" s="9">
        <v>49.487720000000003</v>
      </c>
      <c r="N227" s="9">
        <v>-117.41986</v>
      </c>
      <c r="O227" s="9" t="s">
        <v>170</v>
      </c>
      <c r="P227" s="9">
        <v>31092</v>
      </c>
      <c r="Q227" s="20">
        <v>1</v>
      </c>
      <c r="R227" s="9" t="s">
        <v>967</v>
      </c>
      <c r="S227" s="11" t="s">
        <v>970</v>
      </c>
      <c r="T227" s="9" t="s">
        <v>644</v>
      </c>
      <c r="U227" s="9">
        <v>580</v>
      </c>
      <c r="Z227" s="9"/>
      <c r="AA227" s="9" t="s">
        <v>971</v>
      </c>
      <c r="AB227" s="9"/>
      <c r="AC227" s="9"/>
      <c r="AD227" s="9"/>
      <c r="AE227" s="9"/>
      <c r="AF227" s="9"/>
      <c r="AG227" s="9"/>
      <c r="AH227" s="9"/>
      <c r="AI227" s="9"/>
    </row>
    <row r="228" spans="1:72" ht="14.25" customHeight="1" x14ac:dyDescent="0.2">
      <c r="A228" s="5"/>
      <c r="B228" s="4">
        <v>2</v>
      </c>
      <c r="C228" s="4" t="s">
        <v>7661</v>
      </c>
      <c r="D228" s="4">
        <v>31321</v>
      </c>
      <c r="E228" s="4">
        <v>2746</v>
      </c>
      <c r="F228" s="4" t="s">
        <v>972</v>
      </c>
      <c r="G228" s="19" t="s">
        <v>973</v>
      </c>
      <c r="H228" s="4" t="s">
        <v>974</v>
      </c>
      <c r="I228" s="4" t="s">
        <v>641</v>
      </c>
      <c r="J228" s="4" t="s">
        <v>975</v>
      </c>
      <c r="K228" s="4">
        <v>1</v>
      </c>
      <c r="L228" s="4">
        <v>3489</v>
      </c>
      <c r="M228" s="9">
        <v>49.41778</v>
      </c>
      <c r="N228" s="9">
        <v>-117.16110999999999</v>
      </c>
      <c r="O228" s="9" t="s">
        <v>170</v>
      </c>
      <c r="P228" s="9">
        <v>31321</v>
      </c>
      <c r="Q228" s="20">
        <v>7</v>
      </c>
      <c r="R228" s="9" t="s">
        <v>972</v>
      </c>
      <c r="S228" s="11" t="s">
        <v>976</v>
      </c>
      <c r="T228" s="9" t="s">
        <v>644</v>
      </c>
      <c r="U228" s="9">
        <v>1990</v>
      </c>
      <c r="Z228" s="9"/>
      <c r="AA228" s="9" t="s">
        <v>977</v>
      </c>
      <c r="AB228" s="9"/>
      <c r="AC228" s="9"/>
      <c r="AD228" s="9"/>
      <c r="AE228" s="9"/>
      <c r="AF228" s="9"/>
      <c r="AG228" s="9"/>
      <c r="AH228" s="9"/>
      <c r="AI228" s="9"/>
    </row>
    <row r="229" spans="1:72" ht="14.25" customHeight="1" x14ac:dyDescent="0.2">
      <c r="A229" s="5"/>
      <c r="B229" s="4">
        <v>2</v>
      </c>
      <c r="C229" s="4" t="s">
        <v>7661</v>
      </c>
      <c r="D229" s="4">
        <v>32091</v>
      </c>
      <c r="E229" s="4">
        <v>12472</v>
      </c>
      <c r="F229" s="4" t="s">
        <v>978</v>
      </c>
      <c r="G229" s="19" t="s">
        <v>979</v>
      </c>
      <c r="H229" s="4" t="s">
        <v>709</v>
      </c>
      <c r="I229" s="4" t="s">
        <v>49</v>
      </c>
      <c r="J229" s="4" t="s">
        <v>710</v>
      </c>
      <c r="K229" s="4">
        <v>1</v>
      </c>
      <c r="L229" s="4">
        <v>14494</v>
      </c>
      <c r="M229" s="9">
        <v>49.187080000000002</v>
      </c>
      <c r="N229" s="9">
        <v>-117.44001</v>
      </c>
      <c r="O229" s="9" t="s">
        <v>170</v>
      </c>
      <c r="P229" s="9">
        <v>32091</v>
      </c>
      <c r="Q229" s="20">
        <v>1</v>
      </c>
      <c r="R229" s="9" t="s">
        <v>978</v>
      </c>
      <c r="S229" s="11" t="s">
        <v>980</v>
      </c>
      <c r="T229" s="9" t="s">
        <v>644</v>
      </c>
      <c r="U229" s="9">
        <v>700</v>
      </c>
      <c r="Z229" s="9"/>
      <c r="AA229" s="9" t="s">
        <v>981</v>
      </c>
      <c r="AB229" s="9"/>
      <c r="AC229" s="9"/>
      <c r="AD229" s="9"/>
      <c r="AE229" s="9"/>
      <c r="AF229" s="9"/>
      <c r="AG229" s="9"/>
      <c r="AH229" s="9"/>
      <c r="AI229" s="9"/>
    </row>
    <row r="230" spans="1:72" ht="14.25" customHeight="1" x14ac:dyDescent="0.2">
      <c r="A230" s="5"/>
      <c r="B230" s="4">
        <v>2</v>
      </c>
      <c r="C230" s="4" t="s">
        <v>7661</v>
      </c>
      <c r="D230" s="4">
        <v>32221</v>
      </c>
      <c r="E230" s="4">
        <v>2751</v>
      </c>
      <c r="F230" s="27" t="s">
        <v>982</v>
      </c>
      <c r="G230" s="19" t="s">
        <v>983</v>
      </c>
      <c r="H230" s="4" t="s">
        <v>984</v>
      </c>
      <c r="I230" s="4" t="s">
        <v>641</v>
      </c>
      <c r="J230" s="4" t="s">
        <v>755</v>
      </c>
      <c r="K230" s="4">
        <v>1</v>
      </c>
      <c r="L230" s="4">
        <v>3494</v>
      </c>
      <c r="M230" s="27">
        <v>49.204169999999998</v>
      </c>
      <c r="N230" s="27">
        <v>-117.88889</v>
      </c>
      <c r="O230" s="27" t="s">
        <v>170</v>
      </c>
      <c r="P230" s="27">
        <v>32221</v>
      </c>
      <c r="Q230" s="29">
        <v>5</v>
      </c>
      <c r="R230" s="27" t="s">
        <v>982</v>
      </c>
      <c r="S230" s="30" t="s">
        <v>985</v>
      </c>
      <c r="T230" s="27" t="s">
        <v>644</v>
      </c>
      <c r="U230" s="27">
        <v>1600</v>
      </c>
      <c r="V230" s="27"/>
      <c r="W230" s="27"/>
      <c r="X230" s="27"/>
      <c r="Y230" s="27"/>
      <c r="Z230" s="27" t="s">
        <v>645</v>
      </c>
      <c r="AA230" s="27" t="s">
        <v>986</v>
      </c>
      <c r="AB230" s="27"/>
      <c r="AC230" s="31"/>
      <c r="AD230" s="27"/>
      <c r="AE230" s="27"/>
      <c r="AF230" s="27"/>
      <c r="AG230" s="27"/>
      <c r="AH230" s="27"/>
      <c r="AI230" s="27"/>
      <c r="AJ230" s="27"/>
      <c r="AK230" s="27"/>
      <c r="AL230" s="27"/>
      <c r="AM230" s="27"/>
      <c r="AN230" s="27"/>
      <c r="AO230" s="27"/>
      <c r="AP230" s="27"/>
      <c r="AQ230" s="27"/>
      <c r="AR230" s="27"/>
      <c r="AS230" s="27"/>
      <c r="AT230" s="27"/>
      <c r="AU230" s="27"/>
      <c r="AV230" s="27"/>
      <c r="AW230" s="27"/>
      <c r="AX230" s="27"/>
      <c r="AY230" s="27"/>
      <c r="AZ230" s="27"/>
      <c r="BA230" s="27"/>
      <c r="BB230" s="27"/>
      <c r="BC230" s="27"/>
      <c r="BD230" s="27"/>
      <c r="BE230" s="27"/>
      <c r="BF230" s="27"/>
      <c r="BG230" s="27"/>
      <c r="BH230" s="27"/>
      <c r="BI230" s="27"/>
      <c r="BJ230" s="27"/>
      <c r="BK230" s="27"/>
      <c r="BL230" s="27"/>
      <c r="BM230" s="27"/>
      <c r="BN230" s="27"/>
      <c r="BO230" s="27"/>
      <c r="BP230" s="27"/>
      <c r="BQ230" s="27"/>
      <c r="BR230" s="27"/>
      <c r="BS230" s="27"/>
      <c r="BT230" s="27"/>
    </row>
    <row r="231" spans="1:72" ht="14.25" customHeight="1" x14ac:dyDescent="0.2">
      <c r="A231" s="5"/>
      <c r="B231" s="4">
        <v>2</v>
      </c>
      <c r="C231" s="4" t="s">
        <v>7661</v>
      </c>
      <c r="D231" s="4">
        <v>33093</v>
      </c>
      <c r="E231" s="4">
        <v>2760</v>
      </c>
      <c r="F231" s="27" t="s">
        <v>987</v>
      </c>
      <c r="G231" s="19" t="s">
        <v>988</v>
      </c>
      <c r="H231" s="4" t="s">
        <v>989</v>
      </c>
      <c r="I231" s="4" t="s">
        <v>641</v>
      </c>
      <c r="J231" s="4" t="s">
        <v>755</v>
      </c>
      <c r="K231" s="4">
        <v>1</v>
      </c>
      <c r="L231" s="4">
        <v>3503</v>
      </c>
      <c r="M231" s="27">
        <v>49.005560000000003</v>
      </c>
      <c r="N231" s="27">
        <v>-119.31361</v>
      </c>
      <c r="O231" s="27" t="s">
        <v>142</v>
      </c>
      <c r="P231" s="32">
        <v>33093</v>
      </c>
      <c r="Q231" s="29">
        <v>3</v>
      </c>
      <c r="R231" s="27" t="s">
        <v>987</v>
      </c>
      <c r="S231" s="30" t="s">
        <v>990</v>
      </c>
      <c r="T231" s="27" t="s">
        <v>644</v>
      </c>
      <c r="U231" s="27">
        <v>1097</v>
      </c>
      <c r="V231" s="27"/>
      <c r="W231" s="27"/>
      <c r="X231" s="27"/>
      <c r="Y231" s="27"/>
      <c r="Z231" s="27" t="s">
        <v>645</v>
      </c>
      <c r="AA231" s="27" t="s">
        <v>991</v>
      </c>
      <c r="AB231" s="27"/>
      <c r="AC231" s="31"/>
      <c r="AD231" s="27"/>
      <c r="AE231" s="27"/>
      <c r="AF231" s="27"/>
      <c r="AG231" s="27"/>
      <c r="AH231" s="27"/>
      <c r="AI231" s="27"/>
      <c r="AJ231" s="27"/>
      <c r="AK231" s="27"/>
      <c r="AL231" s="27"/>
      <c r="AM231" s="27"/>
      <c r="AN231" s="27"/>
      <c r="AO231" s="27"/>
      <c r="AP231" s="27"/>
      <c r="AQ231" s="27"/>
      <c r="AR231" s="27"/>
      <c r="AS231" s="27"/>
      <c r="AT231" s="27"/>
      <c r="AU231" s="27"/>
      <c r="AV231" s="27"/>
      <c r="AW231" s="27"/>
      <c r="AX231" s="27"/>
      <c r="AY231" s="27"/>
      <c r="AZ231" s="27"/>
      <c r="BA231" s="27"/>
      <c r="BB231" s="27"/>
      <c r="BC231" s="27"/>
      <c r="BD231" s="27"/>
      <c r="BE231" s="27"/>
      <c r="BF231" s="27"/>
      <c r="BG231" s="27"/>
      <c r="BH231" s="27"/>
      <c r="BI231" s="27"/>
      <c r="BJ231" s="27"/>
      <c r="BK231" s="27"/>
      <c r="BL231" s="27"/>
      <c r="BM231" s="27"/>
      <c r="BN231" s="27"/>
      <c r="BO231" s="27"/>
      <c r="BP231" s="27"/>
      <c r="BQ231" s="27"/>
      <c r="BR231" s="27"/>
      <c r="BS231" s="27"/>
      <c r="BT231" s="27"/>
    </row>
    <row r="232" spans="1:72" ht="14.25" customHeight="1" x14ac:dyDescent="0.2">
      <c r="A232" s="5" t="s">
        <v>772</v>
      </c>
      <c r="B232" s="4">
        <v>2</v>
      </c>
      <c r="C232" s="4" t="s">
        <v>7661</v>
      </c>
      <c r="D232" s="4">
        <v>33095</v>
      </c>
      <c r="E232" s="4">
        <v>13017</v>
      </c>
      <c r="F232" s="33" t="s">
        <v>992</v>
      </c>
      <c r="G232" s="8" t="s">
        <v>993</v>
      </c>
      <c r="H232" s="4" t="s">
        <v>792</v>
      </c>
      <c r="I232" s="4" t="s">
        <v>49</v>
      </c>
      <c r="J232" s="4" t="s">
        <v>793</v>
      </c>
      <c r="K232" s="4">
        <v>1</v>
      </c>
      <c r="L232" s="4">
        <v>14949</v>
      </c>
      <c r="M232" s="27">
        <v>49.148180000000004</v>
      </c>
      <c r="N232" s="27">
        <v>-118.53021</v>
      </c>
      <c r="O232" s="27" t="s">
        <v>170</v>
      </c>
      <c r="P232" s="32">
        <v>33095</v>
      </c>
      <c r="Q232" s="29">
        <v>2</v>
      </c>
      <c r="R232" s="27" t="s">
        <v>994</v>
      </c>
      <c r="S232" s="30" t="s">
        <v>995</v>
      </c>
      <c r="T232" s="27" t="s">
        <v>644</v>
      </c>
      <c r="U232" s="27">
        <v>998</v>
      </c>
      <c r="V232" s="27"/>
      <c r="W232" s="27"/>
      <c r="X232" s="27"/>
      <c r="Y232" s="27"/>
      <c r="Z232" s="27"/>
      <c r="AA232" s="27" t="s">
        <v>996</v>
      </c>
      <c r="AB232" s="27"/>
      <c r="AC232" s="27"/>
      <c r="AD232" s="27"/>
      <c r="AE232" s="27"/>
      <c r="AF232" s="27"/>
      <c r="AG232" s="27"/>
      <c r="AH232" s="27"/>
      <c r="AI232" s="27"/>
      <c r="AJ232" s="27"/>
      <c r="AK232" s="27"/>
      <c r="AL232" s="27"/>
      <c r="AM232" s="27"/>
      <c r="AN232" s="27"/>
      <c r="AO232" s="27"/>
      <c r="AP232" s="27"/>
      <c r="AQ232" s="27"/>
      <c r="AR232" s="27"/>
      <c r="AS232" s="27"/>
      <c r="AT232" s="27"/>
      <c r="AU232" s="27"/>
      <c r="AV232" s="27"/>
      <c r="AW232" s="27"/>
      <c r="AX232" s="27"/>
      <c r="AY232" s="27"/>
      <c r="AZ232" s="27"/>
      <c r="BA232" s="27"/>
      <c r="BB232" s="27"/>
      <c r="BC232" s="27"/>
      <c r="BD232" s="27"/>
      <c r="BE232" s="27"/>
      <c r="BF232" s="27"/>
      <c r="BG232" s="27"/>
      <c r="BH232" s="27"/>
      <c r="BI232" s="27"/>
      <c r="BJ232" s="27"/>
      <c r="BK232" s="27"/>
      <c r="BL232" s="27"/>
      <c r="BM232" s="27"/>
      <c r="BN232" s="27"/>
      <c r="BO232" s="27"/>
      <c r="BP232" s="27"/>
      <c r="BQ232" s="27"/>
      <c r="BR232" s="27"/>
      <c r="BS232" s="27"/>
      <c r="BT232" s="27"/>
    </row>
    <row r="233" spans="1:72" ht="14.25" customHeight="1" x14ac:dyDescent="0.2">
      <c r="A233" s="5" t="s">
        <v>88</v>
      </c>
      <c r="B233" s="4">
        <v>2</v>
      </c>
      <c r="C233" s="4" t="s">
        <v>7661</v>
      </c>
      <c r="D233" s="4">
        <v>33099</v>
      </c>
      <c r="E233" s="4">
        <v>2761</v>
      </c>
      <c r="F233" s="4" t="s">
        <v>997</v>
      </c>
      <c r="G233" s="8" t="s">
        <v>998</v>
      </c>
      <c r="H233" s="4" t="s">
        <v>999</v>
      </c>
      <c r="I233" s="4" t="s">
        <v>641</v>
      </c>
      <c r="J233" s="4" t="s">
        <v>642</v>
      </c>
      <c r="K233" s="4">
        <v>1</v>
      </c>
      <c r="L233" s="4">
        <v>3504</v>
      </c>
      <c r="M233" s="9">
        <v>49.757779999999997</v>
      </c>
      <c r="N233" s="9">
        <v>-119.12639</v>
      </c>
      <c r="O233" s="9" t="s">
        <v>142</v>
      </c>
      <c r="P233" s="9">
        <v>33099</v>
      </c>
      <c r="Q233" s="20">
        <v>4</v>
      </c>
      <c r="R233" s="9" t="s">
        <v>997</v>
      </c>
      <c r="S233" s="11" t="s">
        <v>1000</v>
      </c>
      <c r="T233" s="9" t="s">
        <v>644</v>
      </c>
      <c r="U233" s="9">
        <v>1200</v>
      </c>
      <c r="Z233" s="9"/>
      <c r="AA233" s="9" t="s">
        <v>1001</v>
      </c>
      <c r="AB233" s="9"/>
      <c r="AC233" s="9"/>
      <c r="AD233" s="9"/>
      <c r="AE233" s="9"/>
      <c r="AF233" s="9"/>
      <c r="AG233" s="9"/>
      <c r="AH233" s="9"/>
      <c r="AI233" s="9"/>
    </row>
    <row r="234" spans="1:72" ht="14.25" customHeight="1" x14ac:dyDescent="0.2">
      <c r="A234" s="5"/>
      <c r="B234" s="4">
        <v>2</v>
      </c>
      <c r="C234" s="4" t="s">
        <v>7661</v>
      </c>
      <c r="D234" s="4">
        <v>33121</v>
      </c>
      <c r="E234" s="4">
        <v>2763</v>
      </c>
      <c r="F234" s="4" t="s">
        <v>1002</v>
      </c>
      <c r="G234" s="19" t="s">
        <v>1003</v>
      </c>
      <c r="H234" s="4" t="s">
        <v>1004</v>
      </c>
      <c r="I234" s="4" t="s">
        <v>641</v>
      </c>
      <c r="J234" s="4" t="s">
        <v>825</v>
      </c>
      <c r="K234" s="4">
        <v>1</v>
      </c>
      <c r="L234" s="4">
        <v>3506</v>
      </c>
      <c r="M234" s="34">
        <v>49.159970000000001</v>
      </c>
      <c r="N234" s="34">
        <v>-118.10936</v>
      </c>
      <c r="O234" s="35" t="s">
        <v>170</v>
      </c>
      <c r="P234" s="9">
        <v>33121</v>
      </c>
      <c r="Q234" s="20">
        <v>5</v>
      </c>
      <c r="R234" s="34" t="s">
        <v>1002</v>
      </c>
      <c r="S234" s="11" t="s">
        <v>1005</v>
      </c>
      <c r="T234" s="9" t="s">
        <v>644</v>
      </c>
      <c r="U234" s="9">
        <v>1570</v>
      </c>
      <c r="Z234" s="9"/>
      <c r="AA234" s="9" t="s">
        <v>1006</v>
      </c>
      <c r="AB234" s="9"/>
      <c r="AC234" s="9"/>
      <c r="AD234" s="9"/>
      <c r="AE234" s="9"/>
      <c r="AF234" s="9"/>
      <c r="AG234" s="9"/>
      <c r="AH234" s="9"/>
      <c r="AI234" s="9"/>
    </row>
    <row r="235" spans="1:72" ht="14.25" customHeight="1" x14ac:dyDescent="0.2">
      <c r="A235" s="5"/>
      <c r="B235" s="4">
        <v>2</v>
      </c>
      <c r="C235" s="4" t="s">
        <v>7661</v>
      </c>
      <c r="D235" s="4">
        <v>33122</v>
      </c>
      <c r="E235" s="4">
        <v>2764</v>
      </c>
      <c r="F235" s="27" t="s">
        <v>1007</v>
      </c>
      <c r="G235" s="19" t="s">
        <v>1008</v>
      </c>
      <c r="H235" s="4" t="s">
        <v>1009</v>
      </c>
      <c r="I235" s="4" t="s">
        <v>641</v>
      </c>
      <c r="J235" s="4" t="s">
        <v>755</v>
      </c>
      <c r="K235" s="4">
        <v>1</v>
      </c>
      <c r="L235" s="4">
        <v>3507</v>
      </c>
      <c r="M235" s="27">
        <v>49.243679999999998</v>
      </c>
      <c r="N235" s="27">
        <v>-118.05204999999999</v>
      </c>
      <c r="O235" s="27" t="s">
        <v>170</v>
      </c>
      <c r="P235" s="27">
        <v>33122</v>
      </c>
      <c r="Q235" s="29">
        <v>4</v>
      </c>
      <c r="R235" s="27" t="s">
        <v>1007</v>
      </c>
      <c r="S235" s="30" t="s">
        <v>1010</v>
      </c>
      <c r="T235" s="27" t="s">
        <v>644</v>
      </c>
      <c r="U235" s="27">
        <v>1535</v>
      </c>
      <c r="V235" s="27"/>
      <c r="W235" s="27"/>
      <c r="X235" s="27"/>
      <c r="Y235" s="27"/>
      <c r="Z235" s="27"/>
      <c r="AA235" s="27" t="s">
        <v>1011</v>
      </c>
      <c r="AB235" s="27"/>
      <c r="AC235" s="31"/>
      <c r="AD235" s="27"/>
      <c r="AE235" s="27"/>
      <c r="AF235" s="27"/>
      <c r="AG235" s="27"/>
      <c r="AH235" s="27"/>
      <c r="AI235" s="27"/>
      <c r="AJ235" s="27"/>
      <c r="AK235" s="27"/>
      <c r="AL235" s="27"/>
      <c r="AM235" s="27"/>
      <c r="AN235" s="27"/>
      <c r="AO235" s="27"/>
      <c r="AP235" s="27"/>
      <c r="AQ235" s="27"/>
      <c r="AR235" s="27"/>
      <c r="AS235" s="27"/>
      <c r="AT235" s="27"/>
      <c r="AU235" s="27"/>
      <c r="AV235" s="27"/>
      <c r="AW235" s="27"/>
      <c r="AX235" s="27"/>
      <c r="AY235" s="27"/>
      <c r="AZ235" s="27"/>
      <c r="BA235" s="27"/>
      <c r="BB235" s="27"/>
      <c r="BC235" s="27"/>
      <c r="BD235" s="27"/>
      <c r="BE235" s="27"/>
      <c r="BF235" s="27"/>
      <c r="BG235" s="27"/>
      <c r="BH235" s="27"/>
      <c r="BI235" s="27"/>
      <c r="BJ235" s="27"/>
      <c r="BK235" s="27"/>
      <c r="BL235" s="27"/>
      <c r="BM235" s="27"/>
      <c r="BN235" s="27"/>
      <c r="BO235" s="27"/>
      <c r="BP235" s="27"/>
      <c r="BQ235" s="27"/>
      <c r="BR235" s="27"/>
      <c r="BS235" s="27"/>
      <c r="BT235" s="27"/>
    </row>
    <row r="236" spans="1:72" ht="14.25" customHeight="1" x14ac:dyDescent="0.2">
      <c r="A236" s="5"/>
      <c r="B236" s="4">
        <v>2</v>
      </c>
      <c r="C236" s="4" t="s">
        <v>7661</v>
      </c>
      <c r="D236" s="4">
        <v>34091</v>
      </c>
      <c r="E236" s="4">
        <v>12473</v>
      </c>
      <c r="F236" s="27" t="s">
        <v>1012</v>
      </c>
      <c r="G236" s="19" t="s">
        <v>1013</v>
      </c>
      <c r="H236" s="4" t="s">
        <v>709</v>
      </c>
      <c r="I236" s="4" t="s">
        <v>49</v>
      </c>
      <c r="J236" s="4" t="s">
        <v>710</v>
      </c>
      <c r="K236" s="4">
        <v>1</v>
      </c>
      <c r="L236" s="4">
        <v>14495</v>
      </c>
      <c r="M236" s="9">
        <v>50.050550000000001</v>
      </c>
      <c r="N236" s="9">
        <v>-118.39633000000001</v>
      </c>
      <c r="O236" s="9" t="s">
        <v>170</v>
      </c>
      <c r="P236" s="9">
        <v>34091</v>
      </c>
      <c r="Q236" s="20">
        <v>3</v>
      </c>
      <c r="R236" s="9" t="s">
        <v>1012</v>
      </c>
      <c r="S236" s="11" t="s">
        <v>1014</v>
      </c>
      <c r="T236" s="9" t="s">
        <v>644</v>
      </c>
      <c r="U236" s="27">
        <v>1223</v>
      </c>
      <c r="V236" s="27"/>
      <c r="W236" s="27"/>
      <c r="X236" s="27"/>
      <c r="Y236" s="27"/>
      <c r="Z236" s="27"/>
      <c r="AA236" s="27" t="s">
        <v>1015</v>
      </c>
      <c r="AB236" s="27"/>
      <c r="AC236" s="27"/>
      <c r="AD236" s="27"/>
      <c r="AE236" s="27"/>
      <c r="AF236" s="27"/>
      <c r="AG236" s="27"/>
      <c r="AH236" s="27"/>
      <c r="AI236" s="27"/>
      <c r="AJ236" s="27"/>
      <c r="AK236" s="27"/>
      <c r="AL236" s="27"/>
      <c r="AM236" s="27"/>
      <c r="AN236" s="27"/>
      <c r="AO236" s="27"/>
      <c r="AP236" s="27"/>
      <c r="AQ236" s="27"/>
      <c r="AR236" s="27"/>
      <c r="AS236" s="27"/>
      <c r="AT236" s="27"/>
      <c r="AU236" s="27"/>
      <c r="AV236" s="27"/>
      <c r="AW236" s="27"/>
      <c r="AX236" s="27"/>
      <c r="AY236" s="27"/>
      <c r="AZ236" s="27"/>
      <c r="BA236" s="27"/>
      <c r="BB236" s="27"/>
      <c r="BC236" s="27"/>
      <c r="BD236" s="27"/>
      <c r="BE236" s="27"/>
      <c r="BF236" s="27"/>
      <c r="BG236" s="27"/>
      <c r="BH236" s="27"/>
      <c r="BI236" s="27"/>
      <c r="BJ236" s="27"/>
      <c r="BK236" s="27"/>
      <c r="BL236" s="27"/>
      <c r="BM236" s="27"/>
      <c r="BN236" s="27"/>
      <c r="BO236" s="27"/>
      <c r="BP236" s="27"/>
      <c r="BQ236" s="27"/>
      <c r="BR236" s="27"/>
      <c r="BS236" s="27"/>
      <c r="BT236" s="27"/>
    </row>
    <row r="237" spans="1:72" ht="14.25" customHeight="1" x14ac:dyDescent="0.2">
      <c r="A237" s="5" t="s">
        <v>88</v>
      </c>
      <c r="B237" s="4">
        <v>2</v>
      </c>
      <c r="C237" s="4" t="s">
        <v>7661</v>
      </c>
      <c r="D237" s="4">
        <v>34126</v>
      </c>
      <c r="E237" s="4">
        <v>2771</v>
      </c>
      <c r="F237" s="4" t="s">
        <v>1016</v>
      </c>
      <c r="G237" s="8" t="s">
        <v>1017</v>
      </c>
      <c r="H237" s="4" t="s">
        <v>1018</v>
      </c>
      <c r="I237" s="4" t="s">
        <v>641</v>
      </c>
      <c r="J237" s="4" t="s">
        <v>755</v>
      </c>
      <c r="K237" s="4">
        <v>1</v>
      </c>
      <c r="L237" s="4">
        <v>3514</v>
      </c>
      <c r="M237" s="34">
        <v>50.046309999999998</v>
      </c>
      <c r="N237" s="34">
        <v>-117.17914</v>
      </c>
      <c r="O237" s="35" t="s">
        <v>170</v>
      </c>
      <c r="P237" s="9">
        <v>34126</v>
      </c>
      <c r="Q237" s="20">
        <v>2</v>
      </c>
      <c r="R237" s="34" t="s">
        <v>1016</v>
      </c>
      <c r="S237" s="11" t="s">
        <v>1019</v>
      </c>
      <c r="T237" s="9" t="s">
        <v>644</v>
      </c>
      <c r="U237" s="8">
        <v>1080</v>
      </c>
      <c r="Z237" s="9" t="s">
        <v>645</v>
      </c>
      <c r="AA237" s="9" t="s">
        <v>1020</v>
      </c>
      <c r="AB237" s="9"/>
      <c r="AC237" s="21"/>
      <c r="AD237" s="9"/>
      <c r="AE237" s="9"/>
      <c r="AF237" s="9"/>
      <c r="AG237" s="9"/>
      <c r="AH237" s="9"/>
      <c r="AI237" s="9"/>
    </row>
    <row r="238" spans="1:72" ht="14.25" customHeight="1" x14ac:dyDescent="0.2">
      <c r="A238" s="5"/>
      <c r="B238" s="4">
        <v>2</v>
      </c>
      <c r="C238" s="4" t="s">
        <v>7661</v>
      </c>
      <c r="D238" s="4">
        <v>34127</v>
      </c>
      <c r="E238" s="4">
        <v>12474</v>
      </c>
      <c r="F238" s="27" t="s">
        <v>1021</v>
      </c>
      <c r="G238" s="19" t="s">
        <v>1022</v>
      </c>
      <c r="H238" s="4" t="s">
        <v>709</v>
      </c>
      <c r="I238" s="4" t="s">
        <v>49</v>
      </c>
      <c r="J238" s="4" t="s">
        <v>1023</v>
      </c>
      <c r="K238" s="4">
        <v>1</v>
      </c>
      <c r="L238" s="4">
        <v>14496</v>
      </c>
      <c r="M238" s="27">
        <v>50.022300000000001</v>
      </c>
      <c r="N238" s="27">
        <v>-117.18098999999999</v>
      </c>
      <c r="O238" s="27" t="s">
        <v>170</v>
      </c>
      <c r="P238" s="27">
        <v>34127</v>
      </c>
      <c r="Q238" s="29">
        <v>8</v>
      </c>
      <c r="R238" s="27" t="s">
        <v>1024</v>
      </c>
      <c r="S238" s="30" t="s">
        <v>1025</v>
      </c>
      <c r="T238" s="27" t="s">
        <v>644</v>
      </c>
      <c r="U238" s="27">
        <v>2200</v>
      </c>
      <c r="V238" s="27"/>
      <c r="W238" s="27"/>
      <c r="X238" s="27"/>
      <c r="Y238" s="27"/>
      <c r="Z238" s="27"/>
      <c r="AA238" s="27" t="s">
        <v>1026</v>
      </c>
      <c r="AB238" s="27"/>
      <c r="AC238" s="27"/>
      <c r="AD238" s="27"/>
      <c r="AE238" s="27"/>
      <c r="AF238" s="27"/>
      <c r="AG238" s="27"/>
      <c r="AH238" s="27"/>
      <c r="AI238" s="27"/>
      <c r="AJ238" s="27"/>
      <c r="AK238" s="27"/>
      <c r="AL238" s="27"/>
      <c r="AM238" s="27"/>
      <c r="AN238" s="27"/>
      <c r="AO238" s="27"/>
      <c r="AP238" s="27"/>
      <c r="AQ238" s="27"/>
      <c r="AR238" s="27"/>
      <c r="AS238" s="27"/>
      <c r="AT238" s="27"/>
      <c r="AU238" s="27"/>
      <c r="AV238" s="27"/>
      <c r="AW238" s="27"/>
      <c r="AX238" s="27"/>
      <c r="AY238" s="27"/>
      <c r="AZ238" s="27"/>
      <c r="BA238" s="27"/>
      <c r="BB238" s="27"/>
      <c r="BC238" s="27"/>
      <c r="BD238" s="27"/>
      <c r="BE238" s="27"/>
      <c r="BF238" s="27"/>
      <c r="BG238" s="27"/>
      <c r="BH238" s="27"/>
      <c r="BI238" s="27"/>
      <c r="BJ238" s="27"/>
      <c r="BK238" s="27"/>
      <c r="BL238" s="27"/>
      <c r="BM238" s="27"/>
      <c r="BN238" s="27"/>
      <c r="BO238" s="27"/>
      <c r="BP238" s="27"/>
      <c r="BQ238" s="27"/>
      <c r="BR238" s="27"/>
      <c r="BS238" s="27"/>
      <c r="BT238" s="27"/>
    </row>
    <row r="239" spans="1:72" ht="14.25" customHeight="1" x14ac:dyDescent="0.2">
      <c r="A239" s="5"/>
      <c r="B239" s="4">
        <v>2</v>
      </c>
      <c r="C239" s="4" t="s">
        <v>7661</v>
      </c>
      <c r="D239" s="4">
        <v>34128</v>
      </c>
      <c r="E239" s="4">
        <v>2772</v>
      </c>
      <c r="F239" s="4" t="s">
        <v>1027</v>
      </c>
      <c r="G239" s="19" t="s">
        <v>1028</v>
      </c>
      <c r="H239" s="4" t="s">
        <v>1029</v>
      </c>
      <c r="I239" s="4" t="s">
        <v>641</v>
      </c>
      <c r="J239" s="4" t="s">
        <v>825</v>
      </c>
      <c r="K239" s="4">
        <v>1</v>
      </c>
      <c r="L239" s="4">
        <v>3515</v>
      </c>
      <c r="M239" s="27">
        <v>50.04589</v>
      </c>
      <c r="N239" s="27">
        <v>-117.23481</v>
      </c>
      <c r="O239" s="27" t="s">
        <v>170</v>
      </c>
      <c r="P239" s="27">
        <v>34128</v>
      </c>
      <c r="Q239" s="29">
        <v>7</v>
      </c>
      <c r="R239" s="27" t="s">
        <v>1027</v>
      </c>
      <c r="S239" s="30" t="s">
        <v>1030</v>
      </c>
      <c r="T239" s="27" t="s">
        <v>644</v>
      </c>
      <c r="U239" s="27">
        <v>2070</v>
      </c>
      <c r="V239" s="27"/>
      <c r="W239" s="27"/>
      <c r="X239" s="27"/>
      <c r="Y239" s="27"/>
      <c r="Z239" s="27"/>
      <c r="AA239" s="27" t="s">
        <v>1031</v>
      </c>
      <c r="AB239" s="27"/>
      <c r="AC239" s="27"/>
      <c r="AD239" s="27"/>
      <c r="AE239" s="27"/>
      <c r="AF239" s="27"/>
      <c r="AG239" s="27"/>
      <c r="AH239" s="27"/>
      <c r="AI239" s="27"/>
      <c r="AJ239" s="27"/>
      <c r="AK239" s="27"/>
      <c r="AL239" s="27"/>
      <c r="AM239" s="27"/>
      <c r="AN239" s="27"/>
      <c r="AO239" s="27"/>
      <c r="AP239" s="27"/>
      <c r="AQ239" s="27"/>
      <c r="AR239" s="27"/>
      <c r="AS239" s="27"/>
      <c r="AT239" s="27"/>
      <c r="AU239" s="27"/>
      <c r="AV239" s="27"/>
      <c r="AW239" s="27"/>
      <c r="AX239" s="27"/>
      <c r="AY239" s="27"/>
      <c r="AZ239" s="27"/>
      <c r="BA239" s="27"/>
      <c r="BB239" s="27"/>
      <c r="BC239" s="27"/>
      <c r="BD239" s="27"/>
      <c r="BE239" s="27"/>
      <c r="BF239" s="27"/>
      <c r="BG239" s="27"/>
      <c r="BH239" s="27"/>
      <c r="BI239" s="27"/>
      <c r="BJ239" s="27"/>
      <c r="BK239" s="27"/>
      <c r="BL239" s="27"/>
      <c r="BM239" s="27"/>
      <c r="BN239" s="27"/>
      <c r="BO239" s="27"/>
      <c r="BP239" s="27"/>
      <c r="BQ239" s="27"/>
      <c r="BR239" s="27"/>
      <c r="BS239" s="27"/>
      <c r="BT239" s="27"/>
    </row>
    <row r="240" spans="1:72" ht="14.25" customHeight="1" x14ac:dyDescent="0.2">
      <c r="A240" s="5"/>
      <c r="B240" s="4">
        <v>2</v>
      </c>
      <c r="C240" s="4" t="s">
        <v>7661</v>
      </c>
      <c r="D240" s="4">
        <v>34129</v>
      </c>
      <c r="E240" s="4">
        <v>2773</v>
      </c>
      <c r="F240" s="4" t="s">
        <v>1032</v>
      </c>
      <c r="G240" s="19" t="s">
        <v>1033</v>
      </c>
      <c r="H240" s="4" t="s">
        <v>1034</v>
      </c>
      <c r="I240" s="4" t="s">
        <v>641</v>
      </c>
      <c r="J240" s="4" t="s">
        <v>1035</v>
      </c>
      <c r="K240" s="4">
        <v>1</v>
      </c>
      <c r="L240" s="4">
        <v>3516</v>
      </c>
      <c r="Q240" s="27"/>
      <c r="S240" s="27"/>
      <c r="T240" s="27"/>
      <c r="U240" s="27"/>
      <c r="V240" s="27"/>
      <c r="W240" s="27"/>
      <c r="X240" s="27"/>
      <c r="Y240" s="27"/>
      <c r="Z240" s="27"/>
      <c r="AA240" s="27"/>
      <c r="AB240" s="27"/>
      <c r="AC240" s="27"/>
      <c r="AD240" s="27"/>
      <c r="AE240" s="27"/>
      <c r="AF240" s="27"/>
      <c r="AG240" s="27"/>
      <c r="AH240" s="27"/>
      <c r="AI240" s="27"/>
      <c r="AJ240" s="27"/>
      <c r="AK240" s="27"/>
      <c r="AL240" s="27"/>
      <c r="AM240" s="27"/>
      <c r="AN240" s="27"/>
      <c r="AO240" s="27"/>
      <c r="AP240" s="27"/>
      <c r="AQ240" s="27"/>
      <c r="AR240" s="27"/>
      <c r="AS240" s="27"/>
      <c r="AT240" s="27"/>
      <c r="AU240" s="27"/>
      <c r="AV240" s="27"/>
      <c r="AW240" s="27"/>
      <c r="AX240" s="27"/>
      <c r="AY240" s="27"/>
      <c r="AZ240" s="27"/>
      <c r="BA240" s="27"/>
      <c r="BB240" s="27"/>
      <c r="BC240" s="27"/>
      <c r="BD240" s="27"/>
      <c r="BE240" s="27"/>
      <c r="BF240" s="27"/>
      <c r="BG240" s="27"/>
      <c r="BH240" s="27"/>
      <c r="BI240" s="27"/>
      <c r="BJ240" s="27"/>
      <c r="BK240" s="27"/>
      <c r="BL240" s="27"/>
      <c r="BM240" s="27"/>
      <c r="BN240" s="27"/>
      <c r="BO240" s="27"/>
      <c r="BP240" s="27"/>
      <c r="BQ240" s="27"/>
      <c r="BR240" s="27"/>
      <c r="BS240" s="27"/>
      <c r="BT240" s="27"/>
    </row>
    <row r="241" spans="1:72" ht="14.25" customHeight="1" x14ac:dyDescent="0.2">
      <c r="A241" s="5"/>
      <c r="B241" s="4">
        <v>2</v>
      </c>
      <c r="C241" s="4" t="s">
        <v>7661</v>
      </c>
      <c r="D241" s="4">
        <v>34224</v>
      </c>
      <c r="E241" s="4">
        <v>2775</v>
      </c>
      <c r="F241" s="4" t="s">
        <v>1036</v>
      </c>
      <c r="G241" s="19" t="s">
        <v>1037</v>
      </c>
      <c r="H241" s="4" t="s">
        <v>1038</v>
      </c>
      <c r="I241" s="4" t="s">
        <v>641</v>
      </c>
      <c r="J241" s="4" t="s">
        <v>825</v>
      </c>
      <c r="K241" s="4">
        <v>1</v>
      </c>
      <c r="L241" s="4">
        <v>3518</v>
      </c>
      <c r="M241" s="34">
        <v>50.154170000000001</v>
      </c>
      <c r="N241" s="34">
        <v>-116.9675</v>
      </c>
      <c r="O241" s="35" t="s">
        <v>170</v>
      </c>
      <c r="P241" s="9">
        <v>34224</v>
      </c>
      <c r="Q241" s="20">
        <v>2</v>
      </c>
      <c r="R241" s="34" t="s">
        <v>1036</v>
      </c>
      <c r="S241" s="11" t="s">
        <v>1039</v>
      </c>
      <c r="T241" s="9" t="s">
        <v>644</v>
      </c>
      <c r="U241" s="9">
        <v>1095</v>
      </c>
      <c r="Z241" s="9" t="s">
        <v>645</v>
      </c>
      <c r="AA241" s="9" t="s">
        <v>1040</v>
      </c>
      <c r="AB241" s="9"/>
      <c r="AC241" s="9"/>
      <c r="AD241" s="9"/>
      <c r="AE241" s="9"/>
      <c r="AF241" s="9"/>
      <c r="AG241" s="9"/>
      <c r="AH241" s="9"/>
      <c r="AI241" s="9"/>
    </row>
    <row r="242" spans="1:72" ht="14.25" customHeight="1" x14ac:dyDescent="0.2">
      <c r="A242" s="5"/>
      <c r="B242" s="4">
        <v>2</v>
      </c>
      <c r="C242" s="4" t="s">
        <v>7661</v>
      </c>
      <c r="D242" s="4">
        <v>34225</v>
      </c>
      <c r="E242" s="4">
        <v>11024</v>
      </c>
      <c r="F242" s="27" t="s">
        <v>1041</v>
      </c>
      <c r="G242" s="19" t="s">
        <v>1042</v>
      </c>
      <c r="H242" s="4" t="s">
        <v>891</v>
      </c>
      <c r="I242" s="4" t="s">
        <v>49</v>
      </c>
      <c r="J242" s="4" t="s">
        <v>1023</v>
      </c>
      <c r="K242" s="4">
        <v>1</v>
      </c>
      <c r="L242" s="4">
        <v>13192</v>
      </c>
      <c r="M242" s="27">
        <v>50.248890000000003</v>
      </c>
      <c r="N242" s="27">
        <v>-117.08028</v>
      </c>
      <c r="O242" s="27" t="s">
        <v>170</v>
      </c>
      <c r="P242" s="27">
        <v>34225</v>
      </c>
      <c r="Q242" s="29">
        <v>8</v>
      </c>
      <c r="R242" s="27" t="s">
        <v>1041</v>
      </c>
      <c r="S242" s="30" t="s">
        <v>1043</v>
      </c>
      <c r="T242" s="27" t="s">
        <v>644</v>
      </c>
      <c r="U242" s="27">
        <v>2518</v>
      </c>
      <c r="V242" s="27"/>
      <c r="W242" s="27"/>
      <c r="X242" s="27"/>
      <c r="Y242" s="27"/>
      <c r="Z242" s="27"/>
      <c r="AA242" s="27" t="s">
        <v>1044</v>
      </c>
      <c r="AB242" s="27"/>
      <c r="AC242" s="27"/>
      <c r="AD242" s="27"/>
      <c r="AE242" s="27"/>
      <c r="AF242" s="27"/>
      <c r="AG242" s="27"/>
      <c r="AH242" s="27"/>
      <c r="AI242" s="27"/>
      <c r="AJ242" s="27"/>
      <c r="AK242" s="27"/>
      <c r="AL242" s="27"/>
      <c r="AM242" s="27"/>
      <c r="AN242" s="27"/>
      <c r="AO242" s="27"/>
      <c r="AP242" s="27"/>
      <c r="AQ242" s="27"/>
      <c r="AR242" s="27"/>
      <c r="AS242" s="27"/>
      <c r="AT242" s="27"/>
      <c r="AU242" s="27"/>
      <c r="AV242" s="27"/>
      <c r="AW242" s="27"/>
      <c r="AX242" s="27"/>
      <c r="AY242" s="27"/>
      <c r="AZ242" s="27"/>
      <c r="BA242" s="27"/>
      <c r="BB242" s="27"/>
      <c r="BC242" s="27"/>
      <c r="BD242" s="27"/>
      <c r="BE242" s="27"/>
      <c r="BF242" s="27"/>
      <c r="BG242" s="27"/>
      <c r="BH242" s="27"/>
      <c r="BI242" s="27"/>
      <c r="BJ242" s="27"/>
      <c r="BK242" s="27"/>
      <c r="BL242" s="27"/>
      <c r="BM242" s="27"/>
      <c r="BN242" s="27"/>
      <c r="BO242" s="27"/>
      <c r="BP242" s="27"/>
      <c r="BQ242" s="27"/>
      <c r="BR242" s="27"/>
      <c r="BS242" s="27"/>
      <c r="BT242" s="27"/>
    </row>
    <row r="243" spans="1:72" ht="14.25" customHeight="1" x14ac:dyDescent="0.2">
      <c r="A243" s="5"/>
      <c r="B243" s="4">
        <v>2</v>
      </c>
      <c r="C243" s="4" t="s">
        <v>7661</v>
      </c>
      <c r="D243" s="4">
        <v>34621</v>
      </c>
      <c r="E243" s="4">
        <v>2778</v>
      </c>
      <c r="F243" s="27" t="s">
        <v>1045</v>
      </c>
      <c r="G243" s="19" t="s">
        <v>1046</v>
      </c>
      <c r="H243" s="4" t="s">
        <v>1047</v>
      </c>
      <c r="I243" s="4" t="s">
        <v>641</v>
      </c>
      <c r="J243" s="4" t="s">
        <v>755</v>
      </c>
      <c r="K243" s="4">
        <v>1</v>
      </c>
      <c r="L243" s="4">
        <v>3521</v>
      </c>
      <c r="M243" s="36">
        <v>49.714410000000001</v>
      </c>
      <c r="N243" s="36">
        <v>-116.90724</v>
      </c>
      <c r="O243" s="27" t="s">
        <v>170</v>
      </c>
      <c r="P243" s="27">
        <v>34621</v>
      </c>
      <c r="Q243" s="29">
        <v>1</v>
      </c>
      <c r="R243" s="27" t="s">
        <v>1045</v>
      </c>
      <c r="S243" s="30" t="s">
        <v>1048</v>
      </c>
      <c r="T243" s="27" t="s">
        <v>644</v>
      </c>
      <c r="U243" s="36">
        <v>610</v>
      </c>
      <c r="V243" s="27"/>
      <c r="W243" s="27"/>
      <c r="X243" s="27"/>
      <c r="Y243" s="27"/>
      <c r="Z243" s="27" t="s">
        <v>645</v>
      </c>
      <c r="AA243" s="27" t="s">
        <v>1049</v>
      </c>
      <c r="AB243" s="27"/>
      <c r="AC243" s="31"/>
      <c r="AD243" s="27"/>
      <c r="AE243" s="27"/>
      <c r="AF243" s="27"/>
      <c r="AG243" s="27"/>
      <c r="AH243" s="27"/>
      <c r="AI243" s="27"/>
      <c r="AJ243" s="27"/>
      <c r="AK243" s="27"/>
      <c r="AL243" s="27"/>
      <c r="AM243" s="27"/>
      <c r="AN243" s="27"/>
      <c r="AO243" s="27"/>
      <c r="AP243" s="27"/>
      <c r="AQ243" s="27"/>
      <c r="AR243" s="27"/>
      <c r="AS243" s="27"/>
      <c r="AT243" s="27"/>
      <c r="AU243" s="27"/>
      <c r="AV243" s="27"/>
      <c r="AW243" s="27"/>
      <c r="AX243" s="27"/>
      <c r="AY243" s="27"/>
      <c r="AZ243" s="27"/>
      <c r="BA243" s="27"/>
      <c r="BB243" s="27"/>
      <c r="BC243" s="27"/>
      <c r="BD243" s="27"/>
      <c r="BE243" s="27"/>
      <c r="BF243" s="27"/>
      <c r="BG243" s="27"/>
      <c r="BH243" s="27"/>
      <c r="BI243" s="27"/>
      <c r="BJ243" s="27"/>
      <c r="BK243" s="27"/>
      <c r="BL243" s="27"/>
      <c r="BM243" s="27"/>
      <c r="BN243" s="27"/>
      <c r="BO243" s="27"/>
      <c r="BP243" s="27"/>
      <c r="BQ243" s="27"/>
      <c r="BR243" s="27"/>
      <c r="BS243" s="27"/>
      <c r="BT243" s="27"/>
    </row>
    <row r="244" spans="1:72" ht="14.25" customHeight="1" x14ac:dyDescent="0.2">
      <c r="A244" s="5"/>
      <c r="B244" s="4">
        <v>2</v>
      </c>
      <c r="C244" s="4" t="s">
        <v>7661</v>
      </c>
      <c r="D244" s="4">
        <v>34791</v>
      </c>
      <c r="E244" s="4">
        <v>2779</v>
      </c>
      <c r="F244" s="4" t="s">
        <v>1050</v>
      </c>
      <c r="G244" s="19" t="s">
        <v>1051</v>
      </c>
      <c r="H244" s="4" t="s">
        <v>1052</v>
      </c>
      <c r="I244" s="4" t="s">
        <v>641</v>
      </c>
      <c r="J244" s="4" t="s">
        <v>642</v>
      </c>
      <c r="K244" s="4">
        <v>1</v>
      </c>
      <c r="L244" s="4">
        <v>3522</v>
      </c>
      <c r="M244" s="34">
        <v>50.147500000000001</v>
      </c>
      <c r="N244" s="34">
        <v>-117.5925</v>
      </c>
      <c r="O244" s="35" t="s">
        <v>170</v>
      </c>
      <c r="P244" s="9">
        <v>34791</v>
      </c>
      <c r="Q244" s="20">
        <v>1</v>
      </c>
      <c r="R244" s="34" t="s">
        <v>1050</v>
      </c>
      <c r="S244" s="11" t="s">
        <v>1053</v>
      </c>
      <c r="T244" s="9" t="s">
        <v>644</v>
      </c>
      <c r="U244" s="9">
        <v>780</v>
      </c>
      <c r="Z244" s="9"/>
      <c r="AA244" s="9" t="s">
        <v>1054</v>
      </c>
      <c r="AB244" s="9"/>
      <c r="AC244" s="21"/>
      <c r="AD244" s="9"/>
      <c r="AE244" s="9"/>
      <c r="AF244" s="9"/>
      <c r="AG244" s="9"/>
      <c r="AH244" s="9"/>
      <c r="AI244" s="9"/>
    </row>
    <row r="245" spans="1:72" ht="14.25" customHeight="1" x14ac:dyDescent="0.2">
      <c r="A245" s="5"/>
      <c r="B245" s="4">
        <v>2</v>
      </c>
      <c r="C245" s="4" t="s">
        <v>7661</v>
      </c>
      <c r="D245" s="4">
        <v>35091</v>
      </c>
      <c r="E245" s="4">
        <v>2783</v>
      </c>
      <c r="F245" s="4" t="s">
        <v>1055</v>
      </c>
      <c r="G245" s="19" t="s">
        <v>1056</v>
      </c>
      <c r="H245" s="4" t="s">
        <v>1057</v>
      </c>
      <c r="I245" s="4" t="s">
        <v>641</v>
      </c>
      <c r="J245" s="4" t="s">
        <v>755</v>
      </c>
      <c r="K245" s="4">
        <v>1</v>
      </c>
      <c r="L245" s="4">
        <v>3526</v>
      </c>
      <c r="M245" s="37">
        <v>49.994439999999997</v>
      </c>
      <c r="N245" s="37">
        <v>-115.76111</v>
      </c>
      <c r="O245" s="35" t="s">
        <v>170</v>
      </c>
      <c r="P245" s="34">
        <v>35091</v>
      </c>
      <c r="Q245" s="20">
        <v>1</v>
      </c>
      <c r="R245" s="34" t="s">
        <v>1055</v>
      </c>
      <c r="S245" s="11" t="s">
        <v>1058</v>
      </c>
      <c r="T245" s="9" t="s">
        <v>644</v>
      </c>
      <c r="U245" s="9">
        <v>870</v>
      </c>
      <c r="Z245" s="9"/>
      <c r="AA245" s="9" t="s">
        <v>1059</v>
      </c>
      <c r="AB245" s="9"/>
      <c r="AC245" s="21"/>
      <c r="AD245" s="9"/>
      <c r="AE245" s="9"/>
      <c r="AF245" s="9"/>
      <c r="AG245" s="9"/>
      <c r="AH245" s="9"/>
      <c r="AI245" s="9"/>
    </row>
    <row r="246" spans="1:72" ht="14.25" customHeight="1" x14ac:dyDescent="0.2">
      <c r="A246" s="5"/>
      <c r="B246" s="4">
        <v>2</v>
      </c>
      <c r="C246" s="4" t="s">
        <v>7661</v>
      </c>
      <c r="D246" s="4">
        <v>35092</v>
      </c>
      <c r="E246" s="4">
        <v>2784</v>
      </c>
      <c r="F246" s="4" t="s">
        <v>1060</v>
      </c>
      <c r="G246" s="19" t="s">
        <v>1061</v>
      </c>
      <c r="H246" s="4" t="s">
        <v>1062</v>
      </c>
      <c r="I246" s="4" t="s">
        <v>641</v>
      </c>
      <c r="J246" s="4" t="s">
        <v>642</v>
      </c>
      <c r="K246" s="4">
        <v>1</v>
      </c>
      <c r="L246" s="4">
        <v>3527</v>
      </c>
      <c r="M246" s="34">
        <v>49.32611</v>
      </c>
      <c r="N246" s="34">
        <v>-115.82889</v>
      </c>
      <c r="O246" s="35" t="s">
        <v>170</v>
      </c>
      <c r="P246" s="34">
        <v>35092</v>
      </c>
      <c r="Q246" s="20">
        <v>2</v>
      </c>
      <c r="R246" s="34" t="s">
        <v>1060</v>
      </c>
      <c r="S246" s="11" t="s">
        <v>1063</v>
      </c>
      <c r="T246" s="9" t="s">
        <v>644</v>
      </c>
      <c r="U246" s="9">
        <v>975</v>
      </c>
      <c r="Z246" s="9"/>
      <c r="AA246" s="9" t="s">
        <v>1064</v>
      </c>
      <c r="AB246" s="9"/>
      <c r="AC246" s="21"/>
      <c r="AD246" s="9"/>
      <c r="AE246" s="9"/>
      <c r="AF246" s="9"/>
      <c r="AG246" s="9"/>
      <c r="AH246" s="9"/>
      <c r="AI246" s="9"/>
    </row>
    <row r="247" spans="1:72" ht="14.25" customHeight="1" x14ac:dyDescent="0.2">
      <c r="A247" s="5"/>
      <c r="B247" s="4">
        <v>2</v>
      </c>
      <c r="C247" s="4" t="s">
        <v>7661</v>
      </c>
      <c r="D247" s="4">
        <v>35093</v>
      </c>
      <c r="E247" s="4">
        <v>12475</v>
      </c>
      <c r="F247" s="27" t="s">
        <v>1065</v>
      </c>
      <c r="G247" s="19" t="s">
        <v>1066</v>
      </c>
      <c r="H247" s="4" t="s">
        <v>709</v>
      </c>
      <c r="I247" s="4" t="s">
        <v>49</v>
      </c>
      <c r="J247" s="4" t="s">
        <v>830</v>
      </c>
      <c r="K247" s="4">
        <v>1</v>
      </c>
      <c r="L247" s="4">
        <v>14497</v>
      </c>
      <c r="M247" s="27">
        <v>49.661149999999999</v>
      </c>
      <c r="N247" s="27">
        <v>-115.96778999999999</v>
      </c>
      <c r="O247" s="27" t="s">
        <v>170</v>
      </c>
      <c r="P247" s="27">
        <v>35093</v>
      </c>
      <c r="Q247" s="29">
        <v>2</v>
      </c>
      <c r="R247" s="27" t="s">
        <v>1065</v>
      </c>
      <c r="S247" s="30" t="s">
        <v>1067</v>
      </c>
      <c r="T247" s="27" t="s">
        <v>644</v>
      </c>
      <c r="U247" s="27">
        <v>1035</v>
      </c>
      <c r="V247" s="27"/>
      <c r="W247" s="27"/>
      <c r="X247" s="27"/>
      <c r="Y247" s="27"/>
      <c r="Z247" s="27"/>
      <c r="AA247" s="27" t="s">
        <v>1068</v>
      </c>
      <c r="AB247" s="27"/>
      <c r="AC247" s="27"/>
      <c r="AD247" s="27"/>
      <c r="AE247" s="27"/>
      <c r="AF247" s="27"/>
      <c r="AG247" s="27"/>
      <c r="AH247" s="27"/>
      <c r="AI247" s="27"/>
      <c r="AJ247" s="27"/>
      <c r="AK247" s="27"/>
      <c r="AL247" s="27"/>
      <c r="AM247" s="27"/>
      <c r="AN247" s="27"/>
      <c r="AO247" s="27"/>
      <c r="AP247" s="27"/>
      <c r="AQ247" s="27"/>
      <c r="AR247" s="27"/>
      <c r="AS247" s="27"/>
      <c r="AT247" s="27"/>
      <c r="AU247" s="27"/>
      <c r="AV247" s="27"/>
      <c r="AW247" s="27"/>
      <c r="AX247" s="27"/>
      <c r="AY247" s="27"/>
      <c r="AZ247" s="27"/>
      <c r="BA247" s="27"/>
      <c r="BB247" s="27"/>
      <c r="BC247" s="27"/>
      <c r="BD247" s="27"/>
      <c r="BE247" s="27"/>
      <c r="BF247" s="27"/>
      <c r="BG247" s="27"/>
      <c r="BH247" s="27"/>
      <c r="BI247" s="27"/>
      <c r="BJ247" s="27"/>
      <c r="BK247" s="27"/>
      <c r="BL247" s="27"/>
      <c r="BM247" s="27"/>
      <c r="BN247" s="27"/>
      <c r="BO247" s="27"/>
      <c r="BP247" s="27"/>
      <c r="BQ247" s="27"/>
      <c r="BR247" s="27"/>
      <c r="BS247" s="27"/>
      <c r="BT247" s="27"/>
    </row>
    <row r="248" spans="1:72" ht="14.25" customHeight="1" x14ac:dyDescent="0.2">
      <c r="A248" s="5"/>
      <c r="B248" s="4">
        <v>2</v>
      </c>
      <c r="C248" s="4" t="s">
        <v>7661</v>
      </c>
      <c r="D248" s="4">
        <v>35094</v>
      </c>
      <c r="E248" s="4">
        <v>12476</v>
      </c>
      <c r="F248" s="4" t="s">
        <v>1069</v>
      </c>
      <c r="G248" s="19" t="s">
        <v>1070</v>
      </c>
      <c r="H248" s="4" t="s">
        <v>709</v>
      </c>
      <c r="I248" s="4" t="s">
        <v>49</v>
      </c>
      <c r="J248" s="4" t="s">
        <v>799</v>
      </c>
      <c r="K248" s="4">
        <v>1</v>
      </c>
      <c r="L248" s="4">
        <v>14498</v>
      </c>
      <c r="M248" s="9">
        <v>49.172029999999999</v>
      </c>
      <c r="N248" s="9">
        <v>-116.00877</v>
      </c>
      <c r="O248" s="9" t="s">
        <v>170</v>
      </c>
      <c r="P248" s="9">
        <v>35094</v>
      </c>
      <c r="Q248" s="20">
        <v>2</v>
      </c>
      <c r="R248" s="9" t="s">
        <v>1069</v>
      </c>
      <c r="S248" s="11" t="s">
        <v>1071</v>
      </c>
      <c r="T248" s="9" t="s">
        <v>644</v>
      </c>
      <c r="U248" s="9">
        <v>910</v>
      </c>
      <c r="Z248" s="9"/>
      <c r="AA248" s="9" t="s">
        <v>1072</v>
      </c>
      <c r="AB248" s="9"/>
      <c r="AC248" s="9"/>
      <c r="AD248" s="9"/>
      <c r="AE248" s="9"/>
      <c r="AF248" s="9"/>
      <c r="AG248" s="9"/>
      <c r="AH248" s="9"/>
      <c r="AI248" s="9"/>
    </row>
    <row r="249" spans="1:72" ht="14.25" customHeight="1" x14ac:dyDescent="0.2">
      <c r="A249" s="5"/>
      <c r="B249" s="4">
        <v>2</v>
      </c>
      <c r="C249" s="4" t="s">
        <v>7661</v>
      </c>
      <c r="D249" s="4">
        <v>36124</v>
      </c>
      <c r="E249" s="4">
        <v>2789</v>
      </c>
      <c r="F249" s="4" t="s">
        <v>1073</v>
      </c>
      <c r="G249" s="19" t="s">
        <v>1074</v>
      </c>
      <c r="H249" s="4" t="s">
        <v>1075</v>
      </c>
      <c r="I249" s="4" t="s">
        <v>641</v>
      </c>
      <c r="J249" s="4" t="s">
        <v>755</v>
      </c>
      <c r="K249" s="4">
        <v>1</v>
      </c>
      <c r="L249" s="4">
        <v>3532</v>
      </c>
      <c r="M249" s="9">
        <v>49.39</v>
      </c>
      <c r="N249" s="9">
        <v>-115.02306</v>
      </c>
      <c r="O249" s="9" t="s">
        <v>170</v>
      </c>
      <c r="P249" s="9">
        <v>36124</v>
      </c>
      <c r="Q249" s="20">
        <v>2</v>
      </c>
      <c r="R249" s="9" t="s">
        <v>1073</v>
      </c>
      <c r="S249" s="11" t="s">
        <v>1076</v>
      </c>
      <c r="T249" s="9" t="s">
        <v>644</v>
      </c>
      <c r="U249" s="9">
        <v>960</v>
      </c>
      <c r="Z249" s="9" t="s">
        <v>645</v>
      </c>
      <c r="AA249" s="9" t="s">
        <v>1077</v>
      </c>
      <c r="AB249" s="9"/>
      <c r="AC249" s="21"/>
      <c r="AD249" s="9"/>
      <c r="AE249" s="9"/>
      <c r="AF249" s="9"/>
      <c r="AG249" s="9"/>
      <c r="AH249" s="9"/>
      <c r="AI249" s="9"/>
    </row>
    <row r="250" spans="1:72" ht="14.25" customHeight="1" x14ac:dyDescent="0.2">
      <c r="A250" s="5" t="s">
        <v>88</v>
      </c>
      <c r="B250" s="4">
        <v>2</v>
      </c>
      <c r="C250" s="4" t="s">
        <v>7661</v>
      </c>
      <c r="D250" s="4">
        <v>36125</v>
      </c>
      <c r="E250" s="4">
        <v>13027</v>
      </c>
      <c r="F250" s="27" t="s">
        <v>1078</v>
      </c>
      <c r="G250" s="8" t="s">
        <v>1079</v>
      </c>
      <c r="H250" s="4" t="s">
        <v>775</v>
      </c>
      <c r="I250" s="4" t="s">
        <v>49</v>
      </c>
      <c r="J250" s="4" t="s">
        <v>1080</v>
      </c>
      <c r="K250" s="4">
        <v>1</v>
      </c>
      <c r="L250" s="4">
        <v>14959</v>
      </c>
      <c r="M250" s="27">
        <v>49.372540000000001</v>
      </c>
      <c r="N250" s="27">
        <v>-115.04689</v>
      </c>
      <c r="O250" s="27" t="s">
        <v>170</v>
      </c>
      <c r="P250" s="27">
        <v>36125</v>
      </c>
      <c r="Q250" s="29">
        <v>7</v>
      </c>
      <c r="R250" s="27" t="s">
        <v>1078</v>
      </c>
      <c r="S250" s="30" t="s">
        <v>1081</v>
      </c>
      <c r="T250" s="27" t="s">
        <v>644</v>
      </c>
      <c r="U250" s="27">
        <v>1998</v>
      </c>
      <c r="V250" s="27"/>
      <c r="W250" s="27"/>
      <c r="X250" s="27"/>
      <c r="Y250" s="27"/>
      <c r="Z250" s="27"/>
      <c r="AA250" s="27" t="s">
        <v>1082</v>
      </c>
      <c r="AB250" s="27"/>
      <c r="AC250" s="27"/>
      <c r="AD250" s="27"/>
      <c r="AE250" s="27"/>
      <c r="AF250" s="27"/>
      <c r="AG250" s="27"/>
      <c r="AH250" s="27"/>
      <c r="AI250" s="27"/>
      <c r="AJ250" s="27"/>
      <c r="AK250" s="27"/>
      <c r="AL250" s="27"/>
      <c r="AM250" s="27"/>
      <c r="AN250" s="27"/>
      <c r="AO250" s="27"/>
      <c r="AP250" s="27"/>
      <c r="AQ250" s="27"/>
      <c r="AR250" s="27"/>
      <c r="AS250" s="27"/>
      <c r="AT250" s="27"/>
      <c r="AU250" s="27"/>
      <c r="AV250" s="27"/>
      <c r="AW250" s="27"/>
      <c r="AX250" s="27"/>
      <c r="AY250" s="27"/>
      <c r="AZ250" s="27"/>
      <c r="BA250" s="27"/>
      <c r="BB250" s="27"/>
      <c r="BC250" s="27"/>
      <c r="BD250" s="27"/>
      <c r="BE250" s="27"/>
      <c r="BF250" s="27"/>
      <c r="BG250" s="27"/>
      <c r="BH250" s="27"/>
      <c r="BI250" s="27"/>
      <c r="BJ250" s="27"/>
      <c r="BK250" s="27"/>
      <c r="BL250" s="27"/>
      <c r="BM250" s="27"/>
      <c r="BN250" s="27"/>
      <c r="BO250" s="27"/>
      <c r="BP250" s="27"/>
      <c r="BQ250" s="27"/>
      <c r="BR250" s="27"/>
      <c r="BS250" s="27"/>
      <c r="BT250" s="27"/>
    </row>
    <row r="251" spans="1:72" ht="14.25" customHeight="1" x14ac:dyDescent="0.2">
      <c r="A251" s="5"/>
      <c r="B251" s="4">
        <v>2</v>
      </c>
      <c r="C251" s="4" t="s">
        <v>7661</v>
      </c>
      <c r="D251" s="4">
        <v>36191</v>
      </c>
      <c r="E251" s="4">
        <v>12477</v>
      </c>
      <c r="F251" s="4" t="s">
        <v>1083</v>
      </c>
      <c r="G251" s="8" t="s">
        <v>7663</v>
      </c>
      <c r="H251" s="4" t="s">
        <v>709</v>
      </c>
      <c r="I251" s="4" t="s">
        <v>49</v>
      </c>
      <c r="J251" s="4" t="s">
        <v>830</v>
      </c>
      <c r="K251" s="4">
        <v>1</v>
      </c>
      <c r="L251" s="4">
        <v>14499</v>
      </c>
      <c r="M251" s="14" t="s">
        <v>1085</v>
      </c>
      <c r="N251" s="39" t="s">
        <v>1086</v>
      </c>
      <c r="O251" s="9" t="s">
        <v>170</v>
      </c>
      <c r="P251" s="9">
        <v>36191</v>
      </c>
      <c r="Q251" s="20">
        <v>3</v>
      </c>
      <c r="R251" s="9" t="s">
        <v>1083</v>
      </c>
      <c r="S251" s="11" t="s">
        <v>1087</v>
      </c>
      <c r="T251" s="9" t="s">
        <v>644</v>
      </c>
      <c r="U251" s="9">
        <v>1246</v>
      </c>
      <c r="Z251" s="9"/>
      <c r="AA251" s="9" t="s">
        <v>1088</v>
      </c>
      <c r="AB251" s="9"/>
      <c r="AC251" s="9"/>
      <c r="AD251" s="9"/>
      <c r="AE251" s="9"/>
      <c r="AF251" s="9"/>
      <c r="AG251" s="9"/>
      <c r="AH251" s="9"/>
      <c r="AI251" s="9"/>
    </row>
    <row r="252" spans="1:72" ht="14.25" customHeight="1" x14ac:dyDescent="0.2">
      <c r="A252" s="5"/>
      <c r="B252" s="4">
        <v>2</v>
      </c>
      <c r="C252" s="4" t="s">
        <v>7661</v>
      </c>
      <c r="D252" s="4">
        <v>36192</v>
      </c>
      <c r="E252" s="4">
        <v>12478</v>
      </c>
      <c r="F252" s="27" t="s">
        <v>1089</v>
      </c>
      <c r="G252" s="19" t="s">
        <v>1090</v>
      </c>
      <c r="H252" s="4" t="s">
        <v>709</v>
      </c>
      <c r="I252" s="4" t="s">
        <v>49</v>
      </c>
      <c r="J252" s="4" t="s">
        <v>830</v>
      </c>
      <c r="K252" s="4">
        <v>1</v>
      </c>
      <c r="L252" s="4">
        <v>14500</v>
      </c>
      <c r="M252" s="27">
        <v>49.650190000000002</v>
      </c>
      <c r="N252" s="27">
        <v>-114.71286000000001</v>
      </c>
      <c r="O252" s="27" t="s">
        <v>170</v>
      </c>
      <c r="P252" s="27">
        <v>36192</v>
      </c>
      <c r="Q252" s="29">
        <v>4</v>
      </c>
      <c r="R252" s="27" t="s">
        <v>1089</v>
      </c>
      <c r="S252" s="30" t="s">
        <v>1091</v>
      </c>
      <c r="T252" s="27" t="s">
        <v>644</v>
      </c>
      <c r="U252" s="27">
        <v>1353</v>
      </c>
      <c r="V252" s="27"/>
      <c r="W252" s="27"/>
      <c r="X252" s="27"/>
      <c r="Y252" s="27"/>
      <c r="Z252" s="27"/>
      <c r="AA252" s="27" t="s">
        <v>1092</v>
      </c>
      <c r="AB252" s="27"/>
      <c r="AC252" s="27"/>
      <c r="AD252" s="27"/>
      <c r="AE252" s="27"/>
      <c r="AF252" s="27"/>
      <c r="AG252" s="27"/>
      <c r="AH252" s="27"/>
      <c r="AI252" s="27"/>
      <c r="AJ252" s="27"/>
      <c r="AK252" s="27"/>
      <c r="AL252" s="27"/>
      <c r="AM252" s="27"/>
      <c r="AN252" s="27"/>
      <c r="AO252" s="27"/>
      <c r="AP252" s="27"/>
      <c r="AQ252" s="27"/>
      <c r="AR252" s="27"/>
      <c r="AS252" s="27"/>
      <c r="AT252" s="27"/>
      <c r="AU252" s="27"/>
      <c r="AV252" s="27"/>
      <c r="AW252" s="27"/>
      <c r="AX252" s="27"/>
      <c r="AY252" s="27"/>
      <c r="AZ252" s="27"/>
      <c r="BA252" s="27"/>
      <c r="BB252" s="27"/>
      <c r="BC252" s="27"/>
      <c r="BD252" s="27"/>
      <c r="BE252" s="27"/>
      <c r="BF252" s="27"/>
      <c r="BG252" s="27"/>
      <c r="BH252" s="27"/>
      <c r="BI252" s="27"/>
      <c r="BJ252" s="27"/>
      <c r="BK252" s="27"/>
      <c r="BL252" s="27"/>
      <c r="BM252" s="27"/>
      <c r="BN252" s="27"/>
      <c r="BO252" s="27"/>
      <c r="BP252" s="27"/>
      <c r="BQ252" s="27"/>
      <c r="BR252" s="27"/>
      <c r="BS252" s="27"/>
      <c r="BT252" s="27"/>
    </row>
    <row r="253" spans="1:72" ht="14.25" customHeight="1" x14ac:dyDescent="0.2">
      <c r="A253" s="5" t="s">
        <v>328</v>
      </c>
      <c r="B253" s="4">
        <v>2</v>
      </c>
      <c r="C253" s="10" t="s">
        <v>7662</v>
      </c>
      <c r="D253" s="10" t="s">
        <v>1093</v>
      </c>
      <c r="E253" s="9"/>
      <c r="F253" s="10" t="s">
        <v>1094</v>
      </c>
      <c r="G253" s="10" t="s">
        <v>1095</v>
      </c>
      <c r="I253" s="8" t="s">
        <v>927</v>
      </c>
      <c r="M253" s="9">
        <v>49.474400000000003</v>
      </c>
      <c r="N253" s="9">
        <v>-115.52455999999999</v>
      </c>
      <c r="O253" s="9" t="s">
        <v>170</v>
      </c>
      <c r="P253" s="9">
        <v>36195</v>
      </c>
      <c r="Q253" s="20">
        <v>1</v>
      </c>
      <c r="R253" s="9" t="s">
        <v>1096</v>
      </c>
      <c r="S253" s="11" t="s">
        <v>1097</v>
      </c>
      <c r="T253" s="9" t="s">
        <v>644</v>
      </c>
      <c r="U253" s="9">
        <v>822</v>
      </c>
      <c r="Z253" s="9"/>
      <c r="AA253" s="9" t="s">
        <v>1098</v>
      </c>
      <c r="AB253" s="9"/>
      <c r="AC253" s="9"/>
      <c r="AD253" s="9"/>
      <c r="AE253" s="9"/>
      <c r="AF253" s="9"/>
      <c r="AG253" s="9"/>
      <c r="AH253" s="9"/>
      <c r="AI253" s="9"/>
    </row>
    <row r="254" spans="1:72" ht="14.25" customHeight="1" x14ac:dyDescent="0.2">
      <c r="A254" s="5"/>
      <c r="B254" s="4">
        <v>2</v>
      </c>
      <c r="C254" s="4" t="s">
        <v>7661</v>
      </c>
      <c r="D254" s="4">
        <v>37091</v>
      </c>
      <c r="E254" s="4">
        <v>2793</v>
      </c>
      <c r="F254" s="4" t="s">
        <v>1099</v>
      </c>
      <c r="G254" s="19" t="s">
        <v>1100</v>
      </c>
      <c r="H254" s="4" t="s">
        <v>1062</v>
      </c>
      <c r="I254" s="4" t="s">
        <v>641</v>
      </c>
      <c r="J254" s="4" t="s">
        <v>642</v>
      </c>
      <c r="K254" s="4">
        <v>1</v>
      </c>
      <c r="L254" s="4">
        <v>3536</v>
      </c>
      <c r="M254" s="9">
        <v>50.738280000000003</v>
      </c>
      <c r="N254" s="9">
        <v>-116.17646999999999</v>
      </c>
      <c r="O254" s="9" t="s">
        <v>170</v>
      </c>
      <c r="P254" s="9">
        <v>37091</v>
      </c>
      <c r="Q254" s="20">
        <v>1</v>
      </c>
      <c r="R254" s="9" t="s">
        <v>1099</v>
      </c>
      <c r="S254" s="11" t="s">
        <v>1101</v>
      </c>
      <c r="T254" s="9" t="s">
        <v>644</v>
      </c>
      <c r="U254" s="9">
        <v>870</v>
      </c>
      <c r="Z254" s="9" t="s">
        <v>645</v>
      </c>
      <c r="AA254" s="9" t="s">
        <v>1102</v>
      </c>
      <c r="AB254" s="9"/>
      <c r="AC254" s="21"/>
      <c r="AD254" s="9"/>
      <c r="AE254" s="9"/>
      <c r="AF254" s="9"/>
      <c r="AG254" s="9"/>
      <c r="AH254" s="9"/>
      <c r="AI254" s="9"/>
    </row>
    <row r="255" spans="1:72" ht="14.25" customHeight="1" x14ac:dyDescent="0.2">
      <c r="A255" s="5"/>
      <c r="B255" s="4">
        <v>2</v>
      </c>
      <c r="C255" s="4" t="s">
        <v>7661</v>
      </c>
      <c r="D255" s="4">
        <v>37092</v>
      </c>
      <c r="E255" s="4">
        <v>2794</v>
      </c>
      <c r="F255" s="27" t="s">
        <v>1103</v>
      </c>
      <c r="G255" s="19" t="s">
        <v>1104</v>
      </c>
      <c r="H255" s="4" t="s">
        <v>1105</v>
      </c>
      <c r="I255" s="4" t="s">
        <v>641</v>
      </c>
      <c r="J255" s="4" t="s">
        <v>642</v>
      </c>
      <c r="K255" s="4">
        <v>1</v>
      </c>
      <c r="L255" s="4">
        <v>3537</v>
      </c>
      <c r="M255" s="9">
        <v>51.506999999999998</v>
      </c>
      <c r="N255" s="9">
        <v>-117.42179</v>
      </c>
      <c r="O255" s="9" t="s">
        <v>170</v>
      </c>
      <c r="P255" s="9">
        <v>37092</v>
      </c>
      <c r="Q255" s="20">
        <v>2</v>
      </c>
      <c r="R255" s="9" t="s">
        <v>1103</v>
      </c>
      <c r="S255" s="11" t="s">
        <v>1106</v>
      </c>
      <c r="T255" s="9" t="s">
        <v>644</v>
      </c>
      <c r="U255" s="36">
        <v>1041</v>
      </c>
      <c r="V255" s="27"/>
      <c r="W255" s="27"/>
      <c r="X255" s="27"/>
      <c r="Y255" s="27"/>
      <c r="Z255" s="27" t="s">
        <v>645</v>
      </c>
      <c r="AA255" s="27" t="s">
        <v>1107</v>
      </c>
      <c r="AB255" s="27"/>
      <c r="AC255" s="31"/>
      <c r="AD255" s="27"/>
      <c r="AE255" s="27"/>
      <c r="AF255" s="27"/>
      <c r="AG255" s="27"/>
      <c r="AH255" s="27"/>
      <c r="AI255" s="27"/>
      <c r="AJ255" s="27"/>
      <c r="AK255" s="27"/>
      <c r="AL255" s="27"/>
      <c r="AM255" s="27"/>
      <c r="AN255" s="27"/>
      <c r="AO255" s="27"/>
      <c r="AP255" s="27"/>
      <c r="AQ255" s="27"/>
      <c r="AR255" s="27"/>
      <c r="AS255" s="27"/>
      <c r="AT255" s="27"/>
      <c r="AU255" s="27"/>
      <c r="AV255" s="27"/>
      <c r="AW255" s="27"/>
      <c r="AX255" s="27"/>
      <c r="AY255" s="27"/>
      <c r="AZ255" s="27"/>
      <c r="BA255" s="27"/>
      <c r="BB255" s="27"/>
      <c r="BC255" s="27"/>
      <c r="BD255" s="27"/>
      <c r="BE255" s="27"/>
      <c r="BF255" s="27"/>
      <c r="BG255" s="27"/>
      <c r="BH255" s="27"/>
      <c r="BI255" s="27"/>
      <c r="BJ255" s="27"/>
      <c r="BK255" s="27"/>
      <c r="BL255" s="27"/>
      <c r="BM255" s="27"/>
      <c r="BN255" s="27"/>
      <c r="BO255" s="27"/>
      <c r="BP255" s="27"/>
      <c r="BQ255" s="27"/>
      <c r="BR255" s="27"/>
      <c r="BS255" s="27"/>
      <c r="BT255" s="27"/>
    </row>
    <row r="256" spans="1:72" ht="14.25" customHeight="1" x14ac:dyDescent="0.2">
      <c r="A256" s="5"/>
      <c r="B256" s="4">
        <v>2</v>
      </c>
      <c r="C256" s="4" t="s">
        <v>7661</v>
      </c>
      <c r="D256" s="4">
        <v>37093</v>
      </c>
      <c r="E256" s="4">
        <v>11025</v>
      </c>
      <c r="F256" s="4" t="s">
        <v>1108</v>
      </c>
      <c r="G256" s="8" t="s">
        <v>1109</v>
      </c>
      <c r="H256" s="4" t="s">
        <v>891</v>
      </c>
      <c r="I256" s="4" t="s">
        <v>49</v>
      </c>
      <c r="J256" s="4" t="s">
        <v>1110</v>
      </c>
      <c r="K256" s="4">
        <v>1</v>
      </c>
      <c r="L256" s="4">
        <v>13193</v>
      </c>
      <c r="M256" s="14">
        <v>51.479950000000002</v>
      </c>
      <c r="N256" s="14">
        <v>-117.35812</v>
      </c>
      <c r="O256" s="9" t="s">
        <v>170</v>
      </c>
      <c r="P256" s="9">
        <v>37093</v>
      </c>
      <c r="Q256" s="20">
        <v>2</v>
      </c>
      <c r="R256" s="9" t="s">
        <v>1108</v>
      </c>
      <c r="S256" s="11" t="s">
        <v>1111</v>
      </c>
      <c r="T256" s="9" t="s">
        <v>644</v>
      </c>
      <c r="U256" s="14">
        <v>1068</v>
      </c>
      <c r="Z256" s="9"/>
      <c r="AA256" s="14" t="s">
        <v>1112</v>
      </c>
      <c r="AB256" s="9"/>
      <c r="AC256" s="9"/>
      <c r="AD256" s="9"/>
      <c r="AE256" s="9"/>
      <c r="AF256" s="9"/>
      <c r="AG256" s="9"/>
      <c r="AH256" s="9"/>
      <c r="AI256" s="9"/>
    </row>
    <row r="257" spans="1:72" ht="14.25" customHeight="1" x14ac:dyDescent="0.2">
      <c r="A257" s="5"/>
      <c r="B257" s="4">
        <v>2</v>
      </c>
      <c r="C257" s="4" t="s">
        <v>7661</v>
      </c>
      <c r="D257" s="4">
        <v>37121</v>
      </c>
      <c r="E257" s="4">
        <v>2797</v>
      </c>
      <c r="F257" s="4" t="s">
        <v>1113</v>
      </c>
      <c r="G257" s="19" t="s">
        <v>1114</v>
      </c>
      <c r="H257" s="4" t="s">
        <v>1115</v>
      </c>
      <c r="I257" s="4" t="s">
        <v>641</v>
      </c>
      <c r="J257" s="4" t="s">
        <v>1116</v>
      </c>
      <c r="K257" s="4">
        <v>1</v>
      </c>
      <c r="L257" s="4">
        <v>3540</v>
      </c>
      <c r="M257" s="9">
        <v>51.31514</v>
      </c>
      <c r="N257" s="9">
        <v>-116.87846999999999</v>
      </c>
      <c r="O257" s="9" t="s">
        <v>170</v>
      </c>
      <c r="P257" s="9">
        <v>37121</v>
      </c>
      <c r="Q257" s="20">
        <v>6</v>
      </c>
      <c r="R257" s="9" t="s">
        <v>1113</v>
      </c>
      <c r="S257" s="11" t="s">
        <v>1117</v>
      </c>
      <c r="T257" s="9" t="s">
        <v>644</v>
      </c>
      <c r="U257" s="9">
        <v>1844</v>
      </c>
      <c r="Z257" s="9"/>
      <c r="AA257" s="9" t="s">
        <v>1118</v>
      </c>
      <c r="AB257" s="9"/>
      <c r="AC257" s="9"/>
      <c r="AD257" s="9"/>
      <c r="AE257" s="9"/>
      <c r="AF257" s="9"/>
      <c r="AG257" s="9"/>
      <c r="AH257" s="9"/>
      <c r="AI257" s="9"/>
    </row>
    <row r="258" spans="1:72" ht="14.25" customHeight="1" x14ac:dyDescent="0.2">
      <c r="A258" s="5"/>
      <c r="B258" s="4">
        <v>2</v>
      </c>
      <c r="C258" s="4" t="s">
        <v>7661</v>
      </c>
      <c r="D258" s="4">
        <v>37122</v>
      </c>
      <c r="E258" s="4">
        <v>2798</v>
      </c>
      <c r="F258" s="27" t="s">
        <v>1119</v>
      </c>
      <c r="G258" s="19" t="s">
        <v>1120</v>
      </c>
      <c r="H258" s="4" t="s">
        <v>1121</v>
      </c>
      <c r="I258" s="4" t="s">
        <v>641</v>
      </c>
      <c r="J258" s="4" t="s">
        <v>1122</v>
      </c>
      <c r="K258" s="4">
        <v>1</v>
      </c>
      <c r="L258" s="4">
        <v>3541</v>
      </c>
      <c r="M258" s="27">
        <v>51.310560000000002</v>
      </c>
      <c r="N258" s="27">
        <v>-116.88467</v>
      </c>
      <c r="O258" s="27" t="s">
        <v>170</v>
      </c>
      <c r="P258" s="27">
        <v>37122</v>
      </c>
      <c r="Q258" s="29">
        <v>4</v>
      </c>
      <c r="R258" s="27" t="s">
        <v>1119</v>
      </c>
      <c r="S258" s="30" t="s">
        <v>1123</v>
      </c>
      <c r="T258" s="27" t="s">
        <v>644</v>
      </c>
      <c r="U258" s="27">
        <v>1440</v>
      </c>
      <c r="V258" s="27"/>
      <c r="W258" s="27"/>
      <c r="X258" s="27"/>
      <c r="Y258" s="27"/>
      <c r="Z258" s="27"/>
      <c r="AA258" s="27" t="s">
        <v>1124</v>
      </c>
      <c r="AB258" s="27"/>
      <c r="AC258" s="27"/>
      <c r="AD258" s="27"/>
      <c r="AE258" s="27"/>
      <c r="AF258" s="27"/>
      <c r="AG258" s="27"/>
      <c r="AH258" s="27"/>
      <c r="AI258" s="27"/>
      <c r="AJ258" s="27"/>
      <c r="AK258" s="27"/>
      <c r="AL258" s="27"/>
      <c r="AM258" s="27"/>
      <c r="AN258" s="27"/>
      <c r="AO258" s="27"/>
      <c r="AP258" s="27"/>
      <c r="AQ258" s="27"/>
      <c r="AR258" s="27"/>
      <c r="AS258" s="27"/>
      <c r="AT258" s="27"/>
      <c r="AU258" s="27"/>
      <c r="AV258" s="27"/>
      <c r="AW258" s="27"/>
      <c r="AX258" s="27"/>
      <c r="AY258" s="27"/>
      <c r="AZ258" s="27"/>
      <c r="BA258" s="27"/>
      <c r="BB258" s="27"/>
      <c r="BC258" s="27"/>
      <c r="BD258" s="27"/>
      <c r="BE258" s="27"/>
      <c r="BF258" s="27"/>
      <c r="BG258" s="27"/>
      <c r="BH258" s="27"/>
      <c r="BI258" s="27"/>
      <c r="BJ258" s="27"/>
      <c r="BK258" s="27"/>
      <c r="BL258" s="27"/>
      <c r="BM258" s="27"/>
      <c r="BN258" s="27"/>
      <c r="BO258" s="27"/>
      <c r="BP258" s="27"/>
      <c r="BQ258" s="27"/>
      <c r="BR258" s="27"/>
      <c r="BS258" s="27"/>
      <c r="BT258" s="27"/>
    </row>
    <row r="259" spans="1:72" ht="14.25" customHeight="1" x14ac:dyDescent="0.2">
      <c r="A259" s="5"/>
      <c r="B259" s="4">
        <v>2</v>
      </c>
      <c r="C259" s="4" t="s">
        <v>7661</v>
      </c>
      <c r="D259" s="4">
        <v>37124</v>
      </c>
      <c r="E259" s="4">
        <v>12479</v>
      </c>
      <c r="F259" s="27" t="s">
        <v>1125</v>
      </c>
      <c r="G259" s="22" t="s">
        <v>1126</v>
      </c>
      <c r="H259" s="4" t="s">
        <v>1127</v>
      </c>
      <c r="I259" s="4" t="s">
        <v>49</v>
      </c>
      <c r="J259" s="4" t="s">
        <v>1128</v>
      </c>
      <c r="K259" s="4">
        <v>1</v>
      </c>
      <c r="L259" s="4">
        <v>14501</v>
      </c>
      <c r="M259" s="27"/>
      <c r="N259" s="27"/>
      <c r="O259" s="27"/>
      <c r="P259" s="27"/>
      <c r="Q259" s="29"/>
      <c r="R259" s="27"/>
      <c r="S259" s="30"/>
      <c r="T259" s="27"/>
      <c r="U259" s="27"/>
      <c r="V259" s="27"/>
      <c r="W259" s="27"/>
      <c r="X259" s="27"/>
      <c r="Y259" s="27"/>
      <c r="Z259" s="27"/>
      <c r="AA259" s="27"/>
      <c r="AB259" s="27"/>
      <c r="AC259" s="27"/>
      <c r="AD259" s="27"/>
      <c r="AE259" s="27"/>
      <c r="AF259" s="27"/>
      <c r="AG259" s="27"/>
      <c r="AH259" s="27"/>
      <c r="AI259" s="27"/>
      <c r="AJ259" s="27"/>
      <c r="AK259" s="27"/>
      <c r="AL259" s="27"/>
      <c r="AM259" s="27"/>
      <c r="AN259" s="27"/>
      <c r="AO259" s="27"/>
      <c r="AP259" s="27"/>
      <c r="AQ259" s="27"/>
      <c r="AR259" s="27"/>
      <c r="AS259" s="27"/>
      <c r="AT259" s="27"/>
      <c r="AU259" s="27"/>
      <c r="AV259" s="27"/>
      <c r="AW259" s="27"/>
      <c r="AX259" s="27"/>
      <c r="AY259" s="27"/>
      <c r="AZ259" s="27"/>
      <c r="BA259" s="27"/>
      <c r="BB259" s="27"/>
      <c r="BC259" s="27"/>
      <c r="BD259" s="27"/>
      <c r="BE259" s="27"/>
      <c r="BF259" s="27"/>
      <c r="BG259" s="27"/>
      <c r="BH259" s="27"/>
      <c r="BI259" s="27"/>
      <c r="BJ259" s="27"/>
      <c r="BK259" s="27"/>
      <c r="BL259" s="27"/>
      <c r="BM259" s="27"/>
      <c r="BN259" s="27"/>
      <c r="BO259" s="27"/>
      <c r="BP259" s="27"/>
      <c r="BQ259" s="27"/>
      <c r="BR259" s="27"/>
      <c r="BS259" s="27"/>
      <c r="BT259" s="27"/>
    </row>
    <row r="260" spans="1:72" ht="14.25" customHeight="1" x14ac:dyDescent="0.2">
      <c r="A260" s="5" t="s">
        <v>328</v>
      </c>
      <c r="B260" s="4">
        <v>2</v>
      </c>
      <c r="C260" s="10" t="s">
        <v>7662</v>
      </c>
      <c r="D260" s="10" t="s">
        <v>1129</v>
      </c>
      <c r="F260" s="8" t="s">
        <v>1130</v>
      </c>
      <c r="G260" s="10" t="s">
        <v>1131</v>
      </c>
      <c r="I260" s="4" t="s">
        <v>641</v>
      </c>
      <c r="M260" s="9">
        <v>51.30397</v>
      </c>
      <c r="N260" s="9">
        <v>-116.89487</v>
      </c>
      <c r="O260" s="9" t="s">
        <v>170</v>
      </c>
      <c r="P260" s="9">
        <v>37127</v>
      </c>
      <c r="Q260" s="20">
        <v>2</v>
      </c>
      <c r="R260" s="9" t="s">
        <v>1130</v>
      </c>
      <c r="S260" s="11" t="s">
        <v>1132</v>
      </c>
      <c r="T260" s="9" t="s">
        <v>644</v>
      </c>
      <c r="U260" s="9">
        <v>1023</v>
      </c>
      <c r="Z260" s="9"/>
      <c r="AA260" s="9" t="s">
        <v>1133</v>
      </c>
      <c r="AB260" s="9"/>
      <c r="AC260" s="9"/>
      <c r="AD260" s="9"/>
      <c r="AE260" s="9"/>
      <c r="AF260" s="9"/>
      <c r="AG260" s="9"/>
      <c r="AH260" s="9"/>
      <c r="AI260" s="9"/>
    </row>
    <row r="261" spans="1:72" ht="14.25" customHeight="1" x14ac:dyDescent="0.2">
      <c r="A261" s="5"/>
      <c r="B261" s="4">
        <v>2</v>
      </c>
      <c r="C261" s="4" t="s">
        <v>7661</v>
      </c>
      <c r="D261" s="4">
        <v>37125</v>
      </c>
      <c r="E261" s="4">
        <v>2799</v>
      </c>
      <c r="F261" s="27" t="s">
        <v>1134</v>
      </c>
      <c r="G261" s="19" t="s">
        <v>1135</v>
      </c>
      <c r="H261" s="4" t="s">
        <v>1136</v>
      </c>
      <c r="I261" s="4" t="s">
        <v>641</v>
      </c>
      <c r="J261" s="4" t="s">
        <v>1137</v>
      </c>
      <c r="K261" s="4">
        <v>1</v>
      </c>
      <c r="L261" s="4">
        <v>3542</v>
      </c>
      <c r="M261" s="9"/>
      <c r="N261" s="9"/>
      <c r="O261" s="9"/>
      <c r="P261" s="9"/>
      <c r="Q261" s="20"/>
      <c r="R261" s="9"/>
      <c r="S261" s="11"/>
      <c r="T261" s="27"/>
      <c r="U261" s="27"/>
      <c r="V261" s="27"/>
      <c r="W261" s="27"/>
      <c r="X261" s="27"/>
      <c r="Y261" s="27"/>
      <c r="Z261" s="27"/>
      <c r="AA261" s="27"/>
      <c r="AB261" s="27"/>
      <c r="AC261" s="27"/>
      <c r="AD261" s="27"/>
      <c r="AE261" s="27"/>
      <c r="AF261" s="27"/>
      <c r="AG261" s="27"/>
      <c r="AH261" s="27"/>
      <c r="AI261" s="27"/>
      <c r="AJ261" s="27"/>
      <c r="AK261" s="27"/>
      <c r="AL261" s="27"/>
      <c r="AM261" s="27"/>
      <c r="AN261" s="27"/>
      <c r="AO261" s="27"/>
      <c r="AP261" s="27"/>
      <c r="AQ261" s="27"/>
      <c r="AR261" s="27"/>
      <c r="AS261" s="27"/>
      <c r="AT261" s="27"/>
      <c r="AU261" s="27"/>
      <c r="AV261" s="27"/>
      <c r="AW261" s="27"/>
      <c r="AX261" s="27"/>
      <c r="AY261" s="27"/>
      <c r="AZ261" s="27"/>
      <c r="BA261" s="27"/>
      <c r="BB261" s="27"/>
      <c r="BC261" s="27"/>
      <c r="BD261" s="27"/>
      <c r="BE261" s="27"/>
      <c r="BF261" s="27"/>
      <c r="BG261" s="27"/>
      <c r="BH261" s="27"/>
      <c r="BI261" s="27"/>
      <c r="BJ261" s="27"/>
      <c r="BK261" s="27"/>
      <c r="BL261" s="27"/>
      <c r="BM261" s="27"/>
      <c r="BN261" s="27"/>
      <c r="BO261" s="27"/>
      <c r="BP261" s="27"/>
      <c r="BQ261" s="27"/>
      <c r="BR261" s="27"/>
      <c r="BS261" s="27"/>
      <c r="BT261" s="27"/>
    </row>
    <row r="262" spans="1:72" ht="14.25" customHeight="1" x14ac:dyDescent="0.2">
      <c r="A262" s="5" t="s">
        <v>912</v>
      </c>
      <c r="B262" s="4">
        <v>2</v>
      </c>
      <c r="C262" s="4" t="s">
        <v>7661</v>
      </c>
      <c r="D262" s="4">
        <v>37126</v>
      </c>
      <c r="E262" s="4">
        <v>2800</v>
      </c>
      <c r="F262" s="27" t="s">
        <v>1138</v>
      </c>
      <c r="G262" s="8" t="s">
        <v>1139</v>
      </c>
      <c r="H262" s="4" t="s">
        <v>1140</v>
      </c>
      <c r="I262" s="4" t="s">
        <v>641</v>
      </c>
      <c r="J262" s="4" t="s">
        <v>642</v>
      </c>
      <c r="K262" s="4">
        <v>1</v>
      </c>
      <c r="L262" s="4">
        <v>3543</v>
      </c>
      <c r="M262" s="27">
        <v>51.274830000000001</v>
      </c>
      <c r="N262" s="27">
        <v>-116.76653</v>
      </c>
      <c r="O262" s="27" t="s">
        <v>170</v>
      </c>
      <c r="P262" s="27">
        <v>37126</v>
      </c>
      <c r="Q262" s="29">
        <v>3</v>
      </c>
      <c r="R262" s="27" t="s">
        <v>1138</v>
      </c>
      <c r="S262" s="30" t="s">
        <v>1141</v>
      </c>
      <c r="T262" s="27" t="s">
        <v>644</v>
      </c>
      <c r="U262" s="27">
        <v>1140</v>
      </c>
      <c r="V262" s="27"/>
      <c r="W262" s="27"/>
      <c r="X262" s="27"/>
      <c r="Y262" s="27"/>
      <c r="Z262" s="27" t="s">
        <v>645</v>
      </c>
      <c r="AA262" s="27" t="s">
        <v>1142</v>
      </c>
      <c r="AB262" s="27"/>
      <c r="AC262" s="31"/>
      <c r="AD262" s="27"/>
      <c r="AE262" s="27"/>
      <c r="AF262" s="27"/>
      <c r="AG262" s="27"/>
      <c r="AH262" s="27"/>
      <c r="AI262" s="27"/>
      <c r="AJ262" s="27"/>
      <c r="AK262" s="27"/>
      <c r="AL262" s="27"/>
      <c r="AM262" s="27"/>
      <c r="AN262" s="27"/>
      <c r="AO262" s="27"/>
      <c r="AP262" s="27"/>
      <c r="AQ262" s="27"/>
      <c r="AR262" s="27"/>
      <c r="AS262" s="27"/>
      <c r="AT262" s="27"/>
      <c r="AU262" s="27"/>
      <c r="AV262" s="27"/>
      <c r="AW262" s="27"/>
      <c r="AX262" s="27"/>
      <c r="AY262" s="27"/>
      <c r="AZ262" s="27"/>
      <c r="BA262" s="27"/>
      <c r="BB262" s="27"/>
      <c r="BC262" s="27"/>
      <c r="BD262" s="27"/>
      <c r="BE262" s="27"/>
      <c r="BF262" s="27"/>
      <c r="BG262" s="27"/>
      <c r="BH262" s="27"/>
      <c r="BI262" s="27"/>
      <c r="BJ262" s="27"/>
      <c r="BK262" s="27"/>
      <c r="BL262" s="27"/>
      <c r="BM262" s="27"/>
      <c r="BN262" s="27"/>
      <c r="BO262" s="27"/>
      <c r="BP262" s="27"/>
      <c r="BQ262" s="27"/>
      <c r="BR262" s="27"/>
      <c r="BS262" s="27"/>
      <c r="BT262" s="27"/>
    </row>
    <row r="263" spans="1:72" ht="14.25" customHeight="1" x14ac:dyDescent="0.2">
      <c r="A263" s="5"/>
      <c r="B263" s="4">
        <v>2</v>
      </c>
      <c r="C263" s="4" t="s">
        <v>7661</v>
      </c>
      <c r="D263" s="4">
        <v>37191</v>
      </c>
      <c r="E263" s="4">
        <v>12480</v>
      </c>
      <c r="F263" s="4" t="s">
        <v>1143</v>
      </c>
      <c r="G263" s="19" t="s">
        <v>1144</v>
      </c>
      <c r="H263" s="4" t="s">
        <v>709</v>
      </c>
      <c r="I263" s="4" t="s">
        <v>49</v>
      </c>
      <c r="J263" s="4" t="s">
        <v>799</v>
      </c>
      <c r="K263" s="4">
        <v>1</v>
      </c>
      <c r="L263" s="4">
        <v>14502</v>
      </c>
      <c r="M263" s="9">
        <v>51.429600000000001</v>
      </c>
      <c r="N263" s="9">
        <v>-117.06426999999999</v>
      </c>
      <c r="O263" s="9" t="s">
        <v>170</v>
      </c>
      <c r="P263" s="9">
        <v>37191</v>
      </c>
      <c r="Q263" s="20">
        <v>1</v>
      </c>
      <c r="R263" s="9" t="s">
        <v>1143</v>
      </c>
      <c r="S263" s="11" t="s">
        <v>1145</v>
      </c>
      <c r="T263" s="9" t="s">
        <v>644</v>
      </c>
      <c r="U263" s="9">
        <v>798</v>
      </c>
      <c r="Z263" s="9"/>
      <c r="AA263" s="9" t="s">
        <v>1146</v>
      </c>
      <c r="AB263" s="9"/>
      <c r="AC263" s="9"/>
      <c r="AD263" s="9"/>
      <c r="AE263" s="9"/>
      <c r="AF263" s="9"/>
      <c r="AG263" s="9"/>
      <c r="AH263" s="9"/>
      <c r="AI263" s="9"/>
    </row>
    <row r="264" spans="1:72" ht="14.25" customHeight="1" x14ac:dyDescent="0.2">
      <c r="A264" s="5" t="s">
        <v>88</v>
      </c>
      <c r="B264" s="4">
        <v>2</v>
      </c>
      <c r="C264" s="4" t="s">
        <v>7661</v>
      </c>
      <c r="D264" s="4">
        <v>37192</v>
      </c>
      <c r="E264" s="4">
        <v>12988</v>
      </c>
      <c r="F264" s="4" t="s">
        <v>1147</v>
      </c>
      <c r="G264" s="8" t="s">
        <v>1148</v>
      </c>
      <c r="H264" s="4" t="s">
        <v>1149</v>
      </c>
      <c r="I264" s="4" t="s">
        <v>49</v>
      </c>
      <c r="J264" s="4" t="s">
        <v>793</v>
      </c>
      <c r="K264" s="4">
        <v>1</v>
      </c>
      <c r="L264" s="4">
        <v>14920</v>
      </c>
      <c r="M264" s="9">
        <v>51.027320000000003</v>
      </c>
      <c r="N264" s="9">
        <v>-116.53516</v>
      </c>
      <c r="O264" s="9" t="s">
        <v>170</v>
      </c>
      <c r="P264" s="9">
        <v>37192</v>
      </c>
      <c r="Q264" s="20">
        <v>1</v>
      </c>
      <c r="R264" s="9" t="s">
        <v>1150</v>
      </c>
      <c r="S264" s="11" t="s">
        <v>1147</v>
      </c>
      <c r="T264" s="9" t="s">
        <v>644</v>
      </c>
      <c r="U264" s="9">
        <v>797</v>
      </c>
      <c r="Z264" s="9"/>
      <c r="AA264" s="9" t="s">
        <v>1151</v>
      </c>
      <c r="AB264" s="9"/>
      <c r="AC264" s="9"/>
      <c r="AD264" s="9"/>
      <c r="AE264" s="9"/>
      <c r="AF264" s="9"/>
      <c r="AG264" s="9"/>
      <c r="AH264" s="9"/>
      <c r="AI264" s="9"/>
    </row>
    <row r="265" spans="1:72" ht="14.25" customHeight="1" x14ac:dyDescent="0.2">
      <c r="A265" s="5"/>
      <c r="B265" s="4">
        <v>2</v>
      </c>
      <c r="C265" s="4" t="s">
        <v>7661</v>
      </c>
      <c r="D265" s="4">
        <v>37221</v>
      </c>
      <c r="E265" s="4">
        <v>2803</v>
      </c>
      <c r="F265" s="4" t="s">
        <v>1152</v>
      </c>
      <c r="G265" s="19" t="s">
        <v>1153</v>
      </c>
      <c r="H265" s="4" t="s">
        <v>1154</v>
      </c>
      <c r="I265" s="4" t="s">
        <v>641</v>
      </c>
      <c r="J265" s="4" t="s">
        <v>1155</v>
      </c>
      <c r="K265" s="4">
        <v>1</v>
      </c>
      <c r="L265" s="4">
        <v>3546</v>
      </c>
      <c r="M265" s="9">
        <v>50.454720000000002</v>
      </c>
      <c r="N265" s="9">
        <v>-116.252</v>
      </c>
      <c r="O265" s="9" t="s">
        <v>170</v>
      </c>
      <c r="P265" s="9">
        <v>37221</v>
      </c>
      <c r="Q265" s="20">
        <v>2</v>
      </c>
      <c r="R265" s="9" t="s">
        <v>1152</v>
      </c>
      <c r="S265" s="11" t="s">
        <v>1156</v>
      </c>
      <c r="T265" s="9" t="s">
        <v>644</v>
      </c>
      <c r="U265" s="9">
        <v>1130</v>
      </c>
      <c r="Z265" s="9"/>
      <c r="AA265" s="9" t="s">
        <v>1157</v>
      </c>
      <c r="AB265" s="9"/>
      <c r="AC265" s="9"/>
      <c r="AD265" s="9"/>
      <c r="AE265" s="9"/>
      <c r="AF265" s="9"/>
      <c r="AG265" s="9"/>
      <c r="AH265" s="9"/>
      <c r="AI265" s="9"/>
    </row>
    <row r="266" spans="1:72" ht="14.25" customHeight="1" x14ac:dyDescent="0.2">
      <c r="A266" s="5"/>
      <c r="B266" s="4">
        <v>2</v>
      </c>
      <c r="C266" s="4" t="s">
        <v>7661</v>
      </c>
      <c r="D266" s="4">
        <v>37222</v>
      </c>
      <c r="E266" s="4">
        <v>2804</v>
      </c>
      <c r="F266" s="27" t="s">
        <v>1158</v>
      </c>
      <c r="G266" s="19" t="s">
        <v>1159</v>
      </c>
      <c r="H266" s="4" t="s">
        <v>1160</v>
      </c>
      <c r="I266" s="4" t="s">
        <v>641</v>
      </c>
      <c r="J266" s="4" t="s">
        <v>1161</v>
      </c>
      <c r="K266" s="4">
        <v>1</v>
      </c>
      <c r="L266" s="4">
        <v>3547</v>
      </c>
      <c r="M266" s="9">
        <v>50.433610000000002</v>
      </c>
      <c r="N266" s="9">
        <v>-116.32</v>
      </c>
      <c r="O266" s="9" t="s">
        <v>170</v>
      </c>
      <c r="P266" s="9">
        <v>37222</v>
      </c>
      <c r="Q266" s="20">
        <v>8</v>
      </c>
      <c r="R266" s="9" t="s">
        <v>1158</v>
      </c>
      <c r="S266" s="11" t="s">
        <v>1162</v>
      </c>
      <c r="T266" s="9" t="s">
        <v>644</v>
      </c>
      <c r="U266" s="27">
        <v>2380</v>
      </c>
      <c r="V266" s="27"/>
      <c r="W266" s="27"/>
      <c r="X266" s="27"/>
      <c r="Y266" s="27"/>
      <c r="Z266" s="27"/>
      <c r="AA266" s="27" t="s">
        <v>1163</v>
      </c>
      <c r="AB266" s="27"/>
      <c r="AC266" s="27"/>
      <c r="AD266" s="27"/>
      <c r="AE266" s="27"/>
      <c r="AF266" s="27"/>
      <c r="AG266" s="27"/>
      <c r="AH266" s="27"/>
      <c r="AI266" s="27"/>
      <c r="AJ266" s="27"/>
      <c r="AK266" s="27"/>
      <c r="AL266" s="27"/>
      <c r="AM266" s="27"/>
      <c r="AN266" s="27"/>
      <c r="AO266" s="27"/>
      <c r="AP266" s="27"/>
      <c r="AQ266" s="27"/>
      <c r="AR266" s="27"/>
      <c r="AS266" s="27"/>
      <c r="AT266" s="27"/>
      <c r="AU266" s="27"/>
      <c r="AV266" s="27"/>
      <c r="AW266" s="27"/>
      <c r="AX266" s="27"/>
      <c r="AY266" s="27"/>
      <c r="AZ266" s="27"/>
      <c r="BA266" s="27"/>
      <c r="BB266" s="27"/>
      <c r="BC266" s="27"/>
      <c r="BD266" s="27"/>
      <c r="BE266" s="27"/>
      <c r="BF266" s="27"/>
      <c r="BG266" s="27"/>
      <c r="BH266" s="27"/>
      <c r="BI266" s="27"/>
      <c r="BJ266" s="27"/>
      <c r="BK266" s="27"/>
      <c r="BL266" s="27"/>
      <c r="BM266" s="27"/>
      <c r="BN266" s="27"/>
      <c r="BO266" s="27"/>
      <c r="BP266" s="27"/>
      <c r="BQ266" s="27"/>
      <c r="BR266" s="27"/>
      <c r="BS266" s="27"/>
      <c r="BT266" s="27"/>
    </row>
    <row r="267" spans="1:72" ht="14.25" customHeight="1" x14ac:dyDescent="0.2">
      <c r="A267" s="5" t="s">
        <v>88</v>
      </c>
      <c r="B267" s="4">
        <v>2</v>
      </c>
      <c r="C267" s="4" t="s">
        <v>7661</v>
      </c>
      <c r="D267" s="4">
        <v>37223</v>
      </c>
      <c r="E267" s="4">
        <v>12997</v>
      </c>
      <c r="F267" s="4" t="s">
        <v>1164</v>
      </c>
      <c r="G267" s="8" t="s">
        <v>1165</v>
      </c>
      <c r="H267" s="4" t="s">
        <v>720</v>
      </c>
      <c r="I267" s="4" t="s">
        <v>49</v>
      </c>
      <c r="J267" s="4" t="s">
        <v>1080</v>
      </c>
      <c r="K267" s="4">
        <v>1</v>
      </c>
      <c r="L267" s="4">
        <v>14929</v>
      </c>
      <c r="M267" s="9">
        <v>50.430480000000003</v>
      </c>
      <c r="N267" s="9">
        <v>-116.31959999999999</v>
      </c>
      <c r="P267" s="9">
        <v>37223</v>
      </c>
      <c r="R267" s="9" t="s">
        <v>1166</v>
      </c>
      <c r="U267" s="9">
        <v>2250</v>
      </c>
      <c r="AA267" s="9" t="s">
        <v>1167</v>
      </c>
    </row>
    <row r="268" spans="1:72" ht="14.25" customHeight="1" x14ac:dyDescent="0.2">
      <c r="A268" s="5"/>
      <c r="B268" s="4">
        <v>2</v>
      </c>
      <c r="C268" s="4" t="s">
        <v>7661</v>
      </c>
      <c r="D268" s="4">
        <v>37291</v>
      </c>
      <c r="E268" s="4">
        <v>12481</v>
      </c>
      <c r="F268" s="4" t="s">
        <v>1168</v>
      </c>
      <c r="G268" s="19" t="s">
        <v>1169</v>
      </c>
      <c r="H268" s="4" t="s">
        <v>709</v>
      </c>
      <c r="I268" s="4" t="s">
        <v>49</v>
      </c>
      <c r="J268" s="4" t="s">
        <v>1170</v>
      </c>
      <c r="K268" s="4">
        <v>1</v>
      </c>
      <c r="L268" s="4">
        <v>14503</v>
      </c>
      <c r="M268" s="9">
        <v>50.463430000000002</v>
      </c>
      <c r="N268" s="9">
        <v>-116.23348</v>
      </c>
      <c r="O268" s="9" t="s">
        <v>170</v>
      </c>
      <c r="P268" s="9">
        <v>37291</v>
      </c>
      <c r="Q268" s="20">
        <v>3</v>
      </c>
      <c r="R268" s="9" t="s">
        <v>1168</v>
      </c>
      <c r="S268" s="11" t="s">
        <v>1171</v>
      </c>
      <c r="T268" s="9" t="s">
        <v>644</v>
      </c>
      <c r="U268" s="9">
        <v>1150</v>
      </c>
      <c r="Z268" s="9"/>
      <c r="AA268" s="9" t="s">
        <v>1172</v>
      </c>
      <c r="AB268" s="9"/>
      <c r="AC268" s="9"/>
      <c r="AD268" s="9"/>
      <c r="AE268" s="9"/>
      <c r="AF268" s="9"/>
    </row>
    <row r="269" spans="1:72" ht="14.25" customHeight="1" x14ac:dyDescent="0.2">
      <c r="A269" s="5"/>
      <c r="B269" s="4">
        <v>2</v>
      </c>
      <c r="C269" s="4" t="s">
        <v>7661</v>
      </c>
      <c r="D269" s="4">
        <v>38021</v>
      </c>
      <c r="E269" s="4">
        <v>12482</v>
      </c>
      <c r="F269" s="4" t="s">
        <v>1173</v>
      </c>
      <c r="G269" s="19" t="s">
        <v>1174</v>
      </c>
      <c r="H269" s="4" t="s">
        <v>709</v>
      </c>
      <c r="I269" s="4" t="s">
        <v>49</v>
      </c>
      <c r="J269" s="4" t="s">
        <v>1175</v>
      </c>
      <c r="K269" s="4">
        <v>1</v>
      </c>
      <c r="L269" s="4">
        <v>14504</v>
      </c>
      <c r="M269" s="9">
        <v>51.000059999999998</v>
      </c>
      <c r="N269" s="9">
        <v>-118.22872</v>
      </c>
      <c r="O269" s="9" t="s">
        <v>170</v>
      </c>
      <c r="P269" s="9">
        <v>38021</v>
      </c>
      <c r="Q269" s="20">
        <v>1</v>
      </c>
      <c r="R269" s="9" t="s">
        <v>1173</v>
      </c>
      <c r="S269" s="11" t="s">
        <v>1176</v>
      </c>
      <c r="T269" s="9" t="s">
        <v>644</v>
      </c>
      <c r="U269" s="9">
        <v>448</v>
      </c>
      <c r="Z269" s="9"/>
      <c r="AA269" s="9" t="s">
        <v>1177</v>
      </c>
      <c r="AB269" s="9"/>
      <c r="AC269" s="9"/>
      <c r="AD269" s="9"/>
      <c r="AE269" s="9"/>
      <c r="AF269" s="9"/>
      <c r="AG269" s="9"/>
    </row>
    <row r="270" spans="1:72" ht="14.25" customHeight="1" x14ac:dyDescent="0.2">
      <c r="A270" s="5"/>
      <c r="B270" s="4">
        <v>2</v>
      </c>
      <c r="C270" s="4" t="s">
        <v>7661</v>
      </c>
      <c r="D270" s="4">
        <v>38121</v>
      </c>
      <c r="E270" s="4">
        <v>2807</v>
      </c>
      <c r="F270" s="4" t="s">
        <v>1178</v>
      </c>
      <c r="G270" s="19" t="s">
        <v>1179</v>
      </c>
      <c r="H270" s="4" t="s">
        <v>1180</v>
      </c>
      <c r="I270" s="4" t="s">
        <v>641</v>
      </c>
      <c r="J270" s="4" t="s">
        <v>1181</v>
      </c>
      <c r="K270" s="4">
        <v>1</v>
      </c>
      <c r="L270" s="4">
        <v>3550</v>
      </c>
      <c r="M270" s="9">
        <v>50.926659999999998</v>
      </c>
      <c r="N270" s="9">
        <v>-118.44503</v>
      </c>
      <c r="O270" s="9" t="s">
        <v>170</v>
      </c>
      <c r="P270" s="9">
        <v>38121</v>
      </c>
      <c r="Q270" s="20">
        <v>3</v>
      </c>
      <c r="R270" s="9" t="s">
        <v>1178</v>
      </c>
      <c r="S270" s="11" t="s">
        <v>1182</v>
      </c>
      <c r="T270" s="9" t="s">
        <v>644</v>
      </c>
      <c r="U270" s="9">
        <v>1165</v>
      </c>
      <c r="Z270" s="9"/>
      <c r="AA270" s="9" t="s">
        <v>1183</v>
      </c>
      <c r="AB270" s="9"/>
      <c r="AC270" s="9"/>
      <c r="AD270" s="9"/>
      <c r="AE270" s="9"/>
      <c r="AF270" s="9"/>
      <c r="AG270" s="9"/>
      <c r="AH270" s="9"/>
      <c r="AI270" s="9"/>
    </row>
    <row r="271" spans="1:72" ht="14.25" customHeight="1" x14ac:dyDescent="0.2">
      <c r="A271" s="5"/>
      <c r="B271" s="4">
        <v>2</v>
      </c>
      <c r="C271" s="4" t="s">
        <v>7661</v>
      </c>
      <c r="D271" s="4">
        <v>38124</v>
      </c>
      <c r="E271" s="4">
        <v>2808</v>
      </c>
      <c r="F271" s="4" t="s">
        <v>1184</v>
      </c>
      <c r="G271" s="19" t="s">
        <v>1185</v>
      </c>
      <c r="H271" s="4" t="s">
        <v>1186</v>
      </c>
      <c r="I271" s="4" t="s">
        <v>641</v>
      </c>
      <c r="J271" s="4" t="s">
        <v>755</v>
      </c>
      <c r="K271" s="4">
        <v>1</v>
      </c>
      <c r="L271" s="4">
        <v>3551</v>
      </c>
      <c r="M271" s="9">
        <v>50.962479999999999</v>
      </c>
      <c r="N271" s="9">
        <v>-118.37777</v>
      </c>
      <c r="O271" s="9" t="s">
        <v>170</v>
      </c>
      <c r="P271" s="9">
        <v>38124</v>
      </c>
      <c r="Q271" s="20">
        <v>1</v>
      </c>
      <c r="R271" s="9" t="s">
        <v>1184</v>
      </c>
      <c r="S271" s="11" t="s">
        <v>1187</v>
      </c>
      <c r="T271" s="9" t="s">
        <v>644</v>
      </c>
      <c r="U271" s="9">
        <v>610</v>
      </c>
      <c r="Z271" s="9" t="s">
        <v>645</v>
      </c>
      <c r="AA271" s="9" t="s">
        <v>1188</v>
      </c>
      <c r="AB271" s="9"/>
      <c r="AC271" s="21"/>
      <c r="AD271" s="9"/>
      <c r="AE271" s="9"/>
      <c r="AF271" s="9"/>
      <c r="AG271" s="9"/>
      <c r="AH271" s="9"/>
      <c r="AI271" s="9"/>
    </row>
    <row r="272" spans="1:72" ht="14.25" customHeight="1" x14ac:dyDescent="0.2">
      <c r="A272" s="5"/>
      <c r="B272" s="4">
        <v>2</v>
      </c>
      <c r="C272" s="4" t="s">
        <v>7661</v>
      </c>
      <c r="D272" s="4">
        <v>38222</v>
      </c>
      <c r="E272" s="4">
        <v>2810</v>
      </c>
      <c r="F272" s="4" t="s">
        <v>1189</v>
      </c>
      <c r="G272" s="19" t="s">
        <v>1190</v>
      </c>
      <c r="H272" s="4" t="s">
        <v>1180</v>
      </c>
      <c r="I272" s="4" t="s">
        <v>641</v>
      </c>
      <c r="J272" s="4" t="s">
        <v>909</v>
      </c>
      <c r="K272" s="4">
        <v>1</v>
      </c>
      <c r="L272" s="4">
        <v>3553</v>
      </c>
      <c r="M272" s="27">
        <v>51.193330000000003</v>
      </c>
      <c r="N272" s="27">
        <v>-117.77110999999999</v>
      </c>
      <c r="O272" s="27" t="s">
        <v>170</v>
      </c>
      <c r="P272" s="27">
        <v>38222</v>
      </c>
      <c r="Q272" s="29">
        <v>5</v>
      </c>
      <c r="R272" s="27" t="s">
        <v>1189</v>
      </c>
      <c r="S272" s="30" t="s">
        <v>1191</v>
      </c>
      <c r="T272" s="27" t="s">
        <v>644</v>
      </c>
      <c r="U272" s="27">
        <v>1615</v>
      </c>
      <c r="V272" s="27"/>
      <c r="W272" s="27"/>
      <c r="X272" s="27"/>
      <c r="Y272" s="27"/>
      <c r="Z272" s="27"/>
      <c r="AA272" s="27" t="s">
        <v>1192</v>
      </c>
      <c r="AB272" s="27"/>
      <c r="AC272" s="27"/>
      <c r="AD272" s="27"/>
      <c r="AE272" s="27"/>
      <c r="AF272" s="27"/>
      <c r="AG272" s="27"/>
      <c r="AH272" s="27"/>
      <c r="AI272" s="27"/>
      <c r="AJ272" s="27"/>
      <c r="AK272" s="27"/>
      <c r="AL272" s="27"/>
      <c r="AM272" s="27"/>
      <c r="AN272" s="27"/>
      <c r="AO272" s="27"/>
      <c r="AP272" s="27"/>
      <c r="AQ272" s="27"/>
      <c r="AR272" s="27"/>
      <c r="AS272" s="27"/>
      <c r="AT272" s="27"/>
      <c r="AU272" s="27"/>
      <c r="AV272" s="27"/>
      <c r="AW272" s="27"/>
      <c r="AX272" s="27"/>
      <c r="AY272" s="27"/>
      <c r="AZ272" s="27"/>
      <c r="BA272" s="27"/>
      <c r="BB272" s="27"/>
      <c r="BC272" s="27"/>
      <c r="BD272" s="27"/>
      <c r="BE272" s="27"/>
      <c r="BF272" s="27"/>
      <c r="BG272" s="27"/>
      <c r="BH272" s="27"/>
      <c r="BI272" s="27"/>
      <c r="BJ272" s="27"/>
      <c r="BK272" s="27"/>
      <c r="BL272" s="27"/>
      <c r="BM272" s="27"/>
      <c r="BN272" s="27"/>
      <c r="BO272" s="27"/>
      <c r="BP272" s="27"/>
      <c r="BQ272" s="27"/>
      <c r="BR272" s="27"/>
      <c r="BS272" s="27"/>
      <c r="BT272" s="27"/>
    </row>
    <row r="273" spans="1:72" ht="14.25" customHeight="1" x14ac:dyDescent="0.2">
      <c r="A273" s="5"/>
      <c r="B273" s="4">
        <v>2</v>
      </c>
      <c r="C273" s="4" t="s">
        <v>7661</v>
      </c>
      <c r="D273" s="4">
        <v>38226</v>
      </c>
      <c r="E273" s="4">
        <v>2811</v>
      </c>
      <c r="F273" s="4" t="s">
        <v>1193</v>
      </c>
      <c r="G273" s="19" t="s">
        <v>1194</v>
      </c>
      <c r="H273" s="4" t="s">
        <v>1195</v>
      </c>
      <c r="I273" s="4" t="s">
        <v>641</v>
      </c>
      <c r="J273" s="4" t="s">
        <v>1196</v>
      </c>
      <c r="K273" s="4">
        <v>1</v>
      </c>
      <c r="L273" s="4">
        <v>3554</v>
      </c>
      <c r="M273" s="9">
        <v>51.200830000000003</v>
      </c>
      <c r="N273" s="9">
        <v>-117.77778000000001</v>
      </c>
      <c r="O273" s="9" t="s">
        <v>170</v>
      </c>
      <c r="P273" s="9">
        <v>38226</v>
      </c>
      <c r="Q273" s="20">
        <v>7</v>
      </c>
      <c r="R273" s="9" t="s">
        <v>1193</v>
      </c>
      <c r="S273" s="11" t="s">
        <v>1197</v>
      </c>
      <c r="T273" s="9" t="s">
        <v>644</v>
      </c>
      <c r="U273" s="9">
        <v>2135</v>
      </c>
      <c r="Z273" s="9"/>
      <c r="AA273" s="9" t="s">
        <v>1198</v>
      </c>
      <c r="AB273" s="9"/>
      <c r="AC273" s="9"/>
      <c r="AD273" s="9"/>
      <c r="AE273" s="9"/>
      <c r="AF273" s="9"/>
      <c r="AG273" s="9"/>
      <c r="AH273" s="9"/>
      <c r="AI273" s="9"/>
    </row>
    <row r="274" spans="1:72" ht="14.25" customHeight="1" x14ac:dyDescent="0.2">
      <c r="A274" s="5" t="s">
        <v>88</v>
      </c>
      <c r="B274" s="4">
        <v>2</v>
      </c>
      <c r="C274" s="4" t="s">
        <v>7661</v>
      </c>
      <c r="D274" s="4">
        <v>38227</v>
      </c>
      <c r="E274" s="4">
        <v>2812</v>
      </c>
      <c r="F274" s="27" t="s">
        <v>1199</v>
      </c>
      <c r="G274" s="8" t="s">
        <v>1200</v>
      </c>
      <c r="H274" s="4" t="s">
        <v>1201</v>
      </c>
      <c r="I274" s="4" t="s">
        <v>641</v>
      </c>
      <c r="J274" s="4" t="s">
        <v>755</v>
      </c>
      <c r="K274" s="4">
        <v>1</v>
      </c>
      <c r="L274" s="4">
        <v>3555</v>
      </c>
      <c r="M274" s="9">
        <v>51.188079999999999</v>
      </c>
      <c r="N274" s="9">
        <v>-117.75615999999999</v>
      </c>
      <c r="O274" s="9" t="s">
        <v>170</v>
      </c>
      <c r="P274" s="9">
        <v>38227</v>
      </c>
      <c r="Q274" s="20">
        <v>1</v>
      </c>
      <c r="R274" s="9" t="s">
        <v>1199</v>
      </c>
      <c r="S274" s="11" t="s">
        <v>1202</v>
      </c>
      <c r="T274" s="9" t="s">
        <v>644</v>
      </c>
      <c r="U274" s="27">
        <v>999</v>
      </c>
      <c r="V274" s="27"/>
      <c r="W274" s="27"/>
      <c r="X274" s="27"/>
      <c r="Y274" s="27"/>
      <c r="Z274" s="27"/>
      <c r="AA274" s="27" t="s">
        <v>1203</v>
      </c>
      <c r="AB274" s="27"/>
      <c r="AC274" s="27"/>
      <c r="AD274" s="27"/>
      <c r="AE274" s="27"/>
      <c r="AF274" s="27"/>
      <c r="AG274" s="27"/>
      <c r="AH274" s="27"/>
      <c r="AI274" s="27"/>
      <c r="AJ274" s="27"/>
      <c r="AK274" s="27"/>
      <c r="AL274" s="27"/>
      <c r="AM274" s="27"/>
      <c r="AN274" s="27"/>
      <c r="AO274" s="27"/>
      <c r="AP274" s="27"/>
      <c r="AQ274" s="27"/>
      <c r="AR274" s="27"/>
      <c r="AS274" s="27"/>
      <c r="AT274" s="27"/>
      <c r="AU274" s="27"/>
      <c r="AV274" s="27"/>
      <c r="AW274" s="27"/>
      <c r="AX274" s="27"/>
      <c r="AY274" s="27"/>
      <c r="AZ274" s="27"/>
      <c r="BA274" s="27"/>
      <c r="BB274" s="27"/>
      <c r="BC274" s="27"/>
      <c r="BD274" s="27"/>
      <c r="BE274" s="27"/>
      <c r="BF274" s="27"/>
      <c r="BG274" s="27"/>
      <c r="BH274" s="27"/>
      <c r="BI274" s="27"/>
      <c r="BJ274" s="27"/>
      <c r="BK274" s="27"/>
      <c r="BL274" s="27"/>
      <c r="BM274" s="27"/>
      <c r="BN274" s="27"/>
      <c r="BO274" s="27"/>
      <c r="BP274" s="27"/>
      <c r="BQ274" s="27"/>
      <c r="BR274" s="27"/>
      <c r="BS274" s="27"/>
      <c r="BT274" s="27"/>
    </row>
    <row r="275" spans="1:72" ht="14.25" customHeight="1" x14ac:dyDescent="0.2">
      <c r="A275" s="5"/>
      <c r="B275" s="4">
        <v>2</v>
      </c>
      <c r="C275" s="4" t="s">
        <v>7661</v>
      </c>
      <c r="D275" s="4">
        <v>38228</v>
      </c>
      <c r="E275" s="4">
        <v>2813</v>
      </c>
      <c r="F275" s="27" t="s">
        <v>1204</v>
      </c>
      <c r="G275" s="19" t="s">
        <v>1205</v>
      </c>
      <c r="H275" s="4" t="s">
        <v>1206</v>
      </c>
      <c r="I275" s="4" t="s">
        <v>641</v>
      </c>
      <c r="J275" s="4" t="s">
        <v>1207</v>
      </c>
      <c r="K275" s="4">
        <v>1</v>
      </c>
      <c r="L275" s="4">
        <v>3556</v>
      </c>
      <c r="M275" s="9">
        <v>51.189920000000001</v>
      </c>
      <c r="N275" s="9">
        <v>-117.71083</v>
      </c>
      <c r="O275" s="9" t="s">
        <v>170</v>
      </c>
      <c r="P275" s="9">
        <v>38228</v>
      </c>
      <c r="Q275" s="20">
        <v>8</v>
      </c>
      <c r="R275" s="9" t="s">
        <v>1204</v>
      </c>
      <c r="S275" s="11" t="s">
        <v>1208</v>
      </c>
      <c r="T275" s="9" t="s">
        <v>644</v>
      </c>
      <c r="U275" s="27">
        <v>2260</v>
      </c>
      <c r="V275" s="27"/>
      <c r="W275" s="27"/>
      <c r="X275" s="27"/>
      <c r="Y275" s="27"/>
      <c r="Z275" s="27"/>
      <c r="AA275" s="27" t="s">
        <v>1209</v>
      </c>
      <c r="AB275" s="27"/>
      <c r="AC275" s="27"/>
      <c r="AD275" s="27"/>
      <c r="AE275" s="27"/>
      <c r="AF275" s="27"/>
      <c r="AG275" s="27"/>
      <c r="AH275" s="27"/>
      <c r="AI275" s="27"/>
      <c r="AJ275" s="27"/>
      <c r="AK275" s="27"/>
      <c r="AL275" s="27"/>
      <c r="AM275" s="27"/>
      <c r="AN275" s="27"/>
      <c r="AO275" s="27"/>
      <c r="AP275" s="27"/>
      <c r="AQ275" s="27"/>
      <c r="AR275" s="27"/>
      <c r="AS275" s="27"/>
      <c r="AT275" s="27"/>
      <c r="AU275" s="27"/>
      <c r="AV275" s="27"/>
      <c r="AW275" s="27"/>
      <c r="AX275" s="27"/>
      <c r="AY275" s="27"/>
      <c r="AZ275" s="27"/>
      <c r="BA275" s="27"/>
      <c r="BB275" s="27"/>
      <c r="BC275" s="27"/>
      <c r="BD275" s="27"/>
      <c r="BE275" s="27"/>
      <c r="BF275" s="27"/>
      <c r="BG275" s="27"/>
      <c r="BH275" s="27"/>
      <c r="BI275" s="27"/>
      <c r="BJ275" s="27"/>
      <c r="BK275" s="27"/>
      <c r="BL275" s="27"/>
      <c r="BM275" s="27"/>
      <c r="BN275" s="27"/>
      <c r="BO275" s="27"/>
      <c r="BP275" s="27"/>
      <c r="BQ275" s="27"/>
      <c r="BR275" s="27"/>
      <c r="BS275" s="27"/>
      <c r="BT275" s="27"/>
    </row>
    <row r="276" spans="1:72" ht="14.25" customHeight="1" x14ac:dyDescent="0.2">
      <c r="A276" s="5"/>
      <c r="B276" s="4">
        <v>2</v>
      </c>
      <c r="C276" s="4" t="s">
        <v>7661</v>
      </c>
      <c r="D276" s="4">
        <v>38323</v>
      </c>
      <c r="E276" s="4">
        <v>2816</v>
      </c>
      <c r="F276" s="4" t="s">
        <v>1210</v>
      </c>
      <c r="G276" s="19" t="s">
        <v>1211</v>
      </c>
      <c r="H276" s="4" t="s">
        <v>1212</v>
      </c>
      <c r="I276" s="4" t="s">
        <v>641</v>
      </c>
      <c r="J276" s="4" t="s">
        <v>1213</v>
      </c>
      <c r="K276" s="4">
        <v>1</v>
      </c>
      <c r="L276" s="4">
        <v>3559</v>
      </c>
      <c r="M276" s="9">
        <v>51.518329999999999</v>
      </c>
      <c r="N276" s="9">
        <v>-118.46167</v>
      </c>
      <c r="O276" s="9" t="s">
        <v>170</v>
      </c>
      <c r="P276" s="9">
        <v>38323</v>
      </c>
      <c r="Q276" s="20">
        <v>6</v>
      </c>
      <c r="R276" s="9" t="s">
        <v>1210</v>
      </c>
      <c r="S276" s="11" t="s">
        <v>1214</v>
      </c>
      <c r="T276" s="9" t="s">
        <v>644</v>
      </c>
      <c r="U276" s="9">
        <v>1740</v>
      </c>
      <c r="Z276" s="9"/>
      <c r="AA276" s="9" t="s">
        <v>1215</v>
      </c>
      <c r="AB276" s="9"/>
      <c r="AC276" s="9"/>
      <c r="AD276" s="9"/>
      <c r="AE276" s="9"/>
      <c r="AF276" s="9"/>
      <c r="AG276" s="9"/>
      <c r="AH276" s="9"/>
      <c r="AI276" s="9"/>
    </row>
    <row r="277" spans="1:72" ht="14.25" customHeight="1" x14ac:dyDescent="0.2">
      <c r="A277" s="5"/>
      <c r="B277" s="4">
        <v>2</v>
      </c>
      <c r="C277" s="4" t="s">
        <v>7661</v>
      </c>
      <c r="D277" s="4">
        <v>38324</v>
      </c>
      <c r="E277" s="4">
        <v>2817</v>
      </c>
      <c r="F277" s="4" t="s">
        <v>1216</v>
      </c>
      <c r="G277" s="19" t="s">
        <v>1217</v>
      </c>
      <c r="H277" s="4" t="s">
        <v>1218</v>
      </c>
      <c r="I277" s="4" t="s">
        <v>641</v>
      </c>
      <c r="J277" s="4" t="s">
        <v>642</v>
      </c>
      <c r="K277" s="4">
        <v>1</v>
      </c>
      <c r="L277" s="4">
        <v>3560</v>
      </c>
      <c r="M277" s="34">
        <v>51.599170000000001</v>
      </c>
      <c r="N277" s="34">
        <v>-118.60111000000001</v>
      </c>
      <c r="O277" s="35" t="s">
        <v>170</v>
      </c>
      <c r="P277" s="9">
        <v>38324</v>
      </c>
      <c r="Q277" s="20">
        <v>1</v>
      </c>
      <c r="R277" s="34" t="s">
        <v>1216</v>
      </c>
      <c r="S277" s="11" t="s">
        <v>1219</v>
      </c>
      <c r="T277" s="9" t="s">
        <v>644</v>
      </c>
      <c r="U277" s="9">
        <v>650</v>
      </c>
      <c r="Z277" s="9" t="s">
        <v>645</v>
      </c>
      <c r="AA277" s="9" t="s">
        <v>1220</v>
      </c>
      <c r="AB277" s="9"/>
      <c r="AC277" s="21"/>
      <c r="AD277" s="9"/>
      <c r="AE277" s="9"/>
      <c r="AF277" s="9"/>
      <c r="AG277" s="9"/>
      <c r="AH277" s="9"/>
      <c r="AI277" s="9"/>
    </row>
    <row r="278" spans="1:72" ht="14.25" customHeight="1" x14ac:dyDescent="0.2">
      <c r="A278" s="5"/>
      <c r="B278" s="4">
        <v>2</v>
      </c>
      <c r="C278" s="4" t="s">
        <v>7661</v>
      </c>
      <c r="D278" s="4">
        <v>38325</v>
      </c>
      <c r="E278" s="4">
        <v>2818</v>
      </c>
      <c r="F278" s="27" t="s">
        <v>1221</v>
      </c>
      <c r="G278" s="19" t="s">
        <v>1222</v>
      </c>
      <c r="H278" s="4" t="s">
        <v>1223</v>
      </c>
      <c r="I278" s="4" t="s">
        <v>641</v>
      </c>
      <c r="J278" s="4" t="s">
        <v>1224</v>
      </c>
      <c r="K278" s="4">
        <v>1</v>
      </c>
      <c r="L278" s="4">
        <v>3561</v>
      </c>
      <c r="M278" s="27">
        <v>52.040280000000003</v>
      </c>
      <c r="N278" s="27">
        <v>-118.57083</v>
      </c>
      <c r="O278" s="27" t="s">
        <v>170</v>
      </c>
      <c r="P278" s="27">
        <v>38325</v>
      </c>
      <c r="Q278" s="29">
        <v>2</v>
      </c>
      <c r="R278" s="27" t="s">
        <v>1221</v>
      </c>
      <c r="S278" s="30" t="s">
        <v>1225</v>
      </c>
      <c r="T278" s="27" t="s">
        <v>644</v>
      </c>
      <c r="U278" s="27">
        <v>1080</v>
      </c>
      <c r="V278" s="27"/>
      <c r="W278" s="27"/>
      <c r="X278" s="27"/>
      <c r="Y278" s="27"/>
      <c r="Z278" s="27"/>
      <c r="AA278" s="27" t="s">
        <v>1226</v>
      </c>
      <c r="AB278" s="27"/>
      <c r="AC278" s="27"/>
      <c r="AD278" s="27"/>
      <c r="AE278" s="27"/>
      <c r="AF278" s="27"/>
      <c r="AG278" s="27"/>
      <c r="AH278" s="27"/>
      <c r="AI278" s="27"/>
      <c r="AJ278" s="27"/>
      <c r="AK278" s="27"/>
      <c r="AL278" s="27"/>
      <c r="AM278" s="27"/>
      <c r="AN278" s="27"/>
      <c r="AO278" s="27"/>
      <c r="AP278" s="27"/>
      <c r="AQ278" s="27"/>
      <c r="AR278" s="27"/>
      <c r="AS278" s="27"/>
      <c r="AT278" s="27"/>
      <c r="AU278" s="27"/>
      <c r="AV278" s="27"/>
      <c r="AW278" s="27"/>
      <c r="AX278" s="27"/>
      <c r="AY278" s="27"/>
      <c r="AZ278" s="27"/>
      <c r="BA278" s="27"/>
      <c r="BB278" s="27"/>
      <c r="BC278" s="27"/>
      <c r="BD278" s="27"/>
      <c r="BE278" s="27"/>
      <c r="BF278" s="27"/>
      <c r="BG278" s="27"/>
      <c r="BH278" s="27"/>
      <c r="BI278" s="27"/>
      <c r="BJ278" s="27"/>
      <c r="BK278" s="27"/>
      <c r="BL278" s="27"/>
      <c r="BM278" s="27"/>
      <c r="BN278" s="27"/>
      <c r="BO278" s="27"/>
      <c r="BP278" s="27"/>
      <c r="BQ278" s="27"/>
      <c r="BR278" s="27"/>
      <c r="BS278" s="27"/>
      <c r="BT278" s="27"/>
    </row>
    <row r="279" spans="1:72" ht="14.25" customHeight="1" x14ac:dyDescent="0.2">
      <c r="A279" s="5"/>
      <c r="B279" s="4">
        <v>2</v>
      </c>
      <c r="C279" s="4" t="s">
        <v>7661</v>
      </c>
      <c r="D279" s="4">
        <v>38326</v>
      </c>
      <c r="E279" s="4">
        <v>2819</v>
      </c>
      <c r="F279" s="27" t="s">
        <v>1227</v>
      </c>
      <c r="G279" s="19" t="s">
        <v>1228</v>
      </c>
      <c r="H279" s="4" t="s">
        <v>1229</v>
      </c>
      <c r="I279" s="4" t="s">
        <v>641</v>
      </c>
      <c r="J279" s="4" t="s">
        <v>755</v>
      </c>
      <c r="K279" s="4">
        <v>1</v>
      </c>
      <c r="L279" s="4">
        <v>3562</v>
      </c>
      <c r="M279" s="9">
        <v>51.95778</v>
      </c>
      <c r="N279" s="9">
        <v>-118.56222</v>
      </c>
      <c r="O279" s="9" t="s">
        <v>170</v>
      </c>
      <c r="P279" s="9">
        <v>38326</v>
      </c>
      <c r="Q279" s="20">
        <v>1</v>
      </c>
      <c r="R279" s="9" t="s">
        <v>1227</v>
      </c>
      <c r="S279" s="11" t="s">
        <v>1230</v>
      </c>
      <c r="T279" s="9" t="s">
        <v>644</v>
      </c>
      <c r="U279" s="27">
        <v>565</v>
      </c>
      <c r="V279" s="27"/>
      <c r="W279" s="27"/>
      <c r="X279" s="27"/>
      <c r="Y279" s="27"/>
      <c r="Z279" s="27"/>
      <c r="AA279" s="27" t="s">
        <v>1231</v>
      </c>
      <c r="AB279" s="27"/>
      <c r="AC279" s="31"/>
      <c r="AD279" s="27"/>
      <c r="AE279" s="27"/>
      <c r="AF279" s="27"/>
      <c r="AG279" s="27"/>
      <c r="AH279" s="27"/>
      <c r="AI279" s="27"/>
      <c r="AJ279" s="27"/>
      <c r="AK279" s="27"/>
      <c r="AL279" s="27"/>
      <c r="AM279" s="27"/>
      <c r="AN279" s="27"/>
      <c r="AO279" s="27"/>
      <c r="AP279" s="27"/>
      <c r="AQ279" s="27"/>
      <c r="AR279" s="27"/>
      <c r="AS279" s="27"/>
      <c r="AT279" s="27"/>
      <c r="AU279" s="27"/>
      <c r="AV279" s="27"/>
      <c r="AW279" s="27"/>
      <c r="AX279" s="27"/>
      <c r="AY279" s="27"/>
      <c r="AZ279" s="27"/>
      <c r="BA279" s="27"/>
      <c r="BB279" s="27"/>
      <c r="BC279" s="27"/>
      <c r="BD279" s="27"/>
      <c r="BE279" s="27"/>
      <c r="BF279" s="27"/>
      <c r="BG279" s="27"/>
      <c r="BH279" s="27"/>
      <c r="BI279" s="27"/>
      <c r="BJ279" s="27"/>
      <c r="BK279" s="27"/>
      <c r="BL279" s="27"/>
      <c r="BM279" s="27"/>
      <c r="BN279" s="27"/>
      <c r="BO279" s="27"/>
      <c r="BP279" s="27"/>
      <c r="BQ279" s="27"/>
      <c r="BR279" s="27"/>
      <c r="BS279" s="27"/>
      <c r="BT279" s="27"/>
    </row>
    <row r="280" spans="1:72" ht="14.25" customHeight="1" x14ac:dyDescent="0.2">
      <c r="A280" s="5"/>
      <c r="B280" s="4">
        <v>2</v>
      </c>
      <c r="C280" s="4" t="s">
        <v>7661</v>
      </c>
      <c r="D280" s="4">
        <v>38327</v>
      </c>
      <c r="E280" s="4">
        <v>11026</v>
      </c>
      <c r="F280" s="4" t="s">
        <v>1232</v>
      </c>
      <c r="G280" s="19" t="s">
        <v>1233</v>
      </c>
      <c r="H280" s="4" t="s">
        <v>891</v>
      </c>
      <c r="I280" s="4" t="s">
        <v>49</v>
      </c>
      <c r="J280" s="4" t="s">
        <v>1234</v>
      </c>
      <c r="K280" s="4">
        <v>1</v>
      </c>
      <c r="L280" s="4">
        <v>13194</v>
      </c>
      <c r="M280" s="9">
        <v>52.053069999999998</v>
      </c>
      <c r="N280" s="9">
        <v>-118.58543</v>
      </c>
      <c r="O280" s="9" t="s">
        <v>170</v>
      </c>
      <c r="P280" s="9">
        <v>38327</v>
      </c>
      <c r="Q280" s="20">
        <v>1</v>
      </c>
      <c r="R280" s="9" t="s">
        <v>1232</v>
      </c>
      <c r="S280" s="11" t="s">
        <v>1235</v>
      </c>
      <c r="T280" s="9" t="s">
        <v>644</v>
      </c>
      <c r="U280" s="9">
        <v>570</v>
      </c>
      <c r="Z280" s="9" t="s">
        <v>645</v>
      </c>
      <c r="AA280" s="9" t="s">
        <v>1236</v>
      </c>
      <c r="AB280" s="9"/>
      <c r="AC280" s="21"/>
      <c r="AD280" s="9"/>
      <c r="AE280" s="9"/>
      <c r="AF280" s="9"/>
      <c r="AG280" s="9"/>
      <c r="AH280" s="9"/>
      <c r="AI280" s="9"/>
    </row>
    <row r="281" spans="1:72" ht="14.25" customHeight="1" x14ac:dyDescent="0.2">
      <c r="A281" s="5"/>
      <c r="B281" s="4">
        <v>2</v>
      </c>
      <c r="C281" s="4" t="s">
        <v>7661</v>
      </c>
      <c r="D281" s="4">
        <v>38424</v>
      </c>
      <c r="E281" s="4">
        <v>2821</v>
      </c>
      <c r="F281" s="4" t="s">
        <v>1237</v>
      </c>
      <c r="G281" s="19" t="s">
        <v>1238</v>
      </c>
      <c r="H281" s="4" t="s">
        <v>1239</v>
      </c>
      <c r="I281" s="4" t="s">
        <v>641</v>
      </c>
      <c r="J281" s="4" t="s">
        <v>1181</v>
      </c>
      <c r="K281" s="4">
        <v>1</v>
      </c>
      <c r="L281" s="4">
        <v>3564</v>
      </c>
      <c r="M281" s="9">
        <v>50.708060000000003</v>
      </c>
      <c r="N281" s="9">
        <v>-117.755</v>
      </c>
      <c r="O281" s="9" t="s">
        <v>170</v>
      </c>
      <c r="P281" s="9">
        <v>38424</v>
      </c>
      <c r="Q281" s="20">
        <v>5</v>
      </c>
      <c r="R281" s="9" t="s">
        <v>1237</v>
      </c>
      <c r="S281" s="11" t="s">
        <v>1240</v>
      </c>
      <c r="T281" s="9" t="s">
        <v>644</v>
      </c>
      <c r="U281" s="9">
        <v>1570</v>
      </c>
      <c r="Z281" s="9"/>
      <c r="AA281" s="9" t="s">
        <v>1241</v>
      </c>
      <c r="AB281" s="9"/>
      <c r="AC281" s="9"/>
      <c r="AD281" s="9"/>
      <c r="AE281" s="9"/>
      <c r="AF281" s="9"/>
      <c r="AG281" s="9"/>
      <c r="AH281" s="9"/>
      <c r="AI281" s="9"/>
    </row>
    <row r="282" spans="1:72" ht="14.25" customHeight="1" x14ac:dyDescent="0.2">
      <c r="A282" s="5" t="s">
        <v>328</v>
      </c>
      <c r="B282" s="4">
        <v>2</v>
      </c>
      <c r="C282" s="10" t="s">
        <v>7662</v>
      </c>
      <c r="D282" s="10" t="s">
        <v>1242</v>
      </c>
      <c r="F282" s="33" t="s">
        <v>1243</v>
      </c>
      <c r="G282" s="10" t="s">
        <v>1244</v>
      </c>
      <c r="M282" s="27">
        <v>49.672499999999999</v>
      </c>
      <c r="N282" s="27">
        <v>-120.60468</v>
      </c>
      <c r="O282" s="27" t="s">
        <v>142</v>
      </c>
      <c r="P282" s="27">
        <v>24094</v>
      </c>
      <c r="Q282" s="29">
        <v>2</v>
      </c>
      <c r="R282" s="27" t="s">
        <v>1245</v>
      </c>
      <c r="S282" s="30" t="s">
        <v>1246</v>
      </c>
      <c r="T282" s="27" t="s">
        <v>644</v>
      </c>
      <c r="U282" s="27">
        <v>877</v>
      </c>
      <c r="V282" s="27"/>
      <c r="W282" s="27"/>
      <c r="X282" s="27"/>
      <c r="Y282" s="27"/>
      <c r="Z282" s="27"/>
      <c r="AA282" s="27" t="s">
        <v>1247</v>
      </c>
      <c r="AB282" s="27"/>
      <c r="AC282" s="27"/>
      <c r="AD282" s="27"/>
      <c r="AE282" s="27"/>
      <c r="AF282" s="27"/>
      <c r="AG282" s="27"/>
      <c r="AH282" s="27"/>
      <c r="AI282" s="27"/>
      <c r="AJ282" s="27"/>
      <c r="AK282" s="27"/>
      <c r="AL282" s="27"/>
      <c r="AM282" s="27"/>
      <c r="AN282" s="27"/>
      <c r="AO282" s="27"/>
      <c r="AP282" s="27"/>
      <c r="AQ282" s="27"/>
      <c r="AR282" s="27"/>
      <c r="AS282" s="27"/>
      <c r="AT282" s="27"/>
      <c r="AU282" s="27"/>
      <c r="AV282" s="27"/>
      <c r="AW282" s="27"/>
      <c r="AX282" s="27"/>
      <c r="AY282" s="27"/>
      <c r="AZ282" s="27"/>
      <c r="BA282" s="27"/>
      <c r="BB282" s="27"/>
      <c r="BC282" s="27"/>
      <c r="BD282" s="27"/>
      <c r="BE282" s="27"/>
      <c r="BF282" s="27"/>
      <c r="BG282" s="27"/>
      <c r="BH282" s="27"/>
      <c r="BI282" s="27"/>
      <c r="BJ282" s="27"/>
      <c r="BK282" s="27"/>
      <c r="BL282" s="27"/>
      <c r="BM282" s="27"/>
      <c r="BN282" s="27"/>
      <c r="BO282" s="27"/>
      <c r="BP282" s="27"/>
      <c r="BQ282" s="27"/>
      <c r="BR282" s="27"/>
      <c r="BS282" s="27"/>
      <c r="BT282" s="27"/>
    </row>
    <row r="283" spans="1:72" ht="14.25" customHeight="1" x14ac:dyDescent="0.2">
      <c r="A283" s="5" t="s">
        <v>88</v>
      </c>
      <c r="B283" s="4">
        <v>2</v>
      </c>
      <c r="C283" s="4" t="s">
        <v>7661</v>
      </c>
      <c r="D283" s="4">
        <v>38491</v>
      </c>
      <c r="E283" s="4">
        <v>12989</v>
      </c>
      <c r="F283" s="4" t="s">
        <v>1248</v>
      </c>
      <c r="G283" s="8" t="s">
        <v>1249</v>
      </c>
      <c r="H283" s="4" t="s">
        <v>1149</v>
      </c>
      <c r="I283" s="4" t="s">
        <v>49</v>
      </c>
      <c r="J283" s="4" t="s">
        <v>793</v>
      </c>
      <c r="K283" s="4">
        <v>1</v>
      </c>
      <c r="L283" s="4">
        <v>14921</v>
      </c>
      <c r="M283" s="4">
        <v>50.80856</v>
      </c>
      <c r="N283" s="4">
        <v>-118.06795</v>
      </c>
      <c r="O283" s="4" t="s">
        <v>170</v>
      </c>
      <c r="P283" s="4">
        <v>38491</v>
      </c>
      <c r="Q283" s="4">
        <v>1</v>
      </c>
      <c r="R283" s="4" t="s">
        <v>1250</v>
      </c>
      <c r="S283" s="4" t="s">
        <v>1248</v>
      </c>
      <c r="T283" s="4" t="s">
        <v>644</v>
      </c>
      <c r="U283" s="8">
        <v>700</v>
      </c>
      <c r="AA283" s="4" t="s">
        <v>1251</v>
      </c>
    </row>
    <row r="284" spans="1:72" ht="14.25" customHeight="1" x14ac:dyDescent="0.2">
      <c r="A284" s="5" t="s">
        <v>328</v>
      </c>
      <c r="B284" s="4">
        <v>2</v>
      </c>
      <c r="C284" s="10" t="s">
        <v>7662</v>
      </c>
      <c r="D284" s="10" t="s">
        <v>1252</v>
      </c>
      <c r="F284" s="10" t="s">
        <v>1253</v>
      </c>
      <c r="G284" s="10" t="s">
        <v>1254</v>
      </c>
      <c r="M284" s="9">
        <v>50.701949999999997</v>
      </c>
      <c r="N284" s="9">
        <v>-117.74272999999999</v>
      </c>
      <c r="O284" s="9" t="s">
        <v>170</v>
      </c>
      <c r="P284" s="9">
        <v>38495</v>
      </c>
      <c r="Q284" s="20">
        <v>1</v>
      </c>
      <c r="R284" s="9" t="s">
        <v>1255</v>
      </c>
      <c r="S284" s="11" t="s">
        <v>1256</v>
      </c>
      <c r="T284" s="9" t="s">
        <v>644</v>
      </c>
      <c r="U284" s="9">
        <v>884</v>
      </c>
      <c r="Z284" s="9"/>
      <c r="AA284" s="9" t="s">
        <v>1257</v>
      </c>
      <c r="AB284" s="9"/>
      <c r="AC284" s="9"/>
      <c r="AD284" s="9"/>
      <c r="AE284" s="9"/>
      <c r="AF284" s="9"/>
      <c r="AG284" s="9"/>
      <c r="AH284" s="9"/>
      <c r="AI284" s="9"/>
    </row>
    <row r="285" spans="1:72" ht="14.25" customHeight="1" x14ac:dyDescent="0.2">
      <c r="A285" s="5"/>
      <c r="B285" s="4">
        <v>2</v>
      </c>
      <c r="C285" s="4" t="s">
        <v>7661</v>
      </c>
      <c r="D285" s="4">
        <v>39121</v>
      </c>
      <c r="E285" s="4">
        <v>2825</v>
      </c>
      <c r="F285" s="4" t="s">
        <v>1258</v>
      </c>
      <c r="G285" s="19" t="s">
        <v>1259</v>
      </c>
      <c r="H285" s="4" t="s">
        <v>1260</v>
      </c>
      <c r="I285" s="4" t="s">
        <v>641</v>
      </c>
      <c r="J285" s="4" t="s">
        <v>1261</v>
      </c>
      <c r="K285" s="4">
        <v>1</v>
      </c>
      <c r="L285" s="4">
        <v>3568</v>
      </c>
      <c r="M285" s="9">
        <v>49.058059999999998</v>
      </c>
      <c r="N285" s="9">
        <v>-117.04</v>
      </c>
      <c r="O285" s="9" t="s">
        <v>170</v>
      </c>
      <c r="P285" s="9">
        <v>39121</v>
      </c>
      <c r="Q285" s="20">
        <v>6</v>
      </c>
      <c r="R285" s="9" t="s">
        <v>1258</v>
      </c>
      <c r="S285" s="11" t="s">
        <v>1262</v>
      </c>
      <c r="T285" s="9" t="s">
        <v>644</v>
      </c>
      <c r="U285" s="9">
        <v>1780</v>
      </c>
      <c r="Z285" s="9" t="s">
        <v>645</v>
      </c>
      <c r="AA285" s="9" t="s">
        <v>1263</v>
      </c>
      <c r="AB285" s="9"/>
      <c r="AC285" s="21"/>
      <c r="AD285" s="9"/>
      <c r="AE285" s="9"/>
      <c r="AF285" s="9"/>
      <c r="AG285" s="9"/>
      <c r="AH285" s="9"/>
      <c r="AI285" s="9"/>
    </row>
    <row r="286" spans="1:72" ht="14.25" customHeight="1" x14ac:dyDescent="0.2">
      <c r="A286" s="5"/>
      <c r="B286" s="4">
        <v>2</v>
      </c>
      <c r="C286" s="4" t="s">
        <v>7661</v>
      </c>
      <c r="D286" s="4">
        <v>39123</v>
      </c>
      <c r="E286" s="4">
        <v>2826</v>
      </c>
      <c r="F286" s="4" t="s">
        <v>1264</v>
      </c>
      <c r="G286" s="19" t="s">
        <v>1265</v>
      </c>
      <c r="H286" s="4" t="s">
        <v>1266</v>
      </c>
      <c r="I286" s="4" t="s">
        <v>641</v>
      </c>
      <c r="J286" s="4" t="s">
        <v>1267</v>
      </c>
      <c r="K286" s="4">
        <v>1</v>
      </c>
      <c r="L286" s="4">
        <v>3569</v>
      </c>
      <c r="M286" s="9">
        <v>49.07161</v>
      </c>
      <c r="N286" s="9">
        <v>-117.08389</v>
      </c>
      <c r="O286" s="9" t="s">
        <v>170</v>
      </c>
      <c r="P286" s="9">
        <v>39123</v>
      </c>
      <c r="Q286" s="20">
        <v>8</v>
      </c>
      <c r="R286" s="9" t="s">
        <v>1264</v>
      </c>
      <c r="S286" s="11" t="s">
        <v>1268</v>
      </c>
      <c r="T286" s="9" t="s">
        <v>644</v>
      </c>
      <c r="U286" s="9">
        <v>2140</v>
      </c>
      <c r="Z286" s="9"/>
      <c r="AA286" s="9" t="s">
        <v>1269</v>
      </c>
      <c r="AB286" s="9"/>
      <c r="AC286" s="9"/>
      <c r="AD286" s="9"/>
      <c r="AE286" s="9"/>
      <c r="AF286" s="9"/>
      <c r="AG286" s="9"/>
      <c r="AH286" s="9"/>
      <c r="AI286" s="9"/>
    </row>
    <row r="287" spans="1:72" ht="14.25" customHeight="1" x14ac:dyDescent="0.2">
      <c r="A287" s="5"/>
      <c r="B287" s="4">
        <v>2</v>
      </c>
      <c r="C287" s="4" t="s">
        <v>7661</v>
      </c>
      <c r="D287" s="4">
        <v>39124</v>
      </c>
      <c r="E287" s="4">
        <v>12483</v>
      </c>
      <c r="F287" s="4" t="s">
        <v>1270</v>
      </c>
      <c r="G287" s="19" t="s">
        <v>1271</v>
      </c>
      <c r="H287" s="4" t="s">
        <v>709</v>
      </c>
      <c r="I287" s="4" t="s">
        <v>49</v>
      </c>
      <c r="J287" s="4" t="s">
        <v>1023</v>
      </c>
      <c r="K287" s="4">
        <v>1</v>
      </c>
      <c r="L287" s="4">
        <v>14505</v>
      </c>
      <c r="M287" s="9">
        <v>49.076439999999998</v>
      </c>
      <c r="N287" s="9">
        <v>-117.00218</v>
      </c>
      <c r="O287" s="9" t="s">
        <v>170</v>
      </c>
      <c r="P287" s="9">
        <v>39124</v>
      </c>
      <c r="Q287" s="20">
        <v>7</v>
      </c>
      <c r="R287" s="9" t="s">
        <v>1270</v>
      </c>
      <c r="S287" s="11" t="s">
        <v>1272</v>
      </c>
      <c r="T287" s="9" t="s">
        <v>644</v>
      </c>
      <c r="U287" s="9">
        <v>2054</v>
      </c>
      <c r="Z287" s="9"/>
      <c r="AA287" s="9" t="s">
        <v>1273</v>
      </c>
      <c r="AB287" s="9"/>
      <c r="AC287" s="9"/>
      <c r="AD287" s="9"/>
      <c r="AE287" s="9"/>
      <c r="AF287" s="9"/>
      <c r="AG287" s="9"/>
      <c r="AH287" s="9"/>
      <c r="AI287" s="9"/>
    </row>
    <row r="288" spans="1:72" ht="14.25" customHeight="1" x14ac:dyDescent="0.2">
      <c r="A288" s="5"/>
      <c r="B288" s="4">
        <v>2</v>
      </c>
      <c r="C288" s="4" t="s">
        <v>7661</v>
      </c>
      <c r="D288" s="4">
        <v>39129</v>
      </c>
      <c r="E288" s="4">
        <v>2827</v>
      </c>
      <c r="F288" s="4" t="s">
        <v>1274</v>
      </c>
      <c r="G288" s="22" t="s">
        <v>1275</v>
      </c>
      <c r="H288" s="4" t="s">
        <v>1276</v>
      </c>
      <c r="I288" s="4" t="s">
        <v>641</v>
      </c>
      <c r="J288" s="4" t="s">
        <v>1277</v>
      </c>
      <c r="K288" s="4">
        <v>1</v>
      </c>
      <c r="L288" s="4">
        <v>3570</v>
      </c>
      <c r="M288" s="9"/>
      <c r="N288" s="9"/>
      <c r="O288" s="9"/>
      <c r="P288" s="9"/>
      <c r="Q288" s="20"/>
      <c r="R288" s="9"/>
      <c r="S288" s="11"/>
      <c r="T288" s="9"/>
      <c r="U288" s="9"/>
      <c r="Z288" s="9"/>
      <c r="AA288" s="9"/>
      <c r="AB288" s="9"/>
      <c r="AC288" s="9"/>
      <c r="AD288" s="9"/>
      <c r="AE288" s="9"/>
      <c r="AF288" s="9"/>
      <c r="AG288" s="9"/>
      <c r="AH288" s="9"/>
      <c r="AI288" s="9"/>
    </row>
    <row r="289" spans="1:72" ht="14.25" customHeight="1" x14ac:dyDescent="0.2">
      <c r="A289" s="5" t="s">
        <v>88</v>
      </c>
      <c r="B289" s="4">
        <v>2</v>
      </c>
      <c r="C289" s="4" t="s">
        <v>7661</v>
      </c>
      <c r="D289" s="4">
        <v>39291</v>
      </c>
      <c r="E289" s="4">
        <v>12990</v>
      </c>
      <c r="F289" s="4" t="s">
        <v>1278</v>
      </c>
      <c r="G289" s="8" t="s">
        <v>1279</v>
      </c>
      <c r="H289" s="4" t="s">
        <v>1149</v>
      </c>
      <c r="I289" s="4" t="s">
        <v>49</v>
      </c>
      <c r="J289" s="4" t="s">
        <v>793</v>
      </c>
      <c r="K289" s="4">
        <v>1</v>
      </c>
      <c r="L289" s="4">
        <v>14922</v>
      </c>
      <c r="M289" s="27">
        <v>49.10933</v>
      </c>
      <c r="N289" s="27">
        <v>-116.16947</v>
      </c>
      <c r="O289" s="27" t="s">
        <v>170</v>
      </c>
      <c r="P289" s="27">
        <v>39291</v>
      </c>
      <c r="Q289" s="29">
        <v>1</v>
      </c>
      <c r="R289" s="27" t="s">
        <v>1280</v>
      </c>
      <c r="S289" s="30" t="s">
        <v>1278</v>
      </c>
      <c r="T289" s="27" t="s">
        <v>644</v>
      </c>
      <c r="U289" s="27">
        <v>893</v>
      </c>
      <c r="V289" s="27"/>
      <c r="W289" s="27"/>
      <c r="X289" s="27"/>
      <c r="Y289" s="27"/>
      <c r="Z289" s="27"/>
      <c r="AA289" s="27" t="s">
        <v>1281</v>
      </c>
      <c r="AB289" s="27"/>
      <c r="AC289" s="27"/>
      <c r="AD289" s="27"/>
      <c r="AE289" s="27"/>
      <c r="AF289" s="27"/>
      <c r="AG289" s="27"/>
      <c r="AH289" s="27"/>
      <c r="AI289" s="27"/>
      <c r="AJ289" s="27"/>
      <c r="AK289" s="27"/>
      <c r="AL289" s="27"/>
      <c r="AM289" s="27"/>
      <c r="AN289" s="27"/>
      <c r="AO289" s="27"/>
      <c r="AP289" s="27"/>
      <c r="AQ289" s="27"/>
      <c r="AR289" s="27"/>
      <c r="AS289" s="27"/>
      <c r="AT289" s="27"/>
      <c r="AU289" s="27"/>
      <c r="AV289" s="27"/>
      <c r="AW289" s="27"/>
      <c r="AX289" s="27"/>
      <c r="AY289" s="27"/>
      <c r="AZ289" s="27"/>
      <c r="BA289" s="27"/>
      <c r="BB289" s="27"/>
      <c r="BC289" s="27"/>
      <c r="BD289" s="27"/>
      <c r="BE289" s="27"/>
      <c r="BF289" s="27"/>
      <c r="BG289" s="27"/>
      <c r="BH289" s="27"/>
      <c r="BI289" s="27"/>
      <c r="BJ289" s="27"/>
      <c r="BK289" s="27"/>
      <c r="BL289" s="27"/>
      <c r="BM289" s="27"/>
      <c r="BN289" s="27"/>
      <c r="BO289" s="27"/>
      <c r="BP289" s="27"/>
      <c r="BQ289" s="27"/>
      <c r="BR289" s="27"/>
      <c r="BS289" s="27"/>
      <c r="BT289" s="27"/>
    </row>
    <row r="290" spans="1:72" ht="14.25" customHeight="1" x14ac:dyDescent="0.2">
      <c r="A290" s="5" t="s">
        <v>88</v>
      </c>
      <c r="B290" s="4">
        <v>2</v>
      </c>
      <c r="C290" s="4" t="s">
        <v>7661</v>
      </c>
      <c r="D290" s="4">
        <v>41091</v>
      </c>
      <c r="E290" s="4">
        <v>2834</v>
      </c>
      <c r="F290" s="4" t="s">
        <v>1282</v>
      </c>
      <c r="G290" s="8" t="s">
        <v>1283</v>
      </c>
      <c r="H290" s="4" t="s">
        <v>1284</v>
      </c>
      <c r="I290" s="4" t="s">
        <v>641</v>
      </c>
      <c r="J290" s="4" t="s">
        <v>642</v>
      </c>
      <c r="K290" s="4">
        <v>1</v>
      </c>
      <c r="L290" s="4">
        <v>3577</v>
      </c>
      <c r="M290" s="8">
        <v>53.439880000000002</v>
      </c>
      <c r="N290" s="8">
        <v>-120.50709000000001</v>
      </c>
      <c r="O290" s="4" t="s">
        <v>170</v>
      </c>
      <c r="P290" s="4">
        <v>41091</v>
      </c>
      <c r="Q290" s="4">
        <v>1</v>
      </c>
      <c r="R290" s="4" t="s">
        <v>1282</v>
      </c>
      <c r="S290" s="4" t="s">
        <v>1285</v>
      </c>
      <c r="T290" s="4" t="s">
        <v>644</v>
      </c>
      <c r="U290" s="8">
        <v>895</v>
      </c>
      <c r="AA290" s="4" t="s">
        <v>1286</v>
      </c>
    </row>
    <row r="291" spans="1:72" ht="14.25" customHeight="1" x14ac:dyDescent="0.2">
      <c r="A291" s="5"/>
      <c r="B291" s="4">
        <v>2</v>
      </c>
      <c r="C291" s="4" t="s">
        <v>7661</v>
      </c>
      <c r="D291" s="4">
        <v>41092</v>
      </c>
      <c r="E291" s="4">
        <v>2835</v>
      </c>
      <c r="F291" s="4" t="s">
        <v>1287</v>
      </c>
      <c r="G291" s="19" t="s">
        <v>1288</v>
      </c>
      <c r="H291" s="4" t="s">
        <v>1289</v>
      </c>
      <c r="I291" s="4" t="s">
        <v>641</v>
      </c>
      <c r="J291" s="4" t="s">
        <v>642</v>
      </c>
      <c r="K291" s="4">
        <v>1</v>
      </c>
      <c r="L291" s="4">
        <v>3578</v>
      </c>
      <c r="M291" s="27">
        <v>55.501109999999997</v>
      </c>
      <c r="N291" s="27">
        <v>-122.65694000000001</v>
      </c>
      <c r="O291" s="27" t="s">
        <v>1290</v>
      </c>
      <c r="P291" s="27">
        <v>41092</v>
      </c>
      <c r="Q291" s="29">
        <v>1</v>
      </c>
      <c r="R291" s="27" t="s">
        <v>1287</v>
      </c>
      <c r="S291" s="30" t="s">
        <v>1291</v>
      </c>
      <c r="T291" s="9" t="s">
        <v>644</v>
      </c>
      <c r="U291" s="27">
        <v>730</v>
      </c>
      <c r="V291" s="27"/>
      <c r="W291" s="27"/>
      <c r="X291" s="27"/>
      <c r="Y291" s="27"/>
      <c r="Z291" s="27" t="s">
        <v>645</v>
      </c>
      <c r="AA291" s="27" t="s">
        <v>1292</v>
      </c>
      <c r="AB291" s="27"/>
      <c r="AC291" s="31"/>
      <c r="AD291" s="27"/>
      <c r="AE291" s="27"/>
      <c r="AF291" s="27"/>
      <c r="AG291" s="27"/>
      <c r="AH291" s="27"/>
      <c r="AI291" s="27"/>
      <c r="AJ291" s="27"/>
      <c r="AK291" s="27"/>
      <c r="AL291" s="27"/>
      <c r="AM291" s="27"/>
      <c r="AN291" s="27"/>
      <c r="AO291" s="27"/>
      <c r="AP291" s="27"/>
      <c r="AQ291" s="27"/>
      <c r="AR291" s="27"/>
      <c r="AS291" s="27"/>
      <c r="AT291" s="27"/>
      <c r="AU291" s="27"/>
      <c r="AV291" s="27"/>
      <c r="AW291" s="27"/>
      <c r="AX291" s="27"/>
      <c r="AY291" s="27"/>
      <c r="AZ291" s="27"/>
      <c r="BA291" s="27"/>
      <c r="BB291" s="27"/>
      <c r="BC291" s="27"/>
      <c r="BD291" s="27"/>
      <c r="BE291" s="27"/>
      <c r="BF291" s="27"/>
      <c r="BG291" s="27"/>
      <c r="BH291" s="27"/>
      <c r="BI291" s="27"/>
      <c r="BJ291" s="27"/>
      <c r="BK291" s="27"/>
      <c r="BL291" s="27"/>
      <c r="BM291" s="27"/>
      <c r="BN291" s="27"/>
      <c r="BO291" s="27"/>
      <c r="BP291" s="27"/>
      <c r="BQ291" s="27"/>
      <c r="BR291" s="27"/>
      <c r="BS291" s="27"/>
      <c r="BT291" s="27"/>
    </row>
    <row r="292" spans="1:72" ht="14.25" customHeight="1" x14ac:dyDescent="0.2">
      <c r="A292" s="5"/>
      <c r="B292" s="4">
        <v>2</v>
      </c>
      <c r="C292" s="4" t="s">
        <v>7661</v>
      </c>
      <c r="D292" s="4">
        <v>41093</v>
      </c>
      <c r="E292" s="4">
        <v>2836</v>
      </c>
      <c r="F292" s="4" t="s">
        <v>1293</v>
      </c>
      <c r="G292" s="19" t="s">
        <v>1294</v>
      </c>
      <c r="H292" s="4" t="s">
        <v>1295</v>
      </c>
      <c r="I292" s="4" t="s">
        <v>641</v>
      </c>
      <c r="J292" s="4" t="s">
        <v>642</v>
      </c>
      <c r="K292" s="4">
        <v>1</v>
      </c>
      <c r="L292" s="4">
        <v>3579</v>
      </c>
      <c r="M292" s="9">
        <v>54.903889999999997</v>
      </c>
      <c r="N292" s="9">
        <v>-122.92749999999999</v>
      </c>
      <c r="O292" s="9" t="s">
        <v>1290</v>
      </c>
      <c r="P292" s="9">
        <v>41093</v>
      </c>
      <c r="Q292" s="20">
        <v>1</v>
      </c>
      <c r="R292" s="9" t="s">
        <v>1293</v>
      </c>
      <c r="S292" s="11" t="s">
        <v>1296</v>
      </c>
      <c r="T292" s="9" t="s">
        <v>644</v>
      </c>
      <c r="U292" s="9">
        <v>710</v>
      </c>
      <c r="Z292" s="9"/>
      <c r="AA292" s="9" t="s">
        <v>1297</v>
      </c>
      <c r="AB292" s="9"/>
      <c r="AC292" s="21"/>
      <c r="AD292" s="9"/>
      <c r="AE292" s="9"/>
      <c r="AF292" s="9"/>
      <c r="AG292" s="9"/>
      <c r="AH292" s="9"/>
      <c r="AI292" s="9"/>
    </row>
    <row r="293" spans="1:72" ht="14.25" customHeight="1" x14ac:dyDescent="0.2">
      <c r="A293" s="5"/>
      <c r="B293" s="4">
        <v>2</v>
      </c>
      <c r="C293" s="4" t="s">
        <v>7661</v>
      </c>
      <c r="D293" s="4">
        <v>41094</v>
      </c>
      <c r="E293" s="4">
        <v>2837</v>
      </c>
      <c r="F293" s="27" t="s">
        <v>1298</v>
      </c>
      <c r="G293" s="19" t="s">
        <v>1299</v>
      </c>
      <c r="H293" s="4" t="s">
        <v>1300</v>
      </c>
      <c r="I293" s="4" t="s">
        <v>641</v>
      </c>
      <c r="J293" s="4" t="s">
        <v>642</v>
      </c>
      <c r="K293" s="4">
        <v>1</v>
      </c>
      <c r="L293" s="4">
        <v>3580</v>
      </c>
      <c r="M293" s="27">
        <v>53.831389999999999</v>
      </c>
      <c r="N293" s="27">
        <v>-123.13222</v>
      </c>
      <c r="O293" s="27" t="s">
        <v>1290</v>
      </c>
      <c r="P293" s="27">
        <v>41094</v>
      </c>
      <c r="Q293" s="29">
        <v>1</v>
      </c>
      <c r="R293" s="27" t="s">
        <v>1301</v>
      </c>
      <c r="S293" s="30" t="s">
        <v>1302</v>
      </c>
      <c r="T293" s="27" t="s">
        <v>644</v>
      </c>
      <c r="U293" s="27">
        <v>715</v>
      </c>
      <c r="V293" s="27"/>
      <c r="W293" s="27"/>
      <c r="X293" s="27"/>
      <c r="Y293" s="27"/>
      <c r="Z293" s="27"/>
      <c r="AA293" s="27" t="s">
        <v>1303</v>
      </c>
      <c r="AB293" s="27"/>
      <c r="AC293" s="27"/>
      <c r="AD293" s="27"/>
      <c r="AE293" s="27"/>
      <c r="AF293" s="27"/>
      <c r="AG293" s="27"/>
      <c r="AH293" s="27"/>
      <c r="AI293" s="27"/>
      <c r="AJ293" s="27"/>
      <c r="AK293" s="27"/>
      <c r="AL293" s="27"/>
      <c r="AM293" s="27"/>
      <c r="AN293" s="27"/>
      <c r="AO293" s="27"/>
      <c r="AP293" s="27"/>
      <c r="AQ293" s="27"/>
      <c r="AR293" s="27"/>
      <c r="AS293" s="27"/>
      <c r="AT293" s="27"/>
      <c r="AU293" s="27"/>
      <c r="AV293" s="27"/>
      <c r="AW293" s="27"/>
      <c r="AX293" s="27"/>
      <c r="AY293" s="27"/>
      <c r="AZ293" s="27"/>
      <c r="BA293" s="27"/>
      <c r="BB293" s="27"/>
      <c r="BC293" s="27"/>
      <c r="BD293" s="27"/>
      <c r="BE293" s="27"/>
      <c r="BF293" s="27"/>
      <c r="BG293" s="27"/>
      <c r="BH293" s="27"/>
      <c r="BI293" s="27"/>
      <c r="BJ293" s="27"/>
      <c r="BK293" s="27"/>
      <c r="BL293" s="27"/>
      <c r="BM293" s="27"/>
      <c r="BN293" s="27"/>
      <c r="BO293" s="27"/>
      <c r="BP293" s="27"/>
      <c r="BQ293" s="27"/>
      <c r="BR293" s="27"/>
      <c r="BS293" s="27"/>
      <c r="BT293" s="27"/>
    </row>
    <row r="294" spans="1:72" ht="14.25" customHeight="1" x14ac:dyDescent="0.2">
      <c r="A294" s="5"/>
      <c r="B294" s="4">
        <v>2</v>
      </c>
      <c r="C294" s="4" t="s">
        <v>7661</v>
      </c>
      <c r="D294" s="4">
        <v>41095</v>
      </c>
      <c r="E294" s="4">
        <v>12484</v>
      </c>
      <c r="F294" s="4" t="s">
        <v>1304</v>
      </c>
      <c r="G294" s="19" t="s">
        <v>1305</v>
      </c>
      <c r="H294" s="4" t="s">
        <v>709</v>
      </c>
      <c r="I294" s="4" t="s">
        <v>49</v>
      </c>
      <c r="J294" s="4" t="s">
        <v>799</v>
      </c>
      <c r="K294" s="4">
        <v>1</v>
      </c>
      <c r="L294" s="4">
        <v>14506</v>
      </c>
      <c r="M294" s="8">
        <v>53.72531</v>
      </c>
      <c r="N294" s="8">
        <v>-121.13636</v>
      </c>
      <c r="P294" s="8">
        <v>41095</v>
      </c>
      <c r="R294" s="8" t="s">
        <v>1304</v>
      </c>
      <c r="U294" s="8">
        <v>726</v>
      </c>
      <c r="AA294" s="8" t="s">
        <v>1306</v>
      </c>
    </row>
    <row r="295" spans="1:72" ht="14.25" customHeight="1" x14ac:dyDescent="0.2">
      <c r="A295" s="5"/>
      <c r="B295" s="4">
        <v>2</v>
      </c>
      <c r="C295" s="4" t="s">
        <v>7661</v>
      </c>
      <c r="D295" s="4">
        <v>42091</v>
      </c>
      <c r="E295" s="4">
        <v>2841</v>
      </c>
      <c r="F295" s="4" t="s">
        <v>1307</v>
      </c>
      <c r="G295" s="19" t="s">
        <v>1308</v>
      </c>
      <c r="H295" s="4" t="s">
        <v>1309</v>
      </c>
      <c r="I295" s="4" t="s">
        <v>641</v>
      </c>
      <c r="J295" s="4" t="s">
        <v>642</v>
      </c>
      <c r="K295" s="4">
        <v>1</v>
      </c>
      <c r="L295" s="4">
        <v>3584</v>
      </c>
      <c r="M295" s="9">
        <v>52.930779999999999</v>
      </c>
      <c r="N295" s="9">
        <v>-122.43881</v>
      </c>
      <c r="O295" s="9" t="s">
        <v>148</v>
      </c>
      <c r="P295" s="9">
        <v>42091</v>
      </c>
      <c r="Q295" s="20">
        <v>1</v>
      </c>
      <c r="R295" s="9" t="s">
        <v>1307</v>
      </c>
      <c r="S295" s="11" t="s">
        <v>1310</v>
      </c>
      <c r="T295" s="9" t="s">
        <v>644</v>
      </c>
      <c r="U295" s="9">
        <v>659</v>
      </c>
      <c r="Z295" s="9"/>
      <c r="AA295" s="9" t="s">
        <v>1311</v>
      </c>
      <c r="AB295" s="9"/>
      <c r="AC295" s="21"/>
      <c r="AD295" s="9"/>
      <c r="AE295" s="9"/>
      <c r="AF295" s="9"/>
      <c r="AG295" s="9"/>
      <c r="AH295" s="9"/>
      <c r="AI295" s="9"/>
    </row>
    <row r="296" spans="1:72" ht="14.25" customHeight="1" x14ac:dyDescent="0.2">
      <c r="A296" s="5"/>
      <c r="B296" s="4">
        <v>2</v>
      </c>
      <c r="C296" s="4" t="s">
        <v>7661</v>
      </c>
      <c r="D296" s="4">
        <v>42092</v>
      </c>
      <c r="E296" s="4">
        <v>11027</v>
      </c>
      <c r="F296" s="4" t="s">
        <v>1312</v>
      </c>
      <c r="G296" s="19" t="s">
        <v>1313</v>
      </c>
      <c r="H296" s="4" t="s">
        <v>969</v>
      </c>
      <c r="I296" s="4" t="s">
        <v>49</v>
      </c>
      <c r="J296" s="4" t="s">
        <v>710</v>
      </c>
      <c r="K296" s="4">
        <v>1</v>
      </c>
      <c r="L296" s="4">
        <v>13195</v>
      </c>
      <c r="M296" s="9">
        <v>53.158000000000001</v>
      </c>
      <c r="N296" s="9">
        <v>-122.36442</v>
      </c>
      <c r="O296" s="9" t="s">
        <v>148</v>
      </c>
      <c r="P296" s="9">
        <v>42092</v>
      </c>
      <c r="Q296" s="20">
        <v>2</v>
      </c>
      <c r="R296" s="9" t="s">
        <v>1312</v>
      </c>
      <c r="S296" s="11" t="s">
        <v>1314</v>
      </c>
      <c r="T296" s="9" t="s">
        <v>644</v>
      </c>
      <c r="U296" s="9">
        <v>855</v>
      </c>
      <c r="Z296" s="9"/>
      <c r="AA296" s="9" t="s">
        <v>1315</v>
      </c>
      <c r="AB296" s="9"/>
      <c r="AC296" s="21"/>
      <c r="AD296" s="9"/>
      <c r="AE296" s="9"/>
      <c r="AF296" s="9"/>
      <c r="AG296" s="9"/>
      <c r="AH296" s="9"/>
      <c r="AI296" s="9"/>
    </row>
    <row r="297" spans="1:72" ht="14.25" customHeight="1" x14ac:dyDescent="0.2">
      <c r="A297" s="5"/>
      <c r="B297" s="4">
        <v>2</v>
      </c>
      <c r="C297" s="4" t="s">
        <v>7661</v>
      </c>
      <c r="D297" s="4">
        <v>42121</v>
      </c>
      <c r="E297" s="4">
        <v>2843</v>
      </c>
      <c r="F297" s="4" t="s">
        <v>1316</v>
      </c>
      <c r="G297" s="19" t="s">
        <v>1317</v>
      </c>
      <c r="H297" s="4" t="s">
        <v>1318</v>
      </c>
      <c r="I297" s="4" t="s">
        <v>641</v>
      </c>
      <c r="J297" s="4" t="s">
        <v>1319</v>
      </c>
      <c r="K297" s="4">
        <v>1</v>
      </c>
      <c r="L297" s="4">
        <v>3586</v>
      </c>
      <c r="M297" s="9">
        <v>53.156669999999998</v>
      </c>
      <c r="N297" s="9">
        <v>-121.47889000000001</v>
      </c>
      <c r="O297" s="9" t="s">
        <v>170</v>
      </c>
      <c r="P297" s="9">
        <v>42121</v>
      </c>
      <c r="Q297" s="20">
        <v>5</v>
      </c>
      <c r="R297" s="9" t="s">
        <v>1316</v>
      </c>
      <c r="S297" s="11" t="s">
        <v>1320</v>
      </c>
      <c r="T297" s="9" t="s">
        <v>644</v>
      </c>
      <c r="U297" s="9">
        <v>1675</v>
      </c>
      <c r="Z297" s="9"/>
      <c r="AA297" s="9" t="s">
        <v>1321</v>
      </c>
      <c r="AB297" s="9"/>
      <c r="AC297" s="9"/>
      <c r="AD297" s="9"/>
      <c r="AE297" s="9"/>
      <c r="AF297" s="9"/>
      <c r="AG297" s="9"/>
      <c r="AH297" s="9"/>
      <c r="AI297" s="9"/>
    </row>
    <row r="298" spans="1:72" ht="14.25" customHeight="1" x14ac:dyDescent="0.2">
      <c r="A298" s="5" t="s">
        <v>912</v>
      </c>
      <c r="B298" s="4">
        <v>2</v>
      </c>
      <c r="C298" s="4" t="s">
        <v>7661</v>
      </c>
      <c r="D298" s="4">
        <v>42122</v>
      </c>
      <c r="E298" s="4">
        <v>12485</v>
      </c>
      <c r="F298" s="27" t="s">
        <v>1322</v>
      </c>
      <c r="G298" s="8" t="s">
        <v>1323</v>
      </c>
      <c r="H298" s="4" t="s">
        <v>709</v>
      </c>
      <c r="I298" s="4" t="s">
        <v>49</v>
      </c>
      <c r="J298" s="4" t="s">
        <v>896</v>
      </c>
      <c r="K298" s="4">
        <v>1</v>
      </c>
      <c r="L298" s="4">
        <v>14507</v>
      </c>
      <c r="M298" s="27">
        <v>53.154339999999998</v>
      </c>
      <c r="N298" s="27">
        <v>-121.50458999999999</v>
      </c>
      <c r="O298" s="27" t="s">
        <v>170</v>
      </c>
      <c r="P298" s="27">
        <v>42122</v>
      </c>
      <c r="Q298" s="29">
        <v>3</v>
      </c>
      <c r="R298" s="27" t="s">
        <v>1322</v>
      </c>
      <c r="S298" s="30" t="s">
        <v>1324</v>
      </c>
      <c r="T298" s="27" t="s">
        <v>644</v>
      </c>
      <c r="U298" s="27">
        <v>1199</v>
      </c>
      <c r="V298" s="27"/>
      <c r="W298" s="27"/>
      <c r="X298" s="27"/>
      <c r="Y298" s="27"/>
      <c r="Z298" s="27"/>
      <c r="AA298" s="27" t="s">
        <v>1325</v>
      </c>
      <c r="AB298" s="27"/>
      <c r="AC298" s="27"/>
      <c r="AD298" s="27"/>
      <c r="AE298" s="27"/>
      <c r="AF298" s="27"/>
      <c r="AG298" s="27"/>
      <c r="AH298" s="27"/>
      <c r="AI298" s="27"/>
      <c r="AJ298" s="27"/>
      <c r="AK298" s="27"/>
      <c r="AL298" s="27"/>
      <c r="AM298" s="27"/>
      <c r="AN298" s="27"/>
      <c r="AO298" s="27"/>
      <c r="AP298" s="27"/>
      <c r="AQ298" s="27"/>
      <c r="AR298" s="27"/>
      <c r="AS298" s="27"/>
      <c r="AT298" s="27"/>
      <c r="AU298" s="27"/>
      <c r="AV298" s="27"/>
      <c r="AW298" s="27"/>
      <c r="AX298" s="27"/>
      <c r="AY298" s="27"/>
      <c r="AZ298" s="27"/>
      <c r="BA298" s="27"/>
      <c r="BB298" s="27"/>
      <c r="BC298" s="27"/>
      <c r="BD298" s="27"/>
      <c r="BE298" s="27"/>
      <c r="BF298" s="27"/>
      <c r="BG298" s="27"/>
      <c r="BH298" s="27"/>
      <c r="BI298" s="27"/>
      <c r="BJ298" s="27"/>
      <c r="BK298" s="27"/>
      <c r="BL298" s="27"/>
      <c r="BM298" s="27"/>
      <c r="BN298" s="27"/>
      <c r="BO298" s="27"/>
      <c r="BP298" s="27"/>
      <c r="BQ298" s="27"/>
      <c r="BR298" s="27"/>
      <c r="BS298" s="27"/>
      <c r="BT298" s="27"/>
    </row>
    <row r="299" spans="1:72" ht="14.25" customHeight="1" x14ac:dyDescent="0.2">
      <c r="A299" s="5"/>
      <c r="B299" s="4">
        <v>2</v>
      </c>
      <c r="C299" s="4" t="s">
        <v>7661</v>
      </c>
      <c r="D299" s="4">
        <v>43091</v>
      </c>
      <c r="E299" s="4">
        <v>2846</v>
      </c>
      <c r="F299" s="4" t="s">
        <v>1326</v>
      </c>
      <c r="G299" s="19" t="s">
        <v>1327</v>
      </c>
      <c r="H299" s="4" t="s">
        <v>1328</v>
      </c>
      <c r="I299" s="4" t="s">
        <v>641</v>
      </c>
      <c r="J299" s="4" t="s">
        <v>642</v>
      </c>
      <c r="K299" s="4">
        <v>1</v>
      </c>
      <c r="L299" s="4">
        <v>3589</v>
      </c>
      <c r="M299" s="9">
        <v>55.781500000000001</v>
      </c>
      <c r="N299" s="9">
        <v>-120.76255999999999</v>
      </c>
      <c r="O299" s="9" t="s">
        <v>153</v>
      </c>
      <c r="P299" s="9">
        <v>43091</v>
      </c>
      <c r="Q299" s="20">
        <v>4</v>
      </c>
      <c r="R299" s="9" t="s">
        <v>1326</v>
      </c>
      <c r="S299" s="11" t="s">
        <v>1329</v>
      </c>
      <c r="T299" s="9" t="s">
        <v>644</v>
      </c>
      <c r="U299" s="9">
        <v>760</v>
      </c>
      <c r="Z299" s="9" t="s">
        <v>645</v>
      </c>
      <c r="AA299" s="9" t="s">
        <v>1330</v>
      </c>
      <c r="AB299" s="9"/>
      <c r="AC299" s="21"/>
      <c r="AD299" s="9"/>
      <c r="AE299" s="9"/>
      <c r="AF299" s="9"/>
      <c r="AG299" s="9"/>
      <c r="AH299" s="9"/>
      <c r="AI299" s="9"/>
    </row>
    <row r="300" spans="1:72" ht="14.25" customHeight="1" x14ac:dyDescent="0.2">
      <c r="A300" s="5" t="s">
        <v>88</v>
      </c>
      <c r="B300" s="4">
        <v>2</v>
      </c>
      <c r="C300" s="4" t="s">
        <v>7661</v>
      </c>
      <c r="D300" s="4">
        <v>43092</v>
      </c>
      <c r="E300" s="4">
        <v>12486</v>
      </c>
      <c r="F300" s="27" t="s">
        <v>1331</v>
      </c>
      <c r="G300" s="8" t="s">
        <v>1332</v>
      </c>
      <c r="H300" s="4" t="s">
        <v>709</v>
      </c>
      <c r="I300" s="4" t="s">
        <v>49</v>
      </c>
      <c r="J300" s="4" t="s">
        <v>799</v>
      </c>
      <c r="K300" s="4">
        <v>1</v>
      </c>
      <c r="L300" s="4">
        <v>14508</v>
      </c>
      <c r="M300" s="36">
        <v>55.485799999999998</v>
      </c>
      <c r="N300" s="36">
        <v>-120.03095</v>
      </c>
      <c r="O300" s="27"/>
      <c r="P300" s="36">
        <v>43092</v>
      </c>
      <c r="Q300" s="27"/>
      <c r="R300" s="36" t="s">
        <v>1331</v>
      </c>
      <c r="S300" s="27"/>
      <c r="T300" s="27"/>
      <c r="U300" s="36">
        <v>755</v>
      </c>
      <c r="V300" s="27"/>
      <c r="W300" s="27"/>
      <c r="X300" s="27"/>
      <c r="Y300" s="27"/>
      <c r="Z300" s="27"/>
      <c r="AA300" s="36" t="s">
        <v>1333</v>
      </c>
      <c r="AB300" s="27"/>
      <c r="AC300" s="27"/>
      <c r="AD300" s="27"/>
      <c r="AE300" s="27"/>
      <c r="AF300" s="27"/>
      <c r="AG300" s="27"/>
      <c r="AH300" s="27"/>
      <c r="AI300" s="27"/>
      <c r="AJ300" s="27"/>
      <c r="AK300" s="27"/>
      <c r="AL300" s="27"/>
      <c r="AM300" s="27"/>
      <c r="AN300" s="27"/>
      <c r="AO300" s="27"/>
      <c r="AP300" s="27"/>
      <c r="AQ300" s="27"/>
      <c r="AR300" s="27"/>
      <c r="AS300" s="27"/>
      <c r="AT300" s="27"/>
      <c r="AU300" s="27"/>
      <c r="AV300" s="27"/>
      <c r="AW300" s="27"/>
      <c r="AX300" s="27"/>
      <c r="AY300" s="27"/>
      <c r="AZ300" s="27"/>
      <c r="BA300" s="27"/>
      <c r="BB300" s="27"/>
      <c r="BC300" s="27"/>
      <c r="BD300" s="27"/>
      <c r="BE300" s="27"/>
      <c r="BF300" s="27"/>
      <c r="BG300" s="27"/>
      <c r="BH300" s="27"/>
      <c r="BI300" s="27"/>
      <c r="BJ300" s="27"/>
      <c r="BK300" s="27"/>
      <c r="BL300" s="27"/>
      <c r="BM300" s="27"/>
      <c r="BN300" s="27"/>
      <c r="BO300" s="27"/>
      <c r="BP300" s="27"/>
      <c r="BQ300" s="27"/>
      <c r="BR300" s="27"/>
      <c r="BS300" s="27"/>
      <c r="BT300" s="27"/>
    </row>
    <row r="301" spans="1:72" ht="14.25" customHeight="1" x14ac:dyDescent="0.2">
      <c r="A301" s="5"/>
      <c r="B301" s="4">
        <v>2</v>
      </c>
      <c r="C301" s="4" t="s">
        <v>7661</v>
      </c>
      <c r="D301" s="4">
        <v>43126</v>
      </c>
      <c r="E301" s="4">
        <v>2848</v>
      </c>
      <c r="F301" s="4" t="s">
        <v>1334</v>
      </c>
      <c r="G301" s="22" t="s">
        <v>1335</v>
      </c>
      <c r="H301" s="4" t="s">
        <v>1336</v>
      </c>
      <c r="I301" s="4" t="s">
        <v>641</v>
      </c>
      <c r="J301" s="4" t="s">
        <v>1337</v>
      </c>
      <c r="K301" s="4">
        <v>1</v>
      </c>
      <c r="L301" s="4">
        <v>3591</v>
      </c>
    </row>
    <row r="302" spans="1:72" ht="14.25" customHeight="1" x14ac:dyDescent="0.2">
      <c r="A302" s="5"/>
      <c r="B302" s="4">
        <v>2</v>
      </c>
      <c r="C302" s="4" t="s">
        <v>7661</v>
      </c>
      <c r="D302" s="4">
        <v>43127</v>
      </c>
      <c r="E302" s="4">
        <v>2849</v>
      </c>
      <c r="F302" s="27" t="s">
        <v>1338</v>
      </c>
      <c r="G302" s="22" t="s">
        <v>1339</v>
      </c>
      <c r="H302" s="4" t="s">
        <v>1340</v>
      </c>
      <c r="I302" s="4" t="s">
        <v>641</v>
      </c>
      <c r="J302" s="4" t="s">
        <v>1341</v>
      </c>
      <c r="K302" s="4">
        <v>1</v>
      </c>
      <c r="L302" s="4">
        <v>3592</v>
      </c>
      <c r="M302" s="27"/>
      <c r="N302" s="27"/>
      <c r="O302" s="27"/>
      <c r="P302" s="27"/>
      <c r="Q302" s="27"/>
      <c r="R302" s="27"/>
      <c r="S302" s="27"/>
      <c r="T302" s="27"/>
      <c r="U302" s="27"/>
      <c r="V302" s="27"/>
      <c r="W302" s="27"/>
      <c r="X302" s="27"/>
      <c r="Y302" s="27"/>
      <c r="Z302" s="27"/>
      <c r="AA302" s="27"/>
      <c r="AB302" s="27"/>
      <c r="AC302" s="27"/>
      <c r="AD302" s="27"/>
      <c r="AE302" s="27"/>
      <c r="AF302" s="27"/>
      <c r="AG302" s="27"/>
      <c r="AH302" s="27"/>
      <c r="AI302" s="27"/>
      <c r="AJ302" s="27"/>
      <c r="AK302" s="27"/>
      <c r="AL302" s="27"/>
      <c r="AM302" s="27"/>
      <c r="AN302" s="27"/>
      <c r="AO302" s="27"/>
      <c r="AP302" s="27"/>
      <c r="AQ302" s="27"/>
      <c r="AR302" s="27"/>
      <c r="AS302" s="27"/>
      <c r="AT302" s="27"/>
      <c r="AU302" s="27"/>
      <c r="AV302" s="27"/>
      <c r="AW302" s="27"/>
      <c r="AX302" s="27"/>
      <c r="AY302" s="27"/>
      <c r="AZ302" s="27"/>
      <c r="BA302" s="27"/>
      <c r="BB302" s="27"/>
      <c r="BC302" s="27"/>
      <c r="BD302" s="27"/>
      <c r="BE302" s="27"/>
      <c r="BF302" s="27"/>
      <c r="BG302" s="27"/>
      <c r="BH302" s="27"/>
      <c r="BI302" s="27"/>
      <c r="BJ302" s="27"/>
      <c r="BK302" s="27"/>
      <c r="BL302" s="27"/>
      <c r="BM302" s="27"/>
      <c r="BN302" s="27"/>
      <c r="BO302" s="27"/>
      <c r="BP302" s="27"/>
      <c r="BQ302" s="27"/>
      <c r="BR302" s="27"/>
      <c r="BS302" s="27"/>
      <c r="BT302" s="27"/>
    </row>
    <row r="303" spans="1:72" ht="14.25" customHeight="1" x14ac:dyDescent="0.2">
      <c r="A303" s="5" t="s">
        <v>88</v>
      </c>
      <c r="B303" s="4">
        <v>2</v>
      </c>
      <c r="C303" s="4" t="s">
        <v>7661</v>
      </c>
      <c r="D303" s="4">
        <v>44091</v>
      </c>
      <c r="E303" s="4">
        <v>2854</v>
      </c>
      <c r="F303" s="4" t="s">
        <v>1342</v>
      </c>
      <c r="G303" s="8" t="s">
        <v>1343</v>
      </c>
      <c r="H303" s="4" t="s">
        <v>1344</v>
      </c>
      <c r="I303" s="4" t="s">
        <v>641</v>
      </c>
      <c r="J303" s="4" t="s">
        <v>642</v>
      </c>
      <c r="K303" s="4">
        <v>1</v>
      </c>
      <c r="L303" s="4">
        <v>3597</v>
      </c>
      <c r="M303" s="9">
        <v>56.541110000000003</v>
      </c>
      <c r="N303" s="9">
        <v>-121.25264</v>
      </c>
      <c r="O303" s="9" t="s">
        <v>153</v>
      </c>
      <c r="P303" s="9">
        <v>44091</v>
      </c>
      <c r="Q303" s="20">
        <v>6</v>
      </c>
      <c r="R303" s="9" t="s">
        <v>1342</v>
      </c>
      <c r="S303" s="11" t="s">
        <v>1345</v>
      </c>
      <c r="T303" s="9" t="s">
        <v>644</v>
      </c>
      <c r="U303" s="9">
        <v>850</v>
      </c>
      <c r="Z303" s="9" t="s">
        <v>645</v>
      </c>
      <c r="AA303" s="9" t="s">
        <v>1346</v>
      </c>
      <c r="AB303" s="9"/>
      <c r="AC303" s="21"/>
      <c r="AD303" s="9"/>
      <c r="AE303" s="9"/>
      <c r="AF303" s="9"/>
      <c r="AG303" s="9"/>
      <c r="AH303" s="9"/>
      <c r="AI303" s="9"/>
    </row>
    <row r="304" spans="1:72" ht="14.25" customHeight="1" x14ac:dyDescent="0.2">
      <c r="A304" s="40"/>
      <c r="B304" s="27">
        <v>2</v>
      </c>
      <c r="C304" s="27" t="s">
        <v>7661</v>
      </c>
      <c r="D304" s="27">
        <v>44092</v>
      </c>
      <c r="E304" s="27">
        <v>12487</v>
      </c>
      <c r="F304" s="27" t="s">
        <v>1347</v>
      </c>
      <c r="G304" s="28" t="s">
        <v>1348</v>
      </c>
      <c r="H304" s="4" t="s">
        <v>709</v>
      </c>
      <c r="I304" s="4" t="s">
        <v>49</v>
      </c>
      <c r="J304" s="4" t="s">
        <v>799</v>
      </c>
      <c r="K304" s="4">
        <v>1</v>
      </c>
      <c r="L304" s="4">
        <v>14509</v>
      </c>
      <c r="M304" s="36">
        <v>50.07938</v>
      </c>
      <c r="N304" s="36">
        <v>-120.64055</v>
      </c>
      <c r="O304" s="27"/>
      <c r="P304" s="36">
        <v>44092</v>
      </c>
      <c r="Q304" s="27"/>
      <c r="R304" s="36" t="s">
        <v>1347</v>
      </c>
      <c r="S304" s="27"/>
      <c r="T304" s="27"/>
      <c r="U304" s="36">
        <v>750</v>
      </c>
      <c r="V304" s="27"/>
      <c r="W304" s="27"/>
      <c r="X304" s="27"/>
      <c r="Y304" s="27"/>
      <c r="Z304" s="27"/>
      <c r="AA304" s="36" t="s">
        <v>1349</v>
      </c>
      <c r="AB304" s="27"/>
      <c r="AC304" s="27"/>
      <c r="AD304" s="27"/>
      <c r="AE304" s="27"/>
      <c r="AF304" s="27"/>
      <c r="AG304" s="27"/>
      <c r="AH304" s="27"/>
      <c r="AI304" s="27"/>
      <c r="AJ304" s="27"/>
      <c r="AK304" s="27"/>
      <c r="AL304" s="27"/>
      <c r="AM304" s="27"/>
      <c r="AN304" s="27"/>
      <c r="AO304" s="27"/>
      <c r="AP304" s="27"/>
      <c r="AQ304" s="27"/>
      <c r="AR304" s="27"/>
      <c r="AS304" s="27"/>
      <c r="AT304" s="27"/>
      <c r="AU304" s="27"/>
      <c r="AV304" s="27"/>
      <c r="AW304" s="27"/>
      <c r="AX304" s="27"/>
      <c r="AY304" s="27"/>
      <c r="AZ304" s="27"/>
      <c r="BA304" s="27"/>
      <c r="BB304" s="27"/>
      <c r="BC304" s="27"/>
      <c r="BD304" s="27"/>
      <c r="BE304" s="27"/>
      <c r="BF304" s="27"/>
      <c r="BG304" s="27"/>
      <c r="BH304" s="27"/>
      <c r="BI304" s="27"/>
      <c r="BJ304" s="27"/>
      <c r="BK304" s="27"/>
      <c r="BL304" s="27"/>
      <c r="BM304" s="27"/>
      <c r="BN304" s="27"/>
      <c r="BO304" s="27"/>
      <c r="BP304" s="27"/>
      <c r="BQ304" s="27"/>
      <c r="BR304" s="27"/>
      <c r="BS304" s="27"/>
      <c r="BT304" s="27"/>
    </row>
    <row r="305" spans="1:72" ht="14.25" customHeight="1" x14ac:dyDescent="0.2">
      <c r="A305" s="40"/>
      <c r="B305" s="27">
        <v>2</v>
      </c>
      <c r="C305" s="27" t="s">
        <v>7661</v>
      </c>
      <c r="D305" s="27">
        <v>44093</v>
      </c>
      <c r="E305" s="27">
        <v>12488</v>
      </c>
      <c r="F305" s="27" t="s">
        <v>1350</v>
      </c>
      <c r="G305" s="28" t="s">
        <v>1351</v>
      </c>
      <c r="H305" s="4" t="s">
        <v>709</v>
      </c>
      <c r="I305" s="4" t="s">
        <v>49</v>
      </c>
      <c r="J305" s="4" t="s">
        <v>799</v>
      </c>
      <c r="K305" s="4">
        <v>1</v>
      </c>
      <c r="L305" s="4">
        <v>14510</v>
      </c>
      <c r="M305" s="36">
        <v>56.044690000000003</v>
      </c>
      <c r="N305" s="36">
        <v>-121.88912999999999</v>
      </c>
      <c r="O305" s="27"/>
      <c r="P305" s="36">
        <v>44093</v>
      </c>
      <c r="Q305" s="27"/>
      <c r="R305" s="36" t="s">
        <v>1350</v>
      </c>
      <c r="S305" s="27"/>
      <c r="T305" s="27"/>
      <c r="U305" s="36">
        <v>527</v>
      </c>
      <c r="V305" s="27"/>
      <c r="W305" s="27"/>
      <c r="X305" s="27"/>
      <c r="Y305" s="27"/>
      <c r="Z305" s="27"/>
      <c r="AA305" s="36" t="s">
        <v>1352</v>
      </c>
      <c r="AB305" s="27"/>
      <c r="AC305" s="27"/>
      <c r="AD305" s="27"/>
      <c r="AE305" s="27"/>
      <c r="AF305" s="27"/>
      <c r="AG305" s="27"/>
      <c r="AH305" s="27"/>
      <c r="AI305" s="27"/>
      <c r="AJ305" s="27"/>
      <c r="AK305" s="27"/>
      <c r="AL305" s="27"/>
      <c r="AM305" s="27"/>
      <c r="AN305" s="27"/>
      <c r="AO305" s="27"/>
      <c r="AP305" s="27"/>
      <c r="AQ305" s="27"/>
      <c r="AR305" s="27"/>
      <c r="AS305" s="27"/>
      <c r="AT305" s="27"/>
      <c r="AU305" s="27"/>
      <c r="AV305" s="27"/>
      <c r="AW305" s="27"/>
      <c r="AX305" s="27"/>
      <c r="AY305" s="27"/>
      <c r="AZ305" s="27"/>
      <c r="BA305" s="27"/>
      <c r="BB305" s="27"/>
      <c r="BC305" s="27"/>
      <c r="BD305" s="27"/>
      <c r="BE305" s="27"/>
      <c r="BF305" s="27"/>
      <c r="BG305" s="27"/>
      <c r="BH305" s="27"/>
      <c r="BI305" s="27"/>
      <c r="BJ305" s="27"/>
      <c r="BK305" s="27"/>
      <c r="BL305" s="27"/>
      <c r="BM305" s="27"/>
      <c r="BN305" s="27"/>
      <c r="BO305" s="27"/>
      <c r="BP305" s="27"/>
      <c r="BQ305" s="27"/>
      <c r="BR305" s="27"/>
      <c r="BS305" s="27"/>
      <c r="BT305" s="27"/>
    </row>
    <row r="306" spans="1:72" ht="14.25" customHeight="1" x14ac:dyDescent="0.2">
      <c r="A306" s="5"/>
      <c r="B306" s="4">
        <v>2</v>
      </c>
      <c r="C306" s="4" t="s">
        <v>7661</v>
      </c>
      <c r="D306" s="4">
        <v>45091</v>
      </c>
      <c r="E306" s="4">
        <v>12495</v>
      </c>
      <c r="F306" s="4" t="s">
        <v>1353</v>
      </c>
      <c r="G306" s="19" t="s">
        <v>1354</v>
      </c>
      <c r="H306" s="4" t="s">
        <v>709</v>
      </c>
      <c r="I306" s="4" t="s">
        <v>49</v>
      </c>
      <c r="J306" s="4" t="s">
        <v>799</v>
      </c>
      <c r="K306" s="4">
        <v>1</v>
      </c>
      <c r="L306" s="4">
        <v>14517</v>
      </c>
      <c r="M306" s="9">
        <v>54.055790000000002</v>
      </c>
      <c r="N306" s="9">
        <v>-124.4777</v>
      </c>
      <c r="O306" s="9" t="s">
        <v>148</v>
      </c>
      <c r="P306" s="9">
        <v>45091</v>
      </c>
      <c r="Q306" s="20">
        <v>1</v>
      </c>
      <c r="R306" s="9" t="s">
        <v>1353</v>
      </c>
      <c r="S306" s="11" t="s">
        <v>1355</v>
      </c>
      <c r="T306" s="9" t="s">
        <v>644</v>
      </c>
      <c r="U306" s="9">
        <v>800</v>
      </c>
      <c r="Z306" s="9"/>
      <c r="AA306" s="9" t="s">
        <v>1356</v>
      </c>
      <c r="AB306" s="9"/>
      <c r="AC306" s="9"/>
      <c r="AD306" s="9"/>
      <c r="AE306" s="9"/>
      <c r="AF306" s="9"/>
      <c r="AG306" s="9"/>
      <c r="AH306" s="9"/>
      <c r="AI306" s="9"/>
    </row>
    <row r="307" spans="1:72" ht="14.25" customHeight="1" x14ac:dyDescent="0.2">
      <c r="A307" s="5"/>
      <c r="B307" s="4">
        <v>2</v>
      </c>
      <c r="C307" s="4" t="s">
        <v>7661</v>
      </c>
      <c r="D307" s="4">
        <v>45092</v>
      </c>
      <c r="E307" s="4">
        <v>12489</v>
      </c>
      <c r="F307" s="4" t="s">
        <v>1357</v>
      </c>
      <c r="G307" s="19" t="s">
        <v>1358</v>
      </c>
      <c r="H307" s="4" t="s">
        <v>709</v>
      </c>
      <c r="I307" s="4" t="s">
        <v>49</v>
      </c>
      <c r="J307" s="4" t="s">
        <v>799</v>
      </c>
      <c r="K307" s="4">
        <v>1</v>
      </c>
      <c r="L307" s="4">
        <v>14511</v>
      </c>
      <c r="M307" s="8">
        <v>54.345599999999997</v>
      </c>
      <c r="N307" s="8">
        <v>124.27643999999999</v>
      </c>
      <c r="P307" s="8">
        <v>45092</v>
      </c>
      <c r="Q307" s="8"/>
      <c r="R307" s="8" t="s">
        <v>1357</v>
      </c>
      <c r="U307" s="8">
        <v>727</v>
      </c>
      <c r="AA307" s="8" t="s">
        <v>1359</v>
      </c>
    </row>
    <row r="308" spans="1:72" ht="14.25" customHeight="1" x14ac:dyDescent="0.2">
      <c r="A308" s="5"/>
      <c r="B308" s="4">
        <v>2</v>
      </c>
      <c r="C308" s="4" t="s">
        <v>7661</v>
      </c>
      <c r="D308" s="4">
        <v>46094</v>
      </c>
      <c r="E308" s="4">
        <v>2860</v>
      </c>
      <c r="F308" s="4" t="s">
        <v>1360</v>
      </c>
      <c r="G308" s="19" t="s">
        <v>1361</v>
      </c>
      <c r="H308" s="4" t="s">
        <v>1362</v>
      </c>
      <c r="I308" s="4" t="s">
        <v>641</v>
      </c>
      <c r="J308" s="4" t="s">
        <v>755</v>
      </c>
      <c r="K308" s="4">
        <v>1</v>
      </c>
      <c r="L308" s="4">
        <v>3603</v>
      </c>
      <c r="M308" s="9">
        <v>52.385559999999998</v>
      </c>
      <c r="N308" s="9">
        <v>-119.18008</v>
      </c>
      <c r="O308" s="9" t="s">
        <v>170</v>
      </c>
      <c r="P308" s="9">
        <v>46094</v>
      </c>
      <c r="Q308" s="20">
        <v>1</v>
      </c>
      <c r="R308" s="9" t="s">
        <v>1360</v>
      </c>
      <c r="S308" s="11" t="s">
        <v>1363</v>
      </c>
      <c r="T308" s="9" t="s">
        <v>644</v>
      </c>
      <c r="U308" s="9">
        <v>786</v>
      </c>
      <c r="Z308" s="9"/>
      <c r="AA308" s="9" t="s">
        <v>1364</v>
      </c>
      <c r="AB308" s="9"/>
      <c r="AC308" s="21"/>
      <c r="AD308" s="9"/>
      <c r="AE308" s="9"/>
      <c r="AF308" s="9"/>
      <c r="AG308" s="9"/>
      <c r="AH308" s="9"/>
      <c r="AI308" s="9"/>
    </row>
    <row r="309" spans="1:72" ht="14.25" customHeight="1" x14ac:dyDescent="0.2">
      <c r="A309" s="5"/>
      <c r="B309" s="4">
        <v>2</v>
      </c>
      <c r="C309" s="4" t="s">
        <v>7661</v>
      </c>
      <c r="D309" s="4">
        <v>46125</v>
      </c>
      <c r="E309" s="4">
        <v>2862</v>
      </c>
      <c r="F309" s="4" t="s">
        <v>1365</v>
      </c>
      <c r="G309" s="22" t="s">
        <v>1366</v>
      </c>
      <c r="H309" s="4" t="s">
        <v>1367</v>
      </c>
      <c r="I309" s="4" t="s">
        <v>641</v>
      </c>
      <c r="J309" s="4" t="s">
        <v>867</v>
      </c>
      <c r="K309" s="4">
        <v>1</v>
      </c>
      <c r="L309" s="4">
        <v>3605</v>
      </c>
    </row>
    <row r="310" spans="1:72" ht="14.25" customHeight="1" x14ac:dyDescent="0.2">
      <c r="A310" s="5"/>
      <c r="B310" s="4">
        <v>2</v>
      </c>
      <c r="C310" s="4" t="s">
        <v>7661</v>
      </c>
      <c r="D310" s="4">
        <v>46126</v>
      </c>
      <c r="E310" s="4">
        <v>2863</v>
      </c>
      <c r="F310" s="27" t="s">
        <v>1368</v>
      </c>
      <c r="G310" s="22" t="s">
        <v>1369</v>
      </c>
      <c r="H310" s="4" t="s">
        <v>1370</v>
      </c>
      <c r="I310" s="4" t="s">
        <v>641</v>
      </c>
      <c r="J310" s="4" t="s">
        <v>1371</v>
      </c>
      <c r="K310" s="4">
        <v>1</v>
      </c>
      <c r="L310" s="4">
        <v>3606</v>
      </c>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c r="AL310" s="27"/>
      <c r="AM310" s="27"/>
      <c r="AN310" s="27"/>
      <c r="AO310" s="27"/>
      <c r="AP310" s="27"/>
      <c r="AQ310" s="27"/>
      <c r="AR310" s="27"/>
      <c r="AS310" s="27"/>
      <c r="AT310" s="27"/>
      <c r="AU310" s="27"/>
      <c r="AV310" s="27"/>
      <c r="AW310" s="27"/>
      <c r="AX310" s="27"/>
      <c r="AY310" s="27"/>
      <c r="AZ310" s="27"/>
      <c r="BA310" s="27"/>
      <c r="BB310" s="27"/>
      <c r="BC310" s="27"/>
      <c r="BD310" s="27"/>
      <c r="BE310" s="27"/>
      <c r="BF310" s="27"/>
      <c r="BG310" s="27"/>
      <c r="BH310" s="27"/>
      <c r="BI310" s="27"/>
      <c r="BJ310" s="27"/>
      <c r="BK310" s="27"/>
      <c r="BL310" s="27"/>
      <c r="BM310" s="27"/>
      <c r="BN310" s="27"/>
      <c r="BO310" s="27"/>
      <c r="BP310" s="27"/>
      <c r="BQ310" s="27"/>
      <c r="BR310" s="27"/>
      <c r="BS310" s="27"/>
      <c r="BT310" s="27"/>
    </row>
    <row r="311" spans="1:72" ht="14.25" customHeight="1" x14ac:dyDescent="0.2">
      <c r="A311" s="5"/>
      <c r="B311" s="4">
        <v>2</v>
      </c>
      <c r="C311" s="4" t="s">
        <v>7661</v>
      </c>
      <c r="D311" s="4">
        <v>46127</v>
      </c>
      <c r="E311" s="4">
        <v>2864</v>
      </c>
      <c r="F311" s="27" t="s">
        <v>1372</v>
      </c>
      <c r="G311" s="19" t="s">
        <v>1373</v>
      </c>
      <c r="H311" s="4" t="s">
        <v>1374</v>
      </c>
      <c r="I311" s="4" t="s">
        <v>641</v>
      </c>
      <c r="J311" s="4" t="s">
        <v>755</v>
      </c>
      <c r="K311" s="4">
        <v>1</v>
      </c>
      <c r="L311" s="4">
        <v>3607</v>
      </c>
      <c r="M311" s="27">
        <v>53.033029999999997</v>
      </c>
      <c r="N311" s="27">
        <v>-119.2003</v>
      </c>
      <c r="O311" s="27" t="s">
        <v>170</v>
      </c>
      <c r="P311" s="27">
        <v>46127</v>
      </c>
      <c r="Q311" s="29">
        <v>2</v>
      </c>
      <c r="R311" s="27" t="s">
        <v>1372</v>
      </c>
      <c r="S311" s="30" t="s">
        <v>1375</v>
      </c>
      <c r="T311" s="27" t="s">
        <v>644</v>
      </c>
      <c r="U311" s="27">
        <v>944</v>
      </c>
      <c r="V311" s="27"/>
      <c r="W311" s="27"/>
      <c r="X311" s="27"/>
      <c r="Y311" s="27"/>
      <c r="Z311" s="27"/>
      <c r="AA311" s="27" t="s">
        <v>1376</v>
      </c>
      <c r="AB311" s="27"/>
      <c r="AC311" s="27"/>
      <c r="AD311" s="27"/>
      <c r="AE311" s="27"/>
      <c r="AF311" s="27"/>
      <c r="AG311" s="27"/>
      <c r="AH311" s="27"/>
      <c r="AI311" s="27"/>
      <c r="AJ311" s="27"/>
      <c r="AK311" s="27"/>
      <c r="AL311" s="27"/>
      <c r="AM311" s="27"/>
      <c r="AN311" s="27"/>
      <c r="AO311" s="27"/>
      <c r="AP311" s="27"/>
      <c r="AQ311" s="27"/>
      <c r="AR311" s="27"/>
      <c r="AS311" s="27"/>
      <c r="AT311" s="27"/>
      <c r="AU311" s="27"/>
      <c r="AV311" s="27"/>
      <c r="AW311" s="27"/>
      <c r="AX311" s="27"/>
      <c r="AY311" s="27"/>
      <c r="AZ311" s="27"/>
      <c r="BA311" s="27"/>
      <c r="BB311" s="27"/>
      <c r="BC311" s="27"/>
      <c r="BD311" s="27"/>
      <c r="BE311" s="27"/>
      <c r="BF311" s="27"/>
      <c r="BG311" s="27"/>
      <c r="BH311" s="27"/>
      <c r="BI311" s="27"/>
      <c r="BJ311" s="27"/>
      <c r="BK311" s="27"/>
      <c r="BL311" s="27"/>
      <c r="BM311" s="27"/>
      <c r="BN311" s="27"/>
      <c r="BO311" s="27"/>
      <c r="BP311" s="27"/>
      <c r="BQ311" s="27"/>
      <c r="BR311" s="27"/>
      <c r="BS311" s="27"/>
      <c r="BT311" s="27"/>
    </row>
    <row r="312" spans="1:72" ht="14.25" customHeight="1" x14ac:dyDescent="0.2">
      <c r="A312" s="5"/>
      <c r="B312" s="4">
        <v>2</v>
      </c>
      <c r="C312" s="4" t="s">
        <v>7661</v>
      </c>
      <c r="D312" s="4">
        <v>46191</v>
      </c>
      <c r="E312" s="4">
        <v>12490</v>
      </c>
      <c r="F312" s="4" t="s">
        <v>1377</v>
      </c>
      <c r="G312" s="19" t="s">
        <v>1378</v>
      </c>
      <c r="H312" s="4" t="s">
        <v>1379</v>
      </c>
      <c r="I312" s="4" t="s">
        <v>49</v>
      </c>
      <c r="J312" s="4" t="s">
        <v>1380</v>
      </c>
      <c r="K312" s="4">
        <v>1</v>
      </c>
      <c r="L312" s="4">
        <v>14512</v>
      </c>
      <c r="M312" s="9">
        <v>52.884279999999997</v>
      </c>
      <c r="N312" s="9">
        <v>-118.46087</v>
      </c>
      <c r="O312" s="9" t="s">
        <v>170</v>
      </c>
      <c r="P312" s="9">
        <v>46191</v>
      </c>
      <c r="Q312" s="20">
        <v>3</v>
      </c>
      <c r="R312" s="9" t="s">
        <v>1377</v>
      </c>
      <c r="S312" s="11" t="s">
        <v>1381</v>
      </c>
      <c r="T312" s="9" t="s">
        <v>644</v>
      </c>
      <c r="U312" s="9">
        <v>1145</v>
      </c>
      <c r="Z312" s="9"/>
      <c r="AA312" s="9" t="s">
        <v>1382</v>
      </c>
      <c r="AB312" s="9"/>
      <c r="AC312" s="9"/>
      <c r="AD312" s="9"/>
      <c r="AE312" s="9"/>
      <c r="AF312" s="9"/>
      <c r="AG312" s="9"/>
      <c r="AH312" s="9"/>
      <c r="AI312" s="9"/>
    </row>
    <row r="313" spans="1:72" ht="14.25" customHeight="1" x14ac:dyDescent="0.2">
      <c r="A313" s="5"/>
      <c r="B313" s="4">
        <v>2</v>
      </c>
      <c r="C313" s="4" t="s">
        <v>7661</v>
      </c>
      <c r="D313" s="4">
        <v>47091</v>
      </c>
      <c r="E313" s="4">
        <v>2869</v>
      </c>
      <c r="F313" s="27" t="s">
        <v>1383</v>
      </c>
      <c r="G313" s="19" t="s">
        <v>1384</v>
      </c>
      <c r="H313" s="4" t="s">
        <v>1385</v>
      </c>
      <c r="I313" s="4" t="s">
        <v>641</v>
      </c>
      <c r="J313" s="4" t="s">
        <v>755</v>
      </c>
      <c r="K313" s="4">
        <v>1</v>
      </c>
      <c r="L313" s="4">
        <v>3612</v>
      </c>
      <c r="M313" s="27">
        <v>51.937469999999998</v>
      </c>
      <c r="N313" s="27">
        <v>-122.98586</v>
      </c>
      <c r="O313" s="27" t="s">
        <v>148</v>
      </c>
      <c r="P313" s="27">
        <v>47091</v>
      </c>
      <c r="Q313" s="29">
        <v>4</v>
      </c>
      <c r="R313" s="27" t="s">
        <v>1383</v>
      </c>
      <c r="S313" s="30" t="s">
        <v>1386</v>
      </c>
      <c r="T313" s="27" t="s">
        <v>644</v>
      </c>
      <c r="U313" s="27">
        <v>1090</v>
      </c>
      <c r="V313" s="27"/>
      <c r="W313" s="27"/>
      <c r="X313" s="27"/>
      <c r="Y313" s="27"/>
      <c r="Z313" s="27" t="s">
        <v>645</v>
      </c>
      <c r="AA313" s="27" t="s">
        <v>1387</v>
      </c>
      <c r="AB313" s="27"/>
      <c r="AC313" s="31"/>
      <c r="AD313" s="27"/>
      <c r="AE313" s="27"/>
      <c r="AF313" s="27"/>
      <c r="AG313" s="27"/>
      <c r="AH313" s="27"/>
      <c r="AI313" s="27"/>
      <c r="AJ313" s="27"/>
      <c r="AK313" s="27"/>
      <c r="AL313" s="27"/>
      <c r="AM313" s="27"/>
      <c r="AN313" s="27"/>
      <c r="AO313" s="27"/>
      <c r="AP313" s="27"/>
      <c r="AQ313" s="27"/>
      <c r="AR313" s="27"/>
      <c r="AS313" s="27"/>
      <c r="AT313" s="27"/>
      <c r="AU313" s="27"/>
      <c r="AV313" s="27"/>
      <c r="AW313" s="27"/>
      <c r="AX313" s="27"/>
      <c r="AY313" s="27"/>
      <c r="AZ313" s="27"/>
      <c r="BA313" s="27"/>
      <c r="BB313" s="27"/>
      <c r="BC313" s="27"/>
      <c r="BD313" s="27"/>
      <c r="BE313" s="27"/>
      <c r="BF313" s="27"/>
      <c r="BG313" s="27"/>
      <c r="BH313" s="27"/>
      <c r="BI313" s="27"/>
      <c r="BJ313" s="27"/>
      <c r="BK313" s="27"/>
      <c r="BL313" s="27"/>
      <c r="BM313" s="27"/>
      <c r="BN313" s="27"/>
      <c r="BO313" s="27"/>
      <c r="BP313" s="27"/>
      <c r="BQ313" s="27"/>
      <c r="BR313" s="27"/>
      <c r="BS313" s="27"/>
      <c r="BT313" s="27"/>
    </row>
    <row r="314" spans="1:72" ht="14.25" customHeight="1" x14ac:dyDescent="0.2">
      <c r="A314" s="5" t="s">
        <v>88</v>
      </c>
      <c r="B314" s="4">
        <v>2</v>
      </c>
      <c r="C314" s="4" t="s">
        <v>7661</v>
      </c>
      <c r="D314" s="4">
        <v>47092</v>
      </c>
      <c r="E314" s="4">
        <v>2870</v>
      </c>
      <c r="F314" s="4" t="s">
        <v>1388</v>
      </c>
      <c r="G314" s="8" t="s">
        <v>1389</v>
      </c>
      <c r="H314" s="4" t="s">
        <v>1390</v>
      </c>
      <c r="I314" s="4" t="s">
        <v>641</v>
      </c>
      <c r="J314" s="4" t="s">
        <v>642</v>
      </c>
      <c r="K314" s="4">
        <v>1</v>
      </c>
      <c r="L314" s="4">
        <v>3613</v>
      </c>
      <c r="M314" s="9">
        <v>51.96181</v>
      </c>
      <c r="N314" s="9">
        <v>-121.79313999999999</v>
      </c>
      <c r="O314" s="9" t="s">
        <v>148</v>
      </c>
      <c r="P314" s="9">
        <v>47092</v>
      </c>
      <c r="Q314" s="20">
        <v>1</v>
      </c>
      <c r="R314" s="9" t="s">
        <v>1388</v>
      </c>
      <c r="S314" s="11" t="s">
        <v>1391</v>
      </c>
      <c r="T314" s="9" t="s">
        <v>644</v>
      </c>
      <c r="U314" s="9">
        <v>730</v>
      </c>
      <c r="Z314" s="9" t="s">
        <v>645</v>
      </c>
      <c r="AA314" s="9" t="s">
        <v>1392</v>
      </c>
      <c r="AB314" s="9"/>
      <c r="AC314" s="21"/>
      <c r="AD314" s="9"/>
      <c r="AE314" s="9"/>
      <c r="AF314" s="9"/>
      <c r="AG314" s="9"/>
      <c r="AH314" s="9"/>
      <c r="AI314" s="9"/>
    </row>
    <row r="315" spans="1:72" ht="14.25" customHeight="1" x14ac:dyDescent="0.2">
      <c r="A315" s="5" t="s">
        <v>772</v>
      </c>
      <c r="B315" s="4">
        <v>2</v>
      </c>
      <c r="C315" s="4" t="s">
        <v>7661</v>
      </c>
      <c r="D315" s="4">
        <v>47094</v>
      </c>
      <c r="E315" s="4">
        <v>13018</v>
      </c>
      <c r="F315" s="10" t="s">
        <v>1393</v>
      </c>
      <c r="G315" s="8" t="s">
        <v>1394</v>
      </c>
      <c r="H315" s="4" t="s">
        <v>792</v>
      </c>
      <c r="I315" s="4" t="s">
        <v>49</v>
      </c>
      <c r="J315" s="4" t="s">
        <v>793</v>
      </c>
      <c r="K315" s="4">
        <v>1</v>
      </c>
      <c r="L315" s="4">
        <v>14950</v>
      </c>
      <c r="M315" s="9">
        <v>52.244729999999997</v>
      </c>
      <c r="N315" s="9">
        <v>-122.11796</v>
      </c>
      <c r="O315" s="9" t="s">
        <v>148</v>
      </c>
      <c r="P315" s="9">
        <v>47094</v>
      </c>
      <c r="Q315" s="20">
        <v>1</v>
      </c>
      <c r="R315" s="9" t="s">
        <v>1395</v>
      </c>
      <c r="S315" s="11" t="s">
        <v>1396</v>
      </c>
      <c r="T315" s="9" t="s">
        <v>644</v>
      </c>
      <c r="U315" s="9">
        <v>799</v>
      </c>
      <c r="Z315" s="9"/>
      <c r="AA315" s="9" t="s">
        <v>1397</v>
      </c>
      <c r="AB315" s="9"/>
      <c r="AC315" s="9"/>
      <c r="AD315" s="9"/>
      <c r="AE315" s="9"/>
      <c r="AF315" s="9"/>
      <c r="AG315" s="9"/>
      <c r="AH315" s="9"/>
      <c r="AI315" s="9"/>
    </row>
    <row r="316" spans="1:72" ht="14.25" customHeight="1" x14ac:dyDescent="0.2">
      <c r="A316" s="5"/>
      <c r="B316" s="4">
        <v>2</v>
      </c>
      <c r="C316" s="4" t="s">
        <v>7661</v>
      </c>
      <c r="D316" s="4">
        <v>47121</v>
      </c>
      <c r="E316" s="4">
        <v>2873</v>
      </c>
      <c r="F316" s="4" t="s">
        <v>1398</v>
      </c>
      <c r="G316" s="19" t="s">
        <v>1399</v>
      </c>
      <c r="H316" s="4" t="s">
        <v>1400</v>
      </c>
      <c r="I316" s="4" t="s">
        <v>49</v>
      </c>
      <c r="J316" s="4" t="s">
        <v>1401</v>
      </c>
      <c r="K316" s="4">
        <v>1</v>
      </c>
      <c r="L316" s="4">
        <v>3616</v>
      </c>
      <c r="M316" s="9">
        <v>52.355690000000003</v>
      </c>
      <c r="N316" s="9">
        <v>-126.77178000000001</v>
      </c>
      <c r="O316" s="9" t="s">
        <v>51</v>
      </c>
      <c r="P316" s="9">
        <v>47121</v>
      </c>
      <c r="Q316" s="20">
        <v>6</v>
      </c>
      <c r="R316" s="9" t="s">
        <v>1402</v>
      </c>
      <c r="S316" s="11" t="s">
        <v>1403</v>
      </c>
      <c r="T316" s="9" t="s">
        <v>644</v>
      </c>
      <c r="U316" s="9">
        <v>1160</v>
      </c>
      <c r="Z316" s="9"/>
      <c r="AA316" s="9" t="s">
        <v>1404</v>
      </c>
      <c r="AB316" s="9"/>
      <c r="AC316" s="9"/>
      <c r="AD316" s="9"/>
      <c r="AE316" s="9"/>
      <c r="AF316" s="9"/>
      <c r="AG316" s="9"/>
      <c r="AH316" s="9"/>
      <c r="AI316" s="9"/>
    </row>
    <row r="317" spans="1:72" ht="14.25" customHeight="1" x14ac:dyDescent="0.2">
      <c r="A317" s="5"/>
      <c r="B317" s="4">
        <v>2</v>
      </c>
      <c r="C317" s="4" t="s">
        <v>7661</v>
      </c>
      <c r="D317" s="4">
        <v>47122</v>
      </c>
      <c r="E317" s="4">
        <v>2874</v>
      </c>
      <c r="F317" s="27" t="s">
        <v>1405</v>
      </c>
      <c r="G317" s="19" t="s">
        <v>1406</v>
      </c>
      <c r="H317" s="4" t="s">
        <v>1407</v>
      </c>
      <c r="I317" s="4" t="s">
        <v>641</v>
      </c>
      <c r="J317" s="4" t="s">
        <v>1408</v>
      </c>
      <c r="K317" s="4">
        <v>1</v>
      </c>
      <c r="L317" s="4">
        <v>3617</v>
      </c>
      <c r="M317" s="27">
        <v>52.434699999999999</v>
      </c>
      <c r="N317" s="27">
        <v>-125.87448999999999</v>
      </c>
      <c r="O317" s="27" t="s">
        <v>148</v>
      </c>
      <c r="P317" s="27">
        <v>47122</v>
      </c>
      <c r="Q317" s="29">
        <v>3</v>
      </c>
      <c r="R317" s="27" t="s">
        <v>1405</v>
      </c>
      <c r="S317" s="30" t="s">
        <v>1409</v>
      </c>
      <c r="T317" s="27" t="s">
        <v>644</v>
      </c>
      <c r="U317" s="27">
        <v>975</v>
      </c>
      <c r="V317" s="27"/>
      <c r="W317" s="27"/>
      <c r="X317" s="27"/>
      <c r="Y317" s="27"/>
      <c r="Z317" s="27" t="s">
        <v>645</v>
      </c>
      <c r="AA317" s="27" t="s">
        <v>1410</v>
      </c>
      <c r="AB317" s="27"/>
      <c r="AC317" s="31"/>
      <c r="AD317" s="27"/>
      <c r="AE317" s="27"/>
      <c r="AF317" s="27"/>
      <c r="AG317" s="27"/>
      <c r="AH317" s="27"/>
      <c r="AI317" s="27"/>
      <c r="AJ317" s="27"/>
      <c r="AK317" s="27"/>
      <c r="AL317" s="27"/>
      <c r="AM317" s="27"/>
      <c r="AN317" s="27"/>
      <c r="AO317" s="27"/>
      <c r="AP317" s="27"/>
      <c r="AQ317" s="27"/>
      <c r="AR317" s="27"/>
      <c r="AS317" s="27"/>
      <c r="AT317" s="27"/>
      <c r="AU317" s="27"/>
      <c r="AV317" s="27"/>
      <c r="AW317" s="27"/>
      <c r="AX317" s="27"/>
      <c r="AY317" s="27"/>
      <c r="AZ317" s="27"/>
      <c r="BA317" s="27"/>
      <c r="BB317" s="27"/>
      <c r="BC317" s="27"/>
      <c r="BD317" s="27"/>
      <c r="BE317" s="27"/>
      <c r="BF317" s="27"/>
      <c r="BG317" s="27"/>
      <c r="BH317" s="27"/>
      <c r="BI317" s="27"/>
      <c r="BJ317" s="27"/>
      <c r="BK317" s="27"/>
      <c r="BL317" s="27"/>
      <c r="BM317" s="27"/>
      <c r="BN317" s="27"/>
      <c r="BO317" s="27"/>
      <c r="BP317" s="27"/>
      <c r="BQ317" s="27"/>
      <c r="BR317" s="27"/>
      <c r="BS317" s="27"/>
      <c r="BT317" s="27"/>
    </row>
    <row r="318" spans="1:72" ht="14.25" customHeight="1" x14ac:dyDescent="0.2">
      <c r="A318" s="5"/>
      <c r="B318" s="4">
        <v>2</v>
      </c>
      <c r="C318" s="4" t="s">
        <v>7661</v>
      </c>
      <c r="D318" s="4">
        <v>47123</v>
      </c>
      <c r="E318" s="4">
        <v>11028</v>
      </c>
      <c r="F318" s="4" t="s">
        <v>1411</v>
      </c>
      <c r="G318" s="19" t="s">
        <v>1412</v>
      </c>
      <c r="H318" s="4" t="s">
        <v>891</v>
      </c>
      <c r="I318" s="4" t="s">
        <v>49</v>
      </c>
      <c r="J318" s="4" t="s">
        <v>1413</v>
      </c>
      <c r="K318" s="4">
        <v>1</v>
      </c>
      <c r="L318" s="4">
        <v>13196</v>
      </c>
      <c r="M318" s="9">
        <v>52.370550000000001</v>
      </c>
      <c r="N318" s="9">
        <v>-126.75435</v>
      </c>
      <c r="O318" s="9" t="s">
        <v>51</v>
      </c>
      <c r="P318" s="9">
        <v>47123</v>
      </c>
      <c r="Q318" s="20">
        <v>1</v>
      </c>
      <c r="R318" s="9" t="s">
        <v>1411</v>
      </c>
      <c r="S318" s="11" t="s">
        <v>1414</v>
      </c>
      <c r="T318" s="9" t="s">
        <v>644</v>
      </c>
      <c r="U318" s="9">
        <v>20</v>
      </c>
      <c r="Z318" s="9"/>
      <c r="AA318" s="9" t="s">
        <v>1415</v>
      </c>
      <c r="AB318" s="9"/>
      <c r="AC318" s="21"/>
      <c r="AD318" s="9"/>
      <c r="AE318" s="9"/>
      <c r="AF318" s="9"/>
      <c r="AG318" s="9"/>
    </row>
    <row r="319" spans="1:72" ht="14.25" customHeight="1" x14ac:dyDescent="0.2">
      <c r="A319" s="5"/>
      <c r="B319" s="4">
        <v>2</v>
      </c>
      <c r="C319" s="4" t="s">
        <v>7661</v>
      </c>
      <c r="D319" s="4">
        <v>51121</v>
      </c>
      <c r="E319" s="4">
        <v>2886</v>
      </c>
      <c r="F319" s="4" t="s">
        <v>1416</v>
      </c>
      <c r="G319" s="22" t="s">
        <v>1417</v>
      </c>
      <c r="H319" s="4" t="s">
        <v>1418</v>
      </c>
      <c r="I319" s="4" t="s">
        <v>641</v>
      </c>
      <c r="J319" s="4" t="s">
        <v>670</v>
      </c>
      <c r="K319" s="4">
        <v>1</v>
      </c>
      <c r="L319" s="4">
        <v>3629</v>
      </c>
    </row>
    <row r="320" spans="1:72" ht="14.25" customHeight="1" x14ac:dyDescent="0.2">
      <c r="A320" s="5"/>
      <c r="B320" s="4">
        <v>2</v>
      </c>
      <c r="C320" s="4" t="s">
        <v>7661</v>
      </c>
      <c r="D320" s="4">
        <v>51122</v>
      </c>
      <c r="E320" s="4">
        <v>2887</v>
      </c>
      <c r="F320" s="4" t="s">
        <v>1419</v>
      </c>
      <c r="G320" s="22" t="s">
        <v>1420</v>
      </c>
      <c r="H320" s="4" t="s">
        <v>1421</v>
      </c>
      <c r="I320" s="4" t="s">
        <v>641</v>
      </c>
      <c r="J320" s="4" t="s">
        <v>1371</v>
      </c>
      <c r="K320" s="4">
        <v>1</v>
      </c>
      <c r="L320" s="4">
        <v>3630</v>
      </c>
    </row>
    <row r="321" spans="1:72" ht="14.25" customHeight="1" x14ac:dyDescent="0.2">
      <c r="A321" s="5"/>
      <c r="B321" s="4">
        <v>2</v>
      </c>
      <c r="C321" s="4" t="s">
        <v>7661</v>
      </c>
      <c r="D321" s="4">
        <v>51123</v>
      </c>
      <c r="E321" s="4">
        <v>2888</v>
      </c>
      <c r="F321" s="4" t="s">
        <v>1422</v>
      </c>
      <c r="G321" s="22" t="s">
        <v>1423</v>
      </c>
      <c r="H321" s="4" t="s">
        <v>1424</v>
      </c>
      <c r="I321" s="4" t="s">
        <v>641</v>
      </c>
      <c r="J321" s="4" t="s">
        <v>674</v>
      </c>
      <c r="K321" s="4">
        <v>1</v>
      </c>
      <c r="L321" s="4">
        <v>3631</v>
      </c>
    </row>
    <row r="322" spans="1:72" ht="14.25" customHeight="1" x14ac:dyDescent="0.2">
      <c r="A322" s="5" t="s">
        <v>88</v>
      </c>
      <c r="B322" s="4">
        <v>2</v>
      </c>
      <c r="C322" s="4" t="s">
        <v>7661</v>
      </c>
      <c r="D322" s="4">
        <v>51124</v>
      </c>
      <c r="E322" s="4">
        <v>2889</v>
      </c>
      <c r="F322" s="4" t="s">
        <v>1425</v>
      </c>
      <c r="G322" s="8" t="s">
        <v>1426</v>
      </c>
      <c r="H322" s="4" t="s">
        <v>1427</v>
      </c>
      <c r="I322" s="4" t="s">
        <v>641</v>
      </c>
      <c r="J322" s="4" t="s">
        <v>662</v>
      </c>
      <c r="K322" s="4">
        <v>1</v>
      </c>
      <c r="L322" s="4">
        <v>3632</v>
      </c>
      <c r="M322" s="9">
        <v>56.12</v>
      </c>
      <c r="N322" s="9">
        <v>-129.52642</v>
      </c>
      <c r="O322" s="9" t="s">
        <v>51</v>
      </c>
      <c r="P322" s="9">
        <v>51124</v>
      </c>
      <c r="Q322" s="20">
        <v>7</v>
      </c>
      <c r="R322" s="9" t="s">
        <v>1425</v>
      </c>
      <c r="S322" s="11" t="s">
        <v>1428</v>
      </c>
      <c r="T322" s="9" t="s">
        <v>644</v>
      </c>
      <c r="U322" s="9">
        <v>1490</v>
      </c>
      <c r="Z322" s="9"/>
      <c r="AA322" s="9" t="s">
        <v>1429</v>
      </c>
      <c r="AB322" s="9"/>
      <c r="AC322" s="9"/>
      <c r="AD322" s="9"/>
      <c r="AE322" s="9"/>
      <c r="AF322" s="9"/>
      <c r="AG322" s="9"/>
      <c r="AH322" s="9"/>
      <c r="AI322" s="9"/>
    </row>
    <row r="323" spans="1:72" ht="14.25" customHeight="1" x14ac:dyDescent="0.2">
      <c r="A323" s="5"/>
      <c r="B323" s="4">
        <v>2</v>
      </c>
      <c r="C323" s="4" t="s">
        <v>7661</v>
      </c>
      <c r="D323" s="4">
        <v>51125</v>
      </c>
      <c r="E323" s="4">
        <v>2890</v>
      </c>
      <c r="F323" s="4" t="s">
        <v>1430</v>
      </c>
      <c r="G323" s="19" t="s">
        <v>1431</v>
      </c>
      <c r="H323" s="4" t="s">
        <v>1432</v>
      </c>
      <c r="I323" s="4" t="s">
        <v>641</v>
      </c>
      <c r="J323" s="4" t="s">
        <v>1224</v>
      </c>
      <c r="K323" s="4">
        <v>1</v>
      </c>
      <c r="L323" s="4">
        <v>3633</v>
      </c>
      <c r="M323" s="9">
        <v>56.099719999999998</v>
      </c>
      <c r="N323" s="9">
        <v>-129.75166999999999</v>
      </c>
      <c r="O323" s="9" t="s">
        <v>51</v>
      </c>
      <c r="P323" s="9">
        <v>51125</v>
      </c>
      <c r="Q323" s="20">
        <v>8</v>
      </c>
      <c r="R323" s="9" t="s">
        <v>1430</v>
      </c>
      <c r="S323" s="11" t="s">
        <v>1433</v>
      </c>
      <c r="T323" s="9" t="s">
        <v>644</v>
      </c>
      <c r="U323" s="9">
        <v>2000</v>
      </c>
      <c r="Z323" s="9"/>
      <c r="AA323" s="9" t="s">
        <v>1434</v>
      </c>
      <c r="AB323" s="9"/>
      <c r="AC323" s="9"/>
      <c r="AD323" s="9"/>
      <c r="AE323" s="9"/>
      <c r="AF323" s="9"/>
      <c r="AG323" s="9"/>
      <c r="AH323" s="9"/>
      <c r="AI323" s="9"/>
    </row>
    <row r="324" spans="1:72" ht="14.25" customHeight="1" x14ac:dyDescent="0.2">
      <c r="A324" s="5" t="s">
        <v>88</v>
      </c>
      <c r="B324" s="4">
        <v>2</v>
      </c>
      <c r="C324" s="4" t="s">
        <v>7661</v>
      </c>
      <c r="D324" s="4">
        <v>51126</v>
      </c>
      <c r="E324" s="4">
        <v>2891</v>
      </c>
      <c r="F324" s="4" t="s">
        <v>1435</v>
      </c>
      <c r="G324" s="8" t="s">
        <v>1436</v>
      </c>
      <c r="H324" s="4" t="s">
        <v>1437</v>
      </c>
      <c r="I324" s="4" t="s">
        <v>641</v>
      </c>
      <c r="J324" s="4" t="s">
        <v>1438</v>
      </c>
      <c r="K324" s="4">
        <v>1</v>
      </c>
      <c r="L324" s="4">
        <v>3634</v>
      </c>
      <c r="M324" s="9">
        <v>56.099870000000003</v>
      </c>
      <c r="N324" s="9">
        <v>-129.51218</v>
      </c>
      <c r="O324" s="9" t="s">
        <v>51</v>
      </c>
      <c r="P324" s="9">
        <v>51126</v>
      </c>
      <c r="Q324" s="20">
        <v>3</v>
      </c>
      <c r="R324" s="9" t="s">
        <v>1435</v>
      </c>
      <c r="S324" s="11" t="s">
        <v>1439</v>
      </c>
      <c r="T324" s="9" t="s">
        <v>644</v>
      </c>
      <c r="U324" s="9">
        <v>370</v>
      </c>
      <c r="Z324" s="9" t="s">
        <v>645</v>
      </c>
      <c r="AA324" s="9" t="s">
        <v>1440</v>
      </c>
      <c r="AB324" s="9"/>
      <c r="AC324" s="21"/>
      <c r="AD324" s="9"/>
      <c r="AE324" s="9"/>
      <c r="AF324" s="9"/>
      <c r="AG324" s="9"/>
      <c r="AH324" s="9"/>
      <c r="AI324" s="9"/>
    </row>
    <row r="325" spans="1:72" ht="14.25" customHeight="1" x14ac:dyDescent="0.2">
      <c r="A325" s="5"/>
      <c r="B325" s="4">
        <v>2</v>
      </c>
      <c r="C325" s="4" t="s">
        <v>7661</v>
      </c>
      <c r="D325" s="4">
        <v>51127</v>
      </c>
      <c r="E325" s="4">
        <v>2892</v>
      </c>
      <c r="F325" s="4" t="s">
        <v>1441</v>
      </c>
      <c r="G325" s="19" t="s">
        <v>1442</v>
      </c>
      <c r="H325" s="4" t="s">
        <v>1195</v>
      </c>
      <c r="I325" s="4" t="s">
        <v>641</v>
      </c>
      <c r="J325" s="4" t="s">
        <v>1224</v>
      </c>
      <c r="K325" s="4">
        <v>1</v>
      </c>
      <c r="L325" s="4">
        <v>3635</v>
      </c>
      <c r="M325" s="9">
        <v>56.106310000000001</v>
      </c>
      <c r="N325" s="9">
        <v>-129.65388999999999</v>
      </c>
      <c r="O325" s="9" t="s">
        <v>51</v>
      </c>
      <c r="P325" s="9">
        <v>51127</v>
      </c>
      <c r="Q325" s="20">
        <v>4</v>
      </c>
      <c r="R325" s="9" t="s">
        <v>1441</v>
      </c>
      <c r="S325" s="11" t="s">
        <v>1443</v>
      </c>
      <c r="T325" s="9" t="s">
        <v>644</v>
      </c>
      <c r="U325" s="9">
        <v>540</v>
      </c>
      <c r="Z325" s="9"/>
      <c r="AA325" s="9" t="s">
        <v>1444</v>
      </c>
      <c r="AB325" s="9"/>
      <c r="AC325" s="9"/>
      <c r="AD325" s="9"/>
      <c r="AE325" s="9"/>
      <c r="AF325" s="9"/>
      <c r="AG325" s="9"/>
      <c r="AH325" s="9"/>
      <c r="AI325" s="9"/>
    </row>
    <row r="326" spans="1:72" ht="14.25" customHeight="1" x14ac:dyDescent="0.2">
      <c r="A326" s="5"/>
      <c r="B326" s="4">
        <v>2</v>
      </c>
      <c r="C326" s="4" t="s">
        <v>7661</v>
      </c>
      <c r="D326" s="4">
        <v>51128</v>
      </c>
      <c r="E326" s="4">
        <v>2893</v>
      </c>
      <c r="F326" s="4" t="s">
        <v>1445</v>
      </c>
      <c r="G326" s="19" t="s">
        <v>1446</v>
      </c>
      <c r="H326" s="4" t="s">
        <v>1447</v>
      </c>
      <c r="I326" s="4" t="s">
        <v>641</v>
      </c>
      <c r="J326" s="4" t="s">
        <v>909</v>
      </c>
      <c r="K326" s="4">
        <v>1</v>
      </c>
      <c r="L326" s="4">
        <v>3636</v>
      </c>
      <c r="M326" s="9">
        <v>56.103470000000002</v>
      </c>
      <c r="N326" s="9">
        <v>-129.63297</v>
      </c>
      <c r="O326" s="9" t="s">
        <v>51</v>
      </c>
      <c r="P326" s="9">
        <v>51128</v>
      </c>
      <c r="Q326" s="20">
        <v>3</v>
      </c>
      <c r="R326" s="9" t="s">
        <v>1445</v>
      </c>
      <c r="S326" s="11" t="s">
        <v>1448</v>
      </c>
      <c r="T326" s="9" t="s">
        <v>644</v>
      </c>
      <c r="U326" s="9">
        <v>440</v>
      </c>
      <c r="Z326" s="9"/>
      <c r="AA326" s="9" t="s">
        <v>1449</v>
      </c>
      <c r="AB326" s="9"/>
      <c r="AC326" s="21"/>
      <c r="AD326" s="9"/>
      <c r="AE326" s="9"/>
      <c r="AF326" s="9"/>
      <c r="AG326" s="9"/>
      <c r="AH326" s="9"/>
      <c r="AI326" s="9"/>
    </row>
    <row r="327" spans="1:72" ht="14.25" customHeight="1" x14ac:dyDescent="0.2">
      <c r="A327" s="5"/>
      <c r="B327" s="4">
        <v>2</v>
      </c>
      <c r="C327" s="4" t="s">
        <v>7661</v>
      </c>
      <c r="D327" s="4">
        <v>51129</v>
      </c>
      <c r="E327" s="4">
        <v>2894</v>
      </c>
      <c r="F327" s="4" t="s">
        <v>1450</v>
      </c>
      <c r="G327" s="19" t="s">
        <v>1451</v>
      </c>
      <c r="H327" s="4" t="s">
        <v>1452</v>
      </c>
      <c r="I327" s="4" t="s">
        <v>641</v>
      </c>
      <c r="J327" s="4" t="s">
        <v>1453</v>
      </c>
      <c r="K327" s="4">
        <v>1</v>
      </c>
      <c r="L327" s="4">
        <v>3637</v>
      </c>
      <c r="M327" s="9">
        <v>55.948079999999997</v>
      </c>
      <c r="N327" s="9">
        <v>-129.98264</v>
      </c>
      <c r="O327" s="9" t="s">
        <v>51</v>
      </c>
      <c r="P327" s="9">
        <v>51129</v>
      </c>
      <c r="Q327" s="20">
        <v>1</v>
      </c>
      <c r="R327" s="9" t="s">
        <v>1450</v>
      </c>
      <c r="S327" s="11" t="s">
        <v>1454</v>
      </c>
      <c r="T327" s="9" t="s">
        <v>644</v>
      </c>
      <c r="U327" s="9">
        <v>15</v>
      </c>
      <c r="Z327" s="9" t="s">
        <v>645</v>
      </c>
      <c r="AA327" s="9" t="s">
        <v>1455</v>
      </c>
      <c r="AB327" s="9"/>
      <c r="AC327" s="9"/>
      <c r="AD327" s="9"/>
      <c r="AE327" s="9"/>
      <c r="AF327" s="9"/>
      <c r="AG327" s="9"/>
      <c r="AH327" s="9"/>
      <c r="AI327" s="9"/>
    </row>
    <row r="328" spans="1:72" ht="14.25" customHeight="1" x14ac:dyDescent="0.2">
      <c r="A328" s="5"/>
      <c r="B328" s="4">
        <v>2</v>
      </c>
      <c r="C328" s="4" t="s">
        <v>7661</v>
      </c>
      <c r="D328" s="4">
        <v>51130</v>
      </c>
      <c r="E328" s="4">
        <v>2895</v>
      </c>
      <c r="F328" s="4" t="s">
        <v>1456</v>
      </c>
      <c r="G328" s="22" t="s">
        <v>1457</v>
      </c>
      <c r="H328" s="4" t="s">
        <v>1458</v>
      </c>
      <c r="I328" s="4" t="s">
        <v>641</v>
      </c>
      <c r="J328" s="4" t="s">
        <v>1459</v>
      </c>
      <c r="K328" s="4">
        <v>1</v>
      </c>
      <c r="L328" s="4">
        <v>3638</v>
      </c>
    </row>
    <row r="329" spans="1:72" ht="14.25" customHeight="1" x14ac:dyDescent="0.2">
      <c r="A329" s="5"/>
      <c r="B329" s="4">
        <v>2</v>
      </c>
      <c r="C329" s="4" t="s">
        <v>7661</v>
      </c>
      <c r="D329" s="4">
        <v>51137</v>
      </c>
      <c r="E329" s="4">
        <v>12507</v>
      </c>
      <c r="F329" s="27" t="s">
        <v>1460</v>
      </c>
      <c r="G329" s="19" t="s">
        <v>1461</v>
      </c>
      <c r="H329" s="4" t="s">
        <v>679</v>
      </c>
      <c r="I329" s="4" t="s">
        <v>49</v>
      </c>
      <c r="J329" s="4" t="s">
        <v>1462</v>
      </c>
      <c r="K329" s="4">
        <v>1</v>
      </c>
      <c r="L329" s="4">
        <v>14529</v>
      </c>
      <c r="M329" s="9">
        <v>56.110239999999997</v>
      </c>
      <c r="N329" s="9">
        <v>-129.51526999999999</v>
      </c>
      <c r="O329" s="9" t="s">
        <v>51</v>
      </c>
      <c r="P329" s="9">
        <v>51137</v>
      </c>
      <c r="Q329" s="20">
        <v>5</v>
      </c>
      <c r="R329" s="9" t="s">
        <v>1460</v>
      </c>
      <c r="S329" s="11" t="s">
        <v>1463</v>
      </c>
      <c r="T329" s="9" t="s">
        <v>644</v>
      </c>
      <c r="U329" s="9">
        <v>1028</v>
      </c>
      <c r="V329" s="27"/>
      <c r="W329" s="27"/>
      <c r="X329" s="27"/>
      <c r="Y329" s="27"/>
      <c r="Z329" s="27"/>
      <c r="AA329" s="27" t="s">
        <v>1464</v>
      </c>
      <c r="AB329" s="27"/>
      <c r="AC329" s="27"/>
      <c r="AD329" s="27"/>
      <c r="AE329" s="27"/>
      <c r="AF329" s="27"/>
      <c r="AG329" s="27"/>
      <c r="AH329" s="27"/>
      <c r="AI329" s="27"/>
      <c r="AJ329" s="27"/>
      <c r="AK329" s="27"/>
      <c r="AL329" s="27"/>
      <c r="AM329" s="27"/>
      <c r="AN329" s="27"/>
      <c r="AO329" s="27"/>
      <c r="AP329" s="27"/>
      <c r="AQ329" s="27"/>
      <c r="AR329" s="27"/>
      <c r="AS329" s="27"/>
      <c r="AT329" s="27"/>
      <c r="AU329" s="27"/>
      <c r="AV329" s="27"/>
      <c r="AW329" s="27"/>
      <c r="AX329" s="27"/>
      <c r="AY329" s="27"/>
      <c r="AZ329" s="27"/>
      <c r="BA329" s="27"/>
      <c r="BB329" s="27"/>
      <c r="BC329" s="27"/>
      <c r="BD329" s="27"/>
      <c r="BE329" s="27"/>
      <c r="BF329" s="27"/>
      <c r="BG329" s="27"/>
      <c r="BH329" s="27"/>
      <c r="BI329" s="27"/>
      <c r="BJ329" s="27"/>
      <c r="BK329" s="27"/>
      <c r="BL329" s="27"/>
      <c r="BM329" s="27"/>
      <c r="BN329" s="27"/>
      <c r="BO329" s="27"/>
      <c r="BP329" s="27"/>
      <c r="BQ329" s="27"/>
      <c r="BR329" s="27"/>
      <c r="BS329" s="27"/>
      <c r="BT329" s="27"/>
    </row>
    <row r="330" spans="1:72" ht="14.25" customHeight="1" x14ac:dyDescent="0.2">
      <c r="A330" s="5"/>
      <c r="B330" s="4">
        <v>2</v>
      </c>
      <c r="C330" s="4" t="s">
        <v>7661</v>
      </c>
      <c r="D330" s="4">
        <v>51191</v>
      </c>
      <c r="E330" s="4">
        <v>2896</v>
      </c>
      <c r="F330" s="4" t="s">
        <v>1465</v>
      </c>
      <c r="G330" s="19" t="s">
        <v>1466</v>
      </c>
      <c r="H330" s="4" t="s">
        <v>1467</v>
      </c>
      <c r="I330" s="4" t="s">
        <v>641</v>
      </c>
      <c r="J330" s="4" t="s">
        <v>642</v>
      </c>
      <c r="K330" s="4">
        <v>1</v>
      </c>
      <c r="L330" s="4">
        <v>3639</v>
      </c>
      <c r="M330" s="9">
        <v>55.632219999999997</v>
      </c>
      <c r="N330" s="9">
        <v>-128.67277999999999</v>
      </c>
      <c r="O330" s="9" t="s">
        <v>51</v>
      </c>
      <c r="P330" s="9">
        <v>51191</v>
      </c>
      <c r="Q330" s="20">
        <v>3</v>
      </c>
      <c r="R330" s="9" t="s">
        <v>1465</v>
      </c>
      <c r="S330" s="11" t="s">
        <v>1468</v>
      </c>
      <c r="T330" s="9" t="s">
        <v>644</v>
      </c>
      <c r="U330" s="9">
        <v>356</v>
      </c>
      <c r="Z330" s="9"/>
      <c r="AA330" s="9" t="s">
        <v>1469</v>
      </c>
      <c r="AB330" s="9"/>
      <c r="AC330" s="21"/>
      <c r="AD330" s="9"/>
      <c r="AE330" s="9"/>
      <c r="AF330" s="9"/>
      <c r="AG330" s="9"/>
      <c r="AH330" s="9"/>
      <c r="AI330" s="9"/>
    </row>
    <row r="331" spans="1:72" ht="14.25" customHeight="1" x14ac:dyDescent="0.2">
      <c r="A331" s="5" t="s">
        <v>772</v>
      </c>
      <c r="B331" s="4">
        <v>2</v>
      </c>
      <c r="C331" s="4" t="s">
        <v>7661</v>
      </c>
      <c r="D331" s="4">
        <v>51193</v>
      </c>
      <c r="E331" s="4">
        <v>13019</v>
      </c>
      <c r="F331" s="33" t="s">
        <v>1470</v>
      </c>
      <c r="G331" s="8" t="s">
        <v>1471</v>
      </c>
      <c r="H331" s="4" t="s">
        <v>792</v>
      </c>
      <c r="I331" s="4" t="s">
        <v>49</v>
      </c>
      <c r="J331" s="4" t="s">
        <v>793</v>
      </c>
      <c r="K331" s="4">
        <v>1</v>
      </c>
      <c r="L331" s="4">
        <v>14951</v>
      </c>
      <c r="M331" s="4">
        <v>55.246789999999997</v>
      </c>
      <c r="N331" s="4">
        <v>-128.05073999999999</v>
      </c>
      <c r="O331" s="4" t="s">
        <v>51</v>
      </c>
      <c r="P331" s="4">
        <v>51193</v>
      </c>
      <c r="Q331" s="4">
        <v>3</v>
      </c>
      <c r="R331" s="4" t="s">
        <v>1472</v>
      </c>
      <c r="S331" s="4" t="s">
        <v>1473</v>
      </c>
      <c r="T331" s="4" t="s">
        <v>644</v>
      </c>
      <c r="U331" s="4">
        <v>320</v>
      </c>
      <c r="V331" s="27"/>
      <c r="W331" s="27"/>
      <c r="X331" s="27"/>
      <c r="Y331" s="27"/>
      <c r="Z331" s="27"/>
      <c r="AA331" s="27" t="s">
        <v>1474</v>
      </c>
      <c r="AB331" s="27"/>
      <c r="AC331" s="27"/>
      <c r="AD331" s="27"/>
      <c r="AE331" s="27"/>
      <c r="AF331" s="27"/>
      <c r="AG331" s="27"/>
      <c r="AH331" s="27"/>
      <c r="AI331" s="27"/>
      <c r="AJ331" s="27"/>
      <c r="AK331" s="27"/>
      <c r="AL331" s="27"/>
      <c r="AM331" s="27"/>
      <c r="AN331" s="27"/>
      <c r="AO331" s="27"/>
      <c r="AP331" s="27"/>
      <c r="AQ331" s="27"/>
      <c r="AR331" s="27"/>
      <c r="AS331" s="27"/>
      <c r="AT331" s="27"/>
      <c r="AU331" s="27"/>
      <c r="AV331" s="27"/>
      <c r="AW331" s="27"/>
      <c r="AX331" s="27"/>
      <c r="AY331" s="27"/>
      <c r="AZ331" s="27"/>
      <c r="BA331" s="27"/>
      <c r="BB331" s="27"/>
      <c r="BC331" s="27"/>
      <c r="BD331" s="27"/>
      <c r="BE331" s="27"/>
      <c r="BF331" s="27"/>
      <c r="BG331" s="27"/>
      <c r="BH331" s="27"/>
      <c r="BI331" s="27"/>
      <c r="BJ331" s="27"/>
      <c r="BK331" s="27"/>
      <c r="BL331" s="27"/>
      <c r="BM331" s="27"/>
      <c r="BN331" s="27"/>
      <c r="BO331" s="27"/>
      <c r="BP331" s="27"/>
      <c r="BQ331" s="27"/>
      <c r="BR331" s="27"/>
      <c r="BS331" s="27"/>
      <c r="BT331" s="27"/>
    </row>
    <row r="332" spans="1:72" ht="14.25" customHeight="1" x14ac:dyDescent="0.2">
      <c r="A332" s="5"/>
      <c r="B332" s="4">
        <v>2</v>
      </c>
      <c r="C332" s="4" t="s">
        <v>7661</v>
      </c>
      <c r="D332" s="4">
        <v>52091</v>
      </c>
      <c r="E332" s="4">
        <v>2900</v>
      </c>
      <c r="F332" s="4" t="s">
        <v>1475</v>
      </c>
      <c r="G332" s="19" t="s">
        <v>1476</v>
      </c>
      <c r="H332" s="4" t="s">
        <v>1477</v>
      </c>
      <c r="I332" s="4" t="s">
        <v>641</v>
      </c>
      <c r="J332" s="4" t="s">
        <v>755</v>
      </c>
      <c r="K332" s="4">
        <v>1</v>
      </c>
      <c r="L332" s="4">
        <v>3643</v>
      </c>
      <c r="M332" s="9">
        <v>54.746389999999998</v>
      </c>
      <c r="N332" s="9">
        <v>-128.26111</v>
      </c>
      <c r="O332" s="9" t="s">
        <v>51</v>
      </c>
      <c r="P332" s="9">
        <v>52091</v>
      </c>
      <c r="Q332" s="20">
        <v>2</v>
      </c>
      <c r="R332" s="9" t="s">
        <v>1475</v>
      </c>
      <c r="S332" s="11" t="s">
        <v>1478</v>
      </c>
      <c r="T332" s="9" t="s">
        <v>644</v>
      </c>
      <c r="U332" s="9">
        <v>130</v>
      </c>
      <c r="Z332" s="9" t="s">
        <v>645</v>
      </c>
      <c r="AA332" s="9" t="s">
        <v>1479</v>
      </c>
      <c r="AB332" s="9"/>
      <c r="AC332" s="21"/>
      <c r="AD332" s="9"/>
      <c r="AE332" s="9"/>
      <c r="AF332" s="9"/>
      <c r="AG332" s="9"/>
      <c r="AH332" s="9"/>
      <c r="AI332" s="9"/>
    </row>
    <row r="333" spans="1:72" ht="14.25" customHeight="1" x14ac:dyDescent="0.2">
      <c r="A333" s="5"/>
      <c r="B333" s="4">
        <v>2</v>
      </c>
      <c r="C333" s="4" t="s">
        <v>7661</v>
      </c>
      <c r="D333" s="4">
        <v>52092</v>
      </c>
      <c r="E333" s="4">
        <v>2901</v>
      </c>
      <c r="F333" s="4" t="s">
        <v>1480</v>
      </c>
      <c r="G333" s="19" t="s">
        <v>1481</v>
      </c>
      <c r="H333" s="4" t="s">
        <v>1482</v>
      </c>
      <c r="I333" s="4" t="s">
        <v>641</v>
      </c>
      <c r="J333" s="4" t="s">
        <v>755</v>
      </c>
      <c r="K333" s="4">
        <v>1</v>
      </c>
      <c r="L333" s="4">
        <v>3644</v>
      </c>
      <c r="M333" s="9">
        <v>54.937220000000003</v>
      </c>
      <c r="N333" s="9">
        <v>-128.89361</v>
      </c>
      <c r="O333" s="9" t="s">
        <v>51</v>
      </c>
      <c r="P333" s="9">
        <v>52092</v>
      </c>
      <c r="Q333" s="20">
        <v>2</v>
      </c>
      <c r="R333" s="9" t="s">
        <v>1480</v>
      </c>
      <c r="S333" s="11" t="s">
        <v>1483</v>
      </c>
      <c r="T333" s="9" t="s">
        <v>644</v>
      </c>
      <c r="U333" s="9">
        <v>280</v>
      </c>
      <c r="Z333" s="9" t="s">
        <v>645</v>
      </c>
      <c r="AA333" s="9" t="s">
        <v>1484</v>
      </c>
      <c r="AB333" s="9"/>
      <c r="AC333" s="21"/>
      <c r="AD333" s="9"/>
      <c r="AE333" s="9"/>
      <c r="AF333" s="9"/>
      <c r="AG333" s="9"/>
      <c r="AH333" s="9"/>
      <c r="AI333" s="9"/>
    </row>
    <row r="334" spans="1:72" ht="14.25" customHeight="1" x14ac:dyDescent="0.2">
      <c r="A334" s="5"/>
      <c r="B334" s="4">
        <v>2</v>
      </c>
      <c r="C334" s="4" t="s">
        <v>7661</v>
      </c>
      <c r="D334" s="4">
        <v>52093</v>
      </c>
      <c r="E334" s="4">
        <v>2902</v>
      </c>
      <c r="F334" s="4" t="s">
        <v>1485</v>
      </c>
      <c r="G334" s="19" t="s">
        <v>1486</v>
      </c>
      <c r="H334" s="4" t="s">
        <v>1487</v>
      </c>
      <c r="I334" s="4" t="s">
        <v>641</v>
      </c>
      <c r="J334" s="4" t="s">
        <v>755</v>
      </c>
      <c r="K334" s="4">
        <v>1</v>
      </c>
      <c r="L334" s="4">
        <v>3645</v>
      </c>
      <c r="M334" s="9">
        <v>54.302219999999998</v>
      </c>
      <c r="N334" s="9">
        <v>-128.53778</v>
      </c>
      <c r="O334" s="9" t="s">
        <v>51</v>
      </c>
      <c r="P334" s="9">
        <v>52093</v>
      </c>
      <c r="Q334" s="20">
        <v>2</v>
      </c>
      <c r="R334" s="9" t="s">
        <v>1485</v>
      </c>
      <c r="S334" s="11" t="s">
        <v>1488</v>
      </c>
      <c r="T334" s="9" t="s">
        <v>644</v>
      </c>
      <c r="U334" s="9">
        <v>220</v>
      </c>
      <c r="Z334" s="9" t="s">
        <v>645</v>
      </c>
      <c r="AA334" s="9" t="s">
        <v>1489</v>
      </c>
      <c r="AB334" s="9"/>
      <c r="AC334" s="21"/>
      <c r="AD334" s="9"/>
      <c r="AE334" s="9"/>
      <c r="AF334" s="9"/>
      <c r="AG334" s="9"/>
      <c r="AH334" s="9"/>
      <c r="AI334" s="9"/>
    </row>
    <row r="335" spans="1:72" ht="14.25" customHeight="1" x14ac:dyDescent="0.2">
      <c r="A335" s="5"/>
      <c r="B335" s="4">
        <v>2</v>
      </c>
      <c r="C335" s="4" t="s">
        <v>7661</v>
      </c>
      <c r="D335" s="4">
        <v>52322</v>
      </c>
      <c r="E335" s="4">
        <v>2904</v>
      </c>
      <c r="F335" s="4" t="s">
        <v>1490</v>
      </c>
      <c r="G335" s="19" t="s">
        <v>1491</v>
      </c>
      <c r="H335" s="4" t="s">
        <v>1492</v>
      </c>
      <c r="I335" s="4" t="s">
        <v>641</v>
      </c>
      <c r="J335" s="4" t="s">
        <v>662</v>
      </c>
      <c r="K335" s="4">
        <v>1</v>
      </c>
      <c r="L335" s="4">
        <v>3647</v>
      </c>
      <c r="M335" s="34">
        <v>54.301609999999997</v>
      </c>
      <c r="N335" s="34">
        <v>-129.44333</v>
      </c>
      <c r="O335" s="35" t="s">
        <v>51</v>
      </c>
      <c r="P335" s="9">
        <v>52322</v>
      </c>
      <c r="Q335" s="20">
        <v>7</v>
      </c>
      <c r="R335" s="34" t="s">
        <v>1490</v>
      </c>
      <c r="S335" s="11" t="s">
        <v>1493</v>
      </c>
      <c r="T335" s="9" t="s">
        <v>644</v>
      </c>
      <c r="U335" s="9">
        <v>1435</v>
      </c>
      <c r="Z335" s="9"/>
      <c r="AA335" s="9" t="s">
        <v>1494</v>
      </c>
      <c r="AB335" s="9"/>
      <c r="AC335" s="9"/>
      <c r="AD335" s="9"/>
      <c r="AE335" s="9"/>
      <c r="AF335" s="9"/>
      <c r="AG335" s="9"/>
      <c r="AH335" s="9"/>
      <c r="AI335" s="9"/>
    </row>
    <row r="336" spans="1:72" ht="14.25" customHeight="1" x14ac:dyDescent="0.2">
      <c r="A336" s="5" t="s">
        <v>88</v>
      </c>
      <c r="B336" s="4">
        <v>2</v>
      </c>
      <c r="C336" s="4" t="s">
        <v>7661</v>
      </c>
      <c r="D336" s="4">
        <v>52325</v>
      </c>
      <c r="E336" s="4">
        <v>2905</v>
      </c>
      <c r="F336" s="4" t="s">
        <v>1495</v>
      </c>
      <c r="G336" s="8" t="s">
        <v>1496</v>
      </c>
      <c r="H336" s="4" t="s">
        <v>1497</v>
      </c>
      <c r="I336" s="4" t="s">
        <v>641</v>
      </c>
      <c r="J336" s="4" t="s">
        <v>1224</v>
      </c>
      <c r="K336" s="4">
        <v>1</v>
      </c>
      <c r="L336" s="4">
        <v>3648</v>
      </c>
      <c r="M336" s="9">
        <v>54.303609999999999</v>
      </c>
      <c r="N336" s="9">
        <v>-129.41833</v>
      </c>
      <c r="O336" s="9" t="s">
        <v>51</v>
      </c>
      <c r="P336" s="9">
        <v>52325</v>
      </c>
      <c r="Q336" s="20">
        <v>4</v>
      </c>
      <c r="R336" s="9" t="s">
        <v>1495</v>
      </c>
      <c r="S336" s="11" t="s">
        <v>1498</v>
      </c>
      <c r="T336" s="9" t="s">
        <v>644</v>
      </c>
      <c r="U336" s="9">
        <v>730</v>
      </c>
      <c r="Z336" s="9"/>
      <c r="AA336" s="9" t="s">
        <v>1499</v>
      </c>
      <c r="AB336" s="9"/>
      <c r="AC336" s="9"/>
      <c r="AD336" s="9"/>
      <c r="AE336" s="9"/>
      <c r="AF336" s="9"/>
      <c r="AG336" s="9"/>
      <c r="AH336" s="9"/>
      <c r="AI336" s="9"/>
    </row>
    <row r="337" spans="1:72" ht="14.25" customHeight="1" x14ac:dyDescent="0.2">
      <c r="A337" s="5" t="s">
        <v>88</v>
      </c>
      <c r="B337" s="4">
        <v>2</v>
      </c>
      <c r="C337" s="4" t="s">
        <v>7661</v>
      </c>
      <c r="D337" s="4">
        <v>52326</v>
      </c>
      <c r="E337" s="4">
        <v>2906</v>
      </c>
      <c r="F337" s="4" t="s">
        <v>1500</v>
      </c>
      <c r="G337" s="8" t="s">
        <v>1501</v>
      </c>
      <c r="H337" s="4" t="s">
        <v>1502</v>
      </c>
      <c r="I337" s="4" t="s">
        <v>641</v>
      </c>
      <c r="J337" s="4" t="s">
        <v>755</v>
      </c>
      <c r="K337" s="4">
        <v>1</v>
      </c>
      <c r="L337" s="4">
        <v>3649</v>
      </c>
      <c r="M337" s="8">
        <v>54.313549999999999</v>
      </c>
      <c r="N337" s="8">
        <v>-129.35075000000001</v>
      </c>
      <c r="O337" s="4" t="s">
        <v>51</v>
      </c>
      <c r="P337" s="4">
        <v>52326</v>
      </c>
      <c r="Q337" s="4">
        <v>1</v>
      </c>
      <c r="R337" s="4" t="s">
        <v>1500</v>
      </c>
      <c r="S337" s="4" t="s">
        <v>1503</v>
      </c>
      <c r="T337" s="4" t="s">
        <v>644</v>
      </c>
      <c r="U337" s="4">
        <v>12</v>
      </c>
      <c r="Z337" s="4" t="s">
        <v>645</v>
      </c>
      <c r="AA337" s="4" t="s">
        <v>1504</v>
      </c>
    </row>
    <row r="338" spans="1:72" ht="14.25" customHeight="1" x14ac:dyDescent="0.2">
      <c r="A338" s="5" t="s">
        <v>88</v>
      </c>
      <c r="B338" s="4">
        <v>2</v>
      </c>
      <c r="C338" s="4" t="s">
        <v>7661</v>
      </c>
      <c r="D338" s="4">
        <v>52327</v>
      </c>
      <c r="E338" s="4">
        <v>2907</v>
      </c>
      <c r="F338" s="4" t="s">
        <v>1505</v>
      </c>
      <c r="G338" s="8" t="s">
        <v>1506</v>
      </c>
      <c r="H338" s="4" t="s">
        <v>1507</v>
      </c>
      <c r="I338" s="4" t="s">
        <v>641</v>
      </c>
      <c r="J338" s="4" t="s">
        <v>1137</v>
      </c>
      <c r="K338" s="4">
        <v>1</v>
      </c>
      <c r="L338" s="4">
        <v>3650</v>
      </c>
      <c r="M338" s="9"/>
      <c r="N338" s="9"/>
      <c r="O338" s="9"/>
      <c r="P338" s="9"/>
      <c r="Q338" s="20"/>
      <c r="R338" s="9"/>
      <c r="S338" s="11"/>
      <c r="T338" s="9"/>
      <c r="U338" s="9"/>
      <c r="Z338" s="9"/>
      <c r="AA338" s="9"/>
      <c r="AB338" s="9"/>
      <c r="AC338" s="21"/>
      <c r="AD338" s="9"/>
      <c r="AE338" s="9"/>
      <c r="AF338" s="9"/>
      <c r="AG338" s="9"/>
      <c r="AH338" s="9"/>
      <c r="AI338" s="9"/>
    </row>
    <row r="339" spans="1:72" ht="14.25" customHeight="1" x14ac:dyDescent="0.2">
      <c r="A339" s="5"/>
      <c r="B339" s="4">
        <v>2</v>
      </c>
      <c r="C339" s="4" t="s">
        <v>7661</v>
      </c>
      <c r="D339" s="4">
        <v>52391</v>
      </c>
      <c r="E339" s="4">
        <v>11029</v>
      </c>
      <c r="F339" s="4" t="s">
        <v>1508</v>
      </c>
      <c r="G339" s="19" t="s">
        <v>1509</v>
      </c>
      <c r="H339" s="4" t="s">
        <v>891</v>
      </c>
      <c r="I339" s="4" t="s">
        <v>49</v>
      </c>
      <c r="J339" s="4" t="s">
        <v>710</v>
      </c>
      <c r="K339" s="4">
        <v>1</v>
      </c>
      <c r="L339" s="4">
        <v>13197</v>
      </c>
      <c r="M339" s="9">
        <v>54.208419999999997</v>
      </c>
      <c r="N339" s="9">
        <v>-129.98168999999999</v>
      </c>
      <c r="O339" s="9" t="s">
        <v>51</v>
      </c>
      <c r="P339" s="9">
        <v>52391</v>
      </c>
      <c r="Q339" s="20">
        <v>1</v>
      </c>
      <c r="R339" s="9" t="s">
        <v>1508</v>
      </c>
      <c r="S339" s="11" t="s">
        <v>1510</v>
      </c>
      <c r="T339" s="9" t="s">
        <v>644</v>
      </c>
      <c r="U339" s="9">
        <v>12</v>
      </c>
      <c r="Z339" s="9"/>
      <c r="AA339" s="9" t="s">
        <v>1511</v>
      </c>
      <c r="AB339" s="9"/>
      <c r="AC339" s="21"/>
      <c r="AD339" s="9"/>
      <c r="AE339" s="9"/>
      <c r="AF339" s="9"/>
      <c r="AG339" s="9"/>
      <c r="AH339" s="9"/>
      <c r="AI339" s="9"/>
    </row>
    <row r="340" spans="1:72" ht="14.25" customHeight="1" x14ac:dyDescent="0.2">
      <c r="A340" s="5" t="s">
        <v>88</v>
      </c>
      <c r="B340" s="4">
        <v>2</v>
      </c>
      <c r="C340" s="4" t="s">
        <v>7661</v>
      </c>
      <c r="D340" s="4">
        <v>52401</v>
      </c>
      <c r="E340" s="4">
        <v>2908</v>
      </c>
      <c r="F340" s="4" t="s">
        <v>1512</v>
      </c>
      <c r="G340" s="8" t="s">
        <v>1513</v>
      </c>
      <c r="H340" s="4" t="s">
        <v>1514</v>
      </c>
      <c r="I340" s="4" t="s">
        <v>641</v>
      </c>
      <c r="J340" s="4" t="s">
        <v>1515</v>
      </c>
      <c r="K340" s="4">
        <v>1</v>
      </c>
      <c r="L340" s="4">
        <v>3651</v>
      </c>
      <c r="M340" s="9">
        <v>54.486710000000002</v>
      </c>
      <c r="N340" s="9">
        <v>-128.95366999999999</v>
      </c>
      <c r="O340" s="9" t="s">
        <v>51</v>
      </c>
      <c r="P340" s="9">
        <v>52401</v>
      </c>
      <c r="Q340" s="20">
        <v>4</v>
      </c>
      <c r="R340" s="9" t="s">
        <v>1512</v>
      </c>
      <c r="S340" s="11" t="s">
        <v>1516</v>
      </c>
      <c r="T340" s="9" t="s">
        <v>644</v>
      </c>
      <c r="U340" s="9">
        <v>742</v>
      </c>
      <c r="Z340" s="9" t="s">
        <v>645</v>
      </c>
      <c r="AA340" s="9" t="s">
        <v>1517</v>
      </c>
      <c r="AB340" s="9"/>
      <c r="AC340" s="21"/>
      <c r="AD340" s="9"/>
      <c r="AE340" s="9"/>
      <c r="AF340" s="9"/>
      <c r="AG340" s="9"/>
      <c r="AH340" s="9"/>
      <c r="AI340" s="9"/>
    </row>
    <row r="341" spans="1:72" ht="14.25" customHeight="1" x14ac:dyDescent="0.2">
      <c r="A341" s="5"/>
      <c r="B341" s="4">
        <v>2</v>
      </c>
      <c r="C341" s="4" t="s">
        <v>7661</v>
      </c>
      <c r="D341" s="4">
        <v>52521</v>
      </c>
      <c r="E341" s="4">
        <v>2910</v>
      </c>
      <c r="F341" s="4" t="s">
        <v>1518</v>
      </c>
      <c r="G341" s="19" t="s">
        <v>1519</v>
      </c>
      <c r="H341" s="4" t="s">
        <v>1520</v>
      </c>
      <c r="I341" s="4" t="s">
        <v>641</v>
      </c>
      <c r="J341" s="4" t="s">
        <v>1521</v>
      </c>
      <c r="K341" s="4">
        <v>1</v>
      </c>
      <c r="L341" s="4">
        <v>3653</v>
      </c>
      <c r="M341" s="9">
        <v>55.010330000000003</v>
      </c>
      <c r="N341" s="9">
        <v>-129.77636000000001</v>
      </c>
      <c r="O341" s="9" t="s">
        <v>51</v>
      </c>
      <c r="P341" s="9">
        <v>52521</v>
      </c>
      <c r="Q341" s="20">
        <v>5</v>
      </c>
      <c r="R341" s="9" t="s">
        <v>1518</v>
      </c>
      <c r="S341" s="11" t="s">
        <v>1522</v>
      </c>
      <c r="T341" s="9" t="s">
        <v>644</v>
      </c>
      <c r="U341" s="9">
        <v>860</v>
      </c>
      <c r="Z341" s="9"/>
      <c r="AA341" s="9" t="s">
        <v>1523</v>
      </c>
      <c r="AB341" s="9"/>
      <c r="AC341" s="9"/>
      <c r="AD341" s="9"/>
      <c r="AE341" s="9"/>
      <c r="AF341" s="9"/>
      <c r="AG341" s="9"/>
      <c r="AH341" s="9"/>
      <c r="AI341" s="9"/>
    </row>
    <row r="342" spans="1:72" ht="14.25" customHeight="1" x14ac:dyDescent="0.2">
      <c r="A342" s="5"/>
      <c r="B342" s="4">
        <v>2</v>
      </c>
      <c r="C342" s="4" t="s">
        <v>7661</v>
      </c>
      <c r="D342" s="4">
        <v>52522</v>
      </c>
      <c r="E342" s="4">
        <v>2911</v>
      </c>
      <c r="F342" s="27" t="s">
        <v>1524</v>
      </c>
      <c r="G342" s="19" t="s">
        <v>1525</v>
      </c>
      <c r="H342" s="4" t="s">
        <v>1526</v>
      </c>
      <c r="I342" s="4" t="s">
        <v>641</v>
      </c>
      <c r="J342" s="4" t="s">
        <v>1527</v>
      </c>
      <c r="K342" s="4">
        <v>1</v>
      </c>
      <c r="L342" s="4">
        <v>3654</v>
      </c>
      <c r="M342" s="27">
        <v>55.001860000000001</v>
      </c>
      <c r="N342" s="27">
        <v>-129.88126</v>
      </c>
      <c r="O342" s="27" t="s">
        <v>51</v>
      </c>
      <c r="P342" s="27">
        <v>52522</v>
      </c>
      <c r="Q342" s="29">
        <v>1</v>
      </c>
      <c r="R342" s="27" t="s">
        <v>1524</v>
      </c>
      <c r="S342" s="30" t="s">
        <v>1528</v>
      </c>
      <c r="T342" s="27" t="s">
        <v>644</v>
      </c>
      <c r="U342" s="27">
        <v>30</v>
      </c>
      <c r="V342" s="27"/>
      <c r="W342" s="27"/>
      <c r="X342" s="27"/>
      <c r="Y342" s="27"/>
      <c r="Z342" s="27" t="s">
        <v>645</v>
      </c>
      <c r="AA342" s="27" t="s">
        <v>1529</v>
      </c>
      <c r="AB342" s="27"/>
      <c r="AC342" s="27"/>
      <c r="AD342" s="27"/>
      <c r="AE342" s="27"/>
      <c r="AF342" s="27"/>
      <c r="AG342" s="27"/>
      <c r="AH342" s="27"/>
      <c r="AI342" s="27"/>
      <c r="AJ342" s="27"/>
      <c r="AK342" s="27"/>
      <c r="AL342" s="27"/>
      <c r="AM342" s="27"/>
      <c r="AN342" s="27"/>
      <c r="AO342" s="27"/>
      <c r="AP342" s="27"/>
      <c r="AQ342" s="27"/>
      <c r="AR342" s="27"/>
      <c r="AS342" s="27"/>
      <c r="AT342" s="27"/>
      <c r="AU342" s="27"/>
      <c r="AV342" s="27"/>
      <c r="AW342" s="27"/>
      <c r="AX342" s="27"/>
      <c r="AY342" s="27"/>
      <c r="AZ342" s="27"/>
      <c r="BA342" s="27"/>
      <c r="BB342" s="27"/>
      <c r="BC342" s="27"/>
      <c r="BD342" s="27"/>
      <c r="BE342" s="27"/>
      <c r="BF342" s="27"/>
      <c r="BG342" s="27"/>
      <c r="BH342" s="27"/>
      <c r="BI342" s="27"/>
      <c r="BJ342" s="27"/>
      <c r="BK342" s="27"/>
      <c r="BL342" s="27"/>
      <c r="BM342" s="27"/>
      <c r="BN342" s="27"/>
      <c r="BO342" s="27"/>
      <c r="BP342" s="27"/>
      <c r="BQ342" s="27"/>
      <c r="BR342" s="27"/>
      <c r="BS342" s="27"/>
      <c r="BT342" s="27"/>
    </row>
    <row r="343" spans="1:72" ht="14.25" customHeight="1" x14ac:dyDescent="0.2">
      <c r="A343" s="5"/>
      <c r="B343" s="4">
        <v>2</v>
      </c>
      <c r="C343" s="4" t="s">
        <v>7661</v>
      </c>
      <c r="D343" s="4">
        <v>52591</v>
      </c>
      <c r="E343" s="4">
        <v>12491</v>
      </c>
      <c r="F343" s="4" t="s">
        <v>1530</v>
      </c>
      <c r="G343" s="22" t="s">
        <v>1531</v>
      </c>
      <c r="H343" s="4" t="s">
        <v>709</v>
      </c>
      <c r="I343" s="4" t="s">
        <v>49</v>
      </c>
      <c r="J343" s="4" t="s">
        <v>710</v>
      </c>
      <c r="K343" s="4">
        <v>1</v>
      </c>
      <c r="L343" s="4">
        <v>14513</v>
      </c>
    </row>
    <row r="344" spans="1:72" ht="14.25" customHeight="1" x14ac:dyDescent="0.2">
      <c r="A344" s="5"/>
      <c r="B344" s="4">
        <v>2</v>
      </c>
      <c r="C344" s="4" t="s">
        <v>7661</v>
      </c>
      <c r="D344" s="4">
        <v>53121</v>
      </c>
      <c r="E344" s="4">
        <v>2919</v>
      </c>
      <c r="F344" s="27" t="s">
        <v>1532</v>
      </c>
      <c r="G344" s="22" t="s">
        <v>1533</v>
      </c>
      <c r="H344" s="4" t="s">
        <v>1534</v>
      </c>
      <c r="I344" s="4" t="s">
        <v>641</v>
      </c>
      <c r="J344" s="4" t="s">
        <v>1035</v>
      </c>
      <c r="K344" s="4">
        <v>1</v>
      </c>
      <c r="L344" s="4">
        <v>3662</v>
      </c>
      <c r="M344" s="9">
        <v>55.01849</v>
      </c>
      <c r="N344" s="9">
        <v>-129.61816999999999</v>
      </c>
      <c r="O344" s="9" t="s">
        <v>51</v>
      </c>
      <c r="P344" s="9">
        <v>52591</v>
      </c>
      <c r="Q344" s="20">
        <v>2</v>
      </c>
      <c r="R344" s="9" t="s">
        <v>1530</v>
      </c>
      <c r="S344" s="11" t="s">
        <v>1535</v>
      </c>
      <c r="T344" s="9" t="s">
        <v>644</v>
      </c>
      <c r="U344" s="9">
        <v>120</v>
      </c>
      <c r="X344" s="27"/>
      <c r="Y344" s="27"/>
      <c r="Z344" s="27"/>
      <c r="AA344" s="27" t="s">
        <v>1536</v>
      </c>
      <c r="AB344" s="27"/>
      <c r="AC344" s="27"/>
      <c r="AD344" s="27"/>
      <c r="AE344" s="27"/>
      <c r="AF344" s="27"/>
      <c r="AG344" s="27"/>
      <c r="AH344" s="27"/>
      <c r="AI344" s="27"/>
      <c r="AJ344" s="27"/>
      <c r="AK344" s="27"/>
      <c r="AL344" s="27"/>
      <c r="AM344" s="27"/>
      <c r="AN344" s="27"/>
      <c r="AO344" s="27"/>
      <c r="AP344" s="27"/>
      <c r="AQ344" s="27"/>
      <c r="AR344" s="27"/>
      <c r="AS344" s="27"/>
      <c r="AT344" s="27"/>
      <c r="AU344" s="27"/>
      <c r="AV344" s="27"/>
      <c r="AW344" s="27"/>
      <c r="AX344" s="27"/>
      <c r="AY344" s="27"/>
      <c r="AZ344" s="27"/>
      <c r="BA344" s="27"/>
      <c r="BB344" s="27"/>
      <c r="BC344" s="27"/>
      <c r="BD344" s="27"/>
      <c r="BE344" s="27"/>
      <c r="BF344" s="27"/>
      <c r="BG344" s="27"/>
      <c r="BH344" s="27"/>
      <c r="BI344" s="27"/>
      <c r="BJ344" s="27"/>
      <c r="BK344" s="27"/>
      <c r="BL344" s="27"/>
      <c r="BM344" s="27"/>
      <c r="BN344" s="27"/>
      <c r="BO344" s="27"/>
      <c r="BP344" s="27"/>
      <c r="BQ344" s="27"/>
      <c r="BR344" s="27"/>
      <c r="BS344" s="27"/>
      <c r="BT344" s="27"/>
    </row>
    <row r="345" spans="1:72" ht="14.25" customHeight="1" x14ac:dyDescent="0.2">
      <c r="A345" s="5"/>
      <c r="B345" s="4">
        <v>2</v>
      </c>
      <c r="C345" s="4" t="s">
        <v>7661</v>
      </c>
      <c r="D345" s="4">
        <v>53122</v>
      </c>
      <c r="E345" s="4">
        <v>2920</v>
      </c>
      <c r="F345" s="4" t="s">
        <v>1537</v>
      </c>
      <c r="G345" s="19" t="s">
        <v>1538</v>
      </c>
      <c r="H345" s="4" t="s">
        <v>1539</v>
      </c>
      <c r="I345" s="4" t="s">
        <v>641</v>
      </c>
      <c r="J345" s="4" t="s">
        <v>1224</v>
      </c>
      <c r="K345" s="4">
        <v>1</v>
      </c>
      <c r="L345" s="4">
        <v>3663</v>
      </c>
      <c r="M345" s="27">
        <v>56.776670000000003</v>
      </c>
      <c r="N345" s="27">
        <v>-129.97253000000001</v>
      </c>
      <c r="O345" s="27" t="s">
        <v>1290</v>
      </c>
      <c r="P345" s="27">
        <v>53122</v>
      </c>
      <c r="Q345" s="29">
        <v>4</v>
      </c>
      <c r="R345" s="27" t="s">
        <v>1537</v>
      </c>
      <c r="S345" s="30" t="s">
        <v>1540</v>
      </c>
      <c r="T345" s="27" t="s">
        <v>644</v>
      </c>
      <c r="U345" s="27">
        <v>1065</v>
      </c>
      <c r="V345" s="27"/>
      <c r="W345" s="27"/>
      <c r="X345" s="27"/>
      <c r="Y345" s="27"/>
      <c r="Z345" s="27"/>
      <c r="AA345" s="27" t="s">
        <v>1541</v>
      </c>
      <c r="AB345" s="27"/>
      <c r="AC345" s="27"/>
      <c r="AD345" s="27"/>
      <c r="AE345" s="27"/>
      <c r="AF345" s="27"/>
      <c r="AG345" s="27"/>
      <c r="AH345" s="27"/>
      <c r="AI345" s="27"/>
      <c r="AJ345" s="27"/>
      <c r="AK345" s="27"/>
      <c r="AL345" s="27"/>
      <c r="AM345" s="27"/>
      <c r="AN345" s="27"/>
      <c r="AO345" s="27"/>
      <c r="AP345" s="27"/>
      <c r="AQ345" s="27"/>
      <c r="AR345" s="27"/>
      <c r="AS345" s="27"/>
      <c r="AT345" s="27"/>
      <c r="AU345" s="27"/>
      <c r="AV345" s="27"/>
      <c r="AW345" s="27"/>
      <c r="AX345" s="27"/>
      <c r="AY345" s="27"/>
      <c r="AZ345" s="27"/>
      <c r="BA345" s="27"/>
      <c r="BB345" s="27"/>
      <c r="BC345" s="27"/>
      <c r="BD345" s="27"/>
      <c r="BE345" s="27"/>
      <c r="BF345" s="27"/>
      <c r="BG345" s="27"/>
      <c r="BH345" s="27"/>
      <c r="BI345" s="27"/>
      <c r="BJ345" s="27"/>
      <c r="BK345" s="27"/>
      <c r="BL345" s="27"/>
      <c r="BM345" s="27"/>
      <c r="BN345" s="27"/>
      <c r="BO345" s="27"/>
      <c r="BP345" s="27"/>
      <c r="BQ345" s="27"/>
      <c r="BR345" s="27"/>
      <c r="BS345" s="27"/>
      <c r="BT345" s="27"/>
    </row>
    <row r="346" spans="1:72" ht="14.25" customHeight="1" x14ac:dyDescent="0.2">
      <c r="A346" s="5"/>
      <c r="B346" s="4">
        <v>2</v>
      </c>
      <c r="C346" s="4" t="s">
        <v>7661</v>
      </c>
      <c r="D346" s="4">
        <v>53123</v>
      </c>
      <c r="E346" s="4">
        <v>2921</v>
      </c>
      <c r="F346" s="4" t="s">
        <v>1542</v>
      </c>
      <c r="G346" s="19" t="s">
        <v>1543</v>
      </c>
      <c r="H346" s="4" t="s">
        <v>1544</v>
      </c>
      <c r="I346" s="4" t="s">
        <v>641</v>
      </c>
      <c r="J346" s="4" t="s">
        <v>1224</v>
      </c>
      <c r="K346" s="4">
        <v>1</v>
      </c>
      <c r="L346" s="4">
        <v>3664</v>
      </c>
      <c r="M346" s="9">
        <v>56.946669999999997</v>
      </c>
      <c r="N346" s="9">
        <v>-130.10694000000001</v>
      </c>
      <c r="O346" s="9" t="s">
        <v>1290</v>
      </c>
      <c r="P346" s="27">
        <v>53123</v>
      </c>
      <c r="Q346" s="29">
        <v>5</v>
      </c>
      <c r="R346" s="27" t="s">
        <v>1542</v>
      </c>
      <c r="S346" s="30" t="s">
        <v>1545</v>
      </c>
      <c r="T346" s="27" t="s">
        <v>644</v>
      </c>
      <c r="U346" s="27">
        <v>1175</v>
      </c>
      <c r="V346" s="27"/>
      <c r="W346" s="27"/>
      <c r="X346" s="27"/>
      <c r="Y346" s="27"/>
      <c r="Z346" s="27"/>
      <c r="AA346" s="27" t="s">
        <v>1546</v>
      </c>
      <c r="AB346" s="27"/>
      <c r="AC346" s="27"/>
      <c r="AD346" s="27"/>
      <c r="AE346" s="27"/>
      <c r="AF346" s="27"/>
      <c r="AG346" s="27"/>
      <c r="AH346" s="27"/>
      <c r="AI346" s="27"/>
      <c r="AJ346" s="27"/>
      <c r="AK346" s="27"/>
      <c r="AL346" s="27"/>
      <c r="AM346" s="27"/>
      <c r="AN346" s="27"/>
      <c r="AO346" s="27"/>
      <c r="AP346" s="27"/>
      <c r="AQ346" s="27"/>
      <c r="AR346" s="27"/>
      <c r="AS346" s="27"/>
      <c r="AT346" s="27"/>
      <c r="AU346" s="27"/>
      <c r="AV346" s="27"/>
      <c r="AW346" s="27"/>
      <c r="AX346" s="27"/>
      <c r="AY346" s="27"/>
      <c r="AZ346" s="27"/>
      <c r="BA346" s="27"/>
      <c r="BB346" s="27"/>
      <c r="BC346" s="27"/>
      <c r="BD346" s="27"/>
      <c r="BE346" s="27"/>
      <c r="BF346" s="27"/>
      <c r="BG346" s="27"/>
      <c r="BH346" s="27"/>
      <c r="BI346" s="27"/>
      <c r="BJ346" s="27"/>
      <c r="BK346" s="27"/>
      <c r="BL346" s="27"/>
      <c r="BM346" s="27"/>
      <c r="BN346" s="27"/>
      <c r="BO346" s="27"/>
      <c r="BP346" s="27"/>
      <c r="BQ346" s="27"/>
      <c r="BR346" s="27"/>
      <c r="BS346" s="27"/>
      <c r="BT346" s="27"/>
    </row>
    <row r="347" spans="1:72" ht="14.25" customHeight="1" x14ac:dyDescent="0.2">
      <c r="A347" s="5"/>
      <c r="B347" s="4">
        <v>2</v>
      </c>
      <c r="C347" s="4" t="s">
        <v>7661</v>
      </c>
      <c r="D347" s="4">
        <v>53124</v>
      </c>
      <c r="E347" s="4">
        <v>2922</v>
      </c>
      <c r="F347" s="27" t="s">
        <v>1547</v>
      </c>
      <c r="G347" s="22" t="s">
        <v>1548</v>
      </c>
      <c r="H347" s="4" t="s">
        <v>1549</v>
      </c>
      <c r="I347" s="4" t="s">
        <v>641</v>
      </c>
      <c r="J347" s="4" t="s">
        <v>1550</v>
      </c>
      <c r="K347" s="4">
        <v>1</v>
      </c>
      <c r="L347" s="4">
        <v>3665</v>
      </c>
      <c r="U347" s="27"/>
      <c r="V347" s="27"/>
      <c r="W347" s="27"/>
      <c r="X347" s="27"/>
      <c r="Y347" s="27"/>
      <c r="Z347" s="27"/>
      <c r="AA347" s="27"/>
      <c r="AB347" s="27"/>
      <c r="AC347" s="27"/>
      <c r="AD347" s="27"/>
      <c r="AE347" s="27"/>
      <c r="AF347" s="27"/>
      <c r="AG347" s="27"/>
      <c r="AH347" s="27"/>
      <c r="AI347" s="27"/>
      <c r="AJ347" s="27"/>
      <c r="AK347" s="27"/>
      <c r="AL347" s="27"/>
      <c r="AM347" s="27"/>
      <c r="AN347" s="27"/>
      <c r="AO347" s="27"/>
      <c r="AP347" s="27"/>
      <c r="AQ347" s="27"/>
      <c r="AR347" s="27"/>
      <c r="AS347" s="27"/>
      <c r="AT347" s="27"/>
      <c r="AU347" s="27"/>
      <c r="AV347" s="27"/>
      <c r="AW347" s="27"/>
      <c r="AX347" s="27"/>
      <c r="AY347" s="27"/>
      <c r="AZ347" s="27"/>
      <c r="BA347" s="27"/>
      <c r="BB347" s="27"/>
      <c r="BC347" s="27"/>
      <c r="BD347" s="27"/>
      <c r="BE347" s="27"/>
      <c r="BF347" s="27"/>
      <c r="BG347" s="27"/>
      <c r="BH347" s="27"/>
      <c r="BI347" s="27"/>
      <c r="BJ347" s="27"/>
      <c r="BK347" s="27"/>
      <c r="BL347" s="27"/>
      <c r="BM347" s="27"/>
      <c r="BN347" s="27"/>
      <c r="BO347" s="27"/>
      <c r="BP347" s="27"/>
      <c r="BQ347" s="27"/>
      <c r="BR347" s="27"/>
      <c r="BS347" s="27"/>
      <c r="BT347" s="27"/>
    </row>
    <row r="348" spans="1:72" ht="14.25" customHeight="1" x14ac:dyDescent="0.2">
      <c r="A348" s="5"/>
      <c r="B348" s="4">
        <v>2</v>
      </c>
      <c r="C348" s="4" t="s">
        <v>7661</v>
      </c>
      <c r="D348" s="4">
        <v>53125</v>
      </c>
      <c r="E348" s="4">
        <v>2923</v>
      </c>
      <c r="F348" s="4" t="s">
        <v>1551</v>
      </c>
      <c r="G348" s="19" t="s">
        <v>1552</v>
      </c>
      <c r="H348" s="4" t="s">
        <v>1553</v>
      </c>
      <c r="I348" s="4" t="s">
        <v>641</v>
      </c>
      <c r="J348" s="4" t="s">
        <v>1554</v>
      </c>
      <c r="K348" s="4">
        <v>1</v>
      </c>
      <c r="L348" s="4">
        <v>3666</v>
      </c>
      <c r="M348" s="9">
        <v>56.753889999999998</v>
      </c>
      <c r="N348" s="9">
        <v>-129.935</v>
      </c>
      <c r="O348" s="9" t="s">
        <v>1290</v>
      </c>
      <c r="P348" s="9">
        <v>53125</v>
      </c>
      <c r="Q348" s="20">
        <v>1</v>
      </c>
      <c r="R348" s="9" t="s">
        <v>1551</v>
      </c>
      <c r="S348" s="11" t="s">
        <v>1555</v>
      </c>
      <c r="T348" s="9" t="s">
        <v>644</v>
      </c>
      <c r="U348" s="9">
        <v>588</v>
      </c>
      <c r="Z348" s="9"/>
      <c r="AA348" s="9" t="s">
        <v>1556</v>
      </c>
      <c r="AB348" s="9"/>
      <c r="AC348" s="9"/>
      <c r="AD348" s="9"/>
      <c r="AE348" s="9"/>
      <c r="AF348" s="9"/>
      <c r="AG348" s="9"/>
      <c r="AH348" s="9"/>
      <c r="AI348" s="9"/>
    </row>
    <row r="349" spans="1:72" ht="14.25" customHeight="1" x14ac:dyDescent="0.2">
      <c r="A349" s="5"/>
      <c r="B349" s="4">
        <v>2</v>
      </c>
      <c r="C349" s="4" t="s">
        <v>7661</v>
      </c>
      <c r="D349" s="4">
        <v>53126</v>
      </c>
      <c r="E349" s="4">
        <v>2924</v>
      </c>
      <c r="F349" s="4" t="s">
        <v>1557</v>
      </c>
      <c r="G349" s="19" t="s">
        <v>1558</v>
      </c>
      <c r="H349" s="4" t="s">
        <v>1553</v>
      </c>
      <c r="I349" s="4" t="s">
        <v>641</v>
      </c>
      <c r="J349" s="4" t="s">
        <v>1559</v>
      </c>
      <c r="K349" s="4">
        <v>1</v>
      </c>
      <c r="L349" s="4">
        <v>3667</v>
      </c>
      <c r="M349" s="9">
        <v>56.928669999999997</v>
      </c>
      <c r="N349" s="9">
        <v>-130.09049999999999</v>
      </c>
      <c r="O349" s="9" t="s">
        <v>1290</v>
      </c>
      <c r="P349" s="9">
        <v>53126</v>
      </c>
      <c r="Q349" s="20">
        <v>1</v>
      </c>
      <c r="R349" s="9" t="s">
        <v>1557</v>
      </c>
      <c r="S349" s="11" t="s">
        <v>1560</v>
      </c>
      <c r="T349" s="9" t="s">
        <v>644</v>
      </c>
      <c r="U349" s="9">
        <v>504</v>
      </c>
      <c r="Z349" s="9"/>
      <c r="AA349" s="9" t="s">
        <v>1561</v>
      </c>
      <c r="AB349" s="9"/>
      <c r="AC349" s="9"/>
      <c r="AD349" s="9"/>
      <c r="AE349" s="9"/>
      <c r="AF349" s="9"/>
      <c r="AG349" s="9"/>
      <c r="AH349" s="9"/>
      <c r="AI349" s="9"/>
    </row>
    <row r="350" spans="1:72" ht="14.25" customHeight="1" x14ac:dyDescent="0.2">
      <c r="A350" s="5"/>
      <c r="B350" s="4">
        <v>2</v>
      </c>
      <c r="C350" s="4" t="s">
        <v>7661</v>
      </c>
      <c r="D350" s="4">
        <v>53127</v>
      </c>
      <c r="E350" s="4">
        <v>2925</v>
      </c>
      <c r="F350" s="4" t="s">
        <v>1562</v>
      </c>
      <c r="G350" s="19" t="s">
        <v>1563</v>
      </c>
      <c r="H350" s="4" t="s">
        <v>1564</v>
      </c>
      <c r="I350" s="4" t="s">
        <v>641</v>
      </c>
      <c r="J350" s="4" t="s">
        <v>1565</v>
      </c>
      <c r="K350" s="4">
        <v>1</v>
      </c>
      <c r="L350" s="4">
        <v>3668</v>
      </c>
      <c r="M350" s="9">
        <v>56.950830000000003</v>
      </c>
      <c r="N350" s="9">
        <v>-130.095</v>
      </c>
      <c r="O350" s="9" t="s">
        <v>1290</v>
      </c>
      <c r="P350" s="9">
        <v>53127</v>
      </c>
      <c r="Q350" s="20">
        <v>7</v>
      </c>
      <c r="R350" s="9" t="s">
        <v>1562</v>
      </c>
      <c r="S350" s="11" t="s">
        <v>1566</v>
      </c>
      <c r="T350" s="9" t="s">
        <v>644</v>
      </c>
      <c r="U350" s="9">
        <v>1540</v>
      </c>
      <c r="V350" s="27"/>
      <c r="W350" s="27"/>
      <c r="X350" s="27"/>
      <c r="Y350" s="27"/>
      <c r="Z350" s="27"/>
      <c r="AA350" s="27" t="s">
        <v>1567</v>
      </c>
      <c r="AB350" s="27"/>
      <c r="AC350" s="27"/>
      <c r="AD350" s="27"/>
      <c r="AE350" s="27"/>
      <c r="AF350" s="27"/>
      <c r="AG350" s="27"/>
      <c r="AH350" s="27"/>
      <c r="AI350" s="27"/>
      <c r="AJ350" s="27"/>
      <c r="AK350" s="27"/>
      <c r="AL350" s="27"/>
      <c r="AM350" s="27"/>
      <c r="AN350" s="27"/>
      <c r="AO350" s="27"/>
      <c r="AP350" s="27"/>
      <c r="AQ350" s="27"/>
      <c r="AR350" s="27"/>
      <c r="AS350" s="27"/>
      <c r="AT350" s="27"/>
      <c r="AU350" s="27"/>
      <c r="AV350" s="27"/>
      <c r="AW350" s="27"/>
      <c r="AX350" s="27"/>
      <c r="AY350" s="27"/>
      <c r="AZ350" s="27"/>
      <c r="BA350" s="27"/>
      <c r="BB350" s="27"/>
      <c r="BC350" s="27"/>
      <c r="BD350" s="27"/>
      <c r="BE350" s="27"/>
      <c r="BF350" s="27"/>
      <c r="BG350" s="27"/>
      <c r="BH350" s="27"/>
      <c r="BI350" s="27"/>
      <c r="BJ350" s="27"/>
      <c r="BK350" s="27"/>
      <c r="BL350" s="27"/>
      <c r="BM350" s="27"/>
      <c r="BN350" s="27"/>
      <c r="BO350" s="27"/>
      <c r="BP350" s="27"/>
      <c r="BQ350" s="27"/>
      <c r="BR350" s="27"/>
      <c r="BS350" s="27"/>
      <c r="BT350" s="27"/>
    </row>
    <row r="351" spans="1:72" ht="14.25" customHeight="1" x14ac:dyDescent="0.2">
      <c r="A351" s="5"/>
      <c r="B351" s="4">
        <v>2</v>
      </c>
      <c r="C351" s="4" t="s">
        <v>7661</v>
      </c>
      <c r="D351" s="4">
        <v>53128</v>
      </c>
      <c r="E351" s="4">
        <v>2926</v>
      </c>
      <c r="F351" s="4" t="s">
        <v>1568</v>
      </c>
      <c r="G351" s="19" t="s">
        <v>1569</v>
      </c>
      <c r="H351" s="4" t="s">
        <v>1570</v>
      </c>
      <c r="I351" s="4" t="s">
        <v>641</v>
      </c>
      <c r="J351" s="4" t="s">
        <v>1565</v>
      </c>
      <c r="K351" s="4">
        <v>1</v>
      </c>
      <c r="L351" s="4">
        <v>3669</v>
      </c>
      <c r="M351" s="9">
        <v>56.795439999999999</v>
      </c>
      <c r="N351" s="9">
        <v>-129.97519</v>
      </c>
      <c r="O351" s="9" t="s">
        <v>1290</v>
      </c>
      <c r="P351" s="9">
        <v>53128</v>
      </c>
      <c r="Q351" s="20">
        <v>7</v>
      </c>
      <c r="R351" s="9" t="s">
        <v>1568</v>
      </c>
      <c r="S351" s="11" t="s">
        <v>1571</v>
      </c>
      <c r="T351" s="9" t="s">
        <v>644</v>
      </c>
      <c r="U351" s="8">
        <v>1500</v>
      </c>
      <c r="Z351" s="9"/>
      <c r="AA351" s="9" t="s">
        <v>1572</v>
      </c>
      <c r="AB351" s="9"/>
      <c r="AC351" s="9"/>
      <c r="AD351" s="9"/>
      <c r="AE351" s="9"/>
      <c r="AF351" s="9"/>
      <c r="AG351" s="9"/>
      <c r="AH351" s="9"/>
      <c r="AI351" s="9"/>
    </row>
    <row r="352" spans="1:72" ht="14.25" customHeight="1" x14ac:dyDescent="0.2">
      <c r="A352" s="5" t="s">
        <v>88</v>
      </c>
      <c r="B352" s="4">
        <v>2</v>
      </c>
      <c r="C352" s="4" t="s">
        <v>7661</v>
      </c>
      <c r="D352" s="4">
        <v>53129</v>
      </c>
      <c r="E352" s="4">
        <v>12492</v>
      </c>
      <c r="F352" s="27" t="s">
        <v>1573</v>
      </c>
      <c r="G352" s="8" t="s">
        <v>1574</v>
      </c>
      <c r="H352" s="4" t="s">
        <v>1575</v>
      </c>
      <c r="I352" s="4" t="s">
        <v>49</v>
      </c>
      <c r="J352" s="4" t="s">
        <v>1576</v>
      </c>
      <c r="K352" s="4">
        <v>1</v>
      </c>
      <c r="L352" s="4">
        <v>14514</v>
      </c>
      <c r="M352" s="9">
        <v>58.434249999999999</v>
      </c>
      <c r="N352" s="9">
        <v>-129.98616999999999</v>
      </c>
      <c r="O352" s="9" t="s">
        <v>1577</v>
      </c>
      <c r="P352" s="9">
        <v>53129</v>
      </c>
      <c r="Q352" s="20">
        <v>2</v>
      </c>
      <c r="R352" s="9" t="s">
        <v>1573</v>
      </c>
      <c r="S352" s="11" t="s">
        <v>1578</v>
      </c>
      <c r="T352" s="9" t="s">
        <v>644</v>
      </c>
      <c r="U352" s="9">
        <v>814</v>
      </c>
      <c r="W352" s="27"/>
      <c r="X352" s="27"/>
      <c r="Y352" s="27"/>
      <c r="Z352" s="27"/>
      <c r="AA352" s="27" t="s">
        <v>1579</v>
      </c>
      <c r="AB352" s="27"/>
      <c r="AC352" s="27"/>
      <c r="AD352" s="27"/>
      <c r="AE352" s="27"/>
      <c r="AF352" s="27"/>
      <c r="AG352" s="27"/>
      <c r="AH352" s="27"/>
      <c r="AI352" s="27"/>
      <c r="AJ352" s="27"/>
      <c r="AK352" s="27"/>
      <c r="AL352" s="27"/>
      <c r="AM352" s="27"/>
      <c r="AN352" s="27"/>
      <c r="AO352" s="27"/>
      <c r="AP352" s="27"/>
      <c r="AQ352" s="27"/>
      <c r="AR352" s="27"/>
      <c r="AS352" s="27"/>
      <c r="AT352" s="27"/>
      <c r="AU352" s="27"/>
      <c r="AV352" s="27"/>
      <c r="AW352" s="27"/>
      <c r="AX352" s="27"/>
      <c r="AY352" s="27"/>
      <c r="AZ352" s="27"/>
      <c r="BA352" s="27"/>
      <c r="BB352" s="27"/>
      <c r="BC352" s="27"/>
      <c r="BD352" s="27"/>
      <c r="BE352" s="27"/>
      <c r="BF352" s="27"/>
      <c r="BG352" s="27"/>
      <c r="BH352" s="27"/>
      <c r="BI352" s="27"/>
      <c r="BJ352" s="27"/>
      <c r="BK352" s="27"/>
      <c r="BL352" s="27"/>
      <c r="BM352" s="27"/>
      <c r="BN352" s="27"/>
      <c r="BO352" s="27"/>
      <c r="BP352" s="27"/>
      <c r="BQ352" s="27"/>
      <c r="BR352" s="27"/>
      <c r="BS352" s="27"/>
      <c r="BT352" s="27"/>
    </row>
    <row r="353" spans="1:72" ht="14.25" customHeight="1" x14ac:dyDescent="0.2">
      <c r="A353" s="5" t="s">
        <v>772</v>
      </c>
      <c r="B353" s="4">
        <v>2</v>
      </c>
      <c r="C353" s="4" t="s">
        <v>7661</v>
      </c>
      <c r="D353" s="4">
        <v>53131</v>
      </c>
      <c r="E353" s="4">
        <v>13020</v>
      </c>
      <c r="F353" s="10" t="s">
        <v>1580</v>
      </c>
      <c r="G353" s="8" t="s">
        <v>1581</v>
      </c>
      <c r="H353" s="4" t="s">
        <v>792</v>
      </c>
      <c r="I353" s="4" t="s">
        <v>49</v>
      </c>
      <c r="J353" s="4" t="s">
        <v>1582</v>
      </c>
      <c r="K353" s="4">
        <v>1</v>
      </c>
      <c r="L353" s="4">
        <v>14952</v>
      </c>
      <c r="M353" s="9">
        <v>57.304769999999998</v>
      </c>
      <c r="N353" s="9">
        <v>-130.25056000000001</v>
      </c>
      <c r="O353" s="9" t="s">
        <v>1577</v>
      </c>
      <c r="P353" s="9">
        <v>53131</v>
      </c>
      <c r="Q353" s="20">
        <v>2</v>
      </c>
      <c r="R353" s="9" t="s">
        <v>1583</v>
      </c>
      <c r="S353" s="11" t="s">
        <v>1584</v>
      </c>
      <c r="T353" s="9" t="s">
        <v>644</v>
      </c>
      <c r="U353" s="8">
        <v>814</v>
      </c>
      <c r="Z353" s="9"/>
      <c r="AA353" s="9" t="s">
        <v>1585</v>
      </c>
      <c r="AB353" s="9"/>
      <c r="AC353" s="9"/>
      <c r="AD353" s="9"/>
      <c r="AE353" s="9"/>
      <c r="AF353" s="9"/>
      <c r="AG353" s="9"/>
      <c r="AH353" s="9"/>
      <c r="AI353" s="9"/>
    </row>
    <row r="354" spans="1:72" ht="14.25" customHeight="1" x14ac:dyDescent="0.2">
      <c r="A354" s="5"/>
      <c r="B354" s="4">
        <v>2</v>
      </c>
      <c r="C354" s="4" t="s">
        <v>7661</v>
      </c>
      <c r="D354" s="4">
        <v>53221</v>
      </c>
      <c r="E354" s="4">
        <v>2928</v>
      </c>
      <c r="F354" s="27" t="s">
        <v>1586</v>
      </c>
      <c r="G354" s="19" t="s">
        <v>1587</v>
      </c>
      <c r="H354" s="4" t="s">
        <v>1588</v>
      </c>
      <c r="I354" s="4" t="s">
        <v>641</v>
      </c>
      <c r="J354" s="4" t="s">
        <v>1453</v>
      </c>
      <c r="K354" s="4">
        <v>1</v>
      </c>
      <c r="L354" s="4">
        <v>3671</v>
      </c>
      <c r="M354" s="27">
        <v>59.249169999999999</v>
      </c>
      <c r="N354" s="27">
        <v>-129.65722</v>
      </c>
      <c r="O354" s="27" t="s">
        <v>1577</v>
      </c>
      <c r="P354" s="27">
        <v>53221</v>
      </c>
      <c r="Q354" s="29">
        <v>2</v>
      </c>
      <c r="R354" s="27" t="s">
        <v>1586</v>
      </c>
      <c r="S354" s="30" t="s">
        <v>1589</v>
      </c>
      <c r="T354" s="27" t="s">
        <v>644</v>
      </c>
      <c r="U354" s="27">
        <v>940</v>
      </c>
      <c r="V354" s="27"/>
      <c r="W354" s="27"/>
      <c r="X354" s="27"/>
      <c r="Y354" s="27"/>
      <c r="Z354" s="27" t="s">
        <v>645</v>
      </c>
      <c r="AA354" s="27" t="s">
        <v>1590</v>
      </c>
      <c r="AB354" s="27"/>
      <c r="AC354" s="31"/>
      <c r="AD354" s="27"/>
      <c r="AE354" s="27"/>
      <c r="AF354" s="27"/>
      <c r="AG354" s="27"/>
      <c r="AH354" s="27"/>
      <c r="AI354" s="27"/>
      <c r="AJ354" s="27"/>
      <c r="AK354" s="27"/>
      <c r="AL354" s="27"/>
      <c r="AM354" s="27"/>
      <c r="AN354" s="27"/>
      <c r="AO354" s="27"/>
      <c r="AP354" s="27"/>
      <c r="AQ354" s="27"/>
      <c r="AR354" s="27"/>
      <c r="AS354" s="27"/>
      <c r="AT354" s="27"/>
      <c r="AU354" s="27"/>
      <c r="AV354" s="27"/>
      <c r="AW354" s="27"/>
      <c r="AX354" s="27"/>
      <c r="AY354" s="27"/>
      <c r="AZ354" s="27"/>
      <c r="BA354" s="27"/>
      <c r="BB354" s="27"/>
      <c r="BC354" s="27"/>
      <c r="BD354" s="27"/>
      <c r="BE354" s="27"/>
      <c r="BF354" s="27"/>
      <c r="BG354" s="27"/>
      <c r="BH354" s="27"/>
      <c r="BI354" s="27"/>
      <c r="BJ354" s="27"/>
      <c r="BK354" s="27"/>
      <c r="BL354" s="27"/>
      <c r="BM354" s="27"/>
      <c r="BN354" s="27"/>
      <c r="BO354" s="27"/>
      <c r="BP354" s="27"/>
      <c r="BQ354" s="27"/>
      <c r="BR354" s="27"/>
      <c r="BS354" s="27"/>
      <c r="BT354" s="27"/>
    </row>
    <row r="355" spans="1:72" ht="14.25" customHeight="1" x14ac:dyDescent="0.2">
      <c r="A355" s="5"/>
      <c r="B355" s="4">
        <v>2</v>
      </c>
      <c r="C355" s="4" t="s">
        <v>7661</v>
      </c>
      <c r="D355" s="4">
        <v>53222</v>
      </c>
      <c r="E355" s="4">
        <v>12508</v>
      </c>
      <c r="F355" s="4" t="s">
        <v>1591</v>
      </c>
      <c r="G355" s="19" t="s">
        <v>1592</v>
      </c>
      <c r="H355" s="4" t="s">
        <v>1593</v>
      </c>
      <c r="I355" s="4" t="s">
        <v>49</v>
      </c>
      <c r="J355" s="4" t="s">
        <v>1594</v>
      </c>
      <c r="K355" s="4">
        <v>1</v>
      </c>
      <c r="L355" s="4">
        <v>14530</v>
      </c>
      <c r="M355" s="9">
        <v>59.258609999999997</v>
      </c>
      <c r="N355" s="9">
        <v>-129.61832999999999</v>
      </c>
      <c r="O355" s="9" t="s">
        <v>1577</v>
      </c>
      <c r="P355" s="9">
        <v>53222</v>
      </c>
      <c r="Q355" s="20">
        <v>2</v>
      </c>
      <c r="R355" s="9" t="s">
        <v>1595</v>
      </c>
      <c r="S355" s="11" t="s">
        <v>1596</v>
      </c>
      <c r="T355" s="9" t="s">
        <v>644</v>
      </c>
      <c r="U355" s="9">
        <v>915</v>
      </c>
      <c r="Z355" s="9"/>
      <c r="AA355" s="9" t="s">
        <v>1597</v>
      </c>
      <c r="AB355" s="9"/>
      <c r="AC355" s="9"/>
      <c r="AD355" s="9"/>
      <c r="AE355" s="9"/>
      <c r="AF355" s="9"/>
      <c r="AG355" s="9"/>
      <c r="AH355" s="9"/>
      <c r="AI355" s="9"/>
    </row>
    <row r="356" spans="1:72" ht="14.25" customHeight="1" x14ac:dyDescent="0.2">
      <c r="A356" s="5"/>
      <c r="B356" s="4">
        <v>2</v>
      </c>
      <c r="C356" s="4" t="s">
        <v>7661</v>
      </c>
      <c r="D356" s="4">
        <v>53321</v>
      </c>
      <c r="E356" s="4">
        <v>2930</v>
      </c>
      <c r="F356" s="4" t="s">
        <v>1598</v>
      </c>
      <c r="G356" s="19" t="s">
        <v>1599</v>
      </c>
      <c r="H356" s="4" t="s">
        <v>1309</v>
      </c>
      <c r="I356" s="4" t="s">
        <v>641</v>
      </c>
      <c r="J356" s="4" t="s">
        <v>1453</v>
      </c>
      <c r="K356" s="4">
        <v>1</v>
      </c>
      <c r="L356" s="4">
        <v>3673</v>
      </c>
      <c r="M356" s="9">
        <v>57.912779999999998</v>
      </c>
      <c r="N356" s="9">
        <v>-131.13111000000001</v>
      </c>
      <c r="O356" s="9" t="s">
        <v>1577</v>
      </c>
      <c r="P356" s="9">
        <v>53321</v>
      </c>
      <c r="Q356" s="20">
        <v>1</v>
      </c>
      <c r="R356" s="9" t="s">
        <v>1598</v>
      </c>
      <c r="S356" s="11" t="s">
        <v>1600</v>
      </c>
      <c r="T356" s="9" t="s">
        <v>644</v>
      </c>
      <c r="U356" s="9">
        <v>290</v>
      </c>
      <c r="Z356" s="9"/>
      <c r="AA356" s="9" t="s">
        <v>1601</v>
      </c>
      <c r="AB356" s="9"/>
      <c r="AC356" s="9"/>
      <c r="AD356" s="9"/>
      <c r="AE356" s="9"/>
      <c r="AF356" s="9"/>
      <c r="AG356" s="9"/>
      <c r="AH356" s="9"/>
      <c r="AI356" s="9"/>
    </row>
    <row r="357" spans="1:72" ht="14.25" customHeight="1" x14ac:dyDescent="0.2">
      <c r="A357" s="5"/>
      <c r="B357" s="4">
        <v>2</v>
      </c>
      <c r="C357" s="4" t="s">
        <v>7661</v>
      </c>
      <c r="D357" s="4">
        <v>54091</v>
      </c>
      <c r="E357" s="4">
        <v>2934</v>
      </c>
      <c r="F357" s="4" t="s">
        <v>1602</v>
      </c>
      <c r="G357" s="19" t="s">
        <v>1603</v>
      </c>
      <c r="H357" s="4" t="s">
        <v>1604</v>
      </c>
      <c r="I357" s="4" t="s">
        <v>641</v>
      </c>
      <c r="J357" s="4" t="s">
        <v>642</v>
      </c>
      <c r="K357" s="4">
        <v>1</v>
      </c>
      <c r="L357" s="4">
        <v>3677</v>
      </c>
      <c r="M357" s="9">
        <v>54.481940000000002</v>
      </c>
      <c r="N357" s="9">
        <v>-126.74361</v>
      </c>
      <c r="O357" s="9" t="s">
        <v>148</v>
      </c>
      <c r="P357" s="9">
        <v>54091</v>
      </c>
      <c r="Q357" s="20">
        <v>1</v>
      </c>
      <c r="R357" s="9" t="s">
        <v>1602</v>
      </c>
      <c r="S357" s="11" t="s">
        <v>1605</v>
      </c>
      <c r="T357" s="9" t="s">
        <v>644</v>
      </c>
      <c r="U357" s="9">
        <v>820</v>
      </c>
      <c r="Z357" s="9" t="s">
        <v>645</v>
      </c>
      <c r="AA357" s="9" t="s">
        <v>1606</v>
      </c>
      <c r="AB357" s="9"/>
      <c r="AC357" s="21"/>
      <c r="AD357" s="9"/>
      <c r="AE357" s="9"/>
      <c r="AF357" s="9"/>
      <c r="AG357" s="9"/>
      <c r="AH357" s="9"/>
      <c r="AI357" s="9"/>
    </row>
    <row r="358" spans="1:72" ht="14.25" customHeight="1" x14ac:dyDescent="0.2">
      <c r="A358" s="5"/>
      <c r="B358" s="4">
        <v>2</v>
      </c>
      <c r="C358" s="4" t="s">
        <v>7661</v>
      </c>
      <c r="D358" s="4">
        <v>54092</v>
      </c>
      <c r="E358" s="4">
        <v>12493</v>
      </c>
      <c r="F358" s="27" t="s">
        <v>1607</v>
      </c>
      <c r="G358" s="19" t="s">
        <v>1608</v>
      </c>
      <c r="H358" s="4" t="s">
        <v>709</v>
      </c>
      <c r="I358" s="4" t="s">
        <v>49</v>
      </c>
      <c r="J358" s="4" t="s">
        <v>1170</v>
      </c>
      <c r="K358" s="4">
        <v>1</v>
      </c>
      <c r="L358" s="4">
        <v>14515</v>
      </c>
      <c r="M358" s="27">
        <v>54.941429999999997</v>
      </c>
      <c r="N358" s="27">
        <v>-127.3261</v>
      </c>
      <c r="O358" s="27" t="s">
        <v>148</v>
      </c>
      <c r="P358" s="27">
        <v>54092</v>
      </c>
      <c r="Q358" s="29">
        <v>1</v>
      </c>
      <c r="R358" s="27" t="s">
        <v>1607</v>
      </c>
      <c r="S358" s="30" t="s">
        <v>1609</v>
      </c>
      <c r="T358" s="27" t="s">
        <v>644</v>
      </c>
      <c r="U358" s="27">
        <v>410</v>
      </c>
      <c r="V358" s="27"/>
      <c r="W358" s="27"/>
      <c r="X358" s="27"/>
      <c r="Y358" s="27"/>
      <c r="Z358" s="27"/>
      <c r="AA358" s="27" t="s">
        <v>1610</v>
      </c>
      <c r="AB358" s="27"/>
      <c r="AC358" s="27"/>
      <c r="AD358" s="27"/>
      <c r="AE358" s="27"/>
      <c r="AF358" s="27"/>
      <c r="AG358" s="27"/>
      <c r="AH358" s="27"/>
      <c r="AI358" s="27"/>
      <c r="AJ358" s="27"/>
      <c r="AK358" s="27"/>
      <c r="AL358" s="27"/>
      <c r="AM358" s="27"/>
      <c r="AN358" s="27"/>
      <c r="AO358" s="27"/>
      <c r="AP358" s="27"/>
      <c r="AQ358" s="27"/>
      <c r="AR358" s="27"/>
      <c r="AS358" s="27"/>
      <c r="AT358" s="27"/>
      <c r="AU358" s="27"/>
      <c r="AV358" s="27"/>
      <c r="AW358" s="27"/>
      <c r="AX358" s="27"/>
      <c r="AY358" s="27"/>
      <c r="AZ358" s="27"/>
      <c r="BA358" s="27"/>
      <c r="BB358" s="27"/>
      <c r="BC358" s="27"/>
      <c r="BD358" s="27"/>
      <c r="BE358" s="27"/>
      <c r="BF358" s="27"/>
      <c r="BG358" s="27"/>
      <c r="BH358" s="27"/>
      <c r="BI358" s="27"/>
      <c r="BJ358" s="27"/>
      <c r="BK358" s="27"/>
      <c r="BL358" s="27"/>
      <c r="BM358" s="27"/>
      <c r="BN358" s="27"/>
      <c r="BO358" s="27"/>
      <c r="BP358" s="27"/>
      <c r="BQ358" s="27"/>
      <c r="BR358" s="27"/>
      <c r="BS358" s="27"/>
      <c r="BT358" s="27"/>
    </row>
    <row r="359" spans="1:72" ht="14.25" customHeight="1" x14ac:dyDescent="0.2">
      <c r="A359" s="5"/>
      <c r="B359" s="4">
        <v>2</v>
      </c>
      <c r="C359" s="4" t="s">
        <v>7661</v>
      </c>
      <c r="D359" s="4">
        <v>55091</v>
      </c>
      <c r="E359" s="4">
        <v>2938</v>
      </c>
      <c r="F359" s="4" t="s">
        <v>1611</v>
      </c>
      <c r="G359" s="19" t="s">
        <v>1612</v>
      </c>
      <c r="H359" s="4" t="s">
        <v>1613</v>
      </c>
      <c r="I359" s="4" t="s">
        <v>641</v>
      </c>
      <c r="J359" s="4" t="s">
        <v>642</v>
      </c>
      <c r="K359" s="4">
        <v>1</v>
      </c>
      <c r="L359" s="4">
        <v>3681</v>
      </c>
      <c r="M359" s="9">
        <v>54.191670000000002</v>
      </c>
      <c r="N359" s="9">
        <v>-125.53639</v>
      </c>
      <c r="O359" s="9" t="s">
        <v>148</v>
      </c>
      <c r="P359" s="9">
        <v>55091</v>
      </c>
      <c r="Q359" s="20">
        <v>1</v>
      </c>
      <c r="R359" s="9" t="s">
        <v>1611</v>
      </c>
      <c r="S359" s="11" t="s">
        <v>1614</v>
      </c>
      <c r="T359" s="9" t="s">
        <v>644</v>
      </c>
      <c r="U359" s="9">
        <v>719</v>
      </c>
      <c r="V359" s="27"/>
      <c r="W359" s="27"/>
      <c r="X359" s="27"/>
      <c r="Y359" s="27"/>
      <c r="Z359" s="27"/>
      <c r="AA359" s="27" t="s">
        <v>1615</v>
      </c>
      <c r="AB359" s="27"/>
      <c r="AC359" s="27"/>
      <c r="AD359" s="27"/>
      <c r="AE359" s="27"/>
      <c r="AF359" s="27"/>
      <c r="AG359" s="27"/>
      <c r="AH359" s="27"/>
      <c r="AI359" s="27"/>
      <c r="AJ359" s="27"/>
      <c r="AK359" s="27"/>
      <c r="AL359" s="27"/>
      <c r="AM359" s="27"/>
      <c r="AN359" s="27"/>
      <c r="AO359" s="27"/>
      <c r="AP359" s="27"/>
      <c r="AQ359" s="27"/>
      <c r="AR359" s="27"/>
      <c r="AS359" s="27"/>
      <c r="AT359" s="27"/>
      <c r="AU359" s="27"/>
      <c r="AV359" s="27"/>
      <c r="AW359" s="27"/>
      <c r="AX359" s="27"/>
      <c r="AY359" s="27"/>
      <c r="AZ359" s="27"/>
      <c r="BA359" s="27"/>
      <c r="BB359" s="27"/>
      <c r="BC359" s="27"/>
      <c r="BD359" s="27"/>
      <c r="BE359" s="27"/>
      <c r="BF359" s="27"/>
      <c r="BG359" s="27"/>
      <c r="BH359" s="27"/>
      <c r="BI359" s="27"/>
      <c r="BJ359" s="27"/>
      <c r="BK359" s="27"/>
      <c r="BL359" s="27"/>
      <c r="BM359" s="27"/>
      <c r="BN359" s="27"/>
      <c r="BO359" s="27"/>
      <c r="BP359" s="27"/>
      <c r="BQ359" s="27"/>
      <c r="BR359" s="27"/>
      <c r="BS359" s="27"/>
      <c r="BT359" s="27"/>
    </row>
    <row r="360" spans="1:72" ht="14.25" customHeight="1" x14ac:dyDescent="0.2">
      <c r="A360" s="5"/>
      <c r="B360" s="4">
        <v>2</v>
      </c>
      <c r="C360" s="4" t="s">
        <v>7661</v>
      </c>
      <c r="D360" s="4">
        <v>55092</v>
      </c>
      <c r="E360" s="4">
        <v>12494</v>
      </c>
      <c r="F360" s="4" t="s">
        <v>1616</v>
      </c>
      <c r="G360" s="19" t="s">
        <v>1617</v>
      </c>
      <c r="H360" s="4" t="s">
        <v>709</v>
      </c>
      <c r="I360" s="4" t="s">
        <v>49</v>
      </c>
      <c r="J360" s="4" t="s">
        <v>1170</v>
      </c>
      <c r="K360" s="4">
        <v>1</v>
      </c>
      <c r="L360" s="4">
        <v>14516</v>
      </c>
      <c r="M360" s="9">
        <v>54.459440000000001</v>
      </c>
      <c r="N360" s="9">
        <v>-126.1961</v>
      </c>
      <c r="O360" s="9" t="s">
        <v>148</v>
      </c>
      <c r="P360" s="9">
        <v>55092</v>
      </c>
      <c r="Q360" s="20">
        <v>1</v>
      </c>
      <c r="R360" s="9" t="s">
        <v>1616</v>
      </c>
      <c r="S360" s="11" t="s">
        <v>1618</v>
      </c>
      <c r="T360" s="9" t="s">
        <v>644</v>
      </c>
      <c r="U360" s="9">
        <v>840</v>
      </c>
      <c r="V360" s="27"/>
      <c r="W360" s="27"/>
      <c r="X360" s="27"/>
      <c r="Y360" s="27"/>
      <c r="Z360" s="27"/>
      <c r="AA360" s="27" t="s">
        <v>1619</v>
      </c>
      <c r="AB360" s="27"/>
      <c r="AC360" s="27"/>
      <c r="AD360" s="27"/>
      <c r="AE360" s="27"/>
      <c r="AF360" s="27"/>
      <c r="AG360" s="27"/>
      <c r="AH360" s="27"/>
      <c r="AI360" s="27"/>
      <c r="AJ360" s="27"/>
      <c r="AK360" s="27"/>
      <c r="AL360" s="27"/>
      <c r="AM360" s="27"/>
      <c r="AN360" s="27"/>
      <c r="AO360" s="27"/>
      <c r="AP360" s="27"/>
      <c r="AQ360" s="27"/>
      <c r="AR360" s="27"/>
      <c r="AS360" s="27"/>
      <c r="AT360" s="27"/>
      <c r="AU360" s="27"/>
      <c r="AV360" s="27"/>
      <c r="AW360" s="27"/>
      <c r="AX360" s="27"/>
      <c r="AY360" s="27"/>
      <c r="AZ360" s="27"/>
      <c r="BA360" s="27"/>
      <c r="BB360" s="27"/>
      <c r="BC360" s="27"/>
      <c r="BD360" s="27"/>
      <c r="BE360" s="27"/>
      <c r="BF360" s="27"/>
      <c r="BG360" s="27"/>
      <c r="BH360" s="27"/>
      <c r="BI360" s="27"/>
      <c r="BJ360" s="27"/>
      <c r="BK360" s="27"/>
      <c r="BL360" s="27"/>
      <c r="BM360" s="27"/>
      <c r="BN360" s="27"/>
      <c r="BO360" s="27"/>
      <c r="BP360" s="27"/>
      <c r="BQ360" s="27"/>
      <c r="BR360" s="27"/>
      <c r="BS360" s="27"/>
      <c r="BT360" s="27"/>
    </row>
    <row r="361" spans="1:72" ht="14.25" customHeight="1" x14ac:dyDescent="0.2">
      <c r="A361" s="5"/>
      <c r="B361" s="4">
        <v>2</v>
      </c>
      <c r="C361" s="4" t="s">
        <v>7661</v>
      </c>
      <c r="D361" s="4">
        <v>62091</v>
      </c>
      <c r="E361" s="4">
        <v>11030</v>
      </c>
      <c r="F361" s="4" t="s">
        <v>1620</v>
      </c>
      <c r="G361" s="19" t="s">
        <v>1621</v>
      </c>
      <c r="H361" s="4" t="s">
        <v>891</v>
      </c>
      <c r="I361" s="4" t="s">
        <v>49</v>
      </c>
      <c r="J361" s="4" t="s">
        <v>710</v>
      </c>
      <c r="K361" s="4">
        <v>1</v>
      </c>
      <c r="L361" s="4">
        <v>13198</v>
      </c>
      <c r="M361" s="9">
        <v>48.56794</v>
      </c>
      <c r="N361" s="9">
        <v>-123.54176</v>
      </c>
      <c r="O361" s="9" t="s">
        <v>183</v>
      </c>
      <c r="P361" s="9">
        <v>62091</v>
      </c>
      <c r="Q361" s="20">
        <v>5</v>
      </c>
      <c r="R361" s="9" t="s">
        <v>1620</v>
      </c>
      <c r="S361" s="11" t="s">
        <v>1622</v>
      </c>
      <c r="T361" s="9" t="s">
        <v>644</v>
      </c>
      <c r="U361" s="9">
        <v>340</v>
      </c>
      <c r="Z361" s="9" t="s">
        <v>645</v>
      </c>
      <c r="AA361" s="9" t="s">
        <v>1623</v>
      </c>
      <c r="AB361" s="9"/>
      <c r="AC361" s="21"/>
      <c r="AD361" s="9"/>
      <c r="AE361" s="9"/>
      <c r="AF361" s="9"/>
      <c r="AG361" s="9"/>
      <c r="AH361" s="9"/>
      <c r="AI361" s="9"/>
    </row>
    <row r="362" spans="1:72" ht="14.25" customHeight="1" x14ac:dyDescent="0.2">
      <c r="A362" s="5"/>
      <c r="B362" s="4">
        <v>2</v>
      </c>
      <c r="C362" s="4" t="s">
        <v>7661</v>
      </c>
      <c r="D362" s="4">
        <v>63093</v>
      </c>
      <c r="E362" s="4">
        <v>2944</v>
      </c>
      <c r="F362" s="4" t="s">
        <v>1624</v>
      </c>
      <c r="G362" s="19" t="s">
        <v>1625</v>
      </c>
      <c r="H362" s="4" t="s">
        <v>1626</v>
      </c>
      <c r="I362" s="4" t="s">
        <v>641</v>
      </c>
      <c r="J362" s="4" t="s">
        <v>755</v>
      </c>
      <c r="K362" s="4">
        <v>1</v>
      </c>
      <c r="L362" s="4">
        <v>3687</v>
      </c>
      <c r="M362" s="9">
        <v>49.370559999999998</v>
      </c>
      <c r="N362" s="9">
        <v>-124.61611000000001</v>
      </c>
      <c r="O362" s="9" t="s">
        <v>183</v>
      </c>
      <c r="P362" s="9">
        <v>63093</v>
      </c>
      <c r="Q362" s="20">
        <v>3</v>
      </c>
      <c r="R362" s="9" t="s">
        <v>1624</v>
      </c>
      <c r="S362" s="11" t="s">
        <v>1627</v>
      </c>
      <c r="T362" s="9" t="s">
        <v>644</v>
      </c>
      <c r="U362" s="9">
        <v>115</v>
      </c>
      <c r="Z362" s="9" t="s">
        <v>645</v>
      </c>
      <c r="AA362" s="9" t="s">
        <v>1628</v>
      </c>
      <c r="AB362" s="9"/>
      <c r="AC362" s="21"/>
      <c r="AD362" s="9"/>
      <c r="AE362" s="9"/>
      <c r="AF362" s="9"/>
      <c r="AG362" s="9"/>
      <c r="AH362" s="9"/>
      <c r="AI362" s="9"/>
    </row>
    <row r="363" spans="1:72" ht="14.25" customHeight="1" x14ac:dyDescent="0.2">
      <c r="A363" s="5"/>
      <c r="B363" s="4">
        <v>2</v>
      </c>
      <c r="C363" s="4" t="s">
        <v>7661</v>
      </c>
      <c r="D363" s="4">
        <v>63094</v>
      </c>
      <c r="E363" s="4">
        <v>2945</v>
      </c>
      <c r="F363" s="4" t="s">
        <v>1629</v>
      </c>
      <c r="G363" s="19" t="s">
        <v>1630</v>
      </c>
      <c r="H363" s="4" t="s">
        <v>1631</v>
      </c>
      <c r="I363" s="4" t="s">
        <v>641</v>
      </c>
      <c r="J363" s="4" t="s">
        <v>642</v>
      </c>
      <c r="K363" s="4">
        <v>1</v>
      </c>
      <c r="L363" s="4">
        <v>3688</v>
      </c>
      <c r="M363" s="9">
        <v>49.100560000000002</v>
      </c>
      <c r="N363" s="9">
        <v>-125.4525</v>
      </c>
      <c r="O363" s="9" t="s">
        <v>51</v>
      </c>
      <c r="P363" s="9">
        <v>63094</v>
      </c>
      <c r="Q363" s="20">
        <v>1</v>
      </c>
      <c r="R363" s="9" t="s">
        <v>1629</v>
      </c>
      <c r="S363" s="11" t="s">
        <v>1632</v>
      </c>
      <c r="T363" s="9" t="s">
        <v>644</v>
      </c>
      <c r="U363" s="9">
        <v>35</v>
      </c>
      <c r="Z363" s="9"/>
      <c r="AA363" s="9" t="s">
        <v>1633</v>
      </c>
      <c r="AB363" s="9"/>
      <c r="AC363" s="9"/>
      <c r="AD363" s="9"/>
      <c r="AE363" s="9"/>
      <c r="AF363" s="9"/>
      <c r="AG363" s="9"/>
      <c r="AH363" s="9"/>
      <c r="AI363" s="9"/>
    </row>
    <row r="364" spans="1:72" ht="14.25" customHeight="1" x14ac:dyDescent="0.2">
      <c r="A364" s="5" t="s">
        <v>912</v>
      </c>
      <c r="B364" s="4">
        <v>2</v>
      </c>
      <c r="C364" s="4" t="s">
        <v>7661</v>
      </c>
      <c r="D364" s="4">
        <v>64091</v>
      </c>
      <c r="E364" s="4">
        <v>2954</v>
      </c>
      <c r="F364" s="4" t="s">
        <v>1634</v>
      </c>
      <c r="G364" s="8" t="s">
        <v>1635</v>
      </c>
      <c r="H364" s="4" t="s">
        <v>1636</v>
      </c>
      <c r="I364" s="4" t="s">
        <v>641</v>
      </c>
      <c r="J364" s="4" t="s">
        <v>642</v>
      </c>
      <c r="K364" s="4">
        <v>1</v>
      </c>
      <c r="L364" s="4">
        <v>3697</v>
      </c>
      <c r="M364" s="27">
        <v>50.282359999999997</v>
      </c>
      <c r="N364" s="27">
        <v>-126.35527999999999</v>
      </c>
      <c r="O364" s="27" t="s">
        <v>51</v>
      </c>
      <c r="P364" s="27">
        <v>64091</v>
      </c>
      <c r="Q364" s="29">
        <v>3</v>
      </c>
      <c r="R364" s="27" t="s">
        <v>1634</v>
      </c>
      <c r="S364" s="30" t="s">
        <v>1637</v>
      </c>
      <c r="T364" s="27" t="s">
        <v>644</v>
      </c>
      <c r="U364" s="27">
        <v>436</v>
      </c>
      <c r="V364" s="27"/>
      <c r="W364" s="27"/>
      <c r="X364" s="27"/>
      <c r="Y364" s="27"/>
      <c r="Z364" s="27" t="s">
        <v>645</v>
      </c>
      <c r="AA364" s="27" t="s">
        <v>1638</v>
      </c>
      <c r="AB364" s="27"/>
      <c r="AC364" s="31"/>
      <c r="AD364" s="27"/>
      <c r="AE364" s="27"/>
      <c r="AF364" s="27"/>
      <c r="AG364" s="27"/>
      <c r="AH364" s="27"/>
      <c r="AI364" s="27"/>
      <c r="AJ364" s="27"/>
      <c r="AK364" s="27"/>
      <c r="AL364" s="27"/>
      <c r="AM364" s="27"/>
      <c r="AN364" s="27"/>
      <c r="AO364" s="27"/>
      <c r="AP364" s="27"/>
      <c r="AQ364" s="27"/>
      <c r="AR364" s="27"/>
      <c r="AS364" s="27"/>
      <c r="AT364" s="27"/>
      <c r="AU364" s="27"/>
      <c r="AV364" s="27"/>
      <c r="AW364" s="27"/>
      <c r="AX364" s="27"/>
      <c r="AY364" s="27"/>
      <c r="AZ364" s="27"/>
      <c r="BA364" s="27"/>
      <c r="BB364" s="27"/>
      <c r="BC364" s="27"/>
      <c r="BD364" s="27"/>
      <c r="BE364" s="27"/>
      <c r="BF364" s="27"/>
      <c r="BG364" s="27"/>
      <c r="BH364" s="27"/>
      <c r="BI364" s="27"/>
      <c r="BJ364" s="27"/>
      <c r="BK364" s="27"/>
      <c r="BL364" s="27"/>
      <c r="BM364" s="27"/>
      <c r="BN364" s="27"/>
      <c r="BO364" s="27"/>
      <c r="BP364" s="27"/>
      <c r="BQ364" s="27"/>
      <c r="BR364" s="27"/>
      <c r="BS364" s="27"/>
      <c r="BT364" s="27"/>
    </row>
    <row r="365" spans="1:72" ht="14.25" customHeight="1" x14ac:dyDescent="0.2">
      <c r="A365" s="5" t="s">
        <v>88</v>
      </c>
      <c r="B365" s="4">
        <v>2</v>
      </c>
      <c r="C365" s="4" t="s">
        <v>7661</v>
      </c>
      <c r="D365" s="4">
        <v>64092</v>
      </c>
      <c r="E365" s="4">
        <v>12991</v>
      </c>
      <c r="F365" s="4" t="s">
        <v>1639</v>
      </c>
      <c r="G365" s="8" t="s">
        <v>1640</v>
      </c>
      <c r="H365" s="4" t="s">
        <v>1149</v>
      </c>
      <c r="I365" s="4" t="s">
        <v>49</v>
      </c>
      <c r="J365" s="4" t="s">
        <v>793</v>
      </c>
      <c r="K365" s="4">
        <v>1</v>
      </c>
      <c r="L365" s="4">
        <v>14923</v>
      </c>
      <c r="M365" s="9">
        <v>50.171860000000002</v>
      </c>
      <c r="N365" s="9">
        <v>-125.47920000000001</v>
      </c>
      <c r="O365" s="9" t="s">
        <v>183</v>
      </c>
      <c r="P365" s="9">
        <v>64092</v>
      </c>
      <c r="Q365" s="20">
        <v>5</v>
      </c>
      <c r="R365" s="9" t="s">
        <v>1641</v>
      </c>
      <c r="S365" s="11" t="s">
        <v>1639</v>
      </c>
      <c r="T365" s="9" t="s">
        <v>644</v>
      </c>
      <c r="U365" s="9">
        <v>300</v>
      </c>
      <c r="Z365" s="9"/>
      <c r="AA365" s="9" t="s">
        <v>1642</v>
      </c>
      <c r="AB365" s="9"/>
      <c r="AC365" s="9"/>
      <c r="AD365" s="9"/>
      <c r="AE365" s="9"/>
      <c r="AF365" s="9"/>
      <c r="AG365" s="9"/>
      <c r="AH365" s="9"/>
      <c r="AI365" s="9"/>
    </row>
    <row r="366" spans="1:72" ht="14.25" customHeight="1" x14ac:dyDescent="0.2">
      <c r="A366" s="5"/>
      <c r="B366" s="4">
        <v>2</v>
      </c>
      <c r="C366" s="4" t="s">
        <v>7661</v>
      </c>
      <c r="D366" s="4">
        <v>64093</v>
      </c>
      <c r="E366" s="4">
        <v>2955</v>
      </c>
      <c r="F366" s="4" t="s">
        <v>1643</v>
      </c>
      <c r="G366" s="19" t="s">
        <v>1644</v>
      </c>
      <c r="H366" s="4" t="s">
        <v>1645</v>
      </c>
      <c r="I366" s="4" t="s">
        <v>641</v>
      </c>
      <c r="J366" s="4" t="s">
        <v>642</v>
      </c>
      <c r="K366" s="4">
        <v>1</v>
      </c>
      <c r="L366" s="4">
        <v>3698</v>
      </c>
      <c r="M366" s="9">
        <v>49.830030000000001</v>
      </c>
      <c r="N366" s="9">
        <v>-125.19006</v>
      </c>
      <c r="O366" s="9" t="s">
        <v>183</v>
      </c>
      <c r="P366" s="9">
        <v>64093</v>
      </c>
      <c r="Q366" s="20">
        <v>3</v>
      </c>
      <c r="R366" s="9" t="s">
        <v>1643</v>
      </c>
      <c r="S366" s="11" t="s">
        <v>1646</v>
      </c>
      <c r="T366" s="9" t="s">
        <v>644</v>
      </c>
      <c r="U366" s="9">
        <v>100</v>
      </c>
      <c r="Z366" s="9"/>
      <c r="AA366" s="9" t="s">
        <v>1647</v>
      </c>
      <c r="AB366" s="9"/>
      <c r="AC366" s="21"/>
      <c r="AD366" s="9"/>
      <c r="AE366" s="9"/>
      <c r="AF366" s="9"/>
      <c r="AG366" s="9"/>
      <c r="AH366" s="9"/>
      <c r="AI366" s="9"/>
    </row>
    <row r="367" spans="1:72" ht="14.25" customHeight="1" x14ac:dyDescent="0.2">
      <c r="A367" s="41" t="s">
        <v>422</v>
      </c>
      <c r="B367" s="42">
        <v>2</v>
      </c>
      <c r="C367" s="42" t="s">
        <v>7661</v>
      </c>
      <c r="D367" s="42" t="s">
        <v>1648</v>
      </c>
      <c r="E367" s="42">
        <v>12521</v>
      </c>
      <c r="F367" s="42" t="s">
        <v>1649</v>
      </c>
      <c r="G367" s="42" t="s">
        <v>113</v>
      </c>
      <c r="H367" s="42" t="s">
        <v>1650</v>
      </c>
      <c r="I367" s="42" t="s">
        <v>49</v>
      </c>
      <c r="J367" s="42" t="s">
        <v>1651</v>
      </c>
      <c r="K367" s="42">
        <v>1</v>
      </c>
      <c r="L367" s="42">
        <v>14543</v>
      </c>
      <c r="M367" s="43"/>
      <c r="N367" s="43"/>
      <c r="O367" s="43"/>
      <c r="P367" s="44"/>
      <c r="AF367" s="42"/>
      <c r="AG367" s="42"/>
      <c r="AH367" s="42"/>
      <c r="AI367" s="42"/>
      <c r="AJ367" s="42"/>
      <c r="AK367" s="42"/>
      <c r="AL367" s="42"/>
      <c r="AM367" s="42"/>
      <c r="AN367" s="42"/>
      <c r="AO367" s="42"/>
      <c r="AP367" s="42"/>
      <c r="AQ367" s="42"/>
      <c r="AR367" s="42"/>
      <c r="AS367" s="42"/>
      <c r="AT367" s="42"/>
      <c r="AU367" s="42"/>
      <c r="AV367" s="42"/>
      <c r="AW367" s="42"/>
      <c r="AX367" s="42"/>
      <c r="AY367" s="42"/>
      <c r="AZ367" s="42"/>
      <c r="BA367" s="42"/>
      <c r="BB367" s="42"/>
      <c r="BC367" s="42"/>
      <c r="BD367" s="42"/>
      <c r="BE367" s="42"/>
      <c r="BF367" s="42"/>
      <c r="BG367" s="42"/>
      <c r="BH367" s="42"/>
      <c r="BI367" s="42"/>
      <c r="BJ367" s="42"/>
      <c r="BK367" s="42"/>
      <c r="BL367" s="42"/>
      <c r="BM367" s="42"/>
      <c r="BN367" s="42"/>
      <c r="BO367" s="42"/>
      <c r="BP367" s="42"/>
      <c r="BQ367" s="42"/>
      <c r="BR367" s="42"/>
      <c r="BS367" s="42"/>
      <c r="BT367" s="42"/>
    </row>
    <row r="368" spans="1:72" ht="14.25" customHeight="1" x14ac:dyDescent="0.2">
      <c r="A368" s="5" t="s">
        <v>328</v>
      </c>
      <c r="B368" s="4">
        <v>2</v>
      </c>
      <c r="C368" s="10" t="s">
        <v>7662</v>
      </c>
      <c r="D368" s="10" t="s">
        <v>1652</v>
      </c>
      <c r="F368" s="10" t="s">
        <v>1653</v>
      </c>
      <c r="G368" s="10" t="s">
        <v>1654</v>
      </c>
      <c r="M368" s="45">
        <v>49.877589999999998</v>
      </c>
      <c r="N368" s="45">
        <v>-117.39829</v>
      </c>
      <c r="O368" s="4" t="s">
        <v>170</v>
      </c>
      <c r="P368" s="4">
        <v>34891</v>
      </c>
      <c r="Q368" s="20">
        <v>1</v>
      </c>
      <c r="R368" s="46" t="s">
        <v>1655</v>
      </c>
      <c r="S368" s="11" t="s">
        <v>1656</v>
      </c>
      <c r="T368" s="4" t="s">
        <v>644</v>
      </c>
      <c r="U368" s="4">
        <v>808</v>
      </c>
      <c r="V368" s="21">
        <v>45890</v>
      </c>
      <c r="W368" s="42"/>
      <c r="X368" s="42"/>
      <c r="AA368" s="47" t="s">
        <v>1657</v>
      </c>
      <c r="AD368" s="9"/>
      <c r="AE368" s="9"/>
      <c r="AI368" s="9"/>
      <c r="AK368" s="42"/>
      <c r="AL368" s="42"/>
      <c r="AM368" s="42"/>
      <c r="AN368" s="42"/>
      <c r="AO368" s="42"/>
      <c r="AP368" s="42"/>
      <c r="AQ368" s="42"/>
      <c r="AR368" s="42"/>
      <c r="AS368" s="42"/>
      <c r="AT368" s="42"/>
      <c r="AU368" s="42"/>
      <c r="AV368" s="42"/>
      <c r="AW368" s="42"/>
      <c r="AX368" s="42"/>
      <c r="AY368" s="42"/>
      <c r="AZ368" s="42"/>
      <c r="BA368" s="42"/>
      <c r="BB368" s="42"/>
      <c r="BC368" s="42"/>
      <c r="BD368" s="42"/>
      <c r="BE368" s="42"/>
      <c r="BF368" s="42"/>
      <c r="BG368" s="42"/>
      <c r="BH368" s="42"/>
      <c r="BI368" s="42"/>
      <c r="BJ368" s="42"/>
      <c r="BK368" s="42"/>
      <c r="BL368" s="42"/>
      <c r="BM368" s="42"/>
      <c r="BN368" s="42"/>
      <c r="BO368" s="42"/>
      <c r="BP368" s="42"/>
      <c r="BQ368" s="42"/>
      <c r="BR368" s="42"/>
      <c r="BS368" s="42"/>
      <c r="BT368" s="42"/>
    </row>
    <row r="369" spans="1:72" ht="14.25" customHeight="1" x14ac:dyDescent="0.2">
      <c r="A369" s="5" t="s">
        <v>1658</v>
      </c>
      <c r="B369" s="4">
        <v>6</v>
      </c>
      <c r="C369" s="4" t="s">
        <v>1659</v>
      </c>
      <c r="D369" s="4" t="s">
        <v>1660</v>
      </c>
      <c r="E369" s="4">
        <v>2422</v>
      </c>
      <c r="F369" s="4" t="s">
        <v>1661</v>
      </c>
      <c r="G369" s="8" t="s">
        <v>1662</v>
      </c>
      <c r="H369" s="4" t="s">
        <v>1663</v>
      </c>
      <c r="I369" s="4" t="s">
        <v>1664</v>
      </c>
      <c r="J369" s="4" t="s">
        <v>1665</v>
      </c>
      <c r="M369" s="9">
        <v>53.580300000000001</v>
      </c>
      <c r="N369" s="9">
        <v>-124.94605</v>
      </c>
      <c r="O369" s="9" t="s">
        <v>148</v>
      </c>
      <c r="P369" s="8" t="s">
        <v>1666</v>
      </c>
      <c r="Q369" s="4">
        <v>2</v>
      </c>
      <c r="R369" s="4" t="s">
        <v>1661</v>
      </c>
      <c r="S369" s="4" t="str">
        <f t="shared" ref="S369:S374" si="2">UPPER(R369)</f>
        <v>KENNEY DAM</v>
      </c>
      <c r="T369" s="4" t="s">
        <v>1659</v>
      </c>
      <c r="U369" s="4">
        <v>858</v>
      </c>
    </row>
    <row r="370" spans="1:72" ht="14.25" customHeight="1" x14ac:dyDescent="0.2">
      <c r="A370" s="5" t="s">
        <v>1658</v>
      </c>
      <c r="B370" s="4">
        <v>6</v>
      </c>
      <c r="C370" s="4" t="s">
        <v>1659</v>
      </c>
      <c r="D370" s="4" t="s">
        <v>1667</v>
      </c>
      <c r="E370" s="4">
        <v>2423</v>
      </c>
      <c r="F370" s="27" t="s">
        <v>1668</v>
      </c>
      <c r="G370" s="8" t="s">
        <v>1669</v>
      </c>
      <c r="H370" s="4" t="s">
        <v>1670</v>
      </c>
      <c r="I370" s="4" t="s">
        <v>1664</v>
      </c>
      <c r="J370" s="4" t="s">
        <v>1671</v>
      </c>
      <c r="M370" s="27">
        <v>53.23395</v>
      </c>
      <c r="N370" s="27">
        <v>-126.1132667</v>
      </c>
      <c r="O370" s="27" t="s">
        <v>148</v>
      </c>
      <c r="P370" s="36" t="s">
        <v>1672</v>
      </c>
      <c r="Q370" s="27">
        <v>2</v>
      </c>
      <c r="R370" s="27" t="s">
        <v>1668</v>
      </c>
      <c r="S370" s="27" t="str">
        <f t="shared" si="2"/>
        <v>EUTSUK</v>
      </c>
      <c r="T370" s="27" t="s">
        <v>1659</v>
      </c>
      <c r="U370" s="27">
        <v>863</v>
      </c>
      <c r="V370" s="27"/>
      <c r="W370" s="27"/>
      <c r="X370" s="27"/>
      <c r="Y370" s="27"/>
      <c r="Z370" s="27"/>
      <c r="AA370" s="27"/>
      <c r="AB370" s="27"/>
      <c r="AC370" s="27"/>
      <c r="AD370" s="27"/>
      <c r="AE370" s="27"/>
      <c r="AF370" s="27"/>
      <c r="AG370" s="27"/>
      <c r="AH370" s="27"/>
      <c r="AI370" s="27"/>
      <c r="AJ370" s="27"/>
      <c r="AK370" s="27"/>
      <c r="AL370" s="27"/>
      <c r="AM370" s="27"/>
      <c r="AN370" s="27"/>
      <c r="AO370" s="27"/>
      <c r="AP370" s="27"/>
      <c r="AQ370" s="27"/>
      <c r="AR370" s="27"/>
      <c r="AS370" s="27"/>
      <c r="AT370" s="27"/>
      <c r="AU370" s="27"/>
      <c r="AV370" s="27"/>
      <c r="AW370" s="27"/>
      <c r="AX370" s="27"/>
      <c r="AY370" s="27"/>
      <c r="AZ370" s="27"/>
      <c r="BA370" s="27"/>
      <c r="BB370" s="27"/>
      <c r="BC370" s="27"/>
      <c r="BD370" s="27"/>
      <c r="BE370" s="27"/>
      <c r="BF370" s="27"/>
      <c r="BG370" s="27"/>
      <c r="BH370" s="27"/>
      <c r="BI370" s="27"/>
      <c r="BJ370" s="27"/>
      <c r="BK370" s="27"/>
      <c r="BL370" s="27"/>
      <c r="BM370" s="27"/>
      <c r="BN370" s="27"/>
      <c r="BO370" s="27"/>
      <c r="BP370" s="27"/>
      <c r="BQ370" s="27"/>
      <c r="BR370" s="27"/>
      <c r="BS370" s="27"/>
      <c r="BT370" s="27"/>
    </row>
    <row r="371" spans="1:72" ht="14.25" customHeight="1" x14ac:dyDescent="0.2">
      <c r="A371" s="5" t="s">
        <v>1658</v>
      </c>
      <c r="B371" s="4">
        <v>6</v>
      </c>
      <c r="C371" s="4" t="s">
        <v>1659</v>
      </c>
      <c r="D371" s="4" t="s">
        <v>1673</v>
      </c>
      <c r="E371" s="4">
        <v>2424</v>
      </c>
      <c r="F371" s="4" t="s">
        <v>1674</v>
      </c>
      <c r="G371" s="8" t="s">
        <v>1675</v>
      </c>
      <c r="H371" s="4" t="s">
        <v>1676</v>
      </c>
      <c r="I371" s="4" t="s">
        <v>1664</v>
      </c>
      <c r="J371" s="4" t="s">
        <v>1677</v>
      </c>
      <c r="M371" s="8">
        <v>53.617100000000001</v>
      </c>
      <c r="N371" s="8">
        <v>-127.696397</v>
      </c>
      <c r="O371" s="9" t="s">
        <v>148</v>
      </c>
      <c r="P371" s="8" t="s">
        <v>1678</v>
      </c>
      <c r="Q371" s="4">
        <v>2</v>
      </c>
      <c r="R371" s="4" t="s">
        <v>1674</v>
      </c>
      <c r="S371" s="4" t="str">
        <f t="shared" si="2"/>
        <v>TAHTSA INTAKE</v>
      </c>
      <c r="T371" s="4" t="s">
        <v>1659</v>
      </c>
      <c r="U371" s="4">
        <v>880</v>
      </c>
    </row>
    <row r="372" spans="1:72" ht="14.25" customHeight="1" x14ac:dyDescent="0.2">
      <c r="A372" s="5"/>
      <c r="B372" s="4">
        <v>6</v>
      </c>
      <c r="C372" s="4" t="s">
        <v>1659</v>
      </c>
      <c r="D372" s="4" t="s">
        <v>1679</v>
      </c>
      <c r="E372" s="4">
        <v>2425</v>
      </c>
      <c r="F372" s="4" t="s">
        <v>1680</v>
      </c>
      <c r="G372" s="4" t="s">
        <v>1681</v>
      </c>
      <c r="H372" s="4" t="s">
        <v>1663</v>
      </c>
      <c r="I372" s="4" t="s">
        <v>1664</v>
      </c>
      <c r="J372" s="4" t="s">
        <v>1682</v>
      </c>
      <c r="M372" s="9">
        <v>53.72923333</v>
      </c>
      <c r="N372" s="9">
        <v>-126.4179333</v>
      </c>
      <c r="O372" s="9" t="s">
        <v>148</v>
      </c>
      <c r="P372" s="8" t="s">
        <v>1683</v>
      </c>
      <c r="Q372" s="4">
        <v>7</v>
      </c>
      <c r="R372" s="4" t="s">
        <v>1680</v>
      </c>
      <c r="S372" s="4" t="str">
        <f t="shared" si="2"/>
        <v>MOUNT WELLS</v>
      </c>
      <c r="T372" s="4" t="s">
        <v>1659</v>
      </c>
      <c r="U372" s="4">
        <v>1490</v>
      </c>
    </row>
    <row r="373" spans="1:72" ht="14.25" customHeight="1" x14ac:dyDescent="0.2">
      <c r="A373" s="5"/>
      <c r="B373" s="4">
        <v>6</v>
      </c>
      <c r="C373" s="4" t="s">
        <v>1659</v>
      </c>
      <c r="D373" s="4" t="s">
        <v>1684</v>
      </c>
      <c r="E373" s="4">
        <v>2426</v>
      </c>
      <c r="F373" s="4" t="s">
        <v>1685</v>
      </c>
      <c r="G373" s="4" t="s">
        <v>1686</v>
      </c>
      <c r="H373" s="4" t="s">
        <v>1663</v>
      </c>
      <c r="I373" s="4" t="s">
        <v>1664</v>
      </c>
      <c r="J373" s="4" t="s">
        <v>1682</v>
      </c>
      <c r="M373" s="9">
        <v>53.587416670000003</v>
      </c>
      <c r="N373" s="9">
        <v>-127.6505667</v>
      </c>
      <c r="O373" s="9" t="s">
        <v>51</v>
      </c>
      <c r="P373" s="8" t="s">
        <v>1687</v>
      </c>
      <c r="Q373" s="4">
        <v>6</v>
      </c>
      <c r="R373" s="4" t="s">
        <v>1685</v>
      </c>
      <c r="S373" s="4" t="str">
        <f t="shared" si="2"/>
        <v>TAHTSA LAKE</v>
      </c>
      <c r="T373" s="4" t="s">
        <v>1659</v>
      </c>
      <c r="U373" s="4">
        <v>1300</v>
      </c>
    </row>
    <row r="374" spans="1:72" ht="14.25" customHeight="1" x14ac:dyDescent="0.2">
      <c r="A374" s="5"/>
      <c r="B374" s="4">
        <v>6</v>
      </c>
      <c r="C374" s="4" t="s">
        <v>1659</v>
      </c>
      <c r="D374" s="4" t="s">
        <v>1688</v>
      </c>
      <c r="E374" s="4">
        <v>2427</v>
      </c>
      <c r="F374" s="4" t="s">
        <v>1689</v>
      </c>
      <c r="G374" s="4" t="s">
        <v>1690</v>
      </c>
      <c r="H374" s="4" t="s">
        <v>1663</v>
      </c>
      <c r="I374" s="4" t="s">
        <v>1664</v>
      </c>
      <c r="J374" s="4" t="s">
        <v>1682</v>
      </c>
      <c r="M374" s="9">
        <v>53.164766669999999</v>
      </c>
      <c r="N374" s="9">
        <v>-126.87551670000001</v>
      </c>
      <c r="O374" s="9" t="s">
        <v>51</v>
      </c>
      <c r="P374" s="8" t="s">
        <v>1691</v>
      </c>
      <c r="Q374" s="4">
        <v>7</v>
      </c>
      <c r="R374" s="4" t="s">
        <v>1689</v>
      </c>
      <c r="S374" s="4" t="str">
        <f t="shared" si="2"/>
        <v>MOUNT PONDOSY</v>
      </c>
      <c r="T374" s="4" t="s">
        <v>1659</v>
      </c>
      <c r="U374" s="4">
        <v>1400</v>
      </c>
    </row>
    <row r="375" spans="1:72" ht="14.25" customHeight="1" x14ac:dyDescent="0.2">
      <c r="A375" s="4" t="s">
        <v>1692</v>
      </c>
      <c r="B375" s="4">
        <v>12</v>
      </c>
      <c r="C375" s="8" t="s">
        <v>7664</v>
      </c>
      <c r="D375" s="8" t="s">
        <v>1694</v>
      </c>
      <c r="E375" s="4">
        <v>12960</v>
      </c>
      <c r="F375" s="10" t="s">
        <v>1695</v>
      </c>
      <c r="G375" s="10" t="s">
        <v>1696</v>
      </c>
      <c r="H375" s="4" t="s">
        <v>1697</v>
      </c>
      <c r="I375" s="4" t="s">
        <v>49</v>
      </c>
      <c r="J375" s="4" t="s">
        <v>1698</v>
      </c>
      <c r="K375" s="4">
        <v>1</v>
      </c>
      <c r="L375" s="4">
        <v>14892</v>
      </c>
      <c r="AO375" s="48" t="s">
        <v>1699</v>
      </c>
      <c r="AP375" s="48">
        <v>1</v>
      </c>
      <c r="AQ375" s="48" t="s">
        <v>1700</v>
      </c>
      <c r="AR375" s="48" t="s">
        <v>1701</v>
      </c>
      <c r="AS375" s="48" t="s">
        <v>1702</v>
      </c>
      <c r="AT375" s="48" t="s">
        <v>1703</v>
      </c>
      <c r="AU375" s="48" t="s">
        <v>1704</v>
      </c>
      <c r="AV375" s="48" t="s">
        <v>1702</v>
      </c>
      <c r="AW375" s="48" t="s">
        <v>1705</v>
      </c>
      <c r="AX375" s="48" t="s">
        <v>1706</v>
      </c>
      <c r="AY375" s="48">
        <v>49.078099999999999</v>
      </c>
      <c r="AZ375" s="48">
        <v>-125.7696</v>
      </c>
      <c r="BA375" s="48">
        <v>24</v>
      </c>
    </row>
    <row r="376" spans="1:72" ht="14.25" customHeight="1" x14ac:dyDescent="0.2">
      <c r="A376" s="4" t="s">
        <v>422</v>
      </c>
      <c r="B376" s="4">
        <v>12</v>
      </c>
      <c r="C376" s="4" t="s">
        <v>7665</v>
      </c>
      <c r="D376" s="4">
        <v>2</v>
      </c>
      <c r="E376" s="4">
        <v>12961</v>
      </c>
      <c r="F376" s="49" t="s">
        <v>1708</v>
      </c>
      <c r="G376" s="49" t="s">
        <v>127</v>
      </c>
      <c r="H376" s="4" t="s">
        <v>1697</v>
      </c>
      <c r="I376" s="4" t="s">
        <v>49</v>
      </c>
      <c r="J376" s="4" t="s">
        <v>1698</v>
      </c>
      <c r="K376" s="4">
        <v>1</v>
      </c>
      <c r="L376" s="4">
        <v>14893</v>
      </c>
      <c r="AO376" s="48" t="s">
        <v>1709</v>
      </c>
      <c r="AP376" s="48">
        <v>2</v>
      </c>
      <c r="AQ376" s="48" t="s">
        <v>1700</v>
      </c>
      <c r="AR376" s="48" t="s">
        <v>1701</v>
      </c>
      <c r="AS376" s="48" t="s">
        <v>1702</v>
      </c>
      <c r="AT376" s="48" t="s">
        <v>1703</v>
      </c>
      <c r="AU376" s="48" t="s">
        <v>1704</v>
      </c>
      <c r="AV376" s="48" t="s">
        <v>1702</v>
      </c>
      <c r="AW376" s="48" t="s">
        <v>1705</v>
      </c>
      <c r="AX376" s="48" t="s">
        <v>1710</v>
      </c>
      <c r="AY376" s="48">
        <v>50.7</v>
      </c>
      <c r="AZ376" s="48">
        <v>-127.4</v>
      </c>
      <c r="BA376" s="48">
        <v>22</v>
      </c>
    </row>
    <row r="377" spans="1:72" ht="14.25" customHeight="1" x14ac:dyDescent="0.2">
      <c r="B377" s="4">
        <v>12</v>
      </c>
      <c r="C377" s="4" t="s">
        <v>7666</v>
      </c>
      <c r="D377" s="4">
        <v>3</v>
      </c>
      <c r="E377" s="4">
        <v>1603</v>
      </c>
      <c r="F377" s="16" t="s">
        <v>1712</v>
      </c>
      <c r="G377" s="49" t="s">
        <v>1713</v>
      </c>
      <c r="H377" s="4" t="s">
        <v>1714</v>
      </c>
      <c r="I377" s="4" t="s">
        <v>1664</v>
      </c>
      <c r="J377" s="4" t="s">
        <v>1715</v>
      </c>
      <c r="K377" s="4">
        <v>1</v>
      </c>
      <c r="L377" s="4">
        <v>2006</v>
      </c>
      <c r="AO377" s="4" t="s">
        <v>1712</v>
      </c>
      <c r="AP377" s="4">
        <v>3</v>
      </c>
      <c r="AQ377" s="4" t="s">
        <v>1716</v>
      </c>
      <c r="AR377" s="4" t="s">
        <v>1717</v>
      </c>
      <c r="AS377" s="4" t="s">
        <v>1718</v>
      </c>
      <c r="AT377" s="4" t="s">
        <v>1719</v>
      </c>
      <c r="AU377" s="4" t="s">
        <v>1703</v>
      </c>
      <c r="AV377" s="4" t="s">
        <v>1720</v>
      </c>
      <c r="AW377" s="4" t="s">
        <v>1705</v>
      </c>
      <c r="AX377" s="4" t="s">
        <v>1706</v>
      </c>
      <c r="AY377" s="4">
        <v>49</v>
      </c>
      <c r="AZ377" s="4">
        <v>-124.7</v>
      </c>
      <c r="BA377" s="4">
        <v>5</v>
      </c>
    </row>
    <row r="378" spans="1:72" ht="14.25" customHeight="1" x14ac:dyDescent="0.2">
      <c r="B378" s="4">
        <v>12</v>
      </c>
      <c r="C378" s="4" t="s">
        <v>7666</v>
      </c>
      <c r="D378" s="4">
        <v>4</v>
      </c>
      <c r="E378" s="4">
        <v>1607</v>
      </c>
      <c r="F378" s="16" t="s">
        <v>1721</v>
      </c>
      <c r="G378" s="49" t="s">
        <v>1722</v>
      </c>
      <c r="H378" s="4" t="s">
        <v>1714</v>
      </c>
      <c r="I378" s="4" t="s">
        <v>1664</v>
      </c>
      <c r="J378" s="4" t="s">
        <v>1715</v>
      </c>
      <c r="K378" s="4">
        <v>1</v>
      </c>
      <c r="L378" s="4">
        <v>2010</v>
      </c>
      <c r="AO378" s="4" t="s">
        <v>1721</v>
      </c>
      <c r="AP378" s="4">
        <v>4</v>
      </c>
      <c r="AQ378" s="4" t="s">
        <v>1716</v>
      </c>
      <c r="AR378" s="4" t="s">
        <v>1717</v>
      </c>
      <c r="AS378" s="4" t="s">
        <v>1718</v>
      </c>
      <c r="AT378" s="4" t="s">
        <v>1719</v>
      </c>
      <c r="AU378" s="4" t="s">
        <v>1703</v>
      </c>
      <c r="AV378" s="4" t="s">
        <v>1720</v>
      </c>
      <c r="AW378" s="4" t="s">
        <v>1705</v>
      </c>
      <c r="AX378" s="4" t="s">
        <v>1723</v>
      </c>
      <c r="AY378" s="4">
        <v>50</v>
      </c>
      <c r="AZ378" s="4">
        <v>-126.8</v>
      </c>
      <c r="BA378" s="4">
        <v>2</v>
      </c>
    </row>
    <row r="379" spans="1:72" ht="14.25" customHeight="1" x14ac:dyDescent="0.2">
      <c r="B379" s="4">
        <v>12</v>
      </c>
      <c r="C379" s="4" t="s">
        <v>7666</v>
      </c>
      <c r="D379" s="4">
        <v>8</v>
      </c>
      <c r="E379" s="4">
        <v>1608</v>
      </c>
      <c r="F379" s="16" t="s">
        <v>1724</v>
      </c>
      <c r="G379" s="49" t="s">
        <v>1725</v>
      </c>
      <c r="H379" s="4" t="s">
        <v>1726</v>
      </c>
      <c r="I379" s="4" t="s">
        <v>1664</v>
      </c>
      <c r="J379" s="4" t="s">
        <v>1715</v>
      </c>
      <c r="K379" s="4">
        <v>1</v>
      </c>
      <c r="L379" s="4">
        <v>2011</v>
      </c>
      <c r="AO379" s="4" t="s">
        <v>1724</v>
      </c>
      <c r="AP379" s="4">
        <v>8</v>
      </c>
      <c r="AQ379" s="4" t="s">
        <v>1716</v>
      </c>
      <c r="AR379" s="4" t="s">
        <v>1717</v>
      </c>
      <c r="AS379" s="4" t="s">
        <v>1718</v>
      </c>
      <c r="AT379" s="4" t="s">
        <v>1719</v>
      </c>
      <c r="AU379" s="4" t="s">
        <v>1703</v>
      </c>
      <c r="AV379" s="4" t="s">
        <v>1720</v>
      </c>
      <c r="AW379" s="4" t="s">
        <v>1705</v>
      </c>
      <c r="AX379" s="4" t="s">
        <v>1706</v>
      </c>
      <c r="AY379" s="4">
        <v>48.8</v>
      </c>
      <c r="AZ379" s="4">
        <v>-124.9</v>
      </c>
      <c r="BA379" s="4">
        <v>3</v>
      </c>
    </row>
    <row r="380" spans="1:72" ht="14.25" customHeight="1" x14ac:dyDescent="0.2">
      <c r="B380" s="4">
        <v>12</v>
      </c>
      <c r="C380" s="4" t="s">
        <v>7666</v>
      </c>
      <c r="D380" s="4">
        <v>9</v>
      </c>
      <c r="E380" s="4">
        <v>1609</v>
      </c>
      <c r="F380" s="16" t="s">
        <v>1727</v>
      </c>
      <c r="G380" s="49" t="s">
        <v>1728</v>
      </c>
      <c r="H380" s="4" t="s">
        <v>1729</v>
      </c>
      <c r="I380" s="4" t="s">
        <v>1664</v>
      </c>
      <c r="J380" s="4" t="s">
        <v>1715</v>
      </c>
      <c r="K380" s="4">
        <v>1</v>
      </c>
      <c r="L380" s="4">
        <v>2012</v>
      </c>
      <c r="AO380" s="4" t="s">
        <v>1727</v>
      </c>
      <c r="AP380" s="4">
        <v>9</v>
      </c>
      <c r="AQ380" s="4" t="s">
        <v>1716</v>
      </c>
      <c r="AR380" s="4" t="s">
        <v>1717</v>
      </c>
      <c r="AS380" s="4" t="s">
        <v>1718</v>
      </c>
      <c r="AT380" s="4" t="s">
        <v>1719</v>
      </c>
      <c r="AU380" s="4" t="s">
        <v>1703</v>
      </c>
      <c r="AV380" s="4" t="s">
        <v>1720</v>
      </c>
      <c r="AW380" s="4" t="s">
        <v>1705</v>
      </c>
      <c r="AX380" s="4" t="s">
        <v>1706</v>
      </c>
      <c r="AY380" s="4">
        <v>48.8</v>
      </c>
      <c r="AZ380" s="4">
        <v>-125</v>
      </c>
      <c r="BA380" s="4">
        <v>1</v>
      </c>
    </row>
    <row r="381" spans="1:72" ht="14.25" customHeight="1" x14ac:dyDescent="0.2">
      <c r="B381" s="4">
        <v>12</v>
      </c>
      <c r="C381" s="4" t="s">
        <v>7666</v>
      </c>
      <c r="D381" s="4">
        <v>10</v>
      </c>
      <c r="E381" s="4">
        <v>1610</v>
      </c>
      <c r="F381" s="16" t="s">
        <v>1730</v>
      </c>
      <c r="G381" s="49" t="s">
        <v>1731</v>
      </c>
      <c r="H381" s="4" t="s">
        <v>1732</v>
      </c>
      <c r="I381" s="4" t="s">
        <v>1664</v>
      </c>
      <c r="J381" s="4" t="s">
        <v>1715</v>
      </c>
      <c r="K381" s="4">
        <v>1</v>
      </c>
      <c r="L381" s="4">
        <v>2013</v>
      </c>
      <c r="AO381" s="4" t="s">
        <v>1730</v>
      </c>
      <c r="AP381" s="4">
        <v>10</v>
      </c>
      <c r="AQ381" s="4" t="s">
        <v>1716</v>
      </c>
      <c r="AR381" s="4" t="s">
        <v>1717</v>
      </c>
      <c r="AS381" s="4" t="s">
        <v>1718</v>
      </c>
      <c r="AT381" s="4" t="s">
        <v>1719</v>
      </c>
      <c r="AU381" s="4" t="s">
        <v>1703</v>
      </c>
      <c r="AV381" s="4" t="s">
        <v>1720</v>
      </c>
      <c r="AW381" s="4" t="s">
        <v>1705</v>
      </c>
      <c r="AX381" s="4" t="s">
        <v>1710</v>
      </c>
      <c r="AY381" s="4">
        <v>50.7</v>
      </c>
      <c r="AZ381" s="4">
        <v>-126.3</v>
      </c>
      <c r="BA381" s="4">
        <v>7</v>
      </c>
    </row>
    <row r="382" spans="1:72" ht="14.25" customHeight="1" x14ac:dyDescent="0.2">
      <c r="A382" s="4" t="s">
        <v>88</v>
      </c>
      <c r="B382" s="4">
        <v>12</v>
      </c>
      <c r="C382" s="4" t="s">
        <v>7666</v>
      </c>
      <c r="D382" s="4">
        <v>11</v>
      </c>
      <c r="E382" s="4">
        <v>1611</v>
      </c>
      <c r="F382" s="4" t="s">
        <v>1733</v>
      </c>
      <c r="G382" s="10" t="s">
        <v>1734</v>
      </c>
      <c r="H382" s="4" t="s">
        <v>1735</v>
      </c>
      <c r="I382" s="4" t="s">
        <v>641</v>
      </c>
      <c r="J382" s="4" t="s">
        <v>1736</v>
      </c>
      <c r="K382" s="4">
        <v>1</v>
      </c>
      <c r="L382" s="4">
        <v>2014</v>
      </c>
      <c r="M382" s="9">
        <v>48.927570000000003</v>
      </c>
      <c r="N382" s="9">
        <v>-124.6469</v>
      </c>
      <c r="O382" s="9" t="s">
        <v>51</v>
      </c>
      <c r="P382" s="14">
        <v>11</v>
      </c>
      <c r="Q382" s="4">
        <v>4</v>
      </c>
      <c r="R382" s="4" t="s">
        <v>1733</v>
      </c>
      <c r="S382" s="4" t="s">
        <v>1737</v>
      </c>
      <c r="T382" s="4">
        <v>680</v>
      </c>
      <c r="W382" s="4">
        <v>31048</v>
      </c>
      <c r="X382" s="4" t="s">
        <v>1738</v>
      </c>
      <c r="AO382" s="14" t="s">
        <v>1733</v>
      </c>
      <c r="AP382" s="14">
        <v>11</v>
      </c>
      <c r="AQ382" s="14" t="s">
        <v>1716</v>
      </c>
      <c r="AR382" s="14" t="s">
        <v>1739</v>
      </c>
      <c r="AS382" s="14" t="s">
        <v>1740</v>
      </c>
      <c r="AT382" s="14" t="s">
        <v>1741</v>
      </c>
      <c r="AU382" s="14" t="s">
        <v>1742</v>
      </c>
      <c r="AV382" s="14" t="s">
        <v>1720</v>
      </c>
      <c r="AW382" s="14" t="s">
        <v>1705</v>
      </c>
      <c r="AX382" s="14" t="s">
        <v>1706</v>
      </c>
      <c r="AY382" s="14">
        <v>48.927599999999998</v>
      </c>
      <c r="AZ382" s="14">
        <v>-124.6469</v>
      </c>
      <c r="BA382" s="14">
        <v>671</v>
      </c>
    </row>
    <row r="383" spans="1:72" ht="14.25" customHeight="1" x14ac:dyDescent="0.2">
      <c r="B383" s="4">
        <v>12</v>
      </c>
      <c r="C383" s="4" t="s">
        <v>7666</v>
      </c>
      <c r="D383" s="4">
        <v>12</v>
      </c>
      <c r="E383" s="4">
        <v>1612</v>
      </c>
      <c r="F383" s="16" t="s">
        <v>1743</v>
      </c>
      <c r="G383" s="49" t="s">
        <v>1744</v>
      </c>
      <c r="H383" s="4" t="s">
        <v>1745</v>
      </c>
      <c r="I383" s="4" t="s">
        <v>1664</v>
      </c>
      <c r="J383" s="4" t="s">
        <v>1746</v>
      </c>
      <c r="K383" s="4">
        <v>1</v>
      </c>
      <c r="L383" s="4">
        <v>2015</v>
      </c>
      <c r="AO383" s="4" t="s">
        <v>1743</v>
      </c>
      <c r="AP383" s="4">
        <v>12</v>
      </c>
      <c r="AQ383" s="4" t="s">
        <v>1716</v>
      </c>
      <c r="AR383" s="4" t="s">
        <v>1717</v>
      </c>
      <c r="AS383" s="4" t="s">
        <v>1718</v>
      </c>
      <c r="AT383" s="4" t="s">
        <v>1719</v>
      </c>
      <c r="AU383" s="4" t="s">
        <v>1703</v>
      </c>
      <c r="AV383" s="4" t="s">
        <v>1720</v>
      </c>
      <c r="AW383" s="4" t="s">
        <v>1705</v>
      </c>
      <c r="AX383" s="4" t="s">
        <v>1747</v>
      </c>
      <c r="AY383" s="4">
        <v>48.5</v>
      </c>
      <c r="AZ383" s="4">
        <v>-124.3</v>
      </c>
      <c r="BA383" s="4">
        <v>4</v>
      </c>
    </row>
    <row r="384" spans="1:72" ht="14.25" customHeight="1" x14ac:dyDescent="0.2">
      <c r="B384" s="4">
        <v>12</v>
      </c>
      <c r="C384" s="4" t="s">
        <v>7666</v>
      </c>
      <c r="D384" s="4">
        <v>13</v>
      </c>
      <c r="E384" s="4">
        <v>1613</v>
      </c>
      <c r="F384" s="16" t="s">
        <v>1748</v>
      </c>
      <c r="G384" s="49" t="s">
        <v>1749</v>
      </c>
      <c r="H384" s="4" t="s">
        <v>1750</v>
      </c>
      <c r="I384" s="4" t="s">
        <v>1664</v>
      </c>
      <c r="J384" s="4" t="s">
        <v>1715</v>
      </c>
      <c r="K384" s="4">
        <v>1</v>
      </c>
      <c r="L384" s="4">
        <v>2016</v>
      </c>
      <c r="AO384" s="4" t="s">
        <v>1748</v>
      </c>
      <c r="AP384" s="4">
        <v>13</v>
      </c>
      <c r="AQ384" s="4" t="s">
        <v>1716</v>
      </c>
      <c r="AR384" s="4" t="s">
        <v>1717</v>
      </c>
      <c r="AS384" s="4" t="s">
        <v>1718</v>
      </c>
      <c r="AT384" s="4" t="s">
        <v>1719</v>
      </c>
      <c r="AU384" s="4" t="s">
        <v>1703</v>
      </c>
      <c r="AV384" s="4" t="s">
        <v>1720</v>
      </c>
      <c r="AW384" s="4" t="s">
        <v>1705</v>
      </c>
      <c r="AX384" s="4" t="s">
        <v>1706</v>
      </c>
      <c r="AY384" s="4">
        <v>48.8</v>
      </c>
      <c r="AZ384" s="4">
        <v>-124.8</v>
      </c>
      <c r="BA384" s="4">
        <v>2</v>
      </c>
    </row>
    <row r="385" spans="1:53" ht="14.25" customHeight="1" x14ac:dyDescent="0.2">
      <c r="B385" s="4">
        <v>12</v>
      </c>
      <c r="C385" s="4" t="s">
        <v>7666</v>
      </c>
      <c r="D385" s="4">
        <v>14</v>
      </c>
      <c r="E385" s="4">
        <v>1614</v>
      </c>
      <c r="F385" s="16" t="s">
        <v>1751</v>
      </c>
      <c r="G385" s="49" t="s">
        <v>1752</v>
      </c>
      <c r="H385" s="4" t="s">
        <v>1753</v>
      </c>
      <c r="I385" s="4" t="s">
        <v>1664</v>
      </c>
      <c r="J385" s="4" t="s">
        <v>1715</v>
      </c>
      <c r="K385" s="4">
        <v>1</v>
      </c>
      <c r="L385" s="4">
        <v>2017</v>
      </c>
      <c r="AO385" s="4" t="s">
        <v>1751</v>
      </c>
      <c r="AP385" s="4">
        <v>14</v>
      </c>
      <c r="AQ385" s="4" t="s">
        <v>1716</v>
      </c>
      <c r="AR385" s="4" t="s">
        <v>1717</v>
      </c>
      <c r="AS385" s="4" t="s">
        <v>1718</v>
      </c>
      <c r="AT385" s="4" t="s">
        <v>1719</v>
      </c>
      <c r="AU385" s="4" t="s">
        <v>1703</v>
      </c>
      <c r="AV385" s="4" t="s">
        <v>1720</v>
      </c>
      <c r="AW385" s="4" t="s">
        <v>1705</v>
      </c>
      <c r="AX385" s="4" t="s">
        <v>1747</v>
      </c>
      <c r="AY385" s="4">
        <v>48.9</v>
      </c>
      <c r="AZ385" s="4">
        <v>-124.5</v>
      </c>
      <c r="BA385" s="4">
        <v>4</v>
      </c>
    </row>
    <row r="386" spans="1:53" ht="14.25" customHeight="1" x14ac:dyDescent="0.2">
      <c r="B386" s="4">
        <v>12</v>
      </c>
      <c r="C386" s="4" t="s">
        <v>7666</v>
      </c>
      <c r="D386" s="4">
        <v>15</v>
      </c>
      <c r="E386" s="4">
        <v>1615</v>
      </c>
      <c r="F386" s="16" t="s">
        <v>1754</v>
      </c>
      <c r="G386" s="49" t="s">
        <v>1755</v>
      </c>
      <c r="H386" s="4" t="s">
        <v>1756</v>
      </c>
      <c r="I386" s="4" t="s">
        <v>1664</v>
      </c>
      <c r="J386" s="4" t="s">
        <v>1715</v>
      </c>
      <c r="K386" s="4">
        <v>1</v>
      </c>
      <c r="L386" s="4">
        <v>2018</v>
      </c>
      <c r="AO386" s="4" t="s">
        <v>1754</v>
      </c>
      <c r="AP386" s="4">
        <v>15</v>
      </c>
      <c r="AQ386" s="4" t="s">
        <v>1716</v>
      </c>
      <c r="AR386" s="4" t="s">
        <v>1717</v>
      </c>
      <c r="AS386" s="4" t="s">
        <v>1718</v>
      </c>
      <c r="AT386" s="4" t="s">
        <v>1719</v>
      </c>
      <c r="AU386" s="4" t="s">
        <v>1703</v>
      </c>
      <c r="AV386" s="4" t="s">
        <v>1720</v>
      </c>
      <c r="AW386" s="4" t="s">
        <v>1705</v>
      </c>
      <c r="AX386" s="4" t="s">
        <v>1706</v>
      </c>
      <c r="AY386" s="4">
        <v>48.7</v>
      </c>
      <c r="AZ386" s="4">
        <v>-125</v>
      </c>
      <c r="BA386" s="4">
        <v>2</v>
      </c>
    </row>
    <row r="387" spans="1:53" ht="14.25" customHeight="1" x14ac:dyDescent="0.2">
      <c r="B387" s="4">
        <v>12</v>
      </c>
      <c r="C387" s="4" t="s">
        <v>7666</v>
      </c>
      <c r="D387" s="4">
        <v>16</v>
      </c>
      <c r="E387" s="4">
        <v>1616</v>
      </c>
      <c r="F387" s="16" t="s">
        <v>1757</v>
      </c>
      <c r="G387" s="49" t="s">
        <v>1758</v>
      </c>
      <c r="H387" s="4" t="s">
        <v>1759</v>
      </c>
      <c r="I387" s="4" t="s">
        <v>641</v>
      </c>
      <c r="J387" s="4" t="s">
        <v>1715</v>
      </c>
      <c r="K387" s="4">
        <v>1</v>
      </c>
      <c r="L387" s="4">
        <v>2019</v>
      </c>
      <c r="AO387" s="4" t="s">
        <v>1757</v>
      </c>
      <c r="AP387" s="4">
        <v>16</v>
      </c>
      <c r="AQ387" s="4" t="s">
        <v>1716</v>
      </c>
      <c r="AR387" s="4" t="s">
        <v>1717</v>
      </c>
      <c r="AS387" s="4" t="s">
        <v>1718</v>
      </c>
      <c r="AT387" s="4" t="s">
        <v>1703</v>
      </c>
      <c r="AU387" s="4" t="s">
        <v>1703</v>
      </c>
      <c r="AV387" s="4" t="s">
        <v>1720</v>
      </c>
      <c r="AW387" s="4" t="s">
        <v>1705</v>
      </c>
      <c r="AX387" s="4" t="s">
        <v>1747</v>
      </c>
      <c r="AY387" s="4">
        <v>48.578299999999999</v>
      </c>
      <c r="AZ387" s="4">
        <v>-124.41</v>
      </c>
      <c r="BA387" s="4">
        <v>300</v>
      </c>
    </row>
    <row r="388" spans="1:53" ht="14.25" customHeight="1" x14ac:dyDescent="0.2">
      <c r="B388" s="4">
        <v>12</v>
      </c>
      <c r="C388" s="4" t="s">
        <v>7666</v>
      </c>
      <c r="D388" s="4">
        <v>18</v>
      </c>
      <c r="E388" s="4">
        <v>1617</v>
      </c>
      <c r="F388" s="16" t="s">
        <v>1760</v>
      </c>
      <c r="G388" s="49" t="s">
        <v>1761</v>
      </c>
      <c r="H388" s="4" t="s">
        <v>1762</v>
      </c>
      <c r="I388" s="4" t="s">
        <v>1664</v>
      </c>
      <c r="J388" s="4" t="s">
        <v>1715</v>
      </c>
      <c r="K388" s="4">
        <v>1</v>
      </c>
      <c r="L388" s="4">
        <v>2020</v>
      </c>
      <c r="AO388" s="4" t="s">
        <v>1760</v>
      </c>
      <c r="AP388" s="4">
        <v>18</v>
      </c>
      <c r="AQ388" s="4" t="s">
        <v>1716</v>
      </c>
      <c r="AR388" s="4" t="s">
        <v>1717</v>
      </c>
      <c r="AS388" s="4" t="s">
        <v>1718</v>
      </c>
      <c r="AT388" s="4" t="s">
        <v>1719</v>
      </c>
      <c r="AU388" s="4" t="s">
        <v>1703</v>
      </c>
      <c r="AV388" s="4" t="s">
        <v>1720</v>
      </c>
      <c r="AW388" s="4" t="s">
        <v>1705</v>
      </c>
      <c r="AX388" s="4" t="s">
        <v>1747</v>
      </c>
      <c r="AY388" s="4">
        <v>48.8</v>
      </c>
      <c r="AZ388" s="4">
        <v>-124.5</v>
      </c>
      <c r="BA388" s="4">
        <v>4</v>
      </c>
    </row>
    <row r="389" spans="1:53" ht="14.25" customHeight="1" x14ac:dyDescent="0.2">
      <c r="A389" s="4" t="s">
        <v>88</v>
      </c>
      <c r="B389" s="4">
        <v>12</v>
      </c>
      <c r="C389" s="4" t="s">
        <v>7666</v>
      </c>
      <c r="D389" s="4">
        <v>19</v>
      </c>
      <c r="E389" s="4">
        <v>1618</v>
      </c>
      <c r="F389" s="4" t="s">
        <v>1763</v>
      </c>
      <c r="G389" s="10" t="s">
        <v>1764</v>
      </c>
      <c r="H389" s="4" t="s">
        <v>1765</v>
      </c>
      <c r="I389" s="4" t="s">
        <v>641</v>
      </c>
      <c r="J389" s="4" t="s">
        <v>1736</v>
      </c>
      <c r="K389" s="4">
        <v>1</v>
      </c>
      <c r="L389" s="4">
        <v>2021</v>
      </c>
      <c r="M389" s="9">
        <v>50.048630000000003</v>
      </c>
      <c r="N389" s="9">
        <v>-125.78867</v>
      </c>
      <c r="O389" s="9" t="s">
        <v>183</v>
      </c>
      <c r="P389" s="14">
        <v>19</v>
      </c>
      <c r="Q389" s="4">
        <v>6</v>
      </c>
      <c r="R389" s="4" t="s">
        <v>1763</v>
      </c>
      <c r="S389" s="4" t="s">
        <v>1737</v>
      </c>
      <c r="T389" s="4">
        <v>438</v>
      </c>
      <c r="W389" s="4">
        <v>25569</v>
      </c>
      <c r="X389" s="4" t="s">
        <v>1738</v>
      </c>
      <c r="AO389" s="14" t="s">
        <v>1763</v>
      </c>
      <c r="AP389" s="14">
        <v>19</v>
      </c>
      <c r="AQ389" s="14" t="s">
        <v>1716</v>
      </c>
      <c r="AR389" s="14" t="s">
        <v>1739</v>
      </c>
      <c r="AS389" s="14" t="s">
        <v>1740</v>
      </c>
      <c r="AT389" s="14" t="s">
        <v>1741</v>
      </c>
      <c r="AU389" s="14" t="s">
        <v>1742</v>
      </c>
      <c r="AV389" s="14" t="s">
        <v>1720</v>
      </c>
      <c r="AW389" s="14" t="s">
        <v>1705</v>
      </c>
      <c r="AX389" s="14" t="s">
        <v>1723</v>
      </c>
      <c r="AY389" s="14">
        <v>50.0486</v>
      </c>
      <c r="AZ389" s="14">
        <v>-125.78870000000001</v>
      </c>
      <c r="BA389" s="14">
        <v>435</v>
      </c>
    </row>
    <row r="390" spans="1:53" ht="14.25" customHeight="1" x14ac:dyDescent="0.2">
      <c r="B390" s="4">
        <v>12</v>
      </c>
      <c r="C390" s="4" t="s">
        <v>7666</v>
      </c>
      <c r="D390" s="4">
        <v>20</v>
      </c>
      <c r="E390" s="4">
        <v>1619</v>
      </c>
      <c r="F390" s="16" t="s">
        <v>1766</v>
      </c>
      <c r="G390" s="49" t="s">
        <v>1767</v>
      </c>
      <c r="H390" s="4" t="s">
        <v>1714</v>
      </c>
      <c r="I390" s="4" t="s">
        <v>1664</v>
      </c>
      <c r="J390" s="4" t="s">
        <v>1715</v>
      </c>
      <c r="K390" s="4">
        <v>1</v>
      </c>
      <c r="L390" s="4">
        <v>2022</v>
      </c>
      <c r="AO390" s="4" t="s">
        <v>1766</v>
      </c>
      <c r="AP390" s="4">
        <v>20</v>
      </c>
      <c r="AQ390" s="4" t="s">
        <v>1716</v>
      </c>
      <c r="AR390" s="4" t="s">
        <v>1717</v>
      </c>
      <c r="AS390" s="4" t="s">
        <v>1718</v>
      </c>
      <c r="AT390" s="4" t="s">
        <v>1719</v>
      </c>
      <c r="AU390" s="4" t="s">
        <v>1703</v>
      </c>
      <c r="AV390" s="4" t="s">
        <v>1720</v>
      </c>
      <c r="AW390" s="4" t="s">
        <v>1705</v>
      </c>
      <c r="AX390" s="4" t="s">
        <v>1723</v>
      </c>
      <c r="AY390" s="4">
        <v>49.8</v>
      </c>
      <c r="AZ390" s="4">
        <v>-126.1</v>
      </c>
      <c r="BA390" s="4">
        <v>6</v>
      </c>
    </row>
    <row r="391" spans="1:53" ht="14.25" customHeight="1" x14ac:dyDescent="0.2">
      <c r="A391" s="4" t="s">
        <v>88</v>
      </c>
      <c r="B391" s="4">
        <v>12</v>
      </c>
      <c r="C391" s="4" t="s">
        <v>7666</v>
      </c>
      <c r="D391" s="4">
        <v>21</v>
      </c>
      <c r="E391" s="4">
        <v>1620</v>
      </c>
      <c r="F391" s="4" t="s">
        <v>1768</v>
      </c>
      <c r="G391" s="10" t="s">
        <v>1769</v>
      </c>
      <c r="H391" s="4" t="s">
        <v>1770</v>
      </c>
      <c r="I391" s="4" t="s">
        <v>641</v>
      </c>
      <c r="J391" s="4" t="s">
        <v>1736</v>
      </c>
      <c r="K391" s="4">
        <v>1</v>
      </c>
      <c r="L391" s="4">
        <v>2023</v>
      </c>
      <c r="M391" s="9">
        <v>50.213120000000004</v>
      </c>
      <c r="N391" s="9">
        <v>-126.60705</v>
      </c>
      <c r="O391" s="9" t="s">
        <v>51</v>
      </c>
      <c r="P391" s="14">
        <v>21</v>
      </c>
      <c r="Q391" s="4">
        <v>2</v>
      </c>
      <c r="R391" s="4" t="s">
        <v>1768</v>
      </c>
      <c r="S391" s="4" t="s">
        <v>1737</v>
      </c>
      <c r="T391" s="4">
        <v>156</v>
      </c>
      <c r="U391" s="4" t="s">
        <v>645</v>
      </c>
      <c r="V391" s="4" t="s">
        <v>1771</v>
      </c>
      <c r="W391" s="4">
        <v>25569</v>
      </c>
      <c r="X391" s="4" t="s">
        <v>1738</v>
      </c>
      <c r="AO391" s="14" t="s">
        <v>1768</v>
      </c>
      <c r="AP391" s="14">
        <v>21</v>
      </c>
      <c r="AQ391" s="14" t="s">
        <v>1716</v>
      </c>
      <c r="AR391" s="14" t="s">
        <v>1739</v>
      </c>
      <c r="AS391" s="14" t="s">
        <v>1740</v>
      </c>
      <c r="AT391" s="14" t="s">
        <v>1741</v>
      </c>
      <c r="AU391" s="14" t="s">
        <v>1772</v>
      </c>
      <c r="AV391" s="14" t="s">
        <v>1720</v>
      </c>
      <c r="AW391" s="14" t="s">
        <v>1705</v>
      </c>
      <c r="AX391" s="14" t="s">
        <v>1710</v>
      </c>
      <c r="AY391" s="14">
        <v>50.213200000000001</v>
      </c>
      <c r="AZ391" s="14">
        <v>-126.6071</v>
      </c>
      <c r="BA391" s="14">
        <v>151</v>
      </c>
    </row>
    <row r="392" spans="1:53" ht="14.25" customHeight="1" x14ac:dyDescent="0.2">
      <c r="B392" s="4">
        <v>12</v>
      </c>
      <c r="C392" s="4" t="s">
        <v>7666</v>
      </c>
      <c r="D392" s="4">
        <v>23</v>
      </c>
      <c r="E392" s="4">
        <v>1621</v>
      </c>
      <c r="F392" s="16" t="s">
        <v>1773</v>
      </c>
      <c r="G392" s="49" t="s">
        <v>1774</v>
      </c>
      <c r="H392" s="4" t="s">
        <v>1775</v>
      </c>
      <c r="I392" s="4" t="s">
        <v>641</v>
      </c>
      <c r="J392" s="4" t="s">
        <v>1715</v>
      </c>
      <c r="K392" s="4">
        <v>1</v>
      </c>
      <c r="L392" s="4">
        <v>2024</v>
      </c>
      <c r="AO392" s="4" t="s">
        <v>1773</v>
      </c>
      <c r="AP392" s="4">
        <v>23</v>
      </c>
      <c r="AQ392" s="4" t="s">
        <v>1716</v>
      </c>
      <c r="AR392" s="4" t="s">
        <v>1717</v>
      </c>
      <c r="AS392" s="4" t="s">
        <v>1718</v>
      </c>
      <c r="AT392" s="4" t="s">
        <v>1703</v>
      </c>
      <c r="AU392" s="4" t="s">
        <v>1703</v>
      </c>
      <c r="AV392" s="4" t="s">
        <v>1720</v>
      </c>
      <c r="AW392" s="4" t="s">
        <v>1705</v>
      </c>
      <c r="AX392" s="4" t="s">
        <v>1706</v>
      </c>
      <c r="AY392" s="4">
        <v>49.226700000000001</v>
      </c>
      <c r="AZ392" s="4">
        <v>-124.9083</v>
      </c>
      <c r="BA392" s="4">
        <v>455</v>
      </c>
    </row>
    <row r="393" spans="1:53" ht="14.25" customHeight="1" x14ac:dyDescent="0.2">
      <c r="B393" s="4">
        <v>12</v>
      </c>
      <c r="C393" s="4" t="s">
        <v>7666</v>
      </c>
      <c r="D393" s="4">
        <v>24</v>
      </c>
      <c r="E393" s="4">
        <v>1622</v>
      </c>
      <c r="F393" s="16" t="s">
        <v>1776</v>
      </c>
      <c r="G393" s="49" t="s">
        <v>1777</v>
      </c>
      <c r="H393" s="4" t="s">
        <v>1778</v>
      </c>
      <c r="I393" s="4" t="s">
        <v>1664</v>
      </c>
      <c r="J393" s="4" t="s">
        <v>1715</v>
      </c>
      <c r="K393" s="4">
        <v>1</v>
      </c>
      <c r="L393" s="4">
        <v>2025</v>
      </c>
      <c r="AO393" s="4" t="s">
        <v>1776</v>
      </c>
      <c r="AP393" s="4">
        <v>24</v>
      </c>
      <c r="AQ393" s="4" t="s">
        <v>1716</v>
      </c>
      <c r="AR393" s="4" t="s">
        <v>1717</v>
      </c>
      <c r="AS393" s="4" t="s">
        <v>1718</v>
      </c>
      <c r="AT393" s="4" t="s">
        <v>1719</v>
      </c>
      <c r="AU393" s="4" t="s">
        <v>1703</v>
      </c>
      <c r="AV393" s="4" t="s">
        <v>1720</v>
      </c>
      <c r="AW393" s="4" t="s">
        <v>1705</v>
      </c>
      <c r="AX393" s="4" t="s">
        <v>1706</v>
      </c>
      <c r="AY393" s="4">
        <v>49.2</v>
      </c>
      <c r="AZ393" s="4">
        <v>-124.6</v>
      </c>
      <c r="BA393" s="4">
        <v>7</v>
      </c>
    </row>
    <row r="394" spans="1:53" ht="14.25" customHeight="1" x14ac:dyDescent="0.2">
      <c r="B394" s="4">
        <v>12</v>
      </c>
      <c r="C394" s="4" t="s">
        <v>7666</v>
      </c>
      <c r="D394" s="4">
        <v>25</v>
      </c>
      <c r="E394" s="4">
        <v>1623</v>
      </c>
      <c r="F394" s="16" t="s">
        <v>1779</v>
      </c>
      <c r="G394" s="49" t="s">
        <v>1780</v>
      </c>
      <c r="H394" s="4" t="s">
        <v>1781</v>
      </c>
      <c r="I394" s="4" t="s">
        <v>641</v>
      </c>
      <c r="J394" s="4" t="s">
        <v>1715</v>
      </c>
      <c r="K394" s="4">
        <v>1</v>
      </c>
      <c r="L394" s="4">
        <v>2026</v>
      </c>
      <c r="AO394" s="4" t="s">
        <v>1779</v>
      </c>
      <c r="AP394" s="4">
        <v>25</v>
      </c>
      <c r="AQ394" s="4" t="s">
        <v>1716</v>
      </c>
      <c r="AR394" s="4" t="s">
        <v>1717</v>
      </c>
      <c r="AS394" s="4" t="s">
        <v>1718</v>
      </c>
      <c r="AT394" s="4" t="s">
        <v>1703</v>
      </c>
      <c r="AU394" s="4" t="s">
        <v>1703</v>
      </c>
      <c r="AV394" s="4" t="s">
        <v>1720</v>
      </c>
      <c r="AW394" s="4" t="s">
        <v>1705</v>
      </c>
      <c r="AX394" s="4" t="s">
        <v>1747</v>
      </c>
      <c r="AY394" s="4">
        <v>48.941699999999997</v>
      </c>
      <c r="AZ394" s="4">
        <v>-124.1067</v>
      </c>
      <c r="BA394" s="4">
        <v>710</v>
      </c>
    </row>
    <row r="395" spans="1:53" ht="14.25" customHeight="1" x14ac:dyDescent="0.2">
      <c r="A395" s="4" t="s">
        <v>422</v>
      </c>
      <c r="B395" s="4">
        <v>12</v>
      </c>
      <c r="C395" s="4" t="s">
        <v>7667</v>
      </c>
      <c r="D395" s="4">
        <v>26</v>
      </c>
      <c r="E395" s="4">
        <v>12962</v>
      </c>
      <c r="F395" s="49" t="s">
        <v>1783</v>
      </c>
      <c r="G395" s="49" t="s">
        <v>127</v>
      </c>
      <c r="H395" s="4" t="s">
        <v>1697</v>
      </c>
      <c r="I395" s="4" t="s">
        <v>49</v>
      </c>
      <c r="J395" s="4" t="s">
        <v>1698</v>
      </c>
      <c r="K395" s="4">
        <v>1</v>
      </c>
      <c r="L395" s="4">
        <v>14894</v>
      </c>
      <c r="AO395" s="48" t="s">
        <v>1784</v>
      </c>
      <c r="AP395" s="48" t="s">
        <v>1784</v>
      </c>
      <c r="AQ395" s="48" t="s">
        <v>1784</v>
      </c>
      <c r="AR395" s="48" t="s">
        <v>1784</v>
      </c>
      <c r="AS395" s="48" t="s">
        <v>1784</v>
      </c>
      <c r="AT395" s="48" t="s">
        <v>1784</v>
      </c>
      <c r="AU395" s="48" t="s">
        <v>1784</v>
      </c>
      <c r="AV395" s="48" t="s">
        <v>1784</v>
      </c>
      <c r="AW395" s="48" t="s">
        <v>1784</v>
      </c>
      <c r="AX395" s="48" t="s">
        <v>1784</v>
      </c>
      <c r="AY395" s="48" t="s">
        <v>1784</v>
      </c>
      <c r="AZ395" s="48" t="s">
        <v>1784</v>
      </c>
      <c r="BA395" s="48" t="s">
        <v>1784</v>
      </c>
    </row>
    <row r="396" spans="1:53" ht="14.25" customHeight="1" x14ac:dyDescent="0.2">
      <c r="B396" s="4">
        <v>12</v>
      </c>
      <c r="C396" s="4" t="s">
        <v>7666</v>
      </c>
      <c r="D396" s="4">
        <v>28</v>
      </c>
      <c r="E396" s="4">
        <v>1624</v>
      </c>
      <c r="F396" s="16" t="s">
        <v>1785</v>
      </c>
      <c r="G396" s="49" t="s">
        <v>1786</v>
      </c>
      <c r="H396" s="4" t="s">
        <v>1787</v>
      </c>
      <c r="I396" s="4" t="s">
        <v>1664</v>
      </c>
      <c r="J396" s="4" t="s">
        <v>1715</v>
      </c>
      <c r="K396" s="4">
        <v>1</v>
      </c>
      <c r="L396" s="4">
        <v>2027</v>
      </c>
      <c r="AO396" s="4" t="s">
        <v>1785</v>
      </c>
      <c r="AP396" s="4">
        <v>28</v>
      </c>
      <c r="AQ396" s="4" t="s">
        <v>1716</v>
      </c>
      <c r="AR396" s="4" t="s">
        <v>1717</v>
      </c>
      <c r="AS396" s="4" t="s">
        <v>1718</v>
      </c>
      <c r="AT396" s="4" t="s">
        <v>1719</v>
      </c>
      <c r="AU396" s="4" t="s">
        <v>1703</v>
      </c>
      <c r="AV396" s="4" t="s">
        <v>1720</v>
      </c>
      <c r="AW396" s="4" t="s">
        <v>1705</v>
      </c>
      <c r="AX396" s="4" t="s">
        <v>1723</v>
      </c>
      <c r="AY396" s="4">
        <v>50.5</v>
      </c>
      <c r="AZ396" s="4">
        <v>-126</v>
      </c>
      <c r="BA396" s="4">
        <v>0</v>
      </c>
    </row>
    <row r="397" spans="1:53" ht="14.25" customHeight="1" x14ac:dyDescent="0.2">
      <c r="B397" s="4">
        <v>12</v>
      </c>
      <c r="C397" s="4" t="s">
        <v>7666</v>
      </c>
      <c r="D397" s="4">
        <v>29</v>
      </c>
      <c r="E397" s="4">
        <v>1625</v>
      </c>
      <c r="F397" s="16" t="s">
        <v>1788</v>
      </c>
      <c r="G397" s="49" t="s">
        <v>1789</v>
      </c>
      <c r="H397" s="4" t="s">
        <v>1790</v>
      </c>
      <c r="I397" s="4" t="s">
        <v>641</v>
      </c>
      <c r="J397" s="4" t="s">
        <v>1715</v>
      </c>
      <c r="K397" s="4">
        <v>1</v>
      </c>
      <c r="L397" s="4">
        <v>2028</v>
      </c>
      <c r="AO397" s="4" t="s">
        <v>1791</v>
      </c>
      <c r="AP397" s="4">
        <v>29</v>
      </c>
      <c r="AQ397" s="4" t="s">
        <v>1716</v>
      </c>
      <c r="AR397" s="4" t="s">
        <v>1717</v>
      </c>
      <c r="AS397" s="4" t="s">
        <v>1718</v>
      </c>
      <c r="AT397" s="4" t="s">
        <v>1703</v>
      </c>
      <c r="AU397" s="4" t="s">
        <v>1703</v>
      </c>
      <c r="AV397" s="4" t="s">
        <v>1720</v>
      </c>
      <c r="AW397" s="4" t="s">
        <v>1705</v>
      </c>
      <c r="AX397" s="4" t="s">
        <v>1706</v>
      </c>
      <c r="AY397" s="4">
        <v>49.388300000000001</v>
      </c>
      <c r="AZ397" s="4">
        <v>-125.33329999999999</v>
      </c>
      <c r="BA397" s="4">
        <v>300</v>
      </c>
    </row>
    <row r="398" spans="1:53" ht="14.25" customHeight="1" x14ac:dyDescent="0.2">
      <c r="B398" s="4">
        <v>12</v>
      </c>
      <c r="C398" s="4" t="s">
        <v>7666</v>
      </c>
      <c r="D398" s="4">
        <v>30</v>
      </c>
      <c r="E398" s="4">
        <v>1626</v>
      </c>
      <c r="F398" s="16" t="s">
        <v>1792</v>
      </c>
      <c r="G398" s="49" t="s">
        <v>1793</v>
      </c>
      <c r="H398" s="4" t="s">
        <v>1794</v>
      </c>
      <c r="I398" s="4" t="s">
        <v>1664</v>
      </c>
      <c r="J398" s="4" t="s">
        <v>1715</v>
      </c>
      <c r="K398" s="4">
        <v>1</v>
      </c>
      <c r="L398" s="4">
        <v>2029</v>
      </c>
      <c r="AO398" s="4" t="s">
        <v>1792</v>
      </c>
      <c r="AP398" s="4">
        <v>30</v>
      </c>
      <c r="AQ398" s="4" t="s">
        <v>1716</v>
      </c>
      <c r="AR398" s="4" t="s">
        <v>1717</v>
      </c>
      <c r="AS398" s="4" t="s">
        <v>1718</v>
      </c>
      <c r="AT398" s="4" t="s">
        <v>1719</v>
      </c>
      <c r="AU398" s="4" t="s">
        <v>1703</v>
      </c>
      <c r="AV398" s="4" t="s">
        <v>1720</v>
      </c>
      <c r="AW398" s="4" t="s">
        <v>1705</v>
      </c>
      <c r="AX398" s="4" t="s">
        <v>1723</v>
      </c>
      <c r="AY398" s="4">
        <v>50.3</v>
      </c>
      <c r="AZ398" s="4">
        <v>-126</v>
      </c>
      <c r="BA398" s="4">
        <v>0</v>
      </c>
    </row>
    <row r="399" spans="1:53" ht="14.25" customHeight="1" x14ac:dyDescent="0.2">
      <c r="B399" s="4">
        <v>12</v>
      </c>
      <c r="C399" s="4" t="s">
        <v>7666</v>
      </c>
      <c r="D399" s="4">
        <v>31</v>
      </c>
      <c r="E399" s="4">
        <v>1627</v>
      </c>
      <c r="F399" s="16" t="s">
        <v>1795</v>
      </c>
      <c r="G399" s="49" t="s">
        <v>1796</v>
      </c>
      <c r="H399" s="4" t="s">
        <v>1797</v>
      </c>
      <c r="I399" s="4" t="s">
        <v>1664</v>
      </c>
      <c r="J399" s="4" t="s">
        <v>1715</v>
      </c>
      <c r="K399" s="4">
        <v>1</v>
      </c>
      <c r="L399" s="4">
        <v>2030</v>
      </c>
      <c r="AO399" s="4" t="s">
        <v>1795</v>
      </c>
      <c r="AP399" s="4">
        <v>31</v>
      </c>
      <c r="AQ399" s="4" t="s">
        <v>1716</v>
      </c>
      <c r="AR399" s="4" t="s">
        <v>1717</v>
      </c>
      <c r="AS399" s="4" t="s">
        <v>1718</v>
      </c>
      <c r="AT399" s="4" t="s">
        <v>1719</v>
      </c>
      <c r="AU399" s="4" t="s">
        <v>1703</v>
      </c>
      <c r="AV399" s="4" t="s">
        <v>1720</v>
      </c>
      <c r="AW399" s="4" t="s">
        <v>1705</v>
      </c>
      <c r="AX399" s="4" t="s">
        <v>1723</v>
      </c>
      <c r="AY399" s="4">
        <v>50.1</v>
      </c>
      <c r="AZ399" s="4">
        <v>-125.7</v>
      </c>
      <c r="BA399" s="4">
        <v>0</v>
      </c>
    </row>
    <row r="400" spans="1:53" ht="14.25" customHeight="1" x14ac:dyDescent="0.2">
      <c r="B400" s="4">
        <v>12</v>
      </c>
      <c r="C400" s="4" t="s">
        <v>7666</v>
      </c>
      <c r="D400" s="4">
        <v>32</v>
      </c>
      <c r="E400" s="4">
        <v>1628</v>
      </c>
      <c r="F400" s="16" t="s">
        <v>1798</v>
      </c>
      <c r="G400" s="49" t="s">
        <v>1799</v>
      </c>
      <c r="H400" s="4" t="s">
        <v>1800</v>
      </c>
      <c r="I400" s="4" t="s">
        <v>1664</v>
      </c>
      <c r="J400" s="4" t="s">
        <v>1715</v>
      </c>
      <c r="K400" s="4">
        <v>1</v>
      </c>
      <c r="L400" s="4">
        <v>2031</v>
      </c>
      <c r="AO400" s="4" t="s">
        <v>1798</v>
      </c>
      <c r="AP400" s="4">
        <v>32</v>
      </c>
      <c r="AQ400" s="4" t="s">
        <v>1716</v>
      </c>
      <c r="AR400" s="4" t="s">
        <v>1717</v>
      </c>
      <c r="AS400" s="4" t="s">
        <v>1718</v>
      </c>
      <c r="AT400" s="4" t="s">
        <v>1719</v>
      </c>
      <c r="AU400" s="4" t="s">
        <v>1703</v>
      </c>
      <c r="AV400" s="4" t="s">
        <v>1720</v>
      </c>
      <c r="AW400" s="4" t="s">
        <v>1705</v>
      </c>
      <c r="AX400" s="4" t="s">
        <v>1747</v>
      </c>
      <c r="AY400" s="4">
        <v>48.6</v>
      </c>
      <c r="AZ400" s="4">
        <v>-123.8</v>
      </c>
      <c r="BA400" s="4">
        <v>0</v>
      </c>
    </row>
    <row r="401" spans="1:53" ht="14.25" customHeight="1" x14ac:dyDescent="0.2">
      <c r="B401" s="4">
        <v>12</v>
      </c>
      <c r="C401" s="4" t="s">
        <v>7666</v>
      </c>
      <c r="D401" s="4">
        <v>34</v>
      </c>
      <c r="E401" s="4">
        <v>1629</v>
      </c>
      <c r="F401" s="16" t="s">
        <v>1801</v>
      </c>
      <c r="G401" s="49" t="s">
        <v>1802</v>
      </c>
      <c r="H401" s="4" t="s">
        <v>1803</v>
      </c>
      <c r="I401" s="4" t="s">
        <v>1664</v>
      </c>
      <c r="J401" s="4" t="s">
        <v>1715</v>
      </c>
      <c r="K401" s="4">
        <v>1</v>
      </c>
      <c r="L401" s="4">
        <v>2032</v>
      </c>
      <c r="AO401" s="14" t="s">
        <v>1801</v>
      </c>
      <c r="AP401" s="14">
        <v>34</v>
      </c>
      <c r="AQ401" s="14" t="s">
        <v>1716</v>
      </c>
      <c r="AR401" s="14" t="s">
        <v>1717</v>
      </c>
      <c r="AS401" s="14" t="s">
        <v>1718</v>
      </c>
      <c r="AT401" s="14" t="s">
        <v>1719</v>
      </c>
      <c r="AU401" s="14" t="s">
        <v>1703</v>
      </c>
      <c r="AV401" s="14" t="s">
        <v>1720</v>
      </c>
      <c r="AW401" s="14" t="s">
        <v>1705</v>
      </c>
      <c r="AX401" s="14" t="s">
        <v>1747</v>
      </c>
      <c r="AY401" s="14">
        <v>48.6</v>
      </c>
      <c r="AZ401" s="14">
        <v>-124.3</v>
      </c>
      <c r="BA401" s="50">
        <v>6</v>
      </c>
    </row>
    <row r="402" spans="1:53" ht="14.25" customHeight="1" x14ac:dyDescent="0.2">
      <c r="B402" s="4">
        <v>12</v>
      </c>
      <c r="C402" s="4" t="s">
        <v>7666</v>
      </c>
      <c r="D402" s="4">
        <v>35</v>
      </c>
      <c r="E402" s="4">
        <v>1630</v>
      </c>
      <c r="F402" s="16" t="s">
        <v>1804</v>
      </c>
      <c r="G402" s="49" t="s">
        <v>1805</v>
      </c>
      <c r="H402" s="4" t="s">
        <v>1806</v>
      </c>
      <c r="I402" s="4" t="s">
        <v>1664</v>
      </c>
      <c r="J402" s="4" t="s">
        <v>1715</v>
      </c>
      <c r="K402" s="4">
        <v>1</v>
      </c>
      <c r="L402" s="4">
        <v>2033</v>
      </c>
      <c r="AO402" s="4" t="s">
        <v>1804</v>
      </c>
      <c r="AP402" s="4">
        <v>35</v>
      </c>
      <c r="AQ402" s="4" t="s">
        <v>1716</v>
      </c>
      <c r="AR402" s="4" t="s">
        <v>1717</v>
      </c>
      <c r="AS402" s="4" t="s">
        <v>1718</v>
      </c>
      <c r="AT402" s="4" t="s">
        <v>1719</v>
      </c>
      <c r="AU402" s="4" t="s">
        <v>1703</v>
      </c>
      <c r="AV402" s="4" t="s">
        <v>1720</v>
      </c>
      <c r="AW402" s="4" t="s">
        <v>1705</v>
      </c>
      <c r="AX402" s="4" t="s">
        <v>1723</v>
      </c>
      <c r="AY402" s="4">
        <v>50.2</v>
      </c>
      <c r="AZ402" s="4">
        <v>-126.1</v>
      </c>
      <c r="BA402" s="4">
        <v>6</v>
      </c>
    </row>
    <row r="403" spans="1:53" ht="14.25" customHeight="1" x14ac:dyDescent="0.2">
      <c r="B403" s="4">
        <v>12</v>
      </c>
      <c r="C403" s="4" t="s">
        <v>7666</v>
      </c>
      <c r="D403" s="4">
        <v>36</v>
      </c>
      <c r="E403" s="4">
        <v>1631</v>
      </c>
      <c r="F403" s="16" t="s">
        <v>1807</v>
      </c>
      <c r="G403" s="49" t="s">
        <v>1808</v>
      </c>
      <c r="H403" s="4" t="s">
        <v>1809</v>
      </c>
      <c r="I403" s="4" t="s">
        <v>641</v>
      </c>
      <c r="J403" s="4" t="s">
        <v>1715</v>
      </c>
      <c r="K403" s="4">
        <v>1</v>
      </c>
      <c r="L403" s="4">
        <v>2034</v>
      </c>
      <c r="AO403" s="4" t="s">
        <v>1807</v>
      </c>
      <c r="AP403" s="4">
        <v>36</v>
      </c>
      <c r="AQ403" s="4" t="s">
        <v>1716</v>
      </c>
      <c r="AR403" s="4" t="s">
        <v>1717</v>
      </c>
      <c r="AS403" s="4" t="s">
        <v>1718</v>
      </c>
      <c r="AT403" s="4" t="s">
        <v>1703</v>
      </c>
      <c r="AU403" s="4" t="s">
        <v>1703</v>
      </c>
      <c r="AV403" s="4" t="s">
        <v>1720</v>
      </c>
      <c r="AW403" s="4" t="s">
        <v>1705</v>
      </c>
      <c r="AX403" s="4" t="s">
        <v>1706</v>
      </c>
      <c r="AY403" s="4">
        <v>49.271700000000003</v>
      </c>
      <c r="AZ403" s="4">
        <v>-124.64830000000001</v>
      </c>
      <c r="BA403" s="4">
        <v>974</v>
      </c>
    </row>
    <row r="404" spans="1:53" ht="14.25" customHeight="1" x14ac:dyDescent="0.2">
      <c r="A404" s="4" t="s">
        <v>88</v>
      </c>
      <c r="B404" s="4">
        <v>12</v>
      </c>
      <c r="C404" s="4" t="s">
        <v>7666</v>
      </c>
      <c r="D404" s="4">
        <v>37</v>
      </c>
      <c r="E404" s="4">
        <v>1632</v>
      </c>
      <c r="F404" s="4" t="s">
        <v>1810</v>
      </c>
      <c r="G404" s="10" t="s">
        <v>1811</v>
      </c>
      <c r="H404" s="4" t="s">
        <v>1812</v>
      </c>
      <c r="I404" s="4" t="s">
        <v>641</v>
      </c>
      <c r="J404" s="4" t="s">
        <v>1736</v>
      </c>
      <c r="K404" s="4">
        <v>1</v>
      </c>
      <c r="L404" s="4">
        <v>2035</v>
      </c>
      <c r="M404" s="9">
        <v>49.377479999999998</v>
      </c>
      <c r="N404" s="9">
        <v>-124.93326999999999</v>
      </c>
      <c r="O404" s="9" t="s">
        <v>183</v>
      </c>
      <c r="P404" s="14">
        <v>37</v>
      </c>
      <c r="Q404" s="4">
        <v>3</v>
      </c>
      <c r="R404" s="4" t="s">
        <v>1810</v>
      </c>
      <c r="S404" s="4" t="s">
        <v>1737</v>
      </c>
      <c r="T404" s="4">
        <v>100</v>
      </c>
      <c r="U404" s="4" t="s">
        <v>645</v>
      </c>
      <c r="V404" s="4" t="s">
        <v>1813</v>
      </c>
      <c r="W404" s="4">
        <v>31778</v>
      </c>
      <c r="X404" s="4" t="s">
        <v>1738</v>
      </c>
      <c r="AO404" s="14" t="s">
        <v>1810</v>
      </c>
      <c r="AP404" s="14">
        <v>37</v>
      </c>
      <c r="AQ404" s="14" t="s">
        <v>1716</v>
      </c>
      <c r="AR404" s="14" t="s">
        <v>1739</v>
      </c>
      <c r="AS404" s="14" t="s">
        <v>1740</v>
      </c>
      <c r="AT404" s="14" t="s">
        <v>1741</v>
      </c>
      <c r="AU404" s="14" t="s">
        <v>1742</v>
      </c>
      <c r="AV404" s="14" t="s">
        <v>1720</v>
      </c>
      <c r="AW404" s="14" t="s">
        <v>1705</v>
      </c>
      <c r="AX404" s="14" t="s">
        <v>1706</v>
      </c>
      <c r="AY404" s="14">
        <v>49.377600000000001</v>
      </c>
      <c r="AZ404" s="14">
        <v>-124.9337</v>
      </c>
      <c r="BA404" s="14">
        <v>121</v>
      </c>
    </row>
    <row r="405" spans="1:53" ht="14.25" customHeight="1" x14ac:dyDescent="0.2">
      <c r="B405" s="4">
        <v>12</v>
      </c>
      <c r="C405" s="4" t="s">
        <v>7666</v>
      </c>
      <c r="D405" s="4">
        <v>39</v>
      </c>
      <c r="E405" s="4">
        <v>1633</v>
      </c>
      <c r="F405" s="16" t="s">
        <v>1814</v>
      </c>
      <c r="G405" s="49" t="s">
        <v>1815</v>
      </c>
      <c r="H405" s="4" t="s">
        <v>1816</v>
      </c>
      <c r="I405" s="4" t="s">
        <v>641</v>
      </c>
      <c r="J405" s="4" t="s">
        <v>1715</v>
      </c>
      <c r="K405" s="4">
        <v>1</v>
      </c>
      <c r="L405" s="4">
        <v>2036</v>
      </c>
      <c r="AO405" s="4" t="s">
        <v>1817</v>
      </c>
      <c r="AP405" s="4">
        <v>39</v>
      </c>
      <c r="AQ405" s="4" t="s">
        <v>1716</v>
      </c>
      <c r="AR405" s="4" t="s">
        <v>1717</v>
      </c>
      <c r="AS405" s="4" t="s">
        <v>1718</v>
      </c>
      <c r="AT405" s="4" t="s">
        <v>1703</v>
      </c>
      <c r="AU405" s="4" t="s">
        <v>1703</v>
      </c>
      <c r="AV405" s="4" t="s">
        <v>1720</v>
      </c>
      <c r="AW405" s="4" t="s">
        <v>1705</v>
      </c>
      <c r="AX405" s="4" t="s">
        <v>1706</v>
      </c>
      <c r="AY405" s="4">
        <v>49.193300000000001</v>
      </c>
      <c r="AZ405" s="4">
        <v>-125.38500000000001</v>
      </c>
      <c r="BA405" s="4">
        <v>500</v>
      </c>
    </row>
    <row r="406" spans="1:53" ht="14.25" customHeight="1" x14ac:dyDescent="0.2">
      <c r="B406" s="4">
        <v>12</v>
      </c>
      <c r="C406" s="4" t="s">
        <v>7666</v>
      </c>
      <c r="D406" s="4">
        <v>40</v>
      </c>
      <c r="E406" s="4">
        <v>1634</v>
      </c>
      <c r="F406" s="16" t="s">
        <v>1818</v>
      </c>
      <c r="G406" s="49" t="s">
        <v>1819</v>
      </c>
      <c r="H406" s="4" t="s">
        <v>1820</v>
      </c>
      <c r="I406" s="4" t="s">
        <v>641</v>
      </c>
      <c r="J406" s="4" t="s">
        <v>1715</v>
      </c>
      <c r="K406" s="4">
        <v>1</v>
      </c>
      <c r="L406" s="4">
        <v>2037</v>
      </c>
      <c r="M406" s="9"/>
      <c r="N406" s="9"/>
      <c r="O406" s="9"/>
      <c r="P406" s="9"/>
      <c r="AO406" s="4" t="s">
        <v>1818</v>
      </c>
      <c r="AP406" s="4">
        <v>40</v>
      </c>
      <c r="AQ406" s="4" t="s">
        <v>1716</v>
      </c>
      <c r="AR406" s="4" t="s">
        <v>1717</v>
      </c>
      <c r="AS406" s="4" t="s">
        <v>1718</v>
      </c>
      <c r="AT406" s="4" t="s">
        <v>1703</v>
      </c>
      <c r="AU406" s="4" t="s">
        <v>1703</v>
      </c>
      <c r="AV406" s="4" t="s">
        <v>1720</v>
      </c>
      <c r="AW406" s="4" t="s">
        <v>1705</v>
      </c>
      <c r="AX406" s="4" t="s">
        <v>1747</v>
      </c>
      <c r="AY406" s="4">
        <v>48.406700000000001</v>
      </c>
      <c r="AZ406" s="4">
        <v>-123.76</v>
      </c>
      <c r="BA406" s="4">
        <v>23</v>
      </c>
    </row>
    <row r="407" spans="1:53" ht="14.25" customHeight="1" x14ac:dyDescent="0.2">
      <c r="B407" s="4">
        <v>12</v>
      </c>
      <c r="C407" s="4" t="s">
        <v>7666</v>
      </c>
      <c r="D407" s="4">
        <v>41</v>
      </c>
      <c r="E407" s="4">
        <v>1635</v>
      </c>
      <c r="F407" s="16" t="s">
        <v>1821</v>
      </c>
      <c r="G407" s="49" t="s">
        <v>1822</v>
      </c>
      <c r="H407" s="4" t="s">
        <v>1823</v>
      </c>
      <c r="I407" s="4" t="s">
        <v>641</v>
      </c>
      <c r="J407" s="4" t="s">
        <v>1715</v>
      </c>
      <c r="K407" s="4">
        <v>1</v>
      </c>
      <c r="L407" s="4">
        <v>2038</v>
      </c>
      <c r="AO407" s="4" t="s">
        <v>1821</v>
      </c>
      <c r="AP407" s="4">
        <v>41</v>
      </c>
      <c r="AQ407" s="4" t="s">
        <v>1716</v>
      </c>
      <c r="AR407" s="4" t="s">
        <v>1717</v>
      </c>
      <c r="AS407" s="4" t="s">
        <v>1718</v>
      </c>
      <c r="AT407" s="4" t="s">
        <v>1703</v>
      </c>
      <c r="AU407" s="4" t="s">
        <v>1703</v>
      </c>
      <c r="AV407" s="4" t="s">
        <v>1720</v>
      </c>
      <c r="AW407" s="4" t="s">
        <v>1705</v>
      </c>
      <c r="AX407" s="4" t="s">
        <v>1723</v>
      </c>
      <c r="AY407" s="4">
        <v>50.311700000000002</v>
      </c>
      <c r="AZ407" s="4">
        <v>-125.58669999999999</v>
      </c>
      <c r="BA407" s="4">
        <v>224</v>
      </c>
    </row>
    <row r="408" spans="1:53" ht="14.25" customHeight="1" x14ac:dyDescent="0.2">
      <c r="B408" s="4">
        <v>12</v>
      </c>
      <c r="C408" s="4" t="s">
        <v>7666</v>
      </c>
      <c r="D408" s="4">
        <v>43</v>
      </c>
      <c r="E408" s="4">
        <v>1636</v>
      </c>
      <c r="F408" s="16" t="s">
        <v>1824</v>
      </c>
      <c r="G408" s="49" t="s">
        <v>1825</v>
      </c>
      <c r="H408" s="4" t="s">
        <v>1714</v>
      </c>
      <c r="I408" s="4" t="s">
        <v>1664</v>
      </c>
      <c r="J408" s="4" t="s">
        <v>1715</v>
      </c>
      <c r="K408" s="4">
        <v>1</v>
      </c>
      <c r="L408" s="4">
        <v>2039</v>
      </c>
      <c r="AO408" s="4" t="s">
        <v>1824</v>
      </c>
      <c r="AP408" s="4">
        <v>43</v>
      </c>
      <c r="AQ408" s="4" t="s">
        <v>1716</v>
      </c>
      <c r="AR408" s="4" t="s">
        <v>1717</v>
      </c>
      <c r="AS408" s="4" t="s">
        <v>1718</v>
      </c>
      <c r="AT408" s="4" t="s">
        <v>1719</v>
      </c>
      <c r="AU408" s="4" t="s">
        <v>1703</v>
      </c>
      <c r="AV408" s="4" t="s">
        <v>1720</v>
      </c>
      <c r="AW408" s="4" t="s">
        <v>1705</v>
      </c>
      <c r="AX408" s="4" t="s">
        <v>1706</v>
      </c>
      <c r="AY408" s="4">
        <v>49.3</v>
      </c>
      <c r="AZ408" s="4">
        <v>-124.2</v>
      </c>
      <c r="BA408" s="4">
        <v>1</v>
      </c>
    </row>
    <row r="409" spans="1:53" ht="14.25" customHeight="1" x14ac:dyDescent="0.2">
      <c r="A409" s="4" t="s">
        <v>88</v>
      </c>
      <c r="B409" s="4">
        <v>12</v>
      </c>
      <c r="C409" s="4" t="s">
        <v>7666</v>
      </c>
      <c r="D409" s="4">
        <v>45</v>
      </c>
      <c r="E409" s="4">
        <v>1637</v>
      </c>
      <c r="F409" s="4" t="s">
        <v>1826</v>
      </c>
      <c r="G409" s="10" t="s">
        <v>1827</v>
      </c>
      <c r="H409" s="4" t="s">
        <v>1828</v>
      </c>
      <c r="I409" s="4" t="s">
        <v>641</v>
      </c>
      <c r="J409" s="4" t="s">
        <v>1829</v>
      </c>
      <c r="K409" s="4">
        <v>1</v>
      </c>
      <c r="L409" s="4">
        <v>2040</v>
      </c>
      <c r="M409" s="9">
        <v>48.773949999999999</v>
      </c>
      <c r="N409" s="9">
        <v>-123.4735</v>
      </c>
      <c r="O409" s="9" t="s">
        <v>183</v>
      </c>
      <c r="P409" s="14">
        <v>45</v>
      </c>
      <c r="Q409" s="4">
        <v>1</v>
      </c>
      <c r="R409" s="4" t="s">
        <v>1826</v>
      </c>
      <c r="S409" s="4" t="s">
        <v>1737</v>
      </c>
      <c r="T409" s="4">
        <v>15</v>
      </c>
      <c r="U409" s="4" t="s">
        <v>645</v>
      </c>
      <c r="V409" s="4" t="s">
        <v>1830</v>
      </c>
      <c r="W409" s="4">
        <v>36892</v>
      </c>
      <c r="X409" s="4" t="s">
        <v>1738</v>
      </c>
      <c r="AO409" s="4" t="s">
        <v>1826</v>
      </c>
      <c r="AP409" s="4">
        <v>45</v>
      </c>
      <c r="AQ409" s="4" t="s">
        <v>1716</v>
      </c>
      <c r="AR409" s="4" t="s">
        <v>1739</v>
      </c>
      <c r="AS409" s="4" t="s">
        <v>1740</v>
      </c>
      <c r="AT409" s="4" t="s">
        <v>1741</v>
      </c>
      <c r="AU409" s="4" t="s">
        <v>1742</v>
      </c>
      <c r="AV409" s="4" t="s">
        <v>1720</v>
      </c>
      <c r="AW409" s="4" t="s">
        <v>1705</v>
      </c>
      <c r="AX409" s="4" t="s">
        <v>1747</v>
      </c>
      <c r="AY409" s="4">
        <v>48.7729</v>
      </c>
      <c r="AZ409" s="4">
        <v>-123.47450000000001</v>
      </c>
      <c r="BA409" s="4">
        <v>15</v>
      </c>
    </row>
    <row r="410" spans="1:53" ht="14.25" customHeight="1" x14ac:dyDescent="0.2">
      <c r="B410" s="4">
        <v>12</v>
      </c>
      <c r="C410" s="4" t="s">
        <v>7666</v>
      </c>
      <c r="D410" s="4">
        <v>46</v>
      </c>
      <c r="E410" s="4">
        <v>1638</v>
      </c>
      <c r="F410" s="4" t="s">
        <v>1831</v>
      </c>
      <c r="G410" s="49" t="s">
        <v>1832</v>
      </c>
      <c r="H410" s="4" t="s">
        <v>1833</v>
      </c>
      <c r="I410" s="4" t="s">
        <v>641</v>
      </c>
      <c r="J410" s="4" t="s">
        <v>1715</v>
      </c>
      <c r="K410" s="4">
        <v>1</v>
      </c>
      <c r="L410" s="4">
        <v>2041</v>
      </c>
      <c r="M410" s="9"/>
      <c r="N410" s="9"/>
      <c r="O410" s="9"/>
      <c r="P410" s="9"/>
      <c r="AO410" s="4" t="s">
        <v>1834</v>
      </c>
      <c r="AP410" s="4">
        <v>46</v>
      </c>
      <c r="AQ410" s="4" t="s">
        <v>1716</v>
      </c>
      <c r="AR410" s="4" t="s">
        <v>1717</v>
      </c>
      <c r="AS410" s="4" t="s">
        <v>1718</v>
      </c>
      <c r="AT410" s="4" t="s">
        <v>1835</v>
      </c>
      <c r="AU410" s="4" t="s">
        <v>1836</v>
      </c>
      <c r="AV410" s="4" t="s">
        <v>1720</v>
      </c>
      <c r="AW410" s="4" t="s">
        <v>1705</v>
      </c>
      <c r="AX410" s="4" t="s">
        <v>1837</v>
      </c>
      <c r="AY410" s="4">
        <v>49.4497</v>
      </c>
      <c r="AZ410" s="4">
        <v>-123.72</v>
      </c>
      <c r="BA410" s="4">
        <v>75</v>
      </c>
    </row>
    <row r="411" spans="1:53" ht="14.25" customHeight="1" x14ac:dyDescent="0.2">
      <c r="B411" s="4">
        <v>12</v>
      </c>
      <c r="C411" s="4" t="s">
        <v>7666</v>
      </c>
      <c r="D411" s="4">
        <v>47</v>
      </c>
      <c r="E411" s="4">
        <v>1639</v>
      </c>
      <c r="F411" s="16" t="s">
        <v>1838</v>
      </c>
      <c r="G411" s="49" t="s">
        <v>1839</v>
      </c>
      <c r="H411" s="4" t="s">
        <v>1840</v>
      </c>
      <c r="I411" s="4" t="s">
        <v>641</v>
      </c>
      <c r="J411" s="4" t="s">
        <v>1715</v>
      </c>
      <c r="K411" s="4">
        <v>1</v>
      </c>
      <c r="L411" s="4">
        <v>2042</v>
      </c>
      <c r="AO411" s="4" t="s">
        <v>1838</v>
      </c>
      <c r="AP411" s="4">
        <v>47</v>
      </c>
      <c r="AQ411" s="4" t="s">
        <v>1716</v>
      </c>
      <c r="AR411" s="4" t="s">
        <v>1717</v>
      </c>
      <c r="AS411" s="4" t="s">
        <v>1718</v>
      </c>
      <c r="AT411" s="4" t="s">
        <v>1841</v>
      </c>
      <c r="AU411" s="4" t="s">
        <v>1836</v>
      </c>
      <c r="AV411" s="4" t="s">
        <v>1720</v>
      </c>
      <c r="AW411" s="4" t="s">
        <v>1705</v>
      </c>
      <c r="AX411" s="4" t="s">
        <v>1837</v>
      </c>
      <c r="AY411" s="4">
        <v>49.5</v>
      </c>
      <c r="AZ411" s="4">
        <v>-123.7</v>
      </c>
      <c r="BA411" s="4">
        <v>100</v>
      </c>
    </row>
    <row r="412" spans="1:53" ht="14.25" customHeight="1" x14ac:dyDescent="0.2">
      <c r="A412" s="4" t="s">
        <v>422</v>
      </c>
      <c r="B412" s="4">
        <v>12</v>
      </c>
      <c r="C412" s="4" t="s">
        <v>7668</v>
      </c>
      <c r="D412" s="4">
        <v>49</v>
      </c>
      <c r="E412" s="4">
        <v>12963</v>
      </c>
      <c r="F412" s="49" t="s">
        <v>1843</v>
      </c>
      <c r="G412" s="49" t="s">
        <v>1844</v>
      </c>
      <c r="H412" s="4" t="s">
        <v>1697</v>
      </c>
      <c r="I412" s="4" t="s">
        <v>49</v>
      </c>
      <c r="J412" s="4" t="s">
        <v>1698</v>
      </c>
      <c r="K412" s="4">
        <v>1</v>
      </c>
      <c r="L412" s="4">
        <v>14895</v>
      </c>
      <c r="AO412" s="48" t="s">
        <v>1845</v>
      </c>
      <c r="AP412" s="48">
        <v>49</v>
      </c>
      <c r="AQ412" s="48" t="s">
        <v>1700</v>
      </c>
      <c r="AR412" s="48" t="s">
        <v>1701</v>
      </c>
      <c r="AS412" s="48" t="s">
        <v>1702</v>
      </c>
      <c r="AT412" s="48" t="s">
        <v>1703</v>
      </c>
      <c r="AU412" s="48" t="s">
        <v>1704</v>
      </c>
      <c r="AV412" s="48" t="s">
        <v>1702</v>
      </c>
      <c r="AW412" s="48" t="s">
        <v>1705</v>
      </c>
      <c r="AX412" s="48" t="s">
        <v>1747</v>
      </c>
      <c r="AY412" s="48">
        <v>48.648200000000003</v>
      </c>
      <c r="AZ412" s="48">
        <v>-123.4288</v>
      </c>
      <c r="BA412" s="48">
        <v>19</v>
      </c>
    </row>
    <row r="413" spans="1:53" ht="14.25" customHeight="1" x14ac:dyDescent="0.2">
      <c r="A413" s="4" t="s">
        <v>422</v>
      </c>
      <c r="B413" s="4">
        <v>12</v>
      </c>
      <c r="C413" s="4" t="s">
        <v>7666</v>
      </c>
      <c r="D413" s="4">
        <v>50</v>
      </c>
      <c r="E413" s="4">
        <v>1640</v>
      </c>
      <c r="F413" s="16" t="s">
        <v>1846</v>
      </c>
      <c r="G413" s="4" t="s">
        <v>1847</v>
      </c>
      <c r="H413" s="4" t="s">
        <v>1848</v>
      </c>
      <c r="I413" s="4" t="s">
        <v>641</v>
      </c>
      <c r="J413" s="4" t="s">
        <v>1746</v>
      </c>
      <c r="K413" s="4">
        <v>1</v>
      </c>
      <c r="L413" s="4">
        <v>2043</v>
      </c>
      <c r="AO413" s="4" t="s">
        <v>1846</v>
      </c>
      <c r="AP413" s="4">
        <v>50</v>
      </c>
      <c r="AQ413" s="4" t="s">
        <v>1716</v>
      </c>
      <c r="AR413" s="4" t="s">
        <v>1717</v>
      </c>
      <c r="AS413" s="4" t="s">
        <v>1718</v>
      </c>
      <c r="AT413" s="4" t="s">
        <v>1703</v>
      </c>
      <c r="AU413" s="4" t="s">
        <v>1703</v>
      </c>
      <c r="AV413" s="4" t="s">
        <v>1720</v>
      </c>
      <c r="AW413" s="4" t="s">
        <v>1705</v>
      </c>
      <c r="AX413" s="4" t="s">
        <v>1747</v>
      </c>
      <c r="AY413" s="4">
        <v>48.6</v>
      </c>
      <c r="AZ413" s="4">
        <v>-123.9</v>
      </c>
      <c r="BA413" s="4">
        <v>4</v>
      </c>
    </row>
    <row r="414" spans="1:53" ht="14.25" customHeight="1" x14ac:dyDescent="0.2">
      <c r="B414" s="4">
        <v>12</v>
      </c>
      <c r="C414" s="4" t="s">
        <v>7666</v>
      </c>
      <c r="D414" s="4">
        <v>51</v>
      </c>
      <c r="E414" s="4">
        <v>1641</v>
      </c>
      <c r="F414" s="16" t="s">
        <v>1849</v>
      </c>
      <c r="G414" s="4" t="s">
        <v>1850</v>
      </c>
      <c r="H414" s="4" t="s">
        <v>1787</v>
      </c>
      <c r="I414" s="4" t="s">
        <v>1664</v>
      </c>
      <c r="J414" s="4" t="s">
        <v>1715</v>
      </c>
      <c r="K414" s="4">
        <v>1</v>
      </c>
      <c r="L414" s="4">
        <v>2044</v>
      </c>
      <c r="AO414" s="4" t="s">
        <v>1849</v>
      </c>
      <c r="AP414" s="4">
        <v>51</v>
      </c>
      <c r="AQ414" s="4" t="s">
        <v>1716</v>
      </c>
      <c r="AR414" s="4" t="s">
        <v>1717</v>
      </c>
      <c r="AS414" s="4" t="s">
        <v>1718</v>
      </c>
      <c r="AT414" s="4" t="s">
        <v>1719</v>
      </c>
      <c r="AU414" s="4" t="s">
        <v>1703</v>
      </c>
      <c r="AV414" s="4" t="s">
        <v>1720</v>
      </c>
      <c r="AW414" s="4" t="s">
        <v>1705</v>
      </c>
      <c r="AX414" s="4" t="s">
        <v>1706</v>
      </c>
      <c r="AY414" s="4">
        <v>49.2</v>
      </c>
      <c r="AZ414" s="4">
        <v>-124.4</v>
      </c>
      <c r="BA414" s="4">
        <v>7</v>
      </c>
    </row>
    <row r="415" spans="1:53" ht="14.25" customHeight="1" x14ac:dyDescent="0.2">
      <c r="B415" s="4">
        <v>12</v>
      </c>
      <c r="C415" s="4" t="s">
        <v>7666</v>
      </c>
      <c r="D415" s="4">
        <v>52</v>
      </c>
      <c r="E415" s="4">
        <v>1642</v>
      </c>
      <c r="F415" s="16" t="s">
        <v>1851</v>
      </c>
      <c r="G415" s="4" t="s">
        <v>1852</v>
      </c>
      <c r="H415" s="4" t="s">
        <v>1853</v>
      </c>
      <c r="I415" s="4" t="s">
        <v>1664</v>
      </c>
      <c r="J415" s="4" t="s">
        <v>1715</v>
      </c>
      <c r="K415" s="4">
        <v>1</v>
      </c>
      <c r="L415" s="4">
        <v>2045</v>
      </c>
      <c r="AO415" s="4" t="s">
        <v>1851</v>
      </c>
      <c r="AP415" s="4">
        <v>52</v>
      </c>
      <c r="AQ415" s="4" t="s">
        <v>1716</v>
      </c>
      <c r="AR415" s="4" t="s">
        <v>1717</v>
      </c>
      <c r="AS415" s="4" t="s">
        <v>1718</v>
      </c>
      <c r="AT415" s="4" t="s">
        <v>1719</v>
      </c>
      <c r="AU415" s="4" t="s">
        <v>1703</v>
      </c>
      <c r="AV415" s="4" t="s">
        <v>1720</v>
      </c>
      <c r="AW415" s="4" t="s">
        <v>1705</v>
      </c>
      <c r="AX415" s="4" t="s">
        <v>1706</v>
      </c>
      <c r="AY415" s="4">
        <v>49.3</v>
      </c>
      <c r="AZ415" s="4">
        <v>-124.3</v>
      </c>
      <c r="BA415" s="4">
        <v>1</v>
      </c>
    </row>
    <row r="416" spans="1:53" ht="14.25" customHeight="1" x14ac:dyDescent="0.2">
      <c r="A416" s="4" t="s">
        <v>422</v>
      </c>
      <c r="B416" s="4">
        <v>12</v>
      </c>
      <c r="C416" s="4" t="s">
        <v>7666</v>
      </c>
      <c r="D416" s="4">
        <v>53</v>
      </c>
      <c r="E416" s="4">
        <v>1643</v>
      </c>
      <c r="F416" s="16" t="s">
        <v>1854</v>
      </c>
      <c r="G416" s="4" t="s">
        <v>1855</v>
      </c>
      <c r="H416" s="4" t="s">
        <v>1856</v>
      </c>
      <c r="I416" s="4" t="s">
        <v>641</v>
      </c>
      <c r="J416" s="4" t="s">
        <v>1746</v>
      </c>
      <c r="K416" s="4">
        <v>1</v>
      </c>
      <c r="L416" s="4">
        <v>2046</v>
      </c>
      <c r="AO416" s="4" t="s">
        <v>1854</v>
      </c>
      <c r="AP416" s="4">
        <v>53</v>
      </c>
      <c r="AQ416" s="4" t="s">
        <v>1716</v>
      </c>
      <c r="AR416" s="4" t="s">
        <v>1717</v>
      </c>
      <c r="AS416" s="4" t="s">
        <v>1718</v>
      </c>
      <c r="AT416" s="4" t="s">
        <v>1719</v>
      </c>
      <c r="AU416" s="4" t="s">
        <v>1703</v>
      </c>
      <c r="AV416" s="4" t="s">
        <v>1720</v>
      </c>
      <c r="AW416" s="4" t="s">
        <v>1705</v>
      </c>
      <c r="AX416" s="4" t="s">
        <v>1747</v>
      </c>
      <c r="AY416" s="4">
        <v>48.6</v>
      </c>
      <c r="AZ416" s="4">
        <v>-123.6</v>
      </c>
      <c r="BA416" s="4">
        <v>2</v>
      </c>
    </row>
    <row r="417" spans="1:53" ht="14.25" customHeight="1" x14ac:dyDescent="0.2">
      <c r="B417" s="4">
        <v>12</v>
      </c>
      <c r="C417" s="4" t="s">
        <v>7666</v>
      </c>
      <c r="D417" s="4">
        <v>54</v>
      </c>
      <c r="E417" s="4">
        <v>1644</v>
      </c>
      <c r="F417" s="16" t="s">
        <v>1857</v>
      </c>
      <c r="G417" s="4" t="s">
        <v>1858</v>
      </c>
      <c r="H417" s="4" t="s">
        <v>1859</v>
      </c>
      <c r="I417" s="4" t="s">
        <v>1664</v>
      </c>
      <c r="J417" s="4" t="s">
        <v>1715</v>
      </c>
      <c r="K417" s="4">
        <v>1</v>
      </c>
      <c r="L417" s="4">
        <v>2047</v>
      </c>
      <c r="AO417" s="4" t="s">
        <v>1857</v>
      </c>
      <c r="AP417" s="4">
        <v>54</v>
      </c>
      <c r="AQ417" s="4" t="s">
        <v>1716</v>
      </c>
      <c r="AR417" s="4" t="s">
        <v>1717</v>
      </c>
      <c r="AS417" s="4" t="s">
        <v>1718</v>
      </c>
      <c r="AT417" s="4" t="s">
        <v>1719</v>
      </c>
      <c r="AU417" s="4" t="s">
        <v>1703</v>
      </c>
      <c r="AV417" s="4" t="s">
        <v>1720</v>
      </c>
      <c r="AW417" s="4" t="s">
        <v>1705</v>
      </c>
      <c r="AX417" s="4" t="s">
        <v>1747</v>
      </c>
      <c r="AY417" s="4">
        <v>48.8</v>
      </c>
      <c r="AZ417" s="4">
        <v>-123.8</v>
      </c>
      <c r="BA417" s="4">
        <v>1</v>
      </c>
    </row>
    <row r="418" spans="1:53" ht="14.25" customHeight="1" x14ac:dyDescent="0.2">
      <c r="B418" s="4">
        <v>12</v>
      </c>
      <c r="C418" s="4" t="s">
        <v>7666</v>
      </c>
      <c r="D418" s="4">
        <v>55</v>
      </c>
      <c r="E418" s="4">
        <v>1645</v>
      </c>
      <c r="F418" s="16" t="s">
        <v>1860</v>
      </c>
      <c r="G418" s="4" t="s">
        <v>1861</v>
      </c>
      <c r="H418" s="4" t="s">
        <v>1859</v>
      </c>
      <c r="I418" s="4" t="s">
        <v>1664</v>
      </c>
      <c r="J418" s="4" t="s">
        <v>1715</v>
      </c>
      <c r="K418" s="4">
        <v>1</v>
      </c>
      <c r="L418" s="4">
        <v>2048</v>
      </c>
      <c r="AO418" s="4" t="s">
        <v>1860</v>
      </c>
      <c r="AP418" s="4">
        <v>55</v>
      </c>
      <c r="AQ418" s="4" t="s">
        <v>1716</v>
      </c>
      <c r="AR418" s="4" t="s">
        <v>1717</v>
      </c>
      <c r="AS418" s="4" t="s">
        <v>1718</v>
      </c>
      <c r="AT418" s="4" t="s">
        <v>1719</v>
      </c>
      <c r="AU418" s="4" t="s">
        <v>1703</v>
      </c>
      <c r="AV418" s="4" t="s">
        <v>1720</v>
      </c>
      <c r="AW418" s="4" t="s">
        <v>1705</v>
      </c>
      <c r="AX418" s="4" t="s">
        <v>1747</v>
      </c>
      <c r="AY418" s="4">
        <v>48.9</v>
      </c>
      <c r="AZ418" s="4">
        <v>-124.1</v>
      </c>
      <c r="BA418" s="4">
        <v>7</v>
      </c>
    </row>
    <row r="419" spans="1:53" ht="14.25" customHeight="1" x14ac:dyDescent="0.2">
      <c r="A419" s="4" t="s">
        <v>88</v>
      </c>
      <c r="B419" s="4">
        <v>12</v>
      </c>
      <c r="C419" s="4" t="s">
        <v>7666</v>
      </c>
      <c r="D419" s="4">
        <v>56</v>
      </c>
      <c r="E419" s="4">
        <v>1646</v>
      </c>
      <c r="F419" s="4" t="s">
        <v>1862</v>
      </c>
      <c r="G419" s="8" t="s">
        <v>1863</v>
      </c>
      <c r="H419" s="4" t="s">
        <v>1864</v>
      </c>
      <c r="I419" s="4" t="s">
        <v>641</v>
      </c>
      <c r="J419" s="4" t="s">
        <v>1865</v>
      </c>
      <c r="K419" s="4">
        <v>1</v>
      </c>
      <c r="L419" s="4">
        <v>2049</v>
      </c>
      <c r="M419" s="9">
        <v>49.436819999999997</v>
      </c>
      <c r="N419" s="9">
        <v>-124.70223</v>
      </c>
      <c r="O419" s="9" t="s">
        <v>183</v>
      </c>
      <c r="P419" s="14">
        <v>56</v>
      </c>
      <c r="Q419" s="20">
        <v>3</v>
      </c>
      <c r="R419" s="9" t="s">
        <v>1862</v>
      </c>
      <c r="S419" s="9" t="s">
        <v>1737</v>
      </c>
      <c r="T419" s="9">
        <v>112</v>
      </c>
      <c r="U419" s="9"/>
      <c r="V419" s="9"/>
      <c r="W419" s="21">
        <v>31048</v>
      </c>
      <c r="X419" s="9" t="s">
        <v>1738</v>
      </c>
      <c r="AO419" s="4" t="s">
        <v>1862</v>
      </c>
      <c r="AP419" s="4">
        <v>56</v>
      </c>
      <c r="AQ419" s="4" t="s">
        <v>1700</v>
      </c>
      <c r="AR419" s="4" t="s">
        <v>1739</v>
      </c>
      <c r="AS419" s="4" t="s">
        <v>1740</v>
      </c>
      <c r="AT419" s="4" t="s">
        <v>1741</v>
      </c>
      <c r="AU419" s="4" t="s">
        <v>1772</v>
      </c>
      <c r="AV419" s="4" t="s">
        <v>1720</v>
      </c>
      <c r="AW419" s="4" t="s">
        <v>1705</v>
      </c>
      <c r="AX419" s="4" t="s">
        <v>1706</v>
      </c>
      <c r="AY419" s="4">
        <v>49.436799999999998</v>
      </c>
      <c r="AZ419" s="4">
        <v>-124.7022</v>
      </c>
      <c r="BA419" s="8" t="s">
        <v>1866</v>
      </c>
    </row>
    <row r="420" spans="1:53" ht="14.25" customHeight="1" x14ac:dyDescent="0.2">
      <c r="B420" s="4">
        <v>12</v>
      </c>
      <c r="C420" s="4" t="s">
        <v>7666</v>
      </c>
      <c r="D420" s="4">
        <v>57</v>
      </c>
      <c r="E420" s="4">
        <v>1647</v>
      </c>
      <c r="F420" s="16" t="s">
        <v>1867</v>
      </c>
      <c r="G420" s="4" t="s">
        <v>1868</v>
      </c>
      <c r="H420" s="4" t="s">
        <v>1869</v>
      </c>
      <c r="I420" s="4" t="s">
        <v>1664</v>
      </c>
      <c r="J420" s="4" t="s">
        <v>1746</v>
      </c>
      <c r="K420" s="4">
        <v>1</v>
      </c>
      <c r="L420" s="4">
        <v>2050</v>
      </c>
      <c r="AO420" s="4" t="s">
        <v>1867</v>
      </c>
      <c r="AP420" s="4">
        <v>57</v>
      </c>
      <c r="AQ420" s="4" t="s">
        <v>1716</v>
      </c>
      <c r="AR420" s="4" t="s">
        <v>1717</v>
      </c>
      <c r="AS420" s="4" t="s">
        <v>1718</v>
      </c>
      <c r="AT420" s="4" t="s">
        <v>1719</v>
      </c>
      <c r="AU420" s="4" t="s">
        <v>1703</v>
      </c>
      <c r="AV420" s="4" t="s">
        <v>1720</v>
      </c>
      <c r="AW420" s="4" t="s">
        <v>1705</v>
      </c>
      <c r="AX420" s="4" t="s">
        <v>1747</v>
      </c>
      <c r="AY420" s="4">
        <v>48.9</v>
      </c>
      <c r="AZ420" s="4">
        <v>-123.5</v>
      </c>
      <c r="BA420" s="4">
        <v>1</v>
      </c>
    </row>
    <row r="421" spans="1:53" ht="14.25" customHeight="1" x14ac:dyDescent="0.2">
      <c r="A421" s="4" t="s">
        <v>88</v>
      </c>
      <c r="B421" s="4">
        <v>12</v>
      </c>
      <c r="C421" s="4" t="s">
        <v>7666</v>
      </c>
      <c r="D421" s="4">
        <v>59</v>
      </c>
      <c r="E421" s="4">
        <v>1648</v>
      </c>
      <c r="F421" s="4" t="s">
        <v>1870</v>
      </c>
      <c r="G421" s="8" t="s">
        <v>1871</v>
      </c>
      <c r="H421" s="4" t="s">
        <v>1872</v>
      </c>
      <c r="I421" s="4" t="s">
        <v>641</v>
      </c>
      <c r="J421" s="4" t="s">
        <v>1865</v>
      </c>
      <c r="K421" s="4">
        <v>1</v>
      </c>
      <c r="L421" s="4">
        <v>2051</v>
      </c>
      <c r="M421" s="9">
        <v>49.047620000000002</v>
      </c>
      <c r="N421" s="9">
        <v>-123.87473</v>
      </c>
      <c r="O421" s="9" t="s">
        <v>183</v>
      </c>
      <c r="P421" s="9">
        <v>59</v>
      </c>
      <c r="Q421" s="20">
        <v>1</v>
      </c>
      <c r="R421" s="9" t="s">
        <v>1870</v>
      </c>
      <c r="S421" s="9" t="s">
        <v>1737</v>
      </c>
      <c r="T421" s="9">
        <v>30</v>
      </c>
      <c r="U421" s="9" t="s">
        <v>645</v>
      </c>
      <c r="V421" s="9" t="s">
        <v>1813</v>
      </c>
      <c r="W421" s="21">
        <v>32509</v>
      </c>
      <c r="X421" s="9" t="s">
        <v>1738</v>
      </c>
      <c r="AO421" s="4" t="s">
        <v>1870</v>
      </c>
      <c r="AP421" s="4">
        <v>59</v>
      </c>
      <c r="AQ421" s="4" t="s">
        <v>1700</v>
      </c>
      <c r="AR421" s="4" t="s">
        <v>1739</v>
      </c>
      <c r="AS421" s="4" t="s">
        <v>1740</v>
      </c>
      <c r="AT421" s="4" t="s">
        <v>1741</v>
      </c>
      <c r="AU421" s="4" t="s">
        <v>1772</v>
      </c>
      <c r="AV421" s="4" t="s">
        <v>1720</v>
      </c>
      <c r="AW421" s="4" t="s">
        <v>1705</v>
      </c>
      <c r="AX421" s="4" t="s">
        <v>1706</v>
      </c>
      <c r="AY421" s="4">
        <v>49.047600000000003</v>
      </c>
      <c r="AZ421" s="4">
        <v>-123.8747</v>
      </c>
      <c r="BA421" s="4">
        <v>31</v>
      </c>
    </row>
    <row r="422" spans="1:53" ht="14.25" customHeight="1" x14ac:dyDescent="0.2">
      <c r="B422" s="4">
        <v>12</v>
      </c>
      <c r="C422" s="4" t="s">
        <v>7666</v>
      </c>
      <c r="D422" s="4">
        <v>60</v>
      </c>
      <c r="E422" s="4">
        <v>1649</v>
      </c>
      <c r="F422" s="16" t="s">
        <v>1873</v>
      </c>
      <c r="G422" s="4" t="s">
        <v>1874</v>
      </c>
      <c r="H422" s="4" t="s">
        <v>1875</v>
      </c>
      <c r="I422" s="4" t="s">
        <v>641</v>
      </c>
      <c r="J422" s="4" t="s">
        <v>1715</v>
      </c>
      <c r="K422" s="4">
        <v>1</v>
      </c>
      <c r="L422" s="4">
        <v>2052</v>
      </c>
      <c r="AO422" s="4" t="s">
        <v>1873</v>
      </c>
      <c r="AP422" s="4">
        <v>60</v>
      </c>
      <c r="AQ422" s="4" t="s">
        <v>1716</v>
      </c>
      <c r="AR422" s="4" t="s">
        <v>1717</v>
      </c>
      <c r="AS422" s="4" t="s">
        <v>1718</v>
      </c>
      <c r="AT422" s="4" t="s">
        <v>1703</v>
      </c>
      <c r="AU422" s="4" t="s">
        <v>1703</v>
      </c>
      <c r="AV422" s="4" t="s">
        <v>1720</v>
      </c>
      <c r="AW422" s="4" t="s">
        <v>1705</v>
      </c>
      <c r="AX422" s="4" t="s">
        <v>1747</v>
      </c>
      <c r="AY422" s="4">
        <v>48.778300000000002</v>
      </c>
      <c r="AZ422" s="4">
        <v>-123.4533</v>
      </c>
      <c r="BA422" s="4">
        <v>150</v>
      </c>
    </row>
    <row r="423" spans="1:53" ht="14.25" customHeight="1" x14ac:dyDescent="0.2">
      <c r="B423" s="4">
        <v>12</v>
      </c>
      <c r="C423" s="4" t="s">
        <v>7666</v>
      </c>
      <c r="D423" s="4">
        <v>63</v>
      </c>
      <c r="E423" s="4">
        <v>1650</v>
      </c>
      <c r="F423" s="16" t="s">
        <v>1876</v>
      </c>
      <c r="G423" s="4" t="s">
        <v>1877</v>
      </c>
      <c r="H423" s="4" t="s">
        <v>1878</v>
      </c>
      <c r="I423" s="4" t="s">
        <v>641</v>
      </c>
      <c r="J423" s="4" t="s">
        <v>1715</v>
      </c>
      <c r="K423" s="4">
        <v>1</v>
      </c>
      <c r="L423" s="4">
        <v>2053</v>
      </c>
      <c r="AO423" s="4" t="s">
        <v>1876</v>
      </c>
      <c r="AP423" s="4">
        <v>63</v>
      </c>
      <c r="AQ423" s="4" t="s">
        <v>1716</v>
      </c>
      <c r="AR423" s="4" t="s">
        <v>1717</v>
      </c>
      <c r="AS423" s="4" t="s">
        <v>1718</v>
      </c>
      <c r="AT423" s="4" t="s">
        <v>1703</v>
      </c>
      <c r="AU423" s="4" t="s">
        <v>1703</v>
      </c>
      <c r="AV423" s="4" t="s">
        <v>1720</v>
      </c>
      <c r="AW423" s="4" t="s">
        <v>1705</v>
      </c>
      <c r="AX423" s="4" t="s">
        <v>1879</v>
      </c>
      <c r="AY423" s="4">
        <v>50.116700000000002</v>
      </c>
      <c r="AZ423" s="4">
        <v>-123.3967</v>
      </c>
      <c r="BA423" s="4">
        <v>200</v>
      </c>
    </row>
    <row r="424" spans="1:53" ht="14.25" customHeight="1" x14ac:dyDescent="0.2">
      <c r="B424" s="4">
        <v>12</v>
      </c>
      <c r="C424" s="4" t="s">
        <v>7666</v>
      </c>
      <c r="D424" s="4">
        <v>65</v>
      </c>
      <c r="E424" s="4">
        <v>1651</v>
      </c>
      <c r="F424" s="16" t="s">
        <v>1880</v>
      </c>
      <c r="G424" s="4" t="s">
        <v>1881</v>
      </c>
      <c r="H424" s="4" t="s">
        <v>1882</v>
      </c>
      <c r="I424" s="4" t="s">
        <v>1664</v>
      </c>
      <c r="J424" s="4" t="s">
        <v>1715</v>
      </c>
      <c r="K424" s="4">
        <v>1</v>
      </c>
      <c r="L424" s="4">
        <v>2054</v>
      </c>
      <c r="AO424" s="4" t="s">
        <v>1880</v>
      </c>
      <c r="AP424" s="4">
        <v>65</v>
      </c>
      <c r="AQ424" s="4" t="s">
        <v>1716</v>
      </c>
      <c r="AR424" s="4" t="s">
        <v>1717</v>
      </c>
      <c r="AS424" s="4" t="s">
        <v>1718</v>
      </c>
      <c r="AT424" s="4" t="s">
        <v>1719</v>
      </c>
      <c r="AU424" s="4" t="s">
        <v>1703</v>
      </c>
      <c r="AV424" s="4" t="s">
        <v>1720</v>
      </c>
      <c r="AW424" s="4" t="s">
        <v>1705</v>
      </c>
      <c r="AX424" s="4" t="s">
        <v>1883</v>
      </c>
      <c r="AY424" s="4">
        <v>49.4</v>
      </c>
      <c r="AZ424" s="4">
        <v>-123.1</v>
      </c>
      <c r="BA424" s="4">
        <v>11</v>
      </c>
    </row>
    <row r="425" spans="1:53" ht="14.25" customHeight="1" x14ac:dyDescent="0.2">
      <c r="B425" s="4">
        <v>12</v>
      </c>
      <c r="C425" s="4" t="s">
        <v>7666</v>
      </c>
      <c r="D425" s="4">
        <v>66</v>
      </c>
      <c r="E425" s="4">
        <v>1652</v>
      </c>
      <c r="F425" s="4" t="s">
        <v>1884</v>
      </c>
      <c r="G425" s="8" t="s">
        <v>1885</v>
      </c>
      <c r="H425" s="4" t="s">
        <v>1886</v>
      </c>
      <c r="I425" s="4" t="s">
        <v>641</v>
      </c>
      <c r="J425" s="4" t="s">
        <v>1715</v>
      </c>
      <c r="K425" s="4">
        <v>1</v>
      </c>
      <c r="L425" s="4">
        <v>2055</v>
      </c>
      <c r="M425" s="9"/>
      <c r="N425" s="9"/>
      <c r="O425" s="9"/>
      <c r="P425" s="9"/>
      <c r="Q425" s="20"/>
      <c r="R425" s="9"/>
      <c r="S425" s="9"/>
      <c r="T425" s="9"/>
      <c r="U425" s="9"/>
      <c r="V425" s="9"/>
      <c r="W425" s="21"/>
      <c r="X425" s="9"/>
      <c r="AO425" s="4" t="s">
        <v>1887</v>
      </c>
      <c r="AP425" s="4">
        <v>66</v>
      </c>
      <c r="AQ425" s="4" t="s">
        <v>1716</v>
      </c>
      <c r="AR425" s="4" t="s">
        <v>1717</v>
      </c>
      <c r="AS425" s="4" t="s">
        <v>1718</v>
      </c>
      <c r="AT425" s="4" t="s">
        <v>1835</v>
      </c>
      <c r="AU425" s="4" t="s">
        <v>1836</v>
      </c>
      <c r="AV425" s="4" t="s">
        <v>1720</v>
      </c>
      <c r="AW425" s="4" t="s">
        <v>1705</v>
      </c>
      <c r="AX425" s="4" t="s">
        <v>1883</v>
      </c>
      <c r="AY425" s="4">
        <v>49.691000000000003</v>
      </c>
      <c r="AZ425" s="4">
        <v>-121.8596</v>
      </c>
      <c r="BA425" s="4">
        <v>152</v>
      </c>
    </row>
    <row r="426" spans="1:53" ht="14.25" customHeight="1" x14ac:dyDescent="0.2">
      <c r="A426" s="4" t="s">
        <v>88</v>
      </c>
      <c r="B426" s="4">
        <v>12</v>
      </c>
      <c r="C426" s="4" t="s">
        <v>7666</v>
      </c>
      <c r="D426" s="4">
        <v>67</v>
      </c>
      <c r="E426" s="4">
        <v>1653</v>
      </c>
      <c r="F426" s="4" t="s">
        <v>1888</v>
      </c>
      <c r="G426" s="8" t="s">
        <v>1889</v>
      </c>
      <c r="H426" s="4" t="s">
        <v>1890</v>
      </c>
      <c r="I426" s="4" t="s">
        <v>641</v>
      </c>
      <c r="J426" s="4" t="s">
        <v>1891</v>
      </c>
      <c r="K426" s="4">
        <v>1</v>
      </c>
      <c r="L426" s="4">
        <v>2056</v>
      </c>
      <c r="M426" s="9">
        <v>49.380600000000001</v>
      </c>
      <c r="N426" s="9">
        <v>-121.52597</v>
      </c>
      <c r="O426" s="9" t="s">
        <v>51</v>
      </c>
      <c r="P426" s="9">
        <v>67</v>
      </c>
      <c r="Q426" s="20">
        <v>1</v>
      </c>
      <c r="R426" s="9" t="s">
        <v>1888</v>
      </c>
      <c r="S426" s="9" t="s">
        <v>1737</v>
      </c>
      <c r="T426" s="9">
        <v>38</v>
      </c>
      <c r="U426" s="9" t="s">
        <v>645</v>
      </c>
      <c r="V426" s="9"/>
      <c r="W426" s="21">
        <v>37257</v>
      </c>
      <c r="X426" s="9" t="s">
        <v>1738</v>
      </c>
      <c r="AO426" s="4" t="s">
        <v>1888</v>
      </c>
      <c r="AP426" s="4">
        <v>67</v>
      </c>
      <c r="AQ426" s="4" t="s">
        <v>1700</v>
      </c>
      <c r="AR426" s="4" t="s">
        <v>1739</v>
      </c>
      <c r="AS426" s="4" t="s">
        <v>1740</v>
      </c>
      <c r="AT426" s="4" t="s">
        <v>1741</v>
      </c>
      <c r="AU426" s="4" t="s">
        <v>1772</v>
      </c>
      <c r="AV426" s="4" t="s">
        <v>1720</v>
      </c>
      <c r="AW426" s="4" t="s">
        <v>1705</v>
      </c>
      <c r="AX426" s="4" t="s">
        <v>1883</v>
      </c>
      <c r="AY426" s="4">
        <v>49.380600000000001</v>
      </c>
      <c r="AZ426" s="4">
        <v>-121.52589999999999</v>
      </c>
      <c r="BA426" s="4">
        <v>42</v>
      </c>
    </row>
    <row r="427" spans="1:53" ht="14.25" customHeight="1" x14ac:dyDescent="0.2">
      <c r="B427" s="4">
        <v>12</v>
      </c>
      <c r="C427" s="4" t="s">
        <v>7666</v>
      </c>
      <c r="D427" s="4">
        <v>68</v>
      </c>
      <c r="E427" s="4">
        <v>1654</v>
      </c>
      <c r="F427" s="16" t="s">
        <v>1892</v>
      </c>
      <c r="G427" s="4" t="s">
        <v>1893</v>
      </c>
      <c r="H427" s="4" t="s">
        <v>1894</v>
      </c>
      <c r="I427" s="4" t="s">
        <v>641</v>
      </c>
      <c r="J427" s="4" t="s">
        <v>1715</v>
      </c>
      <c r="K427" s="4">
        <v>1</v>
      </c>
      <c r="L427" s="4">
        <v>2057</v>
      </c>
      <c r="AO427" s="4" t="s">
        <v>1892</v>
      </c>
      <c r="AP427" s="4">
        <v>68</v>
      </c>
      <c r="AQ427" s="4" t="s">
        <v>1716</v>
      </c>
      <c r="AR427" s="4" t="s">
        <v>1717</v>
      </c>
      <c r="AS427" s="4" t="s">
        <v>1718</v>
      </c>
      <c r="AT427" s="4" t="s">
        <v>1703</v>
      </c>
      <c r="AU427" s="4" t="s">
        <v>1703</v>
      </c>
      <c r="AV427" s="4" t="s">
        <v>1720</v>
      </c>
      <c r="AW427" s="4" t="s">
        <v>1705</v>
      </c>
      <c r="AX427" s="4" t="s">
        <v>1883</v>
      </c>
      <c r="AY427" s="4">
        <v>49.701700000000002</v>
      </c>
      <c r="AZ427" s="4">
        <v>-122.7</v>
      </c>
      <c r="BA427" s="4">
        <v>401</v>
      </c>
    </row>
    <row r="428" spans="1:53" ht="14.25" customHeight="1" x14ac:dyDescent="0.2">
      <c r="A428" s="4" t="s">
        <v>422</v>
      </c>
      <c r="B428" s="4">
        <v>12</v>
      </c>
      <c r="C428" s="4" t="s">
        <v>7665</v>
      </c>
      <c r="D428" s="4">
        <v>69</v>
      </c>
      <c r="E428" s="4">
        <v>12984</v>
      </c>
      <c r="F428" s="49" t="s">
        <v>1895</v>
      </c>
      <c r="G428" s="49" t="s">
        <v>127</v>
      </c>
      <c r="H428" s="4" t="s">
        <v>1896</v>
      </c>
      <c r="I428" s="4" t="s">
        <v>49</v>
      </c>
      <c r="J428" s="4" t="s">
        <v>1698</v>
      </c>
      <c r="K428" s="4">
        <v>1</v>
      </c>
      <c r="L428" s="4">
        <v>14916</v>
      </c>
      <c r="AO428" s="48" t="s">
        <v>1897</v>
      </c>
      <c r="AP428" s="48">
        <v>69</v>
      </c>
      <c r="AQ428" s="48" t="s">
        <v>1700</v>
      </c>
      <c r="AR428" s="48" t="s">
        <v>1701</v>
      </c>
      <c r="AS428" s="48" t="s">
        <v>1702</v>
      </c>
      <c r="AT428" s="48" t="s">
        <v>1703</v>
      </c>
      <c r="AU428" s="48" t="s">
        <v>1704</v>
      </c>
      <c r="AV428" s="48" t="s">
        <v>1702</v>
      </c>
      <c r="AW428" s="48" t="s">
        <v>1705</v>
      </c>
      <c r="AX428" s="48" t="s">
        <v>1883</v>
      </c>
      <c r="AY428" s="48">
        <v>49.2</v>
      </c>
      <c r="AZ428" s="48">
        <v>-123.2</v>
      </c>
      <c r="BA428" s="48">
        <v>1</v>
      </c>
    </row>
    <row r="429" spans="1:53" ht="14.25" customHeight="1" x14ac:dyDescent="0.2">
      <c r="A429" s="4" t="s">
        <v>88</v>
      </c>
      <c r="B429" s="4">
        <v>12</v>
      </c>
      <c r="C429" s="4" t="s">
        <v>7666</v>
      </c>
      <c r="D429" s="4">
        <v>71</v>
      </c>
      <c r="E429" s="4">
        <v>1655</v>
      </c>
      <c r="F429" s="16" t="s">
        <v>1898</v>
      </c>
      <c r="G429" s="8" t="s">
        <v>1899</v>
      </c>
      <c r="H429" s="4" t="s">
        <v>1900</v>
      </c>
      <c r="I429" s="4" t="s">
        <v>1664</v>
      </c>
      <c r="J429" s="4" t="s">
        <v>1715</v>
      </c>
      <c r="K429" s="4">
        <v>1</v>
      </c>
      <c r="L429" s="4">
        <v>2058</v>
      </c>
      <c r="AO429" s="4" t="s">
        <v>1898</v>
      </c>
      <c r="AP429" s="4">
        <v>71</v>
      </c>
      <c r="AQ429" s="4" t="s">
        <v>1716</v>
      </c>
      <c r="AR429" s="4" t="s">
        <v>1717</v>
      </c>
      <c r="AS429" s="4" t="s">
        <v>1718</v>
      </c>
      <c r="AT429" s="4" t="s">
        <v>1719</v>
      </c>
      <c r="AU429" s="4" t="s">
        <v>1703</v>
      </c>
      <c r="AV429" s="4" t="s">
        <v>1720</v>
      </c>
      <c r="AW429" s="4" t="s">
        <v>1705</v>
      </c>
      <c r="AX429" s="4" t="s">
        <v>1879</v>
      </c>
      <c r="AY429" s="4">
        <v>50.2</v>
      </c>
      <c r="AZ429" s="4">
        <v>-122.5</v>
      </c>
      <c r="BA429" s="4">
        <v>2</v>
      </c>
    </row>
    <row r="430" spans="1:53" ht="14.25" customHeight="1" x14ac:dyDescent="0.2">
      <c r="A430" s="4" t="s">
        <v>88</v>
      </c>
      <c r="B430" s="4">
        <v>12</v>
      </c>
      <c r="C430" s="4" t="s">
        <v>7666</v>
      </c>
      <c r="D430" s="4">
        <v>72</v>
      </c>
      <c r="E430" s="4">
        <v>1656</v>
      </c>
      <c r="F430" s="4" t="s">
        <v>1901</v>
      </c>
      <c r="G430" s="8" t="s">
        <v>1902</v>
      </c>
      <c r="H430" s="4" t="s">
        <v>1903</v>
      </c>
      <c r="I430" s="4" t="s">
        <v>641</v>
      </c>
      <c r="J430" s="4" t="s">
        <v>1865</v>
      </c>
      <c r="K430" s="4">
        <v>1</v>
      </c>
      <c r="L430" s="4">
        <v>2059</v>
      </c>
      <c r="M430" s="9">
        <v>49.264499999999998</v>
      </c>
      <c r="N430" s="9">
        <v>-122.57328</v>
      </c>
      <c r="O430" s="9" t="s">
        <v>183</v>
      </c>
      <c r="P430" s="9">
        <v>72</v>
      </c>
      <c r="Q430" s="20">
        <v>4</v>
      </c>
      <c r="R430" s="9" t="s">
        <v>1901</v>
      </c>
      <c r="S430" s="9" t="s">
        <v>1737</v>
      </c>
      <c r="T430" s="8" t="s">
        <v>1904</v>
      </c>
      <c r="U430" s="9" t="s">
        <v>645</v>
      </c>
      <c r="V430" s="9"/>
      <c r="W430" s="21">
        <v>29587</v>
      </c>
      <c r="X430" s="9" t="s">
        <v>1738</v>
      </c>
      <c r="AO430" s="4" t="s">
        <v>1901</v>
      </c>
      <c r="AP430" s="4">
        <v>72</v>
      </c>
      <c r="AQ430" s="4" t="s">
        <v>1700</v>
      </c>
      <c r="AR430" s="4" t="s">
        <v>1739</v>
      </c>
      <c r="AS430" s="4" t="s">
        <v>1740</v>
      </c>
      <c r="AT430" s="4" t="s">
        <v>1741</v>
      </c>
      <c r="AU430" s="4" t="s">
        <v>1772</v>
      </c>
      <c r="AV430" s="4" t="s">
        <v>1720</v>
      </c>
      <c r="AW430" s="4" t="s">
        <v>1705</v>
      </c>
      <c r="AX430" s="4" t="s">
        <v>1883</v>
      </c>
      <c r="AY430" s="4">
        <v>49.264499999999998</v>
      </c>
      <c r="AZ430" s="4">
        <v>-122.5732</v>
      </c>
      <c r="BA430" s="4">
        <v>146</v>
      </c>
    </row>
    <row r="431" spans="1:53" ht="14.25" customHeight="1" x14ac:dyDescent="0.2">
      <c r="B431" s="4">
        <v>12</v>
      </c>
      <c r="C431" s="4" t="s">
        <v>7666</v>
      </c>
      <c r="D431" s="4">
        <v>73</v>
      </c>
      <c r="E431" s="4">
        <v>1657</v>
      </c>
      <c r="F431" s="16" t="s">
        <v>1905</v>
      </c>
      <c r="G431" s="4" t="s">
        <v>1906</v>
      </c>
      <c r="H431" s="4" t="s">
        <v>1907</v>
      </c>
      <c r="I431" s="4" t="s">
        <v>1664</v>
      </c>
      <c r="J431" s="4" t="s">
        <v>1715</v>
      </c>
      <c r="K431" s="4">
        <v>1</v>
      </c>
      <c r="L431" s="4">
        <v>2060</v>
      </c>
      <c r="AO431" s="4" t="s">
        <v>1905</v>
      </c>
      <c r="AP431" s="4">
        <v>73</v>
      </c>
      <c r="AQ431" s="4" t="s">
        <v>1716</v>
      </c>
      <c r="AR431" s="4" t="s">
        <v>1717</v>
      </c>
      <c r="AS431" s="4" t="s">
        <v>1718</v>
      </c>
      <c r="AT431" s="4" t="s">
        <v>1719</v>
      </c>
      <c r="AU431" s="4" t="s">
        <v>1703</v>
      </c>
      <c r="AV431" s="4" t="s">
        <v>1720</v>
      </c>
      <c r="AW431" s="4" t="s">
        <v>1705</v>
      </c>
      <c r="AX431" s="4" t="s">
        <v>1883</v>
      </c>
      <c r="AY431" s="4">
        <v>49.2</v>
      </c>
      <c r="AZ431" s="4">
        <v>-122.3</v>
      </c>
      <c r="BA431" s="4">
        <v>5</v>
      </c>
    </row>
    <row r="432" spans="1:53" ht="14.25" customHeight="1" x14ac:dyDescent="0.2">
      <c r="A432" s="4" t="s">
        <v>1908</v>
      </c>
      <c r="B432" s="4">
        <v>12</v>
      </c>
      <c r="C432" s="4" t="s">
        <v>7666</v>
      </c>
      <c r="D432" s="4">
        <v>74</v>
      </c>
      <c r="E432" s="4">
        <v>1658</v>
      </c>
      <c r="F432" s="4" t="s">
        <v>1909</v>
      </c>
      <c r="G432" s="8" t="s">
        <v>1910</v>
      </c>
      <c r="H432" s="4" t="s">
        <v>1911</v>
      </c>
      <c r="I432" s="4" t="s">
        <v>641</v>
      </c>
      <c r="J432" s="4" t="s">
        <v>1715</v>
      </c>
      <c r="K432" s="4">
        <v>1</v>
      </c>
      <c r="L432" s="4">
        <v>2061</v>
      </c>
      <c r="M432" s="11"/>
      <c r="N432" s="11"/>
      <c r="O432" s="11"/>
      <c r="P432" s="11"/>
      <c r="Q432" s="12"/>
      <c r="R432" s="11"/>
      <c r="S432" s="11"/>
      <c r="T432" s="11"/>
      <c r="U432" s="11"/>
      <c r="V432" s="11"/>
      <c r="W432" s="51"/>
      <c r="X432" s="11"/>
      <c r="AO432" s="4" t="s">
        <v>1912</v>
      </c>
      <c r="AP432" s="4">
        <v>74</v>
      </c>
      <c r="AQ432" s="4" t="s">
        <v>1716</v>
      </c>
      <c r="AR432" s="4" t="s">
        <v>1717</v>
      </c>
      <c r="AS432" s="4" t="s">
        <v>1718</v>
      </c>
      <c r="AT432" s="4" t="s">
        <v>1835</v>
      </c>
      <c r="AU432" s="4" t="s">
        <v>1836</v>
      </c>
      <c r="AV432" s="4" t="s">
        <v>1720</v>
      </c>
      <c r="AW432" s="4" t="s">
        <v>1705</v>
      </c>
      <c r="AX432" s="4" t="s">
        <v>1883</v>
      </c>
      <c r="AY432" s="4">
        <v>49.095300000000002</v>
      </c>
      <c r="AZ432" s="4">
        <v>-121.6628</v>
      </c>
      <c r="BA432" s="4">
        <v>320</v>
      </c>
    </row>
    <row r="433" spans="1:53" ht="14.25" customHeight="1" x14ac:dyDescent="0.2">
      <c r="A433" s="4" t="s">
        <v>88</v>
      </c>
      <c r="B433" s="4">
        <v>12</v>
      </c>
      <c r="C433" s="4" t="s">
        <v>7666</v>
      </c>
      <c r="D433" s="4">
        <v>75</v>
      </c>
      <c r="E433" s="4">
        <v>1659</v>
      </c>
      <c r="F433" s="4" t="s">
        <v>1913</v>
      </c>
      <c r="G433" s="8" t="s">
        <v>1914</v>
      </c>
      <c r="H433" s="4" t="s">
        <v>1915</v>
      </c>
      <c r="I433" s="4" t="s">
        <v>641</v>
      </c>
      <c r="J433" s="4" t="s">
        <v>1736</v>
      </c>
      <c r="K433" s="4">
        <v>1</v>
      </c>
      <c r="L433" s="4">
        <v>2062</v>
      </c>
      <c r="M433" s="9">
        <v>50.567999999999998</v>
      </c>
      <c r="N433" s="9">
        <v>-124.07299999999999</v>
      </c>
      <c r="O433" s="9" t="s">
        <v>51</v>
      </c>
      <c r="P433" s="9">
        <v>75</v>
      </c>
      <c r="Q433" s="20">
        <v>1</v>
      </c>
      <c r="R433" s="9" t="s">
        <v>1913</v>
      </c>
      <c r="S433" s="9" t="s">
        <v>1737</v>
      </c>
      <c r="T433" s="9">
        <v>10</v>
      </c>
      <c r="U433" s="9"/>
      <c r="V433" s="9"/>
      <c r="W433" s="21">
        <v>35796</v>
      </c>
      <c r="X433" s="9" t="s">
        <v>1738</v>
      </c>
      <c r="AO433" s="4" t="s">
        <v>1913</v>
      </c>
      <c r="AP433" s="4">
        <v>75</v>
      </c>
      <c r="AQ433" s="4" t="s">
        <v>1716</v>
      </c>
      <c r="AR433" s="4" t="s">
        <v>1739</v>
      </c>
      <c r="AS433" s="4" t="s">
        <v>1740</v>
      </c>
      <c r="AT433" s="4" t="s">
        <v>1741</v>
      </c>
      <c r="AU433" s="4" t="s">
        <v>1742</v>
      </c>
      <c r="AV433" s="4" t="s">
        <v>1720</v>
      </c>
      <c r="AW433" s="4" t="s">
        <v>1705</v>
      </c>
      <c r="AX433" s="4" t="s">
        <v>1837</v>
      </c>
      <c r="AY433" s="4">
        <v>50.571100000000001</v>
      </c>
      <c r="AZ433" s="4">
        <v>-124.07769999999999</v>
      </c>
      <c r="BA433" s="4">
        <v>49</v>
      </c>
    </row>
    <row r="434" spans="1:53" ht="14.25" customHeight="1" x14ac:dyDescent="0.2">
      <c r="B434" s="4">
        <v>12</v>
      </c>
      <c r="C434" s="4" t="s">
        <v>7666</v>
      </c>
      <c r="D434" s="4">
        <v>76</v>
      </c>
      <c r="E434" s="4">
        <v>1660</v>
      </c>
      <c r="F434" s="16" t="s">
        <v>1916</v>
      </c>
      <c r="G434" s="4" t="s">
        <v>1917</v>
      </c>
      <c r="H434" s="4" t="s">
        <v>1714</v>
      </c>
      <c r="I434" s="4" t="s">
        <v>1664</v>
      </c>
      <c r="J434" s="4" t="s">
        <v>1715</v>
      </c>
      <c r="K434" s="4">
        <v>1</v>
      </c>
      <c r="L434" s="4">
        <v>2063</v>
      </c>
      <c r="AO434" s="4" t="s">
        <v>1916</v>
      </c>
      <c r="AP434" s="4">
        <v>76</v>
      </c>
      <c r="AQ434" s="4" t="s">
        <v>1716</v>
      </c>
      <c r="AR434" s="4" t="s">
        <v>1717</v>
      </c>
      <c r="AS434" s="4" t="s">
        <v>1718</v>
      </c>
      <c r="AT434" s="4" t="s">
        <v>1719</v>
      </c>
      <c r="AU434" s="4" t="s">
        <v>1703</v>
      </c>
      <c r="AV434" s="4" t="s">
        <v>1720</v>
      </c>
      <c r="AW434" s="4" t="s">
        <v>1705</v>
      </c>
      <c r="AX434" s="4" t="s">
        <v>1879</v>
      </c>
      <c r="AY434" s="4">
        <v>49.7</v>
      </c>
      <c r="AZ434" s="4">
        <v>-123.1</v>
      </c>
      <c r="BA434" s="4">
        <v>0</v>
      </c>
    </row>
    <row r="435" spans="1:53" ht="14.25" customHeight="1" x14ac:dyDescent="0.2">
      <c r="B435" s="4">
        <v>12</v>
      </c>
      <c r="C435" s="4" t="s">
        <v>7666</v>
      </c>
      <c r="D435" s="4">
        <v>78</v>
      </c>
      <c r="E435" s="4">
        <v>1661</v>
      </c>
      <c r="F435" s="16" t="s">
        <v>1918</v>
      </c>
      <c r="G435" s="4" t="s">
        <v>1919</v>
      </c>
      <c r="H435" s="4" t="s">
        <v>1920</v>
      </c>
      <c r="I435" s="4" t="s">
        <v>1664</v>
      </c>
      <c r="J435" s="4" t="s">
        <v>1715</v>
      </c>
      <c r="K435" s="4">
        <v>1</v>
      </c>
      <c r="L435" s="4">
        <v>2064</v>
      </c>
      <c r="AO435" s="4" t="s">
        <v>1918</v>
      </c>
      <c r="AP435" s="4">
        <v>78</v>
      </c>
      <c r="AQ435" s="4" t="s">
        <v>1716</v>
      </c>
      <c r="AR435" s="4" t="s">
        <v>1717</v>
      </c>
      <c r="AS435" s="4" t="s">
        <v>1718</v>
      </c>
      <c r="AT435" s="4" t="s">
        <v>1719</v>
      </c>
      <c r="AU435" s="4" t="s">
        <v>1703</v>
      </c>
      <c r="AV435" s="4" t="s">
        <v>1720</v>
      </c>
      <c r="AW435" s="4" t="s">
        <v>1705</v>
      </c>
      <c r="AX435" s="4" t="s">
        <v>1879</v>
      </c>
      <c r="AY435" s="4">
        <v>50.2</v>
      </c>
      <c r="AZ435" s="4">
        <v>-123.6</v>
      </c>
      <c r="BA435" s="4">
        <v>5</v>
      </c>
    </row>
    <row r="436" spans="1:53" ht="14.25" customHeight="1" x14ac:dyDescent="0.2">
      <c r="B436" s="4">
        <v>12</v>
      </c>
      <c r="C436" s="4" t="s">
        <v>7666</v>
      </c>
      <c r="D436" s="4">
        <v>79</v>
      </c>
      <c r="E436" s="4">
        <v>1662</v>
      </c>
      <c r="F436" s="16" t="s">
        <v>1921</v>
      </c>
      <c r="G436" s="4" t="s">
        <v>1922</v>
      </c>
      <c r="H436" s="4" t="s">
        <v>1714</v>
      </c>
      <c r="I436" s="4" t="s">
        <v>1664</v>
      </c>
      <c r="J436" s="4" t="s">
        <v>1715</v>
      </c>
      <c r="K436" s="4">
        <v>1</v>
      </c>
      <c r="L436" s="4">
        <v>2065</v>
      </c>
      <c r="AO436" s="4" t="s">
        <v>1921</v>
      </c>
      <c r="AP436" s="4">
        <v>79</v>
      </c>
      <c r="AQ436" s="4" t="s">
        <v>1716</v>
      </c>
      <c r="AR436" s="4" t="s">
        <v>1717</v>
      </c>
      <c r="AS436" s="4" t="s">
        <v>1718</v>
      </c>
      <c r="AT436" s="4" t="s">
        <v>1719</v>
      </c>
      <c r="AU436" s="4" t="s">
        <v>1703</v>
      </c>
      <c r="AV436" s="4" t="s">
        <v>1720</v>
      </c>
      <c r="AW436" s="4" t="s">
        <v>1705</v>
      </c>
      <c r="AX436" s="4" t="s">
        <v>1710</v>
      </c>
      <c r="AY436" s="4">
        <v>51.1</v>
      </c>
      <c r="AZ436" s="4">
        <v>-125.6</v>
      </c>
      <c r="BA436" s="4">
        <v>0</v>
      </c>
    </row>
    <row r="437" spans="1:53" ht="14.25" customHeight="1" x14ac:dyDescent="0.2">
      <c r="B437" s="4">
        <v>12</v>
      </c>
      <c r="C437" s="4" t="s">
        <v>7666</v>
      </c>
      <c r="D437" s="4">
        <v>80</v>
      </c>
      <c r="E437" s="4">
        <v>1663</v>
      </c>
      <c r="F437" s="16" t="s">
        <v>1923</v>
      </c>
      <c r="G437" s="4" t="s">
        <v>1924</v>
      </c>
      <c r="H437" s="4" t="s">
        <v>1794</v>
      </c>
      <c r="I437" s="4" t="s">
        <v>1664</v>
      </c>
      <c r="J437" s="4" t="s">
        <v>1715</v>
      </c>
      <c r="K437" s="4">
        <v>1</v>
      </c>
      <c r="L437" s="4">
        <v>2066</v>
      </c>
      <c r="AO437" s="4" t="s">
        <v>1923</v>
      </c>
      <c r="AP437" s="4">
        <v>80</v>
      </c>
      <c r="AQ437" s="4" t="s">
        <v>1716</v>
      </c>
      <c r="AR437" s="4" t="s">
        <v>1717</v>
      </c>
      <c r="AS437" s="4" t="s">
        <v>1718</v>
      </c>
      <c r="AT437" s="4" t="s">
        <v>1719</v>
      </c>
      <c r="AU437" s="4" t="s">
        <v>1703</v>
      </c>
      <c r="AV437" s="4" t="s">
        <v>1720</v>
      </c>
      <c r="AW437" s="4" t="s">
        <v>1705</v>
      </c>
      <c r="AX437" s="4" t="s">
        <v>1837</v>
      </c>
      <c r="AY437" s="4">
        <v>50.2</v>
      </c>
      <c r="AZ437" s="4">
        <v>-125.1</v>
      </c>
      <c r="BA437" s="4">
        <v>0</v>
      </c>
    </row>
    <row r="438" spans="1:53" ht="14.25" customHeight="1" x14ac:dyDescent="0.2">
      <c r="B438" s="4">
        <v>12</v>
      </c>
      <c r="C438" s="4" t="s">
        <v>7666</v>
      </c>
      <c r="D438" s="4">
        <v>81</v>
      </c>
      <c r="E438" s="4">
        <v>1664</v>
      </c>
      <c r="F438" s="16" t="s">
        <v>1925</v>
      </c>
      <c r="G438" s="4" t="s">
        <v>1926</v>
      </c>
      <c r="H438" s="4" t="s">
        <v>1800</v>
      </c>
      <c r="I438" s="4" t="s">
        <v>1664</v>
      </c>
      <c r="J438" s="4" t="s">
        <v>1715</v>
      </c>
      <c r="K438" s="4">
        <v>1</v>
      </c>
      <c r="L438" s="4">
        <v>2067</v>
      </c>
      <c r="AO438" s="4" t="s">
        <v>1925</v>
      </c>
      <c r="AP438" s="4">
        <v>81</v>
      </c>
      <c r="AQ438" s="4" t="s">
        <v>1716</v>
      </c>
      <c r="AR438" s="4" t="s">
        <v>1717</v>
      </c>
      <c r="AS438" s="4" t="s">
        <v>1718</v>
      </c>
      <c r="AT438" s="4" t="s">
        <v>1719</v>
      </c>
      <c r="AU438" s="4" t="s">
        <v>1703</v>
      </c>
      <c r="AV438" s="4" t="s">
        <v>1720</v>
      </c>
      <c r="AW438" s="4" t="s">
        <v>1705</v>
      </c>
      <c r="AX438" s="4" t="s">
        <v>1837</v>
      </c>
      <c r="AY438" s="4">
        <v>50.3</v>
      </c>
      <c r="AZ438" s="4">
        <v>-124.3</v>
      </c>
      <c r="BA438" s="4">
        <v>0</v>
      </c>
    </row>
    <row r="439" spans="1:53" ht="14.25" customHeight="1" x14ac:dyDescent="0.2">
      <c r="A439" s="4" t="s">
        <v>88</v>
      </c>
      <c r="B439" s="4">
        <v>12</v>
      </c>
      <c r="C439" s="4" t="s">
        <v>7666</v>
      </c>
      <c r="D439" s="4">
        <v>82</v>
      </c>
      <c r="E439" s="4">
        <v>1665</v>
      </c>
      <c r="F439" s="4" t="s">
        <v>1927</v>
      </c>
      <c r="G439" s="8" t="s">
        <v>1928</v>
      </c>
      <c r="H439" s="4" t="s">
        <v>1929</v>
      </c>
      <c r="I439" s="4" t="s">
        <v>641</v>
      </c>
      <c r="J439" s="4" t="s">
        <v>1736</v>
      </c>
      <c r="K439" s="4">
        <v>1</v>
      </c>
      <c r="L439" s="4">
        <v>2068</v>
      </c>
      <c r="M439" s="9">
        <v>51.189079999999997</v>
      </c>
      <c r="N439" s="9">
        <v>-125.02807</v>
      </c>
      <c r="O439" s="9" t="s">
        <v>51</v>
      </c>
      <c r="P439" s="9">
        <v>82</v>
      </c>
      <c r="Q439" s="20">
        <v>2</v>
      </c>
      <c r="R439" s="9" t="s">
        <v>1927</v>
      </c>
      <c r="S439" s="9" t="s">
        <v>1737</v>
      </c>
      <c r="T439" s="9">
        <v>126</v>
      </c>
      <c r="U439" s="9"/>
      <c r="V439" s="9"/>
      <c r="W439" s="21">
        <v>29952</v>
      </c>
      <c r="X439" s="9" t="s">
        <v>1738</v>
      </c>
      <c r="AO439" s="4" t="s">
        <v>1927</v>
      </c>
      <c r="AP439" s="4">
        <v>82</v>
      </c>
      <c r="AQ439" s="4" t="s">
        <v>1716</v>
      </c>
      <c r="AR439" s="4" t="s">
        <v>1701</v>
      </c>
      <c r="AS439" s="4" t="s">
        <v>1740</v>
      </c>
      <c r="AT439" s="4" t="s">
        <v>1741</v>
      </c>
      <c r="AU439" s="4" t="s">
        <v>1742</v>
      </c>
      <c r="AV439" s="4" t="s">
        <v>1720</v>
      </c>
      <c r="AW439" s="4" t="s">
        <v>1705</v>
      </c>
      <c r="AX439" s="4" t="s">
        <v>1837</v>
      </c>
      <c r="AY439" s="4">
        <v>51.189100000000003</v>
      </c>
      <c r="AZ439" s="4">
        <v>-125.02809999999999</v>
      </c>
      <c r="BA439" s="4">
        <v>122</v>
      </c>
    </row>
    <row r="440" spans="1:53" ht="14.25" customHeight="1" x14ac:dyDescent="0.2">
      <c r="A440" s="4" t="s">
        <v>422</v>
      </c>
      <c r="B440" s="4">
        <v>12</v>
      </c>
      <c r="C440" s="4" t="s">
        <v>7665</v>
      </c>
      <c r="D440" s="4">
        <v>83</v>
      </c>
      <c r="E440" s="4">
        <v>12964</v>
      </c>
      <c r="F440" s="49" t="s">
        <v>1930</v>
      </c>
      <c r="G440" s="49" t="s">
        <v>127</v>
      </c>
      <c r="H440" s="4" t="s">
        <v>1697</v>
      </c>
      <c r="I440" s="4" t="s">
        <v>49</v>
      </c>
      <c r="J440" s="4" t="s">
        <v>1746</v>
      </c>
      <c r="K440" s="4">
        <v>1</v>
      </c>
      <c r="L440" s="4">
        <v>14896</v>
      </c>
      <c r="AO440" s="48" t="s">
        <v>1931</v>
      </c>
      <c r="AP440" s="48">
        <v>83</v>
      </c>
      <c r="AQ440" s="48" t="s">
        <v>1700</v>
      </c>
      <c r="AR440" s="48" t="s">
        <v>1739</v>
      </c>
      <c r="AS440" s="48" t="s">
        <v>1702</v>
      </c>
      <c r="AT440" s="48" t="s">
        <v>1703</v>
      </c>
      <c r="AU440" s="48" t="s">
        <v>1704</v>
      </c>
      <c r="AV440" s="48" t="s">
        <v>1702</v>
      </c>
      <c r="AW440" s="48" t="s">
        <v>1705</v>
      </c>
      <c r="AX440" s="48" t="s">
        <v>1879</v>
      </c>
      <c r="AY440" s="48">
        <v>49.782400000000003</v>
      </c>
      <c r="AZ440" s="48">
        <v>-123.1619</v>
      </c>
      <c r="BA440" s="48">
        <v>60</v>
      </c>
    </row>
    <row r="441" spans="1:53" ht="14.25" customHeight="1" x14ac:dyDescent="0.2">
      <c r="B441" s="4">
        <v>12</v>
      </c>
      <c r="C441" s="4" t="s">
        <v>7666</v>
      </c>
      <c r="D441" s="4">
        <v>84</v>
      </c>
      <c r="E441" s="4">
        <v>1666</v>
      </c>
      <c r="F441" s="16" t="s">
        <v>1932</v>
      </c>
      <c r="G441" s="4" t="s">
        <v>1933</v>
      </c>
      <c r="H441" s="4" t="s">
        <v>1934</v>
      </c>
      <c r="I441" s="4" t="s">
        <v>1664</v>
      </c>
      <c r="J441" s="4" t="s">
        <v>1746</v>
      </c>
      <c r="K441" s="4">
        <v>1</v>
      </c>
      <c r="L441" s="4">
        <v>2069</v>
      </c>
      <c r="AO441" s="4" t="s">
        <v>1932</v>
      </c>
      <c r="AP441" s="4">
        <v>84</v>
      </c>
      <c r="AQ441" s="4" t="s">
        <v>1716</v>
      </c>
      <c r="AR441" s="4" t="s">
        <v>1717</v>
      </c>
      <c r="AS441" s="4" t="s">
        <v>1718</v>
      </c>
      <c r="AT441" s="4" t="s">
        <v>1719</v>
      </c>
      <c r="AU441" s="4" t="s">
        <v>1703</v>
      </c>
      <c r="AV441" s="4" t="s">
        <v>1720</v>
      </c>
      <c r="AW441" s="4" t="s">
        <v>1705</v>
      </c>
      <c r="AX441" s="4" t="s">
        <v>1723</v>
      </c>
      <c r="AY441" s="4">
        <v>50.7</v>
      </c>
      <c r="AZ441" s="4">
        <v>-125.2</v>
      </c>
      <c r="BA441" s="4">
        <v>7</v>
      </c>
    </row>
    <row r="442" spans="1:53" ht="14.25" customHeight="1" x14ac:dyDescent="0.2">
      <c r="B442" s="4">
        <v>12</v>
      </c>
      <c r="C442" s="4" t="s">
        <v>7666</v>
      </c>
      <c r="D442" s="4">
        <v>85</v>
      </c>
      <c r="E442" s="4">
        <v>1667</v>
      </c>
      <c r="F442" s="16" t="s">
        <v>1935</v>
      </c>
      <c r="G442" s="4" t="s">
        <v>1936</v>
      </c>
      <c r="H442" s="4" t="s">
        <v>1937</v>
      </c>
      <c r="I442" s="4" t="s">
        <v>641</v>
      </c>
      <c r="J442" s="4" t="s">
        <v>1715</v>
      </c>
      <c r="K442" s="4">
        <v>1</v>
      </c>
      <c r="L442" s="4">
        <v>2070</v>
      </c>
      <c r="AO442" s="4" t="s">
        <v>1935</v>
      </c>
      <c r="AP442" s="4">
        <v>85</v>
      </c>
      <c r="AQ442" s="4" t="s">
        <v>1716</v>
      </c>
      <c r="AR442" s="4" t="s">
        <v>1717</v>
      </c>
      <c r="AS442" s="4" t="s">
        <v>1718</v>
      </c>
      <c r="AT442" s="4" t="s">
        <v>1703</v>
      </c>
      <c r="AU442" s="4" t="s">
        <v>1703</v>
      </c>
      <c r="AV442" s="4" t="s">
        <v>1720</v>
      </c>
      <c r="AW442" s="4" t="s">
        <v>1705</v>
      </c>
      <c r="AX442" s="4" t="s">
        <v>1837</v>
      </c>
      <c r="AY442" s="4">
        <v>49.756700000000002</v>
      </c>
      <c r="AZ442" s="4">
        <v>-123.50830000000001</v>
      </c>
      <c r="BA442" s="4">
        <v>18</v>
      </c>
    </row>
    <row r="443" spans="1:53" ht="14.25" customHeight="1" x14ac:dyDescent="0.2">
      <c r="A443" s="4" t="s">
        <v>88</v>
      </c>
      <c r="B443" s="4">
        <v>12</v>
      </c>
      <c r="C443" s="4" t="s">
        <v>7666</v>
      </c>
      <c r="D443" s="4">
        <v>86</v>
      </c>
      <c r="E443" s="4">
        <v>1668</v>
      </c>
      <c r="F443" s="16" t="s">
        <v>1938</v>
      </c>
      <c r="G443" s="8" t="s">
        <v>1939</v>
      </c>
      <c r="H443" s="4" t="s">
        <v>1940</v>
      </c>
      <c r="I443" s="4" t="s">
        <v>1664</v>
      </c>
      <c r="J443" s="4" t="s">
        <v>1715</v>
      </c>
      <c r="K443" s="4">
        <v>1</v>
      </c>
      <c r="L443" s="4">
        <v>2071</v>
      </c>
      <c r="AO443" s="4" t="s">
        <v>1938</v>
      </c>
      <c r="AP443" s="4">
        <v>86</v>
      </c>
      <c r="AQ443" s="4" t="s">
        <v>1716</v>
      </c>
      <c r="AR443" s="4" t="s">
        <v>1717</v>
      </c>
      <c r="AS443" s="4" t="s">
        <v>1718</v>
      </c>
      <c r="AT443" s="4" t="s">
        <v>1719</v>
      </c>
      <c r="AU443" s="4" t="s">
        <v>1703</v>
      </c>
      <c r="AV443" s="4" t="s">
        <v>1720</v>
      </c>
      <c r="AW443" s="4" t="s">
        <v>1705</v>
      </c>
      <c r="AX443" s="4" t="s">
        <v>1837</v>
      </c>
      <c r="AY443" s="4">
        <v>50.6</v>
      </c>
      <c r="AZ443" s="4">
        <v>-124.7</v>
      </c>
      <c r="BA443" s="4">
        <v>6</v>
      </c>
    </row>
    <row r="444" spans="1:53" ht="14.25" customHeight="1" x14ac:dyDescent="0.2">
      <c r="B444" s="4">
        <v>12</v>
      </c>
      <c r="C444" s="4" t="s">
        <v>7666</v>
      </c>
      <c r="D444" s="4">
        <v>87</v>
      </c>
      <c r="E444" s="4">
        <v>1669</v>
      </c>
      <c r="F444" s="16" t="s">
        <v>1941</v>
      </c>
      <c r="G444" s="4" t="s">
        <v>1942</v>
      </c>
      <c r="H444" s="4" t="s">
        <v>1943</v>
      </c>
      <c r="I444" s="4" t="s">
        <v>641</v>
      </c>
      <c r="J444" s="4" t="s">
        <v>1715</v>
      </c>
      <c r="K444" s="4">
        <v>1</v>
      </c>
      <c r="L444" s="4">
        <v>2072</v>
      </c>
      <c r="AO444" s="4" t="s">
        <v>1941</v>
      </c>
      <c r="AP444" s="4">
        <v>87</v>
      </c>
      <c r="AQ444" s="4" t="s">
        <v>1716</v>
      </c>
      <c r="AR444" s="4" t="s">
        <v>1717</v>
      </c>
      <c r="AS444" s="4" t="s">
        <v>1718</v>
      </c>
      <c r="AT444" s="4" t="s">
        <v>1703</v>
      </c>
      <c r="AU444" s="4" t="s">
        <v>1703</v>
      </c>
      <c r="AV444" s="4" t="s">
        <v>1720</v>
      </c>
      <c r="AW444" s="4" t="s">
        <v>1705</v>
      </c>
      <c r="AX444" s="4" t="s">
        <v>1710</v>
      </c>
      <c r="AY444" s="4">
        <v>50.8</v>
      </c>
      <c r="AZ444" s="4">
        <v>-125.8</v>
      </c>
      <c r="BA444" s="4">
        <v>300</v>
      </c>
    </row>
    <row r="445" spans="1:53" ht="14.25" customHeight="1" x14ac:dyDescent="0.2">
      <c r="A445" s="4" t="s">
        <v>422</v>
      </c>
      <c r="B445" s="4">
        <v>12</v>
      </c>
      <c r="C445" s="4" t="s">
        <v>7669</v>
      </c>
      <c r="D445" s="4">
        <v>88</v>
      </c>
      <c r="E445" s="4">
        <v>12965</v>
      </c>
      <c r="F445" s="49" t="s">
        <v>1945</v>
      </c>
      <c r="G445" s="49" t="s">
        <v>127</v>
      </c>
      <c r="H445" s="4" t="s">
        <v>1697</v>
      </c>
      <c r="I445" s="4" t="s">
        <v>49</v>
      </c>
      <c r="J445" s="4" t="s">
        <v>1746</v>
      </c>
      <c r="K445" s="4">
        <v>1</v>
      </c>
      <c r="L445" s="4">
        <v>14897</v>
      </c>
      <c r="AO445" s="48" t="s">
        <v>1946</v>
      </c>
      <c r="AP445" s="48">
        <v>88</v>
      </c>
      <c r="AQ445" s="48" t="s">
        <v>1700</v>
      </c>
      <c r="AR445" s="48" t="s">
        <v>1701</v>
      </c>
      <c r="AS445" s="48" t="s">
        <v>1702</v>
      </c>
      <c r="AT445" s="48" t="s">
        <v>1703</v>
      </c>
      <c r="AU445" s="48" t="s">
        <v>1704</v>
      </c>
      <c r="AV445" s="48" t="s">
        <v>1702</v>
      </c>
      <c r="AW445" s="48" t="s">
        <v>1947</v>
      </c>
      <c r="AX445" s="48" t="s">
        <v>1948</v>
      </c>
      <c r="AY445" s="48">
        <v>54.3</v>
      </c>
      <c r="AZ445" s="48">
        <v>-130.4</v>
      </c>
      <c r="BA445" s="48">
        <v>35</v>
      </c>
    </row>
    <row r="446" spans="1:53" ht="14.25" customHeight="1" x14ac:dyDescent="0.2">
      <c r="B446" s="4">
        <v>12</v>
      </c>
      <c r="C446" s="4" t="s">
        <v>7666</v>
      </c>
      <c r="D446" s="4">
        <v>91</v>
      </c>
      <c r="E446" s="4">
        <v>1670</v>
      </c>
      <c r="F446" s="16" t="s">
        <v>1949</v>
      </c>
      <c r="G446" s="4" t="s">
        <v>1950</v>
      </c>
      <c r="H446" s="4" t="s">
        <v>1951</v>
      </c>
      <c r="I446" s="4" t="s">
        <v>1664</v>
      </c>
      <c r="J446" s="4" t="s">
        <v>1715</v>
      </c>
      <c r="K446" s="4">
        <v>1</v>
      </c>
      <c r="L446" s="4">
        <v>2073</v>
      </c>
      <c r="AO446" s="4" t="s">
        <v>1949</v>
      </c>
      <c r="AP446" s="4">
        <v>91</v>
      </c>
      <c r="AQ446" s="4" t="s">
        <v>1716</v>
      </c>
      <c r="AR446" s="4" t="s">
        <v>1717</v>
      </c>
      <c r="AS446" s="4" t="s">
        <v>1718</v>
      </c>
      <c r="AT446" s="4" t="s">
        <v>1719</v>
      </c>
      <c r="AU446" s="4" t="s">
        <v>1703</v>
      </c>
      <c r="AV446" s="4" t="s">
        <v>1720</v>
      </c>
      <c r="AW446" s="4" t="s">
        <v>1705</v>
      </c>
      <c r="AX446" s="4" t="s">
        <v>1952</v>
      </c>
      <c r="AY446" s="4">
        <v>53.7</v>
      </c>
      <c r="AZ446" s="4">
        <v>-132.30000000000001</v>
      </c>
      <c r="BA446" s="4">
        <v>0</v>
      </c>
    </row>
    <row r="447" spans="1:53" ht="14.25" customHeight="1" x14ac:dyDescent="0.2">
      <c r="A447" s="4" t="s">
        <v>88</v>
      </c>
      <c r="B447" s="4">
        <v>12</v>
      </c>
      <c r="C447" s="4" t="s">
        <v>7666</v>
      </c>
      <c r="D447" s="4">
        <v>93</v>
      </c>
      <c r="E447" s="4">
        <v>1671</v>
      </c>
      <c r="F447" s="4" t="s">
        <v>1953</v>
      </c>
      <c r="G447" s="8" t="s">
        <v>1954</v>
      </c>
      <c r="H447" s="4" t="s">
        <v>1955</v>
      </c>
      <c r="I447" s="4" t="s">
        <v>641</v>
      </c>
      <c r="J447" s="4" t="s">
        <v>1865</v>
      </c>
      <c r="K447" s="4">
        <v>1</v>
      </c>
      <c r="L447" s="4">
        <v>2074</v>
      </c>
      <c r="M447" s="9">
        <v>53.253227780000003</v>
      </c>
      <c r="N447" s="9">
        <v>-131.88437500000001</v>
      </c>
      <c r="O447" s="9" t="s">
        <v>51</v>
      </c>
      <c r="P447" s="9">
        <v>93</v>
      </c>
      <c r="Q447" s="20">
        <v>1</v>
      </c>
      <c r="R447" s="9" t="s">
        <v>1953</v>
      </c>
      <c r="S447" s="9" t="s">
        <v>1737</v>
      </c>
      <c r="T447" s="9">
        <v>17</v>
      </c>
      <c r="U447" s="9" t="s">
        <v>645</v>
      </c>
      <c r="V447" s="9"/>
      <c r="W447" s="21">
        <v>31413</v>
      </c>
      <c r="X447" s="9" t="s">
        <v>1738</v>
      </c>
      <c r="AO447" s="4" t="s">
        <v>1953</v>
      </c>
      <c r="AP447" s="4">
        <v>93</v>
      </c>
      <c r="AQ447" s="4" t="s">
        <v>1700</v>
      </c>
      <c r="AR447" s="4" t="s">
        <v>1739</v>
      </c>
      <c r="AS447" s="4" t="s">
        <v>1740</v>
      </c>
      <c r="AT447" s="4" t="s">
        <v>1835</v>
      </c>
      <c r="AU447" s="4" t="s">
        <v>1772</v>
      </c>
      <c r="AV447" s="4" t="s">
        <v>1720</v>
      </c>
      <c r="AW447" s="4" t="s">
        <v>1705</v>
      </c>
      <c r="AX447" s="4" t="s">
        <v>1883</v>
      </c>
      <c r="AY447" s="4">
        <v>53.2532</v>
      </c>
      <c r="AZ447" s="4">
        <v>-132.1156</v>
      </c>
      <c r="BA447" s="4">
        <v>21</v>
      </c>
    </row>
    <row r="448" spans="1:53" ht="14.25" customHeight="1" x14ac:dyDescent="0.2">
      <c r="B448" s="4">
        <v>12</v>
      </c>
      <c r="C448" s="4" t="s">
        <v>7666</v>
      </c>
      <c r="D448" s="4">
        <v>97</v>
      </c>
      <c r="E448" s="4">
        <v>1672</v>
      </c>
      <c r="F448" s="16" t="s">
        <v>1956</v>
      </c>
      <c r="G448" s="4" t="s">
        <v>1957</v>
      </c>
      <c r="H448" s="4" t="s">
        <v>1958</v>
      </c>
      <c r="I448" s="4" t="s">
        <v>641</v>
      </c>
      <c r="J448" s="4" t="s">
        <v>1715</v>
      </c>
      <c r="K448" s="4">
        <v>1</v>
      </c>
      <c r="L448" s="4">
        <v>2075</v>
      </c>
      <c r="AO448" s="4" t="s">
        <v>1956</v>
      </c>
      <c r="AP448" s="4">
        <v>97</v>
      </c>
      <c r="AQ448" s="4" t="s">
        <v>1716</v>
      </c>
      <c r="AR448" s="4" t="s">
        <v>1717</v>
      </c>
      <c r="AS448" s="4" t="s">
        <v>1718</v>
      </c>
      <c r="AT448" s="4" t="s">
        <v>1719</v>
      </c>
      <c r="AU448" s="4" t="s">
        <v>1959</v>
      </c>
      <c r="AV448" s="4" t="s">
        <v>1720</v>
      </c>
      <c r="AW448" s="4" t="s">
        <v>1947</v>
      </c>
      <c r="AX448" s="4" t="s">
        <v>1952</v>
      </c>
      <c r="AY448" s="4">
        <v>53.15</v>
      </c>
      <c r="AZ448" s="4">
        <v>-131.86000000000001</v>
      </c>
      <c r="BA448" s="4">
        <v>287</v>
      </c>
    </row>
    <row r="449" spans="1:53" ht="14.25" customHeight="1" x14ac:dyDescent="0.2">
      <c r="B449" s="4">
        <v>12</v>
      </c>
      <c r="C449" s="4" t="s">
        <v>7666</v>
      </c>
      <c r="D449" s="4">
        <v>98</v>
      </c>
      <c r="E449" s="4">
        <v>1673</v>
      </c>
      <c r="F449" s="16" t="s">
        <v>1960</v>
      </c>
      <c r="G449" s="4" t="s">
        <v>1961</v>
      </c>
      <c r="H449" s="4" t="s">
        <v>1962</v>
      </c>
      <c r="I449" s="4" t="s">
        <v>641</v>
      </c>
      <c r="J449" s="4" t="s">
        <v>1715</v>
      </c>
      <c r="K449" s="4">
        <v>1</v>
      </c>
      <c r="L449" s="4">
        <v>2076</v>
      </c>
      <c r="AO449" s="4" t="s">
        <v>1960</v>
      </c>
      <c r="AP449" s="4">
        <v>98</v>
      </c>
      <c r="AQ449" s="4" t="s">
        <v>1716</v>
      </c>
      <c r="AR449" s="4" t="s">
        <v>1717</v>
      </c>
      <c r="AS449" s="4" t="s">
        <v>1718</v>
      </c>
      <c r="AT449" s="4" t="s">
        <v>1703</v>
      </c>
      <c r="AU449" s="4" t="s">
        <v>1703</v>
      </c>
      <c r="AV449" s="4" t="s">
        <v>1720</v>
      </c>
      <c r="AW449" s="4" t="s">
        <v>1947</v>
      </c>
      <c r="AX449" s="4" t="s">
        <v>1948</v>
      </c>
      <c r="AY449" s="4">
        <v>55.458300000000001</v>
      </c>
      <c r="AZ449" s="4">
        <v>-129.47499999999999</v>
      </c>
      <c r="BA449" s="4">
        <v>100</v>
      </c>
    </row>
    <row r="450" spans="1:53" ht="14.25" customHeight="1" x14ac:dyDescent="0.2">
      <c r="B450" s="4">
        <v>12</v>
      </c>
      <c r="C450" s="4" t="s">
        <v>7666</v>
      </c>
      <c r="D450" s="4">
        <v>99</v>
      </c>
      <c r="E450" s="4">
        <v>1674</v>
      </c>
      <c r="F450" s="16" t="s">
        <v>1963</v>
      </c>
      <c r="G450" s="4" t="s">
        <v>1964</v>
      </c>
      <c r="H450" s="4" t="s">
        <v>1714</v>
      </c>
      <c r="I450" s="4" t="s">
        <v>1664</v>
      </c>
      <c r="J450" s="4" t="s">
        <v>1715</v>
      </c>
      <c r="K450" s="4">
        <v>1</v>
      </c>
      <c r="L450" s="4">
        <v>2077</v>
      </c>
      <c r="AO450" s="4" t="s">
        <v>1963</v>
      </c>
      <c r="AP450" s="4">
        <v>99</v>
      </c>
      <c r="AQ450" s="4" t="s">
        <v>1716</v>
      </c>
      <c r="AR450" s="4" t="s">
        <v>1717</v>
      </c>
      <c r="AS450" s="4" t="s">
        <v>1718</v>
      </c>
      <c r="AT450" s="4" t="s">
        <v>1719</v>
      </c>
      <c r="AU450" s="4" t="s">
        <v>1703</v>
      </c>
      <c r="AV450" s="4" t="s">
        <v>1720</v>
      </c>
      <c r="AW450" s="4" t="s">
        <v>1705</v>
      </c>
      <c r="AX450" s="4" t="s">
        <v>1965</v>
      </c>
      <c r="AY450" s="4">
        <v>52.5</v>
      </c>
      <c r="AZ450" s="4">
        <v>-126.3</v>
      </c>
      <c r="BA450" s="4">
        <v>0</v>
      </c>
    </row>
    <row r="451" spans="1:53" ht="14.25" customHeight="1" x14ac:dyDescent="0.2">
      <c r="A451" s="4" t="s">
        <v>1908</v>
      </c>
      <c r="B451" s="4">
        <v>12</v>
      </c>
      <c r="C451" s="4" t="s">
        <v>7666</v>
      </c>
      <c r="D451" s="4">
        <v>101</v>
      </c>
      <c r="E451" s="4">
        <v>1675</v>
      </c>
      <c r="F451" s="8" t="s">
        <v>1966</v>
      </c>
      <c r="G451" s="8" t="s">
        <v>1967</v>
      </c>
      <c r="H451" s="4" t="s">
        <v>1968</v>
      </c>
      <c r="I451" s="4" t="s">
        <v>641</v>
      </c>
      <c r="J451" s="4" t="s">
        <v>1736</v>
      </c>
      <c r="K451" s="4">
        <v>1</v>
      </c>
      <c r="L451" s="4">
        <v>2078</v>
      </c>
      <c r="M451" s="9">
        <v>51.593119999999999</v>
      </c>
      <c r="N451" s="9">
        <v>-126.45077000000001</v>
      </c>
      <c r="O451" s="9" t="s">
        <v>51</v>
      </c>
      <c r="P451" s="9">
        <v>101</v>
      </c>
      <c r="Q451" s="20">
        <v>3</v>
      </c>
      <c r="R451" s="9" t="s">
        <v>1969</v>
      </c>
      <c r="S451" s="9" t="s">
        <v>1737</v>
      </c>
      <c r="T451" s="9">
        <v>332</v>
      </c>
      <c r="U451" s="9"/>
      <c r="V451" s="9"/>
      <c r="W451" s="21">
        <v>32874</v>
      </c>
      <c r="X451" s="9" t="s">
        <v>1738</v>
      </c>
      <c r="AO451" s="4" t="s">
        <v>1969</v>
      </c>
      <c r="AP451" s="4">
        <v>101</v>
      </c>
      <c r="AQ451" s="4" t="s">
        <v>1716</v>
      </c>
      <c r="AR451" s="4" t="s">
        <v>1739</v>
      </c>
      <c r="AS451" s="4" t="s">
        <v>1740</v>
      </c>
      <c r="AT451" s="4" t="s">
        <v>1741</v>
      </c>
      <c r="AU451" s="4" t="s">
        <v>1742</v>
      </c>
      <c r="AV451" s="4" t="s">
        <v>1720</v>
      </c>
      <c r="AW451" s="4" t="s">
        <v>1705</v>
      </c>
      <c r="AX451" s="4" t="s">
        <v>1965</v>
      </c>
      <c r="AY451" s="4">
        <v>51.5931</v>
      </c>
      <c r="AZ451" s="4">
        <v>-126.4508</v>
      </c>
      <c r="BA451" s="4">
        <v>344</v>
      </c>
    </row>
    <row r="452" spans="1:53" ht="14.25" customHeight="1" x14ac:dyDescent="0.2">
      <c r="A452" s="4" t="s">
        <v>422</v>
      </c>
      <c r="B452" s="4">
        <v>12</v>
      </c>
      <c r="C452" s="4" t="s">
        <v>7670</v>
      </c>
      <c r="D452" s="4">
        <v>103</v>
      </c>
      <c r="E452" s="4">
        <v>12966</v>
      </c>
      <c r="F452" s="4" t="s">
        <v>1971</v>
      </c>
      <c r="G452" s="4" t="s">
        <v>127</v>
      </c>
      <c r="H452" s="4" t="s">
        <v>1697</v>
      </c>
      <c r="I452" s="4" t="s">
        <v>49</v>
      </c>
      <c r="J452" s="4" t="s">
        <v>1698</v>
      </c>
      <c r="K452" s="4">
        <v>1</v>
      </c>
      <c r="L452" s="4">
        <v>14898</v>
      </c>
      <c r="AO452" s="48" t="s">
        <v>1972</v>
      </c>
      <c r="AP452" s="48">
        <v>103</v>
      </c>
      <c r="AQ452" s="48" t="s">
        <v>1716</v>
      </c>
      <c r="AR452" s="48" t="s">
        <v>1717</v>
      </c>
      <c r="AS452" s="48" t="s">
        <v>1702</v>
      </c>
      <c r="AT452" s="48" t="s">
        <v>1703</v>
      </c>
      <c r="AU452" s="48" t="s">
        <v>1704</v>
      </c>
      <c r="AV452" s="48" t="s">
        <v>1702</v>
      </c>
      <c r="AW452" s="48" t="s">
        <v>1947</v>
      </c>
      <c r="AX452" s="48" t="s">
        <v>1973</v>
      </c>
      <c r="AY452" s="48">
        <v>54.5</v>
      </c>
      <c r="AZ452" s="48">
        <v>-128.6</v>
      </c>
      <c r="BA452" s="48">
        <v>217</v>
      </c>
    </row>
    <row r="453" spans="1:53" ht="14.25" customHeight="1" x14ac:dyDescent="0.2">
      <c r="B453" s="4">
        <v>12</v>
      </c>
      <c r="C453" s="4" t="s">
        <v>7666</v>
      </c>
      <c r="D453" s="4">
        <v>104</v>
      </c>
      <c r="E453" s="4">
        <v>1676</v>
      </c>
      <c r="F453" s="16" t="s">
        <v>1974</v>
      </c>
      <c r="G453" s="4" t="s">
        <v>1975</v>
      </c>
      <c r="H453" s="4" t="s">
        <v>1976</v>
      </c>
      <c r="I453" s="4" t="s">
        <v>641</v>
      </c>
      <c r="J453" s="4" t="s">
        <v>1715</v>
      </c>
      <c r="K453" s="4">
        <v>1</v>
      </c>
      <c r="L453" s="4">
        <v>2079</v>
      </c>
      <c r="AO453" s="4" t="s">
        <v>1974</v>
      </c>
      <c r="AP453" s="4">
        <v>104</v>
      </c>
      <c r="AQ453" s="4" t="s">
        <v>1716</v>
      </c>
      <c r="AR453" s="4" t="s">
        <v>1717</v>
      </c>
      <c r="AS453" s="4" t="s">
        <v>1718</v>
      </c>
      <c r="AT453" s="4" t="s">
        <v>1703</v>
      </c>
      <c r="AU453" s="4" t="s">
        <v>1703</v>
      </c>
      <c r="AV453" s="4" t="s">
        <v>1720</v>
      </c>
      <c r="AW453" s="4" t="s">
        <v>1947</v>
      </c>
      <c r="AX453" s="4" t="s">
        <v>1973</v>
      </c>
      <c r="AY453" s="4">
        <v>53.563299999999998</v>
      </c>
      <c r="AZ453" s="4">
        <v>-127.94329999999999</v>
      </c>
      <c r="BA453" s="4">
        <v>17</v>
      </c>
    </row>
    <row r="454" spans="1:53" ht="14.25" customHeight="1" x14ac:dyDescent="0.2">
      <c r="A454" s="4" t="s">
        <v>88</v>
      </c>
      <c r="B454" s="4">
        <v>12</v>
      </c>
      <c r="C454" s="4" t="s">
        <v>7666</v>
      </c>
      <c r="D454" s="4">
        <v>105</v>
      </c>
      <c r="E454" s="4">
        <v>1677</v>
      </c>
      <c r="F454" s="4" t="s">
        <v>1483</v>
      </c>
      <c r="G454" s="8" t="s">
        <v>1977</v>
      </c>
      <c r="H454" s="4" t="s">
        <v>1978</v>
      </c>
      <c r="I454" s="4" t="s">
        <v>641</v>
      </c>
      <c r="J454" s="4" t="s">
        <v>1865</v>
      </c>
      <c r="K454" s="4">
        <v>1</v>
      </c>
      <c r="L454" s="4">
        <v>2080</v>
      </c>
      <c r="M454" s="9">
        <v>54.916930000000001</v>
      </c>
      <c r="N454" s="9">
        <v>-128.85964999999999</v>
      </c>
      <c r="O454" s="9" t="s">
        <v>51</v>
      </c>
      <c r="P454" s="9">
        <v>105</v>
      </c>
      <c r="Q454" s="20">
        <v>2</v>
      </c>
      <c r="R454" s="9" t="s">
        <v>1483</v>
      </c>
      <c r="S454" s="9" t="s">
        <v>1737</v>
      </c>
      <c r="T454" s="9">
        <v>239</v>
      </c>
      <c r="U454" s="9"/>
      <c r="V454" s="9"/>
      <c r="W454" s="21">
        <v>32874</v>
      </c>
      <c r="X454" s="9" t="s">
        <v>1738</v>
      </c>
      <c r="AO454" s="4" t="s">
        <v>1483</v>
      </c>
      <c r="AP454" s="4">
        <v>105</v>
      </c>
      <c r="AQ454" s="4" t="s">
        <v>1716</v>
      </c>
      <c r="AR454" s="4" t="s">
        <v>1739</v>
      </c>
      <c r="AS454" s="4" t="s">
        <v>1740</v>
      </c>
      <c r="AT454" s="4" t="s">
        <v>1741</v>
      </c>
      <c r="AU454" s="4" t="s">
        <v>1742</v>
      </c>
      <c r="AV454" s="4" t="s">
        <v>1720</v>
      </c>
      <c r="AW454" s="4" t="s">
        <v>1947</v>
      </c>
      <c r="AX454" s="4" t="s">
        <v>1973</v>
      </c>
      <c r="AY454" s="4">
        <v>54.916800000000002</v>
      </c>
      <c r="AZ454" s="4">
        <v>-128.8597</v>
      </c>
      <c r="BA454" s="4">
        <v>239</v>
      </c>
    </row>
    <row r="455" spans="1:53" ht="14.25" customHeight="1" x14ac:dyDescent="0.2">
      <c r="A455" s="4" t="s">
        <v>88</v>
      </c>
      <c r="B455" s="4">
        <v>12</v>
      </c>
      <c r="C455" s="4" t="s">
        <v>7666</v>
      </c>
      <c r="D455" s="4">
        <v>106</v>
      </c>
      <c r="E455" s="4">
        <v>1678</v>
      </c>
      <c r="F455" s="4" t="s">
        <v>1979</v>
      </c>
      <c r="G455" s="8" t="s">
        <v>1980</v>
      </c>
      <c r="H455" s="4" t="s">
        <v>1981</v>
      </c>
      <c r="I455" s="4" t="s">
        <v>641</v>
      </c>
      <c r="J455" s="4" t="s">
        <v>1736</v>
      </c>
      <c r="K455" s="4">
        <v>1</v>
      </c>
      <c r="L455" s="4">
        <v>2081</v>
      </c>
      <c r="M455" s="9">
        <v>54.169400000000003</v>
      </c>
      <c r="N455" s="9">
        <v>-128.57579999999999</v>
      </c>
      <c r="O455" s="9" t="s">
        <v>51</v>
      </c>
      <c r="P455" s="9">
        <v>106</v>
      </c>
      <c r="Q455" s="20">
        <v>1</v>
      </c>
      <c r="R455" s="9" t="s">
        <v>1979</v>
      </c>
      <c r="S455" s="9" t="s">
        <v>1737</v>
      </c>
      <c r="T455" s="9">
        <v>75</v>
      </c>
      <c r="U455" s="9" t="s">
        <v>645</v>
      </c>
      <c r="V455" s="9" t="s">
        <v>1830</v>
      </c>
      <c r="W455" s="21">
        <v>34700</v>
      </c>
      <c r="X455" s="9" t="s">
        <v>1738</v>
      </c>
      <c r="AO455" s="4" t="s">
        <v>1979</v>
      </c>
      <c r="AP455" s="4">
        <v>106</v>
      </c>
      <c r="AQ455" s="4" t="s">
        <v>1716</v>
      </c>
      <c r="AR455" s="4" t="s">
        <v>1739</v>
      </c>
      <c r="AS455" s="4" t="s">
        <v>1740</v>
      </c>
      <c r="AT455" s="4" t="s">
        <v>1741</v>
      </c>
      <c r="AU455" s="4" t="s">
        <v>1742</v>
      </c>
      <c r="AV455" s="4" t="s">
        <v>1720</v>
      </c>
      <c r="AW455" s="4" t="s">
        <v>1947</v>
      </c>
      <c r="AX455" s="4" t="s">
        <v>1973</v>
      </c>
      <c r="AY455" s="4">
        <v>54.169600000000003</v>
      </c>
      <c r="AZ455" s="4">
        <v>-128.57589999999999</v>
      </c>
      <c r="BA455" s="4">
        <v>55</v>
      </c>
    </row>
    <row r="456" spans="1:53" ht="14.25" customHeight="1" x14ac:dyDescent="0.2">
      <c r="A456" s="4" t="s">
        <v>88</v>
      </c>
      <c r="B456" s="4">
        <v>12</v>
      </c>
      <c r="C456" s="4" t="s">
        <v>7666</v>
      </c>
      <c r="D456" s="4">
        <v>108</v>
      </c>
      <c r="E456" s="4">
        <v>1679</v>
      </c>
      <c r="F456" s="4" t="s">
        <v>1982</v>
      </c>
      <c r="G456" s="8" t="s">
        <v>1983</v>
      </c>
      <c r="H456" s="4" t="s">
        <v>1984</v>
      </c>
      <c r="I456" s="4" t="s">
        <v>641</v>
      </c>
      <c r="J456" s="4" t="s">
        <v>1736</v>
      </c>
      <c r="K456" s="4">
        <v>1</v>
      </c>
      <c r="L456" s="4">
        <v>2082</v>
      </c>
      <c r="M456" s="9">
        <v>58.4</v>
      </c>
      <c r="N456" s="9">
        <v>-130</v>
      </c>
      <c r="O456" s="9" t="s">
        <v>1577</v>
      </c>
      <c r="P456" s="9">
        <v>108</v>
      </c>
      <c r="Q456" s="20">
        <v>1</v>
      </c>
      <c r="R456" s="9" t="s">
        <v>1985</v>
      </c>
      <c r="S456" s="9" t="s">
        <v>1737</v>
      </c>
      <c r="T456" s="9">
        <v>800</v>
      </c>
      <c r="U456" s="9"/>
      <c r="V456" s="9" t="s">
        <v>1830</v>
      </c>
      <c r="W456" s="21">
        <v>35065</v>
      </c>
      <c r="X456" s="9" t="s">
        <v>1738</v>
      </c>
      <c r="AO456" s="4" t="s">
        <v>1985</v>
      </c>
      <c r="AP456" s="4">
        <v>108</v>
      </c>
      <c r="AQ456" s="4" t="s">
        <v>1716</v>
      </c>
      <c r="AR456" s="4" t="s">
        <v>1739</v>
      </c>
      <c r="AS456" s="4" t="s">
        <v>1740</v>
      </c>
      <c r="AT456" s="4" t="s">
        <v>1741</v>
      </c>
      <c r="AU456" s="4" t="s">
        <v>1742</v>
      </c>
      <c r="AV456" s="4" t="s">
        <v>1720</v>
      </c>
      <c r="AW456" s="4" t="s">
        <v>1947</v>
      </c>
      <c r="AX456" s="4" t="s">
        <v>1986</v>
      </c>
      <c r="AY456" s="4">
        <v>58.425800000000002</v>
      </c>
      <c r="AZ456" s="4">
        <v>-130.0187</v>
      </c>
      <c r="BA456" s="4">
        <v>797</v>
      </c>
    </row>
    <row r="457" spans="1:53" ht="14.25" customHeight="1" x14ac:dyDescent="0.2">
      <c r="A457" s="4" t="s">
        <v>88</v>
      </c>
      <c r="B457" s="4">
        <v>12</v>
      </c>
      <c r="C457" s="4" t="s">
        <v>7666</v>
      </c>
      <c r="D457" s="4">
        <v>110</v>
      </c>
      <c r="E457" s="4">
        <v>1680</v>
      </c>
      <c r="F457" s="4" t="s">
        <v>1987</v>
      </c>
      <c r="G457" s="8" t="s">
        <v>1988</v>
      </c>
      <c r="H457" s="4" t="s">
        <v>1989</v>
      </c>
      <c r="I457" s="4" t="s">
        <v>641</v>
      </c>
      <c r="J457" s="4" t="s">
        <v>1736</v>
      </c>
      <c r="K457" s="4">
        <v>1</v>
      </c>
      <c r="L457" s="4">
        <v>2083</v>
      </c>
      <c r="M457" s="9">
        <v>57.91413</v>
      </c>
      <c r="N457" s="9">
        <v>-131.17115000000001</v>
      </c>
      <c r="O457" s="9" t="s">
        <v>1577</v>
      </c>
      <c r="P457" s="9">
        <v>110</v>
      </c>
      <c r="Q457" s="20">
        <v>1</v>
      </c>
      <c r="R457" s="9" t="s">
        <v>1987</v>
      </c>
      <c r="S457" s="9" t="s">
        <v>1737</v>
      </c>
      <c r="T457" s="9">
        <v>382</v>
      </c>
      <c r="U457" s="9" t="s">
        <v>645</v>
      </c>
      <c r="V457" s="9" t="s">
        <v>1830</v>
      </c>
      <c r="W457" s="21">
        <v>28491</v>
      </c>
      <c r="X457" s="9" t="s">
        <v>1738</v>
      </c>
      <c r="AO457" s="4" t="s">
        <v>1987</v>
      </c>
      <c r="AP457" s="4">
        <v>110</v>
      </c>
      <c r="AQ457" s="4" t="s">
        <v>1716</v>
      </c>
      <c r="AR457" s="4" t="s">
        <v>1739</v>
      </c>
      <c r="AS457" s="4" t="s">
        <v>1740</v>
      </c>
      <c r="AT457" s="4" t="s">
        <v>1741</v>
      </c>
      <c r="AU457" s="4" t="s">
        <v>1742</v>
      </c>
      <c r="AV457" s="4" t="s">
        <v>1720</v>
      </c>
      <c r="AW457" s="4" t="s">
        <v>1947</v>
      </c>
      <c r="AX457" s="4" t="s">
        <v>1986</v>
      </c>
      <c r="AY457" s="4">
        <v>57.914099999999998</v>
      </c>
      <c r="AZ457" s="4">
        <v>-131.1711</v>
      </c>
      <c r="BA457" s="4">
        <v>382</v>
      </c>
    </row>
    <row r="458" spans="1:53" ht="14.25" customHeight="1" x14ac:dyDescent="0.2">
      <c r="A458" s="4" t="s">
        <v>88</v>
      </c>
      <c r="B458" s="4">
        <v>12</v>
      </c>
      <c r="C458" s="4" t="s">
        <v>7666</v>
      </c>
      <c r="D458" s="4">
        <v>111</v>
      </c>
      <c r="E458" s="4">
        <v>1681</v>
      </c>
      <c r="F458" s="4" t="s">
        <v>1990</v>
      </c>
      <c r="G458" s="8" t="s">
        <v>1991</v>
      </c>
      <c r="H458" s="4" t="s">
        <v>1992</v>
      </c>
      <c r="I458" s="4" t="s">
        <v>641</v>
      </c>
      <c r="J458" s="4" t="s">
        <v>1736</v>
      </c>
      <c r="K458" s="4">
        <v>1</v>
      </c>
      <c r="L458" s="4">
        <v>2084</v>
      </c>
      <c r="M458" s="9">
        <v>59.583329999999997</v>
      </c>
      <c r="N458" s="9">
        <v>-133.66667000000001</v>
      </c>
      <c r="O458" s="9" t="s">
        <v>1577</v>
      </c>
      <c r="P458" s="14">
        <v>111</v>
      </c>
      <c r="Q458" s="20">
        <v>1</v>
      </c>
      <c r="R458" s="9" t="s">
        <v>1990</v>
      </c>
      <c r="S458" s="9" t="s">
        <v>1737</v>
      </c>
      <c r="T458" s="9">
        <v>729</v>
      </c>
      <c r="U458" s="9" t="s">
        <v>645</v>
      </c>
      <c r="V458" s="9" t="s">
        <v>1830</v>
      </c>
      <c r="W458" s="21">
        <v>28126</v>
      </c>
      <c r="X458" s="9" t="s">
        <v>1738</v>
      </c>
      <c r="AO458" s="4" t="s">
        <v>1990</v>
      </c>
      <c r="AP458" s="4">
        <v>111</v>
      </c>
      <c r="AQ458" s="4" t="s">
        <v>1716</v>
      </c>
      <c r="AR458" s="4" t="s">
        <v>1739</v>
      </c>
      <c r="AS458" s="4" t="s">
        <v>1740</v>
      </c>
      <c r="AT458" s="4" t="s">
        <v>1741</v>
      </c>
      <c r="AU458" s="4" t="s">
        <v>1742</v>
      </c>
      <c r="AV458" s="4" t="s">
        <v>1720</v>
      </c>
      <c r="AW458" s="4" t="s">
        <v>1947</v>
      </c>
      <c r="AX458" s="4" t="s">
        <v>1986</v>
      </c>
      <c r="AY458" s="4">
        <v>59.584499999999998</v>
      </c>
      <c r="AZ458" s="4">
        <v>-133.6643</v>
      </c>
      <c r="BA458" s="4">
        <v>719</v>
      </c>
    </row>
    <row r="459" spans="1:53" ht="14.25" customHeight="1" x14ac:dyDescent="0.2">
      <c r="A459" s="4" t="s">
        <v>88</v>
      </c>
      <c r="B459" s="4">
        <v>12</v>
      </c>
      <c r="C459" s="4" t="s">
        <v>7666</v>
      </c>
      <c r="D459" s="4">
        <v>112</v>
      </c>
      <c r="E459" s="4">
        <v>1682</v>
      </c>
      <c r="F459" s="4" t="s">
        <v>1993</v>
      </c>
      <c r="G459" s="8" t="s">
        <v>1994</v>
      </c>
      <c r="H459" s="4" t="s">
        <v>1995</v>
      </c>
      <c r="I459" s="4" t="s">
        <v>641</v>
      </c>
      <c r="J459" s="4" t="s">
        <v>1736</v>
      </c>
      <c r="K459" s="4">
        <v>1</v>
      </c>
      <c r="L459" s="4">
        <v>2085</v>
      </c>
      <c r="M459" s="9">
        <v>57.856670000000001</v>
      </c>
      <c r="N459" s="9">
        <v>-130.00833</v>
      </c>
      <c r="O459" s="9" t="s">
        <v>1577</v>
      </c>
      <c r="P459" s="9">
        <v>112</v>
      </c>
      <c r="Q459" s="20">
        <v>2</v>
      </c>
      <c r="R459" s="9" t="s">
        <v>1993</v>
      </c>
      <c r="S459" s="9" t="s">
        <v>1737</v>
      </c>
      <c r="T459" s="9">
        <v>890</v>
      </c>
      <c r="U459" s="9" t="s">
        <v>645</v>
      </c>
      <c r="V459" s="9" t="s">
        <v>1830</v>
      </c>
      <c r="W459" s="21">
        <v>28856</v>
      </c>
      <c r="X459" s="9" t="s">
        <v>1738</v>
      </c>
      <c r="AO459" s="4" t="s">
        <v>1993</v>
      </c>
      <c r="AP459" s="4">
        <v>112</v>
      </c>
      <c r="AQ459" s="4" t="s">
        <v>1716</v>
      </c>
      <c r="AR459" s="4" t="s">
        <v>1739</v>
      </c>
      <c r="AS459" s="4" t="s">
        <v>1740</v>
      </c>
      <c r="AT459" s="4" t="s">
        <v>1741</v>
      </c>
      <c r="AU459" s="4" t="s">
        <v>1742</v>
      </c>
      <c r="AV459" s="4" t="s">
        <v>1720</v>
      </c>
      <c r="AW459" s="4" t="s">
        <v>1947</v>
      </c>
      <c r="AX459" s="4" t="s">
        <v>1986</v>
      </c>
      <c r="AY459" s="4">
        <v>57.861699999999999</v>
      </c>
      <c r="AZ459" s="4">
        <v>-130.0181</v>
      </c>
      <c r="BA459" s="4">
        <v>857</v>
      </c>
    </row>
    <row r="460" spans="1:53" ht="14.25" customHeight="1" x14ac:dyDescent="0.2">
      <c r="A460" s="4" t="s">
        <v>1908</v>
      </c>
      <c r="B460" s="4">
        <v>12</v>
      </c>
      <c r="C460" s="4" t="s">
        <v>7666</v>
      </c>
      <c r="D460" s="4">
        <v>113</v>
      </c>
      <c r="E460" s="4">
        <v>1683</v>
      </c>
      <c r="F460" s="8" t="s">
        <v>1996</v>
      </c>
      <c r="G460" s="8" t="s">
        <v>1997</v>
      </c>
      <c r="H460" s="4" t="s">
        <v>1998</v>
      </c>
      <c r="I460" s="4" t="s">
        <v>641</v>
      </c>
      <c r="J460" s="4" t="s">
        <v>1736</v>
      </c>
      <c r="K460" s="4">
        <v>1</v>
      </c>
      <c r="L460" s="4">
        <v>2086</v>
      </c>
      <c r="M460" s="9">
        <v>56.980899999999998</v>
      </c>
      <c r="N460" s="9">
        <v>-130.2508</v>
      </c>
      <c r="O460" s="9" t="s">
        <v>1290</v>
      </c>
      <c r="P460" s="9">
        <v>113</v>
      </c>
      <c r="Q460" s="20">
        <v>1</v>
      </c>
      <c r="R460" s="9" t="s">
        <v>1999</v>
      </c>
      <c r="S460" s="9" t="s">
        <v>1737</v>
      </c>
      <c r="T460" s="9">
        <v>609</v>
      </c>
      <c r="U460" s="9" t="s">
        <v>645</v>
      </c>
      <c r="V460" s="9" t="s">
        <v>1830</v>
      </c>
      <c r="W460" s="21">
        <v>30682</v>
      </c>
      <c r="X460" s="9" t="s">
        <v>1738</v>
      </c>
      <c r="AO460" s="46" t="s">
        <v>1999</v>
      </c>
      <c r="AP460" s="46">
        <v>113</v>
      </c>
      <c r="AQ460" s="46" t="s">
        <v>1716</v>
      </c>
      <c r="AR460" s="46" t="s">
        <v>1739</v>
      </c>
      <c r="AS460" s="46" t="s">
        <v>1740</v>
      </c>
      <c r="AT460" s="46" t="s">
        <v>1741</v>
      </c>
      <c r="AU460" s="46" t="s">
        <v>1742</v>
      </c>
      <c r="AV460" s="46" t="s">
        <v>1720</v>
      </c>
      <c r="AW460" s="46" t="s">
        <v>1947</v>
      </c>
      <c r="AX460" s="46" t="s">
        <v>1986</v>
      </c>
      <c r="AY460" s="46">
        <v>56.980899999999998</v>
      </c>
      <c r="AZ460" s="46">
        <v>-130.251</v>
      </c>
      <c r="BA460" s="46">
        <v>605</v>
      </c>
    </row>
    <row r="461" spans="1:53" ht="14.25" customHeight="1" x14ac:dyDescent="0.2">
      <c r="B461" s="4">
        <v>12</v>
      </c>
      <c r="C461" s="4" t="s">
        <v>7666</v>
      </c>
      <c r="D461" s="4">
        <v>116</v>
      </c>
      <c r="E461" s="4">
        <v>1684</v>
      </c>
      <c r="F461" s="16" t="s">
        <v>2000</v>
      </c>
      <c r="G461" s="4" t="s">
        <v>2001</v>
      </c>
      <c r="H461" s="4" t="s">
        <v>2002</v>
      </c>
      <c r="I461" s="4" t="s">
        <v>1664</v>
      </c>
      <c r="J461" s="4" t="s">
        <v>1715</v>
      </c>
      <c r="K461" s="4">
        <v>1</v>
      </c>
      <c r="L461" s="4">
        <v>2087</v>
      </c>
      <c r="AO461" s="4" t="s">
        <v>2000</v>
      </c>
      <c r="AP461" s="4">
        <v>116</v>
      </c>
      <c r="AQ461" s="4" t="s">
        <v>1716</v>
      </c>
      <c r="AR461" s="4" t="s">
        <v>1717</v>
      </c>
      <c r="AS461" s="4" t="s">
        <v>1718</v>
      </c>
      <c r="AT461" s="4" t="s">
        <v>1719</v>
      </c>
      <c r="AU461" s="4" t="s">
        <v>1703</v>
      </c>
      <c r="AV461" s="4" t="s">
        <v>1720</v>
      </c>
      <c r="AW461" s="4" t="s">
        <v>2003</v>
      </c>
      <c r="AX461" s="4" t="s">
        <v>2004</v>
      </c>
      <c r="AY461" s="4">
        <v>57.9</v>
      </c>
      <c r="AZ461" s="4">
        <v>-120.3</v>
      </c>
      <c r="BA461" s="4">
        <v>0</v>
      </c>
    </row>
    <row r="462" spans="1:53" ht="14.25" customHeight="1" x14ac:dyDescent="0.2">
      <c r="A462" s="4" t="s">
        <v>88</v>
      </c>
      <c r="B462" s="4">
        <v>12</v>
      </c>
      <c r="C462" s="4" t="s">
        <v>7666</v>
      </c>
      <c r="D462" s="4">
        <v>117</v>
      </c>
      <c r="E462" s="4">
        <v>1685</v>
      </c>
      <c r="F462" s="4" t="s">
        <v>2005</v>
      </c>
      <c r="G462" s="8" t="s">
        <v>2006</v>
      </c>
      <c r="H462" s="4" t="s">
        <v>2007</v>
      </c>
      <c r="I462" s="4" t="s">
        <v>641</v>
      </c>
      <c r="J462" s="4" t="s">
        <v>1865</v>
      </c>
      <c r="K462" s="4">
        <v>1</v>
      </c>
      <c r="L462" s="4">
        <v>2088</v>
      </c>
      <c r="M462" s="9">
        <v>58.83811</v>
      </c>
      <c r="N462" s="9">
        <v>-121.39666</v>
      </c>
      <c r="O462" s="9" t="s">
        <v>2008</v>
      </c>
      <c r="P462" s="9">
        <v>117</v>
      </c>
      <c r="Q462" s="20">
        <v>5</v>
      </c>
      <c r="R462" s="9" t="s">
        <v>2005</v>
      </c>
      <c r="S462" s="9" t="s">
        <v>1737</v>
      </c>
      <c r="T462" s="9">
        <v>584</v>
      </c>
      <c r="U462" s="9" t="s">
        <v>645</v>
      </c>
      <c r="V462" s="9"/>
      <c r="W462" s="21">
        <v>29587</v>
      </c>
      <c r="X462" s="9" t="s">
        <v>1738</v>
      </c>
      <c r="AO462" s="4" t="s">
        <v>2005</v>
      </c>
      <c r="AP462" s="4">
        <v>117</v>
      </c>
      <c r="AQ462" s="4" t="s">
        <v>1716</v>
      </c>
      <c r="AR462" s="4" t="s">
        <v>1739</v>
      </c>
      <c r="AS462" s="4" t="s">
        <v>1740</v>
      </c>
      <c r="AT462" s="4" t="s">
        <v>1741</v>
      </c>
      <c r="AU462" s="4" t="s">
        <v>1959</v>
      </c>
      <c r="AV462" s="4" t="s">
        <v>1720</v>
      </c>
      <c r="AW462" s="4" t="s">
        <v>2003</v>
      </c>
      <c r="AX462" s="4" t="s">
        <v>2009</v>
      </c>
      <c r="AY462" s="4">
        <v>58.838099999999997</v>
      </c>
      <c r="AZ462" s="4">
        <v>-121.3967</v>
      </c>
      <c r="BA462" s="4">
        <v>573</v>
      </c>
    </row>
    <row r="463" spans="1:53" ht="14.25" customHeight="1" x14ac:dyDescent="0.2">
      <c r="A463" s="4" t="s">
        <v>88</v>
      </c>
      <c r="B463" s="4">
        <v>12</v>
      </c>
      <c r="C463" s="4" t="s">
        <v>7666</v>
      </c>
      <c r="D463" s="4">
        <v>118</v>
      </c>
      <c r="E463" s="4">
        <v>1686</v>
      </c>
      <c r="F463" s="4" t="s">
        <v>2010</v>
      </c>
      <c r="G463" s="8" t="s">
        <v>2011</v>
      </c>
      <c r="H463" s="4" t="s">
        <v>2012</v>
      </c>
      <c r="I463" s="4" t="s">
        <v>641</v>
      </c>
      <c r="J463" s="4" t="s">
        <v>1736</v>
      </c>
      <c r="K463" s="4">
        <v>1</v>
      </c>
      <c r="L463" s="4">
        <v>2089</v>
      </c>
      <c r="M463" s="9">
        <v>59.420999999999999</v>
      </c>
      <c r="N463" s="9">
        <v>-120.78892</v>
      </c>
      <c r="O463" s="9" t="s">
        <v>2008</v>
      </c>
      <c r="P463" s="9">
        <v>118</v>
      </c>
      <c r="Q463" s="20">
        <v>6</v>
      </c>
      <c r="R463" s="9" t="s">
        <v>2010</v>
      </c>
      <c r="S463" s="9" t="s">
        <v>1737</v>
      </c>
      <c r="T463" s="9">
        <v>598</v>
      </c>
      <c r="U463" s="9" t="s">
        <v>645</v>
      </c>
      <c r="V463" s="9"/>
      <c r="W463" s="21">
        <v>30317</v>
      </c>
      <c r="X463" s="9" t="s">
        <v>1738</v>
      </c>
      <c r="AO463" s="4" t="s">
        <v>2010</v>
      </c>
      <c r="AP463" s="4">
        <v>118</v>
      </c>
      <c r="AQ463" s="4" t="s">
        <v>1716</v>
      </c>
      <c r="AR463" s="4" t="s">
        <v>1739</v>
      </c>
      <c r="AS463" s="4" t="s">
        <v>1740</v>
      </c>
      <c r="AT463" s="4" t="s">
        <v>1741</v>
      </c>
      <c r="AU463" s="4" t="s">
        <v>1742</v>
      </c>
      <c r="AV463" s="4" t="s">
        <v>1720</v>
      </c>
      <c r="AW463" s="4" t="s">
        <v>2003</v>
      </c>
      <c r="AX463" s="4" t="s">
        <v>2009</v>
      </c>
      <c r="AY463" s="4">
        <v>59.421100000000003</v>
      </c>
      <c r="AZ463" s="4">
        <v>-120.7889</v>
      </c>
      <c r="BA463" s="4">
        <v>588</v>
      </c>
    </row>
    <row r="464" spans="1:53" ht="14.25" customHeight="1" x14ac:dyDescent="0.2">
      <c r="A464" s="4" t="s">
        <v>88</v>
      </c>
      <c r="B464" s="4">
        <v>12</v>
      </c>
      <c r="C464" s="4" t="s">
        <v>7666</v>
      </c>
      <c r="D464" s="4">
        <v>119</v>
      </c>
      <c r="E464" s="4">
        <v>1687</v>
      </c>
      <c r="F464" s="4" t="s">
        <v>2013</v>
      </c>
      <c r="G464" s="8" t="s">
        <v>2014</v>
      </c>
      <c r="H464" s="4" t="s">
        <v>2015</v>
      </c>
      <c r="I464" s="4" t="s">
        <v>641</v>
      </c>
      <c r="J464" s="4" t="s">
        <v>1865</v>
      </c>
      <c r="K464" s="4">
        <v>1</v>
      </c>
      <c r="L464" s="4">
        <v>2090</v>
      </c>
      <c r="M464" s="9">
        <v>59.617280000000001</v>
      </c>
      <c r="N464" s="9">
        <v>-124.09851</v>
      </c>
      <c r="O464" s="9" t="s">
        <v>2008</v>
      </c>
      <c r="P464" s="9">
        <v>119</v>
      </c>
      <c r="Q464" s="20">
        <v>6</v>
      </c>
      <c r="R464" s="9" t="s">
        <v>2013</v>
      </c>
      <c r="S464" s="9" t="s">
        <v>1737</v>
      </c>
      <c r="T464" s="9">
        <v>604</v>
      </c>
      <c r="U464" s="9"/>
      <c r="V464" s="9"/>
      <c r="W464" s="21">
        <v>31413</v>
      </c>
      <c r="X464" s="9" t="s">
        <v>1738</v>
      </c>
      <c r="AO464" s="4" t="s">
        <v>2013</v>
      </c>
      <c r="AP464" s="4">
        <v>119</v>
      </c>
      <c r="AQ464" s="4" t="s">
        <v>1716</v>
      </c>
      <c r="AR464" s="4" t="s">
        <v>1739</v>
      </c>
      <c r="AS464" s="4" t="s">
        <v>1740</v>
      </c>
      <c r="AT464" s="4" t="s">
        <v>1741</v>
      </c>
      <c r="AU464" s="4" t="s">
        <v>1742</v>
      </c>
      <c r="AV464" s="4" t="s">
        <v>1720</v>
      </c>
      <c r="AW464" s="4" t="s">
        <v>2003</v>
      </c>
      <c r="AX464" s="4" t="s">
        <v>2009</v>
      </c>
      <c r="AY464" s="4">
        <v>59.6173</v>
      </c>
      <c r="AZ464" s="4">
        <v>-124.0985</v>
      </c>
      <c r="BA464" s="4">
        <v>660</v>
      </c>
    </row>
    <row r="465" spans="1:53" ht="14.25" customHeight="1" x14ac:dyDescent="0.2">
      <c r="A465" s="4" t="s">
        <v>88</v>
      </c>
      <c r="B465" s="4">
        <v>12</v>
      </c>
      <c r="C465" s="4" t="s">
        <v>7666</v>
      </c>
      <c r="D465" s="4">
        <v>120</v>
      </c>
      <c r="E465" s="4">
        <v>1688</v>
      </c>
      <c r="F465" s="4" t="s">
        <v>2016</v>
      </c>
      <c r="G465" s="8" t="s">
        <v>2017</v>
      </c>
      <c r="H465" s="4" t="s">
        <v>2018</v>
      </c>
      <c r="I465" s="4" t="s">
        <v>641</v>
      </c>
      <c r="J465" s="4" t="s">
        <v>1865</v>
      </c>
      <c r="K465" s="4">
        <v>1</v>
      </c>
      <c r="L465" s="4">
        <v>2091</v>
      </c>
      <c r="M465" s="9">
        <v>57.496780000000001</v>
      </c>
      <c r="N465" s="9">
        <v>-121.29695</v>
      </c>
      <c r="O465" s="9" t="s">
        <v>153</v>
      </c>
      <c r="P465" s="9">
        <v>120</v>
      </c>
      <c r="Q465" s="20">
        <v>6</v>
      </c>
      <c r="R465" s="9" t="s">
        <v>2016</v>
      </c>
      <c r="S465" s="9" t="s">
        <v>1737</v>
      </c>
      <c r="T465" s="9">
        <v>835</v>
      </c>
      <c r="U465" s="9"/>
      <c r="V465" s="9"/>
      <c r="W465" s="21">
        <v>31413</v>
      </c>
      <c r="X465" s="9" t="s">
        <v>1738</v>
      </c>
      <c r="AO465" s="4" t="s">
        <v>2016</v>
      </c>
      <c r="AP465" s="4">
        <v>120</v>
      </c>
      <c r="AQ465" s="4" t="s">
        <v>1716</v>
      </c>
      <c r="AR465" s="4" t="s">
        <v>1739</v>
      </c>
      <c r="AS465" s="4" t="s">
        <v>1740</v>
      </c>
      <c r="AT465" s="4" t="s">
        <v>1741</v>
      </c>
      <c r="AU465" s="4" t="s">
        <v>1742</v>
      </c>
      <c r="AV465" s="4" t="s">
        <v>1720</v>
      </c>
      <c r="AW465" s="4" t="s">
        <v>2003</v>
      </c>
      <c r="AX465" s="4" t="s">
        <v>2004</v>
      </c>
      <c r="AY465" s="4">
        <v>57.374499999999998</v>
      </c>
      <c r="AZ465" s="4">
        <v>-121.40689999999999</v>
      </c>
      <c r="BA465" s="4">
        <v>835</v>
      </c>
    </row>
    <row r="466" spans="1:53" ht="14.25" customHeight="1" x14ac:dyDescent="0.2">
      <c r="B466" s="4">
        <v>12</v>
      </c>
      <c r="C466" s="4" t="s">
        <v>7666</v>
      </c>
      <c r="D466" s="4">
        <v>121</v>
      </c>
      <c r="E466" s="4">
        <v>1689</v>
      </c>
      <c r="F466" s="4" t="s">
        <v>2019</v>
      </c>
      <c r="G466" s="4" t="s">
        <v>2020</v>
      </c>
      <c r="H466" s="4" t="s">
        <v>2021</v>
      </c>
      <c r="I466" s="4" t="s">
        <v>641</v>
      </c>
      <c r="J466" s="4" t="s">
        <v>1736</v>
      </c>
      <c r="K466" s="4">
        <v>1</v>
      </c>
      <c r="L466" s="4">
        <v>2092</v>
      </c>
      <c r="M466" s="9">
        <v>57.78181</v>
      </c>
      <c r="N466" s="9">
        <v>-120.2368</v>
      </c>
      <c r="O466" s="9" t="s">
        <v>153</v>
      </c>
      <c r="P466" s="9">
        <v>121</v>
      </c>
      <c r="Q466" s="20">
        <v>3</v>
      </c>
      <c r="R466" s="9" t="s">
        <v>2019</v>
      </c>
      <c r="S466" s="9" t="s">
        <v>1737</v>
      </c>
      <c r="T466" s="9">
        <v>729</v>
      </c>
      <c r="U466" s="9" t="s">
        <v>645</v>
      </c>
      <c r="V466" s="9"/>
      <c r="W466" s="21">
        <v>31413</v>
      </c>
      <c r="X466" s="9" t="s">
        <v>1738</v>
      </c>
      <c r="AO466" s="4" t="s">
        <v>2019</v>
      </c>
      <c r="AP466" s="4">
        <v>121</v>
      </c>
      <c r="AQ466" s="4" t="s">
        <v>1716</v>
      </c>
      <c r="AR466" s="4" t="s">
        <v>1739</v>
      </c>
      <c r="AS466" s="4" t="s">
        <v>1740</v>
      </c>
      <c r="AT466" s="4" t="s">
        <v>1741</v>
      </c>
      <c r="AU466" s="4" t="s">
        <v>1742</v>
      </c>
      <c r="AV466" s="4" t="s">
        <v>1720</v>
      </c>
      <c r="AW466" s="4" t="s">
        <v>2003</v>
      </c>
      <c r="AX466" s="4" t="s">
        <v>2004</v>
      </c>
      <c r="AY466" s="4">
        <v>57.781799999999997</v>
      </c>
      <c r="AZ466" s="4">
        <v>-120.2368</v>
      </c>
      <c r="BA466" s="4">
        <v>722</v>
      </c>
    </row>
    <row r="467" spans="1:53" ht="14.25" customHeight="1" x14ac:dyDescent="0.2">
      <c r="A467" s="4" t="s">
        <v>422</v>
      </c>
      <c r="B467" s="4">
        <v>12</v>
      </c>
      <c r="C467" s="4" t="s">
        <v>7670</v>
      </c>
      <c r="D467" s="4">
        <v>122</v>
      </c>
      <c r="E467" s="4">
        <v>12967</v>
      </c>
      <c r="F467" s="4" t="s">
        <v>2022</v>
      </c>
      <c r="G467" s="4" t="s">
        <v>127</v>
      </c>
      <c r="H467" s="4" t="s">
        <v>1697</v>
      </c>
      <c r="I467" s="4" t="s">
        <v>49</v>
      </c>
      <c r="J467" s="4" t="s">
        <v>1698</v>
      </c>
      <c r="K467" s="4">
        <v>1</v>
      </c>
      <c r="L467" s="4">
        <v>14899</v>
      </c>
      <c r="AO467" s="48" t="s">
        <v>2023</v>
      </c>
      <c r="AP467" s="48">
        <v>122</v>
      </c>
      <c r="AQ467" s="48" t="s">
        <v>1700</v>
      </c>
      <c r="AR467" s="48" t="s">
        <v>1701</v>
      </c>
      <c r="AS467" s="48" t="s">
        <v>1702</v>
      </c>
      <c r="AT467" s="48" t="s">
        <v>1703</v>
      </c>
      <c r="AU467" s="48" t="s">
        <v>1704</v>
      </c>
      <c r="AV467" s="48" t="s">
        <v>1702</v>
      </c>
      <c r="AW467" s="48" t="s">
        <v>2003</v>
      </c>
      <c r="AX467" s="48" t="s">
        <v>2024</v>
      </c>
      <c r="AY467" s="48">
        <v>55.7</v>
      </c>
      <c r="AZ467" s="48">
        <v>-121.6</v>
      </c>
      <c r="BA467" s="48">
        <v>610</v>
      </c>
    </row>
    <row r="468" spans="1:53" ht="14.25" customHeight="1" x14ac:dyDescent="0.2">
      <c r="B468" s="4">
        <v>12</v>
      </c>
      <c r="C468" s="4" t="s">
        <v>7666</v>
      </c>
      <c r="D468" s="4">
        <v>123</v>
      </c>
      <c r="E468" s="4">
        <v>1690</v>
      </c>
      <c r="F468" s="16" t="s">
        <v>2025</v>
      </c>
      <c r="G468" s="4" t="s">
        <v>2026</v>
      </c>
      <c r="H468" s="4" t="s">
        <v>2027</v>
      </c>
      <c r="I468" s="4" t="s">
        <v>1664</v>
      </c>
      <c r="J468" s="4" t="s">
        <v>1715</v>
      </c>
      <c r="K468" s="4">
        <v>1</v>
      </c>
      <c r="L468" s="4">
        <v>2093</v>
      </c>
      <c r="AO468" s="4" t="s">
        <v>2025</v>
      </c>
      <c r="AP468" s="4">
        <v>123</v>
      </c>
      <c r="AQ468" s="4" t="s">
        <v>1716</v>
      </c>
      <c r="AR468" s="4" t="s">
        <v>1717</v>
      </c>
      <c r="AS468" s="4" t="s">
        <v>1718</v>
      </c>
      <c r="AT468" s="4" t="s">
        <v>1719</v>
      </c>
      <c r="AU468" s="4" t="s">
        <v>1703</v>
      </c>
      <c r="AV468" s="4" t="s">
        <v>1720</v>
      </c>
      <c r="AW468" s="4" t="s">
        <v>2003</v>
      </c>
      <c r="AX468" s="4" t="s">
        <v>2024</v>
      </c>
      <c r="AY468" s="4">
        <v>56.3</v>
      </c>
      <c r="AZ468" s="4">
        <v>-122.2</v>
      </c>
      <c r="BA468" s="4">
        <v>7</v>
      </c>
    </row>
    <row r="469" spans="1:53" ht="14.25" customHeight="1" x14ac:dyDescent="0.2">
      <c r="B469" s="4">
        <v>12</v>
      </c>
      <c r="C469" s="4" t="s">
        <v>7666</v>
      </c>
      <c r="D469" s="4">
        <v>124</v>
      </c>
      <c r="E469" s="4">
        <v>1691</v>
      </c>
      <c r="F469" s="4" t="s">
        <v>2028</v>
      </c>
      <c r="G469" s="4" t="s">
        <v>2029</v>
      </c>
      <c r="H469" s="4" t="s">
        <v>2030</v>
      </c>
      <c r="I469" s="4" t="s">
        <v>641</v>
      </c>
      <c r="J469" s="4" t="s">
        <v>1736</v>
      </c>
      <c r="K469" s="4">
        <v>1</v>
      </c>
      <c r="L469" s="4">
        <v>2094</v>
      </c>
      <c r="M469" s="9">
        <v>56.434640000000002</v>
      </c>
      <c r="N469" s="9">
        <v>-122.45766999999999</v>
      </c>
      <c r="O469" s="9" t="s">
        <v>153</v>
      </c>
      <c r="P469" s="9">
        <v>124</v>
      </c>
      <c r="Q469" s="20">
        <v>5</v>
      </c>
      <c r="R469" s="9" t="s">
        <v>2028</v>
      </c>
      <c r="S469" s="9" t="s">
        <v>1737</v>
      </c>
      <c r="T469" s="9">
        <v>768</v>
      </c>
      <c r="U469" s="9" t="s">
        <v>645</v>
      </c>
      <c r="V469" s="9"/>
      <c r="W469" s="21">
        <v>28856</v>
      </c>
      <c r="X469" s="9" t="s">
        <v>1738</v>
      </c>
      <c r="AO469" s="4" t="s">
        <v>2028</v>
      </c>
      <c r="AP469" s="4">
        <v>124</v>
      </c>
      <c r="AQ469" s="4" t="s">
        <v>1716</v>
      </c>
      <c r="AR469" s="4" t="s">
        <v>1739</v>
      </c>
      <c r="AS469" s="4" t="s">
        <v>1740</v>
      </c>
      <c r="AT469" s="4" t="s">
        <v>1741</v>
      </c>
      <c r="AU469" s="4" t="s">
        <v>1742</v>
      </c>
      <c r="AV469" s="4" t="s">
        <v>1720</v>
      </c>
      <c r="AW469" s="4" t="s">
        <v>2003</v>
      </c>
      <c r="AX469" s="4" t="s">
        <v>2004</v>
      </c>
      <c r="AY469" s="4">
        <v>56.434600000000003</v>
      </c>
      <c r="AZ469" s="4">
        <v>-122.4576</v>
      </c>
      <c r="BA469" s="4">
        <v>759</v>
      </c>
    </row>
    <row r="470" spans="1:53" ht="14.25" customHeight="1" x14ac:dyDescent="0.2">
      <c r="B470" s="4">
        <v>12</v>
      </c>
      <c r="C470" s="4" t="s">
        <v>7666</v>
      </c>
      <c r="D470" s="4">
        <v>125</v>
      </c>
      <c r="E470" s="4">
        <v>1692</v>
      </c>
      <c r="F470" s="16" t="s">
        <v>2031</v>
      </c>
      <c r="G470" s="4" t="s">
        <v>2032</v>
      </c>
      <c r="H470" s="4" t="s">
        <v>2033</v>
      </c>
      <c r="I470" s="4" t="s">
        <v>1664</v>
      </c>
      <c r="J470" s="4" t="s">
        <v>1715</v>
      </c>
      <c r="K470" s="4">
        <v>1</v>
      </c>
      <c r="L470" s="4">
        <v>2095</v>
      </c>
      <c r="AO470" s="4" t="s">
        <v>2031</v>
      </c>
      <c r="AP470" s="4">
        <v>125</v>
      </c>
      <c r="AQ470" s="4" t="s">
        <v>1716</v>
      </c>
      <c r="AR470" s="4" t="s">
        <v>1717</v>
      </c>
      <c r="AS470" s="4" t="s">
        <v>1718</v>
      </c>
      <c r="AT470" s="4" t="s">
        <v>1719</v>
      </c>
      <c r="AU470" s="4" t="s">
        <v>1703</v>
      </c>
      <c r="AV470" s="4" t="s">
        <v>1720</v>
      </c>
      <c r="AW470" s="4" t="s">
        <v>2003</v>
      </c>
      <c r="AX470" s="4" t="s">
        <v>2024</v>
      </c>
      <c r="AY470" s="4">
        <v>56.1</v>
      </c>
      <c r="AZ470" s="4">
        <v>-122.4</v>
      </c>
      <c r="BA470" s="4">
        <v>9</v>
      </c>
    </row>
    <row r="471" spans="1:53" ht="14.25" customHeight="1" x14ac:dyDescent="0.2">
      <c r="B471" s="4">
        <v>12</v>
      </c>
      <c r="C471" s="4" t="s">
        <v>7666</v>
      </c>
      <c r="D471" s="4">
        <v>126</v>
      </c>
      <c r="E471" s="4">
        <v>1693</v>
      </c>
      <c r="F471" s="4" t="s">
        <v>2034</v>
      </c>
      <c r="G471" s="4" t="s">
        <v>2035</v>
      </c>
      <c r="H471" s="4" t="s">
        <v>2036</v>
      </c>
      <c r="I471" s="4" t="s">
        <v>641</v>
      </c>
      <c r="J471" s="4" t="s">
        <v>1736</v>
      </c>
      <c r="K471" s="4">
        <v>1</v>
      </c>
      <c r="L471" s="4">
        <v>2096</v>
      </c>
      <c r="M471" s="9">
        <v>58.865850000000002</v>
      </c>
      <c r="N471" s="9">
        <v>-125.3107</v>
      </c>
      <c r="O471" s="9" t="s">
        <v>1577</v>
      </c>
      <c r="P471" s="9">
        <v>126</v>
      </c>
      <c r="Q471" s="20">
        <v>1</v>
      </c>
      <c r="R471" s="9" t="s">
        <v>2034</v>
      </c>
      <c r="S471" s="9" t="s">
        <v>1737</v>
      </c>
      <c r="T471" s="9">
        <v>711</v>
      </c>
      <c r="U471" s="9" t="s">
        <v>645</v>
      </c>
      <c r="V471" s="9"/>
      <c r="W471" s="21">
        <v>29587</v>
      </c>
      <c r="X471" s="9" t="s">
        <v>1738</v>
      </c>
      <c r="AO471" s="4" t="s">
        <v>2034</v>
      </c>
      <c r="AP471" s="4">
        <v>126</v>
      </c>
      <c r="AQ471" s="4" t="s">
        <v>1716</v>
      </c>
      <c r="AR471" s="4" t="s">
        <v>1739</v>
      </c>
      <c r="AS471" s="4" t="s">
        <v>1740</v>
      </c>
      <c r="AT471" s="4" t="s">
        <v>1741</v>
      </c>
      <c r="AU471" s="4" t="s">
        <v>1742</v>
      </c>
      <c r="AV471" s="4" t="s">
        <v>1720</v>
      </c>
      <c r="AW471" s="4" t="s">
        <v>2003</v>
      </c>
      <c r="AX471" s="4" t="s">
        <v>2009</v>
      </c>
      <c r="AY471" s="4">
        <v>58.865900000000003</v>
      </c>
      <c r="AZ471" s="4">
        <v>-125.3107</v>
      </c>
      <c r="BA471" s="4">
        <v>702</v>
      </c>
    </row>
    <row r="472" spans="1:53" ht="14.25" customHeight="1" x14ac:dyDescent="0.2">
      <c r="A472" s="4" t="s">
        <v>2037</v>
      </c>
      <c r="B472" s="4">
        <v>12</v>
      </c>
      <c r="C472" s="4" t="s">
        <v>7666</v>
      </c>
      <c r="D472" s="4">
        <v>127</v>
      </c>
      <c r="E472" s="4">
        <v>1694</v>
      </c>
      <c r="F472" s="8" t="s">
        <v>2038</v>
      </c>
      <c r="G472" s="4" t="s">
        <v>2039</v>
      </c>
      <c r="H472" s="4" t="s">
        <v>2040</v>
      </c>
      <c r="I472" s="4" t="s">
        <v>641</v>
      </c>
      <c r="J472" s="4" t="s">
        <v>1736</v>
      </c>
      <c r="K472" s="4">
        <v>1</v>
      </c>
      <c r="L472" s="4">
        <v>2097</v>
      </c>
      <c r="M472" s="4">
        <v>55.027360000000002</v>
      </c>
      <c r="N472" s="4">
        <v>-120.93405</v>
      </c>
      <c r="O472" s="4" t="s">
        <v>1290</v>
      </c>
      <c r="P472" s="4">
        <v>127</v>
      </c>
      <c r="Q472" s="4">
        <v>3</v>
      </c>
      <c r="R472" s="4" t="s">
        <v>2041</v>
      </c>
      <c r="S472" s="4" t="s">
        <v>1737</v>
      </c>
      <c r="T472" s="4">
        <v>942</v>
      </c>
      <c r="U472" s="4" t="s">
        <v>645</v>
      </c>
      <c r="V472" s="4" t="s">
        <v>1771</v>
      </c>
      <c r="W472" s="4">
        <v>29952</v>
      </c>
      <c r="X472" s="4" t="s">
        <v>1738</v>
      </c>
      <c r="AO472" s="52" t="s">
        <v>2042</v>
      </c>
      <c r="AP472" s="4">
        <v>127</v>
      </c>
      <c r="AQ472" s="4" t="s">
        <v>1700</v>
      </c>
      <c r="AR472" s="4" t="s">
        <v>1739</v>
      </c>
      <c r="AS472" s="4" t="s">
        <v>1740</v>
      </c>
      <c r="AT472" s="4" t="s">
        <v>1741</v>
      </c>
      <c r="AU472" s="4" t="s">
        <v>2043</v>
      </c>
      <c r="AV472" s="4" t="s">
        <v>1720</v>
      </c>
      <c r="AW472" s="4" t="s">
        <v>2003</v>
      </c>
      <c r="AX472" s="4" t="s">
        <v>2024</v>
      </c>
      <c r="AY472" s="4">
        <v>55.0274</v>
      </c>
      <c r="AZ472" s="4">
        <v>-120.934</v>
      </c>
      <c r="BA472" s="4">
        <v>932</v>
      </c>
    </row>
    <row r="473" spans="1:53" ht="14.25" customHeight="1" x14ac:dyDescent="0.2">
      <c r="B473" s="4">
        <v>12</v>
      </c>
      <c r="C473" s="4" t="s">
        <v>7666</v>
      </c>
      <c r="D473" s="4">
        <v>128</v>
      </c>
      <c r="E473" s="4">
        <v>1695</v>
      </c>
      <c r="F473" s="16" t="s">
        <v>2044</v>
      </c>
      <c r="G473" s="4" t="s">
        <v>2045</v>
      </c>
      <c r="H473" s="4" t="s">
        <v>2046</v>
      </c>
      <c r="I473" s="4" t="s">
        <v>1664</v>
      </c>
      <c r="J473" s="4" t="s">
        <v>1715</v>
      </c>
      <c r="K473" s="4">
        <v>1</v>
      </c>
      <c r="L473" s="4">
        <v>2098</v>
      </c>
      <c r="AO473" s="4" t="s">
        <v>2044</v>
      </c>
      <c r="AP473" s="4">
        <v>128</v>
      </c>
      <c r="AQ473" s="4" t="s">
        <v>1716</v>
      </c>
      <c r="AR473" s="4" t="s">
        <v>1717</v>
      </c>
      <c r="AS473" s="4" t="s">
        <v>1718</v>
      </c>
      <c r="AT473" s="4" t="s">
        <v>1719</v>
      </c>
      <c r="AU473" s="4" t="s">
        <v>1703</v>
      </c>
      <c r="AV473" s="4" t="s">
        <v>1720</v>
      </c>
      <c r="AW473" s="4" t="s">
        <v>2003</v>
      </c>
      <c r="AX473" s="4" t="s">
        <v>2024</v>
      </c>
      <c r="AY473" s="4">
        <v>54.8</v>
      </c>
      <c r="AZ473" s="4">
        <v>-120.6</v>
      </c>
      <c r="BA473" s="4">
        <v>11</v>
      </c>
    </row>
    <row r="474" spans="1:53" ht="14.25" customHeight="1" x14ac:dyDescent="0.2">
      <c r="A474" s="4" t="s">
        <v>88</v>
      </c>
      <c r="B474" s="4">
        <v>12</v>
      </c>
      <c r="C474" s="4" t="s">
        <v>7666</v>
      </c>
      <c r="D474" s="4">
        <v>129</v>
      </c>
      <c r="E474" s="4">
        <v>1696</v>
      </c>
      <c r="F474" s="4" t="s">
        <v>2047</v>
      </c>
      <c r="G474" s="8" t="s">
        <v>2048</v>
      </c>
      <c r="H474" s="4" t="s">
        <v>2049</v>
      </c>
      <c r="I474" s="4" t="s">
        <v>641</v>
      </c>
      <c r="J474" s="4" t="s">
        <v>1736</v>
      </c>
      <c r="K474" s="4">
        <v>1</v>
      </c>
      <c r="L474" s="4">
        <v>2099</v>
      </c>
      <c r="M474" s="4">
        <v>57.076529999999998</v>
      </c>
      <c r="N474" s="4">
        <v>-122.55906</v>
      </c>
      <c r="O474" s="4" t="s">
        <v>2008</v>
      </c>
      <c r="P474" s="4">
        <v>129</v>
      </c>
      <c r="Q474" s="4">
        <v>8</v>
      </c>
      <c r="R474" s="4" t="s">
        <v>2050</v>
      </c>
      <c r="S474" s="4" t="s">
        <v>1737</v>
      </c>
      <c r="T474" s="4">
        <v>989</v>
      </c>
      <c r="W474" s="4">
        <v>30317</v>
      </c>
      <c r="X474" s="4" t="s">
        <v>1738</v>
      </c>
      <c r="AO474" s="4" t="s">
        <v>2050</v>
      </c>
      <c r="AP474" s="4">
        <v>129</v>
      </c>
      <c r="AQ474" s="4" t="s">
        <v>1716</v>
      </c>
      <c r="AR474" s="4" t="s">
        <v>1739</v>
      </c>
      <c r="AS474" s="4" t="s">
        <v>1740</v>
      </c>
      <c r="AT474" s="4" t="s">
        <v>1741</v>
      </c>
      <c r="AU474" s="4" t="s">
        <v>1742</v>
      </c>
      <c r="AV474" s="4" t="s">
        <v>1720</v>
      </c>
      <c r="AW474" s="4" t="s">
        <v>2003</v>
      </c>
      <c r="AX474" s="4" t="s">
        <v>2004</v>
      </c>
      <c r="AY474" s="4">
        <v>57.087400000000002</v>
      </c>
      <c r="AZ474" s="4">
        <v>-122.5912</v>
      </c>
      <c r="BA474" s="4">
        <v>989</v>
      </c>
    </row>
    <row r="475" spans="1:53" ht="14.25" customHeight="1" x14ac:dyDescent="0.2">
      <c r="B475" s="4">
        <v>12</v>
      </c>
      <c r="C475" s="4" t="s">
        <v>7666</v>
      </c>
      <c r="D475" s="4">
        <v>130</v>
      </c>
      <c r="E475" s="4">
        <v>1697</v>
      </c>
      <c r="F475" s="16" t="s">
        <v>2051</v>
      </c>
      <c r="G475" s="4" t="s">
        <v>2052</v>
      </c>
      <c r="H475" s="4" t="s">
        <v>2053</v>
      </c>
      <c r="I475" s="4" t="s">
        <v>1664</v>
      </c>
      <c r="J475" s="4" t="s">
        <v>1715</v>
      </c>
      <c r="K475" s="4">
        <v>1</v>
      </c>
      <c r="L475" s="4">
        <v>2100</v>
      </c>
      <c r="AO475" s="4" t="s">
        <v>2051</v>
      </c>
      <c r="AP475" s="4">
        <v>130</v>
      </c>
      <c r="AQ475" s="4" t="s">
        <v>1716</v>
      </c>
      <c r="AR475" s="4" t="s">
        <v>1717</v>
      </c>
      <c r="AS475" s="4" t="s">
        <v>1718</v>
      </c>
      <c r="AT475" s="4" t="s">
        <v>1719</v>
      </c>
      <c r="AU475" s="4" t="s">
        <v>1703</v>
      </c>
      <c r="AV475" s="4" t="s">
        <v>1720</v>
      </c>
      <c r="AW475" s="4" t="s">
        <v>2003</v>
      </c>
      <c r="AX475" s="4" t="s">
        <v>2004</v>
      </c>
      <c r="AY475" s="4">
        <v>57.4</v>
      </c>
      <c r="AZ475" s="4">
        <v>-122.9</v>
      </c>
      <c r="BA475" s="4">
        <v>0</v>
      </c>
    </row>
    <row r="476" spans="1:53" ht="14.25" customHeight="1" x14ac:dyDescent="0.2">
      <c r="A476" s="4" t="s">
        <v>88</v>
      </c>
      <c r="B476" s="4">
        <v>12</v>
      </c>
      <c r="C476" s="4" t="s">
        <v>7666</v>
      </c>
      <c r="D476" s="4">
        <v>131</v>
      </c>
      <c r="E476" s="4">
        <v>1698</v>
      </c>
      <c r="F476" s="4" t="s">
        <v>2054</v>
      </c>
      <c r="G476" s="8" t="s">
        <v>2055</v>
      </c>
      <c r="H476" s="4" t="s">
        <v>2056</v>
      </c>
      <c r="I476" s="4" t="s">
        <v>641</v>
      </c>
      <c r="J476" s="4" t="s">
        <v>1865</v>
      </c>
      <c r="K476" s="4">
        <v>1</v>
      </c>
      <c r="L476" s="4">
        <v>2101</v>
      </c>
      <c r="M476" s="4">
        <v>57.884250000000002</v>
      </c>
      <c r="N476" s="4">
        <v>-123.6163</v>
      </c>
      <c r="O476" s="4" t="s">
        <v>2008</v>
      </c>
      <c r="P476" s="4">
        <v>131</v>
      </c>
      <c r="Q476" s="4">
        <v>7</v>
      </c>
      <c r="R476" s="4" t="s">
        <v>2054</v>
      </c>
      <c r="S476" s="4" t="s">
        <v>1737</v>
      </c>
      <c r="T476" s="4">
        <v>780</v>
      </c>
      <c r="W476" s="4">
        <v>30317</v>
      </c>
      <c r="X476" s="4" t="s">
        <v>1738</v>
      </c>
      <c r="AO476" s="4" t="s">
        <v>2054</v>
      </c>
      <c r="AP476" s="4">
        <v>131</v>
      </c>
      <c r="AQ476" s="4" t="s">
        <v>1716</v>
      </c>
      <c r="AR476" s="4" t="s">
        <v>1739</v>
      </c>
      <c r="AS476" s="4" t="s">
        <v>1740</v>
      </c>
      <c r="AT476" s="4" t="s">
        <v>1741</v>
      </c>
      <c r="AU476" s="4" t="s">
        <v>1742</v>
      </c>
      <c r="AV476" s="4" t="s">
        <v>1720</v>
      </c>
      <c r="AW476" s="4" t="s">
        <v>2003</v>
      </c>
      <c r="AX476" s="4" t="s">
        <v>2009</v>
      </c>
      <c r="AY476" s="4">
        <v>57.8842</v>
      </c>
      <c r="AZ476" s="4">
        <v>-123.6164</v>
      </c>
      <c r="BA476" s="4">
        <v>769</v>
      </c>
    </row>
    <row r="477" spans="1:53" ht="14.25" customHeight="1" x14ac:dyDescent="0.2">
      <c r="B477" s="4">
        <v>12</v>
      </c>
      <c r="C477" s="4" t="s">
        <v>7666</v>
      </c>
      <c r="D477" s="4">
        <v>132</v>
      </c>
      <c r="E477" s="4">
        <v>1699</v>
      </c>
      <c r="F477" s="4" t="s">
        <v>2057</v>
      </c>
      <c r="G477" s="4" t="s">
        <v>2058</v>
      </c>
      <c r="H477" s="4" t="s">
        <v>2059</v>
      </c>
      <c r="I477" s="4" t="s">
        <v>641</v>
      </c>
      <c r="J477" s="4" t="s">
        <v>1736</v>
      </c>
      <c r="K477" s="4">
        <v>1</v>
      </c>
      <c r="L477" s="4">
        <v>2102</v>
      </c>
      <c r="M477" s="4">
        <v>56.034700000000001</v>
      </c>
      <c r="N477" s="4">
        <v>-121.99021</v>
      </c>
      <c r="O477" s="4" t="s">
        <v>153</v>
      </c>
      <c r="P477" s="4">
        <v>132</v>
      </c>
      <c r="Q477" s="4">
        <v>3</v>
      </c>
      <c r="R477" s="4" t="s">
        <v>2057</v>
      </c>
      <c r="S477" s="4" t="s">
        <v>1737</v>
      </c>
      <c r="T477" s="4">
        <v>704</v>
      </c>
      <c r="W477" s="4">
        <v>31413</v>
      </c>
      <c r="X477" s="4" t="s">
        <v>1738</v>
      </c>
      <c r="AO477" s="4" t="s">
        <v>2057</v>
      </c>
      <c r="AP477" s="4">
        <v>132</v>
      </c>
      <c r="AQ477" s="4" t="s">
        <v>1700</v>
      </c>
      <c r="AR477" s="4" t="s">
        <v>1739</v>
      </c>
      <c r="AS477" s="4" t="s">
        <v>1740</v>
      </c>
      <c r="AT477" s="4" t="s">
        <v>1835</v>
      </c>
      <c r="AU477" s="4" t="s">
        <v>1772</v>
      </c>
      <c r="AV477" s="4" t="s">
        <v>1720</v>
      </c>
      <c r="AW477" s="4" t="s">
        <v>2003</v>
      </c>
      <c r="AX477" s="4" t="s">
        <v>2024</v>
      </c>
      <c r="AY477" s="4">
        <v>56.034700000000001</v>
      </c>
      <c r="AZ477" s="4">
        <v>-121.9903</v>
      </c>
      <c r="BA477" s="4">
        <v>697</v>
      </c>
    </row>
    <row r="478" spans="1:53" ht="14.25" customHeight="1" x14ac:dyDescent="0.2">
      <c r="B478" s="4">
        <v>12</v>
      </c>
      <c r="C478" s="4" t="s">
        <v>7666</v>
      </c>
      <c r="D478" s="4">
        <v>133</v>
      </c>
      <c r="E478" s="4">
        <v>1700</v>
      </c>
      <c r="F478" s="16" t="s">
        <v>2060</v>
      </c>
      <c r="G478" s="4" t="s">
        <v>2061</v>
      </c>
      <c r="H478" s="4" t="s">
        <v>2062</v>
      </c>
      <c r="I478" s="4" t="s">
        <v>1664</v>
      </c>
      <c r="J478" s="4" t="s">
        <v>1715</v>
      </c>
      <c r="K478" s="4">
        <v>1</v>
      </c>
      <c r="L478" s="4">
        <v>2103</v>
      </c>
      <c r="AO478" s="4" t="s">
        <v>2060</v>
      </c>
      <c r="AP478" s="4">
        <v>133</v>
      </c>
      <c r="AQ478" s="4" t="s">
        <v>1716</v>
      </c>
      <c r="AR478" s="4" t="s">
        <v>1717</v>
      </c>
      <c r="AS478" s="4" t="s">
        <v>1718</v>
      </c>
      <c r="AT478" s="4" t="s">
        <v>1719</v>
      </c>
      <c r="AU478" s="4" t="s">
        <v>1703</v>
      </c>
      <c r="AV478" s="4" t="s">
        <v>1720</v>
      </c>
      <c r="AW478" s="4" t="s">
        <v>2003</v>
      </c>
      <c r="AX478" s="4" t="s">
        <v>2004</v>
      </c>
      <c r="AY478" s="4">
        <v>57.3</v>
      </c>
      <c r="AZ478" s="4">
        <v>-122.8</v>
      </c>
      <c r="BA478" s="4">
        <v>10</v>
      </c>
    </row>
    <row r="479" spans="1:53" ht="14.25" customHeight="1" x14ac:dyDescent="0.2">
      <c r="B479" s="4">
        <v>12</v>
      </c>
      <c r="C479" s="4" t="s">
        <v>7666</v>
      </c>
      <c r="D479" s="4">
        <v>134</v>
      </c>
      <c r="E479" s="4">
        <v>1701</v>
      </c>
      <c r="F479" s="16" t="s">
        <v>2063</v>
      </c>
      <c r="G479" s="4" t="s">
        <v>2064</v>
      </c>
      <c r="H479" s="4" t="s">
        <v>2065</v>
      </c>
      <c r="I479" s="4" t="s">
        <v>1664</v>
      </c>
      <c r="J479" s="4" t="s">
        <v>1715</v>
      </c>
      <c r="K479" s="4">
        <v>1</v>
      </c>
      <c r="L479" s="4">
        <v>2104</v>
      </c>
      <c r="AO479" s="4" t="s">
        <v>2063</v>
      </c>
      <c r="AP479" s="4">
        <v>134</v>
      </c>
      <c r="AQ479" s="4" t="s">
        <v>1716</v>
      </c>
      <c r="AR479" s="4" t="s">
        <v>1717</v>
      </c>
      <c r="AS479" s="4" t="s">
        <v>1718</v>
      </c>
      <c r="AT479" s="4" t="s">
        <v>1719</v>
      </c>
      <c r="AU479" s="4" t="s">
        <v>1703</v>
      </c>
      <c r="AV479" s="4" t="s">
        <v>1720</v>
      </c>
      <c r="AW479" s="4" t="s">
        <v>2003</v>
      </c>
      <c r="AX479" s="4" t="s">
        <v>2004</v>
      </c>
      <c r="AY479" s="4">
        <v>56.7</v>
      </c>
      <c r="AZ479" s="4">
        <v>-120.1</v>
      </c>
      <c r="BA479" s="4">
        <v>8</v>
      </c>
    </row>
    <row r="480" spans="1:53" ht="14.25" customHeight="1" x14ac:dyDescent="0.2">
      <c r="A480" s="4" t="s">
        <v>422</v>
      </c>
      <c r="B480" s="4">
        <v>12</v>
      </c>
      <c r="C480" s="4" t="s">
        <v>7666</v>
      </c>
      <c r="D480" s="4">
        <v>135</v>
      </c>
      <c r="E480" s="4">
        <v>1702</v>
      </c>
      <c r="F480" s="16" t="s">
        <v>2066</v>
      </c>
      <c r="G480" s="4" t="s">
        <v>2067</v>
      </c>
      <c r="H480" s="4" t="s">
        <v>2068</v>
      </c>
      <c r="I480" s="4" t="s">
        <v>1664</v>
      </c>
      <c r="J480" s="4" t="s">
        <v>1746</v>
      </c>
      <c r="K480" s="4">
        <v>1</v>
      </c>
      <c r="L480" s="4">
        <v>2105</v>
      </c>
      <c r="AO480" s="4" t="s">
        <v>2066</v>
      </c>
      <c r="AP480" s="4">
        <v>135</v>
      </c>
      <c r="AQ480" s="4" t="s">
        <v>1716</v>
      </c>
      <c r="AR480" s="4" t="s">
        <v>1717</v>
      </c>
      <c r="AS480" s="4" t="s">
        <v>1718</v>
      </c>
      <c r="AT480" s="4" t="s">
        <v>1719</v>
      </c>
      <c r="AU480" s="4" t="s">
        <v>1703</v>
      </c>
      <c r="AV480" s="4" t="s">
        <v>1720</v>
      </c>
      <c r="AW480" s="4" t="s">
        <v>2003</v>
      </c>
      <c r="AX480" s="4" t="s">
        <v>2004</v>
      </c>
      <c r="AY480" s="4">
        <v>56.5</v>
      </c>
      <c r="AZ480" s="4">
        <v>-123.2</v>
      </c>
      <c r="BA480" s="4">
        <v>11</v>
      </c>
    </row>
    <row r="481" spans="1:53" ht="14.25" customHeight="1" x14ac:dyDescent="0.2">
      <c r="A481" s="4" t="s">
        <v>88</v>
      </c>
      <c r="B481" s="4">
        <v>12</v>
      </c>
      <c r="C481" s="4" t="s">
        <v>7666</v>
      </c>
      <c r="D481" s="4">
        <v>136</v>
      </c>
      <c r="E481" s="4">
        <v>1703</v>
      </c>
      <c r="F481" s="4" t="s">
        <v>2069</v>
      </c>
      <c r="G481" s="8" t="s">
        <v>2070</v>
      </c>
      <c r="H481" s="4" t="s">
        <v>2071</v>
      </c>
      <c r="I481" s="4" t="s">
        <v>641</v>
      </c>
      <c r="J481" s="4" t="s">
        <v>1865</v>
      </c>
      <c r="K481" s="4">
        <v>1</v>
      </c>
      <c r="L481" s="4">
        <v>2106</v>
      </c>
      <c r="M481" s="4">
        <v>56.718499999999999</v>
      </c>
      <c r="N481" s="4">
        <v>-121.76542999999999</v>
      </c>
      <c r="O481" s="4" t="s">
        <v>153</v>
      </c>
      <c r="P481" s="4">
        <v>136</v>
      </c>
      <c r="Q481" s="4">
        <v>8</v>
      </c>
      <c r="R481" s="4" t="s">
        <v>2069</v>
      </c>
      <c r="S481" s="4" t="s">
        <v>1737</v>
      </c>
      <c r="T481" s="4">
        <v>967</v>
      </c>
      <c r="U481" s="4" t="s">
        <v>645</v>
      </c>
      <c r="V481" s="4" t="s">
        <v>1813</v>
      </c>
      <c r="W481" s="4">
        <v>32874</v>
      </c>
      <c r="X481" s="4" t="s">
        <v>1738</v>
      </c>
      <c r="AO481" s="4" t="s">
        <v>2069</v>
      </c>
      <c r="AP481" s="4">
        <v>136</v>
      </c>
      <c r="AQ481" s="4" t="s">
        <v>1700</v>
      </c>
      <c r="AR481" s="4" t="s">
        <v>1739</v>
      </c>
      <c r="AS481" s="4" t="s">
        <v>1740</v>
      </c>
      <c r="AT481" s="4" t="s">
        <v>1835</v>
      </c>
      <c r="AU481" s="4" t="s">
        <v>1772</v>
      </c>
      <c r="AV481" s="4" t="s">
        <v>1720</v>
      </c>
      <c r="AW481" s="4" t="s">
        <v>2003</v>
      </c>
      <c r="AX481" s="4" t="s">
        <v>2004</v>
      </c>
      <c r="AY481" s="4">
        <v>56.718400000000003</v>
      </c>
      <c r="AZ481" s="4">
        <v>-121.7654</v>
      </c>
      <c r="BA481" s="4">
        <v>958</v>
      </c>
    </row>
    <row r="482" spans="1:53" ht="14.25" customHeight="1" x14ac:dyDescent="0.2">
      <c r="B482" s="4">
        <v>12</v>
      </c>
      <c r="C482" s="4" t="s">
        <v>7666</v>
      </c>
      <c r="D482" s="4">
        <v>137</v>
      </c>
      <c r="E482" s="4">
        <v>1704</v>
      </c>
      <c r="F482" s="16" t="s">
        <v>2072</v>
      </c>
      <c r="G482" s="4" t="s">
        <v>2073</v>
      </c>
      <c r="H482" s="4" t="s">
        <v>2074</v>
      </c>
      <c r="I482" s="4" t="s">
        <v>1664</v>
      </c>
      <c r="J482" s="4" t="s">
        <v>1715</v>
      </c>
      <c r="K482" s="4">
        <v>1</v>
      </c>
      <c r="L482" s="4">
        <v>2107</v>
      </c>
      <c r="AO482" s="4" t="s">
        <v>2072</v>
      </c>
      <c r="AP482" s="4">
        <v>137</v>
      </c>
      <c r="AQ482" s="4" t="s">
        <v>1716</v>
      </c>
      <c r="AR482" s="4" t="s">
        <v>1717</v>
      </c>
      <c r="AS482" s="4" t="s">
        <v>1718</v>
      </c>
      <c r="AT482" s="4" t="s">
        <v>1719</v>
      </c>
      <c r="AU482" s="4" t="s">
        <v>1703</v>
      </c>
      <c r="AV482" s="4" t="s">
        <v>1720</v>
      </c>
      <c r="AW482" s="4" t="s">
        <v>2003</v>
      </c>
      <c r="AX482" s="4" t="s">
        <v>2024</v>
      </c>
      <c r="AY482" s="4">
        <v>56.1</v>
      </c>
      <c r="AZ482" s="4">
        <v>-122.3</v>
      </c>
      <c r="BA482" s="4">
        <v>8</v>
      </c>
    </row>
    <row r="483" spans="1:53" ht="14.25" customHeight="1" x14ac:dyDescent="0.2">
      <c r="B483" s="4">
        <v>12</v>
      </c>
      <c r="C483" s="4" t="s">
        <v>7666</v>
      </c>
      <c r="D483" s="4">
        <v>138</v>
      </c>
      <c r="E483" s="4">
        <v>1705</v>
      </c>
      <c r="F483" s="4" t="s">
        <v>2075</v>
      </c>
      <c r="G483" s="4" t="s">
        <v>2076</v>
      </c>
      <c r="H483" s="4" t="s">
        <v>2077</v>
      </c>
      <c r="I483" s="4" t="s">
        <v>641</v>
      </c>
      <c r="J483" s="4" t="s">
        <v>1865</v>
      </c>
      <c r="K483" s="4">
        <v>1</v>
      </c>
      <c r="L483" s="4">
        <v>2108</v>
      </c>
      <c r="M483" s="4">
        <v>54.633029999999998</v>
      </c>
      <c r="N483" s="4">
        <v>-120.57621</v>
      </c>
      <c r="O483" s="4" t="s">
        <v>1290</v>
      </c>
      <c r="P483" s="4">
        <v>138</v>
      </c>
      <c r="Q483" s="4">
        <v>6</v>
      </c>
      <c r="R483" s="4" t="s">
        <v>2075</v>
      </c>
      <c r="S483" s="4" t="s">
        <v>1737</v>
      </c>
      <c r="T483" s="4">
        <v>1306</v>
      </c>
      <c r="W483" s="4">
        <v>32143</v>
      </c>
      <c r="X483" s="4" t="s">
        <v>1738</v>
      </c>
      <c r="AO483" s="4" t="s">
        <v>2075</v>
      </c>
      <c r="AP483" s="4">
        <v>138</v>
      </c>
      <c r="AQ483" s="4" t="s">
        <v>1700</v>
      </c>
      <c r="AR483" s="4" t="s">
        <v>1739</v>
      </c>
      <c r="AS483" s="4" t="s">
        <v>1740</v>
      </c>
      <c r="AT483" s="4" t="s">
        <v>1835</v>
      </c>
      <c r="AU483" s="4" t="s">
        <v>1959</v>
      </c>
      <c r="AV483" s="4" t="s">
        <v>1720</v>
      </c>
      <c r="AW483" s="4" t="s">
        <v>2003</v>
      </c>
      <c r="AX483" s="4" t="s">
        <v>2024</v>
      </c>
      <c r="AY483" s="4">
        <v>54.633000000000003</v>
      </c>
      <c r="AZ483" s="4">
        <v>-120.5762</v>
      </c>
      <c r="BA483" s="4">
        <v>1306</v>
      </c>
    </row>
    <row r="484" spans="1:53" ht="14.25" customHeight="1" x14ac:dyDescent="0.2">
      <c r="B484" s="4">
        <v>12</v>
      </c>
      <c r="C484" s="4" t="s">
        <v>7666</v>
      </c>
      <c r="D484" s="4">
        <v>139</v>
      </c>
      <c r="E484" s="4">
        <v>1706</v>
      </c>
      <c r="F484" s="16" t="s">
        <v>2078</v>
      </c>
      <c r="G484" s="4" t="s">
        <v>2079</v>
      </c>
      <c r="H484" s="4" t="s">
        <v>2080</v>
      </c>
      <c r="I484" s="4" t="s">
        <v>1664</v>
      </c>
      <c r="J484" s="4" t="s">
        <v>1715</v>
      </c>
      <c r="K484" s="4">
        <v>1</v>
      </c>
      <c r="L484" s="4">
        <v>2109</v>
      </c>
      <c r="AO484" s="4" t="s">
        <v>2078</v>
      </c>
      <c r="AP484" s="4">
        <v>139</v>
      </c>
      <c r="AQ484" s="4" t="s">
        <v>1716</v>
      </c>
      <c r="AR484" s="4" t="s">
        <v>1717</v>
      </c>
      <c r="AS484" s="4" t="s">
        <v>1718</v>
      </c>
      <c r="AT484" s="4" t="s">
        <v>1719</v>
      </c>
      <c r="AU484" s="4" t="s">
        <v>1703</v>
      </c>
      <c r="AV484" s="4" t="s">
        <v>1720</v>
      </c>
      <c r="AW484" s="4" t="s">
        <v>2003</v>
      </c>
      <c r="AX484" s="4" t="s">
        <v>2024</v>
      </c>
      <c r="AY484" s="4">
        <v>55.2</v>
      </c>
      <c r="AZ484" s="4">
        <v>-121.6</v>
      </c>
      <c r="BA484" s="4">
        <v>8</v>
      </c>
    </row>
    <row r="485" spans="1:53" ht="14.25" customHeight="1" x14ac:dyDescent="0.2">
      <c r="A485" s="4" t="s">
        <v>88</v>
      </c>
      <c r="B485" s="4">
        <v>12</v>
      </c>
      <c r="C485" s="4" t="s">
        <v>7666</v>
      </c>
      <c r="D485" s="4">
        <v>140</v>
      </c>
      <c r="E485" s="4">
        <v>1707</v>
      </c>
      <c r="F485" s="4" t="s">
        <v>2081</v>
      </c>
      <c r="G485" s="8" t="s">
        <v>2082</v>
      </c>
      <c r="H485" s="4" t="s">
        <v>2083</v>
      </c>
      <c r="I485" s="4" t="s">
        <v>641</v>
      </c>
      <c r="J485" s="4" t="s">
        <v>1736</v>
      </c>
      <c r="K485" s="4">
        <v>1</v>
      </c>
      <c r="L485" s="4">
        <v>2110</v>
      </c>
      <c r="M485" s="4">
        <v>55.524979999999999</v>
      </c>
      <c r="N485" s="4">
        <v>-122.5171</v>
      </c>
      <c r="O485" s="4" t="s">
        <v>1290</v>
      </c>
      <c r="P485" s="4">
        <v>140</v>
      </c>
      <c r="Q485" s="4">
        <v>1</v>
      </c>
      <c r="R485" s="4" t="s">
        <v>2081</v>
      </c>
      <c r="S485" s="4" t="s">
        <v>1737</v>
      </c>
      <c r="T485" s="4">
        <v>757</v>
      </c>
      <c r="U485" s="4" t="s">
        <v>645</v>
      </c>
      <c r="W485" s="4">
        <v>32143</v>
      </c>
      <c r="X485" s="4" t="s">
        <v>1738</v>
      </c>
      <c r="AO485" s="4" t="s">
        <v>2081</v>
      </c>
      <c r="AP485" s="4">
        <v>140</v>
      </c>
      <c r="AQ485" s="4" t="s">
        <v>1716</v>
      </c>
      <c r="AR485" s="4" t="s">
        <v>1739</v>
      </c>
      <c r="AS485" s="4" t="s">
        <v>1740</v>
      </c>
      <c r="AT485" s="4" t="s">
        <v>1741</v>
      </c>
      <c r="AU485" s="4" t="s">
        <v>1742</v>
      </c>
      <c r="AV485" s="4" t="s">
        <v>1720</v>
      </c>
      <c r="AW485" s="4" t="s">
        <v>2003</v>
      </c>
      <c r="AX485" s="4" t="s">
        <v>2024</v>
      </c>
      <c r="AY485" s="4">
        <v>55.524999999999999</v>
      </c>
      <c r="AZ485" s="4">
        <v>-122.5172</v>
      </c>
      <c r="BA485" s="4">
        <v>747</v>
      </c>
    </row>
    <row r="486" spans="1:53" ht="14.25" customHeight="1" x14ac:dyDescent="0.2">
      <c r="B486" s="4">
        <v>12</v>
      </c>
      <c r="C486" s="4" t="s">
        <v>7666</v>
      </c>
      <c r="D486" s="4">
        <v>141</v>
      </c>
      <c r="E486" s="4">
        <v>1708</v>
      </c>
      <c r="F486" s="4" t="s">
        <v>2084</v>
      </c>
      <c r="G486" s="4" t="s">
        <v>2085</v>
      </c>
      <c r="H486" s="4" t="s">
        <v>2086</v>
      </c>
      <c r="I486" s="4" t="s">
        <v>641</v>
      </c>
      <c r="J486" s="4" t="s">
        <v>1865</v>
      </c>
      <c r="K486" s="4">
        <v>1</v>
      </c>
      <c r="L486" s="4">
        <v>2111</v>
      </c>
      <c r="M486" s="4">
        <v>55.579880000000003</v>
      </c>
      <c r="N486" s="4">
        <v>-124.23197999999999</v>
      </c>
      <c r="O486" s="4" t="s">
        <v>1290</v>
      </c>
      <c r="P486" s="4">
        <v>141</v>
      </c>
      <c r="Q486" s="4">
        <v>4</v>
      </c>
      <c r="R486" s="4" t="s">
        <v>2084</v>
      </c>
      <c r="S486" s="4" t="s">
        <v>1737</v>
      </c>
      <c r="T486" s="4">
        <v>1047</v>
      </c>
      <c r="W486" s="4">
        <v>25569</v>
      </c>
      <c r="X486" s="4" t="s">
        <v>1738</v>
      </c>
      <c r="AO486" s="4" t="s">
        <v>2084</v>
      </c>
      <c r="AP486" s="4">
        <v>141</v>
      </c>
      <c r="AQ486" s="4" t="s">
        <v>1716</v>
      </c>
      <c r="AR486" s="4" t="s">
        <v>1739</v>
      </c>
      <c r="AS486" s="4" t="s">
        <v>1740</v>
      </c>
      <c r="AT486" s="4" t="s">
        <v>1741</v>
      </c>
      <c r="AU486" s="4" t="s">
        <v>1742</v>
      </c>
      <c r="AV486" s="4" t="s">
        <v>1720</v>
      </c>
      <c r="AW486" s="4" t="s">
        <v>2003</v>
      </c>
      <c r="AX486" s="4" t="s">
        <v>2087</v>
      </c>
      <c r="AY486" s="4">
        <v>55.579799999999999</v>
      </c>
      <c r="AZ486" s="4">
        <v>-124.2321</v>
      </c>
      <c r="BA486" s="4">
        <v>1038</v>
      </c>
    </row>
    <row r="487" spans="1:53" ht="14.25" customHeight="1" x14ac:dyDescent="0.2">
      <c r="A487" s="4" t="s">
        <v>88</v>
      </c>
      <c r="B487" s="4">
        <v>12</v>
      </c>
      <c r="C487" s="4" t="s">
        <v>7666</v>
      </c>
      <c r="D487" s="4">
        <v>144</v>
      </c>
      <c r="E487" s="4">
        <v>1709</v>
      </c>
      <c r="F487" s="4" t="s">
        <v>2088</v>
      </c>
      <c r="G487" s="8" t="s">
        <v>2089</v>
      </c>
      <c r="H487" s="4" t="s">
        <v>2090</v>
      </c>
      <c r="I487" s="4" t="s">
        <v>641</v>
      </c>
      <c r="J487" s="4" t="s">
        <v>1865</v>
      </c>
      <c r="K487" s="4">
        <v>1</v>
      </c>
      <c r="L487" s="4">
        <v>2112</v>
      </c>
      <c r="M487" s="4">
        <v>54.716169999999998</v>
      </c>
      <c r="N487" s="4">
        <v>-122.27417</v>
      </c>
      <c r="O487" s="4" t="s">
        <v>1290</v>
      </c>
      <c r="P487" s="4">
        <v>144</v>
      </c>
      <c r="Q487" s="4">
        <v>1</v>
      </c>
      <c r="R487" s="4" t="s">
        <v>2088</v>
      </c>
      <c r="S487" s="4" t="s">
        <v>1737</v>
      </c>
      <c r="T487" s="4">
        <v>760</v>
      </c>
      <c r="W487" s="4">
        <v>31778</v>
      </c>
      <c r="X487" s="4" t="s">
        <v>1738</v>
      </c>
      <c r="AO487" s="4" t="s">
        <v>2088</v>
      </c>
      <c r="AP487" s="4">
        <v>144</v>
      </c>
      <c r="AQ487" s="4" t="s">
        <v>1700</v>
      </c>
      <c r="AR487" s="4" t="s">
        <v>1739</v>
      </c>
      <c r="AS487" s="4" t="s">
        <v>1740</v>
      </c>
      <c r="AT487" s="4" t="s">
        <v>1835</v>
      </c>
      <c r="AU487" s="4" t="s">
        <v>1959</v>
      </c>
      <c r="AV487" s="4" t="s">
        <v>1720</v>
      </c>
      <c r="AW487" s="4" t="s">
        <v>2003</v>
      </c>
      <c r="AX487" s="4" t="s">
        <v>2091</v>
      </c>
      <c r="AY487" s="4">
        <v>54.715800000000002</v>
      </c>
      <c r="AZ487" s="4">
        <v>-122.2747</v>
      </c>
      <c r="BA487" s="4">
        <v>775</v>
      </c>
    </row>
    <row r="488" spans="1:53" ht="14.25" customHeight="1" x14ac:dyDescent="0.2">
      <c r="A488" s="4" t="s">
        <v>1908</v>
      </c>
      <c r="B488" s="4">
        <v>12</v>
      </c>
      <c r="C488" s="4" t="s">
        <v>7666</v>
      </c>
      <c r="D488" s="4">
        <v>145</v>
      </c>
      <c r="E488" s="4">
        <v>1710</v>
      </c>
      <c r="F488" s="8" t="s">
        <v>2092</v>
      </c>
      <c r="G488" s="8" t="s">
        <v>2093</v>
      </c>
      <c r="H488" s="4" t="s">
        <v>2094</v>
      </c>
      <c r="I488" s="4" t="s">
        <v>641</v>
      </c>
      <c r="J488" s="4" t="s">
        <v>1736</v>
      </c>
      <c r="K488" s="4">
        <v>1</v>
      </c>
      <c r="L488" s="4">
        <v>2113</v>
      </c>
      <c r="M488" s="4">
        <v>57.019419999999997</v>
      </c>
      <c r="N488" s="4">
        <v>-125.18039</v>
      </c>
      <c r="O488" s="4" t="s">
        <v>1577</v>
      </c>
      <c r="P488" s="4">
        <v>145</v>
      </c>
      <c r="Q488" s="4">
        <v>4</v>
      </c>
      <c r="R488" s="4" t="s">
        <v>2095</v>
      </c>
      <c r="S488" s="4" t="s">
        <v>1737</v>
      </c>
      <c r="T488" s="4">
        <v>1213</v>
      </c>
      <c r="U488" s="4" t="s">
        <v>645</v>
      </c>
      <c r="W488" s="4">
        <v>31413</v>
      </c>
      <c r="X488" s="4" t="s">
        <v>1738</v>
      </c>
      <c r="AO488" s="4" t="s">
        <v>2095</v>
      </c>
      <c r="AP488" s="4">
        <v>145</v>
      </c>
      <c r="AQ488" s="4" t="s">
        <v>1716</v>
      </c>
      <c r="AR488" s="4" t="s">
        <v>1739</v>
      </c>
      <c r="AS488" s="4" t="s">
        <v>1740</v>
      </c>
      <c r="AT488" s="4" t="s">
        <v>1835</v>
      </c>
      <c r="AU488" s="4" t="s">
        <v>1742</v>
      </c>
      <c r="AV488" s="4" t="s">
        <v>1720</v>
      </c>
      <c r="AW488" s="4" t="s">
        <v>2003</v>
      </c>
      <c r="AX488" s="4" t="s">
        <v>2087</v>
      </c>
      <c r="AY488" s="4">
        <v>57.019399999999997</v>
      </c>
      <c r="AZ488" s="4">
        <v>-125.18040000000001</v>
      </c>
      <c r="BA488" s="4">
        <v>680</v>
      </c>
    </row>
    <row r="489" spans="1:53" ht="14.25" customHeight="1" x14ac:dyDescent="0.2">
      <c r="A489" s="4" t="s">
        <v>88</v>
      </c>
      <c r="B489" s="6">
        <v>12</v>
      </c>
      <c r="C489" s="4" t="s">
        <v>7666</v>
      </c>
      <c r="D489" s="4">
        <v>146</v>
      </c>
      <c r="E489" s="4">
        <v>1711</v>
      </c>
      <c r="F489" s="4" t="s">
        <v>2096</v>
      </c>
      <c r="G489" s="8" t="s">
        <v>2097</v>
      </c>
      <c r="H489" s="4" t="s">
        <v>2098</v>
      </c>
      <c r="I489" s="4" t="s">
        <v>641</v>
      </c>
      <c r="J489" s="4" t="s">
        <v>1736</v>
      </c>
      <c r="K489" s="4">
        <v>1</v>
      </c>
      <c r="L489" s="4">
        <v>2114</v>
      </c>
      <c r="M489" s="4">
        <v>54.394080000000002</v>
      </c>
      <c r="N489" s="4">
        <v>-124.26097</v>
      </c>
      <c r="O489" s="4" t="s">
        <v>1290</v>
      </c>
      <c r="P489" s="4">
        <v>146</v>
      </c>
      <c r="Q489" s="4">
        <v>1</v>
      </c>
      <c r="R489" s="4" t="s">
        <v>2096</v>
      </c>
      <c r="S489" s="4" t="s">
        <v>1737</v>
      </c>
      <c r="T489" s="4">
        <v>750</v>
      </c>
      <c r="W489" s="4">
        <v>28856</v>
      </c>
      <c r="X489" s="4" t="s">
        <v>1738</v>
      </c>
      <c r="Y489" s="7"/>
      <c r="AO489" s="4" t="s">
        <v>2096</v>
      </c>
      <c r="AP489" s="4">
        <v>146</v>
      </c>
      <c r="AQ489" s="4" t="s">
        <v>1700</v>
      </c>
      <c r="AR489" s="4" t="s">
        <v>1739</v>
      </c>
      <c r="AS489" s="4" t="s">
        <v>1740</v>
      </c>
      <c r="AT489" s="4" t="s">
        <v>1741</v>
      </c>
      <c r="AU489" s="4" t="s">
        <v>1772</v>
      </c>
      <c r="AV489" s="4" t="s">
        <v>1720</v>
      </c>
      <c r="AW489" s="4" t="s">
        <v>2003</v>
      </c>
      <c r="AX489" s="4" t="s">
        <v>2099</v>
      </c>
      <c r="AY489" s="4">
        <v>54.394199999999998</v>
      </c>
      <c r="AZ489" s="4">
        <v>-124.2611</v>
      </c>
      <c r="BA489" s="4">
        <v>720</v>
      </c>
    </row>
    <row r="490" spans="1:53" ht="14.25" customHeight="1" x14ac:dyDescent="0.2">
      <c r="B490" s="6">
        <v>12</v>
      </c>
      <c r="C490" s="4" t="s">
        <v>7666</v>
      </c>
      <c r="D490" s="4">
        <v>147</v>
      </c>
      <c r="E490" s="4">
        <v>1712</v>
      </c>
      <c r="F490" s="16" t="s">
        <v>2100</v>
      </c>
      <c r="G490" s="4" t="s">
        <v>2101</v>
      </c>
      <c r="H490" s="4" t="s">
        <v>2102</v>
      </c>
      <c r="I490" s="4" t="s">
        <v>1664</v>
      </c>
      <c r="J490" s="4" t="s">
        <v>1715</v>
      </c>
      <c r="K490" s="4">
        <v>1</v>
      </c>
      <c r="L490" s="4">
        <v>2115</v>
      </c>
      <c r="Y490" s="7"/>
      <c r="AO490" s="4" t="s">
        <v>2100</v>
      </c>
      <c r="AP490" s="4">
        <v>147</v>
      </c>
      <c r="AQ490" s="4" t="s">
        <v>1716</v>
      </c>
      <c r="AR490" s="4" t="s">
        <v>1717</v>
      </c>
      <c r="AS490" s="4" t="s">
        <v>1718</v>
      </c>
      <c r="AT490" s="4" t="s">
        <v>1719</v>
      </c>
      <c r="AU490" s="4" t="s">
        <v>1703</v>
      </c>
      <c r="AV490" s="4" t="s">
        <v>1720</v>
      </c>
      <c r="AW490" s="4" t="s">
        <v>2003</v>
      </c>
      <c r="AX490" s="4" t="s">
        <v>2091</v>
      </c>
      <c r="AY490" s="4">
        <v>54.4</v>
      </c>
      <c r="AZ490" s="4">
        <v>-122.8</v>
      </c>
      <c r="BA490" s="4">
        <v>0</v>
      </c>
    </row>
    <row r="491" spans="1:53" ht="14.25" customHeight="1" x14ac:dyDescent="0.2">
      <c r="A491" s="4" t="s">
        <v>88</v>
      </c>
      <c r="B491" s="6">
        <v>12</v>
      </c>
      <c r="C491" s="4" t="s">
        <v>7666</v>
      </c>
      <c r="D491" s="4">
        <v>148</v>
      </c>
      <c r="E491" s="4">
        <v>1713</v>
      </c>
      <c r="F491" s="4" t="s">
        <v>2103</v>
      </c>
      <c r="G491" s="8" t="s">
        <v>2104</v>
      </c>
      <c r="H491" s="4" t="s">
        <v>2083</v>
      </c>
      <c r="I491" s="4" t="s">
        <v>641</v>
      </c>
      <c r="J491" s="4" t="s">
        <v>1736</v>
      </c>
      <c r="K491" s="4">
        <v>1</v>
      </c>
      <c r="L491" s="4">
        <v>2116</v>
      </c>
      <c r="M491" s="4">
        <v>56.318779999999997</v>
      </c>
      <c r="N491" s="4">
        <v>-125.36797</v>
      </c>
      <c r="O491" s="4" t="s">
        <v>1290</v>
      </c>
      <c r="P491" s="4">
        <v>148</v>
      </c>
      <c r="Q491" s="4">
        <v>5</v>
      </c>
      <c r="R491" s="4" t="s">
        <v>2103</v>
      </c>
      <c r="S491" s="4" t="s">
        <v>1737</v>
      </c>
      <c r="T491" s="4">
        <v>1126</v>
      </c>
      <c r="W491" s="4">
        <v>29221</v>
      </c>
      <c r="X491" s="4" t="s">
        <v>1738</v>
      </c>
      <c r="Y491" s="7"/>
      <c r="AO491" s="4" t="s">
        <v>2103</v>
      </c>
      <c r="AP491" s="4">
        <v>148</v>
      </c>
      <c r="AQ491" s="4" t="s">
        <v>1716</v>
      </c>
      <c r="AR491" s="4" t="s">
        <v>1739</v>
      </c>
      <c r="AS491" s="4" t="s">
        <v>1740</v>
      </c>
      <c r="AT491" s="4" t="s">
        <v>1741</v>
      </c>
      <c r="AU491" s="4" t="s">
        <v>1742</v>
      </c>
      <c r="AV491" s="4" t="s">
        <v>1720</v>
      </c>
      <c r="AW491" s="4" t="s">
        <v>2003</v>
      </c>
      <c r="AX491" s="4" t="s">
        <v>2087</v>
      </c>
      <c r="AY491" s="4">
        <v>56.318800000000003</v>
      </c>
      <c r="AZ491" s="4">
        <v>-125.36799999999999</v>
      </c>
      <c r="BA491" s="4">
        <v>1126</v>
      </c>
    </row>
    <row r="492" spans="1:53" ht="14.25" customHeight="1" x14ac:dyDescent="0.2">
      <c r="A492" s="4" t="s">
        <v>88</v>
      </c>
      <c r="B492" s="6">
        <v>12</v>
      </c>
      <c r="C492" s="4" t="s">
        <v>7666</v>
      </c>
      <c r="D492" s="4">
        <v>149</v>
      </c>
      <c r="E492" s="4">
        <v>1714</v>
      </c>
      <c r="F492" s="4" t="s">
        <v>2105</v>
      </c>
      <c r="G492" s="8" t="s">
        <v>2106</v>
      </c>
      <c r="H492" s="4" t="s">
        <v>2107</v>
      </c>
      <c r="I492" s="4" t="s">
        <v>641</v>
      </c>
      <c r="J492" s="4" t="s">
        <v>1736</v>
      </c>
      <c r="K492" s="4">
        <v>1</v>
      </c>
      <c r="L492" s="4">
        <v>2117</v>
      </c>
      <c r="M492" s="4">
        <v>54.509219999999999</v>
      </c>
      <c r="N492" s="4">
        <v>-122.69103</v>
      </c>
      <c r="O492" s="4" t="s">
        <v>1290</v>
      </c>
      <c r="P492" s="4">
        <v>149</v>
      </c>
      <c r="Q492" s="4">
        <v>1</v>
      </c>
      <c r="R492" s="4" t="s">
        <v>2105</v>
      </c>
      <c r="S492" s="4" t="s">
        <v>1737</v>
      </c>
      <c r="T492" s="4">
        <v>739</v>
      </c>
      <c r="W492" s="4">
        <v>29221</v>
      </c>
      <c r="X492" s="4" t="s">
        <v>1738</v>
      </c>
      <c r="Y492" s="7"/>
      <c r="AO492" s="4" t="s">
        <v>2105</v>
      </c>
      <c r="AP492" s="4">
        <v>149</v>
      </c>
      <c r="AQ492" s="4" t="s">
        <v>1700</v>
      </c>
      <c r="AR492" s="4" t="s">
        <v>1739</v>
      </c>
      <c r="AS492" s="4" t="s">
        <v>1740</v>
      </c>
      <c r="AT492" s="4" t="s">
        <v>1741</v>
      </c>
      <c r="AU492" s="4" t="s">
        <v>1959</v>
      </c>
      <c r="AV492" s="4" t="s">
        <v>1720</v>
      </c>
      <c r="AW492" s="4" t="s">
        <v>2003</v>
      </c>
      <c r="AX492" s="4" t="s">
        <v>2091</v>
      </c>
      <c r="AY492" s="4">
        <v>54.482399999999998</v>
      </c>
      <c r="AZ492" s="4">
        <v>-122.6829</v>
      </c>
      <c r="BA492" s="4">
        <v>715</v>
      </c>
    </row>
    <row r="493" spans="1:53" ht="14.25" customHeight="1" x14ac:dyDescent="0.2">
      <c r="B493" s="6">
        <v>12</v>
      </c>
      <c r="C493" s="4" t="s">
        <v>7666</v>
      </c>
      <c r="D493" s="4">
        <v>150</v>
      </c>
      <c r="E493" s="4">
        <v>1715</v>
      </c>
      <c r="F493" s="16" t="s">
        <v>2108</v>
      </c>
      <c r="G493" s="4" t="s">
        <v>2109</v>
      </c>
      <c r="H493" s="4" t="s">
        <v>2110</v>
      </c>
      <c r="I493" s="4" t="s">
        <v>1664</v>
      </c>
      <c r="J493" s="4" t="s">
        <v>1715</v>
      </c>
      <c r="K493" s="4">
        <v>1</v>
      </c>
      <c r="L493" s="4">
        <v>2118</v>
      </c>
      <c r="Y493" s="7"/>
      <c r="AO493" s="4" t="s">
        <v>2108</v>
      </c>
      <c r="AP493" s="4">
        <v>150</v>
      </c>
      <c r="AQ493" s="4" t="s">
        <v>1716</v>
      </c>
      <c r="AR493" s="4" t="s">
        <v>1717</v>
      </c>
      <c r="AS493" s="4" t="s">
        <v>1718</v>
      </c>
      <c r="AT493" s="4" t="s">
        <v>1719</v>
      </c>
      <c r="AU493" s="4" t="s">
        <v>1703</v>
      </c>
      <c r="AV493" s="4" t="s">
        <v>1720</v>
      </c>
      <c r="AW493" s="4" t="s">
        <v>2003</v>
      </c>
      <c r="AX493" s="4" t="s">
        <v>2099</v>
      </c>
      <c r="AY493" s="4">
        <v>55</v>
      </c>
      <c r="AZ493" s="4">
        <v>-124.3</v>
      </c>
      <c r="BA493" s="4">
        <v>10</v>
      </c>
    </row>
    <row r="494" spans="1:53" ht="14.25" customHeight="1" x14ac:dyDescent="0.2">
      <c r="B494" s="6">
        <v>12</v>
      </c>
      <c r="C494" s="4" t="s">
        <v>7666</v>
      </c>
      <c r="D494" s="4">
        <v>151</v>
      </c>
      <c r="E494" s="4">
        <v>1716</v>
      </c>
      <c r="F494" s="4" t="s">
        <v>2111</v>
      </c>
      <c r="G494" s="4" t="s">
        <v>2112</v>
      </c>
      <c r="H494" s="4" t="s">
        <v>2113</v>
      </c>
      <c r="I494" s="4" t="s">
        <v>641</v>
      </c>
      <c r="J494" s="4" t="s">
        <v>1736</v>
      </c>
      <c r="K494" s="4">
        <v>1</v>
      </c>
      <c r="L494" s="4">
        <v>2119</v>
      </c>
      <c r="M494" s="9">
        <v>56.364330000000002</v>
      </c>
      <c r="N494" s="9">
        <v>-123.36556</v>
      </c>
      <c r="O494" s="9" t="s">
        <v>1290</v>
      </c>
      <c r="P494" s="9">
        <v>151</v>
      </c>
      <c r="Q494" s="20">
        <v>5</v>
      </c>
      <c r="R494" s="9" t="s">
        <v>2111</v>
      </c>
      <c r="S494" s="9" t="s">
        <v>1737</v>
      </c>
      <c r="T494" s="9">
        <v>1108</v>
      </c>
      <c r="U494" s="9"/>
      <c r="V494" s="9"/>
      <c r="W494" s="21">
        <v>31778</v>
      </c>
      <c r="X494" s="9" t="s">
        <v>1738</v>
      </c>
      <c r="Y494" s="7"/>
      <c r="AO494" s="4" t="s">
        <v>2111</v>
      </c>
      <c r="AP494" s="4">
        <v>151</v>
      </c>
      <c r="AQ494" s="4" t="s">
        <v>1716</v>
      </c>
      <c r="AR494" s="4" t="s">
        <v>1739</v>
      </c>
      <c r="AS494" s="4" t="s">
        <v>1740</v>
      </c>
      <c r="AT494" s="4" t="s">
        <v>1741</v>
      </c>
      <c r="AU494" s="4" t="s">
        <v>1742</v>
      </c>
      <c r="AV494" s="4" t="s">
        <v>1720</v>
      </c>
      <c r="AW494" s="4" t="s">
        <v>2003</v>
      </c>
      <c r="AX494" s="4" t="s">
        <v>2087</v>
      </c>
      <c r="AY494" s="4">
        <v>56.3643</v>
      </c>
      <c r="AZ494" s="4">
        <v>-123.3655</v>
      </c>
      <c r="BA494" s="4">
        <v>1103</v>
      </c>
    </row>
    <row r="495" spans="1:53" ht="14.25" customHeight="1" x14ac:dyDescent="0.2">
      <c r="A495" s="4" t="s">
        <v>88</v>
      </c>
      <c r="B495" s="6">
        <v>12</v>
      </c>
      <c r="C495" s="4" t="s">
        <v>7666</v>
      </c>
      <c r="D495" s="4">
        <v>152</v>
      </c>
      <c r="E495" s="4">
        <v>1717</v>
      </c>
      <c r="F495" s="4" t="s">
        <v>2114</v>
      </c>
      <c r="G495" s="8" t="s">
        <v>2115</v>
      </c>
      <c r="H495" s="4" t="s">
        <v>2116</v>
      </c>
      <c r="I495" s="4" t="s">
        <v>641</v>
      </c>
      <c r="J495" s="4" t="s">
        <v>1865</v>
      </c>
      <c r="K495" s="4">
        <v>1</v>
      </c>
      <c r="L495" s="4">
        <v>2120</v>
      </c>
      <c r="M495" s="9">
        <v>57.851750000000003</v>
      </c>
      <c r="N495" s="9">
        <v>-126.11676</v>
      </c>
      <c r="O495" s="9" t="s">
        <v>1577</v>
      </c>
      <c r="P495" s="9">
        <v>152</v>
      </c>
      <c r="Q495" s="20">
        <v>2</v>
      </c>
      <c r="R495" s="9" t="s">
        <v>2114</v>
      </c>
      <c r="S495" s="9" t="s">
        <v>1737</v>
      </c>
      <c r="T495" s="9">
        <v>985</v>
      </c>
      <c r="U495" s="9" t="s">
        <v>645</v>
      </c>
      <c r="V495" s="9"/>
      <c r="W495" s="21">
        <v>32143</v>
      </c>
      <c r="X495" s="9" t="s">
        <v>1738</v>
      </c>
      <c r="Y495" s="7"/>
      <c r="AO495" s="4" t="s">
        <v>2114</v>
      </c>
      <c r="AP495" s="4">
        <v>152</v>
      </c>
      <c r="AQ495" s="4" t="s">
        <v>1716</v>
      </c>
      <c r="AR495" s="4" t="s">
        <v>1739</v>
      </c>
      <c r="AS495" s="4" t="s">
        <v>1740</v>
      </c>
      <c r="AT495" s="4" t="s">
        <v>1835</v>
      </c>
      <c r="AU495" s="4" t="s">
        <v>1742</v>
      </c>
      <c r="AV495" s="4" t="s">
        <v>1720</v>
      </c>
      <c r="AW495" s="4" t="s">
        <v>2003</v>
      </c>
      <c r="AX495" s="4" t="s">
        <v>2087</v>
      </c>
      <c r="AY495" s="4">
        <v>57.851700000000001</v>
      </c>
      <c r="AZ495" s="4">
        <v>-126.1168</v>
      </c>
      <c r="BA495" s="4">
        <v>968</v>
      </c>
    </row>
    <row r="496" spans="1:53" ht="14.25" customHeight="1" x14ac:dyDescent="0.2">
      <c r="A496" s="4" t="s">
        <v>88</v>
      </c>
      <c r="B496" s="6">
        <v>12</v>
      </c>
      <c r="C496" s="4" t="s">
        <v>7666</v>
      </c>
      <c r="D496" s="4">
        <v>153</v>
      </c>
      <c r="E496" s="4">
        <v>1718</v>
      </c>
      <c r="F496" s="4" t="s">
        <v>2117</v>
      </c>
      <c r="G496" s="8" t="s">
        <v>2118</v>
      </c>
      <c r="H496" s="4" t="s">
        <v>2119</v>
      </c>
      <c r="I496" s="4" t="s">
        <v>641</v>
      </c>
      <c r="J496" s="4" t="s">
        <v>1865</v>
      </c>
      <c r="K496" s="4">
        <v>1</v>
      </c>
      <c r="L496" s="4">
        <v>2121</v>
      </c>
      <c r="M496" s="9">
        <v>54.725529999999999</v>
      </c>
      <c r="N496" s="9">
        <v>-123.07867</v>
      </c>
      <c r="O496" s="9" t="s">
        <v>1290</v>
      </c>
      <c r="P496" s="9">
        <v>153</v>
      </c>
      <c r="Q496" s="20">
        <v>3</v>
      </c>
      <c r="R496" s="9" t="s">
        <v>2117</v>
      </c>
      <c r="S496" s="9" t="s">
        <v>1737</v>
      </c>
      <c r="T496" s="9">
        <v>915</v>
      </c>
      <c r="U496" s="9"/>
      <c r="V496" s="9"/>
      <c r="W496" s="21">
        <v>32874</v>
      </c>
      <c r="X496" s="9" t="s">
        <v>1738</v>
      </c>
      <c r="Y496" s="7"/>
      <c r="AO496" s="4" t="s">
        <v>2117</v>
      </c>
      <c r="AP496" s="4">
        <v>153</v>
      </c>
      <c r="AQ496" s="4" t="s">
        <v>1700</v>
      </c>
      <c r="AR496" s="4" t="s">
        <v>1739</v>
      </c>
      <c r="AS496" s="4" t="s">
        <v>1740</v>
      </c>
      <c r="AT496" s="4" t="s">
        <v>1835</v>
      </c>
      <c r="AU496" s="4" t="s">
        <v>1959</v>
      </c>
      <c r="AV496" s="4" t="s">
        <v>1720</v>
      </c>
      <c r="AW496" s="4" t="s">
        <v>2003</v>
      </c>
      <c r="AX496" s="4" t="s">
        <v>2091</v>
      </c>
      <c r="AY496" s="4">
        <v>54.744199999999999</v>
      </c>
      <c r="AZ496" s="4">
        <v>-123.0187</v>
      </c>
      <c r="BA496" s="4">
        <v>867</v>
      </c>
    </row>
    <row r="497" spans="1:53" ht="14.25" customHeight="1" x14ac:dyDescent="0.2">
      <c r="A497" s="4" t="s">
        <v>88</v>
      </c>
      <c r="B497" s="6">
        <v>12</v>
      </c>
      <c r="C497" s="4" t="s">
        <v>7666</v>
      </c>
      <c r="D497" s="4">
        <v>154</v>
      </c>
      <c r="E497" s="4">
        <v>1719</v>
      </c>
      <c r="F497" s="4" t="s">
        <v>2120</v>
      </c>
      <c r="G497" s="8" t="s">
        <v>2121</v>
      </c>
      <c r="H497" s="4" t="s">
        <v>2122</v>
      </c>
      <c r="I497" s="4" t="s">
        <v>641</v>
      </c>
      <c r="J497" s="4" t="s">
        <v>1736</v>
      </c>
      <c r="K497" s="4">
        <v>1</v>
      </c>
      <c r="L497" s="4">
        <v>2122</v>
      </c>
      <c r="M497" s="9">
        <v>55.023029999999999</v>
      </c>
      <c r="N497" s="9">
        <v>-124.26661</v>
      </c>
      <c r="O497" s="9" t="s">
        <v>1290</v>
      </c>
      <c r="P497" s="9">
        <v>154</v>
      </c>
      <c r="Q497" s="20">
        <v>4</v>
      </c>
      <c r="R497" s="9" t="s">
        <v>2120</v>
      </c>
      <c r="S497" s="9" t="s">
        <v>1737</v>
      </c>
      <c r="T497" s="9">
        <v>1030</v>
      </c>
      <c r="U497" s="9"/>
      <c r="V497" s="9"/>
      <c r="W497" s="21">
        <v>33970</v>
      </c>
      <c r="X497" s="9" t="s">
        <v>1738</v>
      </c>
      <c r="Y497" s="7"/>
      <c r="AO497" s="4" t="s">
        <v>2120</v>
      </c>
      <c r="AP497" s="4">
        <v>154</v>
      </c>
      <c r="AQ497" s="4" t="s">
        <v>1716</v>
      </c>
      <c r="AR497" s="4" t="s">
        <v>1739</v>
      </c>
      <c r="AS497" s="4" t="s">
        <v>1740</v>
      </c>
      <c r="AT497" s="4" t="s">
        <v>1741</v>
      </c>
      <c r="AU497" s="4" t="s">
        <v>1742</v>
      </c>
      <c r="AV497" s="4" t="s">
        <v>1720</v>
      </c>
      <c r="AW497" s="4" t="s">
        <v>2003</v>
      </c>
      <c r="AX497" s="4" t="s">
        <v>2099</v>
      </c>
      <c r="AY497" s="4">
        <v>55.023000000000003</v>
      </c>
      <c r="AZ497" s="4">
        <v>-124.2666</v>
      </c>
      <c r="BA497" s="4">
        <v>1041</v>
      </c>
    </row>
    <row r="498" spans="1:53" ht="14.25" customHeight="1" x14ac:dyDescent="0.2">
      <c r="A498" s="4" t="s">
        <v>88</v>
      </c>
      <c r="B498" s="6">
        <v>12</v>
      </c>
      <c r="C498" s="4" t="s">
        <v>7666</v>
      </c>
      <c r="D498" s="4">
        <v>155</v>
      </c>
      <c r="E498" s="4">
        <v>1720</v>
      </c>
      <c r="F498" s="4" t="s">
        <v>2123</v>
      </c>
      <c r="G498" s="8" t="s">
        <v>2124</v>
      </c>
      <c r="H498" s="4" t="s">
        <v>2125</v>
      </c>
      <c r="I498" s="4" t="s">
        <v>641</v>
      </c>
      <c r="J498" s="4" t="s">
        <v>1736</v>
      </c>
      <c r="K498" s="4">
        <v>1</v>
      </c>
      <c r="L498" s="4">
        <v>2123</v>
      </c>
      <c r="M498" s="9">
        <v>55.322110000000002</v>
      </c>
      <c r="N498" s="9">
        <v>-123.09317</v>
      </c>
      <c r="O498" s="9" t="s">
        <v>1290</v>
      </c>
      <c r="P498" s="9">
        <v>155</v>
      </c>
      <c r="Q498" s="20">
        <v>1</v>
      </c>
      <c r="R498" s="9" t="s">
        <v>2123</v>
      </c>
      <c r="S498" s="9" t="s">
        <v>1737</v>
      </c>
      <c r="T498" s="9">
        <v>690</v>
      </c>
      <c r="U498" s="9"/>
      <c r="V498" s="9"/>
      <c r="W498" s="21">
        <v>34335</v>
      </c>
      <c r="X498" s="9" t="s">
        <v>1738</v>
      </c>
      <c r="Y498" s="7"/>
      <c r="AO498" s="4" t="s">
        <v>2123</v>
      </c>
      <c r="AP498" s="4">
        <v>155</v>
      </c>
      <c r="AQ498" s="4" t="s">
        <v>1700</v>
      </c>
      <c r="AR498" s="4" t="s">
        <v>1739</v>
      </c>
      <c r="AS498" s="4" t="s">
        <v>1740</v>
      </c>
      <c r="AT498" s="4" t="s">
        <v>1835</v>
      </c>
      <c r="AU498" s="4" t="s">
        <v>1772</v>
      </c>
      <c r="AV498" s="4" t="s">
        <v>1720</v>
      </c>
      <c r="AW498" s="4" t="s">
        <v>2003</v>
      </c>
      <c r="AX498" s="4" t="s">
        <v>2087</v>
      </c>
      <c r="AY498" s="4">
        <v>55.2864</v>
      </c>
      <c r="AZ498" s="4">
        <v>-123.1358</v>
      </c>
      <c r="BA498" s="4">
        <v>697</v>
      </c>
    </row>
    <row r="499" spans="1:53" ht="14.25" customHeight="1" x14ac:dyDescent="0.2">
      <c r="A499" s="4" t="s">
        <v>88</v>
      </c>
      <c r="B499" s="6">
        <v>12</v>
      </c>
      <c r="C499" s="4" t="s">
        <v>7666</v>
      </c>
      <c r="D499" s="4">
        <v>156</v>
      </c>
      <c r="E499" s="4">
        <v>1721</v>
      </c>
      <c r="F499" s="4" t="s">
        <v>2126</v>
      </c>
      <c r="G499" s="8" t="s">
        <v>2127</v>
      </c>
      <c r="H499" s="4" t="s">
        <v>2128</v>
      </c>
      <c r="I499" s="4" t="s">
        <v>641</v>
      </c>
      <c r="J499" s="4" t="s">
        <v>1736</v>
      </c>
      <c r="K499" s="4">
        <v>1</v>
      </c>
      <c r="L499" s="4">
        <v>2124</v>
      </c>
      <c r="M499" s="9">
        <v>56.32873</v>
      </c>
      <c r="N499" s="9">
        <v>-127.03425</v>
      </c>
      <c r="O499" s="9" t="s">
        <v>1290</v>
      </c>
      <c r="P499" s="9">
        <v>156</v>
      </c>
      <c r="Q499" s="20">
        <v>3</v>
      </c>
      <c r="R499" s="9" t="s">
        <v>2126</v>
      </c>
      <c r="S499" s="9" t="s">
        <v>1737</v>
      </c>
      <c r="T499" s="9">
        <v>871</v>
      </c>
      <c r="U499" s="9"/>
      <c r="V499" s="9"/>
      <c r="W499" s="21">
        <v>32509</v>
      </c>
      <c r="X499" s="9" t="s">
        <v>1738</v>
      </c>
      <c r="Y499" s="7"/>
      <c r="AO499" s="4" t="s">
        <v>2126</v>
      </c>
      <c r="AP499" s="4">
        <v>156</v>
      </c>
      <c r="AQ499" s="4" t="s">
        <v>1716</v>
      </c>
      <c r="AR499" s="4" t="s">
        <v>1739</v>
      </c>
      <c r="AS499" s="4" t="s">
        <v>1740</v>
      </c>
      <c r="AT499" s="4" t="s">
        <v>1741</v>
      </c>
      <c r="AU499" s="4" t="s">
        <v>1742</v>
      </c>
      <c r="AV499" s="4" t="s">
        <v>1720</v>
      </c>
      <c r="AW499" s="4" t="s">
        <v>2003</v>
      </c>
      <c r="AX499" s="4" t="s">
        <v>2099</v>
      </c>
      <c r="AY499" s="4">
        <v>56.328800000000001</v>
      </c>
      <c r="AZ499" s="4">
        <v>-127.0339</v>
      </c>
      <c r="BA499" s="4">
        <v>819</v>
      </c>
    </row>
    <row r="500" spans="1:53" ht="14.25" customHeight="1" x14ac:dyDescent="0.2">
      <c r="A500" s="4" t="s">
        <v>422</v>
      </c>
      <c r="B500" s="6">
        <v>12</v>
      </c>
      <c r="C500" s="4" t="s">
        <v>7671</v>
      </c>
      <c r="D500" s="4">
        <v>157</v>
      </c>
      <c r="E500" s="4">
        <v>12968</v>
      </c>
      <c r="F500" s="49" t="s">
        <v>2130</v>
      </c>
      <c r="G500" s="4" t="s">
        <v>2131</v>
      </c>
      <c r="H500" s="4" t="s">
        <v>1697</v>
      </c>
      <c r="I500" s="4" t="s">
        <v>49</v>
      </c>
      <c r="J500" s="4" t="s">
        <v>1746</v>
      </c>
      <c r="K500" s="4">
        <v>1</v>
      </c>
      <c r="L500" s="4">
        <v>14900</v>
      </c>
      <c r="Y500" s="7"/>
      <c r="AO500" s="48" t="s">
        <v>2132</v>
      </c>
      <c r="AP500" s="48">
        <v>157</v>
      </c>
      <c r="AQ500" s="48" t="s">
        <v>1700</v>
      </c>
      <c r="AR500" s="48" t="s">
        <v>1701</v>
      </c>
      <c r="AS500" s="48" t="s">
        <v>1702</v>
      </c>
      <c r="AT500" s="48" t="s">
        <v>1703</v>
      </c>
      <c r="AU500" s="48" t="s">
        <v>1704</v>
      </c>
      <c r="AV500" s="48" t="s">
        <v>1702</v>
      </c>
      <c r="AW500" s="48" t="s">
        <v>1947</v>
      </c>
      <c r="AX500" s="48" t="s">
        <v>2133</v>
      </c>
      <c r="AY500" s="48">
        <v>54.824199999999998</v>
      </c>
      <c r="AZ500" s="48">
        <v>-127.18940000000001</v>
      </c>
      <c r="BA500" s="48">
        <v>522</v>
      </c>
    </row>
    <row r="501" spans="1:53" ht="14.25" customHeight="1" x14ac:dyDescent="0.2">
      <c r="A501" s="4" t="s">
        <v>1908</v>
      </c>
      <c r="B501" s="6">
        <v>12</v>
      </c>
      <c r="C501" s="4" t="s">
        <v>7666</v>
      </c>
      <c r="D501" s="4">
        <v>158</v>
      </c>
      <c r="E501" s="4">
        <v>1722</v>
      </c>
      <c r="F501" s="8" t="s">
        <v>2134</v>
      </c>
      <c r="G501" s="8" t="s">
        <v>2135</v>
      </c>
      <c r="H501" s="4" t="s">
        <v>2136</v>
      </c>
      <c r="I501" s="4" t="s">
        <v>641</v>
      </c>
      <c r="J501" s="4" t="s">
        <v>1736</v>
      </c>
      <c r="K501" s="4">
        <v>1</v>
      </c>
      <c r="L501" s="4">
        <v>2125</v>
      </c>
      <c r="M501" s="9">
        <v>54.055810000000001</v>
      </c>
      <c r="N501" s="9">
        <v>-124.00886</v>
      </c>
      <c r="O501" s="9" t="s">
        <v>1290</v>
      </c>
      <c r="P501" s="9">
        <v>158</v>
      </c>
      <c r="Q501" s="20">
        <v>1</v>
      </c>
      <c r="R501" s="9" t="s">
        <v>2137</v>
      </c>
      <c r="S501" s="9" t="s">
        <v>1737</v>
      </c>
      <c r="T501" s="9">
        <v>678</v>
      </c>
      <c r="U501" s="9"/>
      <c r="V501" s="9" t="s">
        <v>2138</v>
      </c>
      <c r="W501" s="21">
        <v>25569</v>
      </c>
      <c r="X501" s="9" t="s">
        <v>1738</v>
      </c>
      <c r="Y501" s="7"/>
      <c r="AO501" s="53" t="s">
        <v>2137</v>
      </c>
      <c r="AP501" s="4">
        <v>158</v>
      </c>
      <c r="AQ501" s="4" t="s">
        <v>1700</v>
      </c>
      <c r="AR501" s="4" t="s">
        <v>1739</v>
      </c>
      <c r="AS501" s="4" t="s">
        <v>1740</v>
      </c>
      <c r="AT501" s="4" t="s">
        <v>1741</v>
      </c>
      <c r="AU501" s="4" t="s">
        <v>2043</v>
      </c>
      <c r="AV501" s="4" t="s">
        <v>1720</v>
      </c>
      <c r="AW501" s="4" t="s">
        <v>2003</v>
      </c>
      <c r="AX501" s="4" t="s">
        <v>2139</v>
      </c>
      <c r="AY501" s="4">
        <v>54.055399999999999</v>
      </c>
      <c r="AZ501" s="4">
        <v>-124.0102</v>
      </c>
      <c r="BA501" s="4">
        <v>681</v>
      </c>
    </row>
    <row r="502" spans="1:53" ht="14.25" customHeight="1" x14ac:dyDescent="0.2">
      <c r="A502" s="4" t="s">
        <v>88</v>
      </c>
      <c r="B502" s="6">
        <v>12</v>
      </c>
      <c r="C502" s="4" t="s">
        <v>7666</v>
      </c>
      <c r="D502" s="4">
        <v>159</v>
      </c>
      <c r="E502" s="4">
        <v>1723</v>
      </c>
      <c r="F502" s="4" t="s">
        <v>2140</v>
      </c>
      <c r="G502" s="8" t="s">
        <v>2141</v>
      </c>
      <c r="H502" s="4" t="s">
        <v>2142</v>
      </c>
      <c r="I502" s="4" t="s">
        <v>641</v>
      </c>
      <c r="J502" s="4" t="s">
        <v>1736</v>
      </c>
      <c r="K502" s="4">
        <v>1</v>
      </c>
      <c r="L502" s="4">
        <v>2126</v>
      </c>
      <c r="M502" s="9">
        <v>54.154629999999997</v>
      </c>
      <c r="N502" s="9">
        <v>-123.75413</v>
      </c>
      <c r="O502" s="9" t="s">
        <v>1290</v>
      </c>
      <c r="P502" s="9">
        <v>159</v>
      </c>
      <c r="Q502" s="20">
        <v>2</v>
      </c>
      <c r="R502" s="9" t="s">
        <v>2140</v>
      </c>
      <c r="S502" s="9" t="s">
        <v>1737</v>
      </c>
      <c r="T502" s="9">
        <v>850</v>
      </c>
      <c r="U502" s="9"/>
      <c r="V502" s="9"/>
      <c r="W502" s="21">
        <v>26299</v>
      </c>
      <c r="X502" s="9" t="s">
        <v>1738</v>
      </c>
      <c r="Y502" s="7"/>
      <c r="AO502" s="4" t="s">
        <v>2140</v>
      </c>
      <c r="AP502" s="4">
        <v>159</v>
      </c>
      <c r="AQ502" s="4" t="s">
        <v>1700</v>
      </c>
      <c r="AR502" s="4" t="s">
        <v>1739</v>
      </c>
      <c r="AS502" s="4" t="s">
        <v>1740</v>
      </c>
      <c r="AT502" s="4" t="s">
        <v>1741</v>
      </c>
      <c r="AU502" s="4" t="s">
        <v>1959</v>
      </c>
      <c r="AV502" s="4" t="s">
        <v>1720</v>
      </c>
      <c r="AW502" s="4" t="s">
        <v>2003</v>
      </c>
      <c r="AX502" s="4" t="s">
        <v>2139</v>
      </c>
      <c r="AY502" s="4">
        <v>54.154600000000002</v>
      </c>
      <c r="AZ502" s="4">
        <v>-123.7542</v>
      </c>
      <c r="BA502" s="4">
        <v>836</v>
      </c>
    </row>
    <row r="503" spans="1:53" ht="14.25" customHeight="1" x14ac:dyDescent="0.2">
      <c r="A503" s="4" t="s">
        <v>1908</v>
      </c>
      <c r="B503" s="6">
        <v>12</v>
      </c>
      <c r="C503" s="4" t="s">
        <v>7666</v>
      </c>
      <c r="D503" s="4">
        <v>161</v>
      </c>
      <c r="E503" s="4">
        <v>1724</v>
      </c>
      <c r="F503" s="8" t="s">
        <v>2143</v>
      </c>
      <c r="G503" s="8" t="s">
        <v>2144</v>
      </c>
      <c r="H503" s="4" t="s">
        <v>2145</v>
      </c>
      <c r="I503" s="4" t="s">
        <v>641</v>
      </c>
      <c r="J503" s="4" t="s">
        <v>1865</v>
      </c>
      <c r="K503" s="4">
        <v>1</v>
      </c>
      <c r="L503" s="4">
        <v>2127</v>
      </c>
      <c r="M503" s="9">
        <v>53.946669999999997</v>
      </c>
      <c r="N503" s="9">
        <v>-125.86667</v>
      </c>
      <c r="O503" s="9" t="s">
        <v>148</v>
      </c>
      <c r="P503" s="9">
        <v>161</v>
      </c>
      <c r="Q503" s="20">
        <v>2</v>
      </c>
      <c r="R503" s="9" t="s">
        <v>2146</v>
      </c>
      <c r="S503" s="9" t="s">
        <v>1737</v>
      </c>
      <c r="T503" s="9">
        <v>944</v>
      </c>
      <c r="U503" s="9" t="s">
        <v>645</v>
      </c>
      <c r="V503" s="9" t="s">
        <v>2147</v>
      </c>
      <c r="W503" s="21">
        <v>25569</v>
      </c>
      <c r="X503" s="9" t="s">
        <v>1738</v>
      </c>
      <c r="Y503" s="7"/>
      <c r="AO503" s="53" t="s">
        <v>2146</v>
      </c>
      <c r="AP503" s="4">
        <v>161</v>
      </c>
      <c r="AQ503" s="4" t="s">
        <v>1716</v>
      </c>
      <c r="AR503" s="4" t="s">
        <v>1739</v>
      </c>
      <c r="AS503" s="4" t="s">
        <v>1740</v>
      </c>
      <c r="AT503" s="4" t="s">
        <v>1741</v>
      </c>
      <c r="AU503" s="4" t="s">
        <v>1959</v>
      </c>
      <c r="AV503" s="4" t="s">
        <v>1720</v>
      </c>
      <c r="AW503" s="4" t="s">
        <v>1947</v>
      </c>
      <c r="AX503" s="4" t="s">
        <v>2148</v>
      </c>
      <c r="AY503" s="4">
        <v>53.945399999999999</v>
      </c>
      <c r="AZ503" s="4">
        <v>-125.87609999999999</v>
      </c>
      <c r="BA503" s="4">
        <v>938</v>
      </c>
    </row>
    <row r="504" spans="1:53" ht="14.25" customHeight="1" x14ac:dyDescent="0.2">
      <c r="A504" s="4" t="s">
        <v>88</v>
      </c>
      <c r="B504" s="6">
        <v>12</v>
      </c>
      <c r="C504" s="4" t="s">
        <v>7666</v>
      </c>
      <c r="D504" s="4">
        <v>162</v>
      </c>
      <c r="E504" s="4">
        <v>1725</v>
      </c>
      <c r="F504" s="4" t="s">
        <v>2149</v>
      </c>
      <c r="G504" s="8" t="s">
        <v>2150</v>
      </c>
      <c r="H504" s="4" t="s">
        <v>2151</v>
      </c>
      <c r="I504" s="4" t="s">
        <v>641</v>
      </c>
      <c r="J504" s="4" t="s">
        <v>1865</v>
      </c>
      <c r="K504" s="4">
        <v>1</v>
      </c>
      <c r="L504" s="4">
        <v>2128</v>
      </c>
      <c r="M504" s="9">
        <v>54.411670000000001</v>
      </c>
      <c r="N504" s="9">
        <v>-126.62667</v>
      </c>
      <c r="O504" s="9" t="s">
        <v>148</v>
      </c>
      <c r="P504" s="9">
        <v>162</v>
      </c>
      <c r="Q504" s="20">
        <v>1</v>
      </c>
      <c r="R504" s="9" t="s">
        <v>2149</v>
      </c>
      <c r="S504" s="9" t="s">
        <v>1737</v>
      </c>
      <c r="T504" s="9">
        <v>608</v>
      </c>
      <c r="U504" s="9"/>
      <c r="V504" s="9"/>
      <c r="W504" s="21">
        <v>27030</v>
      </c>
      <c r="X504" s="9" t="s">
        <v>1738</v>
      </c>
      <c r="Y504" s="7"/>
      <c r="AO504" s="4" t="s">
        <v>2152</v>
      </c>
      <c r="AP504" s="4">
        <v>162</v>
      </c>
      <c r="AQ504" s="4" t="s">
        <v>1700</v>
      </c>
      <c r="AR504" s="4" t="s">
        <v>1739</v>
      </c>
      <c r="AS504" s="4" t="s">
        <v>1740</v>
      </c>
      <c r="AT504" s="4" t="s">
        <v>1741</v>
      </c>
      <c r="AU504" s="4" t="s">
        <v>1772</v>
      </c>
      <c r="AV504" s="4" t="s">
        <v>1720</v>
      </c>
      <c r="AW504" s="4" t="s">
        <v>1947</v>
      </c>
      <c r="AX504" s="4" t="s">
        <v>2153</v>
      </c>
      <c r="AY504" s="4">
        <v>54.393900000000002</v>
      </c>
      <c r="AZ504" s="4">
        <v>-126.61750000000001</v>
      </c>
      <c r="BA504" s="4">
        <v>619</v>
      </c>
    </row>
    <row r="505" spans="1:53" ht="14.25" customHeight="1" x14ac:dyDescent="0.2">
      <c r="A505" s="4" t="s">
        <v>88</v>
      </c>
      <c r="B505" s="6">
        <v>12</v>
      </c>
      <c r="C505" s="4" t="s">
        <v>7666</v>
      </c>
      <c r="D505" s="4">
        <v>163</v>
      </c>
      <c r="E505" s="4">
        <v>1726</v>
      </c>
      <c r="F505" s="4" t="s">
        <v>2154</v>
      </c>
      <c r="G505" s="8" t="s">
        <v>2155</v>
      </c>
      <c r="H505" s="4" t="s">
        <v>2156</v>
      </c>
      <c r="I505" s="4" t="s">
        <v>641</v>
      </c>
      <c r="J505" s="4" t="s">
        <v>1736</v>
      </c>
      <c r="K505" s="4">
        <v>1</v>
      </c>
      <c r="L505" s="4">
        <v>2129</v>
      </c>
      <c r="M505" s="9">
        <v>55.688220000000001</v>
      </c>
      <c r="N505" s="9">
        <v>-126.05261</v>
      </c>
      <c r="O505" s="9" t="s">
        <v>1290</v>
      </c>
      <c r="P505" s="9">
        <v>163</v>
      </c>
      <c r="Q505" s="20">
        <v>4</v>
      </c>
      <c r="R505" s="9" t="s">
        <v>2154</v>
      </c>
      <c r="S505" s="9" t="s">
        <v>1737</v>
      </c>
      <c r="T505" s="9">
        <v>990</v>
      </c>
      <c r="U505" s="9"/>
      <c r="V505" s="9"/>
      <c r="W505" s="21">
        <v>28856</v>
      </c>
      <c r="X505" s="9" t="s">
        <v>1738</v>
      </c>
      <c r="Y505" s="7"/>
      <c r="AO505" s="4" t="s">
        <v>2154</v>
      </c>
      <c r="AP505" s="4">
        <v>163</v>
      </c>
      <c r="AQ505" s="4" t="s">
        <v>1716</v>
      </c>
      <c r="AR505" s="4" t="s">
        <v>1739</v>
      </c>
      <c r="AS505" s="4" t="s">
        <v>1740</v>
      </c>
      <c r="AT505" s="4" t="s">
        <v>1741</v>
      </c>
      <c r="AU505" s="4" t="s">
        <v>1742</v>
      </c>
      <c r="AV505" s="4" t="s">
        <v>1720</v>
      </c>
      <c r="AW505" s="4" t="s">
        <v>2003</v>
      </c>
      <c r="AX505" s="4" t="s">
        <v>2099</v>
      </c>
      <c r="AY505" s="4">
        <v>55.688099999999999</v>
      </c>
      <c r="AZ505" s="4">
        <v>-126.05249999999999</v>
      </c>
      <c r="BA505" s="4">
        <v>981</v>
      </c>
    </row>
    <row r="506" spans="1:53" ht="14.25" customHeight="1" x14ac:dyDescent="0.2">
      <c r="A506" s="4" t="s">
        <v>2037</v>
      </c>
      <c r="B506" s="6">
        <v>12</v>
      </c>
      <c r="C506" s="4" t="s">
        <v>7666</v>
      </c>
      <c r="D506" s="4">
        <v>164</v>
      </c>
      <c r="E506" s="4">
        <v>1727</v>
      </c>
      <c r="F506" s="4" t="s">
        <v>2157</v>
      </c>
      <c r="G506" s="4" t="s">
        <v>2158</v>
      </c>
      <c r="H506" s="4" t="s">
        <v>2159</v>
      </c>
      <c r="I506" s="4" t="s">
        <v>641</v>
      </c>
      <c r="J506" s="4" t="s">
        <v>1715</v>
      </c>
      <c r="K506" s="4">
        <v>1</v>
      </c>
      <c r="L506" s="4">
        <v>2130</v>
      </c>
      <c r="Y506" s="7"/>
      <c r="AO506" s="4" t="s">
        <v>2160</v>
      </c>
      <c r="AP506" s="4">
        <v>164</v>
      </c>
      <c r="AQ506" s="4" t="s">
        <v>1716</v>
      </c>
      <c r="AR506" s="4" t="s">
        <v>1717</v>
      </c>
      <c r="AS506" s="4" t="s">
        <v>1718</v>
      </c>
      <c r="AT506" s="4" t="s">
        <v>2161</v>
      </c>
      <c r="AU506" s="4" t="s">
        <v>2162</v>
      </c>
      <c r="AV506" s="4" t="s">
        <v>1720</v>
      </c>
      <c r="AW506" s="4" t="s">
        <v>1947</v>
      </c>
      <c r="AX506" s="4" t="s">
        <v>2148</v>
      </c>
      <c r="AY506" s="4">
        <v>53.27</v>
      </c>
      <c r="AZ506" s="4">
        <v>-126.17</v>
      </c>
      <c r="BA506" s="4">
        <v>1036</v>
      </c>
    </row>
    <row r="507" spans="1:53" ht="14.25" customHeight="1" x14ac:dyDescent="0.2">
      <c r="A507" s="4" t="s">
        <v>88</v>
      </c>
      <c r="B507" s="6">
        <v>12</v>
      </c>
      <c r="C507" s="4" t="s">
        <v>7666</v>
      </c>
      <c r="D507" s="4">
        <v>165</v>
      </c>
      <c r="E507" s="4">
        <v>1728</v>
      </c>
      <c r="F507" s="4" t="s">
        <v>2163</v>
      </c>
      <c r="G507" s="8" t="s">
        <v>2164</v>
      </c>
      <c r="H507" s="4" t="s">
        <v>2165</v>
      </c>
      <c r="I507" s="4" t="s">
        <v>641</v>
      </c>
      <c r="J507" s="4" t="s">
        <v>1865</v>
      </c>
      <c r="K507" s="4">
        <v>1</v>
      </c>
      <c r="L507" s="4">
        <v>2131</v>
      </c>
      <c r="M507" s="9">
        <v>53.071460000000002</v>
      </c>
      <c r="N507" s="9">
        <v>-125.41215</v>
      </c>
      <c r="O507" s="9" t="s">
        <v>148</v>
      </c>
      <c r="P507" s="9">
        <v>165</v>
      </c>
      <c r="Q507" s="20">
        <v>4</v>
      </c>
      <c r="R507" s="9" t="s">
        <v>2163</v>
      </c>
      <c r="S507" s="9" t="s">
        <v>1737</v>
      </c>
      <c r="T507" s="9">
        <v>1109</v>
      </c>
      <c r="U507" s="9"/>
      <c r="V507" s="9" t="s">
        <v>2166</v>
      </c>
      <c r="W507" s="21">
        <v>29221</v>
      </c>
      <c r="X507" s="9" t="s">
        <v>1738</v>
      </c>
      <c r="Y507" s="7"/>
      <c r="AO507" s="4" t="s">
        <v>2163</v>
      </c>
      <c r="AP507" s="4">
        <v>165</v>
      </c>
      <c r="AQ507" s="4" t="s">
        <v>1700</v>
      </c>
      <c r="AR507" s="4" t="s">
        <v>1739</v>
      </c>
      <c r="AS507" s="4" t="s">
        <v>1740</v>
      </c>
      <c r="AT507" s="4" t="s">
        <v>1835</v>
      </c>
      <c r="AU507" s="4" t="s">
        <v>1959</v>
      </c>
      <c r="AV507" s="4" t="s">
        <v>1720</v>
      </c>
      <c r="AW507" s="4" t="s">
        <v>2003</v>
      </c>
      <c r="AX507" s="4" t="s">
        <v>2139</v>
      </c>
      <c r="AY507" s="4">
        <v>53.0715</v>
      </c>
      <c r="AZ507" s="4">
        <v>-125.4121</v>
      </c>
      <c r="BA507" s="4">
        <v>1094</v>
      </c>
    </row>
    <row r="508" spans="1:53" ht="14.25" customHeight="1" x14ac:dyDescent="0.2">
      <c r="A508" s="4" t="s">
        <v>88</v>
      </c>
      <c r="B508" s="6">
        <v>12</v>
      </c>
      <c r="C508" s="4" t="s">
        <v>7666</v>
      </c>
      <c r="D508" s="4">
        <v>166</v>
      </c>
      <c r="E508" s="4">
        <v>1729</v>
      </c>
      <c r="F508" s="4" t="s">
        <v>2167</v>
      </c>
      <c r="G508" s="8" t="s">
        <v>2168</v>
      </c>
      <c r="H508" s="4" t="s">
        <v>2169</v>
      </c>
      <c r="I508" s="4" t="s">
        <v>641</v>
      </c>
      <c r="J508" s="4" t="s">
        <v>1865</v>
      </c>
      <c r="K508" s="4">
        <v>1</v>
      </c>
      <c r="L508" s="4">
        <v>2132</v>
      </c>
      <c r="M508" s="9">
        <v>53.383049999999997</v>
      </c>
      <c r="N508" s="9">
        <v>-124.51208</v>
      </c>
      <c r="O508" s="9" t="s">
        <v>148</v>
      </c>
      <c r="P508" s="9">
        <v>166</v>
      </c>
      <c r="Q508" s="20">
        <v>5</v>
      </c>
      <c r="R508" s="9" t="s">
        <v>2167</v>
      </c>
      <c r="S508" s="9" t="s">
        <v>1737</v>
      </c>
      <c r="T508" s="9">
        <v>1137</v>
      </c>
      <c r="U508" s="9"/>
      <c r="V508" s="9" t="s">
        <v>2147</v>
      </c>
      <c r="W508" s="21">
        <v>29952</v>
      </c>
      <c r="X508" s="9" t="s">
        <v>1738</v>
      </c>
      <c r="Y508" s="7"/>
      <c r="AO508" s="4" t="s">
        <v>2167</v>
      </c>
      <c r="AP508" s="4">
        <v>166</v>
      </c>
      <c r="AQ508" s="4" t="s">
        <v>1716</v>
      </c>
      <c r="AR508" s="4" t="s">
        <v>1739</v>
      </c>
      <c r="AS508" s="4" t="s">
        <v>1740</v>
      </c>
      <c r="AT508" s="4" t="s">
        <v>1741</v>
      </c>
      <c r="AU508" s="4" t="s">
        <v>1742</v>
      </c>
      <c r="AV508" s="4" t="s">
        <v>1720</v>
      </c>
      <c r="AW508" s="4" t="s">
        <v>2003</v>
      </c>
      <c r="AX508" s="4" t="s">
        <v>2139</v>
      </c>
      <c r="AY508" s="4">
        <v>53.383000000000003</v>
      </c>
      <c r="AZ508" s="4">
        <v>-124.5121</v>
      </c>
      <c r="BA508" s="4">
        <v>1125</v>
      </c>
    </row>
    <row r="509" spans="1:53" ht="14.25" customHeight="1" x14ac:dyDescent="0.2">
      <c r="A509" s="4" t="s">
        <v>88</v>
      </c>
      <c r="B509" s="6">
        <v>12</v>
      </c>
      <c r="C509" s="4" t="s">
        <v>7666</v>
      </c>
      <c r="D509" s="4">
        <v>167</v>
      </c>
      <c r="E509" s="4">
        <v>1730</v>
      </c>
      <c r="F509" s="4" t="s">
        <v>2170</v>
      </c>
      <c r="G509" s="8" t="s">
        <v>2171</v>
      </c>
      <c r="H509" s="4" t="s">
        <v>2172</v>
      </c>
      <c r="I509" s="4" t="s">
        <v>641</v>
      </c>
      <c r="J509" s="4" t="s">
        <v>1736</v>
      </c>
      <c r="K509" s="4">
        <v>1</v>
      </c>
      <c r="L509" s="4">
        <v>2133</v>
      </c>
      <c r="M509" s="9">
        <v>54.361890000000002</v>
      </c>
      <c r="N509" s="9">
        <v>-125.52531</v>
      </c>
      <c r="O509" s="9" t="s">
        <v>1290</v>
      </c>
      <c r="P509" s="14">
        <v>167</v>
      </c>
      <c r="Q509" s="20">
        <v>3</v>
      </c>
      <c r="R509" s="9" t="s">
        <v>2170</v>
      </c>
      <c r="S509" s="9" t="s">
        <v>1737</v>
      </c>
      <c r="T509" s="9">
        <v>918</v>
      </c>
      <c r="U509" s="9"/>
      <c r="V509" s="9"/>
      <c r="W509" s="21">
        <v>30682</v>
      </c>
      <c r="X509" s="9" t="s">
        <v>1738</v>
      </c>
      <c r="Y509" s="7"/>
      <c r="AO509" s="4" t="s">
        <v>2170</v>
      </c>
      <c r="AP509" s="4">
        <v>167</v>
      </c>
      <c r="AQ509" s="4" t="s">
        <v>1716</v>
      </c>
      <c r="AR509" s="4" t="s">
        <v>1739</v>
      </c>
      <c r="AS509" s="4" t="s">
        <v>1740</v>
      </c>
      <c r="AT509" s="4" t="s">
        <v>1741</v>
      </c>
      <c r="AU509" s="4" t="s">
        <v>1742</v>
      </c>
      <c r="AV509" s="4" t="s">
        <v>1720</v>
      </c>
      <c r="AW509" s="4" t="s">
        <v>1947</v>
      </c>
      <c r="AX509" s="4" t="s">
        <v>2148</v>
      </c>
      <c r="AY509" s="4">
        <v>54.361899999999999</v>
      </c>
      <c r="AZ509" s="4">
        <v>-125.5253</v>
      </c>
      <c r="BA509" s="4">
        <v>927</v>
      </c>
    </row>
    <row r="510" spans="1:53" ht="14.25" customHeight="1" x14ac:dyDescent="0.2">
      <c r="B510" s="6">
        <v>12</v>
      </c>
      <c r="C510" s="4" t="s">
        <v>7666</v>
      </c>
      <c r="D510" s="4">
        <v>168</v>
      </c>
      <c r="E510" s="4">
        <v>1731</v>
      </c>
      <c r="F510" s="16" t="s">
        <v>2173</v>
      </c>
      <c r="G510" s="4" t="s">
        <v>2174</v>
      </c>
      <c r="H510" s="4" t="s">
        <v>2175</v>
      </c>
      <c r="I510" s="4" t="s">
        <v>1664</v>
      </c>
      <c r="J510" s="4" t="s">
        <v>1746</v>
      </c>
      <c r="K510" s="4">
        <v>1</v>
      </c>
      <c r="L510" s="4">
        <v>2134</v>
      </c>
      <c r="Y510" s="7"/>
      <c r="AO510" s="4" t="s">
        <v>2173</v>
      </c>
      <c r="AP510" s="4">
        <v>168</v>
      </c>
      <c r="AQ510" s="4" t="s">
        <v>1716</v>
      </c>
      <c r="AR510" s="4" t="s">
        <v>1717</v>
      </c>
      <c r="AS510" s="4" t="s">
        <v>1718</v>
      </c>
      <c r="AT510" s="4" t="s">
        <v>1719</v>
      </c>
      <c r="AU510" s="4" t="s">
        <v>1703</v>
      </c>
      <c r="AV510" s="4" t="s">
        <v>1720</v>
      </c>
      <c r="AW510" s="4" t="s">
        <v>1947</v>
      </c>
      <c r="AX510" s="4" t="s">
        <v>2153</v>
      </c>
      <c r="AY510" s="4">
        <v>54.8</v>
      </c>
      <c r="AZ510" s="4">
        <v>-126.1</v>
      </c>
      <c r="BA510" s="4">
        <v>0</v>
      </c>
    </row>
    <row r="511" spans="1:53" ht="14.25" customHeight="1" x14ac:dyDescent="0.2">
      <c r="A511" s="4" t="s">
        <v>88</v>
      </c>
      <c r="B511" s="6">
        <v>12</v>
      </c>
      <c r="C511" s="4" t="s">
        <v>7666</v>
      </c>
      <c r="D511" s="4">
        <v>169</v>
      </c>
      <c r="E511" s="4">
        <v>1732</v>
      </c>
      <c r="F511" s="4" t="s">
        <v>2176</v>
      </c>
      <c r="G511" s="8" t="s">
        <v>2177</v>
      </c>
      <c r="H511" s="4" t="s">
        <v>2178</v>
      </c>
      <c r="I511" s="4" t="s">
        <v>641</v>
      </c>
      <c r="J511" s="4" t="s">
        <v>1865</v>
      </c>
      <c r="K511" s="4">
        <v>1</v>
      </c>
      <c r="L511" s="4">
        <v>2135</v>
      </c>
      <c r="M511" s="9">
        <v>55.033329999999999</v>
      </c>
      <c r="N511" s="9">
        <v>-126.8</v>
      </c>
      <c r="O511" s="9" t="s">
        <v>1290</v>
      </c>
      <c r="P511" s="9">
        <v>169</v>
      </c>
      <c r="Q511" s="20">
        <v>3</v>
      </c>
      <c r="R511" s="9" t="s">
        <v>2176</v>
      </c>
      <c r="S511" s="9" t="s">
        <v>1737</v>
      </c>
      <c r="T511" s="9">
        <v>900</v>
      </c>
      <c r="U511" s="9"/>
      <c r="V511" s="9"/>
      <c r="W511" s="21">
        <v>31413</v>
      </c>
      <c r="X511" s="9" t="s">
        <v>1738</v>
      </c>
      <c r="Y511" s="7"/>
      <c r="AO511" s="4" t="s">
        <v>2176</v>
      </c>
      <c r="AP511" s="4">
        <v>169</v>
      </c>
      <c r="AQ511" s="4" t="s">
        <v>1700</v>
      </c>
      <c r="AR511" s="4" t="s">
        <v>1739</v>
      </c>
      <c r="AS511" s="4" t="s">
        <v>1740</v>
      </c>
      <c r="AT511" s="4" t="s">
        <v>1741</v>
      </c>
      <c r="AU511" s="4" t="s">
        <v>1959</v>
      </c>
      <c r="AV511" s="4" t="s">
        <v>1720</v>
      </c>
      <c r="AW511" s="4" t="s">
        <v>1947</v>
      </c>
      <c r="AX511" s="4" t="s">
        <v>2133</v>
      </c>
      <c r="AY511" s="4">
        <v>55.033999999999999</v>
      </c>
      <c r="AZ511" s="4">
        <v>-126.7996</v>
      </c>
      <c r="BA511" s="4">
        <v>900</v>
      </c>
    </row>
    <row r="512" spans="1:53" ht="14.25" customHeight="1" x14ac:dyDescent="0.2">
      <c r="A512" s="4" t="s">
        <v>88</v>
      </c>
      <c r="B512" s="6">
        <v>12</v>
      </c>
      <c r="C512" s="4" t="s">
        <v>7666</v>
      </c>
      <c r="D512" s="4">
        <v>170</v>
      </c>
      <c r="E512" s="4">
        <v>1733</v>
      </c>
      <c r="F512" s="4" t="s">
        <v>2179</v>
      </c>
      <c r="G512" s="8" t="s">
        <v>2180</v>
      </c>
      <c r="H512" s="4" t="s">
        <v>2145</v>
      </c>
      <c r="I512" s="4" t="s">
        <v>641</v>
      </c>
      <c r="J512" s="4" t="s">
        <v>1865</v>
      </c>
      <c r="K512" s="4">
        <v>1</v>
      </c>
      <c r="L512" s="4">
        <v>2136</v>
      </c>
      <c r="M512" s="9">
        <v>53.501669999999997</v>
      </c>
      <c r="N512" s="9">
        <v>-125.77167</v>
      </c>
      <c r="O512" s="9" t="s">
        <v>148</v>
      </c>
      <c r="P512" s="14">
        <v>170</v>
      </c>
      <c r="Q512" s="20">
        <v>4</v>
      </c>
      <c r="R512" s="9" t="s">
        <v>2179</v>
      </c>
      <c r="S512" s="9" t="s">
        <v>1737</v>
      </c>
      <c r="T512" s="9">
        <v>1089</v>
      </c>
      <c r="U512" s="9" t="s">
        <v>645</v>
      </c>
      <c r="V512" s="9" t="s">
        <v>2166</v>
      </c>
      <c r="W512" s="21">
        <v>31413</v>
      </c>
      <c r="X512" s="9" t="s">
        <v>1738</v>
      </c>
      <c r="Y512" s="7"/>
      <c r="AO512" s="4" t="s">
        <v>2179</v>
      </c>
      <c r="AP512" s="4">
        <v>170</v>
      </c>
      <c r="AQ512" s="4" t="s">
        <v>1716</v>
      </c>
      <c r="AR512" s="4" t="s">
        <v>1739</v>
      </c>
      <c r="AS512" s="4" t="s">
        <v>1740</v>
      </c>
      <c r="AT512" s="4" t="s">
        <v>1741</v>
      </c>
      <c r="AU512" s="4" t="s">
        <v>1742</v>
      </c>
      <c r="AV512" s="4" t="s">
        <v>1720</v>
      </c>
      <c r="AW512" s="4" t="s">
        <v>1947</v>
      </c>
      <c r="AX512" s="4" t="s">
        <v>2148</v>
      </c>
      <c r="AY512" s="4">
        <v>53.502499999999998</v>
      </c>
      <c r="AZ512" s="4">
        <v>-125.77930000000001</v>
      </c>
      <c r="BA512" s="4">
        <v>1086</v>
      </c>
    </row>
    <row r="513" spans="1:53" ht="14.25" customHeight="1" x14ac:dyDescent="0.2">
      <c r="A513" s="4" t="s">
        <v>88</v>
      </c>
      <c r="B513" s="6">
        <v>12</v>
      </c>
      <c r="C513" s="4" t="s">
        <v>7666</v>
      </c>
      <c r="D513" s="4">
        <v>171</v>
      </c>
      <c r="E513" s="4">
        <v>1734</v>
      </c>
      <c r="F513" s="4" t="s">
        <v>2181</v>
      </c>
      <c r="G513" s="8" t="s">
        <v>2182</v>
      </c>
      <c r="H513" s="4" t="s">
        <v>2156</v>
      </c>
      <c r="I513" s="4" t="s">
        <v>641</v>
      </c>
      <c r="J513" s="4" t="s">
        <v>1865</v>
      </c>
      <c r="K513" s="4">
        <v>1</v>
      </c>
      <c r="L513" s="4">
        <v>2137</v>
      </c>
      <c r="M513" s="9">
        <v>55.081829999999997</v>
      </c>
      <c r="N513" s="9">
        <v>-125.4774</v>
      </c>
      <c r="O513" s="9" t="s">
        <v>1290</v>
      </c>
      <c r="P513" s="9">
        <v>171</v>
      </c>
      <c r="Q513" s="20">
        <v>3</v>
      </c>
      <c r="R513" s="9" t="s">
        <v>2181</v>
      </c>
      <c r="S513" s="9" t="s">
        <v>1737</v>
      </c>
      <c r="T513" s="9">
        <v>915</v>
      </c>
      <c r="U513" s="9"/>
      <c r="V513" s="9"/>
      <c r="W513" s="21">
        <v>32509</v>
      </c>
      <c r="X513" s="9" t="s">
        <v>1738</v>
      </c>
      <c r="Y513" s="7"/>
      <c r="AO513" s="4" t="s">
        <v>2181</v>
      </c>
      <c r="AP513" s="4">
        <v>171</v>
      </c>
      <c r="AQ513" s="4" t="s">
        <v>1716</v>
      </c>
      <c r="AR513" s="4" t="s">
        <v>1739</v>
      </c>
      <c r="AS513" s="4" t="s">
        <v>1740</v>
      </c>
      <c r="AT513" s="4" t="s">
        <v>1741</v>
      </c>
      <c r="AU513" s="4" t="s">
        <v>1742</v>
      </c>
      <c r="AV513" s="4" t="s">
        <v>1720</v>
      </c>
      <c r="AW513" s="4" t="s">
        <v>2003</v>
      </c>
      <c r="AX513" s="4" t="s">
        <v>2099</v>
      </c>
      <c r="AY513" s="4">
        <v>55.081699999999998</v>
      </c>
      <c r="AZ513" s="4">
        <v>-125.4773</v>
      </c>
      <c r="BA513" s="4">
        <v>909</v>
      </c>
    </row>
    <row r="514" spans="1:53" ht="14.25" customHeight="1" x14ac:dyDescent="0.2">
      <c r="A514" s="4" t="s">
        <v>88</v>
      </c>
      <c r="B514" s="6">
        <v>12</v>
      </c>
      <c r="C514" s="4" t="s">
        <v>7666</v>
      </c>
      <c r="D514" s="4">
        <v>172</v>
      </c>
      <c r="E514" s="4">
        <v>1735</v>
      </c>
      <c r="F514" s="4" t="s">
        <v>2183</v>
      </c>
      <c r="G514" s="8" t="s">
        <v>2184</v>
      </c>
      <c r="H514" s="4" t="s">
        <v>2185</v>
      </c>
      <c r="I514" s="4" t="s">
        <v>641</v>
      </c>
      <c r="J514" s="4" t="s">
        <v>1736</v>
      </c>
      <c r="K514" s="4">
        <v>1</v>
      </c>
      <c r="L514" s="4">
        <v>2138</v>
      </c>
      <c r="M514" s="9">
        <v>55.553330000000003</v>
      </c>
      <c r="N514" s="9">
        <v>-126.57832999999999</v>
      </c>
      <c r="O514" s="9" t="s">
        <v>1290</v>
      </c>
      <c r="P514" s="9">
        <v>172</v>
      </c>
      <c r="Q514" s="20">
        <v>4</v>
      </c>
      <c r="R514" s="9" t="s">
        <v>2183</v>
      </c>
      <c r="S514" s="9" t="s">
        <v>1737</v>
      </c>
      <c r="T514" s="9">
        <v>978</v>
      </c>
      <c r="U514" s="9"/>
      <c r="V514" s="9"/>
      <c r="W514" s="21">
        <v>31413</v>
      </c>
      <c r="X514" s="9" t="s">
        <v>1738</v>
      </c>
      <c r="Y514" s="7"/>
      <c r="AO514" s="4" t="s">
        <v>2183</v>
      </c>
      <c r="AP514" s="4">
        <v>172</v>
      </c>
      <c r="AQ514" s="4" t="s">
        <v>1700</v>
      </c>
      <c r="AR514" s="4" t="s">
        <v>1739</v>
      </c>
      <c r="AS514" s="4" t="s">
        <v>1740</v>
      </c>
      <c r="AT514" s="4" t="s">
        <v>1835</v>
      </c>
      <c r="AU514" s="4" t="s">
        <v>1959</v>
      </c>
      <c r="AV514" s="4" t="s">
        <v>1720</v>
      </c>
      <c r="AW514" s="4" t="s">
        <v>1947</v>
      </c>
      <c r="AX514" s="4" t="s">
        <v>2133</v>
      </c>
      <c r="AY514" s="4">
        <v>55.537999999999997</v>
      </c>
      <c r="AZ514" s="4">
        <v>-126.5775</v>
      </c>
      <c r="BA514" s="4">
        <v>969</v>
      </c>
    </row>
    <row r="515" spans="1:53" ht="14.25" customHeight="1" x14ac:dyDescent="0.2">
      <c r="A515" s="4" t="s">
        <v>88</v>
      </c>
      <c r="B515" s="6">
        <v>12</v>
      </c>
      <c r="C515" s="4" t="s">
        <v>7666</v>
      </c>
      <c r="D515" s="4">
        <v>173</v>
      </c>
      <c r="E515" s="4">
        <v>1736</v>
      </c>
      <c r="F515" s="4" t="s">
        <v>2186</v>
      </c>
      <c r="G515" s="8" t="s">
        <v>2187</v>
      </c>
      <c r="H515" s="4" t="s">
        <v>2188</v>
      </c>
      <c r="I515" s="4" t="s">
        <v>641</v>
      </c>
      <c r="J515" s="4" t="s">
        <v>1865</v>
      </c>
      <c r="K515" s="4">
        <v>1</v>
      </c>
      <c r="L515" s="4">
        <v>2139</v>
      </c>
      <c r="M515" s="9">
        <v>55.136670000000002</v>
      </c>
      <c r="N515" s="9">
        <v>-126.21167</v>
      </c>
      <c r="O515" s="9" t="s">
        <v>1290</v>
      </c>
      <c r="P515" s="9">
        <v>173</v>
      </c>
      <c r="Q515" s="20">
        <v>3</v>
      </c>
      <c r="R515" s="9" t="s">
        <v>2186</v>
      </c>
      <c r="S515" s="9" t="s">
        <v>1737</v>
      </c>
      <c r="T515" s="9">
        <v>951</v>
      </c>
      <c r="U515" s="9"/>
      <c r="V515" s="9" t="s">
        <v>2189</v>
      </c>
      <c r="W515" s="21">
        <v>31413</v>
      </c>
      <c r="X515" s="9" t="s">
        <v>1738</v>
      </c>
      <c r="Y515" s="7"/>
      <c r="AO515" s="4" t="s">
        <v>2186</v>
      </c>
      <c r="AP515" s="4">
        <v>173</v>
      </c>
      <c r="AQ515" s="4" t="s">
        <v>1700</v>
      </c>
      <c r="AR515" s="4" t="s">
        <v>1739</v>
      </c>
      <c r="AS515" s="4" t="s">
        <v>1740</v>
      </c>
      <c r="AT515" s="4" t="s">
        <v>1835</v>
      </c>
      <c r="AU515" s="4" t="s">
        <v>1959</v>
      </c>
      <c r="AV515" s="4" t="s">
        <v>1720</v>
      </c>
      <c r="AW515" s="4" t="s">
        <v>1947</v>
      </c>
      <c r="AX515" s="4" t="s">
        <v>2153</v>
      </c>
      <c r="AY515" s="4">
        <v>55.134999999999998</v>
      </c>
      <c r="AZ515" s="4">
        <v>-126.2073</v>
      </c>
      <c r="BA515" s="4">
        <v>951</v>
      </c>
    </row>
    <row r="516" spans="1:53" ht="14.25" customHeight="1" x14ac:dyDescent="0.2">
      <c r="B516" s="6">
        <v>12</v>
      </c>
      <c r="C516" s="4" t="s">
        <v>7666</v>
      </c>
      <c r="D516" s="4">
        <v>174</v>
      </c>
      <c r="E516" s="4">
        <v>1737</v>
      </c>
      <c r="F516" s="16" t="s">
        <v>2190</v>
      </c>
      <c r="G516" s="4" t="s">
        <v>2191</v>
      </c>
      <c r="H516" s="4" t="s">
        <v>2192</v>
      </c>
      <c r="I516" s="4" t="s">
        <v>1664</v>
      </c>
      <c r="J516" s="4" t="s">
        <v>1715</v>
      </c>
      <c r="K516" s="4">
        <v>1</v>
      </c>
      <c r="L516" s="4">
        <v>2140</v>
      </c>
      <c r="Y516" s="7"/>
      <c r="AO516" s="4" t="s">
        <v>2190</v>
      </c>
      <c r="AP516" s="4">
        <v>174</v>
      </c>
      <c r="AQ516" s="4" t="s">
        <v>1716</v>
      </c>
      <c r="AR516" s="4" t="s">
        <v>1717</v>
      </c>
      <c r="AS516" s="4" t="s">
        <v>1718</v>
      </c>
      <c r="AT516" s="4" t="s">
        <v>1719</v>
      </c>
      <c r="AU516" s="4" t="s">
        <v>1703</v>
      </c>
      <c r="AV516" s="4" t="s">
        <v>1720</v>
      </c>
      <c r="AW516" s="4" t="s">
        <v>2193</v>
      </c>
      <c r="AX516" s="4" t="s">
        <v>2194</v>
      </c>
      <c r="AY516" s="4">
        <v>53.3</v>
      </c>
      <c r="AZ516" s="4">
        <v>-124.1</v>
      </c>
      <c r="BA516" s="4">
        <v>12</v>
      </c>
    </row>
    <row r="517" spans="1:53" ht="14.25" customHeight="1" x14ac:dyDescent="0.2">
      <c r="B517" s="6">
        <v>12</v>
      </c>
      <c r="C517" s="4" t="s">
        <v>7666</v>
      </c>
      <c r="D517" s="4">
        <v>175</v>
      </c>
      <c r="E517" s="4">
        <v>1738</v>
      </c>
      <c r="F517" s="4" t="s">
        <v>2195</v>
      </c>
      <c r="G517" s="4" t="s">
        <v>2196</v>
      </c>
      <c r="H517" s="4" t="s">
        <v>2197</v>
      </c>
      <c r="I517" s="4" t="s">
        <v>641</v>
      </c>
      <c r="J517" s="4" t="s">
        <v>1736</v>
      </c>
      <c r="K517" s="4">
        <v>1</v>
      </c>
      <c r="L517" s="4">
        <v>2141</v>
      </c>
      <c r="M517" s="9">
        <v>53.865389999999998</v>
      </c>
      <c r="N517" s="9">
        <v>-123.32317</v>
      </c>
      <c r="O517" s="9" t="s">
        <v>1290</v>
      </c>
      <c r="P517" s="9">
        <v>175</v>
      </c>
      <c r="Q517" s="20">
        <v>2</v>
      </c>
      <c r="R517" s="9" t="s">
        <v>2195</v>
      </c>
      <c r="S517" s="9" t="s">
        <v>1737</v>
      </c>
      <c r="T517" s="9">
        <v>858</v>
      </c>
      <c r="U517" s="9"/>
      <c r="V517" s="9"/>
      <c r="W517" s="21">
        <v>33970</v>
      </c>
      <c r="X517" s="4" t="s">
        <v>1738</v>
      </c>
      <c r="Y517" s="7"/>
      <c r="AO517" s="4" t="s">
        <v>2195</v>
      </c>
      <c r="AP517" s="4">
        <v>175</v>
      </c>
      <c r="AQ517" s="4" t="s">
        <v>1700</v>
      </c>
      <c r="AR517" s="4" t="s">
        <v>1739</v>
      </c>
      <c r="AS517" s="4" t="s">
        <v>1740</v>
      </c>
      <c r="AT517" s="4" t="s">
        <v>1741</v>
      </c>
      <c r="AU517" s="4" t="s">
        <v>1959</v>
      </c>
      <c r="AV517" s="4" t="s">
        <v>1720</v>
      </c>
      <c r="AW517" s="4" t="s">
        <v>2003</v>
      </c>
      <c r="AX517" s="4" t="s">
        <v>2091</v>
      </c>
      <c r="AY517" s="4">
        <v>53.865400000000001</v>
      </c>
      <c r="AZ517" s="4">
        <v>-123.3232</v>
      </c>
      <c r="BA517" s="4">
        <v>858</v>
      </c>
    </row>
    <row r="518" spans="1:53" ht="14.25" customHeight="1" x14ac:dyDescent="0.2">
      <c r="B518" s="6">
        <v>12</v>
      </c>
      <c r="C518" s="4" t="s">
        <v>7666</v>
      </c>
      <c r="D518" s="4">
        <v>176</v>
      </c>
      <c r="E518" s="4">
        <v>1739</v>
      </c>
      <c r="F518" s="16" t="s">
        <v>2198</v>
      </c>
      <c r="G518" s="4" t="s">
        <v>2199</v>
      </c>
      <c r="H518" s="4" t="s">
        <v>2200</v>
      </c>
      <c r="I518" s="4" t="s">
        <v>1664</v>
      </c>
      <c r="J518" s="4" t="s">
        <v>1746</v>
      </c>
      <c r="K518" s="4">
        <v>1</v>
      </c>
      <c r="L518" s="4">
        <v>2142</v>
      </c>
      <c r="Y518" s="7"/>
      <c r="AO518" s="4" t="s">
        <v>2198</v>
      </c>
      <c r="AP518" s="4">
        <v>176</v>
      </c>
      <c r="AQ518" s="4" t="s">
        <v>1716</v>
      </c>
      <c r="AR518" s="4" t="s">
        <v>1717</v>
      </c>
      <c r="AS518" s="4" t="s">
        <v>1718</v>
      </c>
      <c r="AT518" s="4" t="s">
        <v>1719</v>
      </c>
      <c r="AU518" s="4" t="s">
        <v>1703</v>
      </c>
      <c r="AV518" s="4" t="s">
        <v>1720</v>
      </c>
      <c r="AW518" s="4" t="s">
        <v>2003</v>
      </c>
      <c r="AX518" s="4" t="s">
        <v>2139</v>
      </c>
      <c r="AY518" s="4">
        <v>53.8</v>
      </c>
      <c r="AZ518" s="4">
        <v>-125</v>
      </c>
      <c r="BA518" s="4">
        <v>11</v>
      </c>
    </row>
    <row r="519" spans="1:53" ht="14.25" customHeight="1" x14ac:dyDescent="0.2">
      <c r="B519" s="6">
        <v>12</v>
      </c>
      <c r="C519" s="4" t="s">
        <v>7666</v>
      </c>
      <c r="D519" s="4">
        <v>177</v>
      </c>
      <c r="E519" s="4">
        <v>1740</v>
      </c>
      <c r="F519" s="16" t="s">
        <v>2201</v>
      </c>
      <c r="G519" s="4" t="s">
        <v>2202</v>
      </c>
      <c r="H519" s="4" t="s">
        <v>2203</v>
      </c>
      <c r="I519" s="4" t="s">
        <v>1664</v>
      </c>
      <c r="J519" s="4" t="s">
        <v>1715</v>
      </c>
      <c r="K519" s="4">
        <v>1</v>
      </c>
      <c r="L519" s="4">
        <v>2143</v>
      </c>
      <c r="Y519" s="7"/>
      <c r="AO519" s="4" t="s">
        <v>2201</v>
      </c>
      <c r="AP519" s="4">
        <v>177</v>
      </c>
      <c r="AQ519" s="4" t="s">
        <v>1716</v>
      </c>
      <c r="AR519" s="4" t="s">
        <v>1717</v>
      </c>
      <c r="AS519" s="4" t="s">
        <v>1718</v>
      </c>
      <c r="AT519" s="4" t="s">
        <v>1719</v>
      </c>
      <c r="AU519" s="4" t="s">
        <v>1703</v>
      </c>
      <c r="AV519" s="4" t="s">
        <v>1720</v>
      </c>
      <c r="AW519" s="4" t="s">
        <v>2003</v>
      </c>
      <c r="AX519" s="4" t="s">
        <v>2139</v>
      </c>
      <c r="AY519" s="4">
        <v>54.2</v>
      </c>
      <c r="AZ519" s="4">
        <v>-124.5</v>
      </c>
      <c r="BA519" s="4">
        <v>9</v>
      </c>
    </row>
    <row r="520" spans="1:53" ht="14.25" customHeight="1" x14ac:dyDescent="0.2">
      <c r="A520" s="4" t="s">
        <v>88</v>
      </c>
      <c r="B520" s="6">
        <v>12</v>
      </c>
      <c r="C520" s="4" t="s">
        <v>7666</v>
      </c>
      <c r="D520" s="4">
        <v>178</v>
      </c>
      <c r="E520" s="4">
        <v>1741</v>
      </c>
      <c r="F520" s="4" t="s">
        <v>2204</v>
      </c>
      <c r="G520" s="8" t="s">
        <v>2205</v>
      </c>
      <c r="H520" s="4" t="s">
        <v>2206</v>
      </c>
      <c r="I520" s="4" t="s">
        <v>641</v>
      </c>
      <c r="J520" s="4" t="s">
        <v>1865</v>
      </c>
      <c r="K520" s="4">
        <v>1</v>
      </c>
      <c r="L520" s="4">
        <v>2144</v>
      </c>
      <c r="M520" s="9">
        <v>53.986669999999997</v>
      </c>
      <c r="N520" s="9">
        <v>-126.52167</v>
      </c>
      <c r="O520" s="9" t="s">
        <v>148</v>
      </c>
      <c r="P520" s="9">
        <v>178</v>
      </c>
      <c r="Q520" s="20">
        <v>1</v>
      </c>
      <c r="R520" s="9" t="s">
        <v>2204</v>
      </c>
      <c r="S520" s="9" t="s">
        <v>1737</v>
      </c>
      <c r="T520" s="9">
        <v>747</v>
      </c>
      <c r="U520" s="9"/>
      <c r="V520" s="9" t="s">
        <v>2207</v>
      </c>
      <c r="W520" s="21">
        <v>30682</v>
      </c>
      <c r="X520" s="4" t="s">
        <v>1738</v>
      </c>
      <c r="Y520" s="7"/>
      <c r="AO520" s="4" t="s">
        <v>2204</v>
      </c>
      <c r="AP520" s="4">
        <v>178</v>
      </c>
      <c r="AQ520" s="4" t="s">
        <v>1716</v>
      </c>
      <c r="AR520" s="4" t="s">
        <v>1739</v>
      </c>
      <c r="AS520" s="4" t="s">
        <v>1740</v>
      </c>
      <c r="AT520" s="4" t="s">
        <v>1741</v>
      </c>
      <c r="AU520" s="4" t="s">
        <v>1959</v>
      </c>
      <c r="AV520" s="4" t="s">
        <v>1720</v>
      </c>
      <c r="AW520" s="4" t="s">
        <v>1947</v>
      </c>
      <c r="AX520" s="4" t="s">
        <v>2153</v>
      </c>
      <c r="AY520" s="4">
        <v>53.986800000000002</v>
      </c>
      <c r="AZ520" s="4">
        <v>-126.51739999999999</v>
      </c>
      <c r="BA520" s="4">
        <v>747</v>
      </c>
    </row>
    <row r="521" spans="1:53" ht="14.25" customHeight="1" x14ac:dyDescent="0.2">
      <c r="B521" s="6">
        <v>12</v>
      </c>
      <c r="C521" s="4" t="s">
        <v>7666</v>
      </c>
      <c r="D521" s="4">
        <v>179</v>
      </c>
      <c r="E521" s="4">
        <v>1742</v>
      </c>
      <c r="F521" s="4" t="s">
        <v>2208</v>
      </c>
      <c r="G521" s="4" t="s">
        <v>2209</v>
      </c>
      <c r="H521" s="4" t="s">
        <v>2210</v>
      </c>
      <c r="I521" s="4" t="s">
        <v>641</v>
      </c>
      <c r="J521" s="4" t="s">
        <v>1865</v>
      </c>
      <c r="K521" s="4">
        <v>1</v>
      </c>
      <c r="L521" s="4">
        <v>2145</v>
      </c>
      <c r="M521" s="9">
        <v>53.942520000000002</v>
      </c>
      <c r="N521" s="9">
        <v>-126.9278</v>
      </c>
      <c r="O521" s="9" t="s">
        <v>148</v>
      </c>
      <c r="P521" s="9">
        <v>179</v>
      </c>
      <c r="Q521" s="20">
        <v>3</v>
      </c>
      <c r="R521" s="9" t="s">
        <v>2208</v>
      </c>
      <c r="S521" s="9" t="s">
        <v>1737</v>
      </c>
      <c r="T521" s="9">
        <v>954</v>
      </c>
      <c r="U521" s="9" t="s">
        <v>645</v>
      </c>
      <c r="V521" s="9" t="s">
        <v>2147</v>
      </c>
      <c r="W521" s="21">
        <v>31048</v>
      </c>
      <c r="X521" s="4" t="s">
        <v>1738</v>
      </c>
      <c r="Y521" s="7"/>
      <c r="AO521" s="4" t="s">
        <v>2208</v>
      </c>
      <c r="AP521" s="4">
        <v>179</v>
      </c>
      <c r="AQ521" s="4" t="s">
        <v>1716</v>
      </c>
      <c r="AR521" s="4" t="s">
        <v>1739</v>
      </c>
      <c r="AS521" s="4" t="s">
        <v>1740</v>
      </c>
      <c r="AT521" s="4" t="s">
        <v>1741</v>
      </c>
      <c r="AU521" s="4" t="s">
        <v>1959</v>
      </c>
      <c r="AV521" s="4" t="s">
        <v>1720</v>
      </c>
      <c r="AW521" s="4" t="s">
        <v>1947</v>
      </c>
      <c r="AX521" s="4" t="s">
        <v>2153</v>
      </c>
      <c r="AY521" s="4">
        <v>53.942500000000003</v>
      </c>
      <c r="AZ521" s="4">
        <v>-126.9278</v>
      </c>
      <c r="BA521" s="4">
        <v>954</v>
      </c>
    </row>
    <row r="522" spans="1:53" ht="14.25" customHeight="1" x14ac:dyDescent="0.2">
      <c r="A522" s="4" t="s">
        <v>88</v>
      </c>
      <c r="B522" s="6">
        <v>12</v>
      </c>
      <c r="C522" s="4" t="s">
        <v>7666</v>
      </c>
      <c r="D522" s="4">
        <v>180</v>
      </c>
      <c r="E522" s="4">
        <v>1743</v>
      </c>
      <c r="F522" s="4" t="s">
        <v>2211</v>
      </c>
      <c r="G522" s="8" t="s">
        <v>2212</v>
      </c>
      <c r="H522" s="4" t="s">
        <v>2213</v>
      </c>
      <c r="I522" s="4" t="s">
        <v>641</v>
      </c>
      <c r="J522" s="4" t="s">
        <v>1736</v>
      </c>
      <c r="K522" s="4">
        <v>1</v>
      </c>
      <c r="L522" s="4">
        <v>2146</v>
      </c>
      <c r="M522" s="9">
        <v>54.074719999999999</v>
      </c>
      <c r="N522" s="9">
        <v>-127.39942000000001</v>
      </c>
      <c r="O522" s="9" t="s">
        <v>148</v>
      </c>
      <c r="P522" s="9">
        <v>180</v>
      </c>
      <c r="Q522" s="20">
        <v>1</v>
      </c>
      <c r="R522" s="9" t="s">
        <v>2211</v>
      </c>
      <c r="S522" s="9" t="s">
        <v>1737</v>
      </c>
      <c r="T522" s="9">
        <v>810</v>
      </c>
      <c r="U522" s="9"/>
      <c r="V522" s="9"/>
      <c r="W522" s="21">
        <v>32874</v>
      </c>
      <c r="X522" s="4" t="s">
        <v>1738</v>
      </c>
      <c r="Y522" s="7"/>
      <c r="AO522" s="4" t="s">
        <v>2211</v>
      </c>
      <c r="AP522" s="4">
        <v>180</v>
      </c>
      <c r="AQ522" s="4" t="s">
        <v>1716</v>
      </c>
      <c r="AR522" s="4" t="s">
        <v>1739</v>
      </c>
      <c r="AS522" s="4" t="s">
        <v>1740</v>
      </c>
      <c r="AT522" s="4" t="s">
        <v>1741</v>
      </c>
      <c r="AU522" s="4" t="s">
        <v>1742</v>
      </c>
      <c r="AV522" s="4" t="s">
        <v>1720</v>
      </c>
      <c r="AW522" s="4" t="s">
        <v>1947</v>
      </c>
      <c r="AX522" s="4" t="s">
        <v>2153</v>
      </c>
      <c r="AY522" s="4">
        <v>54.0747</v>
      </c>
      <c r="AZ522" s="4">
        <v>-127.3994</v>
      </c>
      <c r="BA522" s="4">
        <v>810</v>
      </c>
    </row>
    <row r="523" spans="1:53" ht="14.25" customHeight="1" x14ac:dyDescent="0.2">
      <c r="A523" s="4" t="s">
        <v>88</v>
      </c>
      <c r="B523" s="6">
        <v>12</v>
      </c>
      <c r="C523" s="4" t="s">
        <v>7666</v>
      </c>
      <c r="D523" s="4">
        <v>181</v>
      </c>
      <c r="E523" s="4">
        <v>1744</v>
      </c>
      <c r="F523" s="4" t="s">
        <v>2214</v>
      </c>
      <c r="G523" s="8" t="s">
        <v>2215</v>
      </c>
      <c r="H523" s="4" t="s">
        <v>2216</v>
      </c>
      <c r="I523" s="4" t="s">
        <v>641</v>
      </c>
      <c r="J523" s="4" t="s">
        <v>1865</v>
      </c>
      <c r="K523" s="4">
        <v>1</v>
      </c>
      <c r="L523" s="4">
        <v>2147</v>
      </c>
      <c r="M523" s="9">
        <v>54.259099999999997</v>
      </c>
      <c r="N523" s="9">
        <v>-125.7598</v>
      </c>
      <c r="O523" s="9" t="s">
        <v>148</v>
      </c>
      <c r="P523" s="9">
        <v>181</v>
      </c>
      <c r="Q523" s="20">
        <v>1</v>
      </c>
      <c r="R523" s="9" t="s">
        <v>2214</v>
      </c>
      <c r="S523" s="9" t="s">
        <v>1737</v>
      </c>
      <c r="T523" s="9">
        <v>830</v>
      </c>
      <c r="U523" s="9"/>
      <c r="V523" s="9"/>
      <c r="W523" s="21">
        <v>33970</v>
      </c>
      <c r="X523" s="4" t="s">
        <v>1738</v>
      </c>
      <c r="Y523" s="7"/>
      <c r="AO523" s="4" t="s">
        <v>2214</v>
      </c>
      <c r="AP523" s="4">
        <v>181</v>
      </c>
      <c r="AQ523" s="4" t="s">
        <v>1700</v>
      </c>
      <c r="AR523" s="4" t="s">
        <v>1739</v>
      </c>
      <c r="AS523" s="4" t="s">
        <v>1740</v>
      </c>
      <c r="AT523" s="4" t="s">
        <v>1741</v>
      </c>
      <c r="AU523" s="4" t="s">
        <v>1772</v>
      </c>
      <c r="AV523" s="4" t="s">
        <v>1720</v>
      </c>
      <c r="AW523" s="4" t="s">
        <v>1947</v>
      </c>
      <c r="AX523" s="4" t="s">
        <v>2148</v>
      </c>
      <c r="AY523" s="4">
        <v>54.259099999999997</v>
      </c>
      <c r="AZ523" s="4">
        <v>-125.7598</v>
      </c>
      <c r="BA523" s="4">
        <v>824</v>
      </c>
    </row>
    <row r="524" spans="1:53" ht="14.25" customHeight="1" x14ac:dyDescent="0.2">
      <c r="A524" s="4" t="s">
        <v>88</v>
      </c>
      <c r="B524" s="6">
        <v>12</v>
      </c>
      <c r="C524" s="4" t="s">
        <v>7666</v>
      </c>
      <c r="D524" s="4">
        <v>182</v>
      </c>
      <c r="E524" s="4">
        <v>1745</v>
      </c>
      <c r="F524" s="4" t="s">
        <v>2217</v>
      </c>
      <c r="G524" s="8" t="s">
        <v>2218</v>
      </c>
      <c r="H524" s="4" t="s">
        <v>2219</v>
      </c>
      <c r="I524" s="4" t="s">
        <v>641</v>
      </c>
      <c r="J524" s="4" t="s">
        <v>1736</v>
      </c>
      <c r="K524" s="4">
        <v>1</v>
      </c>
      <c r="L524" s="4">
        <v>2148</v>
      </c>
      <c r="M524" s="9">
        <v>54.801000000000002</v>
      </c>
      <c r="N524" s="9">
        <v>-126.94833</v>
      </c>
      <c r="O524" s="9" t="s">
        <v>148</v>
      </c>
      <c r="P524" s="9">
        <v>182</v>
      </c>
      <c r="Q524" s="20">
        <v>1</v>
      </c>
      <c r="R524" s="9" t="s">
        <v>2217</v>
      </c>
      <c r="S524" s="9" t="s">
        <v>1737</v>
      </c>
      <c r="T524" s="9">
        <v>844</v>
      </c>
      <c r="U524" s="9"/>
      <c r="V524" s="9"/>
      <c r="W524" s="21">
        <v>33970</v>
      </c>
      <c r="X524" s="4" t="s">
        <v>1738</v>
      </c>
      <c r="Y524" s="7"/>
      <c r="AO524" s="4" t="s">
        <v>2217</v>
      </c>
      <c r="AP524" s="4">
        <v>182</v>
      </c>
      <c r="AQ524" s="4" t="s">
        <v>1716</v>
      </c>
      <c r="AR524" s="4" t="s">
        <v>1739</v>
      </c>
      <c r="AS524" s="4" t="s">
        <v>1740</v>
      </c>
      <c r="AT524" s="4" t="s">
        <v>1741</v>
      </c>
      <c r="AU524" s="4" t="s">
        <v>1742</v>
      </c>
      <c r="AV524" s="4" t="s">
        <v>1720</v>
      </c>
      <c r="AW524" s="4" t="s">
        <v>1947</v>
      </c>
      <c r="AX524" s="4" t="s">
        <v>2133</v>
      </c>
      <c r="AY524" s="4">
        <v>54.801299999999998</v>
      </c>
      <c r="AZ524" s="4">
        <v>-126.94840000000001</v>
      </c>
      <c r="BA524" s="4">
        <v>855</v>
      </c>
    </row>
    <row r="525" spans="1:53" ht="14.25" customHeight="1" x14ac:dyDescent="0.2">
      <c r="A525" s="4" t="s">
        <v>1908</v>
      </c>
      <c r="B525" s="6">
        <v>12</v>
      </c>
      <c r="C525" s="4" t="s">
        <v>7666</v>
      </c>
      <c r="D525" s="4">
        <v>183</v>
      </c>
      <c r="E525" s="4">
        <v>1746</v>
      </c>
      <c r="F525" s="8" t="s">
        <v>2220</v>
      </c>
      <c r="G525" s="8" t="s">
        <v>2221</v>
      </c>
      <c r="H525" s="4" t="s">
        <v>2222</v>
      </c>
      <c r="I525" s="4" t="s">
        <v>641</v>
      </c>
      <c r="J525" s="4" t="s">
        <v>1736</v>
      </c>
      <c r="K525" s="4">
        <v>1</v>
      </c>
      <c r="L525" s="4">
        <v>2149</v>
      </c>
      <c r="M525" s="9">
        <v>54.01867</v>
      </c>
      <c r="N525" s="9">
        <v>-126.38889</v>
      </c>
      <c r="O525" s="9" t="s">
        <v>148</v>
      </c>
      <c r="P525" s="9">
        <v>183</v>
      </c>
      <c r="Q525" s="20">
        <v>6</v>
      </c>
      <c r="R525" s="9" t="s">
        <v>2223</v>
      </c>
      <c r="S525" s="9" t="s">
        <v>1737</v>
      </c>
      <c r="T525" s="9">
        <v>1259</v>
      </c>
      <c r="U525" s="9"/>
      <c r="V525" s="9"/>
      <c r="W525" s="21">
        <v>34700</v>
      </c>
      <c r="X525" s="4" t="s">
        <v>1738</v>
      </c>
      <c r="Y525" s="7"/>
      <c r="AO525" s="4" t="s">
        <v>2223</v>
      </c>
      <c r="AP525" s="4">
        <v>183</v>
      </c>
      <c r="AQ525" s="4" t="s">
        <v>1716</v>
      </c>
      <c r="AR525" s="4" t="s">
        <v>1739</v>
      </c>
      <c r="AS525" s="4" t="s">
        <v>1740</v>
      </c>
      <c r="AT525" s="4" t="s">
        <v>1741</v>
      </c>
      <c r="AU525" s="4" t="s">
        <v>1772</v>
      </c>
      <c r="AV525" s="4" t="s">
        <v>1720</v>
      </c>
      <c r="AW525" s="4" t="s">
        <v>1947</v>
      </c>
      <c r="AX525" s="4" t="s">
        <v>2153</v>
      </c>
      <c r="AY525" s="4">
        <v>54.018599999999999</v>
      </c>
      <c r="AZ525" s="4">
        <v>-126.389</v>
      </c>
      <c r="BA525" s="4">
        <v>1259</v>
      </c>
    </row>
    <row r="526" spans="1:53" ht="14.25" customHeight="1" x14ac:dyDescent="0.2">
      <c r="B526" s="6">
        <v>12</v>
      </c>
      <c r="C526" s="4" t="s">
        <v>7666</v>
      </c>
      <c r="D526" s="4">
        <v>185</v>
      </c>
      <c r="E526" s="4">
        <v>1747</v>
      </c>
      <c r="F526" s="16" t="s">
        <v>2224</v>
      </c>
      <c r="G526" s="4" t="s">
        <v>2225</v>
      </c>
      <c r="H526" s="4" t="s">
        <v>2226</v>
      </c>
      <c r="I526" s="4" t="s">
        <v>1664</v>
      </c>
      <c r="J526" s="4" t="s">
        <v>1715</v>
      </c>
      <c r="K526" s="4">
        <v>1</v>
      </c>
      <c r="L526" s="4">
        <v>2150</v>
      </c>
      <c r="Y526" s="7"/>
      <c r="AO526" s="4" t="s">
        <v>2224</v>
      </c>
      <c r="AP526" s="4">
        <v>185</v>
      </c>
      <c r="AQ526" s="4" t="s">
        <v>1716</v>
      </c>
      <c r="AR526" s="4" t="s">
        <v>1717</v>
      </c>
      <c r="AS526" s="4" t="s">
        <v>1718</v>
      </c>
      <c r="AT526" s="4" t="s">
        <v>1719</v>
      </c>
      <c r="AU526" s="4" t="s">
        <v>1703</v>
      </c>
      <c r="AV526" s="4" t="s">
        <v>1720</v>
      </c>
      <c r="AW526" s="4" t="s">
        <v>2003</v>
      </c>
      <c r="AX526" s="4" t="s">
        <v>2091</v>
      </c>
      <c r="AY526" s="4">
        <v>53.6</v>
      </c>
      <c r="AZ526" s="4">
        <v>-123</v>
      </c>
      <c r="BA526" s="4">
        <v>7</v>
      </c>
    </row>
    <row r="527" spans="1:53" ht="14.25" customHeight="1" x14ac:dyDescent="0.2">
      <c r="A527" s="4" t="s">
        <v>422</v>
      </c>
      <c r="B527" s="6">
        <v>12</v>
      </c>
      <c r="C527" s="4" t="s">
        <v>7671</v>
      </c>
      <c r="D527" s="4">
        <v>186</v>
      </c>
      <c r="E527" s="4">
        <v>12969</v>
      </c>
      <c r="F527" s="49" t="s">
        <v>2227</v>
      </c>
      <c r="G527" s="4" t="s">
        <v>127</v>
      </c>
      <c r="H527" s="4" t="s">
        <v>1697</v>
      </c>
      <c r="I527" s="4" t="s">
        <v>49</v>
      </c>
      <c r="J527" s="4" t="s">
        <v>1746</v>
      </c>
      <c r="K527" s="4">
        <v>1</v>
      </c>
      <c r="L527" s="4">
        <v>14901</v>
      </c>
      <c r="Y527" s="7"/>
      <c r="AO527" s="48" t="s">
        <v>2228</v>
      </c>
      <c r="AP527" s="48">
        <v>186</v>
      </c>
      <c r="AQ527" s="48" t="s">
        <v>1700</v>
      </c>
      <c r="AR527" s="48" t="s">
        <v>1701</v>
      </c>
      <c r="AS527" s="48" t="s">
        <v>1702</v>
      </c>
      <c r="AT527" s="48" t="s">
        <v>1703</v>
      </c>
      <c r="AU527" s="48" t="s">
        <v>1704</v>
      </c>
      <c r="AV527" s="48" t="s">
        <v>1702</v>
      </c>
      <c r="AW527" s="48" t="s">
        <v>2003</v>
      </c>
      <c r="AX527" s="48" t="s">
        <v>2091</v>
      </c>
      <c r="AY527" s="48">
        <v>53.9</v>
      </c>
      <c r="AZ527" s="48">
        <v>-122.7</v>
      </c>
      <c r="BA527" s="48">
        <v>691</v>
      </c>
    </row>
    <row r="528" spans="1:53" ht="14.25" customHeight="1" x14ac:dyDescent="0.2">
      <c r="A528" s="4" t="s">
        <v>88</v>
      </c>
      <c r="B528" s="6">
        <v>12</v>
      </c>
      <c r="C528" s="4" t="s">
        <v>7666</v>
      </c>
      <c r="D528" s="4">
        <v>187</v>
      </c>
      <c r="E528" s="4">
        <v>1748</v>
      </c>
      <c r="F528" s="4" t="s">
        <v>2229</v>
      </c>
      <c r="G528" s="8" t="s">
        <v>2230</v>
      </c>
      <c r="H528" s="4" t="s">
        <v>2231</v>
      </c>
      <c r="I528" s="4" t="s">
        <v>641</v>
      </c>
      <c r="J528" s="4" t="s">
        <v>1736</v>
      </c>
      <c r="K528" s="4">
        <v>1</v>
      </c>
      <c r="L528" s="4">
        <v>2151</v>
      </c>
      <c r="M528" s="9">
        <v>53.411279999999998</v>
      </c>
      <c r="N528" s="9">
        <v>-122.59575</v>
      </c>
      <c r="O528" s="9" t="s">
        <v>148</v>
      </c>
      <c r="P528" s="9">
        <v>187</v>
      </c>
      <c r="Q528" s="20">
        <v>1</v>
      </c>
      <c r="R528" s="9" t="s">
        <v>2229</v>
      </c>
      <c r="S528" s="9" t="s">
        <v>1737</v>
      </c>
      <c r="T528" s="9">
        <v>615</v>
      </c>
      <c r="U528" s="9"/>
      <c r="V528" s="9"/>
      <c r="W528" s="21">
        <v>27760</v>
      </c>
      <c r="X528" s="9" t="s">
        <v>1738</v>
      </c>
      <c r="Y528" s="7"/>
      <c r="AO528" s="4" t="s">
        <v>2229</v>
      </c>
      <c r="AP528" s="4">
        <v>187</v>
      </c>
      <c r="AQ528" s="4" t="s">
        <v>1700</v>
      </c>
      <c r="AR528" s="4" t="s">
        <v>1739</v>
      </c>
      <c r="AS528" s="4" t="s">
        <v>1740</v>
      </c>
      <c r="AT528" s="4" t="s">
        <v>1741</v>
      </c>
      <c r="AU528" s="4" t="s">
        <v>1772</v>
      </c>
      <c r="AV528" s="4" t="s">
        <v>1720</v>
      </c>
      <c r="AW528" s="4" t="s">
        <v>2003</v>
      </c>
      <c r="AX528" s="4" t="s">
        <v>2091</v>
      </c>
      <c r="AY528" s="4">
        <v>53.4114</v>
      </c>
      <c r="AZ528" s="4">
        <v>-122.59610000000001</v>
      </c>
      <c r="BA528" s="4">
        <v>640</v>
      </c>
    </row>
    <row r="529" spans="1:53" ht="14.25" customHeight="1" x14ac:dyDescent="0.2">
      <c r="B529" s="6">
        <v>12</v>
      </c>
      <c r="C529" s="4" t="s">
        <v>7666</v>
      </c>
      <c r="D529" s="4">
        <v>188</v>
      </c>
      <c r="E529" s="4">
        <v>1749</v>
      </c>
      <c r="F529" s="16" t="s">
        <v>2232</v>
      </c>
      <c r="G529" s="4" t="s">
        <v>2233</v>
      </c>
      <c r="H529" s="4" t="s">
        <v>2234</v>
      </c>
      <c r="I529" s="4" t="s">
        <v>1664</v>
      </c>
      <c r="J529" s="4" t="s">
        <v>1715</v>
      </c>
      <c r="K529" s="4">
        <v>1</v>
      </c>
      <c r="L529" s="4">
        <v>2152</v>
      </c>
      <c r="Y529" s="7"/>
      <c r="AO529" s="4" t="s">
        <v>2232</v>
      </c>
      <c r="AP529" s="4">
        <v>188</v>
      </c>
      <c r="AQ529" s="4" t="s">
        <v>1716</v>
      </c>
      <c r="AR529" s="4" t="s">
        <v>1717</v>
      </c>
      <c r="AS529" s="4" t="s">
        <v>1718</v>
      </c>
      <c r="AT529" s="4" t="s">
        <v>1719</v>
      </c>
      <c r="AU529" s="4" t="s">
        <v>1703</v>
      </c>
      <c r="AV529" s="4" t="s">
        <v>1720</v>
      </c>
      <c r="AW529" s="4" t="s">
        <v>2193</v>
      </c>
      <c r="AX529" s="4" t="s">
        <v>2194</v>
      </c>
      <c r="AY529" s="4">
        <v>53</v>
      </c>
      <c r="AZ529" s="4">
        <v>-122.2</v>
      </c>
      <c r="BA529" s="4">
        <v>10</v>
      </c>
    </row>
    <row r="530" spans="1:53" ht="14.25" customHeight="1" x14ac:dyDescent="0.2">
      <c r="A530" s="4" t="s">
        <v>88</v>
      </c>
      <c r="B530" s="6">
        <v>12</v>
      </c>
      <c r="C530" s="4" t="s">
        <v>7666</v>
      </c>
      <c r="D530" s="4">
        <v>189</v>
      </c>
      <c r="E530" s="4">
        <v>1750</v>
      </c>
      <c r="F530" s="4" t="s">
        <v>2235</v>
      </c>
      <c r="G530" s="8" t="s">
        <v>2236</v>
      </c>
      <c r="H530" s="4" t="s">
        <v>2237</v>
      </c>
      <c r="I530" s="4" t="s">
        <v>641</v>
      </c>
      <c r="J530" s="4" t="s">
        <v>1865</v>
      </c>
      <c r="K530" s="4">
        <v>1</v>
      </c>
      <c r="L530" s="4">
        <v>2153</v>
      </c>
      <c r="M530" s="9">
        <v>53.493780000000001</v>
      </c>
      <c r="N530" s="9">
        <v>-123.60878</v>
      </c>
      <c r="O530" s="9" t="s">
        <v>148</v>
      </c>
      <c r="P530" s="9">
        <v>189</v>
      </c>
      <c r="Q530" s="20">
        <v>1</v>
      </c>
      <c r="R530" s="9" t="s">
        <v>2235</v>
      </c>
      <c r="S530" s="9" t="s">
        <v>1737</v>
      </c>
      <c r="T530" s="9">
        <v>814</v>
      </c>
      <c r="U530" s="9"/>
      <c r="V530" s="9"/>
      <c r="W530" s="21">
        <v>31413</v>
      </c>
      <c r="X530" s="9" t="s">
        <v>1738</v>
      </c>
      <c r="Y530" s="7"/>
      <c r="AO530" s="4" t="s">
        <v>2235</v>
      </c>
      <c r="AP530" s="4">
        <v>189</v>
      </c>
      <c r="AQ530" s="4" t="s">
        <v>1700</v>
      </c>
      <c r="AR530" s="4" t="s">
        <v>1739</v>
      </c>
      <c r="AS530" s="4" t="s">
        <v>1740</v>
      </c>
      <c r="AT530" s="4" t="s">
        <v>1741</v>
      </c>
      <c r="AU530" s="4" t="s">
        <v>1959</v>
      </c>
      <c r="AV530" s="4" t="s">
        <v>1720</v>
      </c>
      <c r="AW530" s="4" t="s">
        <v>2003</v>
      </c>
      <c r="AX530" s="4" t="s">
        <v>2091</v>
      </c>
      <c r="AY530" s="4">
        <v>53.493699999999997</v>
      </c>
      <c r="AZ530" s="4">
        <v>-123.6088</v>
      </c>
      <c r="BA530" s="4">
        <v>807</v>
      </c>
    </row>
    <row r="531" spans="1:53" ht="14.25" customHeight="1" x14ac:dyDescent="0.2">
      <c r="A531" s="4" t="s">
        <v>88</v>
      </c>
      <c r="B531" s="6">
        <v>12</v>
      </c>
      <c r="C531" s="4" t="s">
        <v>7666</v>
      </c>
      <c r="D531" s="4">
        <v>190</v>
      </c>
      <c r="E531" s="4">
        <v>1751</v>
      </c>
      <c r="F531" s="4" t="s">
        <v>2238</v>
      </c>
      <c r="G531" s="8" t="s">
        <v>2239</v>
      </c>
      <c r="H531" s="4" t="s">
        <v>2240</v>
      </c>
      <c r="I531" s="4" t="s">
        <v>641</v>
      </c>
      <c r="J531" s="4" t="s">
        <v>1865</v>
      </c>
      <c r="K531" s="4">
        <v>1</v>
      </c>
      <c r="L531" s="4">
        <v>2154</v>
      </c>
      <c r="M531" s="9">
        <v>53.525939999999999</v>
      </c>
      <c r="N531" s="9">
        <v>-122.10550000000001</v>
      </c>
      <c r="O531" s="9" t="s">
        <v>170</v>
      </c>
      <c r="P531" s="9">
        <v>190</v>
      </c>
      <c r="Q531" s="20">
        <v>2</v>
      </c>
      <c r="R531" s="9" t="s">
        <v>2238</v>
      </c>
      <c r="S531" s="9" t="s">
        <v>1737</v>
      </c>
      <c r="T531" s="9">
        <v>997</v>
      </c>
      <c r="U531" s="9"/>
      <c r="V531" s="9"/>
      <c r="W531" s="21">
        <v>32143</v>
      </c>
      <c r="X531" s="9" t="s">
        <v>1738</v>
      </c>
      <c r="Y531" s="7"/>
      <c r="AO531" s="4" t="s">
        <v>2238</v>
      </c>
      <c r="AP531" s="4">
        <v>190</v>
      </c>
      <c r="AQ531" s="4" t="s">
        <v>1700</v>
      </c>
      <c r="AR531" s="4" t="s">
        <v>1739</v>
      </c>
      <c r="AS531" s="4" t="s">
        <v>1740</v>
      </c>
      <c r="AT531" s="4" t="s">
        <v>1741</v>
      </c>
      <c r="AU531" s="4" t="s">
        <v>1959</v>
      </c>
      <c r="AV531" s="4" t="s">
        <v>1720</v>
      </c>
      <c r="AW531" s="4" t="s">
        <v>2003</v>
      </c>
      <c r="AX531" s="4" t="s">
        <v>2091</v>
      </c>
      <c r="AY531" s="4">
        <v>53.526400000000002</v>
      </c>
      <c r="AZ531" s="4">
        <v>-122.10639999999999</v>
      </c>
      <c r="BA531" s="4">
        <v>979</v>
      </c>
    </row>
    <row r="532" spans="1:53" ht="14.25" customHeight="1" x14ac:dyDescent="0.2">
      <c r="B532" s="6">
        <v>12</v>
      </c>
      <c r="C532" s="4" t="s">
        <v>7666</v>
      </c>
      <c r="D532" s="4">
        <v>191</v>
      </c>
      <c r="E532" s="4">
        <v>1752</v>
      </c>
      <c r="F532" s="4" t="s">
        <v>2241</v>
      </c>
      <c r="G532" s="4" t="s">
        <v>2242</v>
      </c>
      <c r="H532" s="4" t="s">
        <v>2243</v>
      </c>
      <c r="I532" s="4" t="s">
        <v>641</v>
      </c>
      <c r="J532" s="4" t="s">
        <v>1715</v>
      </c>
      <c r="K532" s="4">
        <v>1</v>
      </c>
      <c r="L532" s="4">
        <v>2155</v>
      </c>
      <c r="Y532" s="7"/>
      <c r="AO532" s="4" t="s">
        <v>2244</v>
      </c>
      <c r="AP532" s="4">
        <v>191</v>
      </c>
      <c r="AQ532" s="4" t="s">
        <v>1716</v>
      </c>
      <c r="AR532" s="4" t="s">
        <v>1717</v>
      </c>
      <c r="AS532" s="4" t="s">
        <v>1718</v>
      </c>
      <c r="AT532" s="4" t="s">
        <v>1835</v>
      </c>
      <c r="AU532" s="4" t="s">
        <v>1959</v>
      </c>
      <c r="AV532" s="4" t="s">
        <v>1720</v>
      </c>
      <c r="AW532" s="4" t="s">
        <v>2003</v>
      </c>
      <c r="AX532" s="4" t="s">
        <v>2091</v>
      </c>
      <c r="AY532" s="4">
        <v>54.077800000000003</v>
      </c>
      <c r="AZ532" s="4">
        <v>-121.8263</v>
      </c>
      <c r="BA532" s="4">
        <v>638</v>
      </c>
    </row>
    <row r="533" spans="1:53" ht="14.25" customHeight="1" x14ac:dyDescent="0.2">
      <c r="B533" s="6">
        <v>12</v>
      </c>
      <c r="C533" s="4" t="s">
        <v>7666</v>
      </c>
      <c r="D533" s="4">
        <v>192</v>
      </c>
      <c r="E533" s="4">
        <v>1753</v>
      </c>
      <c r="F533" s="4" t="s">
        <v>2245</v>
      </c>
      <c r="G533" s="4" t="s">
        <v>2246</v>
      </c>
      <c r="H533" s="4" t="s">
        <v>2247</v>
      </c>
      <c r="I533" s="4" t="s">
        <v>641</v>
      </c>
      <c r="J533" s="4" t="s">
        <v>1736</v>
      </c>
      <c r="K533" s="4">
        <v>1</v>
      </c>
      <c r="L533" s="4">
        <v>2156</v>
      </c>
      <c r="M533" s="9">
        <v>53.928890000000003</v>
      </c>
      <c r="N533" s="9">
        <v>-120.63569</v>
      </c>
      <c r="O533" s="9" t="s">
        <v>1290</v>
      </c>
      <c r="P533" s="9">
        <v>192</v>
      </c>
      <c r="Q533" s="20">
        <v>3</v>
      </c>
      <c r="R533" s="9" t="s">
        <v>2245</v>
      </c>
      <c r="S533" s="9" t="s">
        <v>1737</v>
      </c>
      <c r="T533" s="9">
        <v>975</v>
      </c>
      <c r="U533" s="9"/>
      <c r="V533" s="9"/>
      <c r="W533" s="21">
        <v>31413</v>
      </c>
      <c r="X533" s="9" t="s">
        <v>1738</v>
      </c>
      <c r="Y533" s="7"/>
      <c r="AO533" s="4" t="s">
        <v>2245</v>
      </c>
      <c r="AP533" s="4">
        <v>192</v>
      </c>
      <c r="AQ533" s="4" t="s">
        <v>1716</v>
      </c>
      <c r="AR533" s="4" t="s">
        <v>1739</v>
      </c>
      <c r="AS533" s="4" t="s">
        <v>1740</v>
      </c>
      <c r="AT533" s="4" t="s">
        <v>1741</v>
      </c>
      <c r="AU533" s="4" t="s">
        <v>1742</v>
      </c>
      <c r="AV533" s="4" t="s">
        <v>1720</v>
      </c>
      <c r="AW533" s="4" t="s">
        <v>2003</v>
      </c>
      <c r="AX533" s="4" t="s">
        <v>2091</v>
      </c>
      <c r="AY533" s="4">
        <v>53.928899999999999</v>
      </c>
      <c r="AZ533" s="4">
        <v>-120.63549999999999</v>
      </c>
      <c r="BA533" s="4">
        <v>979</v>
      </c>
    </row>
    <row r="534" spans="1:53" ht="14.25" customHeight="1" x14ac:dyDescent="0.2">
      <c r="A534" s="4" t="s">
        <v>88</v>
      </c>
      <c r="B534" s="6">
        <v>12</v>
      </c>
      <c r="C534" s="4" t="s">
        <v>7666</v>
      </c>
      <c r="D534" s="4">
        <v>193</v>
      </c>
      <c r="E534" s="4">
        <v>1754</v>
      </c>
      <c r="F534" s="4" t="s">
        <v>2248</v>
      </c>
      <c r="G534" s="8" t="s">
        <v>2249</v>
      </c>
      <c r="H534" s="4" t="s">
        <v>2250</v>
      </c>
      <c r="I534" s="4" t="s">
        <v>641</v>
      </c>
      <c r="J534" s="4" t="s">
        <v>1865</v>
      </c>
      <c r="K534" s="4">
        <v>1</v>
      </c>
      <c r="L534" s="4">
        <v>2157</v>
      </c>
      <c r="M534" s="9">
        <v>53.463140000000003</v>
      </c>
      <c r="N534" s="9">
        <v>-121.56032999999999</v>
      </c>
      <c r="O534" s="9" t="s">
        <v>170</v>
      </c>
      <c r="P534" s="9">
        <v>193</v>
      </c>
      <c r="Q534" s="20">
        <v>2</v>
      </c>
      <c r="R534" s="9" t="s">
        <v>2248</v>
      </c>
      <c r="S534" s="9" t="s">
        <v>1737</v>
      </c>
      <c r="T534" s="9">
        <v>945</v>
      </c>
      <c r="U534" s="9"/>
      <c r="V534" s="9"/>
      <c r="W534" s="21">
        <v>31413</v>
      </c>
      <c r="X534" s="9" t="s">
        <v>1738</v>
      </c>
      <c r="Y534" s="7"/>
      <c r="AO534" s="4" t="s">
        <v>2248</v>
      </c>
      <c r="AP534" s="4">
        <v>193</v>
      </c>
      <c r="AQ534" s="4" t="s">
        <v>1700</v>
      </c>
      <c r="AR534" s="4" t="s">
        <v>1739</v>
      </c>
      <c r="AS534" s="4" t="s">
        <v>1740</v>
      </c>
      <c r="AT534" s="4" t="s">
        <v>1741</v>
      </c>
      <c r="AU534" s="4" t="s">
        <v>1959</v>
      </c>
      <c r="AV534" s="4" t="s">
        <v>1720</v>
      </c>
      <c r="AW534" s="4" t="s">
        <v>2003</v>
      </c>
      <c r="AX534" s="4" t="s">
        <v>2091</v>
      </c>
      <c r="AY534" s="4">
        <v>53.463000000000001</v>
      </c>
      <c r="AZ534" s="4">
        <v>-121.5603</v>
      </c>
      <c r="BA534" s="4">
        <v>927</v>
      </c>
    </row>
    <row r="535" spans="1:53" ht="14.25" customHeight="1" x14ac:dyDescent="0.2">
      <c r="A535" s="4" t="s">
        <v>2251</v>
      </c>
      <c r="B535" s="6">
        <v>12</v>
      </c>
      <c r="C535" s="4" t="s">
        <v>7666</v>
      </c>
      <c r="D535" s="4">
        <v>194</v>
      </c>
      <c r="E535" s="4">
        <v>1755</v>
      </c>
      <c r="F535" s="8" t="s">
        <v>2252</v>
      </c>
      <c r="G535" s="8" t="s">
        <v>2253</v>
      </c>
      <c r="H535" s="4" t="s">
        <v>2254</v>
      </c>
      <c r="I535" s="4" t="s">
        <v>641</v>
      </c>
      <c r="J535" s="4" t="s">
        <v>1865</v>
      </c>
      <c r="K535" s="4">
        <v>1</v>
      </c>
      <c r="L535" s="4">
        <v>2158</v>
      </c>
      <c r="M535" s="54">
        <v>52.86983</v>
      </c>
      <c r="N535" s="54">
        <v>-119.29908</v>
      </c>
      <c r="O535" s="54" t="s">
        <v>170</v>
      </c>
      <c r="P535" s="54">
        <v>194</v>
      </c>
      <c r="Q535" s="55">
        <v>1</v>
      </c>
      <c r="R535" s="54" t="s">
        <v>2255</v>
      </c>
      <c r="S535" s="54" t="s">
        <v>1737</v>
      </c>
      <c r="T535" s="54">
        <v>797</v>
      </c>
      <c r="U535" s="54" t="s">
        <v>645</v>
      </c>
      <c r="V535" s="54"/>
      <c r="W535" s="56">
        <v>25569</v>
      </c>
      <c r="X535" s="54" t="s">
        <v>1738</v>
      </c>
      <c r="Y535" s="57"/>
      <c r="AO535" s="53" t="s">
        <v>2256</v>
      </c>
      <c r="AP535" s="4">
        <v>194</v>
      </c>
      <c r="AQ535" s="4" t="s">
        <v>1716</v>
      </c>
      <c r="AR535" s="4" t="s">
        <v>1717</v>
      </c>
      <c r="AS535" s="4" t="s">
        <v>2257</v>
      </c>
      <c r="AT535" s="4" t="s">
        <v>1835</v>
      </c>
      <c r="AU535" s="4" t="s">
        <v>2043</v>
      </c>
      <c r="AV535" s="4" t="s">
        <v>1720</v>
      </c>
      <c r="AW535" s="4" t="s">
        <v>2003</v>
      </c>
      <c r="AX535" s="4" t="s">
        <v>2258</v>
      </c>
      <c r="AY535" s="4">
        <v>52.869799999999998</v>
      </c>
      <c r="AZ535" s="4">
        <v>-119.2991</v>
      </c>
      <c r="BA535" s="4">
        <v>797</v>
      </c>
    </row>
    <row r="536" spans="1:53" ht="14.25" customHeight="1" x14ac:dyDescent="0.2">
      <c r="A536" s="4" t="s">
        <v>88</v>
      </c>
      <c r="B536" s="6">
        <v>12</v>
      </c>
      <c r="C536" s="4" t="s">
        <v>7666</v>
      </c>
      <c r="D536" s="4">
        <v>195</v>
      </c>
      <c r="E536" s="4">
        <v>1756</v>
      </c>
      <c r="F536" s="4" t="s">
        <v>2259</v>
      </c>
      <c r="G536" s="8" t="s">
        <v>2260</v>
      </c>
      <c r="H536" s="4" t="s">
        <v>2261</v>
      </c>
      <c r="I536" s="4" t="s">
        <v>641</v>
      </c>
      <c r="J536" s="4" t="s">
        <v>1865</v>
      </c>
      <c r="K536" s="4">
        <v>1</v>
      </c>
      <c r="L536" s="4">
        <v>2159</v>
      </c>
      <c r="M536" s="9">
        <v>53.294829999999997</v>
      </c>
      <c r="N536" s="9">
        <v>-120.15278000000001</v>
      </c>
      <c r="O536" s="9" t="s">
        <v>170</v>
      </c>
      <c r="P536" s="9">
        <v>195</v>
      </c>
      <c r="Q536" s="20">
        <v>1</v>
      </c>
      <c r="R536" s="9" t="s">
        <v>2262</v>
      </c>
      <c r="S536" s="9" t="s">
        <v>1737</v>
      </c>
      <c r="T536" s="9">
        <v>716</v>
      </c>
      <c r="U536" s="9" t="s">
        <v>645</v>
      </c>
      <c r="V536" s="9" t="s">
        <v>1813</v>
      </c>
      <c r="W536" s="21">
        <v>29221</v>
      </c>
      <c r="X536" s="9" t="s">
        <v>1738</v>
      </c>
      <c r="Y536" s="7"/>
      <c r="AO536" s="4" t="s">
        <v>2259</v>
      </c>
      <c r="AP536" s="4">
        <v>195</v>
      </c>
      <c r="AQ536" s="4" t="s">
        <v>1700</v>
      </c>
      <c r="AR536" s="4" t="s">
        <v>1739</v>
      </c>
      <c r="AS536" s="4" t="s">
        <v>1740</v>
      </c>
      <c r="AT536" s="4" t="s">
        <v>1741</v>
      </c>
      <c r="AU536" s="4" t="s">
        <v>1772</v>
      </c>
      <c r="AV536" s="4" t="s">
        <v>1720</v>
      </c>
      <c r="AW536" s="4" t="s">
        <v>2003</v>
      </c>
      <c r="AX536" s="4" t="s">
        <v>2258</v>
      </c>
      <c r="AY536" s="4">
        <v>53.294800000000002</v>
      </c>
      <c r="AZ536" s="4">
        <v>-120.15300000000001</v>
      </c>
      <c r="BA536" s="4">
        <v>714</v>
      </c>
    </row>
    <row r="537" spans="1:53" ht="14.25" customHeight="1" x14ac:dyDescent="0.2">
      <c r="B537" s="6">
        <v>12</v>
      </c>
      <c r="C537" s="4" t="s">
        <v>7666</v>
      </c>
      <c r="D537" s="4">
        <v>196</v>
      </c>
      <c r="E537" s="4">
        <v>1757</v>
      </c>
      <c r="F537" s="16" t="s">
        <v>2263</v>
      </c>
      <c r="G537" s="4" t="s">
        <v>2264</v>
      </c>
      <c r="H537" s="4" t="s">
        <v>1900</v>
      </c>
      <c r="I537" s="4" t="s">
        <v>1664</v>
      </c>
      <c r="J537" s="4" t="s">
        <v>1715</v>
      </c>
      <c r="K537" s="4">
        <v>1</v>
      </c>
      <c r="L537" s="4">
        <v>2160</v>
      </c>
      <c r="Y537" s="7"/>
      <c r="AO537" s="4" t="s">
        <v>2263</v>
      </c>
      <c r="AP537" s="4">
        <v>196</v>
      </c>
      <c r="AQ537" s="4" t="s">
        <v>1716</v>
      </c>
      <c r="AR537" s="4" t="s">
        <v>1717</v>
      </c>
      <c r="AS537" s="4" t="s">
        <v>1718</v>
      </c>
      <c r="AT537" s="4" t="s">
        <v>1719</v>
      </c>
      <c r="AU537" s="4" t="s">
        <v>1703</v>
      </c>
      <c r="AV537" s="4" t="s">
        <v>1720</v>
      </c>
      <c r="AW537" s="4" t="s">
        <v>2003</v>
      </c>
      <c r="AX537" s="4" t="s">
        <v>2258</v>
      </c>
      <c r="AY537" s="4">
        <v>53</v>
      </c>
      <c r="AZ537" s="4">
        <v>-119.6</v>
      </c>
      <c r="BA537" s="4">
        <v>8</v>
      </c>
    </row>
    <row r="538" spans="1:53" ht="14.25" customHeight="1" x14ac:dyDescent="0.2">
      <c r="B538" s="6">
        <v>12</v>
      </c>
      <c r="C538" s="4" t="s">
        <v>7666</v>
      </c>
      <c r="D538" s="4">
        <v>197</v>
      </c>
      <c r="E538" s="4">
        <v>1758</v>
      </c>
      <c r="F538" s="16" t="s">
        <v>2265</v>
      </c>
      <c r="G538" s="4" t="s">
        <v>2266</v>
      </c>
      <c r="H538" s="4" t="s">
        <v>1900</v>
      </c>
      <c r="I538" s="4" t="s">
        <v>1664</v>
      </c>
      <c r="J538" s="4" t="s">
        <v>1715</v>
      </c>
      <c r="K538" s="4">
        <v>1</v>
      </c>
      <c r="L538" s="4">
        <v>2161</v>
      </c>
      <c r="Y538" s="7"/>
      <c r="AO538" s="4" t="s">
        <v>2265</v>
      </c>
      <c r="AP538" s="4">
        <v>197</v>
      </c>
      <c r="AQ538" s="4" t="s">
        <v>1716</v>
      </c>
      <c r="AR538" s="4" t="s">
        <v>1717</v>
      </c>
      <c r="AS538" s="4" t="s">
        <v>1718</v>
      </c>
      <c r="AT538" s="4" t="s">
        <v>1719</v>
      </c>
      <c r="AU538" s="4" t="s">
        <v>1703</v>
      </c>
      <c r="AV538" s="4" t="s">
        <v>1720</v>
      </c>
      <c r="AW538" s="4" t="s">
        <v>2003</v>
      </c>
      <c r="AX538" s="4" t="s">
        <v>2258</v>
      </c>
      <c r="AY538" s="4">
        <v>53.4</v>
      </c>
      <c r="AZ538" s="4">
        <v>-120.4</v>
      </c>
      <c r="BA538" s="4">
        <v>0</v>
      </c>
    </row>
    <row r="539" spans="1:53" ht="14.25" customHeight="1" x14ac:dyDescent="0.2">
      <c r="A539" s="4" t="s">
        <v>88</v>
      </c>
      <c r="B539" s="6">
        <v>12</v>
      </c>
      <c r="C539" s="4" t="s">
        <v>7666</v>
      </c>
      <c r="D539" s="4">
        <v>199</v>
      </c>
      <c r="E539" s="4">
        <v>1759</v>
      </c>
      <c r="F539" s="4" t="s">
        <v>2267</v>
      </c>
      <c r="G539" s="8" t="s">
        <v>2268</v>
      </c>
      <c r="H539" s="4" t="s">
        <v>2269</v>
      </c>
      <c r="I539" s="4" t="s">
        <v>641</v>
      </c>
      <c r="J539" s="4" t="s">
        <v>1736</v>
      </c>
      <c r="K539" s="4">
        <v>1</v>
      </c>
      <c r="L539" s="4">
        <v>2162</v>
      </c>
      <c r="M539" s="9">
        <v>53.576439999999998</v>
      </c>
      <c r="N539" s="9">
        <v>-120.85844</v>
      </c>
      <c r="O539" s="9" t="s">
        <v>170</v>
      </c>
      <c r="P539" s="9">
        <v>199</v>
      </c>
      <c r="Q539" s="20">
        <v>1</v>
      </c>
      <c r="R539" s="9" t="s">
        <v>2267</v>
      </c>
      <c r="S539" s="9" t="s">
        <v>1737</v>
      </c>
      <c r="T539" s="9">
        <v>866</v>
      </c>
      <c r="U539" s="9"/>
      <c r="V539" s="9"/>
      <c r="W539" s="21">
        <v>31413</v>
      </c>
      <c r="X539" s="9" t="s">
        <v>1738</v>
      </c>
      <c r="Y539" s="7"/>
      <c r="AO539" s="4" t="s">
        <v>2267</v>
      </c>
      <c r="AP539" s="4">
        <v>199</v>
      </c>
      <c r="AQ539" s="4" t="s">
        <v>1716</v>
      </c>
      <c r="AR539" s="4" t="s">
        <v>1739</v>
      </c>
      <c r="AS539" s="4" t="s">
        <v>1740</v>
      </c>
      <c r="AT539" s="4" t="s">
        <v>1741</v>
      </c>
      <c r="AU539" s="4" t="s">
        <v>1742</v>
      </c>
      <c r="AV539" s="4" t="s">
        <v>1720</v>
      </c>
      <c r="AW539" s="4" t="s">
        <v>2003</v>
      </c>
      <c r="AX539" s="4" t="s">
        <v>2091</v>
      </c>
      <c r="AY539" s="4">
        <v>53.5764</v>
      </c>
      <c r="AZ539" s="4">
        <v>-120.85850000000001</v>
      </c>
      <c r="BA539" s="4">
        <v>871</v>
      </c>
    </row>
    <row r="540" spans="1:53" ht="14.25" customHeight="1" x14ac:dyDescent="0.2">
      <c r="A540" s="4" t="s">
        <v>88</v>
      </c>
      <c r="B540" s="6">
        <v>12</v>
      </c>
      <c r="C540" s="4" t="s">
        <v>7666</v>
      </c>
      <c r="D540" s="4">
        <v>200</v>
      </c>
      <c r="E540" s="4">
        <v>1760</v>
      </c>
      <c r="F540" s="4" t="s">
        <v>2270</v>
      </c>
      <c r="G540" s="8" t="s">
        <v>2271</v>
      </c>
      <c r="H540" s="4" t="s">
        <v>2272</v>
      </c>
      <c r="I540" s="4" t="s">
        <v>641</v>
      </c>
      <c r="J540" s="4" t="s">
        <v>1865</v>
      </c>
      <c r="K540" s="4">
        <v>1</v>
      </c>
      <c r="L540" s="4">
        <v>2163</v>
      </c>
      <c r="M540" s="9">
        <v>52.788049999999998</v>
      </c>
      <c r="N540" s="9">
        <v>-119.31480999999999</v>
      </c>
      <c r="O540" s="9" t="s">
        <v>170</v>
      </c>
      <c r="P540" s="9">
        <v>200</v>
      </c>
      <c r="Q540" s="20">
        <v>3</v>
      </c>
      <c r="R540" s="9" t="s">
        <v>2270</v>
      </c>
      <c r="S540" s="9" t="s">
        <v>1737</v>
      </c>
      <c r="T540" s="9">
        <v>1195</v>
      </c>
      <c r="U540" s="9"/>
      <c r="V540" s="9"/>
      <c r="W540" s="21">
        <v>31413</v>
      </c>
      <c r="X540" s="9" t="s">
        <v>1738</v>
      </c>
      <c r="Y540" s="7"/>
      <c r="AO540" s="4" t="s">
        <v>2270</v>
      </c>
      <c r="AP540" s="4">
        <v>200</v>
      </c>
      <c r="AQ540" s="4" t="s">
        <v>1700</v>
      </c>
      <c r="AR540" s="4" t="s">
        <v>1739</v>
      </c>
      <c r="AS540" s="4" t="s">
        <v>1740</v>
      </c>
      <c r="AT540" s="4" t="s">
        <v>1741</v>
      </c>
      <c r="AU540" s="4" t="s">
        <v>1959</v>
      </c>
      <c r="AV540" s="4" t="s">
        <v>1720</v>
      </c>
      <c r="AW540" s="4" t="s">
        <v>2003</v>
      </c>
      <c r="AX540" s="4" t="s">
        <v>2258</v>
      </c>
      <c r="AY540" s="4">
        <v>52.7883</v>
      </c>
      <c r="AZ540" s="4">
        <v>-119.3147</v>
      </c>
      <c r="BA540" s="4">
        <v>1163</v>
      </c>
    </row>
    <row r="541" spans="1:53" ht="14.25" customHeight="1" x14ac:dyDescent="0.2">
      <c r="B541" s="6">
        <v>12</v>
      </c>
      <c r="C541" s="4" t="s">
        <v>7666</v>
      </c>
      <c r="D541" s="4">
        <v>201</v>
      </c>
      <c r="E541" s="4">
        <v>1761</v>
      </c>
      <c r="F541" s="4" t="s">
        <v>2273</v>
      </c>
      <c r="G541" s="4" t="s">
        <v>2274</v>
      </c>
      <c r="H541" s="4" t="s">
        <v>2275</v>
      </c>
      <c r="I541" s="4" t="s">
        <v>641</v>
      </c>
      <c r="J541" s="4" t="s">
        <v>1736</v>
      </c>
      <c r="K541" s="4">
        <v>1</v>
      </c>
      <c r="L541" s="4">
        <v>2164</v>
      </c>
      <c r="M541" s="9">
        <v>53.935969999999998</v>
      </c>
      <c r="N541" s="9">
        <v>-124.77672</v>
      </c>
      <c r="O541" s="9" t="s">
        <v>148</v>
      </c>
      <c r="P541" s="9">
        <v>654</v>
      </c>
      <c r="Q541" s="20">
        <v>3</v>
      </c>
      <c r="R541" s="9" t="s">
        <v>2276</v>
      </c>
      <c r="S541" s="9" t="s">
        <v>1737</v>
      </c>
      <c r="T541" s="9">
        <v>961</v>
      </c>
      <c r="U541" s="9"/>
      <c r="V541" s="9" t="s">
        <v>2147</v>
      </c>
      <c r="W541" s="21">
        <v>35796</v>
      </c>
      <c r="X541" s="9" t="s">
        <v>1738</v>
      </c>
      <c r="Y541" s="7"/>
      <c r="AO541" s="4" t="s">
        <v>2273</v>
      </c>
      <c r="AP541" s="4">
        <v>201</v>
      </c>
      <c r="AQ541" s="4" t="s">
        <v>1716</v>
      </c>
      <c r="AR541" s="4" t="s">
        <v>1717</v>
      </c>
      <c r="AS541" s="4" t="s">
        <v>1740</v>
      </c>
      <c r="AT541" s="4" t="s">
        <v>1835</v>
      </c>
      <c r="AU541" s="4" t="s">
        <v>1742</v>
      </c>
      <c r="AV541" s="4" t="s">
        <v>1720</v>
      </c>
      <c r="AW541" s="4" t="s">
        <v>2003</v>
      </c>
      <c r="AX541" s="4" t="s">
        <v>2258</v>
      </c>
      <c r="AY541" s="4">
        <v>53.345399999999998</v>
      </c>
      <c r="AZ541" s="4">
        <v>-119.7132</v>
      </c>
      <c r="BA541" s="4">
        <v>1179</v>
      </c>
    </row>
    <row r="542" spans="1:53" ht="14.25" customHeight="1" x14ac:dyDescent="0.2">
      <c r="B542" s="6">
        <v>12</v>
      </c>
      <c r="C542" s="4" t="s">
        <v>7666</v>
      </c>
      <c r="D542" s="4">
        <v>202</v>
      </c>
      <c r="E542" s="4">
        <v>1762</v>
      </c>
      <c r="F542" s="4" t="s">
        <v>2277</v>
      </c>
      <c r="G542" s="4" t="s">
        <v>2278</v>
      </c>
      <c r="H542" s="4" t="s">
        <v>2279</v>
      </c>
      <c r="I542" s="4" t="s">
        <v>641</v>
      </c>
      <c r="J542" s="4" t="s">
        <v>1715</v>
      </c>
      <c r="K542" s="4">
        <v>1</v>
      </c>
      <c r="L542" s="4">
        <v>2165</v>
      </c>
      <c r="Y542" s="7"/>
      <c r="AO542" s="4" t="s">
        <v>2280</v>
      </c>
      <c r="AP542" s="4">
        <v>202</v>
      </c>
      <c r="AQ542" s="4" t="s">
        <v>1716</v>
      </c>
      <c r="AR542" s="4" t="s">
        <v>1717</v>
      </c>
      <c r="AS542" s="4" t="s">
        <v>1718</v>
      </c>
      <c r="AT542" s="4" t="s">
        <v>2161</v>
      </c>
      <c r="AU542" s="4" t="s">
        <v>2162</v>
      </c>
      <c r="AV542" s="4" t="s">
        <v>1720</v>
      </c>
      <c r="AW542" s="4" t="s">
        <v>2003</v>
      </c>
      <c r="AX542" s="4" t="s">
        <v>2258</v>
      </c>
      <c r="AY542" s="4">
        <v>52.7027</v>
      </c>
      <c r="AZ542" s="4">
        <v>-118.4701</v>
      </c>
      <c r="BA542" s="4">
        <v>1667</v>
      </c>
    </row>
    <row r="543" spans="1:53" ht="14.25" customHeight="1" x14ac:dyDescent="0.2">
      <c r="A543" s="4" t="s">
        <v>422</v>
      </c>
      <c r="B543" s="6">
        <v>12</v>
      </c>
      <c r="C543" s="4" t="s">
        <v>7665</v>
      </c>
      <c r="D543" s="4">
        <v>203</v>
      </c>
      <c r="E543" s="4">
        <v>12970</v>
      </c>
      <c r="F543" s="49" t="s">
        <v>2281</v>
      </c>
      <c r="G543" s="4" t="s">
        <v>127</v>
      </c>
      <c r="H543" s="4" t="s">
        <v>1697</v>
      </c>
      <c r="I543" s="4" t="s">
        <v>49</v>
      </c>
      <c r="J543" s="4" t="s">
        <v>1746</v>
      </c>
      <c r="K543" s="4">
        <v>1</v>
      </c>
      <c r="L543" s="4">
        <v>14902</v>
      </c>
      <c r="Y543" s="7"/>
      <c r="AO543" s="48" t="s">
        <v>2282</v>
      </c>
      <c r="AP543" s="48">
        <v>203</v>
      </c>
      <c r="AQ543" s="48" t="s">
        <v>1700</v>
      </c>
      <c r="AR543" s="48" t="s">
        <v>1701</v>
      </c>
      <c r="AS543" s="48" t="s">
        <v>1702</v>
      </c>
      <c r="AT543" s="48" t="s">
        <v>1703</v>
      </c>
      <c r="AU543" s="48" t="s">
        <v>1704</v>
      </c>
      <c r="AV543" s="48" t="s">
        <v>1702</v>
      </c>
      <c r="AW543" s="48" t="s">
        <v>2193</v>
      </c>
      <c r="AX543" s="48" t="s">
        <v>2283</v>
      </c>
      <c r="AY543" s="48">
        <v>52.1</v>
      </c>
      <c r="AZ543" s="48">
        <v>-124.2</v>
      </c>
      <c r="BA543" s="48">
        <v>910</v>
      </c>
    </row>
    <row r="544" spans="1:53" ht="14.25" customHeight="1" x14ac:dyDescent="0.2">
      <c r="B544" s="6">
        <v>12</v>
      </c>
      <c r="C544" s="4" t="s">
        <v>7666</v>
      </c>
      <c r="D544" s="4">
        <v>204</v>
      </c>
      <c r="E544" s="4">
        <v>1763</v>
      </c>
      <c r="F544" s="16" t="s">
        <v>2284</v>
      </c>
      <c r="G544" s="4" t="s">
        <v>2285</v>
      </c>
      <c r="H544" s="4" t="s">
        <v>2286</v>
      </c>
      <c r="I544" s="4" t="s">
        <v>1664</v>
      </c>
      <c r="J544" s="4" t="s">
        <v>1715</v>
      </c>
      <c r="K544" s="4">
        <v>1</v>
      </c>
      <c r="L544" s="4">
        <v>2166</v>
      </c>
      <c r="Y544" s="7"/>
      <c r="AO544" s="4" t="s">
        <v>2284</v>
      </c>
      <c r="AP544" s="4">
        <v>204</v>
      </c>
      <c r="AQ544" s="4" t="s">
        <v>1716</v>
      </c>
      <c r="AR544" s="4" t="s">
        <v>1717</v>
      </c>
      <c r="AS544" s="4" t="s">
        <v>1718</v>
      </c>
      <c r="AT544" s="4" t="s">
        <v>1719</v>
      </c>
      <c r="AU544" s="4" t="s">
        <v>1703</v>
      </c>
      <c r="AV544" s="4" t="s">
        <v>1720</v>
      </c>
      <c r="AW544" s="4" t="s">
        <v>2193</v>
      </c>
      <c r="AX544" s="4" t="s">
        <v>2287</v>
      </c>
      <c r="AY544" s="4">
        <v>51.4</v>
      </c>
      <c r="AZ544" s="4">
        <v>-121.7</v>
      </c>
      <c r="BA544" s="4">
        <v>11</v>
      </c>
    </row>
    <row r="545" spans="1:53" ht="14.25" customHeight="1" x14ac:dyDescent="0.2">
      <c r="A545" s="4" t="s">
        <v>422</v>
      </c>
      <c r="B545" s="6">
        <v>12</v>
      </c>
      <c r="C545" s="4" t="s">
        <v>7671</v>
      </c>
      <c r="D545" s="4">
        <v>205</v>
      </c>
      <c r="E545" s="4">
        <v>12985</v>
      </c>
      <c r="F545" s="49" t="s">
        <v>2288</v>
      </c>
      <c r="G545" s="4" t="s">
        <v>127</v>
      </c>
      <c r="H545" s="4" t="s">
        <v>2289</v>
      </c>
      <c r="I545" s="4" t="s">
        <v>49</v>
      </c>
      <c r="J545" s="4" t="s">
        <v>1698</v>
      </c>
      <c r="K545" s="4">
        <v>1</v>
      </c>
      <c r="L545" s="4">
        <v>14917</v>
      </c>
      <c r="Y545" s="7"/>
      <c r="AO545" s="48" t="s">
        <v>2290</v>
      </c>
      <c r="AP545" s="48">
        <v>205</v>
      </c>
      <c r="AQ545" s="48" t="s">
        <v>1700</v>
      </c>
      <c r="AR545" s="48" t="s">
        <v>1701</v>
      </c>
      <c r="AS545" s="48" t="s">
        <v>1702</v>
      </c>
      <c r="AT545" s="48" t="s">
        <v>1703</v>
      </c>
      <c r="AU545" s="48" t="s">
        <v>1704</v>
      </c>
      <c r="AV545" s="48" t="s">
        <v>1702</v>
      </c>
      <c r="AW545" s="48" t="s">
        <v>2193</v>
      </c>
      <c r="AX545" s="48" t="s">
        <v>2291</v>
      </c>
      <c r="AY545" s="48">
        <v>52.2</v>
      </c>
      <c r="AZ545" s="48">
        <v>-122.1</v>
      </c>
      <c r="BA545" s="48">
        <v>940</v>
      </c>
    </row>
    <row r="546" spans="1:53" ht="14.25" customHeight="1" x14ac:dyDescent="0.2">
      <c r="B546" s="6">
        <v>12</v>
      </c>
      <c r="C546" s="4" t="s">
        <v>7666</v>
      </c>
      <c r="D546" s="4">
        <v>206</v>
      </c>
      <c r="E546" s="4">
        <v>1764</v>
      </c>
      <c r="F546" s="4" t="s">
        <v>2292</v>
      </c>
      <c r="G546" s="4" t="s">
        <v>2293</v>
      </c>
      <c r="H546" s="4" t="s">
        <v>2294</v>
      </c>
      <c r="I546" s="4" t="s">
        <v>641</v>
      </c>
      <c r="J546" s="4" t="s">
        <v>1865</v>
      </c>
      <c r="K546" s="4">
        <v>1</v>
      </c>
      <c r="L546" s="4">
        <v>2167</v>
      </c>
      <c r="M546" s="9">
        <v>52.534999999999997</v>
      </c>
      <c r="N546" s="9">
        <v>-123.25</v>
      </c>
      <c r="O546" s="9" t="s">
        <v>148</v>
      </c>
      <c r="P546" s="9">
        <v>206</v>
      </c>
      <c r="Q546" s="20">
        <v>4</v>
      </c>
      <c r="R546" s="9" t="s">
        <v>2292</v>
      </c>
      <c r="S546" s="9" t="s">
        <v>1737</v>
      </c>
      <c r="T546" s="4">
        <v>1085</v>
      </c>
      <c r="W546" s="4">
        <v>25569</v>
      </c>
      <c r="X546" s="4" t="s">
        <v>1738</v>
      </c>
      <c r="Y546" s="7"/>
      <c r="AO546" s="4" t="s">
        <v>2292</v>
      </c>
      <c r="AP546" s="4">
        <v>206</v>
      </c>
      <c r="AQ546" s="4" t="s">
        <v>1716</v>
      </c>
      <c r="AR546" s="4" t="s">
        <v>1739</v>
      </c>
      <c r="AS546" s="4" t="s">
        <v>1740</v>
      </c>
      <c r="AT546" s="4" t="s">
        <v>1741</v>
      </c>
      <c r="AU546" s="4" t="s">
        <v>1742</v>
      </c>
      <c r="AV546" s="4" t="s">
        <v>1720</v>
      </c>
      <c r="AW546" s="4" t="s">
        <v>2193</v>
      </c>
      <c r="AX546" s="4" t="s">
        <v>2291</v>
      </c>
      <c r="AY546" s="4">
        <v>52.542200000000001</v>
      </c>
      <c r="AZ546" s="4">
        <v>-123.35</v>
      </c>
      <c r="BA546" s="4">
        <v>1085</v>
      </c>
    </row>
    <row r="547" spans="1:53" ht="14.25" customHeight="1" x14ac:dyDescent="0.2">
      <c r="B547" s="6">
        <v>12</v>
      </c>
      <c r="C547" s="4" t="s">
        <v>7666</v>
      </c>
      <c r="D547" s="4">
        <v>208</v>
      </c>
      <c r="E547" s="4">
        <v>1765</v>
      </c>
      <c r="F547" s="4" t="s">
        <v>2295</v>
      </c>
      <c r="G547" s="4" t="s">
        <v>2296</v>
      </c>
      <c r="H547" s="4" t="s">
        <v>2297</v>
      </c>
      <c r="I547" s="4" t="s">
        <v>641</v>
      </c>
      <c r="J547" s="4" t="s">
        <v>1736</v>
      </c>
      <c r="K547" s="4">
        <v>1</v>
      </c>
      <c r="L547" s="4">
        <v>2168</v>
      </c>
      <c r="M547" s="9">
        <v>51.906669999999998</v>
      </c>
      <c r="N547" s="9">
        <v>-124.605</v>
      </c>
      <c r="O547" s="9" t="s">
        <v>148</v>
      </c>
      <c r="P547" s="9">
        <v>208</v>
      </c>
      <c r="Q547" s="20">
        <v>2</v>
      </c>
      <c r="R547" s="9" t="s">
        <v>2298</v>
      </c>
      <c r="S547" s="9" t="s">
        <v>1737</v>
      </c>
      <c r="T547" s="4">
        <v>945</v>
      </c>
      <c r="U547" s="4" t="s">
        <v>645</v>
      </c>
      <c r="W547" s="4">
        <v>29221</v>
      </c>
      <c r="X547" s="4" t="s">
        <v>1738</v>
      </c>
      <c r="Y547" s="7"/>
      <c r="AO547" s="4" t="s">
        <v>2295</v>
      </c>
      <c r="AP547" s="4">
        <v>208</v>
      </c>
      <c r="AQ547" s="4" t="s">
        <v>1700</v>
      </c>
      <c r="AR547" s="4" t="s">
        <v>1739</v>
      </c>
      <c r="AS547" s="4" t="s">
        <v>1740</v>
      </c>
      <c r="AT547" s="4" t="s">
        <v>1741</v>
      </c>
      <c r="AU547" s="4" t="s">
        <v>1959</v>
      </c>
      <c r="AV547" s="4" t="s">
        <v>1720</v>
      </c>
      <c r="AW547" s="4" t="s">
        <v>2193</v>
      </c>
      <c r="AX547" s="4" t="s">
        <v>2283</v>
      </c>
      <c r="AY547" s="4">
        <v>51.906700000000001</v>
      </c>
      <c r="AZ547" s="4">
        <v>-124.605</v>
      </c>
      <c r="BA547" s="4">
        <v>945</v>
      </c>
    </row>
    <row r="548" spans="1:53" ht="14.25" customHeight="1" x14ac:dyDescent="0.2">
      <c r="A548" s="4" t="s">
        <v>88</v>
      </c>
      <c r="B548" s="6">
        <v>12</v>
      </c>
      <c r="C548" s="4" t="s">
        <v>7666</v>
      </c>
      <c r="D548" s="4">
        <v>209</v>
      </c>
      <c r="E548" s="4">
        <v>1766</v>
      </c>
      <c r="F548" s="4" t="s">
        <v>2299</v>
      </c>
      <c r="G548" s="8" t="s">
        <v>2300</v>
      </c>
      <c r="H548" s="4" t="s">
        <v>2301</v>
      </c>
      <c r="I548" s="4" t="s">
        <v>641</v>
      </c>
      <c r="J548" s="4" t="s">
        <v>1736</v>
      </c>
      <c r="K548" s="4">
        <v>1</v>
      </c>
      <c r="L548" s="4">
        <v>2169</v>
      </c>
      <c r="M548" s="9">
        <v>52.083770000000001</v>
      </c>
      <c r="N548" s="9">
        <v>-123.27327</v>
      </c>
      <c r="O548" s="9" t="s">
        <v>148</v>
      </c>
      <c r="P548" s="9">
        <v>209</v>
      </c>
      <c r="Q548" s="20">
        <v>1</v>
      </c>
      <c r="R548" s="9" t="s">
        <v>2299</v>
      </c>
      <c r="S548" s="9" t="s">
        <v>1737</v>
      </c>
      <c r="T548" s="4">
        <v>791</v>
      </c>
      <c r="U548" s="4" t="s">
        <v>645</v>
      </c>
      <c r="V548" s="4" t="s">
        <v>1830</v>
      </c>
      <c r="W548" s="4">
        <v>29221</v>
      </c>
      <c r="X548" s="4" t="s">
        <v>1738</v>
      </c>
      <c r="Y548" s="7"/>
      <c r="AO548" s="4" t="s">
        <v>2299</v>
      </c>
      <c r="AP548" s="4">
        <v>209</v>
      </c>
      <c r="AQ548" s="4" t="s">
        <v>1716</v>
      </c>
      <c r="AR548" s="4" t="s">
        <v>1739</v>
      </c>
      <c r="AS548" s="4" t="s">
        <v>1740</v>
      </c>
      <c r="AT548" s="4" t="s">
        <v>1741</v>
      </c>
      <c r="AU548" s="4" t="s">
        <v>1742</v>
      </c>
      <c r="AV548" s="4" t="s">
        <v>1720</v>
      </c>
      <c r="AW548" s="4" t="s">
        <v>2193</v>
      </c>
      <c r="AX548" s="4" t="s">
        <v>2283</v>
      </c>
      <c r="AY548" s="4">
        <v>52.083799999999997</v>
      </c>
      <c r="AZ548" s="4">
        <v>-123.27330000000001</v>
      </c>
      <c r="BA548" s="4">
        <v>791</v>
      </c>
    </row>
    <row r="549" spans="1:53" ht="14.25" customHeight="1" x14ac:dyDescent="0.2">
      <c r="A549" s="4" t="s">
        <v>88</v>
      </c>
      <c r="B549" s="6">
        <v>12</v>
      </c>
      <c r="C549" s="4" t="s">
        <v>7666</v>
      </c>
      <c r="D549" s="4">
        <v>210</v>
      </c>
      <c r="E549" s="4">
        <v>1767</v>
      </c>
      <c r="F549" s="4" t="s">
        <v>2302</v>
      </c>
      <c r="G549" s="8" t="s">
        <v>2303</v>
      </c>
      <c r="H549" s="4" t="s">
        <v>2304</v>
      </c>
      <c r="I549" s="4" t="s">
        <v>641</v>
      </c>
      <c r="J549" s="4" t="s">
        <v>1865</v>
      </c>
      <c r="K549" s="4">
        <v>1</v>
      </c>
      <c r="L549" s="4">
        <v>2170</v>
      </c>
      <c r="M549" s="9">
        <v>51.96</v>
      </c>
      <c r="N549" s="9">
        <v>-122.51</v>
      </c>
      <c r="O549" s="9" t="s">
        <v>148</v>
      </c>
      <c r="P549" s="9">
        <v>210</v>
      </c>
      <c r="Q549" s="20">
        <v>2</v>
      </c>
      <c r="R549" s="9" t="s">
        <v>2302</v>
      </c>
      <c r="S549" s="9" t="s">
        <v>1737</v>
      </c>
      <c r="T549" s="4">
        <v>884</v>
      </c>
      <c r="W549" s="4">
        <v>29221</v>
      </c>
      <c r="X549" s="4" t="s">
        <v>1738</v>
      </c>
      <c r="Y549" s="7"/>
      <c r="AO549" s="4" t="s">
        <v>2302</v>
      </c>
      <c r="AP549" s="4">
        <v>210</v>
      </c>
      <c r="AQ549" s="4" t="s">
        <v>1700</v>
      </c>
      <c r="AR549" s="4" t="s">
        <v>1739</v>
      </c>
      <c r="AS549" s="4" t="s">
        <v>1740</v>
      </c>
      <c r="AT549" s="4" t="s">
        <v>1741</v>
      </c>
      <c r="AU549" s="4" t="s">
        <v>1959</v>
      </c>
      <c r="AV549" s="4" t="s">
        <v>1720</v>
      </c>
      <c r="AW549" s="4" t="s">
        <v>2193</v>
      </c>
      <c r="AX549" s="4" t="s">
        <v>2291</v>
      </c>
      <c r="AY549" s="4">
        <v>51.959400000000002</v>
      </c>
      <c r="AZ549" s="4">
        <v>-122.5042</v>
      </c>
      <c r="BA549" s="4">
        <v>929</v>
      </c>
    </row>
    <row r="550" spans="1:53" ht="14.25" customHeight="1" x14ac:dyDescent="0.2">
      <c r="B550" s="6">
        <v>12</v>
      </c>
      <c r="C550" s="4" t="s">
        <v>7666</v>
      </c>
      <c r="D550" s="4">
        <v>211</v>
      </c>
      <c r="E550" s="4">
        <v>1768</v>
      </c>
      <c r="F550" s="4" t="s">
        <v>2305</v>
      </c>
      <c r="G550" s="4" t="s">
        <v>2306</v>
      </c>
      <c r="H550" s="4" t="s">
        <v>2307</v>
      </c>
      <c r="I550" s="4" t="s">
        <v>641</v>
      </c>
      <c r="J550" s="4" t="s">
        <v>1736</v>
      </c>
      <c r="K550" s="4">
        <v>1</v>
      </c>
      <c r="L550" s="4">
        <v>2171</v>
      </c>
      <c r="M550" s="9">
        <v>52.957500000000003</v>
      </c>
      <c r="N550" s="9">
        <v>-123.5958</v>
      </c>
      <c r="O550" s="9" t="s">
        <v>148</v>
      </c>
      <c r="P550" s="9">
        <v>211</v>
      </c>
      <c r="Q550" s="20">
        <v>2</v>
      </c>
      <c r="R550" s="9" t="s">
        <v>2305</v>
      </c>
      <c r="S550" s="9" t="s">
        <v>1737</v>
      </c>
      <c r="T550" s="4">
        <v>910</v>
      </c>
      <c r="U550" s="4" t="s">
        <v>645</v>
      </c>
      <c r="V550" s="4" t="s">
        <v>1830</v>
      </c>
      <c r="W550" s="4">
        <v>29587</v>
      </c>
      <c r="X550" s="4" t="s">
        <v>1738</v>
      </c>
      <c r="Y550" s="7"/>
      <c r="AO550" s="4" t="s">
        <v>2305</v>
      </c>
      <c r="AP550" s="4">
        <v>211</v>
      </c>
      <c r="AQ550" s="4" t="s">
        <v>1716</v>
      </c>
      <c r="AR550" s="4" t="s">
        <v>1739</v>
      </c>
      <c r="AS550" s="4" t="s">
        <v>1740</v>
      </c>
      <c r="AT550" s="4" t="s">
        <v>1741</v>
      </c>
      <c r="AU550" s="4" t="s">
        <v>1742</v>
      </c>
      <c r="AV550" s="4" t="s">
        <v>1720</v>
      </c>
      <c r="AW550" s="4" t="s">
        <v>2193</v>
      </c>
      <c r="AX550" s="4" t="s">
        <v>2194</v>
      </c>
      <c r="AY550" s="4">
        <v>52.957500000000003</v>
      </c>
      <c r="AZ550" s="4">
        <v>-123.5958</v>
      </c>
      <c r="BA550" s="4">
        <v>910</v>
      </c>
    </row>
    <row r="551" spans="1:53" ht="14.25" customHeight="1" x14ac:dyDescent="0.2">
      <c r="A551" s="4" t="s">
        <v>2037</v>
      </c>
      <c r="B551" s="6">
        <v>12</v>
      </c>
      <c r="C551" s="4" t="s">
        <v>7666</v>
      </c>
      <c r="D551" s="4">
        <v>212</v>
      </c>
      <c r="E551" s="4">
        <v>1769</v>
      </c>
      <c r="F551" s="8" t="s">
        <v>2308</v>
      </c>
      <c r="G551" s="4" t="s">
        <v>2309</v>
      </c>
      <c r="H551" s="4" t="s">
        <v>2310</v>
      </c>
      <c r="I551" s="4" t="s">
        <v>641</v>
      </c>
      <c r="J551" s="4" t="s">
        <v>1736</v>
      </c>
      <c r="K551" s="4">
        <v>1</v>
      </c>
      <c r="L551" s="4">
        <v>2172</v>
      </c>
      <c r="M551" s="9">
        <v>51.816670000000002</v>
      </c>
      <c r="N551" s="9">
        <v>-122</v>
      </c>
      <c r="O551" s="9" t="s">
        <v>148</v>
      </c>
      <c r="P551" s="9">
        <v>212</v>
      </c>
      <c r="Q551" s="20">
        <v>4</v>
      </c>
      <c r="R551" s="9" t="s">
        <v>2311</v>
      </c>
      <c r="S551" s="9" t="s">
        <v>1737</v>
      </c>
      <c r="T551" s="4">
        <v>1065</v>
      </c>
      <c r="W551" s="4">
        <v>29587</v>
      </c>
      <c r="X551" s="4" t="s">
        <v>1738</v>
      </c>
      <c r="Y551" s="7"/>
      <c r="AO551" s="4" t="s">
        <v>2311</v>
      </c>
      <c r="AP551" s="4">
        <v>212</v>
      </c>
      <c r="AQ551" s="4" t="s">
        <v>1700</v>
      </c>
      <c r="AR551" s="4" t="s">
        <v>1739</v>
      </c>
      <c r="AS551" s="4" t="s">
        <v>1740</v>
      </c>
      <c r="AT551" s="4" t="s">
        <v>1741</v>
      </c>
      <c r="AU551" s="4" t="s">
        <v>1959</v>
      </c>
      <c r="AV551" s="4" t="s">
        <v>1720</v>
      </c>
      <c r="AW551" s="4" t="s">
        <v>2193</v>
      </c>
      <c r="AX551" s="4" t="s">
        <v>2291</v>
      </c>
      <c r="AY551" s="4">
        <v>51.816699999999997</v>
      </c>
      <c r="AZ551" s="4">
        <v>-122</v>
      </c>
      <c r="BA551" s="4">
        <v>1065</v>
      </c>
    </row>
    <row r="552" spans="1:53" ht="14.25" customHeight="1" x14ac:dyDescent="0.2">
      <c r="B552" s="6">
        <v>12</v>
      </c>
      <c r="C552" s="4" t="s">
        <v>7666</v>
      </c>
      <c r="D552" s="4">
        <v>213</v>
      </c>
      <c r="E552" s="4">
        <v>1770</v>
      </c>
      <c r="F552" s="4" t="s">
        <v>2312</v>
      </c>
      <c r="G552" s="4" t="s">
        <v>2313</v>
      </c>
      <c r="H552" s="4" t="s">
        <v>2314</v>
      </c>
      <c r="I552" s="4" t="s">
        <v>641</v>
      </c>
      <c r="J552" s="4" t="s">
        <v>1736</v>
      </c>
      <c r="K552" s="4">
        <v>1</v>
      </c>
      <c r="L552" s="4">
        <v>2173</v>
      </c>
      <c r="M552" s="9">
        <v>52.456670000000003</v>
      </c>
      <c r="N552" s="9">
        <v>-125.30333</v>
      </c>
      <c r="O552" s="9" t="s">
        <v>148</v>
      </c>
      <c r="P552" s="14">
        <v>213</v>
      </c>
      <c r="Q552" s="20">
        <v>4</v>
      </c>
      <c r="R552" s="9" t="s">
        <v>2315</v>
      </c>
      <c r="S552" s="9" t="s">
        <v>1737</v>
      </c>
      <c r="T552" s="4">
        <v>1096</v>
      </c>
      <c r="U552" s="4" t="s">
        <v>645</v>
      </c>
      <c r="V552" s="4" t="s">
        <v>1830</v>
      </c>
      <c r="W552" s="4">
        <v>29587</v>
      </c>
      <c r="X552" s="4" t="s">
        <v>1738</v>
      </c>
      <c r="Y552" s="7"/>
      <c r="AO552" s="4" t="s">
        <v>2312</v>
      </c>
      <c r="AP552" s="4">
        <v>213</v>
      </c>
      <c r="AQ552" s="4" t="s">
        <v>1700</v>
      </c>
      <c r="AR552" s="4" t="s">
        <v>1739</v>
      </c>
      <c r="AS552" s="4" t="s">
        <v>1740</v>
      </c>
      <c r="AT552" s="4" t="s">
        <v>1741</v>
      </c>
      <c r="AU552" s="4" t="s">
        <v>1959</v>
      </c>
      <c r="AV552" s="4" t="s">
        <v>1720</v>
      </c>
      <c r="AW552" s="4" t="s">
        <v>2193</v>
      </c>
      <c r="AX552" s="4" t="s">
        <v>2283</v>
      </c>
      <c r="AY552" s="4">
        <v>52.460599999999999</v>
      </c>
      <c r="AZ552" s="4">
        <v>-125.307</v>
      </c>
      <c r="BA552" s="4">
        <v>1097</v>
      </c>
    </row>
    <row r="553" spans="1:53" ht="14.25" customHeight="1" x14ac:dyDescent="0.2">
      <c r="B553" s="6">
        <v>12</v>
      </c>
      <c r="C553" s="4" t="s">
        <v>7666</v>
      </c>
      <c r="D553" s="4">
        <v>214</v>
      </c>
      <c r="E553" s="4">
        <v>1771</v>
      </c>
      <c r="F553" s="16" t="s">
        <v>2316</v>
      </c>
      <c r="G553" s="4" t="s">
        <v>2317</v>
      </c>
      <c r="H553" s="4" t="s">
        <v>1900</v>
      </c>
      <c r="I553" s="4" t="s">
        <v>1664</v>
      </c>
      <c r="J553" s="4" t="s">
        <v>1715</v>
      </c>
      <c r="K553" s="4">
        <v>1</v>
      </c>
      <c r="L553" s="4">
        <v>2174</v>
      </c>
      <c r="Y553" s="7"/>
      <c r="AO553" s="4" t="s">
        <v>2316</v>
      </c>
      <c r="AP553" s="4">
        <v>214</v>
      </c>
      <c r="AQ553" s="4" t="s">
        <v>1716</v>
      </c>
      <c r="AR553" s="4" t="s">
        <v>1717</v>
      </c>
      <c r="AS553" s="4" t="s">
        <v>1718</v>
      </c>
      <c r="AT553" s="4" t="s">
        <v>1719</v>
      </c>
      <c r="AU553" s="4" t="s">
        <v>1703</v>
      </c>
      <c r="AV553" s="4" t="s">
        <v>1720</v>
      </c>
      <c r="AW553" s="4" t="s">
        <v>2193</v>
      </c>
      <c r="AX553" s="4" t="s">
        <v>2283</v>
      </c>
      <c r="AY553" s="4">
        <v>52</v>
      </c>
      <c r="AZ553" s="4">
        <v>-125</v>
      </c>
      <c r="BA553" s="4">
        <v>9</v>
      </c>
    </row>
    <row r="554" spans="1:53" ht="14.25" customHeight="1" x14ac:dyDescent="0.2">
      <c r="B554" s="6">
        <v>12</v>
      </c>
      <c r="C554" s="4" t="s">
        <v>7666</v>
      </c>
      <c r="D554" s="4">
        <v>215</v>
      </c>
      <c r="E554" s="4">
        <v>1772</v>
      </c>
      <c r="F554" s="16" t="s">
        <v>2318</v>
      </c>
      <c r="G554" s="4" t="s">
        <v>2319</v>
      </c>
      <c r="H554" s="4" t="s">
        <v>2320</v>
      </c>
      <c r="I554" s="4" t="s">
        <v>1664</v>
      </c>
      <c r="J554" s="4" t="s">
        <v>1746</v>
      </c>
      <c r="K554" s="4">
        <v>1</v>
      </c>
      <c r="L554" s="4">
        <v>2175</v>
      </c>
      <c r="Y554" s="7"/>
      <c r="AO554" s="4" t="s">
        <v>2318</v>
      </c>
      <c r="AP554" s="4">
        <v>215</v>
      </c>
      <c r="AQ554" s="4" t="s">
        <v>1716</v>
      </c>
      <c r="AR554" s="4" t="s">
        <v>1717</v>
      </c>
      <c r="AS554" s="4" t="s">
        <v>1718</v>
      </c>
      <c r="AT554" s="4" t="s">
        <v>1719</v>
      </c>
      <c r="AU554" s="4" t="s">
        <v>1703</v>
      </c>
      <c r="AV554" s="4" t="s">
        <v>1720</v>
      </c>
      <c r="AW554" s="4" t="s">
        <v>2193</v>
      </c>
      <c r="AX554" s="4" t="s">
        <v>2283</v>
      </c>
      <c r="AY554" s="4">
        <v>51.6</v>
      </c>
      <c r="AZ554" s="4">
        <v>-124.4</v>
      </c>
      <c r="BA554" s="4">
        <v>12</v>
      </c>
    </row>
    <row r="555" spans="1:53" ht="14.25" customHeight="1" x14ac:dyDescent="0.2">
      <c r="B555" s="6">
        <v>12</v>
      </c>
      <c r="C555" s="4" t="s">
        <v>7666</v>
      </c>
      <c r="D555" s="4">
        <v>216</v>
      </c>
      <c r="E555" s="4">
        <v>1773</v>
      </c>
      <c r="F555" s="4" t="s">
        <v>2321</v>
      </c>
      <c r="G555" s="4" t="s">
        <v>2322</v>
      </c>
      <c r="H555" s="4" t="s">
        <v>2323</v>
      </c>
      <c r="I555" s="4" t="s">
        <v>641</v>
      </c>
      <c r="J555" s="4" t="s">
        <v>1865</v>
      </c>
      <c r="K555" s="4">
        <v>1</v>
      </c>
      <c r="L555" s="4">
        <v>2176</v>
      </c>
      <c r="M555" s="9">
        <v>51.48</v>
      </c>
      <c r="N555" s="9">
        <v>-123.81833</v>
      </c>
      <c r="O555" s="9" t="s">
        <v>148</v>
      </c>
      <c r="P555" s="9">
        <v>216</v>
      </c>
      <c r="Q555" s="20">
        <v>6</v>
      </c>
      <c r="R555" s="9" t="s">
        <v>2321</v>
      </c>
      <c r="S555" s="9" t="s">
        <v>1737</v>
      </c>
      <c r="T555" s="9">
        <v>1220</v>
      </c>
      <c r="U555" s="9"/>
      <c r="V555" s="9"/>
      <c r="W555" s="21">
        <v>29952</v>
      </c>
      <c r="X555" s="9" t="s">
        <v>1738</v>
      </c>
      <c r="Y555" s="7"/>
      <c r="AO555" s="4" t="s">
        <v>2321</v>
      </c>
      <c r="AP555" s="4">
        <v>216</v>
      </c>
      <c r="AQ555" s="4" t="s">
        <v>1716</v>
      </c>
      <c r="AR555" s="4" t="s">
        <v>1739</v>
      </c>
      <c r="AS555" s="4" t="s">
        <v>1740</v>
      </c>
      <c r="AT555" s="4" t="s">
        <v>1741</v>
      </c>
      <c r="AU555" s="4" t="s">
        <v>1742</v>
      </c>
      <c r="AV555" s="4" t="s">
        <v>1720</v>
      </c>
      <c r="AW555" s="4" t="s">
        <v>2193</v>
      </c>
      <c r="AX555" s="4" t="s">
        <v>2283</v>
      </c>
      <c r="AY555" s="4">
        <v>51.48</v>
      </c>
      <c r="AZ555" s="4">
        <v>-123.81829999999999</v>
      </c>
      <c r="BA555" s="4">
        <v>1220</v>
      </c>
    </row>
    <row r="556" spans="1:53" ht="14.25" customHeight="1" x14ac:dyDescent="0.2">
      <c r="A556" s="4" t="s">
        <v>422</v>
      </c>
      <c r="B556" s="6">
        <v>12</v>
      </c>
      <c r="C556" s="4" t="s">
        <v>7666</v>
      </c>
      <c r="D556" s="4">
        <v>217</v>
      </c>
      <c r="E556" s="4">
        <v>1774</v>
      </c>
      <c r="F556" s="16" t="s">
        <v>2324</v>
      </c>
      <c r="G556" s="4" t="s">
        <v>2325</v>
      </c>
      <c r="H556" s="4" t="s">
        <v>2326</v>
      </c>
      <c r="I556" s="4" t="s">
        <v>1664</v>
      </c>
      <c r="J556" s="4" t="s">
        <v>1746</v>
      </c>
      <c r="K556" s="4">
        <v>1</v>
      </c>
      <c r="L556" s="4">
        <v>2177</v>
      </c>
      <c r="Y556" s="7"/>
      <c r="AO556" s="4" t="s">
        <v>2324</v>
      </c>
      <c r="AP556" s="4">
        <v>217</v>
      </c>
      <c r="AQ556" s="4" t="s">
        <v>1716</v>
      </c>
      <c r="AR556" s="4" t="s">
        <v>1717</v>
      </c>
      <c r="AS556" s="4" t="s">
        <v>1718</v>
      </c>
      <c r="AT556" s="4" t="s">
        <v>1719</v>
      </c>
      <c r="AU556" s="4" t="s">
        <v>1703</v>
      </c>
      <c r="AV556" s="4" t="s">
        <v>1720</v>
      </c>
      <c r="AW556" s="4" t="s">
        <v>2193</v>
      </c>
      <c r="AX556" s="4" t="s">
        <v>2194</v>
      </c>
      <c r="AY556" s="4">
        <v>53</v>
      </c>
      <c r="AZ556" s="4">
        <v>-125</v>
      </c>
      <c r="BA556" s="4">
        <v>0</v>
      </c>
    </row>
    <row r="557" spans="1:53" ht="14.25" customHeight="1" x14ac:dyDescent="0.2">
      <c r="B557" s="6">
        <v>12</v>
      </c>
      <c r="C557" s="4" t="s">
        <v>7666</v>
      </c>
      <c r="D557" s="4">
        <v>218</v>
      </c>
      <c r="E557" s="4">
        <v>1775</v>
      </c>
      <c r="F557" s="4" t="s">
        <v>2327</v>
      </c>
      <c r="G557" s="4" t="s">
        <v>2328</v>
      </c>
      <c r="H557" s="4" t="s">
        <v>2329</v>
      </c>
      <c r="I557" s="4" t="s">
        <v>641</v>
      </c>
      <c r="J557" s="4" t="s">
        <v>1865</v>
      </c>
      <c r="K557" s="4">
        <v>1</v>
      </c>
      <c r="L557" s="4">
        <v>2178</v>
      </c>
      <c r="M557" s="9">
        <v>51.506999999999998</v>
      </c>
      <c r="N557" s="9">
        <v>-121.16200000000001</v>
      </c>
      <c r="O557" s="9" t="s">
        <v>148</v>
      </c>
      <c r="P557" s="9">
        <v>218</v>
      </c>
      <c r="Q557" s="20">
        <v>5</v>
      </c>
      <c r="R557" s="9" t="s">
        <v>2327</v>
      </c>
      <c r="S557" s="9" t="s">
        <v>1737</v>
      </c>
      <c r="T557" s="9">
        <v>1158</v>
      </c>
      <c r="U557" s="9"/>
      <c r="V557" s="9"/>
      <c r="W557" s="21">
        <v>31778</v>
      </c>
      <c r="X557" s="9" t="s">
        <v>1738</v>
      </c>
      <c r="Y557" s="7"/>
      <c r="AO557" s="4" t="s">
        <v>2327</v>
      </c>
      <c r="AP557" s="4">
        <v>218</v>
      </c>
      <c r="AQ557" s="4" t="s">
        <v>1700</v>
      </c>
      <c r="AR557" s="4" t="s">
        <v>1739</v>
      </c>
      <c r="AS557" s="4" t="s">
        <v>1740</v>
      </c>
      <c r="AT557" s="4" t="s">
        <v>1741</v>
      </c>
      <c r="AU557" s="4" t="s">
        <v>1959</v>
      </c>
      <c r="AV557" s="4" t="s">
        <v>1720</v>
      </c>
      <c r="AW557" s="4" t="s">
        <v>2193</v>
      </c>
      <c r="AX557" s="4" t="s">
        <v>2287</v>
      </c>
      <c r="AY557" s="4">
        <v>51.506999999999998</v>
      </c>
      <c r="AZ557" s="4">
        <v>-121.16200000000001</v>
      </c>
      <c r="BA557" s="4">
        <v>1158</v>
      </c>
    </row>
    <row r="558" spans="1:53" ht="14.25" customHeight="1" x14ac:dyDescent="0.2">
      <c r="B558" s="6">
        <v>12</v>
      </c>
      <c r="C558" s="4" t="s">
        <v>7666</v>
      </c>
      <c r="D558" s="4">
        <v>219</v>
      </c>
      <c r="E558" s="4">
        <v>1776</v>
      </c>
      <c r="F558" s="16" t="s">
        <v>2330</v>
      </c>
      <c r="G558" s="4" t="s">
        <v>2331</v>
      </c>
      <c r="H558" s="4" t="s">
        <v>2332</v>
      </c>
      <c r="I558" s="4" t="s">
        <v>641</v>
      </c>
      <c r="J558" s="4" t="s">
        <v>1715</v>
      </c>
      <c r="K558" s="4">
        <v>1</v>
      </c>
      <c r="L558" s="4">
        <v>2179</v>
      </c>
      <c r="Y558" s="7"/>
      <c r="AO558" s="4" t="s">
        <v>2330</v>
      </c>
      <c r="AP558" s="4">
        <v>219</v>
      </c>
      <c r="AQ558" s="4" t="s">
        <v>1716</v>
      </c>
      <c r="AR558" s="4" t="s">
        <v>1717</v>
      </c>
      <c r="AS558" s="4" t="s">
        <v>1718</v>
      </c>
      <c r="AT558" s="4" t="s">
        <v>1703</v>
      </c>
      <c r="AU558" s="4" t="s">
        <v>1703</v>
      </c>
      <c r="AV558" s="4" t="s">
        <v>1720</v>
      </c>
      <c r="AW558" s="4" t="s">
        <v>2193</v>
      </c>
      <c r="AX558" s="4" t="s">
        <v>2194</v>
      </c>
      <c r="AY558" s="4">
        <v>52.953299999999999</v>
      </c>
      <c r="AZ558" s="4">
        <v>-124.00830000000001</v>
      </c>
      <c r="BA558" s="4">
        <v>862</v>
      </c>
    </row>
    <row r="559" spans="1:53" ht="14.25" customHeight="1" x14ac:dyDescent="0.2">
      <c r="B559" s="6">
        <v>12</v>
      </c>
      <c r="C559" s="4" t="s">
        <v>7666</v>
      </c>
      <c r="D559" s="4">
        <v>220</v>
      </c>
      <c r="E559" s="4">
        <v>1777</v>
      </c>
      <c r="F559" s="16" t="s">
        <v>2333</v>
      </c>
      <c r="G559" s="4" t="s">
        <v>2334</v>
      </c>
      <c r="H559" s="4" t="s">
        <v>2335</v>
      </c>
      <c r="I559" s="4" t="s">
        <v>641</v>
      </c>
      <c r="J559" s="4" t="s">
        <v>1746</v>
      </c>
      <c r="K559" s="4">
        <v>1</v>
      </c>
      <c r="L559" s="4">
        <v>2180</v>
      </c>
      <c r="Y559" s="7"/>
      <c r="AO559" s="4" t="s">
        <v>2333</v>
      </c>
      <c r="AP559" s="4">
        <v>220</v>
      </c>
      <c r="AQ559" s="4" t="s">
        <v>1716</v>
      </c>
      <c r="AR559" s="4" t="s">
        <v>1717</v>
      </c>
      <c r="AS559" s="4" t="s">
        <v>1718</v>
      </c>
      <c r="AT559" s="4" t="s">
        <v>1703</v>
      </c>
      <c r="AU559" s="4" t="s">
        <v>1703</v>
      </c>
      <c r="AV559" s="4" t="s">
        <v>1720</v>
      </c>
      <c r="AW559" s="4" t="s">
        <v>2193</v>
      </c>
      <c r="AX559" s="4" t="s">
        <v>2291</v>
      </c>
      <c r="AY559" s="4">
        <v>51.7</v>
      </c>
      <c r="AZ559" s="4">
        <v>-123.2</v>
      </c>
      <c r="BA559" s="4">
        <v>11</v>
      </c>
    </row>
    <row r="560" spans="1:53" ht="14.25" customHeight="1" x14ac:dyDescent="0.2">
      <c r="B560" s="6">
        <v>12</v>
      </c>
      <c r="C560" s="4" t="s">
        <v>7666</v>
      </c>
      <c r="D560" s="4">
        <v>221</v>
      </c>
      <c r="E560" s="4">
        <v>1778</v>
      </c>
      <c r="F560" s="4" t="s">
        <v>2336</v>
      </c>
      <c r="G560" s="4" t="s">
        <v>2337</v>
      </c>
      <c r="H560" s="4" t="s">
        <v>2338</v>
      </c>
      <c r="I560" s="4" t="s">
        <v>641</v>
      </c>
      <c r="J560" s="4" t="s">
        <v>1736</v>
      </c>
      <c r="K560" s="4">
        <v>1</v>
      </c>
      <c r="L560" s="4">
        <v>2181</v>
      </c>
      <c r="M560" s="9">
        <v>52.710099999999997</v>
      </c>
      <c r="N560" s="9">
        <v>-124.48224999999999</v>
      </c>
      <c r="O560" s="9" t="s">
        <v>148</v>
      </c>
      <c r="P560" s="14">
        <v>221</v>
      </c>
      <c r="Q560" s="20">
        <v>8</v>
      </c>
      <c r="R560" s="9" t="s">
        <v>2336</v>
      </c>
      <c r="S560" s="9" t="s">
        <v>1737</v>
      </c>
      <c r="T560" s="9">
        <v>1666</v>
      </c>
      <c r="U560" s="9"/>
      <c r="V560" s="9"/>
      <c r="W560" s="21">
        <v>33604</v>
      </c>
      <c r="X560" s="9" t="s">
        <v>1738</v>
      </c>
      <c r="Y560" s="7"/>
      <c r="AO560" s="4" t="s">
        <v>2336</v>
      </c>
      <c r="AP560" s="4">
        <v>221</v>
      </c>
      <c r="AQ560" s="4" t="s">
        <v>1700</v>
      </c>
      <c r="AR560" s="4" t="s">
        <v>1739</v>
      </c>
      <c r="AS560" s="4" t="s">
        <v>1740</v>
      </c>
      <c r="AT560" s="4" t="s">
        <v>1741</v>
      </c>
      <c r="AU560" s="4" t="s">
        <v>1959</v>
      </c>
      <c r="AV560" s="4" t="s">
        <v>1720</v>
      </c>
      <c r="AW560" s="4" t="s">
        <v>2193</v>
      </c>
      <c r="AX560" s="4" t="s">
        <v>2283</v>
      </c>
      <c r="AY560" s="4">
        <v>52.710099999999997</v>
      </c>
      <c r="AZ560" s="4">
        <v>-124.48220000000001</v>
      </c>
      <c r="BA560" s="4">
        <v>1666</v>
      </c>
    </row>
    <row r="561" spans="1:53" ht="14.25" customHeight="1" x14ac:dyDescent="0.2">
      <c r="B561" s="6">
        <v>12</v>
      </c>
      <c r="C561" s="4" t="s">
        <v>7666</v>
      </c>
      <c r="D561" s="4">
        <v>222</v>
      </c>
      <c r="E561" s="4">
        <v>1779</v>
      </c>
      <c r="F561" s="4" t="s">
        <v>2339</v>
      </c>
      <c r="G561" s="4" t="s">
        <v>2340</v>
      </c>
      <c r="H561" s="4" t="s">
        <v>2341</v>
      </c>
      <c r="I561" s="4" t="s">
        <v>641</v>
      </c>
      <c r="J561" s="4" t="s">
        <v>1865</v>
      </c>
      <c r="K561" s="4">
        <v>1</v>
      </c>
      <c r="L561" s="4">
        <v>2182</v>
      </c>
      <c r="M561" s="9">
        <v>51.45167</v>
      </c>
      <c r="N561" s="9">
        <v>-122.66167</v>
      </c>
      <c r="O561" s="9" t="s">
        <v>148</v>
      </c>
      <c r="P561" s="9">
        <v>222</v>
      </c>
      <c r="Q561" s="20">
        <v>8</v>
      </c>
      <c r="R561" s="9" t="s">
        <v>2339</v>
      </c>
      <c r="S561" s="9" t="s">
        <v>1737</v>
      </c>
      <c r="T561" s="9">
        <v>1675</v>
      </c>
      <c r="U561" s="9"/>
      <c r="V561" s="9"/>
      <c r="W561" s="21">
        <v>33604</v>
      </c>
      <c r="X561" s="9" t="s">
        <v>1738</v>
      </c>
      <c r="Y561" s="7"/>
      <c r="AO561" s="4" t="s">
        <v>2339</v>
      </c>
      <c r="AP561" s="4">
        <v>222</v>
      </c>
      <c r="AQ561" s="4" t="s">
        <v>1700</v>
      </c>
      <c r="AR561" s="4" t="s">
        <v>1739</v>
      </c>
      <c r="AS561" s="4" t="s">
        <v>1740</v>
      </c>
      <c r="AT561" s="4" t="s">
        <v>1741</v>
      </c>
      <c r="AU561" s="4" t="s">
        <v>1959</v>
      </c>
      <c r="AV561" s="4" t="s">
        <v>1720</v>
      </c>
      <c r="AW561" s="4" t="s">
        <v>2193</v>
      </c>
      <c r="AX561" s="4" t="s">
        <v>2291</v>
      </c>
      <c r="AY561" s="4">
        <v>51.451700000000002</v>
      </c>
      <c r="AZ561" s="4">
        <v>-122.6617</v>
      </c>
      <c r="BA561" s="4">
        <v>1675</v>
      </c>
    </row>
    <row r="562" spans="1:53" ht="14.25" customHeight="1" x14ac:dyDescent="0.2">
      <c r="B562" s="6">
        <v>12</v>
      </c>
      <c r="C562" s="4" t="s">
        <v>7666</v>
      </c>
      <c r="D562" s="4">
        <v>223</v>
      </c>
      <c r="E562" s="4">
        <v>1780</v>
      </c>
      <c r="F562" s="16" t="s">
        <v>2342</v>
      </c>
      <c r="G562" s="4" t="s">
        <v>2343</v>
      </c>
      <c r="H562" s="4" t="s">
        <v>2344</v>
      </c>
      <c r="I562" s="4" t="s">
        <v>641</v>
      </c>
      <c r="J562" s="4" t="s">
        <v>1746</v>
      </c>
      <c r="K562" s="4">
        <v>1</v>
      </c>
      <c r="L562" s="4">
        <v>2183</v>
      </c>
      <c r="Y562" s="7"/>
      <c r="AO562" s="4" t="s">
        <v>2342</v>
      </c>
      <c r="AP562" s="4">
        <v>223</v>
      </c>
      <c r="AQ562" s="4" t="s">
        <v>1716</v>
      </c>
      <c r="AR562" s="4" t="s">
        <v>1717</v>
      </c>
      <c r="AS562" s="4" t="s">
        <v>1718</v>
      </c>
      <c r="AT562" s="4" t="s">
        <v>1703</v>
      </c>
      <c r="AU562" s="4" t="s">
        <v>1703</v>
      </c>
      <c r="AV562" s="4" t="s">
        <v>1720</v>
      </c>
      <c r="AW562" s="4" t="s">
        <v>2193</v>
      </c>
      <c r="AX562" s="4" t="s">
        <v>2291</v>
      </c>
      <c r="AY562" s="4">
        <v>52.3</v>
      </c>
      <c r="AZ562" s="4">
        <v>-122.4</v>
      </c>
      <c r="BA562" s="4">
        <v>0</v>
      </c>
    </row>
    <row r="563" spans="1:53" ht="14.25" customHeight="1" x14ac:dyDescent="0.2">
      <c r="B563" s="6">
        <v>12</v>
      </c>
      <c r="C563" s="4" t="s">
        <v>7666</v>
      </c>
      <c r="D563" s="4">
        <v>224</v>
      </c>
      <c r="E563" s="4">
        <v>1781</v>
      </c>
      <c r="F563" s="16" t="s">
        <v>2345</v>
      </c>
      <c r="G563" s="4" t="s">
        <v>2346</v>
      </c>
      <c r="H563" s="4" t="s">
        <v>2347</v>
      </c>
      <c r="I563" s="4" t="s">
        <v>641</v>
      </c>
      <c r="J563" s="4" t="s">
        <v>1715</v>
      </c>
      <c r="K563" s="4">
        <v>1</v>
      </c>
      <c r="L563" s="4">
        <v>2184</v>
      </c>
      <c r="Y563" s="7"/>
      <c r="AO563" s="4" t="s">
        <v>2345</v>
      </c>
      <c r="AP563" s="4">
        <v>224</v>
      </c>
      <c r="AQ563" s="4" t="s">
        <v>1716</v>
      </c>
      <c r="AR563" s="4" t="s">
        <v>1717</v>
      </c>
      <c r="AS563" s="4" t="s">
        <v>1718</v>
      </c>
      <c r="AT563" s="4" t="s">
        <v>1703</v>
      </c>
      <c r="AU563" s="4" t="s">
        <v>1703</v>
      </c>
      <c r="AV563" s="4" t="s">
        <v>1720</v>
      </c>
      <c r="AW563" s="4" t="s">
        <v>2193</v>
      </c>
      <c r="AX563" s="4" t="s">
        <v>2291</v>
      </c>
      <c r="AY563" s="4">
        <v>52.6083</v>
      </c>
      <c r="AZ563" s="4">
        <v>-122.1217</v>
      </c>
      <c r="BA563" s="4">
        <v>853</v>
      </c>
    </row>
    <row r="564" spans="1:53" ht="14.25" customHeight="1" x14ac:dyDescent="0.2">
      <c r="A564" s="4" t="s">
        <v>88</v>
      </c>
      <c r="B564" s="6">
        <v>12</v>
      </c>
      <c r="C564" s="4" t="s">
        <v>7666</v>
      </c>
      <c r="D564" s="4">
        <v>225</v>
      </c>
      <c r="E564" s="4">
        <v>1782</v>
      </c>
      <c r="F564" s="4" t="s">
        <v>2348</v>
      </c>
      <c r="G564" s="8" t="s">
        <v>2349</v>
      </c>
      <c r="H564" s="4" t="s">
        <v>2350</v>
      </c>
      <c r="I564" s="4" t="s">
        <v>641</v>
      </c>
      <c r="J564" s="4" t="s">
        <v>1736</v>
      </c>
      <c r="K564" s="4">
        <v>1</v>
      </c>
      <c r="L564" s="4">
        <v>2185</v>
      </c>
      <c r="M564" s="9">
        <v>52.049720000000001</v>
      </c>
      <c r="N564" s="9">
        <v>-121.87383</v>
      </c>
      <c r="O564" s="9" t="s">
        <v>148</v>
      </c>
      <c r="P564" s="9">
        <v>225</v>
      </c>
      <c r="Q564" s="20">
        <v>1</v>
      </c>
      <c r="R564" s="9" t="s">
        <v>2348</v>
      </c>
      <c r="S564" s="9" t="s">
        <v>1737</v>
      </c>
      <c r="T564" s="9">
        <v>821</v>
      </c>
      <c r="U564" s="9"/>
      <c r="V564" s="9"/>
      <c r="W564" s="21">
        <v>33239</v>
      </c>
      <c r="X564" s="9" t="s">
        <v>1738</v>
      </c>
      <c r="Y564" s="7"/>
      <c r="AO564" s="4" t="s">
        <v>2348</v>
      </c>
      <c r="AP564" s="4">
        <v>225</v>
      </c>
      <c r="AQ564" s="4" t="s">
        <v>1700</v>
      </c>
      <c r="AR564" s="4" t="s">
        <v>1739</v>
      </c>
      <c r="AS564" s="4" t="s">
        <v>1740</v>
      </c>
      <c r="AT564" s="4" t="s">
        <v>1741</v>
      </c>
      <c r="AU564" s="4" t="s">
        <v>1959</v>
      </c>
      <c r="AV564" s="4" t="s">
        <v>1720</v>
      </c>
      <c r="AW564" s="4" t="s">
        <v>2193</v>
      </c>
      <c r="AX564" s="4" t="s">
        <v>2291</v>
      </c>
      <c r="AY564" s="4">
        <v>52.049700000000001</v>
      </c>
      <c r="AZ564" s="4">
        <v>-121.8738</v>
      </c>
      <c r="BA564" s="4">
        <v>821</v>
      </c>
    </row>
    <row r="565" spans="1:53" ht="14.25" customHeight="1" x14ac:dyDescent="0.2">
      <c r="B565" s="6">
        <v>12</v>
      </c>
      <c r="C565" s="4" t="s">
        <v>7666</v>
      </c>
      <c r="D565" s="4">
        <v>226</v>
      </c>
      <c r="E565" s="4">
        <v>1783</v>
      </c>
      <c r="F565" s="4" t="s">
        <v>2351</v>
      </c>
      <c r="G565" s="4" t="s">
        <v>2352</v>
      </c>
      <c r="H565" s="4" t="s">
        <v>2353</v>
      </c>
      <c r="I565" s="4" t="s">
        <v>641</v>
      </c>
      <c r="J565" s="4" t="s">
        <v>1736</v>
      </c>
      <c r="K565" s="4">
        <v>1</v>
      </c>
      <c r="L565" s="4">
        <v>2186</v>
      </c>
      <c r="M565" s="9">
        <v>51.70167</v>
      </c>
      <c r="N565" s="9">
        <v>-124.875</v>
      </c>
      <c r="O565" s="9" t="s">
        <v>148</v>
      </c>
      <c r="P565" s="9">
        <v>226</v>
      </c>
      <c r="Q565" s="20">
        <v>2</v>
      </c>
      <c r="R565" s="9" t="s">
        <v>2351</v>
      </c>
      <c r="S565" s="9" t="s">
        <v>1737</v>
      </c>
      <c r="T565" s="9">
        <v>915</v>
      </c>
      <c r="U565" s="9"/>
      <c r="V565" s="9"/>
      <c r="W565" s="21">
        <v>32509</v>
      </c>
      <c r="X565" s="9" t="s">
        <v>1738</v>
      </c>
      <c r="Y565" s="7"/>
      <c r="AO565" s="4" t="s">
        <v>2351</v>
      </c>
      <c r="AP565" s="4">
        <v>226</v>
      </c>
      <c r="AQ565" s="4" t="s">
        <v>1716</v>
      </c>
      <c r="AR565" s="4" t="s">
        <v>1739</v>
      </c>
      <c r="AS565" s="4" t="s">
        <v>1740</v>
      </c>
      <c r="AT565" s="4" t="s">
        <v>1741</v>
      </c>
      <c r="AU565" s="4" t="s">
        <v>1742</v>
      </c>
      <c r="AV565" s="4" t="s">
        <v>1720</v>
      </c>
      <c r="AW565" s="4" t="s">
        <v>2193</v>
      </c>
      <c r="AX565" s="4" t="s">
        <v>2283</v>
      </c>
      <c r="AY565" s="4">
        <v>51.701700000000002</v>
      </c>
      <c r="AZ565" s="4">
        <v>-124.875</v>
      </c>
      <c r="BA565" s="4">
        <v>915</v>
      </c>
    </row>
    <row r="566" spans="1:53" ht="14.25" customHeight="1" x14ac:dyDescent="0.2">
      <c r="B566" s="6">
        <v>12</v>
      </c>
      <c r="C566" s="4" t="s">
        <v>7666</v>
      </c>
      <c r="D566" s="4">
        <v>227</v>
      </c>
      <c r="E566" s="4">
        <v>1784</v>
      </c>
      <c r="F566" s="4" t="s">
        <v>2354</v>
      </c>
      <c r="G566" s="4" t="s">
        <v>2355</v>
      </c>
      <c r="H566" s="4" t="s">
        <v>2350</v>
      </c>
      <c r="I566" s="4" t="s">
        <v>641</v>
      </c>
      <c r="J566" s="4" t="s">
        <v>1736</v>
      </c>
      <c r="K566" s="4">
        <v>1</v>
      </c>
      <c r="L566" s="4">
        <v>2187</v>
      </c>
      <c r="M566" s="9">
        <v>52.47</v>
      </c>
      <c r="N566" s="9">
        <v>-121.74167</v>
      </c>
      <c r="O566" s="9" t="s">
        <v>170</v>
      </c>
      <c r="P566" s="9">
        <v>227</v>
      </c>
      <c r="Q566" s="20">
        <v>2</v>
      </c>
      <c r="R566" s="9" t="s">
        <v>2354</v>
      </c>
      <c r="S566" s="9" t="s">
        <v>1737</v>
      </c>
      <c r="T566" s="9">
        <v>1081</v>
      </c>
      <c r="U566" s="9" t="s">
        <v>645</v>
      </c>
      <c r="V566" s="9"/>
      <c r="W566" s="21">
        <v>29587</v>
      </c>
      <c r="X566" s="9" t="s">
        <v>1738</v>
      </c>
      <c r="Y566" s="7"/>
      <c r="AO566" s="4" t="s">
        <v>2354</v>
      </c>
      <c r="AP566" s="4">
        <v>227</v>
      </c>
      <c r="AQ566" s="4" t="s">
        <v>1700</v>
      </c>
      <c r="AR566" s="4" t="s">
        <v>1739</v>
      </c>
      <c r="AS566" s="4" t="s">
        <v>1740</v>
      </c>
      <c r="AT566" s="4" t="s">
        <v>1741</v>
      </c>
      <c r="AU566" s="4" t="s">
        <v>1959</v>
      </c>
      <c r="AV566" s="4" t="s">
        <v>1720</v>
      </c>
      <c r="AW566" s="4" t="s">
        <v>2193</v>
      </c>
      <c r="AX566" s="4" t="s">
        <v>2356</v>
      </c>
      <c r="AY566" s="4">
        <v>52.47</v>
      </c>
      <c r="AZ566" s="4">
        <v>-121.74169999999999</v>
      </c>
      <c r="BA566" s="4">
        <v>1081</v>
      </c>
    </row>
    <row r="567" spans="1:53" ht="14.25" customHeight="1" x14ac:dyDescent="0.2">
      <c r="B567" s="6">
        <v>12</v>
      </c>
      <c r="C567" s="4" t="s">
        <v>7666</v>
      </c>
      <c r="D567" s="4">
        <v>228</v>
      </c>
      <c r="E567" s="4">
        <v>1785</v>
      </c>
      <c r="F567" s="4" t="s">
        <v>2357</v>
      </c>
      <c r="G567" s="4" t="s">
        <v>2358</v>
      </c>
      <c r="H567" s="4" t="s">
        <v>2359</v>
      </c>
      <c r="I567" s="4" t="s">
        <v>641</v>
      </c>
      <c r="J567" s="4" t="s">
        <v>1865</v>
      </c>
      <c r="K567" s="4">
        <v>1</v>
      </c>
      <c r="L567" s="4">
        <v>2188</v>
      </c>
      <c r="M567" s="4">
        <v>52.91</v>
      </c>
      <c r="N567" s="4">
        <v>-122.065</v>
      </c>
      <c r="O567" s="4" t="s">
        <v>148</v>
      </c>
      <c r="P567" s="4">
        <v>228</v>
      </c>
      <c r="Q567" s="4">
        <v>3</v>
      </c>
      <c r="R567" s="4" t="s">
        <v>2357</v>
      </c>
      <c r="S567" s="4" t="s">
        <v>1737</v>
      </c>
      <c r="T567" s="4">
        <v>1006</v>
      </c>
      <c r="W567" s="4">
        <v>31778</v>
      </c>
      <c r="X567" s="4" t="s">
        <v>1738</v>
      </c>
      <c r="Y567" s="7"/>
      <c r="AO567" s="4" t="s">
        <v>2357</v>
      </c>
      <c r="AP567" s="4">
        <v>228</v>
      </c>
      <c r="AQ567" s="4" t="s">
        <v>1700</v>
      </c>
      <c r="AR567" s="4" t="s">
        <v>1739</v>
      </c>
      <c r="AS567" s="4" t="s">
        <v>1740</v>
      </c>
      <c r="AT567" s="4" t="s">
        <v>1741</v>
      </c>
      <c r="AU567" s="4" t="s">
        <v>1959</v>
      </c>
      <c r="AV567" s="4" t="s">
        <v>1720</v>
      </c>
      <c r="AW567" s="4" t="s">
        <v>2193</v>
      </c>
      <c r="AX567" s="4" t="s">
        <v>2194</v>
      </c>
      <c r="AY567" s="4">
        <v>52.91</v>
      </c>
      <c r="AZ567" s="4">
        <v>-122.065</v>
      </c>
      <c r="BA567" s="4">
        <v>1006</v>
      </c>
    </row>
    <row r="568" spans="1:53" ht="14.25" customHeight="1" x14ac:dyDescent="0.2">
      <c r="A568" s="4" t="s">
        <v>422</v>
      </c>
      <c r="B568" s="6">
        <v>12</v>
      </c>
      <c r="C568" s="4" t="s">
        <v>7665</v>
      </c>
      <c r="D568" s="4">
        <v>229</v>
      </c>
      <c r="E568" s="4">
        <v>12971</v>
      </c>
      <c r="F568" s="49" t="s">
        <v>2360</v>
      </c>
      <c r="G568" s="4" t="s">
        <v>127</v>
      </c>
      <c r="H568" s="4" t="s">
        <v>1697</v>
      </c>
      <c r="I568" s="4" t="s">
        <v>49</v>
      </c>
      <c r="J568" s="4" t="s">
        <v>1746</v>
      </c>
      <c r="K568" s="4">
        <v>1</v>
      </c>
      <c r="L568" s="4">
        <v>14903</v>
      </c>
      <c r="Y568" s="7"/>
      <c r="AO568" s="48" t="s">
        <v>2361</v>
      </c>
      <c r="AP568" s="48">
        <v>229</v>
      </c>
      <c r="AQ568" s="48" t="s">
        <v>1700</v>
      </c>
      <c r="AR568" s="48" t="s">
        <v>1701</v>
      </c>
      <c r="AS568" s="48" t="s">
        <v>1702</v>
      </c>
      <c r="AT568" s="48" t="s">
        <v>1703</v>
      </c>
      <c r="AU568" s="48" t="s">
        <v>1704</v>
      </c>
      <c r="AV568" s="48" t="s">
        <v>1702</v>
      </c>
      <c r="AW568" s="48" t="s">
        <v>2193</v>
      </c>
      <c r="AX568" s="48" t="s">
        <v>2194</v>
      </c>
      <c r="AY568" s="48">
        <v>53</v>
      </c>
      <c r="AZ568" s="48">
        <v>-122.4</v>
      </c>
      <c r="BA568" s="48">
        <v>545</v>
      </c>
    </row>
    <row r="569" spans="1:53" ht="14.25" customHeight="1" x14ac:dyDescent="0.2">
      <c r="A569" s="4" t="s">
        <v>88</v>
      </c>
      <c r="B569" s="6">
        <v>12</v>
      </c>
      <c r="C569" s="4" t="s">
        <v>7666</v>
      </c>
      <c r="D569" s="4">
        <v>230</v>
      </c>
      <c r="E569" s="4">
        <v>1786</v>
      </c>
      <c r="F569" s="4" t="s">
        <v>2362</v>
      </c>
      <c r="G569" s="8" t="s">
        <v>2363</v>
      </c>
      <c r="H569" s="4" t="s">
        <v>2364</v>
      </c>
      <c r="I569" s="4" t="s">
        <v>641</v>
      </c>
      <c r="J569" s="4" t="s">
        <v>1736</v>
      </c>
      <c r="K569" s="4">
        <v>1</v>
      </c>
      <c r="L569" s="4">
        <v>2189</v>
      </c>
      <c r="M569" s="4">
        <v>52.33</v>
      </c>
      <c r="N569" s="4">
        <v>-121.39667</v>
      </c>
      <c r="O569" s="4" t="s">
        <v>148</v>
      </c>
      <c r="P569" s="4">
        <v>230</v>
      </c>
      <c r="Q569" s="4">
        <v>1</v>
      </c>
      <c r="R569" s="4" t="s">
        <v>2362</v>
      </c>
      <c r="S569" s="4" t="s">
        <v>1737</v>
      </c>
      <c r="T569" s="4">
        <v>701</v>
      </c>
      <c r="U569" s="4" t="s">
        <v>645</v>
      </c>
      <c r="V569" s="4" t="s">
        <v>1830</v>
      </c>
      <c r="W569" s="4">
        <v>25934</v>
      </c>
      <c r="X569" s="4" t="s">
        <v>1738</v>
      </c>
      <c r="Y569" s="7"/>
      <c r="AO569" s="4" t="s">
        <v>2362</v>
      </c>
      <c r="AP569" s="4">
        <v>230</v>
      </c>
      <c r="AQ569" s="4" t="s">
        <v>1716</v>
      </c>
      <c r="AR569" s="4" t="s">
        <v>1739</v>
      </c>
      <c r="AS569" s="4" t="s">
        <v>1740</v>
      </c>
      <c r="AT569" s="4" t="s">
        <v>1741</v>
      </c>
      <c r="AU569" s="4" t="s">
        <v>1742</v>
      </c>
      <c r="AV569" s="4" t="s">
        <v>1720</v>
      </c>
      <c r="AW569" s="4" t="s">
        <v>2193</v>
      </c>
      <c r="AX569" s="4" t="s">
        <v>2356</v>
      </c>
      <c r="AY569" s="4">
        <v>52.327800000000003</v>
      </c>
      <c r="AZ569" s="4">
        <v>-121.39830000000001</v>
      </c>
      <c r="BA569" s="4">
        <v>701</v>
      </c>
    </row>
    <row r="570" spans="1:53" ht="14.25" customHeight="1" x14ac:dyDescent="0.2">
      <c r="B570" s="6">
        <v>12</v>
      </c>
      <c r="C570" s="4" t="s">
        <v>7666</v>
      </c>
      <c r="D570" s="4">
        <v>231</v>
      </c>
      <c r="E570" s="4">
        <v>1787</v>
      </c>
      <c r="F570" s="16" t="s">
        <v>2365</v>
      </c>
      <c r="G570" s="4" t="s">
        <v>2366</v>
      </c>
      <c r="H570" s="4" t="s">
        <v>2367</v>
      </c>
      <c r="I570" s="4" t="s">
        <v>641</v>
      </c>
      <c r="J570" s="4" t="s">
        <v>1715</v>
      </c>
      <c r="K570" s="4">
        <v>1</v>
      </c>
      <c r="L570" s="4">
        <v>2190</v>
      </c>
      <c r="Y570" s="7"/>
      <c r="AO570" s="4" t="s">
        <v>2365</v>
      </c>
      <c r="AP570" s="4">
        <v>231</v>
      </c>
      <c r="AQ570" s="4" t="s">
        <v>1716</v>
      </c>
      <c r="AR570" s="4" t="s">
        <v>1717</v>
      </c>
      <c r="AS570" s="4" t="s">
        <v>1718</v>
      </c>
      <c r="AT570" s="4" t="s">
        <v>1703</v>
      </c>
      <c r="AU570" s="4" t="s">
        <v>1703</v>
      </c>
      <c r="AV570" s="4" t="s">
        <v>1720</v>
      </c>
      <c r="AW570" s="4" t="s">
        <v>2368</v>
      </c>
      <c r="AX570" s="4" t="s">
        <v>2369</v>
      </c>
      <c r="AY570" s="4">
        <v>51.411700000000003</v>
      </c>
      <c r="AZ570" s="4">
        <v>-120.34</v>
      </c>
      <c r="BA570" s="4">
        <v>1432</v>
      </c>
    </row>
    <row r="571" spans="1:53" ht="14.25" customHeight="1" x14ac:dyDescent="0.2">
      <c r="A571" s="4" t="s">
        <v>88</v>
      </c>
      <c r="B571" s="6">
        <v>12</v>
      </c>
      <c r="C571" s="4" t="s">
        <v>7666</v>
      </c>
      <c r="D571" s="4">
        <v>232</v>
      </c>
      <c r="E571" s="4">
        <v>1788</v>
      </c>
      <c r="F571" s="4" t="s">
        <v>2370</v>
      </c>
      <c r="G571" s="8" t="s">
        <v>2371</v>
      </c>
      <c r="H571" s="4" t="s">
        <v>2372</v>
      </c>
      <c r="I571" s="4" t="s">
        <v>641</v>
      </c>
      <c r="J571" s="4" t="s">
        <v>1865</v>
      </c>
      <c r="K571" s="4">
        <v>1</v>
      </c>
      <c r="L571" s="4">
        <v>2191</v>
      </c>
      <c r="M571" s="4">
        <v>51.723779999999998</v>
      </c>
      <c r="N571" s="4">
        <v>-120.38993000000001</v>
      </c>
      <c r="O571" s="4" t="s">
        <v>148</v>
      </c>
      <c r="P571" s="4">
        <v>232</v>
      </c>
      <c r="Q571" s="4">
        <v>5</v>
      </c>
      <c r="R571" s="4" t="s">
        <v>2370</v>
      </c>
      <c r="S571" s="4" t="s">
        <v>1737</v>
      </c>
      <c r="T571" s="4">
        <v>1124</v>
      </c>
      <c r="W571" s="4">
        <v>28856</v>
      </c>
      <c r="X571" s="4" t="s">
        <v>1738</v>
      </c>
      <c r="Y571" s="7"/>
      <c r="AO571" s="4" t="s">
        <v>2370</v>
      </c>
      <c r="AP571" s="4">
        <v>232</v>
      </c>
      <c r="AQ571" s="4" t="s">
        <v>1700</v>
      </c>
      <c r="AR571" s="4" t="s">
        <v>1739</v>
      </c>
      <c r="AS571" s="4" t="s">
        <v>1740</v>
      </c>
      <c r="AT571" s="4" t="s">
        <v>1835</v>
      </c>
      <c r="AU571" s="4" t="s">
        <v>1959</v>
      </c>
      <c r="AV571" s="4" t="s">
        <v>1720</v>
      </c>
      <c r="AW571" s="4" t="s">
        <v>2368</v>
      </c>
      <c r="AX571" s="4" t="s">
        <v>2369</v>
      </c>
      <c r="AY571" s="4">
        <v>51.723799999999997</v>
      </c>
      <c r="AZ571" s="4">
        <v>-120.3899</v>
      </c>
      <c r="BA571" s="4">
        <v>1122</v>
      </c>
    </row>
    <row r="572" spans="1:53" ht="14.25" customHeight="1" x14ac:dyDescent="0.2">
      <c r="A572" s="4" t="s">
        <v>1908</v>
      </c>
      <c r="B572" s="6">
        <v>12</v>
      </c>
      <c r="C572" s="4" t="s">
        <v>7666</v>
      </c>
      <c r="D572" s="4">
        <v>233</v>
      </c>
      <c r="E572" s="4">
        <v>1789</v>
      </c>
      <c r="F572" s="8" t="s">
        <v>2373</v>
      </c>
      <c r="G572" s="8" t="s">
        <v>2374</v>
      </c>
      <c r="H572" s="4" t="s">
        <v>2375</v>
      </c>
      <c r="I572" s="4" t="s">
        <v>641</v>
      </c>
      <c r="J572" s="4" t="s">
        <v>1736</v>
      </c>
      <c r="K572" s="4">
        <v>1</v>
      </c>
      <c r="L572" s="4">
        <v>2192</v>
      </c>
      <c r="M572" s="4">
        <v>52.251350000000002</v>
      </c>
      <c r="N572" s="4">
        <v>-126.02837</v>
      </c>
      <c r="O572" s="4" t="s">
        <v>51</v>
      </c>
      <c r="P572" s="4">
        <v>233</v>
      </c>
      <c r="Q572" s="4">
        <v>2</v>
      </c>
      <c r="R572" s="4" t="s">
        <v>2376</v>
      </c>
      <c r="S572" s="4" t="s">
        <v>1737</v>
      </c>
      <c r="T572" s="4">
        <v>270</v>
      </c>
      <c r="W572" s="4">
        <v>32874</v>
      </c>
      <c r="X572" s="4" t="s">
        <v>1738</v>
      </c>
      <c r="Y572" s="7"/>
      <c r="AO572" s="4" t="s">
        <v>2376</v>
      </c>
      <c r="AP572" s="4">
        <v>233</v>
      </c>
      <c r="AQ572" s="4" t="s">
        <v>1716</v>
      </c>
      <c r="AR572" s="4" t="s">
        <v>1739</v>
      </c>
      <c r="AS572" s="4" t="s">
        <v>1740</v>
      </c>
      <c r="AT572" s="4" t="s">
        <v>1741</v>
      </c>
      <c r="AU572" s="4" t="s">
        <v>1742</v>
      </c>
      <c r="AV572" s="4" t="s">
        <v>1720</v>
      </c>
      <c r="AW572" s="4" t="s">
        <v>1705</v>
      </c>
      <c r="AX572" s="4" t="s">
        <v>1965</v>
      </c>
      <c r="AY572" s="4">
        <v>52.251399999999997</v>
      </c>
      <c r="AZ572" s="4">
        <v>-126.0284</v>
      </c>
      <c r="BA572" s="4">
        <v>306</v>
      </c>
    </row>
    <row r="573" spans="1:53" ht="14.25" customHeight="1" x14ac:dyDescent="0.2">
      <c r="B573" s="6">
        <v>12</v>
      </c>
      <c r="C573" s="4" t="s">
        <v>7666</v>
      </c>
      <c r="D573" s="4">
        <v>234</v>
      </c>
      <c r="E573" s="4">
        <v>1790</v>
      </c>
      <c r="F573" s="4" t="s">
        <v>2377</v>
      </c>
      <c r="G573" s="4" t="s">
        <v>2378</v>
      </c>
      <c r="H573" s="4" t="s">
        <v>2379</v>
      </c>
      <c r="I573" s="4" t="s">
        <v>641</v>
      </c>
      <c r="J573" s="4" t="s">
        <v>1736</v>
      </c>
      <c r="K573" s="4">
        <v>1</v>
      </c>
      <c r="L573" s="4">
        <v>2193</v>
      </c>
      <c r="M573" s="4">
        <v>51.912999999999997</v>
      </c>
      <c r="N573" s="4">
        <v>-121.389</v>
      </c>
      <c r="O573" s="4" t="s">
        <v>148</v>
      </c>
      <c r="P573" s="4">
        <v>234</v>
      </c>
      <c r="Q573" s="4">
        <v>5</v>
      </c>
      <c r="R573" s="4" t="s">
        <v>2377</v>
      </c>
      <c r="S573" s="4" t="s">
        <v>1737</v>
      </c>
      <c r="T573" s="4">
        <v>1161</v>
      </c>
      <c r="W573" s="4">
        <v>32874</v>
      </c>
      <c r="X573" s="4" t="s">
        <v>1738</v>
      </c>
      <c r="Y573" s="7"/>
      <c r="AO573" s="4" t="s">
        <v>2377</v>
      </c>
      <c r="AP573" s="4">
        <v>234</v>
      </c>
      <c r="AQ573" s="4" t="s">
        <v>1700</v>
      </c>
      <c r="AR573" s="4" t="s">
        <v>1739</v>
      </c>
      <c r="AS573" s="4" t="s">
        <v>1740</v>
      </c>
      <c r="AT573" s="4" t="s">
        <v>1741</v>
      </c>
      <c r="AU573" s="4" t="s">
        <v>1959</v>
      </c>
      <c r="AV573" s="4" t="s">
        <v>1720</v>
      </c>
      <c r="AW573" s="4" t="s">
        <v>2193</v>
      </c>
      <c r="AX573" s="4" t="s">
        <v>2287</v>
      </c>
      <c r="AY573" s="4">
        <v>51.912999999999997</v>
      </c>
      <c r="AZ573" s="4">
        <v>-121.389</v>
      </c>
      <c r="BA573" s="4">
        <v>1161</v>
      </c>
    </row>
    <row r="574" spans="1:53" ht="14.25" customHeight="1" x14ac:dyDescent="0.2">
      <c r="B574" s="6">
        <v>12</v>
      </c>
      <c r="C574" s="4" t="s">
        <v>7666</v>
      </c>
      <c r="D574" s="4">
        <v>235</v>
      </c>
      <c r="E574" s="4">
        <v>1791</v>
      </c>
      <c r="F574" s="4" t="s">
        <v>2380</v>
      </c>
      <c r="G574" s="4" t="s">
        <v>2381</v>
      </c>
      <c r="H574" s="4" t="s">
        <v>2382</v>
      </c>
      <c r="I574" s="4" t="s">
        <v>641</v>
      </c>
      <c r="J574" s="4" t="s">
        <v>1891</v>
      </c>
      <c r="K574" s="4">
        <v>1</v>
      </c>
      <c r="L574" s="4">
        <v>2194</v>
      </c>
      <c r="M574" s="4">
        <v>51.237769999999998</v>
      </c>
      <c r="N574" s="4">
        <v>-120.99762</v>
      </c>
      <c r="O574" s="4" t="s">
        <v>148</v>
      </c>
      <c r="P574" s="4">
        <v>235</v>
      </c>
      <c r="Q574" s="4">
        <v>5</v>
      </c>
      <c r="R574" s="4" t="s">
        <v>2380</v>
      </c>
      <c r="S574" s="4" t="s">
        <v>1737</v>
      </c>
      <c r="T574" s="4">
        <v>1170</v>
      </c>
      <c r="W574" s="4">
        <v>36892</v>
      </c>
      <c r="X574" s="4" t="s">
        <v>1738</v>
      </c>
      <c r="Y574" s="7"/>
      <c r="AO574" s="4" t="s">
        <v>2380</v>
      </c>
      <c r="AP574" s="4">
        <v>235</v>
      </c>
      <c r="AQ574" s="4" t="s">
        <v>1700</v>
      </c>
      <c r="AR574" s="4" t="s">
        <v>1739</v>
      </c>
      <c r="AS574" s="4" t="s">
        <v>1740</v>
      </c>
      <c r="AT574" s="4" t="s">
        <v>1741</v>
      </c>
      <c r="AU574" s="4" t="s">
        <v>1959</v>
      </c>
      <c r="AV574" s="4" t="s">
        <v>1720</v>
      </c>
      <c r="AW574" s="4" t="s">
        <v>2193</v>
      </c>
      <c r="AX574" s="4" t="s">
        <v>2287</v>
      </c>
      <c r="AY574" s="4">
        <v>51.2378</v>
      </c>
      <c r="AZ574" s="4">
        <v>-120.99760000000001</v>
      </c>
      <c r="BA574" s="4">
        <v>1170</v>
      </c>
    </row>
    <row r="575" spans="1:53" ht="14.25" customHeight="1" x14ac:dyDescent="0.2">
      <c r="B575" s="6">
        <v>12</v>
      </c>
      <c r="C575" s="4" t="s">
        <v>7666</v>
      </c>
      <c r="D575" s="4">
        <v>236</v>
      </c>
      <c r="E575" s="4">
        <v>1792</v>
      </c>
      <c r="F575" s="4" t="s">
        <v>2383</v>
      </c>
      <c r="G575" s="4" t="s">
        <v>2384</v>
      </c>
      <c r="H575" s="4" t="s">
        <v>2385</v>
      </c>
      <c r="I575" s="4" t="s">
        <v>641</v>
      </c>
      <c r="J575" s="4" t="s">
        <v>1736</v>
      </c>
      <c r="K575" s="4">
        <v>1</v>
      </c>
      <c r="L575" s="4">
        <v>2195</v>
      </c>
      <c r="M575" s="4">
        <v>51.375</v>
      </c>
      <c r="N575" s="4">
        <v>-121.71666999999999</v>
      </c>
      <c r="O575" s="4" t="s">
        <v>148</v>
      </c>
      <c r="P575" s="4">
        <v>236</v>
      </c>
      <c r="Q575" s="4">
        <v>4</v>
      </c>
      <c r="R575" s="4" t="s">
        <v>2383</v>
      </c>
      <c r="S575" s="4" t="s">
        <v>1737</v>
      </c>
      <c r="T575" s="4">
        <v>1070</v>
      </c>
      <c r="W575" s="4">
        <v>33239</v>
      </c>
      <c r="X575" s="4" t="s">
        <v>1738</v>
      </c>
      <c r="Y575" s="7"/>
      <c r="AO575" s="4" t="s">
        <v>2383</v>
      </c>
      <c r="AP575" s="4">
        <v>236</v>
      </c>
      <c r="AQ575" s="4" t="s">
        <v>1700</v>
      </c>
      <c r="AR575" s="4" t="s">
        <v>1739</v>
      </c>
      <c r="AS575" s="4" t="s">
        <v>1740</v>
      </c>
      <c r="AT575" s="4" t="s">
        <v>1741</v>
      </c>
      <c r="AU575" s="4" t="s">
        <v>1959</v>
      </c>
      <c r="AV575" s="4" t="s">
        <v>1720</v>
      </c>
      <c r="AW575" s="4" t="s">
        <v>2193</v>
      </c>
      <c r="AX575" s="4" t="s">
        <v>2287</v>
      </c>
      <c r="AY575" s="4">
        <v>51.375</v>
      </c>
      <c r="AZ575" s="4">
        <v>-121.7167</v>
      </c>
      <c r="BA575" s="4">
        <v>1070</v>
      </c>
    </row>
    <row r="576" spans="1:53" ht="14.25" customHeight="1" x14ac:dyDescent="0.2">
      <c r="B576" s="6">
        <v>12</v>
      </c>
      <c r="C576" s="4" t="s">
        <v>7666</v>
      </c>
      <c r="D576" s="4">
        <v>237</v>
      </c>
      <c r="E576" s="4">
        <v>1793</v>
      </c>
      <c r="F576" s="16" t="s">
        <v>2386</v>
      </c>
      <c r="G576" s="4" t="s">
        <v>2387</v>
      </c>
      <c r="H576" s="4" t="s">
        <v>2388</v>
      </c>
      <c r="I576" s="4" t="s">
        <v>1664</v>
      </c>
      <c r="J576" s="4" t="s">
        <v>1715</v>
      </c>
      <c r="K576" s="4">
        <v>1</v>
      </c>
      <c r="L576" s="4">
        <v>2196</v>
      </c>
      <c r="Y576" s="7"/>
      <c r="AO576" s="4" t="s">
        <v>2386</v>
      </c>
      <c r="AP576" s="4">
        <v>237</v>
      </c>
      <c r="AQ576" s="4" t="s">
        <v>1716</v>
      </c>
      <c r="AR576" s="4" t="s">
        <v>1717</v>
      </c>
      <c r="AS576" s="4" t="s">
        <v>1718</v>
      </c>
      <c r="AT576" s="4" t="s">
        <v>1703</v>
      </c>
      <c r="AU576" s="4" t="s">
        <v>1703</v>
      </c>
      <c r="AV576" s="4" t="s">
        <v>1720</v>
      </c>
      <c r="AW576" s="4" t="s">
        <v>2193</v>
      </c>
      <c r="AX576" s="4" t="s">
        <v>2356</v>
      </c>
      <c r="AY576" s="4">
        <v>52.2</v>
      </c>
      <c r="AZ576" s="4">
        <v>-121.2</v>
      </c>
      <c r="BA576" s="4">
        <v>8</v>
      </c>
    </row>
    <row r="577" spans="1:53" ht="14.25" customHeight="1" x14ac:dyDescent="0.2">
      <c r="A577" s="4" t="s">
        <v>1908</v>
      </c>
      <c r="B577" s="6">
        <v>12</v>
      </c>
      <c r="C577" s="4" t="s">
        <v>7666</v>
      </c>
      <c r="D577" s="4">
        <v>239</v>
      </c>
      <c r="E577" s="4">
        <v>1794</v>
      </c>
      <c r="F577" s="8" t="s">
        <v>2389</v>
      </c>
      <c r="G577" s="8" t="s">
        <v>2390</v>
      </c>
      <c r="H577" s="4" t="s">
        <v>2391</v>
      </c>
      <c r="I577" s="4" t="s">
        <v>641</v>
      </c>
      <c r="J577" s="4" t="s">
        <v>1736</v>
      </c>
      <c r="K577" s="4">
        <v>1</v>
      </c>
      <c r="L577" s="4">
        <v>2197</v>
      </c>
      <c r="M577" s="4">
        <v>51.628900000000002</v>
      </c>
      <c r="N577" s="4">
        <v>-120.09457</v>
      </c>
      <c r="O577" s="4" t="s">
        <v>142</v>
      </c>
      <c r="P577" s="4">
        <v>239</v>
      </c>
      <c r="Q577" s="4">
        <v>1</v>
      </c>
      <c r="R577" s="4" t="s">
        <v>2392</v>
      </c>
      <c r="S577" s="4" t="s">
        <v>1737</v>
      </c>
      <c r="T577" s="4">
        <v>453</v>
      </c>
      <c r="U577" s="4" t="s">
        <v>645</v>
      </c>
      <c r="W577" s="4">
        <v>27760</v>
      </c>
      <c r="X577" s="4" t="s">
        <v>1738</v>
      </c>
      <c r="Y577" s="7"/>
      <c r="AO577" s="53" t="s">
        <v>2392</v>
      </c>
      <c r="AP577" s="4">
        <v>239</v>
      </c>
      <c r="AQ577" s="4" t="s">
        <v>1700</v>
      </c>
      <c r="AR577" s="4" t="s">
        <v>1739</v>
      </c>
      <c r="AS577" s="4" t="s">
        <v>1740</v>
      </c>
      <c r="AT577" s="4" t="s">
        <v>1741</v>
      </c>
      <c r="AU577" s="4" t="s">
        <v>2043</v>
      </c>
      <c r="AV577" s="4" t="s">
        <v>1720</v>
      </c>
      <c r="AW577" s="4" t="s">
        <v>2368</v>
      </c>
      <c r="AX577" s="4" t="s">
        <v>2369</v>
      </c>
      <c r="AY577" s="4">
        <v>51.628900000000002</v>
      </c>
      <c r="AZ577" s="4">
        <v>-120.0946</v>
      </c>
      <c r="BA577" s="4">
        <v>440</v>
      </c>
    </row>
    <row r="578" spans="1:53" ht="14.25" customHeight="1" x14ac:dyDescent="0.2">
      <c r="B578" s="6">
        <v>12</v>
      </c>
      <c r="C578" s="4" t="s">
        <v>7666</v>
      </c>
      <c r="D578" s="4">
        <v>240</v>
      </c>
      <c r="E578" s="4">
        <v>1795</v>
      </c>
      <c r="F578" s="16" t="s">
        <v>2393</v>
      </c>
      <c r="G578" s="4" t="s">
        <v>2394</v>
      </c>
      <c r="H578" s="4" t="s">
        <v>2027</v>
      </c>
      <c r="I578" s="4" t="s">
        <v>1664</v>
      </c>
      <c r="J578" s="4" t="s">
        <v>1715</v>
      </c>
      <c r="K578" s="4">
        <v>1</v>
      </c>
      <c r="L578" s="4">
        <v>2198</v>
      </c>
      <c r="Y578" s="7"/>
      <c r="AO578" s="4" t="s">
        <v>2393</v>
      </c>
      <c r="AP578" s="4">
        <v>240</v>
      </c>
      <c r="AQ578" s="4" t="s">
        <v>1716</v>
      </c>
      <c r="AR578" s="4" t="s">
        <v>1717</v>
      </c>
      <c r="AS578" s="4" t="s">
        <v>1718</v>
      </c>
      <c r="AT578" s="4" t="s">
        <v>1719</v>
      </c>
      <c r="AU578" s="4" t="s">
        <v>1703</v>
      </c>
      <c r="AV578" s="4" t="s">
        <v>1720</v>
      </c>
      <c r="AW578" s="4" t="s">
        <v>2368</v>
      </c>
      <c r="AX578" s="4" t="s">
        <v>2369</v>
      </c>
      <c r="AY578" s="4">
        <v>51.2</v>
      </c>
      <c r="AZ578" s="4">
        <v>-120.1</v>
      </c>
      <c r="BA578" s="4">
        <v>4</v>
      </c>
    </row>
    <row r="579" spans="1:53" ht="14.25" customHeight="1" x14ac:dyDescent="0.2">
      <c r="B579" s="6">
        <v>12</v>
      </c>
      <c r="C579" s="4" t="s">
        <v>7666</v>
      </c>
      <c r="D579" s="4">
        <v>241</v>
      </c>
      <c r="E579" s="4">
        <v>1796</v>
      </c>
      <c r="F579" s="16" t="s">
        <v>2395</v>
      </c>
      <c r="G579" s="4" t="s">
        <v>2396</v>
      </c>
      <c r="H579" s="4" t="s">
        <v>2397</v>
      </c>
      <c r="I579" s="4" t="s">
        <v>1664</v>
      </c>
      <c r="J579" s="4" t="s">
        <v>1715</v>
      </c>
      <c r="K579" s="4">
        <v>1</v>
      </c>
      <c r="L579" s="4">
        <v>2199</v>
      </c>
      <c r="Y579" s="7"/>
      <c r="AO579" s="4" t="s">
        <v>2395</v>
      </c>
      <c r="AP579" s="4">
        <v>241</v>
      </c>
      <c r="AQ579" s="4" t="s">
        <v>1716</v>
      </c>
      <c r="AR579" s="4" t="s">
        <v>1717</v>
      </c>
      <c r="AS579" s="4" t="s">
        <v>1718</v>
      </c>
      <c r="AT579" s="4" t="s">
        <v>1703</v>
      </c>
      <c r="AU579" s="4" t="s">
        <v>1703</v>
      </c>
      <c r="AV579" s="4" t="s">
        <v>1720</v>
      </c>
      <c r="AW579" s="4" t="s">
        <v>2193</v>
      </c>
      <c r="AX579" s="4" t="s">
        <v>2194</v>
      </c>
      <c r="AY579" s="4">
        <v>52.9</v>
      </c>
      <c r="AZ579" s="4">
        <v>-122.1</v>
      </c>
      <c r="BA579" s="4">
        <v>10</v>
      </c>
    </row>
    <row r="580" spans="1:53" ht="14.25" customHeight="1" x14ac:dyDescent="0.2">
      <c r="B580" s="6">
        <v>12</v>
      </c>
      <c r="C580" s="4" t="s">
        <v>7666</v>
      </c>
      <c r="D580" s="4">
        <v>242</v>
      </c>
      <c r="E580" s="4">
        <v>1797</v>
      </c>
      <c r="F580" s="16" t="s">
        <v>2398</v>
      </c>
      <c r="G580" s="4" t="s">
        <v>2399</v>
      </c>
      <c r="H580" s="4" t="s">
        <v>2400</v>
      </c>
      <c r="I580" s="4" t="s">
        <v>641</v>
      </c>
      <c r="J580" s="4" t="s">
        <v>1715</v>
      </c>
      <c r="K580" s="4">
        <v>1</v>
      </c>
      <c r="L580" s="4">
        <v>2200</v>
      </c>
      <c r="Y580" s="7"/>
      <c r="AO580" s="4" t="s">
        <v>2398</v>
      </c>
      <c r="AP580" s="4">
        <v>242</v>
      </c>
      <c r="AQ580" s="4" t="s">
        <v>1716</v>
      </c>
      <c r="AR580" s="4" t="s">
        <v>1717</v>
      </c>
      <c r="AS580" s="4" t="s">
        <v>1718</v>
      </c>
      <c r="AT580" s="4" t="s">
        <v>1703</v>
      </c>
      <c r="AU580" s="4" t="s">
        <v>1703</v>
      </c>
      <c r="AV580" s="4" t="s">
        <v>1720</v>
      </c>
      <c r="AW580" s="4" t="s">
        <v>2368</v>
      </c>
      <c r="AX580" s="4" t="s">
        <v>2401</v>
      </c>
      <c r="AY580" s="4">
        <v>51.924999999999997</v>
      </c>
      <c r="AZ580" s="4">
        <v>-120.03</v>
      </c>
      <c r="BA580" s="4">
        <v>762</v>
      </c>
    </row>
    <row r="581" spans="1:53" ht="14.25" customHeight="1" x14ac:dyDescent="0.2">
      <c r="A581" s="4" t="s">
        <v>88</v>
      </c>
      <c r="B581" s="6">
        <v>12</v>
      </c>
      <c r="C581" s="4" t="s">
        <v>7666</v>
      </c>
      <c r="D581" s="4">
        <v>243</v>
      </c>
      <c r="E581" s="4">
        <v>1798</v>
      </c>
      <c r="F581" s="4" t="s">
        <v>2402</v>
      </c>
      <c r="G581" s="8" t="s">
        <v>2403</v>
      </c>
      <c r="H581" s="4" t="s">
        <v>2404</v>
      </c>
      <c r="I581" s="4" t="s">
        <v>641</v>
      </c>
      <c r="J581" s="4" t="s">
        <v>1865</v>
      </c>
      <c r="K581" s="4">
        <v>1</v>
      </c>
      <c r="L581" s="4">
        <v>2201</v>
      </c>
      <c r="M581" s="4">
        <v>51.253129999999999</v>
      </c>
      <c r="N581" s="4">
        <v>-119.88168</v>
      </c>
      <c r="O581" s="4" t="s">
        <v>170</v>
      </c>
      <c r="P581" s="4">
        <v>243</v>
      </c>
      <c r="Q581" s="4">
        <v>1</v>
      </c>
      <c r="R581" s="4" t="s">
        <v>2402</v>
      </c>
      <c r="S581" s="4" t="s">
        <v>1737</v>
      </c>
      <c r="T581" s="4">
        <v>631</v>
      </c>
      <c r="U581" s="4" t="s">
        <v>645</v>
      </c>
      <c r="W581" s="4">
        <v>28491</v>
      </c>
      <c r="X581" s="4" t="s">
        <v>1738</v>
      </c>
      <c r="Y581" s="7"/>
      <c r="AO581" s="4" t="s">
        <v>2402</v>
      </c>
      <c r="AP581" s="4">
        <v>243</v>
      </c>
      <c r="AQ581" s="4" t="s">
        <v>1716</v>
      </c>
      <c r="AR581" s="4" t="s">
        <v>1739</v>
      </c>
      <c r="AS581" s="4" t="s">
        <v>1740</v>
      </c>
      <c r="AT581" s="4" t="s">
        <v>1741</v>
      </c>
      <c r="AU581" s="4" t="s">
        <v>1742</v>
      </c>
      <c r="AV581" s="4" t="s">
        <v>1720</v>
      </c>
      <c r="AW581" s="4" t="s">
        <v>2368</v>
      </c>
      <c r="AX581" s="4" t="s">
        <v>2369</v>
      </c>
      <c r="AY581" s="4">
        <v>51.253100000000003</v>
      </c>
      <c r="AZ581" s="4">
        <v>-119.8817</v>
      </c>
      <c r="BA581" s="4">
        <v>631</v>
      </c>
    </row>
    <row r="582" spans="1:53" ht="14.25" customHeight="1" x14ac:dyDescent="0.2">
      <c r="A582" s="4" t="s">
        <v>88</v>
      </c>
      <c r="B582" s="6">
        <v>12</v>
      </c>
      <c r="C582" s="4" t="s">
        <v>7666</v>
      </c>
      <c r="D582" s="4">
        <v>244</v>
      </c>
      <c r="E582" s="4">
        <v>1799</v>
      </c>
      <c r="F582" s="4" t="s">
        <v>2405</v>
      </c>
      <c r="G582" s="8" t="s">
        <v>2406</v>
      </c>
      <c r="H582" s="4" t="s">
        <v>2407</v>
      </c>
      <c r="I582" s="4" t="s">
        <v>641</v>
      </c>
      <c r="J582" s="4" t="s">
        <v>1865</v>
      </c>
      <c r="K582" s="4">
        <v>1</v>
      </c>
      <c r="L582" s="4">
        <v>2202</v>
      </c>
      <c r="M582" s="4">
        <v>51.67</v>
      </c>
      <c r="N582" s="4">
        <v>-120.65</v>
      </c>
      <c r="O582" s="4" t="s">
        <v>148</v>
      </c>
      <c r="P582" s="4">
        <v>244</v>
      </c>
      <c r="Q582" s="4">
        <v>8</v>
      </c>
      <c r="R582" s="4" t="s">
        <v>2405</v>
      </c>
      <c r="S582" s="4" t="s">
        <v>1737</v>
      </c>
      <c r="T582" s="4">
        <v>1580</v>
      </c>
      <c r="W582" s="4">
        <v>33604</v>
      </c>
      <c r="X582" s="4" t="s">
        <v>1738</v>
      </c>
      <c r="Y582" s="7"/>
      <c r="AO582" s="4" t="s">
        <v>2405</v>
      </c>
      <c r="AP582" s="4">
        <v>244</v>
      </c>
      <c r="AQ582" s="4" t="s">
        <v>1716</v>
      </c>
      <c r="AR582" s="4" t="s">
        <v>1739</v>
      </c>
      <c r="AS582" s="4" t="s">
        <v>1740</v>
      </c>
      <c r="AT582" s="4" t="s">
        <v>1741</v>
      </c>
      <c r="AU582" s="4" t="s">
        <v>1742</v>
      </c>
      <c r="AV582" s="4" t="s">
        <v>1720</v>
      </c>
      <c r="AW582" s="4" t="s">
        <v>2193</v>
      </c>
      <c r="AX582" s="4" t="s">
        <v>2287</v>
      </c>
      <c r="AY582" s="4">
        <v>51.663899999999998</v>
      </c>
      <c r="AZ582" s="4">
        <v>-120.6579</v>
      </c>
      <c r="BA582" s="4">
        <v>1377</v>
      </c>
    </row>
    <row r="583" spans="1:53" ht="14.25" customHeight="1" x14ac:dyDescent="0.2">
      <c r="B583" s="6">
        <v>12</v>
      </c>
      <c r="C583" s="4" t="s">
        <v>7666</v>
      </c>
      <c r="D583" s="4">
        <v>245</v>
      </c>
      <c r="E583" s="4">
        <v>1800</v>
      </c>
      <c r="F583" s="16" t="s">
        <v>2408</v>
      </c>
      <c r="G583" s="4" t="s">
        <v>2409</v>
      </c>
      <c r="H583" s="4" t="s">
        <v>2410</v>
      </c>
      <c r="I583" s="4" t="s">
        <v>1664</v>
      </c>
      <c r="J583" s="4" t="s">
        <v>1715</v>
      </c>
      <c r="K583" s="4">
        <v>1</v>
      </c>
      <c r="L583" s="4">
        <v>2203</v>
      </c>
      <c r="Y583" s="7"/>
      <c r="AO583" s="4" t="s">
        <v>2408</v>
      </c>
      <c r="AP583" s="4">
        <v>245</v>
      </c>
      <c r="AQ583" s="4" t="s">
        <v>1716</v>
      </c>
      <c r="AR583" s="4" t="s">
        <v>1717</v>
      </c>
      <c r="AS583" s="4" t="s">
        <v>1718</v>
      </c>
      <c r="AT583" s="4" t="s">
        <v>1703</v>
      </c>
      <c r="AU583" s="4" t="s">
        <v>1703</v>
      </c>
      <c r="AV583" s="4" t="s">
        <v>1720</v>
      </c>
      <c r="AW583" s="4" t="s">
        <v>2368</v>
      </c>
      <c r="AX583" s="4" t="s">
        <v>2401</v>
      </c>
      <c r="AY583" s="4">
        <v>51.7</v>
      </c>
      <c r="AZ583" s="4">
        <v>-120.4</v>
      </c>
      <c r="BA583" s="4">
        <v>11</v>
      </c>
    </row>
    <row r="584" spans="1:53" ht="14.25" customHeight="1" x14ac:dyDescent="0.2">
      <c r="B584" s="6">
        <v>12</v>
      </c>
      <c r="C584" s="4" t="s">
        <v>7666</v>
      </c>
      <c r="D584" s="4">
        <v>246</v>
      </c>
      <c r="E584" s="4">
        <v>1801</v>
      </c>
      <c r="F584" s="16" t="s">
        <v>2411</v>
      </c>
      <c r="G584" s="4" t="s">
        <v>2412</v>
      </c>
      <c r="H584" s="4" t="s">
        <v>2413</v>
      </c>
      <c r="I584" s="4" t="s">
        <v>1664</v>
      </c>
      <c r="J584" s="4" t="s">
        <v>1715</v>
      </c>
      <c r="K584" s="4">
        <v>1</v>
      </c>
      <c r="L584" s="4">
        <v>2204</v>
      </c>
      <c r="Y584" s="7"/>
      <c r="AO584" s="4" t="s">
        <v>2411</v>
      </c>
      <c r="AP584" s="4">
        <v>246</v>
      </c>
      <c r="AQ584" s="4" t="s">
        <v>1716</v>
      </c>
      <c r="AR584" s="4" t="s">
        <v>1717</v>
      </c>
      <c r="AS584" s="4" t="s">
        <v>1718</v>
      </c>
      <c r="AT584" s="4" t="s">
        <v>1719</v>
      </c>
      <c r="AU584" s="4" t="s">
        <v>1703</v>
      </c>
      <c r="AV584" s="4" t="s">
        <v>1720</v>
      </c>
      <c r="AW584" s="4" t="s">
        <v>2193</v>
      </c>
      <c r="AX584" s="4" t="s">
        <v>2287</v>
      </c>
      <c r="AY584" s="4">
        <v>51.9</v>
      </c>
      <c r="AZ584" s="4">
        <v>-120.9</v>
      </c>
      <c r="BA584" s="4">
        <v>11</v>
      </c>
    </row>
    <row r="585" spans="1:53" ht="14.25" customHeight="1" x14ac:dyDescent="0.2">
      <c r="B585" s="6">
        <v>12</v>
      </c>
      <c r="C585" s="4" t="s">
        <v>7666</v>
      </c>
      <c r="D585" s="4">
        <v>248</v>
      </c>
      <c r="E585" s="4">
        <v>1802</v>
      </c>
      <c r="F585" s="16" t="s">
        <v>2414</v>
      </c>
      <c r="G585" s="4" t="s">
        <v>2415</v>
      </c>
      <c r="H585" s="4" t="s">
        <v>1859</v>
      </c>
      <c r="I585" s="4" t="s">
        <v>1664</v>
      </c>
      <c r="J585" s="4" t="s">
        <v>1715</v>
      </c>
      <c r="K585" s="4">
        <v>1</v>
      </c>
      <c r="L585" s="4">
        <v>2205</v>
      </c>
      <c r="Y585" s="7"/>
      <c r="AO585" s="4" t="s">
        <v>2414</v>
      </c>
      <c r="AP585" s="4">
        <v>248</v>
      </c>
      <c r="AQ585" s="4" t="s">
        <v>1716</v>
      </c>
      <c r="AR585" s="4" t="s">
        <v>1717</v>
      </c>
      <c r="AS585" s="4" t="s">
        <v>1718</v>
      </c>
      <c r="AT585" s="4" t="s">
        <v>1703</v>
      </c>
      <c r="AU585" s="4" t="s">
        <v>1703</v>
      </c>
      <c r="AV585" s="4" t="s">
        <v>1720</v>
      </c>
      <c r="AW585" s="4" t="s">
        <v>2368</v>
      </c>
      <c r="AX585" s="4" t="s">
        <v>2369</v>
      </c>
      <c r="AY585" s="4">
        <v>51.4</v>
      </c>
      <c r="AZ585" s="4">
        <v>-120.4</v>
      </c>
      <c r="BA585" s="4">
        <v>13</v>
      </c>
    </row>
    <row r="586" spans="1:53" ht="14.25" customHeight="1" x14ac:dyDescent="0.2">
      <c r="B586" s="6">
        <v>12</v>
      </c>
      <c r="C586" s="4" t="s">
        <v>7666</v>
      </c>
      <c r="D586" s="4">
        <v>249</v>
      </c>
      <c r="E586" s="4">
        <v>1803</v>
      </c>
      <c r="F586" s="16" t="s">
        <v>2416</v>
      </c>
      <c r="G586" s="4" t="s">
        <v>2417</v>
      </c>
      <c r="H586" s="4" t="s">
        <v>2418</v>
      </c>
      <c r="I586" s="4" t="s">
        <v>641</v>
      </c>
      <c r="J586" s="4" t="s">
        <v>1715</v>
      </c>
      <c r="K586" s="4">
        <v>1</v>
      </c>
      <c r="L586" s="4">
        <v>2206</v>
      </c>
      <c r="Y586" s="7"/>
      <c r="AO586" s="4" t="s">
        <v>2416</v>
      </c>
      <c r="AP586" s="4">
        <v>249</v>
      </c>
      <c r="AQ586" s="4" t="s">
        <v>1716</v>
      </c>
      <c r="AR586" s="4" t="s">
        <v>1717</v>
      </c>
      <c r="AS586" s="4" t="s">
        <v>1718</v>
      </c>
      <c r="AT586" s="4" t="s">
        <v>1703</v>
      </c>
      <c r="AU586" s="4" t="s">
        <v>1703</v>
      </c>
      <c r="AV586" s="4" t="s">
        <v>1720</v>
      </c>
      <c r="AW586" s="4" t="s">
        <v>2368</v>
      </c>
      <c r="AX586" s="4" t="s">
        <v>2401</v>
      </c>
      <c r="AY586" s="4">
        <v>51.585000000000001</v>
      </c>
      <c r="AZ586" s="4">
        <v>-119.6733</v>
      </c>
      <c r="BA586" s="4">
        <v>792</v>
      </c>
    </row>
    <row r="587" spans="1:53" ht="14.25" customHeight="1" x14ac:dyDescent="0.2">
      <c r="A587" s="4" t="s">
        <v>1908</v>
      </c>
      <c r="B587" s="6">
        <v>12</v>
      </c>
      <c r="C587" s="4" t="s">
        <v>7666</v>
      </c>
      <c r="D587" s="4">
        <v>250</v>
      </c>
      <c r="E587" s="4">
        <v>1804</v>
      </c>
      <c r="F587" s="8" t="s">
        <v>2419</v>
      </c>
      <c r="G587" s="8" t="s">
        <v>2420</v>
      </c>
      <c r="H587" s="4" t="s">
        <v>2421</v>
      </c>
      <c r="I587" s="4" t="s">
        <v>641</v>
      </c>
      <c r="J587" s="4" t="s">
        <v>1736</v>
      </c>
      <c r="K587" s="4">
        <v>1</v>
      </c>
      <c r="L587" s="4">
        <v>2207</v>
      </c>
      <c r="M587" s="4">
        <v>51.522669999999998</v>
      </c>
      <c r="N587" s="4">
        <v>-119.11335</v>
      </c>
      <c r="O587" s="4" t="s">
        <v>170</v>
      </c>
      <c r="P587" s="4">
        <v>250</v>
      </c>
      <c r="Q587" s="4">
        <v>4</v>
      </c>
      <c r="R587" s="4" t="s">
        <v>2422</v>
      </c>
      <c r="S587" s="4" t="s">
        <v>1737</v>
      </c>
      <c r="T587" s="4">
        <v>1525</v>
      </c>
      <c r="W587" s="4">
        <v>32509</v>
      </c>
      <c r="X587" s="4" t="s">
        <v>1738</v>
      </c>
      <c r="Y587" s="7"/>
      <c r="AO587" s="4" t="s">
        <v>2422</v>
      </c>
      <c r="AP587" s="4">
        <v>250</v>
      </c>
      <c r="AQ587" s="4" t="s">
        <v>1716</v>
      </c>
      <c r="AR587" s="4" t="s">
        <v>1739</v>
      </c>
      <c r="AS587" s="4" t="s">
        <v>1740</v>
      </c>
      <c r="AT587" s="4" t="s">
        <v>1741</v>
      </c>
      <c r="AU587" s="4" t="s">
        <v>1742</v>
      </c>
      <c r="AV587" s="4" t="s">
        <v>1720</v>
      </c>
      <c r="AW587" s="4" t="s">
        <v>2368</v>
      </c>
      <c r="AX587" s="4" t="s">
        <v>2369</v>
      </c>
      <c r="AY587" s="4">
        <v>51.5227</v>
      </c>
      <c r="AZ587" s="4">
        <v>-119.1133</v>
      </c>
      <c r="BA587" s="4">
        <v>1516</v>
      </c>
    </row>
    <row r="588" spans="1:53" ht="14.25" customHeight="1" x14ac:dyDescent="0.2">
      <c r="B588" s="6">
        <v>12</v>
      </c>
      <c r="C588" s="4" t="s">
        <v>7666</v>
      </c>
      <c r="D588" s="4">
        <v>251</v>
      </c>
      <c r="E588" s="4">
        <v>1805</v>
      </c>
      <c r="F588" s="4" t="s">
        <v>2423</v>
      </c>
      <c r="G588" s="4" t="s">
        <v>2424</v>
      </c>
      <c r="H588" s="4" t="s">
        <v>2379</v>
      </c>
      <c r="I588" s="4" t="s">
        <v>641</v>
      </c>
      <c r="J588" s="4" t="s">
        <v>1865</v>
      </c>
      <c r="K588" s="4">
        <v>1</v>
      </c>
      <c r="L588" s="4">
        <v>2208</v>
      </c>
      <c r="M588" s="4">
        <v>51.966999999999999</v>
      </c>
      <c r="N588" s="4">
        <v>-120.608</v>
      </c>
      <c r="O588" s="4" t="s">
        <v>170</v>
      </c>
      <c r="P588" s="4">
        <v>251</v>
      </c>
      <c r="Q588" s="4">
        <v>3</v>
      </c>
      <c r="R588" s="4" t="s">
        <v>2423</v>
      </c>
      <c r="S588" s="4" t="s">
        <v>1737</v>
      </c>
      <c r="T588" s="4">
        <v>1170</v>
      </c>
      <c r="W588" s="4">
        <v>32509</v>
      </c>
      <c r="X588" s="4" t="s">
        <v>1738</v>
      </c>
      <c r="Y588" s="7"/>
      <c r="AO588" s="4" t="s">
        <v>2423</v>
      </c>
      <c r="AP588" s="4">
        <v>251</v>
      </c>
      <c r="AQ588" s="4" t="s">
        <v>1716</v>
      </c>
      <c r="AR588" s="4" t="s">
        <v>1739</v>
      </c>
      <c r="AS588" s="4" t="s">
        <v>1740</v>
      </c>
      <c r="AT588" s="4" t="s">
        <v>1741</v>
      </c>
      <c r="AU588" s="4" t="s">
        <v>1742</v>
      </c>
      <c r="AV588" s="4" t="s">
        <v>1720</v>
      </c>
      <c r="AW588" s="4" t="s">
        <v>2193</v>
      </c>
      <c r="AX588" s="4" t="s">
        <v>2287</v>
      </c>
      <c r="AY588" s="4">
        <v>51.966999999999999</v>
      </c>
      <c r="AZ588" s="4">
        <v>-120.608</v>
      </c>
      <c r="BA588" s="4">
        <v>1170</v>
      </c>
    </row>
    <row r="589" spans="1:53" ht="14.25" customHeight="1" x14ac:dyDescent="0.2">
      <c r="B589" s="6">
        <v>12</v>
      </c>
      <c r="C589" s="4" t="s">
        <v>7666</v>
      </c>
      <c r="D589" s="4">
        <v>252</v>
      </c>
      <c r="E589" s="4">
        <v>1806</v>
      </c>
      <c r="F589" s="16" t="s">
        <v>2425</v>
      </c>
      <c r="G589" s="4" t="s">
        <v>2426</v>
      </c>
      <c r="H589" s="4" t="s">
        <v>2427</v>
      </c>
      <c r="I589" s="4" t="s">
        <v>641</v>
      </c>
      <c r="J589" s="4" t="s">
        <v>1746</v>
      </c>
      <c r="K589" s="4">
        <v>1</v>
      </c>
      <c r="L589" s="4">
        <v>2209</v>
      </c>
      <c r="Y589" s="7"/>
      <c r="AO589" s="4" t="s">
        <v>2425</v>
      </c>
      <c r="AP589" s="4">
        <v>252</v>
      </c>
      <c r="AQ589" s="4" t="s">
        <v>1716</v>
      </c>
      <c r="AR589" s="4" t="s">
        <v>1717</v>
      </c>
      <c r="AS589" s="4" t="s">
        <v>1718</v>
      </c>
      <c r="AT589" s="4" t="s">
        <v>1703</v>
      </c>
      <c r="AU589" s="4" t="s">
        <v>1703</v>
      </c>
      <c r="AV589" s="4" t="s">
        <v>1720</v>
      </c>
      <c r="AW589" s="4" t="s">
        <v>2193</v>
      </c>
      <c r="AX589" s="4" t="s">
        <v>2287</v>
      </c>
      <c r="AY589" s="4">
        <v>51.061</v>
      </c>
      <c r="AZ589" s="4">
        <v>-121.182</v>
      </c>
      <c r="BA589" s="4">
        <v>1600</v>
      </c>
    </row>
    <row r="590" spans="1:53" ht="14.25" customHeight="1" x14ac:dyDescent="0.2">
      <c r="A590" s="4" t="s">
        <v>88</v>
      </c>
      <c r="B590" s="6">
        <v>12</v>
      </c>
      <c r="C590" s="4" t="s">
        <v>7666</v>
      </c>
      <c r="D590" s="4">
        <v>253</v>
      </c>
      <c r="E590" s="4">
        <v>1807</v>
      </c>
      <c r="F590" s="4" t="s">
        <v>2428</v>
      </c>
      <c r="G590" s="8" t="s">
        <v>2429</v>
      </c>
      <c r="H590" s="4" t="s">
        <v>2430</v>
      </c>
      <c r="I590" s="4" t="s">
        <v>641</v>
      </c>
      <c r="J590" s="4" t="s">
        <v>1865</v>
      </c>
      <c r="K590" s="4">
        <v>1</v>
      </c>
      <c r="L590" s="4">
        <v>2210</v>
      </c>
      <c r="M590" s="4">
        <v>50.887880000000003</v>
      </c>
      <c r="N590" s="4">
        <v>-119.83832</v>
      </c>
      <c r="O590" s="4" t="s">
        <v>142</v>
      </c>
      <c r="P590" s="4">
        <v>253</v>
      </c>
      <c r="Q590" s="4">
        <v>6</v>
      </c>
      <c r="R590" s="4" t="s">
        <v>2428</v>
      </c>
      <c r="S590" s="4" t="s">
        <v>1737</v>
      </c>
      <c r="T590" s="4">
        <v>1543</v>
      </c>
      <c r="W590" s="4">
        <v>31778</v>
      </c>
      <c r="X590" s="4" t="s">
        <v>1738</v>
      </c>
      <c r="Y590" s="7"/>
      <c r="AO590" s="4" t="s">
        <v>2428</v>
      </c>
      <c r="AP590" s="4">
        <v>253</v>
      </c>
      <c r="AQ590" s="4" t="s">
        <v>1716</v>
      </c>
      <c r="AR590" s="4" t="s">
        <v>1739</v>
      </c>
      <c r="AS590" s="4" t="s">
        <v>1740</v>
      </c>
      <c r="AT590" s="4" t="s">
        <v>1741</v>
      </c>
      <c r="AU590" s="4" t="s">
        <v>1742</v>
      </c>
      <c r="AV590" s="4" t="s">
        <v>1720</v>
      </c>
      <c r="AW590" s="4" t="s">
        <v>2368</v>
      </c>
      <c r="AX590" s="4" t="s">
        <v>2369</v>
      </c>
      <c r="AY590" s="4">
        <v>50.887900000000002</v>
      </c>
      <c r="AZ590" s="4">
        <v>-119.8383</v>
      </c>
      <c r="BA590" s="4">
        <v>1543</v>
      </c>
    </row>
    <row r="591" spans="1:53" ht="14.25" customHeight="1" x14ac:dyDescent="0.2">
      <c r="B591" s="6">
        <v>12</v>
      </c>
      <c r="C591" s="4" t="s">
        <v>7666</v>
      </c>
      <c r="D591" s="4">
        <v>255</v>
      </c>
      <c r="E591" s="4">
        <v>1808</v>
      </c>
      <c r="F591" s="4" t="s">
        <v>2431</v>
      </c>
      <c r="G591" s="4" t="s">
        <v>2432</v>
      </c>
      <c r="H591" s="4" t="s">
        <v>2433</v>
      </c>
      <c r="I591" s="4" t="s">
        <v>641</v>
      </c>
      <c r="J591" s="4" t="s">
        <v>1865</v>
      </c>
      <c r="K591" s="4">
        <v>1</v>
      </c>
      <c r="L591" s="4">
        <v>2211</v>
      </c>
      <c r="M591" s="4">
        <v>52.615000000000002</v>
      </c>
      <c r="N591" s="4">
        <v>-121.51333</v>
      </c>
      <c r="O591" s="4" t="s">
        <v>170</v>
      </c>
      <c r="P591" s="4">
        <v>255</v>
      </c>
      <c r="Q591" s="4">
        <v>2</v>
      </c>
      <c r="R591" s="4" t="s">
        <v>2431</v>
      </c>
      <c r="S591" s="4" t="s">
        <v>1737</v>
      </c>
      <c r="T591" s="4">
        <v>1046</v>
      </c>
      <c r="U591" s="4" t="s">
        <v>645</v>
      </c>
      <c r="V591" s="4" t="s">
        <v>1813</v>
      </c>
      <c r="W591" s="4">
        <v>25569</v>
      </c>
      <c r="X591" s="4" t="s">
        <v>1738</v>
      </c>
      <c r="Y591" s="7"/>
      <c r="AO591" s="4" t="s">
        <v>2431</v>
      </c>
      <c r="AP591" s="4">
        <v>255</v>
      </c>
      <c r="AQ591" s="4" t="s">
        <v>1716</v>
      </c>
      <c r="AR591" s="4" t="s">
        <v>1739</v>
      </c>
      <c r="AS591" s="4" t="s">
        <v>1740</v>
      </c>
      <c r="AT591" s="4" t="s">
        <v>1741</v>
      </c>
      <c r="AU591" s="4" t="s">
        <v>1742</v>
      </c>
      <c r="AV591" s="4" t="s">
        <v>1720</v>
      </c>
      <c r="AW591" s="4" t="s">
        <v>2193</v>
      </c>
      <c r="AX591" s="4" t="s">
        <v>2356</v>
      </c>
      <c r="AY591" s="4">
        <v>52.615000000000002</v>
      </c>
      <c r="AZ591" s="4">
        <v>-121.5133</v>
      </c>
      <c r="BA591" s="4">
        <v>1046</v>
      </c>
    </row>
    <row r="592" spans="1:53" ht="14.25" customHeight="1" x14ac:dyDescent="0.2">
      <c r="B592" s="6">
        <v>12</v>
      </c>
      <c r="C592" s="4" t="s">
        <v>7666</v>
      </c>
      <c r="D592" s="4">
        <v>256</v>
      </c>
      <c r="E592" s="4">
        <v>1809</v>
      </c>
      <c r="F592" s="16" t="s">
        <v>2434</v>
      </c>
      <c r="G592" s="4" t="s">
        <v>2435</v>
      </c>
      <c r="H592" s="4" t="s">
        <v>2436</v>
      </c>
      <c r="I592" s="4" t="s">
        <v>641</v>
      </c>
      <c r="J592" s="4" t="s">
        <v>1715</v>
      </c>
      <c r="K592" s="4">
        <v>1</v>
      </c>
      <c r="L592" s="4">
        <v>2212</v>
      </c>
      <c r="Y592" s="7"/>
      <c r="AO592" s="4" t="s">
        <v>2434</v>
      </c>
      <c r="AP592" s="4">
        <v>256</v>
      </c>
      <c r="AQ592" s="4" t="s">
        <v>1716</v>
      </c>
      <c r="AR592" s="4" t="s">
        <v>1717</v>
      </c>
      <c r="AS592" s="4" t="s">
        <v>1718</v>
      </c>
      <c r="AT592" s="4" t="s">
        <v>1703</v>
      </c>
      <c r="AU592" s="4" t="s">
        <v>1703</v>
      </c>
      <c r="AV592" s="4" t="s">
        <v>1720</v>
      </c>
      <c r="AW592" s="4" t="s">
        <v>2368</v>
      </c>
      <c r="AX592" s="4" t="s">
        <v>2401</v>
      </c>
      <c r="AY592" s="4">
        <v>52.5</v>
      </c>
      <c r="AZ592" s="4">
        <v>-120.3</v>
      </c>
      <c r="BA592" s="4">
        <v>9</v>
      </c>
    </row>
    <row r="593" spans="1:53" ht="14.25" customHeight="1" x14ac:dyDescent="0.2">
      <c r="A593" s="4" t="s">
        <v>88</v>
      </c>
      <c r="B593" s="6">
        <v>12</v>
      </c>
      <c r="C593" s="4" t="s">
        <v>7666</v>
      </c>
      <c r="D593" s="4">
        <v>257</v>
      </c>
      <c r="E593" s="4">
        <v>1810</v>
      </c>
      <c r="F593" s="4" t="s">
        <v>2437</v>
      </c>
      <c r="G593" s="8" t="s">
        <v>2438</v>
      </c>
      <c r="H593" s="4" t="s">
        <v>2439</v>
      </c>
      <c r="I593" s="4" t="s">
        <v>641</v>
      </c>
      <c r="J593" s="4" t="s">
        <v>1715</v>
      </c>
      <c r="K593" s="4">
        <v>1</v>
      </c>
      <c r="L593" s="4">
        <v>2213</v>
      </c>
      <c r="M593" s="9"/>
      <c r="N593" s="9"/>
      <c r="O593" s="9"/>
      <c r="P593" s="9"/>
      <c r="Q593" s="20"/>
      <c r="R593" s="9"/>
      <c r="S593" s="9"/>
      <c r="T593" s="9"/>
      <c r="U593" s="9"/>
      <c r="V593" s="9"/>
      <c r="W593" s="21"/>
      <c r="X593" s="9"/>
      <c r="Y593" s="7"/>
      <c r="AO593" s="4" t="s">
        <v>2440</v>
      </c>
      <c r="AP593" s="4">
        <v>257</v>
      </c>
      <c r="AQ593" s="4" t="s">
        <v>1716</v>
      </c>
      <c r="AR593" s="4" t="s">
        <v>2441</v>
      </c>
      <c r="AS593" s="4" t="s">
        <v>2257</v>
      </c>
      <c r="AT593" s="4" t="s">
        <v>2442</v>
      </c>
      <c r="AU593" s="4" t="s">
        <v>2443</v>
      </c>
      <c r="AV593" s="4" t="s">
        <v>1720</v>
      </c>
      <c r="AW593" s="4" t="s">
        <v>2368</v>
      </c>
      <c r="AY593" s="4">
        <v>52.1205</v>
      </c>
      <c r="AZ593" s="4">
        <v>-119.29810000000001</v>
      </c>
      <c r="BA593" s="4">
        <v>696</v>
      </c>
    </row>
    <row r="594" spans="1:53" ht="14.25" customHeight="1" x14ac:dyDescent="0.2">
      <c r="B594" s="6">
        <v>12</v>
      </c>
      <c r="C594" s="4" t="s">
        <v>7666</v>
      </c>
      <c r="D594" s="4">
        <v>258</v>
      </c>
      <c r="E594" s="4">
        <v>1811</v>
      </c>
      <c r="F594" s="16" t="s">
        <v>2444</v>
      </c>
      <c r="G594" s="4" t="s">
        <v>2445</v>
      </c>
      <c r="H594" s="4" t="s">
        <v>2446</v>
      </c>
      <c r="I594" s="4" t="s">
        <v>641</v>
      </c>
      <c r="J594" s="4" t="s">
        <v>1715</v>
      </c>
      <c r="K594" s="4">
        <v>1</v>
      </c>
      <c r="L594" s="4">
        <v>2214</v>
      </c>
      <c r="M594" s="9"/>
      <c r="N594" s="9"/>
      <c r="O594" s="9"/>
      <c r="P594" s="9"/>
      <c r="Q594" s="20"/>
      <c r="R594" s="9"/>
      <c r="S594" s="9"/>
      <c r="T594" s="9"/>
      <c r="U594" s="9"/>
      <c r="V594" s="9"/>
      <c r="W594" s="58"/>
      <c r="X594" s="9"/>
      <c r="Y594" s="7"/>
      <c r="AO594" s="4" t="s">
        <v>2444</v>
      </c>
      <c r="AP594" s="4">
        <v>258</v>
      </c>
      <c r="AQ594" s="4" t="s">
        <v>1716</v>
      </c>
      <c r="AR594" s="4" t="s">
        <v>1717</v>
      </c>
      <c r="AS594" s="4" t="s">
        <v>1718</v>
      </c>
      <c r="AT594" s="4" t="s">
        <v>1703</v>
      </c>
      <c r="AU594" s="4" t="s">
        <v>1703</v>
      </c>
      <c r="AV594" s="4" t="s">
        <v>1720</v>
      </c>
      <c r="AW594" s="4" t="s">
        <v>2368</v>
      </c>
      <c r="AX594" s="4" t="s">
        <v>2401</v>
      </c>
      <c r="AY594" s="4">
        <v>51.781700000000001</v>
      </c>
      <c r="AZ594" s="4">
        <v>-119.3267</v>
      </c>
      <c r="BA594" s="4">
        <v>518</v>
      </c>
    </row>
    <row r="595" spans="1:53" ht="14.25" customHeight="1" x14ac:dyDescent="0.2">
      <c r="B595" s="6">
        <v>12</v>
      </c>
      <c r="C595" s="4" t="s">
        <v>7666</v>
      </c>
      <c r="D595" s="4">
        <v>259</v>
      </c>
      <c r="E595" s="4">
        <v>1812</v>
      </c>
      <c r="F595" s="16" t="s">
        <v>2447</v>
      </c>
      <c r="G595" s="4" t="s">
        <v>2448</v>
      </c>
      <c r="H595" s="4" t="s">
        <v>2449</v>
      </c>
      <c r="I595" s="4" t="s">
        <v>1664</v>
      </c>
      <c r="J595" s="4" t="s">
        <v>1746</v>
      </c>
      <c r="K595" s="4">
        <v>1</v>
      </c>
      <c r="L595" s="4">
        <v>2215</v>
      </c>
      <c r="Y595" s="7"/>
      <c r="AO595" s="4" t="s">
        <v>2447</v>
      </c>
      <c r="AP595" s="4">
        <v>259</v>
      </c>
      <c r="AQ595" s="4" t="s">
        <v>1716</v>
      </c>
      <c r="AR595" s="4" t="s">
        <v>1717</v>
      </c>
      <c r="AS595" s="4" t="s">
        <v>1718</v>
      </c>
      <c r="AT595" s="4" t="s">
        <v>1719</v>
      </c>
      <c r="AU595" s="4" t="s">
        <v>1703</v>
      </c>
      <c r="AV595" s="4" t="s">
        <v>1720</v>
      </c>
      <c r="AW595" s="4" t="s">
        <v>2193</v>
      </c>
      <c r="AX595" s="4" t="s">
        <v>2356</v>
      </c>
      <c r="AY595" s="4">
        <v>52.1</v>
      </c>
      <c r="AZ595" s="4">
        <v>-120.9</v>
      </c>
      <c r="BA595" s="4">
        <v>15</v>
      </c>
    </row>
    <row r="596" spans="1:53" ht="14.25" customHeight="1" x14ac:dyDescent="0.2">
      <c r="B596" s="6">
        <v>12</v>
      </c>
      <c r="C596" s="4" t="s">
        <v>7666</v>
      </c>
      <c r="D596" s="4">
        <v>260</v>
      </c>
      <c r="E596" s="4">
        <v>1813</v>
      </c>
      <c r="F596" s="16" t="s">
        <v>2450</v>
      </c>
      <c r="G596" s="4" t="s">
        <v>2451</v>
      </c>
      <c r="H596" s="4" t="s">
        <v>2452</v>
      </c>
      <c r="I596" s="4" t="s">
        <v>1664</v>
      </c>
      <c r="J596" s="4" t="s">
        <v>1715</v>
      </c>
      <c r="K596" s="4">
        <v>1</v>
      </c>
      <c r="L596" s="4">
        <v>2216</v>
      </c>
      <c r="Y596" s="7"/>
      <c r="AO596" s="4" t="s">
        <v>2450</v>
      </c>
      <c r="AP596" s="4">
        <v>260</v>
      </c>
      <c r="AQ596" s="4" t="s">
        <v>1716</v>
      </c>
      <c r="AR596" s="4" t="s">
        <v>1717</v>
      </c>
      <c r="AS596" s="4" t="s">
        <v>1718</v>
      </c>
      <c r="AT596" s="4" t="s">
        <v>1703</v>
      </c>
      <c r="AU596" s="4" t="s">
        <v>1703</v>
      </c>
      <c r="AV596" s="4" t="s">
        <v>1720</v>
      </c>
      <c r="AW596" s="4" t="s">
        <v>2193</v>
      </c>
      <c r="AX596" s="4" t="s">
        <v>2194</v>
      </c>
      <c r="AY596" s="4">
        <v>53.3</v>
      </c>
      <c r="AZ596" s="4">
        <v>-121.4</v>
      </c>
      <c r="BA596" s="4">
        <v>9</v>
      </c>
    </row>
    <row r="597" spans="1:53" ht="14.25" customHeight="1" x14ac:dyDescent="0.2">
      <c r="B597" s="6">
        <v>12</v>
      </c>
      <c r="C597" s="4" t="s">
        <v>7666</v>
      </c>
      <c r="D597" s="4">
        <v>261</v>
      </c>
      <c r="E597" s="4">
        <v>1814</v>
      </c>
      <c r="F597" s="16" t="s">
        <v>2453</v>
      </c>
      <c r="G597" s="4" t="s">
        <v>2454</v>
      </c>
      <c r="H597" s="4" t="s">
        <v>2455</v>
      </c>
      <c r="I597" s="4" t="s">
        <v>641</v>
      </c>
      <c r="J597" s="4" t="s">
        <v>1715</v>
      </c>
      <c r="K597" s="4">
        <v>1</v>
      </c>
      <c r="L597" s="4">
        <v>2217</v>
      </c>
      <c r="M597" s="9"/>
      <c r="N597" s="9"/>
      <c r="O597" s="9"/>
      <c r="P597" s="9"/>
      <c r="Q597" s="20"/>
      <c r="R597" s="9"/>
      <c r="S597" s="9"/>
      <c r="T597" s="9"/>
      <c r="U597" s="9"/>
      <c r="V597" s="9"/>
      <c r="W597" s="58"/>
      <c r="X597" s="9"/>
      <c r="Y597" s="7"/>
      <c r="AO597" s="4" t="s">
        <v>2453</v>
      </c>
      <c r="AP597" s="4">
        <v>261</v>
      </c>
      <c r="AQ597" s="4" t="s">
        <v>1716</v>
      </c>
      <c r="AR597" s="4" t="s">
        <v>1717</v>
      </c>
      <c r="AS597" s="4" t="s">
        <v>1718</v>
      </c>
      <c r="AT597" s="4" t="s">
        <v>1703</v>
      </c>
      <c r="AU597" s="4" t="s">
        <v>1703</v>
      </c>
      <c r="AV597" s="4" t="s">
        <v>1720</v>
      </c>
      <c r="AW597" s="4" t="s">
        <v>2368</v>
      </c>
      <c r="AX597" s="4" t="s">
        <v>2258</v>
      </c>
      <c r="AY597" s="4">
        <v>52.6</v>
      </c>
      <c r="AZ597" s="4">
        <v>-119.2</v>
      </c>
      <c r="BA597" s="4">
        <v>10</v>
      </c>
    </row>
    <row r="598" spans="1:53" ht="14.25" customHeight="1" x14ac:dyDescent="0.2">
      <c r="B598" s="6">
        <v>12</v>
      </c>
      <c r="C598" s="4" t="s">
        <v>7666</v>
      </c>
      <c r="D598" s="4">
        <v>262</v>
      </c>
      <c r="E598" s="4">
        <v>1815</v>
      </c>
      <c r="F598" s="4" t="s">
        <v>2456</v>
      </c>
      <c r="G598" s="4" t="s">
        <v>2457</v>
      </c>
      <c r="H598" s="4" t="s">
        <v>2458</v>
      </c>
      <c r="I598" s="4" t="s">
        <v>641</v>
      </c>
      <c r="J598" s="4" t="s">
        <v>1736</v>
      </c>
      <c r="K598" s="4">
        <v>1</v>
      </c>
      <c r="L598" s="4">
        <v>2218</v>
      </c>
      <c r="M598" s="9">
        <v>53.261670000000002</v>
      </c>
      <c r="N598" s="9">
        <v>-121.76167</v>
      </c>
      <c r="O598" s="9" t="s">
        <v>170</v>
      </c>
      <c r="P598" s="9">
        <v>262</v>
      </c>
      <c r="Q598" s="20">
        <v>4</v>
      </c>
      <c r="R598" s="9" t="s">
        <v>2456</v>
      </c>
      <c r="S598" s="9" t="s">
        <v>1737</v>
      </c>
      <c r="T598" s="9">
        <v>1355</v>
      </c>
      <c r="U598" s="9" t="s">
        <v>645</v>
      </c>
      <c r="V598" s="9"/>
      <c r="W598" s="21">
        <v>31778</v>
      </c>
      <c r="X598" s="9" t="s">
        <v>1738</v>
      </c>
      <c r="Y598" s="7"/>
      <c r="AO598" s="4" t="s">
        <v>2456</v>
      </c>
      <c r="AP598" s="4">
        <v>262</v>
      </c>
      <c r="AQ598" s="4" t="s">
        <v>1716</v>
      </c>
      <c r="AR598" s="4" t="s">
        <v>1739</v>
      </c>
      <c r="AS598" s="4" t="s">
        <v>1740</v>
      </c>
      <c r="AT598" s="4" t="s">
        <v>1741</v>
      </c>
      <c r="AU598" s="4" t="s">
        <v>1742</v>
      </c>
      <c r="AV598" s="4" t="s">
        <v>1720</v>
      </c>
      <c r="AW598" s="4" t="s">
        <v>2193</v>
      </c>
      <c r="AX598" s="4" t="s">
        <v>2194</v>
      </c>
      <c r="AY598" s="4">
        <v>53.261699999999998</v>
      </c>
      <c r="AZ598" s="4">
        <v>-121.7617</v>
      </c>
      <c r="BA598" s="4">
        <v>1355</v>
      </c>
    </row>
    <row r="599" spans="1:53" ht="14.25" customHeight="1" x14ac:dyDescent="0.2">
      <c r="B599" s="6">
        <v>12</v>
      </c>
      <c r="C599" s="4" t="s">
        <v>7666</v>
      </c>
      <c r="D599" s="4">
        <v>263</v>
      </c>
      <c r="E599" s="4">
        <v>1816</v>
      </c>
      <c r="F599" s="4" t="s">
        <v>2459</v>
      </c>
      <c r="G599" s="4" t="s">
        <v>2460</v>
      </c>
      <c r="H599" s="4" t="s">
        <v>2250</v>
      </c>
      <c r="I599" s="4" t="s">
        <v>641</v>
      </c>
      <c r="J599" s="4" t="s">
        <v>1736</v>
      </c>
      <c r="K599" s="4">
        <v>1</v>
      </c>
      <c r="L599" s="4">
        <v>2219</v>
      </c>
      <c r="M599" s="9">
        <v>52.91</v>
      </c>
      <c r="N599" s="9">
        <v>-120.91167</v>
      </c>
      <c r="O599" s="9" t="s">
        <v>170</v>
      </c>
      <c r="P599" s="9">
        <v>263</v>
      </c>
      <c r="Q599" s="20">
        <v>2</v>
      </c>
      <c r="R599" s="9" t="s">
        <v>2459</v>
      </c>
      <c r="S599" s="9" t="s">
        <v>1737</v>
      </c>
      <c r="T599" s="9">
        <v>1108</v>
      </c>
      <c r="U599" s="9"/>
      <c r="V599" s="9"/>
      <c r="W599" s="21">
        <v>31778</v>
      </c>
      <c r="X599" s="9" t="s">
        <v>1738</v>
      </c>
      <c r="Y599" s="7"/>
      <c r="AO599" s="4" t="s">
        <v>2459</v>
      </c>
      <c r="AP599" s="4">
        <v>263</v>
      </c>
      <c r="AQ599" s="4" t="s">
        <v>1716</v>
      </c>
      <c r="AR599" s="4" t="s">
        <v>1739</v>
      </c>
      <c r="AS599" s="4" t="s">
        <v>1740</v>
      </c>
      <c r="AT599" s="4" t="s">
        <v>1741</v>
      </c>
      <c r="AU599" s="4" t="s">
        <v>1742</v>
      </c>
      <c r="AV599" s="4" t="s">
        <v>1720</v>
      </c>
      <c r="AW599" s="4" t="s">
        <v>2193</v>
      </c>
      <c r="AX599" s="4" t="s">
        <v>2194</v>
      </c>
      <c r="AY599" s="4">
        <v>52.91</v>
      </c>
      <c r="AZ599" s="4">
        <v>-120.9117</v>
      </c>
      <c r="BA599" s="4">
        <v>1108</v>
      </c>
    </row>
    <row r="600" spans="1:53" ht="14.25" customHeight="1" x14ac:dyDescent="0.2">
      <c r="B600" s="6">
        <v>12</v>
      </c>
      <c r="C600" s="4" t="s">
        <v>7666</v>
      </c>
      <c r="D600" s="4">
        <v>264</v>
      </c>
      <c r="E600" s="4">
        <v>1817</v>
      </c>
      <c r="F600" s="4" t="s">
        <v>2461</v>
      </c>
      <c r="G600" s="4" t="s">
        <v>2462</v>
      </c>
      <c r="H600" s="4" t="s">
        <v>2463</v>
      </c>
      <c r="I600" s="4" t="s">
        <v>641</v>
      </c>
      <c r="J600" s="4" t="s">
        <v>1736</v>
      </c>
      <c r="K600" s="4">
        <v>1</v>
      </c>
      <c r="L600" s="4">
        <v>2220</v>
      </c>
      <c r="M600" s="9">
        <v>52.391269999999999</v>
      </c>
      <c r="N600" s="9">
        <v>-120.985</v>
      </c>
      <c r="O600" s="9" t="s">
        <v>170</v>
      </c>
      <c r="P600" s="9">
        <v>264</v>
      </c>
      <c r="Q600" s="20">
        <v>2</v>
      </c>
      <c r="R600" s="9" t="s">
        <v>2461</v>
      </c>
      <c r="S600" s="9" t="s">
        <v>1737</v>
      </c>
      <c r="T600" s="9">
        <v>1015</v>
      </c>
      <c r="U600" s="9"/>
      <c r="V600" s="9"/>
      <c r="W600" s="21">
        <v>32143</v>
      </c>
      <c r="X600" s="9" t="s">
        <v>1738</v>
      </c>
      <c r="Y600" s="7"/>
      <c r="AO600" s="4" t="s">
        <v>2461</v>
      </c>
      <c r="AP600" s="4">
        <v>264</v>
      </c>
      <c r="AQ600" s="4" t="s">
        <v>1716</v>
      </c>
      <c r="AR600" s="4" t="s">
        <v>1739</v>
      </c>
      <c r="AS600" s="4" t="s">
        <v>1740</v>
      </c>
      <c r="AT600" s="4" t="s">
        <v>1741</v>
      </c>
      <c r="AU600" s="4" t="s">
        <v>1742</v>
      </c>
      <c r="AV600" s="4" t="s">
        <v>1720</v>
      </c>
      <c r="AW600" s="4" t="s">
        <v>2193</v>
      </c>
      <c r="AX600" s="4" t="s">
        <v>2356</v>
      </c>
      <c r="AY600" s="4">
        <v>52.3917</v>
      </c>
      <c r="AZ600" s="4">
        <v>-120.985</v>
      </c>
      <c r="BA600" s="4">
        <v>1015</v>
      </c>
    </row>
    <row r="601" spans="1:53" ht="14.25" customHeight="1" x14ac:dyDescent="0.2">
      <c r="B601" s="59">
        <v>12</v>
      </c>
      <c r="C601" s="60" t="s">
        <v>7666</v>
      </c>
      <c r="D601" s="60">
        <v>265</v>
      </c>
      <c r="E601" s="60">
        <v>1818</v>
      </c>
      <c r="F601" s="61" t="s">
        <v>2464</v>
      </c>
      <c r="G601" s="60" t="s">
        <v>2465</v>
      </c>
      <c r="H601" s="60" t="s">
        <v>2466</v>
      </c>
      <c r="I601" s="60" t="s">
        <v>641</v>
      </c>
      <c r="J601" s="60" t="s">
        <v>1715</v>
      </c>
      <c r="K601" s="60">
        <v>1</v>
      </c>
      <c r="L601" s="4">
        <v>2221</v>
      </c>
      <c r="N601" s="60"/>
      <c r="O601" s="60"/>
      <c r="P601" s="60"/>
      <c r="Q601" s="60"/>
      <c r="R601" s="60"/>
      <c r="S601" s="60"/>
      <c r="T601" s="60"/>
      <c r="U601" s="60"/>
      <c r="V601" s="60"/>
      <c r="W601" s="60"/>
      <c r="X601" s="60"/>
      <c r="Y601" s="7"/>
      <c r="AO601" s="4" t="s">
        <v>2464</v>
      </c>
      <c r="AP601" s="4">
        <v>265</v>
      </c>
      <c r="AQ601" s="4" t="s">
        <v>1716</v>
      </c>
      <c r="AR601" s="4" t="s">
        <v>1717</v>
      </c>
      <c r="AS601" s="4" t="s">
        <v>1718</v>
      </c>
      <c r="AT601" s="4" t="s">
        <v>1703</v>
      </c>
      <c r="AU601" s="4" t="s">
        <v>1703</v>
      </c>
      <c r="AV601" s="4" t="s">
        <v>1720</v>
      </c>
      <c r="AW601" s="4" t="s">
        <v>2368</v>
      </c>
      <c r="AX601" s="4" t="s">
        <v>2258</v>
      </c>
      <c r="AY601" s="4">
        <v>52.546700000000001</v>
      </c>
      <c r="AZ601" s="4">
        <v>-119.495</v>
      </c>
      <c r="BA601" s="4">
        <v>914</v>
      </c>
    </row>
    <row r="602" spans="1:53" ht="14.25" customHeight="1" x14ac:dyDescent="0.2">
      <c r="A602" s="4" t="s">
        <v>88</v>
      </c>
      <c r="B602" s="4">
        <v>12</v>
      </c>
      <c r="C602" s="4" t="s">
        <v>7666</v>
      </c>
      <c r="D602" s="4">
        <v>266</v>
      </c>
      <c r="E602" s="4">
        <v>1819</v>
      </c>
      <c r="F602" s="4" t="s">
        <v>2467</v>
      </c>
      <c r="G602" s="8" t="s">
        <v>2468</v>
      </c>
      <c r="H602" s="4" t="s">
        <v>2469</v>
      </c>
      <c r="I602" s="4" t="s">
        <v>641</v>
      </c>
      <c r="J602" s="4" t="s">
        <v>1865</v>
      </c>
      <c r="K602" s="4">
        <v>1</v>
      </c>
      <c r="L602" s="4">
        <v>2222</v>
      </c>
      <c r="M602" s="4">
        <v>52.34263</v>
      </c>
      <c r="N602" s="4">
        <v>-120.24375000000001</v>
      </c>
      <c r="O602" s="4" t="s">
        <v>170</v>
      </c>
      <c r="P602" s="4">
        <v>266</v>
      </c>
      <c r="Q602" s="4">
        <v>2</v>
      </c>
      <c r="R602" s="4" t="s">
        <v>2467</v>
      </c>
      <c r="S602" s="4" t="s">
        <v>1737</v>
      </c>
      <c r="T602" s="4">
        <v>959</v>
      </c>
      <c r="W602" s="4">
        <v>34335</v>
      </c>
      <c r="X602" s="4" t="s">
        <v>1738</v>
      </c>
      <c r="AO602" s="4" t="s">
        <v>2467</v>
      </c>
      <c r="AP602" s="4">
        <v>266</v>
      </c>
      <c r="AQ602" s="4" t="s">
        <v>1716</v>
      </c>
      <c r="AR602" s="4" t="s">
        <v>1739</v>
      </c>
      <c r="AS602" s="4" t="s">
        <v>1740</v>
      </c>
      <c r="AT602" s="4" t="s">
        <v>1741</v>
      </c>
      <c r="AU602" s="4" t="s">
        <v>1742</v>
      </c>
      <c r="AV602" s="4" t="s">
        <v>1720</v>
      </c>
      <c r="AW602" s="4" t="s">
        <v>2368</v>
      </c>
      <c r="AX602" s="4" t="s">
        <v>2369</v>
      </c>
      <c r="AY602" s="4">
        <v>52.342500000000001</v>
      </c>
      <c r="AZ602" s="4">
        <v>-120.24339999999999</v>
      </c>
      <c r="BA602" s="4">
        <v>958</v>
      </c>
    </row>
    <row r="603" spans="1:53" ht="14.25" customHeight="1" x14ac:dyDescent="0.2">
      <c r="A603" s="4" t="s">
        <v>88</v>
      </c>
      <c r="B603" s="4">
        <v>12</v>
      </c>
      <c r="C603" s="4" t="s">
        <v>7666</v>
      </c>
      <c r="D603" s="4">
        <v>267</v>
      </c>
      <c r="E603" s="4">
        <v>1820</v>
      </c>
      <c r="F603" s="4" t="s">
        <v>2470</v>
      </c>
      <c r="G603" s="8" t="s">
        <v>2471</v>
      </c>
      <c r="H603" s="4" t="s">
        <v>2472</v>
      </c>
      <c r="I603" s="4" t="s">
        <v>641</v>
      </c>
      <c r="J603" s="4" t="s">
        <v>1865</v>
      </c>
      <c r="K603" s="4">
        <v>1</v>
      </c>
      <c r="L603" s="4">
        <v>2223</v>
      </c>
      <c r="M603" s="4">
        <v>51.978769999999997</v>
      </c>
      <c r="N603" s="4">
        <v>-119.41338</v>
      </c>
      <c r="O603" s="4" t="s">
        <v>170</v>
      </c>
      <c r="P603" s="4">
        <v>267</v>
      </c>
      <c r="Q603" s="4">
        <v>4</v>
      </c>
      <c r="R603" s="4" t="s">
        <v>2470</v>
      </c>
      <c r="S603" s="4" t="s">
        <v>1737</v>
      </c>
      <c r="T603" s="4">
        <v>1478</v>
      </c>
      <c r="W603" s="4">
        <v>33239</v>
      </c>
      <c r="X603" s="4" t="s">
        <v>1738</v>
      </c>
      <c r="AO603" s="4" t="s">
        <v>2470</v>
      </c>
      <c r="AP603" s="4">
        <v>267</v>
      </c>
      <c r="AQ603" s="4" t="s">
        <v>1716</v>
      </c>
      <c r="AR603" s="4" t="s">
        <v>1739</v>
      </c>
      <c r="AS603" s="4" t="s">
        <v>1740</v>
      </c>
      <c r="AT603" s="4" t="s">
        <v>1741</v>
      </c>
      <c r="AU603" s="4" t="s">
        <v>1742</v>
      </c>
      <c r="AV603" s="4" t="s">
        <v>1720</v>
      </c>
      <c r="AW603" s="4" t="s">
        <v>2368</v>
      </c>
      <c r="AX603" s="4" t="s">
        <v>2369</v>
      </c>
      <c r="AY603" s="4">
        <v>51.9788</v>
      </c>
      <c r="AZ603" s="4">
        <v>-119.4134</v>
      </c>
      <c r="BA603" s="4">
        <v>1469</v>
      </c>
    </row>
    <row r="604" spans="1:53" ht="14.25" customHeight="1" x14ac:dyDescent="0.2">
      <c r="B604" s="4">
        <v>12</v>
      </c>
      <c r="C604" s="4" t="s">
        <v>7666</v>
      </c>
      <c r="D604" s="4">
        <v>268</v>
      </c>
      <c r="E604" s="4">
        <v>1821</v>
      </c>
      <c r="F604" s="16" t="s">
        <v>2473</v>
      </c>
      <c r="G604" s="4" t="s">
        <v>2474</v>
      </c>
      <c r="H604" s="4" t="s">
        <v>2475</v>
      </c>
      <c r="I604" s="4" t="s">
        <v>641</v>
      </c>
      <c r="J604" s="4" t="s">
        <v>1715</v>
      </c>
      <c r="K604" s="4">
        <v>1</v>
      </c>
      <c r="L604" s="4">
        <v>2224</v>
      </c>
      <c r="AO604" s="4" t="s">
        <v>2473</v>
      </c>
      <c r="AP604" s="4">
        <v>268</v>
      </c>
      <c r="AQ604" s="4" t="s">
        <v>1716</v>
      </c>
      <c r="AR604" s="4" t="s">
        <v>1717</v>
      </c>
      <c r="AS604" s="4" t="s">
        <v>1718</v>
      </c>
      <c r="AT604" s="4" t="s">
        <v>1703</v>
      </c>
      <c r="AU604" s="4" t="s">
        <v>1703</v>
      </c>
      <c r="AV604" s="4" t="s">
        <v>1720</v>
      </c>
      <c r="AW604" s="4" t="s">
        <v>2368</v>
      </c>
      <c r="AX604" s="4" t="s">
        <v>2401</v>
      </c>
      <c r="AY604" s="4">
        <v>51.833300000000001</v>
      </c>
      <c r="AZ604" s="4">
        <v>-119.1367</v>
      </c>
      <c r="BA604" s="4">
        <v>975</v>
      </c>
    </row>
    <row r="605" spans="1:53" ht="14.25" customHeight="1" x14ac:dyDescent="0.2">
      <c r="B605" s="4">
        <v>12</v>
      </c>
      <c r="C605" s="4" t="s">
        <v>7666</v>
      </c>
      <c r="D605" s="4">
        <v>269</v>
      </c>
      <c r="E605" s="4">
        <v>1822</v>
      </c>
      <c r="F605" s="16" t="s">
        <v>2476</v>
      </c>
      <c r="G605" s="4" t="s">
        <v>2477</v>
      </c>
      <c r="H605" s="4" t="s">
        <v>2478</v>
      </c>
      <c r="I605" s="4" t="s">
        <v>641</v>
      </c>
      <c r="J605" s="4" t="s">
        <v>1715</v>
      </c>
      <c r="K605" s="4">
        <v>1</v>
      </c>
      <c r="L605" s="4">
        <v>2225</v>
      </c>
      <c r="AO605" s="4" t="s">
        <v>2476</v>
      </c>
      <c r="AP605" s="4">
        <v>269</v>
      </c>
      <c r="AQ605" s="4" t="s">
        <v>1716</v>
      </c>
      <c r="AR605" s="4" t="s">
        <v>1717</v>
      </c>
      <c r="AS605" s="4" t="s">
        <v>1718</v>
      </c>
      <c r="AT605" s="4" t="s">
        <v>1703</v>
      </c>
      <c r="AU605" s="4" t="s">
        <v>1703</v>
      </c>
      <c r="AV605" s="4" t="s">
        <v>1720</v>
      </c>
      <c r="AW605" s="4" t="s">
        <v>2368</v>
      </c>
      <c r="AX605" s="4" t="s">
        <v>2401</v>
      </c>
      <c r="AY605" s="4">
        <v>51.816699999999997</v>
      </c>
      <c r="AZ605" s="4">
        <v>-119.6567</v>
      </c>
      <c r="BA605" s="4">
        <v>701</v>
      </c>
    </row>
    <row r="606" spans="1:53" ht="14.25" customHeight="1" x14ac:dyDescent="0.2">
      <c r="A606" s="4" t="s">
        <v>88</v>
      </c>
      <c r="B606" s="4">
        <v>12</v>
      </c>
      <c r="C606" s="4" t="s">
        <v>7666</v>
      </c>
      <c r="D606" s="4">
        <v>270</v>
      </c>
      <c r="E606" s="4">
        <v>1823</v>
      </c>
      <c r="F606" s="4" t="s">
        <v>2479</v>
      </c>
      <c r="G606" s="8" t="s">
        <v>2480</v>
      </c>
      <c r="H606" s="4" t="s">
        <v>2481</v>
      </c>
      <c r="I606" s="4" t="s">
        <v>641</v>
      </c>
      <c r="J606" s="4" t="s">
        <v>1865</v>
      </c>
      <c r="K606" s="4">
        <v>1</v>
      </c>
      <c r="L606" s="4">
        <v>2226</v>
      </c>
      <c r="M606" s="4">
        <v>52.452599999999997</v>
      </c>
      <c r="N606" s="4">
        <v>-119.17533</v>
      </c>
      <c r="O606" s="4" t="s">
        <v>170</v>
      </c>
      <c r="P606" s="4">
        <v>270</v>
      </c>
      <c r="Q606" s="4">
        <v>6</v>
      </c>
      <c r="R606" s="4" t="s">
        <v>2479</v>
      </c>
      <c r="S606" s="4" t="s">
        <v>1737</v>
      </c>
      <c r="T606" s="4">
        <v>1873</v>
      </c>
      <c r="U606" s="4" t="s">
        <v>645</v>
      </c>
      <c r="W606" s="4">
        <v>35065</v>
      </c>
      <c r="X606" s="4" t="s">
        <v>1738</v>
      </c>
      <c r="AO606" s="4" t="s">
        <v>2479</v>
      </c>
      <c r="AP606" s="4">
        <v>270</v>
      </c>
      <c r="AQ606" s="4" t="s">
        <v>1716</v>
      </c>
      <c r="AR606" s="4" t="s">
        <v>1739</v>
      </c>
      <c r="AS606" s="4" t="s">
        <v>1740</v>
      </c>
      <c r="AT606" s="4" t="s">
        <v>1835</v>
      </c>
      <c r="AU606" s="4" t="s">
        <v>1959</v>
      </c>
      <c r="AV606" s="4" t="s">
        <v>1720</v>
      </c>
      <c r="AW606" s="4" t="s">
        <v>2003</v>
      </c>
      <c r="AX606" s="4" t="s">
        <v>2258</v>
      </c>
      <c r="AY606" s="4">
        <v>52.452599999999997</v>
      </c>
      <c r="AZ606" s="4">
        <v>-119.17529999999999</v>
      </c>
      <c r="BA606" s="4">
        <v>1873</v>
      </c>
    </row>
    <row r="607" spans="1:53" ht="14.25" customHeight="1" x14ac:dyDescent="0.2">
      <c r="B607" s="4">
        <v>12</v>
      </c>
      <c r="C607" s="4" t="s">
        <v>7666</v>
      </c>
      <c r="D607" s="4">
        <v>271</v>
      </c>
      <c r="E607" s="4">
        <v>1824</v>
      </c>
      <c r="F607" s="4" t="s">
        <v>2482</v>
      </c>
      <c r="G607" s="4" t="s">
        <v>2483</v>
      </c>
      <c r="H607" s="4" t="s">
        <v>2484</v>
      </c>
      <c r="I607" s="4" t="s">
        <v>641</v>
      </c>
      <c r="J607" s="4" t="s">
        <v>1715</v>
      </c>
      <c r="K607" s="4">
        <v>1</v>
      </c>
      <c r="L607" s="4">
        <v>2227</v>
      </c>
      <c r="AO607" s="4" t="s">
        <v>2485</v>
      </c>
      <c r="AP607" s="4">
        <v>271</v>
      </c>
      <c r="AQ607" s="4" t="s">
        <v>1716</v>
      </c>
      <c r="AR607" s="4" t="s">
        <v>1717</v>
      </c>
      <c r="AS607" s="4" t="s">
        <v>1718</v>
      </c>
      <c r="AT607" s="4" t="s">
        <v>1835</v>
      </c>
      <c r="AU607" s="4" t="s">
        <v>2162</v>
      </c>
      <c r="AV607" s="4" t="s">
        <v>1720</v>
      </c>
      <c r="AW607" s="4" t="s">
        <v>2193</v>
      </c>
      <c r="AX607" s="4" t="s">
        <v>2356</v>
      </c>
      <c r="AY607" s="4">
        <v>52.625</v>
      </c>
      <c r="AZ607" s="4">
        <v>-120.3583</v>
      </c>
      <c r="BA607" s="4">
        <v>910</v>
      </c>
    </row>
    <row r="608" spans="1:53" ht="14.25" customHeight="1" x14ac:dyDescent="0.2">
      <c r="B608" s="4">
        <v>12</v>
      </c>
      <c r="C608" s="4" t="s">
        <v>7666</v>
      </c>
      <c r="D608" s="4">
        <v>272</v>
      </c>
      <c r="E608" s="4">
        <v>1825</v>
      </c>
      <c r="F608" s="16" t="s">
        <v>2486</v>
      </c>
      <c r="G608" s="4" t="s">
        <v>2487</v>
      </c>
      <c r="H608" s="4" t="s">
        <v>2488</v>
      </c>
      <c r="I608" s="4" t="s">
        <v>641</v>
      </c>
      <c r="J608" s="4" t="s">
        <v>1715</v>
      </c>
      <c r="K608" s="4">
        <v>1</v>
      </c>
      <c r="L608" s="4">
        <v>2228</v>
      </c>
      <c r="M608" s="6"/>
      <c r="AK608" s="7"/>
      <c r="AO608" s="4" t="s">
        <v>2486</v>
      </c>
      <c r="AP608" s="4">
        <v>272</v>
      </c>
      <c r="AQ608" s="4" t="s">
        <v>1716</v>
      </c>
      <c r="AR608" s="4" t="s">
        <v>1717</v>
      </c>
      <c r="AS608" s="4" t="s">
        <v>1718</v>
      </c>
      <c r="AT608" s="4" t="s">
        <v>1719</v>
      </c>
      <c r="AU608" s="4" t="s">
        <v>2489</v>
      </c>
      <c r="AV608" s="4" t="s">
        <v>1720</v>
      </c>
      <c r="AW608" s="4" t="s">
        <v>2368</v>
      </c>
      <c r="AX608" s="4" t="s">
        <v>2401</v>
      </c>
      <c r="AY608" s="4">
        <v>51.875</v>
      </c>
      <c r="AZ608" s="4">
        <v>-119.2167</v>
      </c>
      <c r="BA608" s="4">
        <v>2133</v>
      </c>
    </row>
    <row r="609" spans="1:53" ht="14.25" customHeight="1" x14ac:dyDescent="0.2">
      <c r="B609" s="4">
        <v>12</v>
      </c>
      <c r="C609" s="4" t="s">
        <v>7666</v>
      </c>
      <c r="D609" s="4">
        <v>273</v>
      </c>
      <c r="E609" s="4">
        <v>1826</v>
      </c>
      <c r="F609" s="16" t="s">
        <v>2490</v>
      </c>
      <c r="G609" s="4" t="s">
        <v>2491</v>
      </c>
      <c r="H609" s="4" t="s">
        <v>1714</v>
      </c>
      <c r="I609" s="4" t="s">
        <v>1664</v>
      </c>
      <c r="J609" s="4" t="s">
        <v>1715</v>
      </c>
      <c r="K609" s="4">
        <v>1</v>
      </c>
      <c r="L609" s="4">
        <v>2229</v>
      </c>
      <c r="M609" s="6"/>
      <c r="AK609" s="7"/>
      <c r="AO609" s="4" t="s">
        <v>2490</v>
      </c>
      <c r="AP609" s="4">
        <v>273</v>
      </c>
      <c r="AQ609" s="4" t="s">
        <v>1716</v>
      </c>
      <c r="AR609" s="4" t="s">
        <v>1717</v>
      </c>
      <c r="AS609" s="4" t="s">
        <v>1718</v>
      </c>
      <c r="AT609" s="4" t="s">
        <v>1719</v>
      </c>
      <c r="AU609" s="4" t="s">
        <v>1703</v>
      </c>
      <c r="AV609" s="4" t="s">
        <v>1720</v>
      </c>
      <c r="AW609" s="4" t="s">
        <v>2368</v>
      </c>
      <c r="AX609" s="4" t="s">
        <v>2492</v>
      </c>
      <c r="AY609" s="4">
        <v>50.1</v>
      </c>
      <c r="AZ609" s="4">
        <v>-120.4</v>
      </c>
      <c r="BA609" s="4">
        <v>15</v>
      </c>
    </row>
    <row r="610" spans="1:53" ht="14.25" customHeight="1" x14ac:dyDescent="0.2">
      <c r="B610" s="4">
        <v>12</v>
      </c>
      <c r="C610" s="4" t="s">
        <v>7666</v>
      </c>
      <c r="D610" s="4">
        <v>275</v>
      </c>
      <c r="E610" s="4">
        <v>1827</v>
      </c>
      <c r="F610" s="16" t="s">
        <v>2493</v>
      </c>
      <c r="G610" s="4" t="s">
        <v>2494</v>
      </c>
      <c r="H610" s="4" t="s">
        <v>2495</v>
      </c>
      <c r="I610" s="4" t="s">
        <v>1664</v>
      </c>
      <c r="J610" s="4" t="s">
        <v>1715</v>
      </c>
      <c r="K610" s="4">
        <v>1</v>
      </c>
      <c r="L610" s="4">
        <v>2230</v>
      </c>
      <c r="M610" s="6"/>
      <c r="AK610" s="7"/>
      <c r="AO610" s="4" t="s">
        <v>2493</v>
      </c>
      <c r="AP610" s="4">
        <v>275</v>
      </c>
      <c r="AQ610" s="4" t="s">
        <v>1716</v>
      </c>
      <c r="AR610" s="4" t="s">
        <v>1717</v>
      </c>
      <c r="AS610" s="4" t="s">
        <v>1718</v>
      </c>
      <c r="AT610" s="4" t="s">
        <v>1719</v>
      </c>
      <c r="AU610" s="4" t="s">
        <v>1703</v>
      </c>
      <c r="AV610" s="4" t="s">
        <v>1720</v>
      </c>
      <c r="AW610" s="4" t="s">
        <v>2368</v>
      </c>
      <c r="AX610" s="4" t="s">
        <v>2369</v>
      </c>
      <c r="AY610" s="4">
        <v>50.7</v>
      </c>
      <c r="AZ610" s="4">
        <v>-120.3</v>
      </c>
      <c r="BA610" s="4">
        <v>3</v>
      </c>
    </row>
    <row r="611" spans="1:53" ht="14.25" customHeight="1" x14ac:dyDescent="0.2">
      <c r="B611" s="4">
        <v>12</v>
      </c>
      <c r="C611" s="4" t="s">
        <v>7666</v>
      </c>
      <c r="D611" s="4">
        <v>278</v>
      </c>
      <c r="E611" s="4">
        <v>1828</v>
      </c>
      <c r="F611" s="16" t="s">
        <v>2496</v>
      </c>
      <c r="G611" s="4" t="s">
        <v>2497</v>
      </c>
      <c r="H611" s="4" t="s">
        <v>2498</v>
      </c>
      <c r="I611" s="4" t="s">
        <v>641</v>
      </c>
      <c r="J611" s="4" t="s">
        <v>1715</v>
      </c>
      <c r="K611" s="4">
        <v>1</v>
      </c>
      <c r="L611" s="4">
        <v>2231</v>
      </c>
      <c r="M611" s="6"/>
      <c r="AK611" s="7"/>
      <c r="AO611" s="4" t="s">
        <v>2496</v>
      </c>
      <c r="AP611" s="4">
        <v>278</v>
      </c>
      <c r="AQ611" s="4" t="s">
        <v>1716</v>
      </c>
      <c r="AR611" s="4" t="s">
        <v>1717</v>
      </c>
      <c r="AS611" s="4" t="s">
        <v>1718</v>
      </c>
      <c r="AT611" s="4" t="s">
        <v>1703</v>
      </c>
      <c r="AU611" s="4" t="s">
        <v>1703</v>
      </c>
      <c r="AV611" s="4" t="s">
        <v>1720</v>
      </c>
      <c r="AW611" s="4" t="s">
        <v>2368</v>
      </c>
      <c r="AX611" s="4" t="s">
        <v>2492</v>
      </c>
      <c r="AY611" s="4">
        <v>49.323300000000003</v>
      </c>
      <c r="AZ611" s="4">
        <v>-120.795</v>
      </c>
      <c r="BA611" s="4">
        <v>1615</v>
      </c>
    </row>
    <row r="612" spans="1:53" ht="14.25" customHeight="1" x14ac:dyDescent="0.2">
      <c r="A612" s="4" t="s">
        <v>88</v>
      </c>
      <c r="B612" s="4">
        <v>12</v>
      </c>
      <c r="C612" s="4" t="s">
        <v>7666</v>
      </c>
      <c r="D612" s="4">
        <v>279</v>
      </c>
      <c r="E612" s="4">
        <v>1829</v>
      </c>
      <c r="F612" s="4" t="s">
        <v>2499</v>
      </c>
      <c r="G612" s="8" t="s">
        <v>2500</v>
      </c>
      <c r="H612" s="4" t="s">
        <v>2501</v>
      </c>
      <c r="I612" s="4" t="s">
        <v>641</v>
      </c>
      <c r="J612" s="4" t="s">
        <v>1736</v>
      </c>
      <c r="K612" s="4">
        <v>1</v>
      </c>
      <c r="L612" s="4">
        <v>2232</v>
      </c>
      <c r="M612" s="6">
        <v>49.715150000000001</v>
      </c>
      <c r="N612" s="4">
        <v>-120.86605</v>
      </c>
      <c r="O612" s="4" t="s">
        <v>142</v>
      </c>
      <c r="P612" s="4">
        <v>279</v>
      </c>
      <c r="Q612" s="4">
        <v>5</v>
      </c>
      <c r="R612" s="4" t="s">
        <v>2499</v>
      </c>
      <c r="S612" s="4" t="s">
        <v>1737</v>
      </c>
      <c r="T612" s="4">
        <v>1407</v>
      </c>
      <c r="W612" s="4">
        <v>28126</v>
      </c>
      <c r="X612" s="4" t="s">
        <v>1738</v>
      </c>
      <c r="AK612" s="7"/>
      <c r="AO612" s="4" t="s">
        <v>2499</v>
      </c>
      <c r="AP612" s="4">
        <v>279</v>
      </c>
      <c r="AQ612" s="4" t="s">
        <v>1700</v>
      </c>
      <c r="AR612" s="4" t="s">
        <v>1739</v>
      </c>
      <c r="AS612" s="4" t="s">
        <v>1740</v>
      </c>
      <c r="AT612" s="4" t="s">
        <v>1741</v>
      </c>
      <c r="AU612" s="4" t="s">
        <v>1959</v>
      </c>
      <c r="AV612" s="4" t="s">
        <v>1720</v>
      </c>
      <c r="AW612" s="4" t="s">
        <v>2368</v>
      </c>
      <c r="AX612" s="4" t="s">
        <v>2492</v>
      </c>
      <c r="AY612" s="4">
        <v>49.715200000000003</v>
      </c>
      <c r="AZ612" s="4">
        <v>-120.866</v>
      </c>
      <c r="BA612" s="4">
        <v>1407</v>
      </c>
    </row>
    <row r="613" spans="1:53" ht="14.25" customHeight="1" x14ac:dyDescent="0.2">
      <c r="A613" s="4" t="s">
        <v>88</v>
      </c>
      <c r="B613" s="4">
        <v>12</v>
      </c>
      <c r="C613" s="4" t="s">
        <v>7666</v>
      </c>
      <c r="D613" s="4">
        <v>280</v>
      </c>
      <c r="E613" s="4">
        <v>1830</v>
      </c>
      <c r="F613" s="4" t="s">
        <v>2502</v>
      </c>
      <c r="G613" s="8" t="s">
        <v>2503</v>
      </c>
      <c r="H613" s="4" t="s">
        <v>2504</v>
      </c>
      <c r="I613" s="4" t="s">
        <v>641</v>
      </c>
      <c r="J613" s="4" t="s">
        <v>1736</v>
      </c>
      <c r="K613" s="4">
        <v>1</v>
      </c>
      <c r="L613" s="4">
        <v>2233</v>
      </c>
      <c r="M613" s="6">
        <v>50.672020000000003</v>
      </c>
      <c r="N613" s="4">
        <v>-121.88818000000001</v>
      </c>
      <c r="O613" s="4" t="s">
        <v>142</v>
      </c>
      <c r="P613" s="4">
        <v>280</v>
      </c>
      <c r="Q613" s="4">
        <v>1</v>
      </c>
      <c r="R613" s="4" t="s">
        <v>2502</v>
      </c>
      <c r="S613" s="4" t="s">
        <v>1737</v>
      </c>
      <c r="T613" s="4">
        <v>408</v>
      </c>
      <c r="U613" s="4" t="s">
        <v>645</v>
      </c>
      <c r="V613" s="4" t="s">
        <v>1830</v>
      </c>
      <c r="W613" s="4">
        <v>28126</v>
      </c>
      <c r="X613" s="4" t="s">
        <v>1738</v>
      </c>
      <c r="AK613" s="7"/>
      <c r="AO613" s="4" t="s">
        <v>2502</v>
      </c>
      <c r="AP613" s="4">
        <v>280</v>
      </c>
      <c r="AQ613" s="4" t="s">
        <v>1700</v>
      </c>
      <c r="AR613" s="4" t="s">
        <v>1739</v>
      </c>
      <c r="AS613" s="4" t="s">
        <v>1740</v>
      </c>
      <c r="AT613" s="4" t="s">
        <v>1741</v>
      </c>
      <c r="AU613" s="4" t="s">
        <v>1772</v>
      </c>
      <c r="AV613" s="4" t="s">
        <v>1720</v>
      </c>
      <c r="AW613" s="4" t="s">
        <v>2368</v>
      </c>
      <c r="AX613" s="4" t="s">
        <v>2505</v>
      </c>
      <c r="AY613" s="4">
        <v>50.671999999999997</v>
      </c>
      <c r="AZ613" s="4">
        <v>-121.8882</v>
      </c>
      <c r="BA613" s="4">
        <v>408</v>
      </c>
    </row>
    <row r="614" spans="1:53" ht="14.25" customHeight="1" x14ac:dyDescent="0.2">
      <c r="A614" s="4" t="s">
        <v>88</v>
      </c>
      <c r="B614" s="4">
        <v>12</v>
      </c>
      <c r="C614" s="4" t="s">
        <v>7666</v>
      </c>
      <c r="D614" s="4">
        <v>281</v>
      </c>
      <c r="E614" s="4">
        <v>1831</v>
      </c>
      <c r="F614" s="4" t="s">
        <v>2506</v>
      </c>
      <c r="G614" s="8" t="s">
        <v>2507</v>
      </c>
      <c r="H614" s="4" t="s">
        <v>2508</v>
      </c>
      <c r="I614" s="4" t="s">
        <v>641</v>
      </c>
      <c r="J614" s="4" t="s">
        <v>1715</v>
      </c>
      <c r="K614" s="4">
        <v>1</v>
      </c>
      <c r="L614" s="4">
        <v>2234</v>
      </c>
      <c r="M614" s="6"/>
      <c r="AK614" s="7"/>
      <c r="AO614" s="4" t="s">
        <v>2509</v>
      </c>
      <c r="AP614" s="4">
        <v>281</v>
      </c>
      <c r="AQ614" s="4" t="s">
        <v>1716</v>
      </c>
      <c r="AR614" s="4" t="s">
        <v>1717</v>
      </c>
      <c r="AS614" s="4" t="s">
        <v>1718</v>
      </c>
      <c r="AT614" s="4" t="s">
        <v>1841</v>
      </c>
      <c r="AU614" s="4" t="s">
        <v>1959</v>
      </c>
      <c r="AV614" s="4" t="s">
        <v>1720</v>
      </c>
      <c r="AW614" s="4" t="s">
        <v>2368</v>
      </c>
      <c r="AX614" s="4" t="s">
        <v>2505</v>
      </c>
      <c r="AY614" s="4">
        <v>50.4</v>
      </c>
      <c r="AZ614" s="4">
        <v>-121.5698</v>
      </c>
      <c r="BA614" s="4">
        <v>1586</v>
      </c>
    </row>
    <row r="615" spans="1:53" ht="14.25" customHeight="1" x14ac:dyDescent="0.2">
      <c r="B615" s="4">
        <v>12</v>
      </c>
      <c r="C615" s="4" t="s">
        <v>7666</v>
      </c>
      <c r="D615" s="4">
        <v>282</v>
      </c>
      <c r="E615" s="4">
        <v>1832</v>
      </c>
      <c r="F615" s="16" t="s">
        <v>2510</v>
      </c>
      <c r="G615" s="4" t="s">
        <v>2511</v>
      </c>
      <c r="H615" s="4" t="s">
        <v>2512</v>
      </c>
      <c r="I615" s="4" t="s">
        <v>641</v>
      </c>
      <c r="J615" s="4" t="s">
        <v>1715</v>
      </c>
      <c r="K615" s="4">
        <v>1</v>
      </c>
      <c r="L615" s="4">
        <v>2235</v>
      </c>
      <c r="M615" s="6"/>
      <c r="AK615" s="7"/>
      <c r="AO615" s="4" t="s">
        <v>2510</v>
      </c>
      <c r="AP615" s="4">
        <v>282</v>
      </c>
      <c r="AQ615" s="4" t="s">
        <v>1716</v>
      </c>
      <c r="AR615" s="4" t="s">
        <v>1717</v>
      </c>
      <c r="AS615" s="4" t="s">
        <v>1718</v>
      </c>
      <c r="AT615" s="4" t="s">
        <v>1703</v>
      </c>
      <c r="AU615" s="4" t="s">
        <v>1703</v>
      </c>
      <c r="AV615" s="4" t="s">
        <v>1720</v>
      </c>
      <c r="AW615" s="4" t="s">
        <v>2368</v>
      </c>
      <c r="AX615" s="4" t="s">
        <v>2492</v>
      </c>
      <c r="AY615" s="4">
        <v>49.7667</v>
      </c>
      <c r="AZ615" s="4">
        <v>-120.4217</v>
      </c>
      <c r="BA615" s="4">
        <v>1341</v>
      </c>
    </row>
    <row r="616" spans="1:53" ht="14.25" customHeight="1" x14ac:dyDescent="0.2">
      <c r="A616" s="4" t="s">
        <v>88</v>
      </c>
      <c r="B616" s="4">
        <v>12</v>
      </c>
      <c r="C616" s="4" t="s">
        <v>7666</v>
      </c>
      <c r="D616" s="4">
        <v>283</v>
      </c>
      <c r="E616" s="4">
        <v>1833</v>
      </c>
      <c r="F616" s="4" t="s">
        <v>2513</v>
      </c>
      <c r="G616" s="8" t="s">
        <v>2514</v>
      </c>
      <c r="H616" s="4" t="s">
        <v>2515</v>
      </c>
      <c r="I616" s="4" t="s">
        <v>641</v>
      </c>
      <c r="J616" s="4" t="s">
        <v>1865</v>
      </c>
      <c r="K616" s="4">
        <v>1</v>
      </c>
      <c r="L616" s="4">
        <v>2236</v>
      </c>
      <c r="M616" s="6">
        <v>49.86842</v>
      </c>
      <c r="N616" s="4">
        <v>-119.99252</v>
      </c>
      <c r="O616" s="4" t="s">
        <v>142</v>
      </c>
      <c r="P616" s="4">
        <v>283</v>
      </c>
      <c r="Q616" s="4">
        <v>6</v>
      </c>
      <c r="R616" s="4" t="s">
        <v>2513</v>
      </c>
      <c r="S616" s="4" t="s">
        <v>1737</v>
      </c>
      <c r="T616" s="4">
        <v>1476</v>
      </c>
      <c r="W616" s="4">
        <v>28126</v>
      </c>
      <c r="X616" s="4" t="s">
        <v>1738</v>
      </c>
      <c r="AK616" s="7"/>
      <c r="AO616" s="4" t="s">
        <v>2513</v>
      </c>
      <c r="AP616" s="4">
        <v>283</v>
      </c>
      <c r="AQ616" s="4" t="s">
        <v>1700</v>
      </c>
      <c r="AR616" s="4" t="s">
        <v>1739</v>
      </c>
      <c r="AS616" s="4" t="s">
        <v>1740</v>
      </c>
      <c r="AT616" s="4" t="s">
        <v>1835</v>
      </c>
      <c r="AU616" s="4" t="s">
        <v>1959</v>
      </c>
      <c r="AV616" s="4" t="s">
        <v>1720</v>
      </c>
      <c r="AW616" s="4" t="s">
        <v>2368</v>
      </c>
      <c r="AX616" s="4" t="s">
        <v>2516</v>
      </c>
      <c r="AY616" s="4">
        <v>49.868400000000001</v>
      </c>
      <c r="AZ616" s="4">
        <v>-119.99250000000001</v>
      </c>
      <c r="BA616" s="4">
        <v>1463</v>
      </c>
    </row>
    <row r="617" spans="1:53" ht="14.25" customHeight="1" x14ac:dyDescent="0.2">
      <c r="B617" s="4">
        <v>12</v>
      </c>
      <c r="C617" s="4" t="s">
        <v>7666</v>
      </c>
      <c r="D617" s="4">
        <v>284</v>
      </c>
      <c r="E617" s="4">
        <v>1834</v>
      </c>
      <c r="F617" s="16" t="s">
        <v>2517</v>
      </c>
      <c r="G617" s="4" t="s">
        <v>2518</v>
      </c>
      <c r="H617" s="4" t="s">
        <v>2519</v>
      </c>
      <c r="I617" s="4" t="s">
        <v>641</v>
      </c>
      <c r="J617" s="4" t="s">
        <v>1715</v>
      </c>
      <c r="K617" s="4">
        <v>1</v>
      </c>
      <c r="L617" s="4">
        <v>2237</v>
      </c>
      <c r="M617" s="6"/>
      <c r="AK617" s="7"/>
      <c r="AO617" s="4" t="s">
        <v>2517</v>
      </c>
      <c r="AP617" s="4">
        <v>284</v>
      </c>
      <c r="AQ617" s="4" t="s">
        <v>1716</v>
      </c>
      <c r="AR617" s="4" t="s">
        <v>1717</v>
      </c>
      <c r="AS617" s="4" t="s">
        <v>1718</v>
      </c>
      <c r="AT617" s="4" t="s">
        <v>1703</v>
      </c>
      <c r="AU617" s="4" t="s">
        <v>1703</v>
      </c>
      <c r="AV617" s="4" t="s">
        <v>1720</v>
      </c>
      <c r="AW617" s="4" t="s">
        <v>2368</v>
      </c>
      <c r="AX617" s="4" t="s">
        <v>2492</v>
      </c>
      <c r="AY617" s="4">
        <v>49.931699999999999</v>
      </c>
      <c r="AZ617" s="4">
        <v>-121.1183</v>
      </c>
      <c r="BA617" s="4">
        <v>1036</v>
      </c>
    </row>
    <row r="618" spans="1:53" ht="14.25" customHeight="1" x14ac:dyDescent="0.2">
      <c r="B618" s="4">
        <v>12</v>
      </c>
      <c r="C618" s="4" t="s">
        <v>7666</v>
      </c>
      <c r="D618" s="4">
        <v>285</v>
      </c>
      <c r="E618" s="4">
        <v>1835</v>
      </c>
      <c r="F618" s="16" t="s">
        <v>2520</v>
      </c>
      <c r="G618" s="4" t="s">
        <v>2521</v>
      </c>
      <c r="H618" s="4" t="s">
        <v>2027</v>
      </c>
      <c r="I618" s="4" t="s">
        <v>1664</v>
      </c>
      <c r="J618" s="4" t="s">
        <v>1715</v>
      </c>
      <c r="K618" s="4">
        <v>1</v>
      </c>
      <c r="L618" s="4">
        <v>2238</v>
      </c>
      <c r="M618" s="6"/>
      <c r="AK618" s="7"/>
      <c r="AO618" s="4" t="s">
        <v>2520</v>
      </c>
      <c r="AP618" s="4">
        <v>285</v>
      </c>
      <c r="AQ618" s="4" t="s">
        <v>1716</v>
      </c>
      <c r="AR618" s="4" t="s">
        <v>1717</v>
      </c>
      <c r="AS618" s="4" t="s">
        <v>1718</v>
      </c>
      <c r="AT618" s="4" t="s">
        <v>1719</v>
      </c>
      <c r="AU618" s="4" t="s">
        <v>1703</v>
      </c>
      <c r="AV618" s="4" t="s">
        <v>1720</v>
      </c>
      <c r="AW618" s="4" t="s">
        <v>2368</v>
      </c>
      <c r="AX618" s="4" t="s">
        <v>2522</v>
      </c>
      <c r="AY618" s="4">
        <v>50.2</v>
      </c>
      <c r="AZ618" s="4">
        <v>-119</v>
      </c>
      <c r="BA618" s="4">
        <v>0</v>
      </c>
    </row>
    <row r="619" spans="1:53" ht="14.25" customHeight="1" x14ac:dyDescent="0.2">
      <c r="A619" s="4" t="s">
        <v>88</v>
      </c>
      <c r="B619" s="4">
        <v>12</v>
      </c>
      <c r="C619" s="4" t="s">
        <v>7666</v>
      </c>
      <c r="D619" s="4">
        <v>286</v>
      </c>
      <c r="E619" s="4">
        <v>1836</v>
      </c>
      <c r="F619" s="4" t="s">
        <v>2523</v>
      </c>
      <c r="G619" s="8" t="s">
        <v>2524</v>
      </c>
      <c r="H619" s="4" t="s">
        <v>2525</v>
      </c>
      <c r="I619" s="4" t="s">
        <v>641</v>
      </c>
      <c r="J619" s="4" t="s">
        <v>1736</v>
      </c>
      <c r="K619" s="4">
        <v>1</v>
      </c>
      <c r="L619" s="4">
        <v>2239</v>
      </c>
      <c r="M619" s="6">
        <v>50.803330000000003</v>
      </c>
      <c r="N619" s="4">
        <v>-119.63</v>
      </c>
      <c r="O619" s="4" t="s">
        <v>142</v>
      </c>
      <c r="P619" s="4">
        <v>286</v>
      </c>
      <c r="Q619" s="4">
        <v>1</v>
      </c>
      <c r="R619" s="4" t="s">
        <v>2523</v>
      </c>
      <c r="S619" s="4" t="s">
        <v>1737</v>
      </c>
      <c r="T619" s="4">
        <v>640</v>
      </c>
      <c r="U619" s="4" t="s">
        <v>645</v>
      </c>
      <c r="W619" s="4">
        <v>28126</v>
      </c>
      <c r="X619" s="4" t="s">
        <v>1738</v>
      </c>
      <c r="AK619" s="7"/>
      <c r="AO619" s="4" t="s">
        <v>2523</v>
      </c>
      <c r="AP619" s="4">
        <v>286</v>
      </c>
      <c r="AQ619" s="4" t="s">
        <v>1700</v>
      </c>
      <c r="AR619" s="4" t="s">
        <v>1739</v>
      </c>
      <c r="AS619" s="4" t="s">
        <v>1740</v>
      </c>
      <c r="AT619" s="4" t="s">
        <v>1741</v>
      </c>
      <c r="AU619" s="4" t="s">
        <v>1772</v>
      </c>
      <c r="AV619" s="4" t="s">
        <v>1720</v>
      </c>
      <c r="AW619" s="4" t="s">
        <v>2368</v>
      </c>
      <c r="AX619" s="4" t="s">
        <v>2522</v>
      </c>
      <c r="AY619" s="4">
        <v>50.803600000000003</v>
      </c>
      <c r="AZ619" s="4">
        <v>-119.6307</v>
      </c>
      <c r="BA619" s="4">
        <v>660</v>
      </c>
    </row>
    <row r="620" spans="1:53" ht="14.25" customHeight="1" x14ac:dyDescent="0.2">
      <c r="B620" s="4">
        <v>12</v>
      </c>
      <c r="C620" s="4" t="s">
        <v>7666</v>
      </c>
      <c r="D620" s="4">
        <v>287</v>
      </c>
      <c r="E620" s="4">
        <v>1837</v>
      </c>
      <c r="F620" s="16" t="s">
        <v>2526</v>
      </c>
      <c r="G620" s="4" t="s">
        <v>2527</v>
      </c>
      <c r="H620" s="4" t="s">
        <v>2528</v>
      </c>
      <c r="I620" s="4" t="s">
        <v>1664</v>
      </c>
      <c r="J620" s="4" t="s">
        <v>1715</v>
      </c>
      <c r="K620" s="4">
        <v>1</v>
      </c>
      <c r="L620" s="4">
        <v>2240</v>
      </c>
      <c r="M620" s="6"/>
      <c r="AK620" s="7"/>
      <c r="AO620" s="4" t="s">
        <v>2529</v>
      </c>
      <c r="AP620" s="4">
        <v>287</v>
      </c>
      <c r="AQ620" s="4" t="s">
        <v>1716</v>
      </c>
      <c r="AR620" s="4" t="s">
        <v>1717</v>
      </c>
      <c r="AS620" s="4" t="s">
        <v>1718</v>
      </c>
      <c r="AT620" s="4" t="s">
        <v>1703</v>
      </c>
      <c r="AU620" s="4" t="s">
        <v>1703</v>
      </c>
      <c r="AV620" s="4" t="s">
        <v>1720</v>
      </c>
      <c r="AW620" s="4" t="s">
        <v>2368</v>
      </c>
      <c r="AX620" s="4" t="s">
        <v>2505</v>
      </c>
      <c r="AY620" s="4">
        <v>50.8</v>
      </c>
      <c r="AZ620" s="4">
        <v>-122.8</v>
      </c>
      <c r="BA620" s="4">
        <v>0</v>
      </c>
    </row>
    <row r="621" spans="1:53" ht="14.25" customHeight="1" x14ac:dyDescent="0.2">
      <c r="B621" s="4">
        <v>12</v>
      </c>
      <c r="C621" s="4" t="s">
        <v>7666</v>
      </c>
      <c r="D621" s="4">
        <v>288</v>
      </c>
      <c r="E621" s="4">
        <v>1838</v>
      </c>
      <c r="F621" s="16" t="s">
        <v>2530</v>
      </c>
      <c r="G621" s="4" t="s">
        <v>2531</v>
      </c>
      <c r="H621" s="4" t="s">
        <v>1787</v>
      </c>
      <c r="I621" s="4" t="s">
        <v>1664</v>
      </c>
      <c r="J621" s="4" t="s">
        <v>1715</v>
      </c>
      <c r="K621" s="4">
        <v>1</v>
      </c>
      <c r="L621" s="4">
        <v>2241</v>
      </c>
      <c r="M621" s="6"/>
      <c r="AK621" s="7"/>
      <c r="AO621" s="4" t="s">
        <v>2530</v>
      </c>
      <c r="AP621" s="4">
        <v>288</v>
      </c>
      <c r="AQ621" s="4" t="s">
        <v>1716</v>
      </c>
      <c r="AR621" s="4" t="s">
        <v>1717</v>
      </c>
      <c r="AS621" s="4" t="s">
        <v>1718</v>
      </c>
      <c r="AT621" s="4" t="s">
        <v>1719</v>
      </c>
      <c r="AU621" s="4" t="s">
        <v>1703</v>
      </c>
      <c r="AV621" s="4" t="s">
        <v>1720</v>
      </c>
      <c r="AW621" s="4" t="s">
        <v>2368</v>
      </c>
      <c r="AX621" s="4" t="s">
        <v>2522</v>
      </c>
      <c r="AY621" s="4">
        <v>50.3</v>
      </c>
      <c r="AZ621" s="4">
        <v>-119.3</v>
      </c>
      <c r="BA621" s="4">
        <v>0</v>
      </c>
    </row>
    <row r="622" spans="1:53" ht="14.25" customHeight="1" x14ac:dyDescent="0.2">
      <c r="B622" s="4">
        <v>12</v>
      </c>
      <c r="C622" s="4" t="s">
        <v>7666</v>
      </c>
      <c r="D622" s="4">
        <v>289</v>
      </c>
      <c r="E622" s="4">
        <v>1839</v>
      </c>
      <c r="F622" s="16" t="s">
        <v>2532</v>
      </c>
      <c r="G622" s="4" t="s">
        <v>2533</v>
      </c>
      <c r="H622" s="4" t="s">
        <v>2534</v>
      </c>
      <c r="I622" s="4" t="s">
        <v>1664</v>
      </c>
      <c r="J622" s="4" t="s">
        <v>1746</v>
      </c>
      <c r="K622" s="4">
        <v>1</v>
      </c>
      <c r="L622" s="4">
        <v>2242</v>
      </c>
      <c r="M622" s="6"/>
      <c r="AO622" s="4" t="s">
        <v>2532</v>
      </c>
      <c r="AP622" s="4">
        <v>289</v>
      </c>
      <c r="AQ622" s="4" t="s">
        <v>1716</v>
      </c>
      <c r="AR622" s="4" t="s">
        <v>1717</v>
      </c>
      <c r="AS622" s="4" t="s">
        <v>1718</v>
      </c>
      <c r="AT622" s="4" t="s">
        <v>1719</v>
      </c>
      <c r="AU622" s="4" t="s">
        <v>1703</v>
      </c>
      <c r="AV622" s="4" t="s">
        <v>1720</v>
      </c>
      <c r="AW622" s="4" t="s">
        <v>2368</v>
      </c>
      <c r="AX622" s="4" t="s">
        <v>2522</v>
      </c>
      <c r="AY622" s="4">
        <v>50.2</v>
      </c>
      <c r="AZ622" s="4">
        <v>-119.3</v>
      </c>
      <c r="BA622" s="4">
        <v>4</v>
      </c>
    </row>
    <row r="623" spans="1:53" ht="14.25" customHeight="1" x14ac:dyDescent="0.2">
      <c r="B623" s="4">
        <v>12</v>
      </c>
      <c r="C623" s="4" t="s">
        <v>7666</v>
      </c>
      <c r="D623" s="4">
        <v>290</v>
      </c>
      <c r="E623" s="4">
        <v>1840</v>
      </c>
      <c r="F623" s="16" t="s">
        <v>2535</v>
      </c>
      <c r="G623" s="4" t="s">
        <v>2536</v>
      </c>
      <c r="H623" s="4" t="s">
        <v>2537</v>
      </c>
      <c r="I623" s="4" t="s">
        <v>641</v>
      </c>
      <c r="J623" s="4" t="s">
        <v>1715</v>
      </c>
      <c r="K623" s="4">
        <v>1</v>
      </c>
      <c r="L623" s="4">
        <v>2243</v>
      </c>
      <c r="M623" s="6"/>
      <c r="AO623" s="4" t="s">
        <v>2535</v>
      </c>
      <c r="AP623" s="4">
        <v>290</v>
      </c>
      <c r="AQ623" s="4" t="s">
        <v>1716</v>
      </c>
      <c r="AR623" s="4" t="s">
        <v>1717</v>
      </c>
      <c r="AS623" s="4" t="s">
        <v>1718</v>
      </c>
      <c r="AT623" s="4" t="s">
        <v>1703</v>
      </c>
      <c r="AU623" s="4" t="s">
        <v>1703</v>
      </c>
      <c r="AV623" s="4" t="s">
        <v>1720</v>
      </c>
      <c r="AW623" s="4" t="s">
        <v>2368</v>
      </c>
      <c r="AX623" s="4" t="s">
        <v>2522</v>
      </c>
      <c r="AY623" s="4">
        <v>50.4133</v>
      </c>
      <c r="AZ623" s="4">
        <v>-119.9967</v>
      </c>
      <c r="BA623" s="4">
        <v>1462</v>
      </c>
    </row>
    <row r="624" spans="1:53" ht="14.25" customHeight="1" x14ac:dyDescent="0.2">
      <c r="A624" s="4" t="s">
        <v>88</v>
      </c>
      <c r="B624" s="4">
        <v>12</v>
      </c>
      <c r="C624" s="4" t="s">
        <v>7666</v>
      </c>
      <c r="D624" s="4">
        <v>291</v>
      </c>
      <c r="E624" s="4">
        <v>1841</v>
      </c>
      <c r="F624" s="4" t="s">
        <v>2538</v>
      </c>
      <c r="G624" s="8" t="s">
        <v>2539</v>
      </c>
      <c r="H624" s="4" t="s">
        <v>2540</v>
      </c>
      <c r="I624" s="4" t="s">
        <v>641</v>
      </c>
      <c r="J624" s="4" t="s">
        <v>1736</v>
      </c>
      <c r="K624" s="4">
        <v>1</v>
      </c>
      <c r="L624" s="4">
        <v>2244</v>
      </c>
      <c r="M624" s="6">
        <v>50.270449999999997</v>
      </c>
      <c r="N624" s="4">
        <v>-120.28830000000001</v>
      </c>
      <c r="O624" s="4" t="s">
        <v>142</v>
      </c>
      <c r="P624" s="4">
        <v>291</v>
      </c>
      <c r="Q624" s="4">
        <v>5</v>
      </c>
      <c r="R624" s="4" t="s">
        <v>2538</v>
      </c>
      <c r="S624" s="4" t="s">
        <v>1737</v>
      </c>
      <c r="T624" s="4">
        <v>1381</v>
      </c>
      <c r="W624" s="4">
        <v>28491</v>
      </c>
      <c r="X624" s="4" t="s">
        <v>1738</v>
      </c>
      <c r="AO624" s="4" t="s">
        <v>2538</v>
      </c>
      <c r="AP624" s="4">
        <v>291</v>
      </c>
      <c r="AQ624" s="4" t="s">
        <v>1700</v>
      </c>
      <c r="AR624" s="4" t="s">
        <v>1739</v>
      </c>
      <c r="AS624" s="4" t="s">
        <v>1740</v>
      </c>
      <c r="AT624" s="4" t="s">
        <v>1741</v>
      </c>
      <c r="AU624" s="4" t="s">
        <v>1959</v>
      </c>
      <c r="AV624" s="4" t="s">
        <v>1720</v>
      </c>
      <c r="AW624" s="4" t="s">
        <v>2368</v>
      </c>
      <c r="AX624" s="4" t="s">
        <v>2492</v>
      </c>
      <c r="AY624" s="4">
        <v>50.270400000000002</v>
      </c>
      <c r="AZ624" s="4">
        <v>-120.28830000000001</v>
      </c>
      <c r="BA624" s="4">
        <v>1372</v>
      </c>
    </row>
    <row r="625" spans="1:53" ht="14.25" customHeight="1" x14ac:dyDescent="0.2">
      <c r="A625" s="4" t="s">
        <v>1908</v>
      </c>
      <c r="B625" s="4">
        <v>12</v>
      </c>
      <c r="C625" s="4" t="s">
        <v>7666</v>
      </c>
      <c r="D625" s="4">
        <v>292</v>
      </c>
      <c r="E625" s="4">
        <v>1842</v>
      </c>
      <c r="F625" s="8" t="s">
        <v>2541</v>
      </c>
      <c r="G625" s="8" t="s">
        <v>2542</v>
      </c>
      <c r="H625" s="4" t="s">
        <v>2543</v>
      </c>
      <c r="I625" s="4" t="s">
        <v>641</v>
      </c>
      <c r="J625" s="4" t="s">
        <v>1736</v>
      </c>
      <c r="K625" s="4">
        <v>1</v>
      </c>
      <c r="L625" s="4">
        <v>2245</v>
      </c>
      <c r="M625" s="6">
        <v>50.52167</v>
      </c>
      <c r="N625" s="9">
        <v>-122.49806</v>
      </c>
      <c r="O625" s="9" t="s">
        <v>142</v>
      </c>
      <c r="P625" s="9">
        <v>292</v>
      </c>
      <c r="Q625" s="20">
        <v>1</v>
      </c>
      <c r="R625" s="9" t="s">
        <v>2544</v>
      </c>
      <c r="S625" s="9" t="s">
        <v>1737</v>
      </c>
      <c r="T625" s="9">
        <v>346</v>
      </c>
      <c r="U625" s="9"/>
      <c r="V625" s="9" t="s">
        <v>1830</v>
      </c>
      <c r="W625" s="21">
        <v>28491</v>
      </c>
      <c r="X625" s="9" t="s">
        <v>1738</v>
      </c>
      <c r="AO625" s="4" t="s">
        <v>2545</v>
      </c>
      <c r="AP625" s="4">
        <v>292</v>
      </c>
      <c r="AQ625" s="4" t="s">
        <v>1716</v>
      </c>
      <c r="AR625" s="4" t="s">
        <v>1739</v>
      </c>
      <c r="AS625" s="4" t="s">
        <v>1740</v>
      </c>
      <c r="AT625" s="4" t="s">
        <v>1741</v>
      </c>
      <c r="AU625" s="4" t="s">
        <v>1742</v>
      </c>
      <c r="AV625" s="4" t="s">
        <v>1720</v>
      </c>
      <c r="AW625" s="4" t="s">
        <v>1705</v>
      </c>
      <c r="AX625" s="4" t="s">
        <v>1879</v>
      </c>
      <c r="AY625" s="4">
        <v>50.521700000000003</v>
      </c>
      <c r="AZ625" s="4">
        <v>-122.4978</v>
      </c>
      <c r="BA625" s="4">
        <v>334</v>
      </c>
    </row>
    <row r="626" spans="1:53" ht="14.25" customHeight="1" x14ac:dyDescent="0.2">
      <c r="B626" s="4">
        <v>12</v>
      </c>
      <c r="C626" s="4" t="s">
        <v>7666</v>
      </c>
      <c r="D626" s="4">
        <v>293</v>
      </c>
      <c r="E626" s="4">
        <v>1843</v>
      </c>
      <c r="F626" s="16" t="s">
        <v>2546</v>
      </c>
      <c r="G626" s="4" t="s">
        <v>2547</v>
      </c>
      <c r="H626" s="4" t="s">
        <v>2548</v>
      </c>
      <c r="I626" s="4" t="s">
        <v>1664</v>
      </c>
      <c r="J626" s="4" t="s">
        <v>1715</v>
      </c>
      <c r="K626" s="4">
        <v>1</v>
      </c>
      <c r="L626" s="4">
        <v>2246</v>
      </c>
      <c r="M626" s="6"/>
      <c r="AO626" s="4" t="s">
        <v>2546</v>
      </c>
      <c r="AP626" s="4">
        <v>293</v>
      </c>
      <c r="AQ626" s="4" t="s">
        <v>1716</v>
      </c>
      <c r="AR626" s="4" t="s">
        <v>1717</v>
      </c>
      <c r="AS626" s="4" t="s">
        <v>1718</v>
      </c>
      <c r="AT626" s="4" t="s">
        <v>1719</v>
      </c>
      <c r="AU626" s="4" t="s">
        <v>1703</v>
      </c>
      <c r="AV626" s="4" t="s">
        <v>1720</v>
      </c>
      <c r="AW626" s="4" t="s">
        <v>1705</v>
      </c>
      <c r="AY626" s="4">
        <v>49</v>
      </c>
      <c r="AZ626" s="4">
        <v>-120.8</v>
      </c>
      <c r="BA626" s="4">
        <v>0</v>
      </c>
    </row>
    <row r="627" spans="1:53" ht="14.25" customHeight="1" x14ac:dyDescent="0.2">
      <c r="A627" s="4" t="s">
        <v>88</v>
      </c>
      <c r="B627" s="4">
        <v>12</v>
      </c>
      <c r="C627" s="4" t="s">
        <v>7666</v>
      </c>
      <c r="D627" s="4">
        <v>294</v>
      </c>
      <c r="E627" s="4">
        <v>1844</v>
      </c>
      <c r="F627" s="4" t="s">
        <v>2549</v>
      </c>
      <c r="G627" s="8" t="s">
        <v>2550</v>
      </c>
      <c r="H627" s="4" t="s">
        <v>2551</v>
      </c>
      <c r="I627" s="4" t="s">
        <v>641</v>
      </c>
      <c r="J627" s="4" t="s">
        <v>1736</v>
      </c>
      <c r="K627" s="4">
        <v>1</v>
      </c>
      <c r="L627" s="4">
        <v>2247</v>
      </c>
      <c r="M627" s="6"/>
      <c r="N627" s="9"/>
      <c r="O627" s="9"/>
      <c r="P627" s="9"/>
      <c r="Q627" s="20"/>
      <c r="R627" s="9"/>
      <c r="S627" s="9"/>
      <c r="T627" s="9"/>
      <c r="U627" s="9"/>
      <c r="V627" s="9"/>
      <c r="W627" s="21"/>
      <c r="X627" s="9"/>
      <c r="AO627" s="53" t="s">
        <v>2552</v>
      </c>
      <c r="AP627" s="4">
        <v>294</v>
      </c>
      <c r="AQ627" s="4" t="s">
        <v>1716</v>
      </c>
      <c r="AR627" s="4" t="s">
        <v>1717</v>
      </c>
      <c r="AS627" s="4" t="s">
        <v>2257</v>
      </c>
      <c r="AT627" s="4" t="s">
        <v>1835</v>
      </c>
      <c r="AU627" s="4" t="s">
        <v>2043</v>
      </c>
      <c r="AV627" s="4" t="s">
        <v>1720</v>
      </c>
      <c r="AW627" s="4" t="s">
        <v>2368</v>
      </c>
      <c r="AX627" s="4" t="s">
        <v>2492</v>
      </c>
      <c r="AY627" s="4">
        <v>50.087400000000002</v>
      </c>
      <c r="AZ627" s="4">
        <v>-120.7457</v>
      </c>
      <c r="BA627" s="4">
        <v>640</v>
      </c>
    </row>
    <row r="628" spans="1:53" ht="14.25" customHeight="1" x14ac:dyDescent="0.2">
      <c r="B628" s="4">
        <v>12</v>
      </c>
      <c r="C628" s="4" t="s">
        <v>7666</v>
      </c>
      <c r="D628" s="4">
        <v>295</v>
      </c>
      <c r="E628" s="4">
        <v>1845</v>
      </c>
      <c r="F628" s="16" t="s">
        <v>2553</v>
      </c>
      <c r="G628" s="4" t="s">
        <v>2554</v>
      </c>
      <c r="H628" s="4" t="s">
        <v>2555</v>
      </c>
      <c r="I628" s="4" t="s">
        <v>1664</v>
      </c>
      <c r="J628" s="4" t="s">
        <v>1715</v>
      </c>
      <c r="K628" s="4">
        <v>1</v>
      </c>
      <c r="L628" s="4">
        <v>2248</v>
      </c>
      <c r="M628" s="62"/>
      <c r="N628" s="34"/>
      <c r="P628" s="34"/>
      <c r="R628" s="34"/>
      <c r="T628" s="35"/>
      <c r="AO628" s="4" t="s">
        <v>2553</v>
      </c>
      <c r="AP628" s="4">
        <v>295</v>
      </c>
      <c r="AQ628" s="4" t="s">
        <v>1716</v>
      </c>
      <c r="AR628" s="4" t="s">
        <v>1717</v>
      </c>
      <c r="AS628" s="4" t="s">
        <v>1718</v>
      </c>
      <c r="AT628" s="4" t="s">
        <v>1719</v>
      </c>
      <c r="AU628" s="4" t="s">
        <v>1703</v>
      </c>
      <c r="AV628" s="4" t="s">
        <v>1720</v>
      </c>
      <c r="AW628" s="4" t="s">
        <v>2368</v>
      </c>
      <c r="AX628" s="4" t="s">
        <v>2369</v>
      </c>
      <c r="AY628" s="4">
        <v>50.7</v>
      </c>
      <c r="AZ628" s="4">
        <v>-121.4</v>
      </c>
      <c r="BA628" s="4">
        <v>20</v>
      </c>
    </row>
    <row r="629" spans="1:53" ht="14.25" customHeight="1" x14ac:dyDescent="0.2">
      <c r="B629" s="4">
        <v>12</v>
      </c>
      <c r="C629" s="4" t="s">
        <v>7666</v>
      </c>
      <c r="D629" s="4">
        <v>296</v>
      </c>
      <c r="E629" s="4">
        <v>1846</v>
      </c>
      <c r="F629" s="16" t="s">
        <v>2556</v>
      </c>
      <c r="G629" s="4" t="s">
        <v>2557</v>
      </c>
      <c r="H629" s="4" t="s">
        <v>2558</v>
      </c>
      <c r="I629" s="4" t="s">
        <v>1664</v>
      </c>
      <c r="J629" s="4" t="s">
        <v>1746</v>
      </c>
      <c r="K629" s="4">
        <v>1</v>
      </c>
      <c r="L629" s="4">
        <v>2249</v>
      </c>
      <c r="M629" s="6"/>
      <c r="AO629" s="4" t="s">
        <v>2556</v>
      </c>
      <c r="AP629" s="4">
        <v>296</v>
      </c>
      <c r="AQ629" s="4" t="s">
        <v>1716</v>
      </c>
      <c r="AR629" s="4" t="s">
        <v>1717</v>
      </c>
      <c r="AS629" s="4" t="s">
        <v>1718</v>
      </c>
      <c r="AT629" s="4" t="s">
        <v>1719</v>
      </c>
      <c r="AU629" s="4" t="s">
        <v>1703</v>
      </c>
      <c r="AV629" s="4" t="s">
        <v>1720</v>
      </c>
      <c r="AW629" s="4" t="s">
        <v>2368</v>
      </c>
      <c r="AX629" s="4" t="s">
        <v>2369</v>
      </c>
      <c r="AY629" s="4">
        <v>50.9</v>
      </c>
      <c r="AZ629" s="4">
        <v>-119.8</v>
      </c>
      <c r="BA629" s="4">
        <v>14</v>
      </c>
    </row>
    <row r="630" spans="1:53" ht="14.25" customHeight="1" x14ac:dyDescent="0.2">
      <c r="A630" s="4" t="s">
        <v>88</v>
      </c>
      <c r="B630" s="4">
        <v>12</v>
      </c>
      <c r="C630" s="4" t="s">
        <v>7666</v>
      </c>
      <c r="D630" s="4">
        <v>297</v>
      </c>
      <c r="E630" s="4">
        <v>1847</v>
      </c>
      <c r="F630" s="4" t="s">
        <v>2559</v>
      </c>
      <c r="G630" s="8" t="s">
        <v>2560</v>
      </c>
      <c r="H630" s="4" t="s">
        <v>2561</v>
      </c>
      <c r="I630" s="4" t="s">
        <v>641</v>
      </c>
      <c r="J630" s="4" t="s">
        <v>1715</v>
      </c>
      <c r="K630" s="4">
        <v>1</v>
      </c>
      <c r="L630" s="4">
        <v>2250</v>
      </c>
      <c r="M630" s="6"/>
      <c r="N630" s="9"/>
      <c r="O630" s="9"/>
      <c r="P630" s="9"/>
      <c r="Q630" s="20"/>
      <c r="R630" s="9"/>
      <c r="S630" s="9"/>
      <c r="T630" s="9"/>
      <c r="U630" s="9"/>
      <c r="V630" s="9"/>
      <c r="W630" s="58"/>
      <c r="X630" s="9"/>
      <c r="AO630" s="4" t="s">
        <v>2562</v>
      </c>
      <c r="AP630" s="4">
        <v>297</v>
      </c>
      <c r="AQ630" s="4" t="s">
        <v>1716</v>
      </c>
      <c r="AR630" s="4" t="s">
        <v>1717</v>
      </c>
      <c r="AS630" s="4" t="s">
        <v>1718</v>
      </c>
      <c r="AT630" s="4" t="s">
        <v>1841</v>
      </c>
      <c r="AU630" s="4" t="s">
        <v>1959</v>
      </c>
      <c r="AV630" s="4" t="s">
        <v>1720</v>
      </c>
      <c r="AW630" s="4" t="s">
        <v>2368</v>
      </c>
      <c r="AX630" s="4" t="s">
        <v>2505</v>
      </c>
      <c r="AY630" s="4">
        <v>50.247500000000002</v>
      </c>
      <c r="AZ630" s="4">
        <v>-121.56480000000001</v>
      </c>
      <c r="BA630" s="4">
        <v>290</v>
      </c>
    </row>
    <row r="631" spans="1:53" ht="14.25" customHeight="1" x14ac:dyDescent="0.2">
      <c r="A631" s="4" t="s">
        <v>88</v>
      </c>
      <c r="B631" s="4">
        <v>12</v>
      </c>
      <c r="C631" s="4" t="s">
        <v>7666</v>
      </c>
      <c r="D631" s="4">
        <v>298</v>
      </c>
      <c r="E631" s="4">
        <v>1848</v>
      </c>
      <c r="F631" s="4" t="s">
        <v>2563</v>
      </c>
      <c r="G631" s="8" t="s">
        <v>2564</v>
      </c>
      <c r="H631" s="4" t="s">
        <v>2565</v>
      </c>
      <c r="I631" s="4" t="s">
        <v>641</v>
      </c>
      <c r="J631" s="4" t="s">
        <v>1865</v>
      </c>
      <c r="K631" s="4">
        <v>1</v>
      </c>
      <c r="L631" s="4">
        <v>2251</v>
      </c>
      <c r="M631" s="6">
        <v>50.206670000000003</v>
      </c>
      <c r="N631" s="9">
        <v>-119.48</v>
      </c>
      <c r="O631" s="9" t="s">
        <v>142</v>
      </c>
      <c r="P631" s="9">
        <v>298</v>
      </c>
      <c r="Q631" s="20">
        <v>1</v>
      </c>
      <c r="R631" s="9" t="s">
        <v>2563</v>
      </c>
      <c r="S631" s="9" t="s">
        <v>1737</v>
      </c>
      <c r="T631" s="9">
        <v>670</v>
      </c>
      <c r="U631" s="9"/>
      <c r="V631" s="9"/>
      <c r="W631" s="21">
        <v>32509</v>
      </c>
      <c r="X631" s="9" t="s">
        <v>1738</v>
      </c>
      <c r="AO631" s="4" t="s">
        <v>2563</v>
      </c>
      <c r="AP631" s="4">
        <v>298</v>
      </c>
      <c r="AQ631" s="4" t="s">
        <v>1700</v>
      </c>
      <c r="AR631" s="4" t="s">
        <v>1739</v>
      </c>
      <c r="AS631" s="4" t="s">
        <v>1740</v>
      </c>
      <c r="AT631" s="4" t="s">
        <v>1741</v>
      </c>
      <c r="AU631" s="4" t="s">
        <v>1959</v>
      </c>
      <c r="AV631" s="4" t="s">
        <v>1720</v>
      </c>
      <c r="AW631" s="4" t="s">
        <v>2368</v>
      </c>
      <c r="AX631" s="4" t="s">
        <v>2522</v>
      </c>
      <c r="AY631" s="4">
        <v>50.206200000000003</v>
      </c>
      <c r="AZ631" s="4">
        <v>-119.4804</v>
      </c>
      <c r="BA631" s="4">
        <v>526</v>
      </c>
    </row>
    <row r="632" spans="1:53" ht="14.25" customHeight="1" x14ac:dyDescent="0.2">
      <c r="B632" s="4">
        <v>12</v>
      </c>
      <c r="C632" s="4" t="s">
        <v>7666</v>
      </c>
      <c r="D632" s="4">
        <v>299</v>
      </c>
      <c r="E632" s="4">
        <v>1849</v>
      </c>
      <c r="F632" s="16" t="s">
        <v>2566</v>
      </c>
      <c r="G632" s="4" t="s">
        <v>2567</v>
      </c>
      <c r="H632" s="4" t="s">
        <v>2568</v>
      </c>
      <c r="I632" s="4" t="s">
        <v>641</v>
      </c>
      <c r="J632" s="4" t="s">
        <v>1715</v>
      </c>
      <c r="K632" s="4">
        <v>1</v>
      </c>
      <c r="L632" s="4">
        <v>2252</v>
      </c>
      <c r="M632" s="62"/>
      <c r="N632" s="34"/>
      <c r="R632" s="34"/>
      <c r="T632" s="35"/>
      <c r="AO632" s="4" t="s">
        <v>2566</v>
      </c>
      <c r="AP632" s="4">
        <v>299</v>
      </c>
      <c r="AQ632" s="4" t="s">
        <v>1716</v>
      </c>
      <c r="AR632" s="4" t="s">
        <v>1717</v>
      </c>
      <c r="AS632" s="4" t="s">
        <v>1718</v>
      </c>
      <c r="AT632" s="4" t="s">
        <v>1703</v>
      </c>
      <c r="AU632" s="4" t="s">
        <v>1703</v>
      </c>
      <c r="AV632" s="4" t="s">
        <v>1720</v>
      </c>
      <c r="AW632" s="4" t="s">
        <v>2368</v>
      </c>
      <c r="AX632" s="4" t="s">
        <v>2369</v>
      </c>
      <c r="AY632" s="4">
        <v>50.6</v>
      </c>
      <c r="AZ632" s="4">
        <v>-120.3</v>
      </c>
      <c r="BA632" s="4">
        <v>5</v>
      </c>
    </row>
    <row r="633" spans="1:53" ht="14.25" customHeight="1" x14ac:dyDescent="0.2">
      <c r="A633" s="4" t="s">
        <v>1908</v>
      </c>
      <c r="B633" s="4">
        <v>12</v>
      </c>
      <c r="C633" s="4" t="s">
        <v>7666</v>
      </c>
      <c r="D633" s="4">
        <v>300</v>
      </c>
      <c r="E633" s="4">
        <v>1850</v>
      </c>
      <c r="F633" s="4" t="s">
        <v>898</v>
      </c>
      <c r="G633" s="8" t="s">
        <v>2569</v>
      </c>
      <c r="H633" s="4" t="s">
        <v>2570</v>
      </c>
      <c r="I633" s="4" t="s">
        <v>641</v>
      </c>
      <c r="J633" s="4" t="s">
        <v>1715</v>
      </c>
      <c r="K633" s="4">
        <v>1</v>
      </c>
      <c r="L633" s="4">
        <v>2253</v>
      </c>
      <c r="M633" s="6"/>
      <c r="N633" s="9"/>
      <c r="O633" s="9"/>
      <c r="P633" s="9"/>
      <c r="Q633" s="20"/>
      <c r="R633" s="9"/>
      <c r="S633" s="9"/>
      <c r="T633" s="9"/>
      <c r="U633" s="9"/>
      <c r="V633" s="9"/>
      <c r="W633" s="21"/>
      <c r="X633" s="9"/>
      <c r="AO633" s="4" t="s">
        <v>2526</v>
      </c>
      <c r="AP633" s="4">
        <v>300</v>
      </c>
      <c r="AQ633" s="4" t="s">
        <v>1716</v>
      </c>
      <c r="AR633" s="4" t="s">
        <v>1717</v>
      </c>
      <c r="AS633" s="4" t="s">
        <v>1718</v>
      </c>
      <c r="AT633" s="4" t="s">
        <v>1719</v>
      </c>
      <c r="AU633" s="4" t="s">
        <v>2043</v>
      </c>
      <c r="AV633" s="4" t="s">
        <v>1720</v>
      </c>
      <c r="AW633" s="4" t="s">
        <v>2368</v>
      </c>
      <c r="AX633" s="4" t="s">
        <v>2505</v>
      </c>
      <c r="AY633" s="4">
        <v>50.853499999999997</v>
      </c>
      <c r="AZ633" s="4">
        <v>-122.83580000000001</v>
      </c>
      <c r="BA633" s="4">
        <v>704</v>
      </c>
    </row>
    <row r="634" spans="1:53" ht="14.25" customHeight="1" x14ac:dyDescent="0.2">
      <c r="A634" s="4" t="s">
        <v>88</v>
      </c>
      <c r="B634" s="4">
        <v>12</v>
      </c>
      <c r="C634" s="4" t="s">
        <v>7666</v>
      </c>
      <c r="D634" s="4">
        <v>301</v>
      </c>
      <c r="E634" s="4">
        <v>1851</v>
      </c>
      <c r="F634" s="4" t="s">
        <v>2571</v>
      </c>
      <c r="G634" s="8" t="s">
        <v>2572</v>
      </c>
      <c r="H634" s="4" t="s">
        <v>2573</v>
      </c>
      <c r="I634" s="4" t="s">
        <v>641</v>
      </c>
      <c r="J634" s="4" t="s">
        <v>1891</v>
      </c>
      <c r="K634" s="4">
        <v>1</v>
      </c>
      <c r="L634" s="4">
        <v>2254</v>
      </c>
      <c r="M634" s="6">
        <v>50.305929999999996</v>
      </c>
      <c r="N634" s="9">
        <v>-122.72878</v>
      </c>
      <c r="O634" s="9" t="s">
        <v>51</v>
      </c>
      <c r="P634" s="9">
        <v>301</v>
      </c>
      <c r="Q634" s="20">
        <v>2</v>
      </c>
      <c r="R634" s="9" t="s">
        <v>2571</v>
      </c>
      <c r="S634" s="9" t="s">
        <v>1737</v>
      </c>
      <c r="T634" s="9">
        <v>204</v>
      </c>
      <c r="U634" s="9"/>
      <c r="V634" s="9"/>
      <c r="W634" s="21">
        <v>36892</v>
      </c>
      <c r="X634" s="9" t="s">
        <v>1738</v>
      </c>
      <c r="AO634" s="4" t="s">
        <v>2571</v>
      </c>
      <c r="AP634" s="4">
        <v>301</v>
      </c>
      <c r="AQ634" s="4" t="s">
        <v>1700</v>
      </c>
      <c r="AR634" s="4" t="s">
        <v>1739</v>
      </c>
      <c r="AS634" s="4" t="s">
        <v>1740</v>
      </c>
      <c r="AT634" s="4" t="s">
        <v>1741</v>
      </c>
      <c r="AU634" s="4" t="s">
        <v>1772</v>
      </c>
      <c r="AV634" s="4" t="s">
        <v>1720</v>
      </c>
      <c r="AW634" s="4" t="s">
        <v>1705</v>
      </c>
      <c r="AX634" s="4" t="s">
        <v>1879</v>
      </c>
      <c r="AY634" s="4">
        <v>50.305900000000001</v>
      </c>
      <c r="AZ634" s="4">
        <v>-122.7287</v>
      </c>
      <c r="BA634" s="4">
        <v>203</v>
      </c>
    </row>
    <row r="635" spans="1:53" ht="14.25" customHeight="1" x14ac:dyDescent="0.2">
      <c r="A635" s="4" t="s">
        <v>88</v>
      </c>
      <c r="B635" s="4">
        <v>12</v>
      </c>
      <c r="C635" s="4" t="s">
        <v>7666</v>
      </c>
      <c r="D635" s="4">
        <v>302</v>
      </c>
      <c r="E635" s="4">
        <v>1852</v>
      </c>
      <c r="F635" s="4" t="s">
        <v>2574</v>
      </c>
      <c r="G635" s="8" t="s">
        <v>2575</v>
      </c>
      <c r="H635" s="4" t="s">
        <v>2576</v>
      </c>
      <c r="I635" s="4" t="s">
        <v>641</v>
      </c>
      <c r="J635" s="4" t="s">
        <v>1736</v>
      </c>
      <c r="K635" s="4">
        <v>1</v>
      </c>
      <c r="L635" s="4">
        <v>2255</v>
      </c>
      <c r="M635" s="62">
        <v>49.94811</v>
      </c>
      <c r="N635" s="34">
        <v>-120.62107</v>
      </c>
      <c r="O635" s="9" t="s">
        <v>142</v>
      </c>
      <c r="P635" s="63">
        <v>302</v>
      </c>
      <c r="Q635" s="20">
        <v>3</v>
      </c>
      <c r="R635" s="34" t="s">
        <v>2574</v>
      </c>
      <c r="S635" s="9" t="s">
        <v>1737</v>
      </c>
      <c r="T635" s="35">
        <v>1065</v>
      </c>
      <c r="U635" s="9"/>
      <c r="V635" s="9"/>
      <c r="W635" s="21">
        <v>35796</v>
      </c>
      <c r="X635" s="9" t="s">
        <v>1738</v>
      </c>
      <c r="AO635" s="4" t="s">
        <v>2574</v>
      </c>
      <c r="AP635" s="4">
        <v>302</v>
      </c>
      <c r="AQ635" s="4" t="s">
        <v>1700</v>
      </c>
      <c r="AR635" s="4" t="s">
        <v>1739</v>
      </c>
      <c r="AS635" s="4" t="s">
        <v>1740</v>
      </c>
      <c r="AT635" s="4" t="s">
        <v>1835</v>
      </c>
      <c r="AU635" s="4" t="s">
        <v>1772</v>
      </c>
      <c r="AV635" s="4" t="s">
        <v>1720</v>
      </c>
      <c r="AW635" s="4" t="s">
        <v>2368</v>
      </c>
      <c r="AX635" s="4" t="s">
        <v>2492</v>
      </c>
      <c r="AY635" s="4">
        <v>49.948099999999997</v>
      </c>
      <c r="AZ635" s="4">
        <v>-120.6211</v>
      </c>
      <c r="BA635" s="4">
        <v>1065</v>
      </c>
    </row>
    <row r="636" spans="1:53" ht="14.25" customHeight="1" x14ac:dyDescent="0.2">
      <c r="B636" s="4">
        <v>12</v>
      </c>
      <c r="C636" s="4" t="s">
        <v>7666</v>
      </c>
      <c r="D636" s="4">
        <v>303</v>
      </c>
      <c r="E636" s="4">
        <v>1853</v>
      </c>
      <c r="F636" s="16" t="s">
        <v>2577</v>
      </c>
      <c r="G636" s="4" t="s">
        <v>2578</v>
      </c>
      <c r="H636" s="4" t="s">
        <v>2579</v>
      </c>
      <c r="I636" s="4" t="s">
        <v>641</v>
      </c>
      <c r="J636" s="4" t="s">
        <v>1715</v>
      </c>
      <c r="K636" s="4">
        <v>1</v>
      </c>
      <c r="L636" s="4">
        <v>2256</v>
      </c>
      <c r="M636" s="62"/>
      <c r="N636" s="34"/>
      <c r="P636" s="34"/>
      <c r="R636" s="34"/>
      <c r="T636" s="35"/>
      <c r="AO636" s="4" t="s">
        <v>2577</v>
      </c>
      <c r="AP636" s="4">
        <v>303</v>
      </c>
      <c r="AQ636" s="4" t="s">
        <v>1716</v>
      </c>
      <c r="AR636" s="4" t="s">
        <v>1717</v>
      </c>
      <c r="AS636" s="4" t="s">
        <v>1718</v>
      </c>
      <c r="AT636" s="4" t="s">
        <v>1703</v>
      </c>
      <c r="AU636" s="4" t="s">
        <v>1703</v>
      </c>
      <c r="AV636" s="4" t="s">
        <v>1720</v>
      </c>
      <c r="AW636" s="4" t="s">
        <v>2368</v>
      </c>
      <c r="AX636" s="4" t="s">
        <v>2369</v>
      </c>
      <c r="AY636" s="4">
        <v>50.7</v>
      </c>
      <c r="AZ636" s="4">
        <v>-120.6</v>
      </c>
      <c r="BA636" s="4">
        <v>7</v>
      </c>
    </row>
    <row r="637" spans="1:53" ht="14.25" customHeight="1" x14ac:dyDescent="0.2">
      <c r="B637" s="4">
        <v>12</v>
      </c>
      <c r="C637" s="4" t="s">
        <v>7666</v>
      </c>
      <c r="D637" s="4">
        <v>304</v>
      </c>
      <c r="E637" s="4">
        <v>1854</v>
      </c>
      <c r="F637" s="16" t="s">
        <v>2580</v>
      </c>
      <c r="G637" s="4" t="s">
        <v>2581</v>
      </c>
      <c r="H637" s="4" t="s">
        <v>2579</v>
      </c>
      <c r="I637" s="4" t="s">
        <v>641</v>
      </c>
      <c r="J637" s="4" t="s">
        <v>1715</v>
      </c>
      <c r="K637" s="4">
        <v>1</v>
      </c>
      <c r="L637" s="4">
        <v>2257</v>
      </c>
      <c r="M637" s="6"/>
      <c r="AO637" s="4" t="s">
        <v>2580</v>
      </c>
      <c r="AP637" s="4">
        <v>304</v>
      </c>
      <c r="AQ637" s="4" t="s">
        <v>1716</v>
      </c>
      <c r="AR637" s="4" t="s">
        <v>1717</v>
      </c>
      <c r="AS637" s="4" t="s">
        <v>1718</v>
      </c>
      <c r="AT637" s="4" t="s">
        <v>1703</v>
      </c>
      <c r="AU637" s="4" t="s">
        <v>1703</v>
      </c>
      <c r="AV637" s="4" t="s">
        <v>1720</v>
      </c>
      <c r="AW637" s="4" t="s">
        <v>2368</v>
      </c>
      <c r="AX637" s="4" t="s">
        <v>2369</v>
      </c>
      <c r="AY637" s="4">
        <v>50.8</v>
      </c>
      <c r="AZ637" s="4">
        <v>-120.6</v>
      </c>
      <c r="BA637" s="4">
        <v>12</v>
      </c>
    </row>
    <row r="638" spans="1:53" ht="14.25" customHeight="1" x14ac:dyDescent="0.2">
      <c r="A638" s="4" t="s">
        <v>1908</v>
      </c>
      <c r="B638" s="4">
        <v>12</v>
      </c>
      <c r="C638" s="4" t="s">
        <v>7666</v>
      </c>
      <c r="D638" s="4">
        <v>305</v>
      </c>
      <c r="E638" s="4">
        <v>1855</v>
      </c>
      <c r="F638" s="8" t="s">
        <v>2582</v>
      </c>
      <c r="G638" s="8" t="s">
        <v>2583</v>
      </c>
      <c r="H638" s="4" t="s">
        <v>2584</v>
      </c>
      <c r="I638" s="4" t="s">
        <v>641</v>
      </c>
      <c r="J638" s="4" t="s">
        <v>1736</v>
      </c>
      <c r="K638" s="4">
        <v>1</v>
      </c>
      <c r="L638" s="4">
        <v>2258</v>
      </c>
      <c r="M638" s="6">
        <v>50.923699999999997</v>
      </c>
      <c r="N638" s="9">
        <v>-120.86715</v>
      </c>
      <c r="O638" s="9" t="s">
        <v>142</v>
      </c>
      <c r="P638" s="9">
        <v>305</v>
      </c>
      <c r="Q638" s="20">
        <v>2</v>
      </c>
      <c r="R638" s="9" t="s">
        <v>2585</v>
      </c>
      <c r="S638" s="9" t="s">
        <v>1737</v>
      </c>
      <c r="T638" s="9">
        <v>972</v>
      </c>
      <c r="U638" s="9"/>
      <c r="V638" s="9"/>
      <c r="W638" s="21">
        <v>33239</v>
      </c>
      <c r="X638" s="9" t="s">
        <v>1738</v>
      </c>
      <c r="AO638" s="4" t="s">
        <v>2585</v>
      </c>
      <c r="AP638" s="4">
        <v>305</v>
      </c>
      <c r="AQ638" s="4" t="s">
        <v>1716</v>
      </c>
      <c r="AR638" s="4" t="s">
        <v>1739</v>
      </c>
      <c r="AS638" s="4" t="s">
        <v>1740</v>
      </c>
      <c r="AT638" s="4" t="s">
        <v>1741</v>
      </c>
      <c r="AU638" s="4" t="s">
        <v>1742</v>
      </c>
      <c r="AV638" s="4" t="s">
        <v>1720</v>
      </c>
      <c r="AW638" s="4" t="s">
        <v>2368</v>
      </c>
      <c r="AX638" s="4" t="s">
        <v>2369</v>
      </c>
      <c r="AY638" s="4">
        <v>50.923699999999997</v>
      </c>
      <c r="AZ638" s="4">
        <v>-120.86709999999999</v>
      </c>
      <c r="BA638" s="4">
        <v>960</v>
      </c>
    </row>
    <row r="639" spans="1:53" ht="14.25" customHeight="1" x14ac:dyDescent="0.2">
      <c r="A639" s="4" t="s">
        <v>1908</v>
      </c>
      <c r="B639" s="4">
        <v>12</v>
      </c>
      <c r="C639" s="4" t="s">
        <v>7666</v>
      </c>
      <c r="D639" s="4">
        <v>306</v>
      </c>
      <c r="E639" s="4">
        <v>1856</v>
      </c>
      <c r="F639" s="8" t="s">
        <v>2586</v>
      </c>
      <c r="G639" s="8" t="s">
        <v>2587</v>
      </c>
      <c r="H639" s="4" t="s">
        <v>2341</v>
      </c>
      <c r="I639" s="4" t="s">
        <v>641</v>
      </c>
      <c r="J639" s="4" t="s">
        <v>1865</v>
      </c>
      <c r="K639" s="4">
        <v>1</v>
      </c>
      <c r="L639" s="4">
        <v>2259</v>
      </c>
      <c r="M639" s="6">
        <v>51.17747</v>
      </c>
      <c r="N639" s="9">
        <v>-122.24893</v>
      </c>
      <c r="O639" s="9" t="s">
        <v>148</v>
      </c>
      <c r="P639" s="9">
        <v>306</v>
      </c>
      <c r="Q639" s="20">
        <v>7</v>
      </c>
      <c r="R639" s="9" t="s">
        <v>2588</v>
      </c>
      <c r="S639" s="9" t="s">
        <v>1737</v>
      </c>
      <c r="T639" s="9">
        <v>1320</v>
      </c>
      <c r="U639" s="9"/>
      <c r="V639" s="9"/>
      <c r="W639" s="21">
        <v>28856</v>
      </c>
      <c r="X639" s="9" t="s">
        <v>1738</v>
      </c>
      <c r="AO639" s="4" t="s">
        <v>2588</v>
      </c>
      <c r="AP639" s="4">
        <v>306</v>
      </c>
      <c r="AQ639" s="4" t="s">
        <v>1716</v>
      </c>
      <c r="AR639" s="4" t="s">
        <v>1739</v>
      </c>
      <c r="AS639" s="4" t="s">
        <v>1740</v>
      </c>
      <c r="AT639" s="4" t="s">
        <v>1741</v>
      </c>
      <c r="AU639" s="4" t="s">
        <v>1742</v>
      </c>
      <c r="AV639" s="4" t="s">
        <v>1720</v>
      </c>
      <c r="AW639" s="4" t="s">
        <v>2368</v>
      </c>
      <c r="AX639" s="4" t="s">
        <v>2505</v>
      </c>
      <c r="AY639" s="4">
        <v>51.177500000000002</v>
      </c>
      <c r="AZ639" s="4">
        <v>-122.24890000000001</v>
      </c>
      <c r="BA639" s="4">
        <v>1320</v>
      </c>
    </row>
    <row r="640" spans="1:53" ht="14.25" customHeight="1" x14ac:dyDescent="0.2">
      <c r="A640" s="4" t="s">
        <v>1908</v>
      </c>
      <c r="B640" s="4">
        <v>12</v>
      </c>
      <c r="C640" s="4" t="s">
        <v>7666</v>
      </c>
      <c r="D640" s="4">
        <v>307</v>
      </c>
      <c r="E640" s="4">
        <v>1857</v>
      </c>
      <c r="F640" s="8" t="s">
        <v>2589</v>
      </c>
      <c r="G640" s="8" t="s">
        <v>2590</v>
      </c>
      <c r="H640" s="4" t="s">
        <v>2591</v>
      </c>
      <c r="I640" s="4" t="s">
        <v>641</v>
      </c>
      <c r="J640" s="4" t="s">
        <v>1865</v>
      </c>
      <c r="K640" s="4">
        <v>1</v>
      </c>
      <c r="L640" s="4">
        <v>2260</v>
      </c>
      <c r="M640" s="62">
        <v>50.615250000000003</v>
      </c>
      <c r="N640" s="34">
        <v>-120.8361</v>
      </c>
      <c r="O640" s="9" t="s">
        <v>142</v>
      </c>
      <c r="P640" s="9">
        <v>307</v>
      </c>
      <c r="Q640" s="20">
        <v>4</v>
      </c>
      <c r="R640" s="34" t="s">
        <v>2592</v>
      </c>
      <c r="S640" s="9" t="s">
        <v>1737</v>
      </c>
      <c r="T640" s="35">
        <v>1167</v>
      </c>
      <c r="U640" s="9"/>
      <c r="V640" s="9"/>
      <c r="W640" s="21">
        <v>29952</v>
      </c>
      <c r="X640" s="9" t="s">
        <v>1738</v>
      </c>
      <c r="AO640" s="4" t="s">
        <v>2592</v>
      </c>
      <c r="AP640" s="4">
        <v>307</v>
      </c>
      <c r="AQ640" s="4" t="s">
        <v>1700</v>
      </c>
      <c r="AR640" s="4" t="s">
        <v>1739</v>
      </c>
      <c r="AS640" s="4" t="s">
        <v>1740</v>
      </c>
      <c r="AT640" s="4" t="s">
        <v>1741</v>
      </c>
      <c r="AU640" s="4" t="s">
        <v>1959</v>
      </c>
      <c r="AV640" s="4" t="s">
        <v>1720</v>
      </c>
      <c r="AW640" s="4" t="s">
        <v>2368</v>
      </c>
      <c r="AX640" s="4" t="s">
        <v>2369</v>
      </c>
      <c r="AY640" s="4">
        <v>50.615299999999998</v>
      </c>
      <c r="AZ640" s="4">
        <v>-120.83620000000001</v>
      </c>
      <c r="BA640" s="4">
        <v>1153</v>
      </c>
    </row>
    <row r="641" spans="1:53" ht="14.25" customHeight="1" x14ac:dyDescent="0.2">
      <c r="B641" s="4">
        <v>12</v>
      </c>
      <c r="C641" s="4" t="s">
        <v>7666</v>
      </c>
      <c r="D641" s="4">
        <v>308</v>
      </c>
      <c r="E641" s="4">
        <v>1858</v>
      </c>
      <c r="F641" s="16" t="s">
        <v>2593</v>
      </c>
      <c r="G641" s="4" t="s">
        <v>2594</v>
      </c>
      <c r="H641" s="4" t="s">
        <v>2595</v>
      </c>
      <c r="I641" s="4" t="s">
        <v>641</v>
      </c>
      <c r="J641" s="4" t="s">
        <v>1715</v>
      </c>
      <c r="K641" s="4">
        <v>1</v>
      </c>
      <c r="L641" s="4">
        <v>2261</v>
      </c>
      <c r="M641" s="6"/>
      <c r="AO641" s="4" t="s">
        <v>2593</v>
      </c>
      <c r="AP641" s="4">
        <v>308</v>
      </c>
      <c r="AQ641" s="4" t="s">
        <v>1716</v>
      </c>
      <c r="AR641" s="4" t="s">
        <v>1717</v>
      </c>
      <c r="AS641" s="4" t="s">
        <v>1718</v>
      </c>
      <c r="AT641" s="4" t="s">
        <v>1703</v>
      </c>
      <c r="AU641" s="4" t="s">
        <v>1703</v>
      </c>
      <c r="AV641" s="4" t="s">
        <v>1720</v>
      </c>
      <c r="AW641" s="4" t="s">
        <v>2368</v>
      </c>
      <c r="AX641" s="4" t="s">
        <v>2505</v>
      </c>
      <c r="AY641" s="4">
        <v>51.051699999999997</v>
      </c>
      <c r="AZ641" s="4">
        <v>-122.7683</v>
      </c>
      <c r="BA641" s="4">
        <v>1432</v>
      </c>
    </row>
    <row r="642" spans="1:53" ht="14.25" customHeight="1" x14ac:dyDescent="0.2">
      <c r="A642" s="4" t="s">
        <v>1908</v>
      </c>
      <c r="B642" s="4">
        <v>12</v>
      </c>
      <c r="C642" s="4" t="s">
        <v>7666</v>
      </c>
      <c r="D642" s="4">
        <v>309</v>
      </c>
      <c r="E642" s="4">
        <v>1859</v>
      </c>
      <c r="F642" s="8" t="s">
        <v>2596</v>
      </c>
      <c r="G642" s="8" t="s">
        <v>2597</v>
      </c>
      <c r="H642" s="4" t="s">
        <v>2598</v>
      </c>
      <c r="I642" s="4" t="s">
        <v>641</v>
      </c>
      <c r="J642" s="4" t="s">
        <v>1865</v>
      </c>
      <c r="K642" s="4">
        <v>1</v>
      </c>
      <c r="L642" s="4">
        <v>2262</v>
      </c>
      <c r="M642" s="62">
        <v>50.796329999999998</v>
      </c>
      <c r="N642" s="34">
        <v>-122.88047</v>
      </c>
      <c r="O642" s="9" t="s">
        <v>142</v>
      </c>
      <c r="P642" s="9">
        <v>309</v>
      </c>
      <c r="Q642" s="20">
        <v>4</v>
      </c>
      <c r="R642" s="34" t="s">
        <v>2599</v>
      </c>
      <c r="S642" s="9" t="s">
        <v>1737</v>
      </c>
      <c r="T642" s="35">
        <v>1205</v>
      </c>
      <c r="U642" s="9"/>
      <c r="V642" s="9"/>
      <c r="W642" s="21">
        <v>31413</v>
      </c>
      <c r="X642" s="9" t="s">
        <v>1738</v>
      </c>
      <c r="AO642" s="4" t="s">
        <v>2599</v>
      </c>
      <c r="AP642" s="4">
        <v>309</v>
      </c>
      <c r="AQ642" s="4" t="s">
        <v>1716</v>
      </c>
      <c r="AR642" s="4" t="s">
        <v>1739</v>
      </c>
      <c r="AS642" s="4" t="s">
        <v>1740</v>
      </c>
      <c r="AT642" s="4" t="s">
        <v>1741</v>
      </c>
      <c r="AU642" s="4" t="s">
        <v>1742</v>
      </c>
      <c r="AV642" s="4" t="s">
        <v>1720</v>
      </c>
      <c r="AW642" s="4" t="s">
        <v>2368</v>
      </c>
      <c r="AX642" s="4" t="s">
        <v>2505</v>
      </c>
      <c r="AY642" s="4">
        <v>50.796300000000002</v>
      </c>
      <c r="AZ642" s="4">
        <v>-122.8805</v>
      </c>
      <c r="BA642" s="4">
        <v>1191</v>
      </c>
    </row>
    <row r="643" spans="1:53" ht="14.25" customHeight="1" x14ac:dyDescent="0.2">
      <c r="B643" s="4">
        <v>12</v>
      </c>
      <c r="C643" s="4" t="s">
        <v>7666</v>
      </c>
      <c r="D643" s="4">
        <v>310</v>
      </c>
      <c r="E643" s="4">
        <v>1860</v>
      </c>
      <c r="F643" s="16" t="s">
        <v>2600</v>
      </c>
      <c r="G643" s="4" t="s">
        <v>2601</v>
      </c>
      <c r="H643" s="4" t="s">
        <v>2602</v>
      </c>
      <c r="I643" s="4" t="s">
        <v>641</v>
      </c>
      <c r="J643" s="4" t="s">
        <v>1715</v>
      </c>
      <c r="K643" s="4">
        <v>1</v>
      </c>
      <c r="L643" s="4">
        <v>2263</v>
      </c>
      <c r="M643" s="62"/>
      <c r="N643" s="34"/>
      <c r="R643" s="34"/>
      <c r="T643" s="35"/>
      <c r="AO643" s="4" t="s">
        <v>2600</v>
      </c>
      <c r="AP643" s="4">
        <v>310</v>
      </c>
      <c r="AQ643" s="4" t="s">
        <v>1716</v>
      </c>
      <c r="AR643" s="4" t="s">
        <v>1717</v>
      </c>
      <c r="AS643" s="4" t="s">
        <v>1718</v>
      </c>
      <c r="AT643" s="4" t="s">
        <v>1703</v>
      </c>
      <c r="AU643" s="4" t="s">
        <v>1703</v>
      </c>
      <c r="AV643" s="4" t="s">
        <v>1720</v>
      </c>
      <c r="AW643" s="4" t="s">
        <v>2368</v>
      </c>
      <c r="AX643" s="4" t="s">
        <v>2492</v>
      </c>
      <c r="AY643" s="4">
        <v>50.263300000000001</v>
      </c>
      <c r="AZ643" s="4">
        <v>-121.1533</v>
      </c>
      <c r="BA643" s="4">
        <v>853</v>
      </c>
    </row>
    <row r="644" spans="1:53" ht="14.25" customHeight="1" x14ac:dyDescent="0.2">
      <c r="A644" s="4" t="s">
        <v>1908</v>
      </c>
      <c r="B644" s="4">
        <v>12</v>
      </c>
      <c r="C644" s="4" t="s">
        <v>7666</v>
      </c>
      <c r="D644" s="4">
        <v>311</v>
      </c>
      <c r="E644" s="4">
        <v>1861</v>
      </c>
      <c r="F644" s="8" t="s">
        <v>2603</v>
      </c>
      <c r="G644" s="8" t="s">
        <v>2604</v>
      </c>
      <c r="H644" s="4" t="s">
        <v>2605</v>
      </c>
      <c r="I644" s="4" t="s">
        <v>641</v>
      </c>
      <c r="J644" s="4" t="s">
        <v>1865</v>
      </c>
      <c r="K644" s="4">
        <v>1</v>
      </c>
      <c r="L644" s="4">
        <v>2264</v>
      </c>
      <c r="M644" s="6">
        <v>50.792299999999997</v>
      </c>
      <c r="N644" s="4">
        <v>-121.35814999999999</v>
      </c>
      <c r="O644" s="4" t="s">
        <v>142</v>
      </c>
      <c r="P644" s="4">
        <v>311</v>
      </c>
      <c r="Q644" s="4">
        <v>3</v>
      </c>
      <c r="R644" s="4" t="s">
        <v>2606</v>
      </c>
      <c r="S644" s="4" t="s">
        <v>1737</v>
      </c>
      <c r="T644" s="4">
        <v>1123</v>
      </c>
      <c r="U644" s="4" t="s">
        <v>645</v>
      </c>
      <c r="W644" s="4">
        <v>31778</v>
      </c>
      <c r="X644" s="4" t="s">
        <v>1738</v>
      </c>
      <c r="AO644" s="4" t="s">
        <v>2606</v>
      </c>
      <c r="AP644" s="4">
        <v>311</v>
      </c>
      <c r="AQ644" s="4" t="s">
        <v>1700</v>
      </c>
      <c r="AR644" s="4" t="s">
        <v>1739</v>
      </c>
      <c r="AS644" s="4" t="s">
        <v>1740</v>
      </c>
      <c r="AT644" s="4" t="s">
        <v>1741</v>
      </c>
      <c r="AU644" s="4" t="s">
        <v>1959</v>
      </c>
      <c r="AV644" s="4" t="s">
        <v>1720</v>
      </c>
      <c r="AW644" s="4" t="s">
        <v>2368</v>
      </c>
      <c r="AX644" s="4" t="s">
        <v>2369</v>
      </c>
      <c r="AY644" s="4">
        <v>50.792299999999997</v>
      </c>
      <c r="AZ644" s="4">
        <v>-121.35809999999999</v>
      </c>
      <c r="BA644" s="4">
        <v>1123</v>
      </c>
    </row>
    <row r="645" spans="1:53" ht="14.25" customHeight="1" x14ac:dyDescent="0.2">
      <c r="B645" s="4">
        <v>12</v>
      </c>
      <c r="C645" s="4" t="s">
        <v>7666</v>
      </c>
      <c r="D645" s="4">
        <v>312</v>
      </c>
      <c r="E645" s="4">
        <v>1862</v>
      </c>
      <c r="F645" s="16" t="s">
        <v>2607</v>
      </c>
      <c r="G645" s="4" t="s">
        <v>2608</v>
      </c>
      <c r="H645" s="4" t="s">
        <v>2609</v>
      </c>
      <c r="I645" s="4" t="s">
        <v>641</v>
      </c>
      <c r="J645" s="4" t="s">
        <v>1715</v>
      </c>
      <c r="K645" s="4">
        <v>1</v>
      </c>
      <c r="L645" s="4">
        <v>2265</v>
      </c>
      <c r="M645" s="6"/>
      <c r="AO645" s="4" t="s">
        <v>2607</v>
      </c>
      <c r="AP645" s="4">
        <v>312</v>
      </c>
      <c r="AQ645" s="4" t="s">
        <v>1716</v>
      </c>
      <c r="AR645" s="4" t="s">
        <v>1717</v>
      </c>
      <c r="AS645" s="4" t="s">
        <v>1718</v>
      </c>
      <c r="AT645" s="4" t="s">
        <v>1703</v>
      </c>
      <c r="AU645" s="4" t="s">
        <v>1703</v>
      </c>
      <c r="AV645" s="4" t="s">
        <v>1720</v>
      </c>
      <c r="AW645" s="4" t="s">
        <v>2368</v>
      </c>
      <c r="AX645" s="4" t="s">
        <v>2369</v>
      </c>
      <c r="AY645" s="4">
        <v>50.968299999999999</v>
      </c>
      <c r="AZ645" s="4">
        <v>-120.4867</v>
      </c>
      <c r="BA645" s="4">
        <v>1646</v>
      </c>
    </row>
    <row r="646" spans="1:53" ht="14.25" customHeight="1" x14ac:dyDescent="0.2">
      <c r="B646" s="4">
        <v>12</v>
      </c>
      <c r="C646" s="4" t="s">
        <v>7666</v>
      </c>
      <c r="D646" s="4">
        <v>313</v>
      </c>
      <c r="E646" s="4">
        <v>1863</v>
      </c>
      <c r="F646" s="16" t="s">
        <v>2610</v>
      </c>
      <c r="G646" s="4" t="s">
        <v>2611</v>
      </c>
      <c r="H646" s="4" t="s">
        <v>2612</v>
      </c>
      <c r="I646" s="4" t="s">
        <v>1664</v>
      </c>
      <c r="J646" s="4" t="s">
        <v>1715</v>
      </c>
      <c r="K646" s="4">
        <v>1</v>
      </c>
      <c r="L646" s="4">
        <v>2266</v>
      </c>
      <c r="M646" s="62"/>
      <c r="N646" s="34"/>
      <c r="P646" s="34"/>
      <c r="R646" s="34"/>
      <c r="T646" s="35"/>
      <c r="AO646" s="4" t="s">
        <v>2610</v>
      </c>
      <c r="AP646" s="4">
        <v>313</v>
      </c>
      <c r="AQ646" s="4" t="s">
        <v>1716</v>
      </c>
      <c r="AR646" s="4" t="s">
        <v>1717</v>
      </c>
      <c r="AS646" s="4" t="s">
        <v>1718</v>
      </c>
      <c r="AT646" s="4" t="s">
        <v>1703</v>
      </c>
      <c r="AU646" s="4" t="s">
        <v>1703</v>
      </c>
      <c r="AV646" s="4" t="s">
        <v>1720</v>
      </c>
      <c r="AW646" s="4" t="s">
        <v>2368</v>
      </c>
      <c r="AX646" s="4" t="s">
        <v>2369</v>
      </c>
      <c r="AY646" s="4">
        <v>50.887999999999998</v>
      </c>
      <c r="AZ646" s="4">
        <v>-119.83799999999999</v>
      </c>
      <c r="BA646" s="4">
        <v>1615</v>
      </c>
    </row>
    <row r="647" spans="1:53" ht="14.25" customHeight="1" x14ac:dyDescent="0.2">
      <c r="B647" s="4">
        <v>12</v>
      </c>
      <c r="C647" s="4" t="s">
        <v>7666</v>
      </c>
      <c r="D647" s="4">
        <v>314</v>
      </c>
      <c r="E647" s="4">
        <v>1864</v>
      </c>
      <c r="F647" s="16" t="s">
        <v>2613</v>
      </c>
      <c r="G647" s="4" t="s">
        <v>2614</v>
      </c>
      <c r="H647" s="4" t="s">
        <v>2615</v>
      </c>
      <c r="I647" s="4" t="s">
        <v>641</v>
      </c>
      <c r="J647" s="4" t="s">
        <v>1715</v>
      </c>
      <c r="K647" s="4">
        <v>1</v>
      </c>
      <c r="L647" s="4">
        <v>2267</v>
      </c>
      <c r="M647" s="62"/>
      <c r="N647" s="34"/>
      <c r="P647" s="34"/>
      <c r="R647" s="34"/>
      <c r="T647" s="35"/>
      <c r="AO647" s="4" t="s">
        <v>2613</v>
      </c>
      <c r="AP647" s="4">
        <v>314</v>
      </c>
      <c r="AQ647" s="4" t="s">
        <v>1716</v>
      </c>
      <c r="AR647" s="4" t="s">
        <v>1717</v>
      </c>
      <c r="AS647" s="4" t="s">
        <v>1718</v>
      </c>
      <c r="AT647" s="4" t="s">
        <v>1703</v>
      </c>
      <c r="AU647" s="4" t="s">
        <v>1703</v>
      </c>
      <c r="AV647" s="4" t="s">
        <v>1720</v>
      </c>
      <c r="AW647" s="4" t="s">
        <v>2193</v>
      </c>
      <c r="AX647" s="4" t="s">
        <v>2283</v>
      </c>
      <c r="AY647" s="4">
        <v>51.3</v>
      </c>
      <c r="AZ647" s="4">
        <v>-124.7</v>
      </c>
      <c r="BA647" s="4">
        <v>10</v>
      </c>
    </row>
    <row r="648" spans="1:53" ht="14.25" customHeight="1" x14ac:dyDescent="0.2">
      <c r="B648" s="4">
        <v>12</v>
      </c>
      <c r="C648" s="4" t="s">
        <v>7666</v>
      </c>
      <c r="D648" s="4">
        <v>315</v>
      </c>
      <c r="E648" s="4">
        <v>1865</v>
      </c>
      <c r="F648" s="16" t="s">
        <v>2616</v>
      </c>
      <c r="G648" s="4" t="s">
        <v>2617</v>
      </c>
      <c r="H648" s="4" t="s">
        <v>2618</v>
      </c>
      <c r="I648" s="4" t="s">
        <v>641</v>
      </c>
      <c r="J648" s="4" t="s">
        <v>1746</v>
      </c>
      <c r="K648" s="4">
        <v>1</v>
      </c>
      <c r="L648" s="4">
        <v>2268</v>
      </c>
      <c r="M648" s="62"/>
      <c r="N648" s="34"/>
      <c r="P648" s="34"/>
      <c r="R648" s="34"/>
      <c r="T648" s="35"/>
      <c r="AO648" s="4" t="s">
        <v>2616</v>
      </c>
      <c r="AP648" s="4">
        <v>315</v>
      </c>
      <c r="AQ648" s="4" t="s">
        <v>1716</v>
      </c>
      <c r="AR648" s="4" t="s">
        <v>1717</v>
      </c>
      <c r="AS648" s="4" t="s">
        <v>1718</v>
      </c>
      <c r="AT648" s="4" t="s">
        <v>1703</v>
      </c>
      <c r="AU648" s="4" t="s">
        <v>1703</v>
      </c>
      <c r="AV648" s="4" t="s">
        <v>1720</v>
      </c>
      <c r="AW648" s="4" t="s">
        <v>1705</v>
      </c>
      <c r="AX648" s="4" t="s">
        <v>1879</v>
      </c>
      <c r="AY648" s="4">
        <v>50.351700000000001</v>
      </c>
      <c r="AZ648" s="4">
        <v>-122.7967</v>
      </c>
      <c r="BA648" s="4">
        <v>774</v>
      </c>
    </row>
    <row r="649" spans="1:53" ht="14.25" customHeight="1" x14ac:dyDescent="0.2">
      <c r="A649" s="4" t="s">
        <v>88</v>
      </c>
      <c r="B649" s="4">
        <v>12</v>
      </c>
      <c r="C649" s="4" t="s">
        <v>7666</v>
      </c>
      <c r="D649" s="4">
        <v>316</v>
      </c>
      <c r="E649" s="4">
        <v>1866</v>
      </c>
      <c r="F649" s="4" t="s">
        <v>2619</v>
      </c>
      <c r="G649" s="8" t="s">
        <v>2620</v>
      </c>
      <c r="H649" s="4" t="s">
        <v>2621</v>
      </c>
      <c r="I649" s="4" t="s">
        <v>641</v>
      </c>
      <c r="J649" s="4" t="s">
        <v>1829</v>
      </c>
      <c r="K649" s="4">
        <v>1</v>
      </c>
      <c r="L649" s="4">
        <v>2269</v>
      </c>
      <c r="M649" s="62">
        <v>49.901780000000002</v>
      </c>
      <c r="N649" s="34">
        <v>-122.02070000000001</v>
      </c>
      <c r="O649" s="4" t="s">
        <v>51</v>
      </c>
      <c r="P649" s="4">
        <v>316</v>
      </c>
      <c r="Q649" s="4">
        <v>7</v>
      </c>
      <c r="R649" s="34" t="s">
        <v>2619</v>
      </c>
      <c r="S649" s="4" t="s">
        <v>1737</v>
      </c>
      <c r="T649" s="35">
        <v>1400</v>
      </c>
      <c r="W649" s="4">
        <v>36892</v>
      </c>
      <c r="X649" s="4" t="s">
        <v>1738</v>
      </c>
      <c r="AO649" s="4" t="s">
        <v>2619</v>
      </c>
      <c r="AP649" s="4">
        <v>316</v>
      </c>
      <c r="AQ649" s="4" t="s">
        <v>1716</v>
      </c>
      <c r="AR649" s="4" t="s">
        <v>1739</v>
      </c>
      <c r="AS649" s="4" t="s">
        <v>1740</v>
      </c>
      <c r="AT649" s="4" t="s">
        <v>1741</v>
      </c>
      <c r="AU649" s="4" t="s">
        <v>1742</v>
      </c>
      <c r="AV649" s="4" t="s">
        <v>1720</v>
      </c>
      <c r="AW649" s="4" t="s">
        <v>1705</v>
      </c>
      <c r="AX649" s="4" t="s">
        <v>1883</v>
      </c>
      <c r="AY649" s="4">
        <v>49.901800000000001</v>
      </c>
      <c r="AZ649" s="4">
        <v>-122.0209</v>
      </c>
      <c r="BA649" s="4">
        <v>551</v>
      </c>
    </row>
    <row r="650" spans="1:53" ht="14.25" customHeight="1" x14ac:dyDescent="0.2">
      <c r="A650" s="4" t="s">
        <v>88</v>
      </c>
      <c r="B650" s="4">
        <v>12</v>
      </c>
      <c r="C650" s="4" t="s">
        <v>7666</v>
      </c>
      <c r="D650" s="4">
        <v>317</v>
      </c>
      <c r="E650" s="4">
        <v>1867</v>
      </c>
      <c r="F650" s="4" t="s">
        <v>770</v>
      </c>
      <c r="G650" s="8" t="s">
        <v>2622</v>
      </c>
      <c r="H650" s="4" t="s">
        <v>2623</v>
      </c>
      <c r="I650" s="4" t="s">
        <v>641</v>
      </c>
      <c r="J650" s="4" t="s">
        <v>1736</v>
      </c>
      <c r="K650" s="4">
        <v>1</v>
      </c>
      <c r="L650" s="4">
        <v>2270</v>
      </c>
      <c r="M650" s="62">
        <v>49.0623</v>
      </c>
      <c r="N650" s="34">
        <v>-120.76739999999999</v>
      </c>
      <c r="O650" s="4" t="s">
        <v>142</v>
      </c>
      <c r="P650" s="34">
        <v>317</v>
      </c>
      <c r="Q650" s="4">
        <v>4</v>
      </c>
      <c r="R650" s="34" t="s">
        <v>770</v>
      </c>
      <c r="S650" s="4" t="s">
        <v>1737</v>
      </c>
      <c r="T650" s="35">
        <v>1215</v>
      </c>
      <c r="W650" s="4">
        <v>31778</v>
      </c>
      <c r="X650" s="4" t="s">
        <v>1738</v>
      </c>
      <c r="AO650" s="4" t="s">
        <v>770</v>
      </c>
      <c r="AP650" s="4">
        <v>317</v>
      </c>
      <c r="AQ650" s="4" t="s">
        <v>1716</v>
      </c>
      <c r="AR650" s="4" t="s">
        <v>1739</v>
      </c>
      <c r="AS650" s="4" t="s">
        <v>1740</v>
      </c>
      <c r="AT650" s="4" t="s">
        <v>1741</v>
      </c>
      <c r="AU650" s="4" t="s">
        <v>1742</v>
      </c>
      <c r="AV650" s="4" t="s">
        <v>1720</v>
      </c>
      <c r="AW650" s="4" t="s">
        <v>1705</v>
      </c>
      <c r="AX650" s="4" t="s">
        <v>1883</v>
      </c>
      <c r="AY650" s="4">
        <v>49.0625</v>
      </c>
      <c r="AZ650" s="4">
        <v>-120.7668</v>
      </c>
      <c r="BA650" s="4">
        <v>1174</v>
      </c>
    </row>
    <row r="651" spans="1:53" ht="14.25" customHeight="1" x14ac:dyDescent="0.2">
      <c r="B651" s="4">
        <v>12</v>
      </c>
      <c r="C651" s="4" t="s">
        <v>7666</v>
      </c>
      <c r="D651" s="4">
        <v>319</v>
      </c>
      <c r="E651" s="4">
        <v>1868</v>
      </c>
      <c r="F651" s="16" t="s">
        <v>2624</v>
      </c>
      <c r="G651" s="4" t="s">
        <v>2625</v>
      </c>
      <c r="H651" s="4" t="s">
        <v>2626</v>
      </c>
      <c r="I651" s="4" t="s">
        <v>641</v>
      </c>
      <c r="J651" s="4" t="s">
        <v>1715</v>
      </c>
      <c r="K651" s="4">
        <v>1</v>
      </c>
      <c r="L651" s="4">
        <v>2271</v>
      </c>
      <c r="M651" s="62"/>
      <c r="N651" s="34"/>
      <c r="P651" s="34"/>
      <c r="R651" s="34"/>
      <c r="T651" s="35"/>
      <c r="AO651" s="4" t="s">
        <v>2624</v>
      </c>
      <c r="AP651" s="4">
        <v>319</v>
      </c>
      <c r="AQ651" s="4" t="s">
        <v>1716</v>
      </c>
      <c r="AR651" s="4" t="s">
        <v>1717</v>
      </c>
      <c r="AS651" s="4" t="s">
        <v>1718</v>
      </c>
      <c r="AT651" s="4" t="s">
        <v>1703</v>
      </c>
      <c r="AU651" s="4" t="s">
        <v>1703</v>
      </c>
      <c r="AV651" s="4" t="s">
        <v>1720</v>
      </c>
      <c r="AW651" s="4" t="s">
        <v>2368</v>
      </c>
      <c r="AX651" s="4" t="s">
        <v>2492</v>
      </c>
      <c r="AY651" s="4">
        <v>49.308300000000003</v>
      </c>
      <c r="AZ651" s="4">
        <v>-120.2183</v>
      </c>
      <c r="BA651" s="4">
        <v>1402</v>
      </c>
    </row>
    <row r="652" spans="1:53" ht="14.25" customHeight="1" x14ac:dyDescent="0.2">
      <c r="B652" s="4">
        <v>12</v>
      </c>
      <c r="C652" s="4" t="s">
        <v>7666</v>
      </c>
      <c r="D652" s="4">
        <v>320</v>
      </c>
      <c r="E652" s="4">
        <v>1869</v>
      </c>
      <c r="F652" s="16" t="s">
        <v>2627</v>
      </c>
      <c r="G652" s="4" t="s">
        <v>2628</v>
      </c>
      <c r="H652" s="4" t="s">
        <v>2629</v>
      </c>
      <c r="I652" s="4" t="s">
        <v>641</v>
      </c>
      <c r="J652" s="4" t="s">
        <v>1715</v>
      </c>
      <c r="K652" s="4">
        <v>1</v>
      </c>
      <c r="L652" s="4">
        <v>2272</v>
      </c>
      <c r="M652" s="62"/>
      <c r="N652" s="34"/>
      <c r="R652" s="34"/>
      <c r="T652" s="35"/>
      <c r="AO652" s="4" t="s">
        <v>2627</v>
      </c>
      <c r="AP652" s="4">
        <v>320</v>
      </c>
      <c r="AQ652" s="4" t="s">
        <v>1716</v>
      </c>
      <c r="AR652" s="4" t="s">
        <v>1717</v>
      </c>
      <c r="AS652" s="4" t="s">
        <v>1718</v>
      </c>
      <c r="AT652" s="4" t="s">
        <v>1703</v>
      </c>
      <c r="AU652" s="4" t="s">
        <v>1703</v>
      </c>
      <c r="AV652" s="4" t="s">
        <v>1720</v>
      </c>
      <c r="AW652" s="4" t="s">
        <v>2368</v>
      </c>
      <c r="AX652" s="4" t="s">
        <v>2492</v>
      </c>
      <c r="AY652" s="4">
        <v>50.313299999999998</v>
      </c>
      <c r="AZ652" s="4">
        <v>-120.9267</v>
      </c>
      <c r="BA652" s="4">
        <v>1402</v>
      </c>
    </row>
    <row r="653" spans="1:53" ht="14.25" customHeight="1" x14ac:dyDescent="0.2">
      <c r="A653" s="4" t="s">
        <v>88</v>
      </c>
      <c r="B653" s="4">
        <v>12</v>
      </c>
      <c r="C653" s="4" t="s">
        <v>7666</v>
      </c>
      <c r="D653" s="4">
        <v>321</v>
      </c>
      <c r="E653" s="4">
        <v>1870</v>
      </c>
      <c r="F653" s="4" t="s">
        <v>2630</v>
      </c>
      <c r="G653" s="8" t="s">
        <v>2631</v>
      </c>
      <c r="H653" s="4" t="s">
        <v>2632</v>
      </c>
      <c r="I653" s="4" t="s">
        <v>641</v>
      </c>
      <c r="J653" s="4" t="s">
        <v>1865</v>
      </c>
      <c r="K653" s="4">
        <v>1</v>
      </c>
      <c r="L653" s="4">
        <v>2273</v>
      </c>
      <c r="M653" s="6">
        <v>50.611249999999998</v>
      </c>
      <c r="N653" s="4">
        <v>-120.64155</v>
      </c>
      <c r="O653" s="4" t="s">
        <v>142</v>
      </c>
      <c r="P653" s="4">
        <v>321</v>
      </c>
      <c r="Q653" s="4">
        <v>8</v>
      </c>
      <c r="R653" s="4" t="s">
        <v>2633</v>
      </c>
      <c r="S653" s="4" t="s">
        <v>1737</v>
      </c>
      <c r="T653" s="4">
        <v>1780</v>
      </c>
      <c r="W653" s="4">
        <v>32509</v>
      </c>
      <c r="X653" s="4" t="s">
        <v>1738</v>
      </c>
      <c r="AO653" s="53" t="s">
        <v>2633</v>
      </c>
      <c r="AP653" s="4">
        <v>321</v>
      </c>
      <c r="AQ653" s="4" t="s">
        <v>1700</v>
      </c>
      <c r="AR653" s="4" t="s">
        <v>1701</v>
      </c>
      <c r="AS653" s="4" t="s">
        <v>1740</v>
      </c>
      <c r="AT653" s="4" t="s">
        <v>1741</v>
      </c>
      <c r="AU653" s="4" t="s">
        <v>2043</v>
      </c>
      <c r="AV653" s="4" t="s">
        <v>1720</v>
      </c>
      <c r="AW653" s="4" t="s">
        <v>2368</v>
      </c>
      <c r="AX653" s="4" t="s">
        <v>2369</v>
      </c>
      <c r="AY653" s="4">
        <v>50.611199999999997</v>
      </c>
      <c r="AZ653" s="4">
        <v>-120.64149999999999</v>
      </c>
      <c r="BA653" s="4">
        <v>1780</v>
      </c>
    </row>
    <row r="654" spans="1:53" ht="14.25" customHeight="1" x14ac:dyDescent="0.2">
      <c r="A654" s="4" t="s">
        <v>88</v>
      </c>
      <c r="B654" s="4">
        <v>12</v>
      </c>
      <c r="C654" s="4" t="s">
        <v>7666</v>
      </c>
      <c r="D654" s="4">
        <v>322</v>
      </c>
      <c r="E654" s="4">
        <v>1871</v>
      </c>
      <c r="F654" s="4" t="s">
        <v>2634</v>
      </c>
      <c r="G654" s="8" t="s">
        <v>2635</v>
      </c>
      <c r="H654" s="4" t="s">
        <v>2636</v>
      </c>
      <c r="I654" s="4" t="s">
        <v>641</v>
      </c>
      <c r="J654" s="4" t="s">
        <v>1736</v>
      </c>
      <c r="K654" s="4">
        <v>1</v>
      </c>
      <c r="L654" s="4">
        <v>2274</v>
      </c>
      <c r="M654" s="62">
        <v>50.67333</v>
      </c>
      <c r="N654" s="34">
        <v>-120.48166999999999</v>
      </c>
      <c r="O654" s="4" t="s">
        <v>142</v>
      </c>
      <c r="P654" s="34">
        <v>322</v>
      </c>
      <c r="Q654" s="4">
        <v>2</v>
      </c>
      <c r="R654" s="34" t="s">
        <v>2634</v>
      </c>
      <c r="S654" s="4" t="s">
        <v>1737</v>
      </c>
      <c r="T654" s="35">
        <v>780</v>
      </c>
      <c r="U654" s="4" t="s">
        <v>645</v>
      </c>
      <c r="V654" s="4" t="s">
        <v>1830</v>
      </c>
      <c r="W654" s="4">
        <v>32143</v>
      </c>
      <c r="X654" s="4" t="s">
        <v>1738</v>
      </c>
      <c r="AO654" s="4" t="s">
        <v>2634</v>
      </c>
      <c r="AP654" s="4">
        <v>322</v>
      </c>
      <c r="AQ654" s="4" t="s">
        <v>1700</v>
      </c>
      <c r="AR654" s="4" t="s">
        <v>1739</v>
      </c>
      <c r="AS654" s="4" t="s">
        <v>1740</v>
      </c>
      <c r="AT654" s="4" t="s">
        <v>1741</v>
      </c>
      <c r="AU654" s="4" t="s">
        <v>1772</v>
      </c>
      <c r="AV654" s="4" t="s">
        <v>1720</v>
      </c>
      <c r="AW654" s="4" t="s">
        <v>2368</v>
      </c>
      <c r="AX654" s="4" t="s">
        <v>2369</v>
      </c>
      <c r="AY654" s="4">
        <v>50.672699999999999</v>
      </c>
      <c r="AZ654" s="4">
        <v>-120.48220000000001</v>
      </c>
      <c r="BA654" s="4">
        <v>693</v>
      </c>
    </row>
    <row r="655" spans="1:53" ht="14.25" customHeight="1" x14ac:dyDescent="0.2">
      <c r="B655" s="4">
        <v>12</v>
      </c>
      <c r="C655" s="4" t="s">
        <v>7666</v>
      </c>
      <c r="D655" s="4">
        <v>323</v>
      </c>
      <c r="E655" s="4">
        <v>1872</v>
      </c>
      <c r="F655" s="16" t="s">
        <v>2637</v>
      </c>
      <c r="G655" s="4" t="s">
        <v>2638</v>
      </c>
      <c r="H655" s="4" t="s">
        <v>2639</v>
      </c>
      <c r="I655" s="4" t="s">
        <v>641</v>
      </c>
      <c r="J655" s="4" t="s">
        <v>1715</v>
      </c>
      <c r="K655" s="4">
        <v>1</v>
      </c>
      <c r="L655" s="4">
        <v>2275</v>
      </c>
      <c r="M655" s="62"/>
      <c r="N655" s="34"/>
      <c r="R655" s="34"/>
      <c r="T655" s="35"/>
      <c r="AO655" s="4" t="s">
        <v>2637</v>
      </c>
      <c r="AP655" s="4">
        <v>323</v>
      </c>
      <c r="AQ655" s="4" t="s">
        <v>1716</v>
      </c>
      <c r="AR655" s="4" t="s">
        <v>1717</v>
      </c>
      <c r="AS655" s="4" t="s">
        <v>1718</v>
      </c>
      <c r="AT655" s="4" t="s">
        <v>1703</v>
      </c>
      <c r="AU655" s="4" t="s">
        <v>1703</v>
      </c>
      <c r="AV655" s="4" t="s">
        <v>1720</v>
      </c>
      <c r="AW655" s="4" t="s">
        <v>2368</v>
      </c>
      <c r="AX655" s="4" t="s">
        <v>2369</v>
      </c>
      <c r="AY655" s="4">
        <v>50.6</v>
      </c>
      <c r="AZ655" s="4">
        <v>-120.5</v>
      </c>
      <c r="BA655" s="4">
        <v>12</v>
      </c>
    </row>
    <row r="656" spans="1:53" ht="14.25" customHeight="1" x14ac:dyDescent="0.2">
      <c r="B656" s="4">
        <v>12</v>
      </c>
      <c r="C656" s="4" t="s">
        <v>7666</v>
      </c>
      <c r="D656" s="4">
        <v>324</v>
      </c>
      <c r="E656" s="4">
        <v>1873</v>
      </c>
      <c r="F656" s="16" t="s">
        <v>2640</v>
      </c>
      <c r="G656" s="4" t="s">
        <v>2641</v>
      </c>
      <c r="H656" s="4" t="s">
        <v>2642</v>
      </c>
      <c r="I656" s="4" t="s">
        <v>641</v>
      </c>
      <c r="J656" s="4" t="s">
        <v>1715</v>
      </c>
      <c r="K656" s="4">
        <v>1</v>
      </c>
      <c r="L656" s="4">
        <v>2276</v>
      </c>
      <c r="M656" s="62"/>
      <c r="N656" s="34"/>
      <c r="P656" s="34"/>
      <c r="R656" s="34"/>
      <c r="T656" s="35"/>
      <c r="AO656" s="4" t="s">
        <v>2640</v>
      </c>
      <c r="AP656" s="4">
        <v>324</v>
      </c>
      <c r="AQ656" s="4" t="s">
        <v>1716</v>
      </c>
      <c r="AR656" s="4" t="s">
        <v>1717</v>
      </c>
      <c r="AS656" s="4" t="s">
        <v>1718</v>
      </c>
      <c r="AT656" s="4" t="s">
        <v>1719</v>
      </c>
      <c r="AU656" s="4" t="s">
        <v>1836</v>
      </c>
      <c r="AV656" s="4" t="s">
        <v>1720</v>
      </c>
      <c r="AW656" s="4" t="s">
        <v>1705</v>
      </c>
      <c r="AX656" s="4" t="s">
        <v>1883</v>
      </c>
      <c r="AY656" s="4">
        <v>49.854999999999997</v>
      </c>
      <c r="AZ656" s="4">
        <v>-121.435</v>
      </c>
      <c r="BA656" s="4">
        <v>150</v>
      </c>
    </row>
    <row r="657" spans="1:53" ht="14.25" customHeight="1" x14ac:dyDescent="0.2">
      <c r="B657" s="4">
        <v>12</v>
      </c>
      <c r="C657" s="4" t="s">
        <v>7666</v>
      </c>
      <c r="D657" s="4">
        <v>325</v>
      </c>
      <c r="E657" s="4">
        <v>1874</v>
      </c>
      <c r="F657" s="4" t="s">
        <v>2643</v>
      </c>
      <c r="G657" s="4" t="s">
        <v>2644</v>
      </c>
      <c r="H657" s="4" t="s">
        <v>2645</v>
      </c>
      <c r="I657" s="4" t="s">
        <v>641</v>
      </c>
      <c r="J657" s="4" t="s">
        <v>1715</v>
      </c>
      <c r="K657" s="4">
        <v>1</v>
      </c>
      <c r="L657" s="4">
        <v>2277</v>
      </c>
      <c r="M657" s="62">
        <v>50.500250000000001</v>
      </c>
      <c r="N657" s="34">
        <v>-119.7013889</v>
      </c>
      <c r="O657" s="4" t="s">
        <v>142</v>
      </c>
      <c r="P657" s="34">
        <v>1359</v>
      </c>
      <c r="Q657" s="4">
        <v>3</v>
      </c>
      <c r="R657" s="34" t="s">
        <v>2646</v>
      </c>
      <c r="S657" s="4" t="s">
        <v>1737</v>
      </c>
      <c r="T657" s="35">
        <v>1153</v>
      </c>
      <c r="W657" s="4">
        <v>43614</v>
      </c>
      <c r="X657" s="4" t="s">
        <v>1738</v>
      </c>
      <c r="AO657" s="4" t="s">
        <v>2647</v>
      </c>
      <c r="AP657" s="4">
        <v>325</v>
      </c>
      <c r="AQ657" s="4" t="s">
        <v>1716</v>
      </c>
      <c r="AR657" s="4" t="s">
        <v>1717</v>
      </c>
      <c r="AS657" s="4" t="s">
        <v>1718</v>
      </c>
      <c r="AT657" s="4" t="s">
        <v>1835</v>
      </c>
      <c r="AU657" s="4" t="s">
        <v>1836</v>
      </c>
      <c r="AV657" s="4" t="s">
        <v>1720</v>
      </c>
      <c r="AW657" s="4" t="s">
        <v>2368</v>
      </c>
      <c r="AX657" s="4" t="s">
        <v>2492</v>
      </c>
      <c r="AY657" s="4">
        <v>49.38</v>
      </c>
      <c r="AZ657" s="4">
        <v>-120.1533</v>
      </c>
      <c r="BA657" s="4">
        <v>579</v>
      </c>
    </row>
    <row r="658" spans="1:53" ht="14.25" customHeight="1" x14ac:dyDescent="0.2">
      <c r="A658" s="4" t="s">
        <v>88</v>
      </c>
      <c r="B658" s="4">
        <v>12</v>
      </c>
      <c r="C658" s="4" t="s">
        <v>7666</v>
      </c>
      <c r="D658" s="4">
        <v>326</v>
      </c>
      <c r="E658" s="4">
        <v>1875</v>
      </c>
      <c r="F658" s="4" t="s">
        <v>2648</v>
      </c>
      <c r="G658" s="8" t="s">
        <v>2649</v>
      </c>
      <c r="H658" s="4" t="s">
        <v>2650</v>
      </c>
      <c r="I658" s="4" t="s">
        <v>641</v>
      </c>
      <c r="J658" s="4" t="s">
        <v>1865</v>
      </c>
      <c r="K658" s="4">
        <v>1</v>
      </c>
      <c r="L658" s="4">
        <v>2278</v>
      </c>
      <c r="M658" s="62">
        <v>50.503999999999998</v>
      </c>
      <c r="N658" s="34">
        <v>-120.67400000000001</v>
      </c>
      <c r="O658" s="4" t="s">
        <v>142</v>
      </c>
      <c r="P658" s="34">
        <v>326</v>
      </c>
      <c r="Q658" s="4">
        <v>6</v>
      </c>
      <c r="R658" s="34" t="s">
        <v>2648</v>
      </c>
      <c r="S658" s="4" t="s">
        <v>1737</v>
      </c>
      <c r="T658" s="35">
        <v>1440</v>
      </c>
      <c r="U658" s="4" t="s">
        <v>645</v>
      </c>
      <c r="W658" s="4">
        <v>36161</v>
      </c>
      <c r="X658" s="4" t="s">
        <v>1738</v>
      </c>
      <c r="AO658" s="4" t="s">
        <v>2648</v>
      </c>
      <c r="AP658" s="4">
        <v>326</v>
      </c>
      <c r="AQ658" s="4" t="s">
        <v>1700</v>
      </c>
      <c r="AR658" s="4" t="s">
        <v>1739</v>
      </c>
      <c r="AS658" s="4" t="s">
        <v>1740</v>
      </c>
      <c r="AT658" s="4" t="s">
        <v>1835</v>
      </c>
      <c r="AU658" s="4" t="s">
        <v>1959</v>
      </c>
      <c r="AV658" s="4" t="s">
        <v>1720</v>
      </c>
      <c r="AW658" s="4" t="s">
        <v>2368</v>
      </c>
      <c r="AX658" s="4" t="s">
        <v>2369</v>
      </c>
      <c r="AY658" s="4">
        <v>50.503999999999998</v>
      </c>
      <c r="AZ658" s="4">
        <v>-120.67400000000001</v>
      </c>
      <c r="BA658" s="4">
        <v>1488</v>
      </c>
    </row>
    <row r="659" spans="1:53" ht="14.25" customHeight="1" x14ac:dyDescent="0.2">
      <c r="A659" s="4" t="s">
        <v>88</v>
      </c>
      <c r="B659" s="4">
        <v>12</v>
      </c>
      <c r="C659" s="4" t="s">
        <v>7666</v>
      </c>
      <c r="D659" s="4">
        <v>328</v>
      </c>
      <c r="E659" s="4">
        <v>1876</v>
      </c>
      <c r="F659" s="4" t="s">
        <v>2651</v>
      </c>
      <c r="G659" s="8" t="s">
        <v>2652</v>
      </c>
      <c r="H659" s="4" t="s">
        <v>2653</v>
      </c>
      <c r="I659" s="4" t="s">
        <v>641</v>
      </c>
      <c r="J659" s="4" t="s">
        <v>1736</v>
      </c>
      <c r="K659" s="4">
        <v>1</v>
      </c>
      <c r="L659" s="4">
        <v>2279</v>
      </c>
      <c r="M659" s="6">
        <v>49.518329999999999</v>
      </c>
      <c r="N659" s="9">
        <v>-119.55333</v>
      </c>
      <c r="O659" s="9" t="s">
        <v>142</v>
      </c>
      <c r="P659" s="9">
        <v>328</v>
      </c>
      <c r="Q659" s="20">
        <v>1</v>
      </c>
      <c r="R659" s="9" t="s">
        <v>2651</v>
      </c>
      <c r="S659" s="9" t="s">
        <v>1737</v>
      </c>
      <c r="T659" s="9">
        <v>427</v>
      </c>
      <c r="U659" s="9" t="s">
        <v>645</v>
      </c>
      <c r="V659" s="9"/>
      <c r="W659" s="21">
        <v>25569</v>
      </c>
      <c r="X659" s="9" t="s">
        <v>1738</v>
      </c>
      <c r="AO659" s="4" t="s">
        <v>2651</v>
      </c>
      <c r="AP659" s="4">
        <v>328</v>
      </c>
      <c r="AQ659" s="4" t="s">
        <v>1700</v>
      </c>
      <c r="AR659" s="4" t="s">
        <v>1739</v>
      </c>
      <c r="AS659" s="4" t="s">
        <v>1740</v>
      </c>
      <c r="AT659" s="4" t="s">
        <v>1741</v>
      </c>
      <c r="AU659" s="4" t="s">
        <v>1772</v>
      </c>
      <c r="AV659" s="4" t="s">
        <v>1720</v>
      </c>
      <c r="AW659" s="4" t="s">
        <v>2368</v>
      </c>
      <c r="AX659" s="4" t="s">
        <v>2516</v>
      </c>
      <c r="AY659" s="4">
        <v>49.517699999999998</v>
      </c>
      <c r="AZ659" s="4">
        <v>-119.55289999999999</v>
      </c>
      <c r="BA659" s="4">
        <v>492</v>
      </c>
    </row>
    <row r="660" spans="1:53" ht="14.25" customHeight="1" x14ac:dyDescent="0.2">
      <c r="B660" s="4">
        <v>12</v>
      </c>
      <c r="C660" s="4" t="s">
        <v>7666</v>
      </c>
      <c r="D660" s="4">
        <v>329</v>
      </c>
      <c r="E660" s="4">
        <v>1877</v>
      </c>
      <c r="F660" s="16" t="s">
        <v>2654</v>
      </c>
      <c r="G660" s="4" t="s">
        <v>2655</v>
      </c>
      <c r="H660" s="4" t="s">
        <v>2656</v>
      </c>
      <c r="I660" s="4" t="s">
        <v>1664</v>
      </c>
      <c r="J660" s="4" t="s">
        <v>1715</v>
      </c>
      <c r="K660" s="4">
        <v>1</v>
      </c>
      <c r="L660" s="4">
        <v>2280</v>
      </c>
      <c r="M660" s="62"/>
      <c r="N660" s="34"/>
      <c r="R660" s="34"/>
      <c r="T660" s="35"/>
      <c r="AO660" s="4" t="s">
        <v>2654</v>
      </c>
      <c r="AP660" s="4">
        <v>329</v>
      </c>
      <c r="AQ660" s="4" t="s">
        <v>1716</v>
      </c>
      <c r="AR660" s="4" t="s">
        <v>1717</v>
      </c>
      <c r="AS660" s="4" t="s">
        <v>1718</v>
      </c>
      <c r="AT660" s="4" t="s">
        <v>1719</v>
      </c>
      <c r="AU660" s="4" t="s">
        <v>1703</v>
      </c>
      <c r="AV660" s="4" t="s">
        <v>1720</v>
      </c>
      <c r="AW660" s="4" t="s">
        <v>2368</v>
      </c>
      <c r="AX660" s="4" t="s">
        <v>2516</v>
      </c>
      <c r="AY660" s="4">
        <v>49.7</v>
      </c>
      <c r="AZ660" s="4">
        <v>-119.3</v>
      </c>
      <c r="BA660" s="4">
        <v>0</v>
      </c>
    </row>
    <row r="661" spans="1:53" ht="14.25" customHeight="1" x14ac:dyDescent="0.2">
      <c r="B661" s="4">
        <v>12</v>
      </c>
      <c r="C661" s="4" t="s">
        <v>7666</v>
      </c>
      <c r="D661" s="4">
        <v>330</v>
      </c>
      <c r="E661" s="4">
        <v>1878</v>
      </c>
      <c r="F661" s="16" t="s">
        <v>2657</v>
      </c>
      <c r="G661" s="4" t="s">
        <v>2658</v>
      </c>
      <c r="H661" s="4" t="s">
        <v>2659</v>
      </c>
      <c r="I661" s="4" t="s">
        <v>641</v>
      </c>
      <c r="J661" s="4" t="s">
        <v>1715</v>
      </c>
      <c r="K661" s="4">
        <v>1</v>
      </c>
      <c r="L661" s="4">
        <v>2281</v>
      </c>
      <c r="M661" s="62"/>
      <c r="N661" s="34"/>
      <c r="P661" s="34"/>
      <c r="R661" s="34"/>
      <c r="T661" s="35"/>
      <c r="AO661" s="4" t="s">
        <v>2657</v>
      </c>
      <c r="AP661" s="4">
        <v>330</v>
      </c>
      <c r="AQ661" s="4" t="s">
        <v>1716</v>
      </c>
      <c r="AR661" s="4" t="s">
        <v>1717</v>
      </c>
      <c r="AS661" s="4" t="s">
        <v>1718</v>
      </c>
      <c r="AT661" s="4" t="s">
        <v>1703</v>
      </c>
      <c r="AU661" s="4" t="s">
        <v>1703</v>
      </c>
      <c r="AV661" s="4" t="s">
        <v>1720</v>
      </c>
      <c r="AW661" s="4" t="s">
        <v>2368</v>
      </c>
      <c r="AX661" s="4" t="s">
        <v>2522</v>
      </c>
      <c r="AY661" s="4">
        <v>50.1233</v>
      </c>
      <c r="AZ661" s="4">
        <v>-118.9833</v>
      </c>
      <c r="BA661" s="4">
        <v>1402</v>
      </c>
    </row>
    <row r="662" spans="1:53" ht="14.25" customHeight="1" x14ac:dyDescent="0.2">
      <c r="A662" s="4" t="s">
        <v>1908</v>
      </c>
      <c r="B662" s="4">
        <v>12</v>
      </c>
      <c r="C662" s="4" t="s">
        <v>7666</v>
      </c>
      <c r="D662" s="4">
        <v>331</v>
      </c>
      <c r="E662" s="4">
        <v>1879</v>
      </c>
      <c r="F662" s="8" t="s">
        <v>2660</v>
      </c>
      <c r="G662" s="8" t="s">
        <v>2661</v>
      </c>
      <c r="H662" s="4" t="s">
        <v>2662</v>
      </c>
      <c r="I662" s="4" t="s">
        <v>641</v>
      </c>
      <c r="J662" s="4" t="s">
        <v>1736</v>
      </c>
      <c r="K662" s="4">
        <v>1</v>
      </c>
      <c r="L662" s="4">
        <v>2282</v>
      </c>
      <c r="M662" s="6">
        <v>49.139049999999997</v>
      </c>
      <c r="N662" s="9">
        <v>-120.1844</v>
      </c>
      <c r="O662" s="9" t="s">
        <v>142</v>
      </c>
      <c r="P662" s="14">
        <v>331</v>
      </c>
      <c r="Q662" s="20">
        <v>7</v>
      </c>
      <c r="R662" s="9" t="s">
        <v>2663</v>
      </c>
      <c r="S662" s="9" t="s">
        <v>1737</v>
      </c>
      <c r="T662" s="9">
        <v>1683</v>
      </c>
      <c r="U662" s="9"/>
      <c r="V662" s="9"/>
      <c r="W662" s="21">
        <v>33604</v>
      </c>
      <c r="X662" s="9" t="s">
        <v>1738</v>
      </c>
      <c r="AO662" s="4" t="s">
        <v>2663</v>
      </c>
      <c r="AP662" s="4">
        <v>331</v>
      </c>
      <c r="AQ662" s="4" t="s">
        <v>1716</v>
      </c>
      <c r="AR662" s="4" t="s">
        <v>1739</v>
      </c>
      <c r="AS662" s="4" t="s">
        <v>1740</v>
      </c>
      <c r="AT662" s="4" t="s">
        <v>1741</v>
      </c>
      <c r="AU662" s="4" t="s">
        <v>1742</v>
      </c>
      <c r="AV662" s="4" t="s">
        <v>1720</v>
      </c>
      <c r="AW662" s="4" t="s">
        <v>2368</v>
      </c>
      <c r="AX662" s="4" t="s">
        <v>2516</v>
      </c>
      <c r="AY662" s="4">
        <v>49.139099999999999</v>
      </c>
      <c r="AZ662" s="4">
        <v>-120.1844</v>
      </c>
      <c r="BA662" s="4">
        <v>1683</v>
      </c>
    </row>
    <row r="663" spans="1:53" ht="14.25" customHeight="1" x14ac:dyDescent="0.2">
      <c r="B663" s="4">
        <v>12</v>
      </c>
      <c r="C663" s="4" t="s">
        <v>7666</v>
      </c>
      <c r="D663" s="4">
        <v>332</v>
      </c>
      <c r="E663" s="4">
        <v>1880</v>
      </c>
      <c r="F663" s="16" t="s">
        <v>2664</v>
      </c>
      <c r="G663" s="4" t="s">
        <v>2665</v>
      </c>
      <c r="H663" s="4" t="s">
        <v>1794</v>
      </c>
      <c r="I663" s="4" t="s">
        <v>1664</v>
      </c>
      <c r="J663" s="4" t="s">
        <v>1715</v>
      </c>
      <c r="K663" s="4">
        <v>1</v>
      </c>
      <c r="L663" s="4">
        <v>2283</v>
      </c>
      <c r="M663" s="62"/>
      <c r="N663" s="34"/>
      <c r="P663" s="34"/>
      <c r="R663" s="34"/>
      <c r="T663" s="35"/>
      <c r="AO663" s="4" t="s">
        <v>2664</v>
      </c>
      <c r="AP663" s="4">
        <v>332</v>
      </c>
      <c r="AQ663" s="4" t="s">
        <v>1716</v>
      </c>
      <c r="AR663" s="4" t="s">
        <v>1717</v>
      </c>
      <c r="AS663" s="4" t="s">
        <v>1718</v>
      </c>
      <c r="AT663" s="4" t="s">
        <v>1719</v>
      </c>
      <c r="AU663" s="4" t="s">
        <v>1703</v>
      </c>
      <c r="AV663" s="4" t="s">
        <v>1720</v>
      </c>
      <c r="AW663" s="4" t="s">
        <v>2368</v>
      </c>
      <c r="AX663" s="4" t="s">
        <v>2492</v>
      </c>
      <c r="AY663" s="4">
        <v>49.7</v>
      </c>
      <c r="AZ663" s="4">
        <v>-120.3</v>
      </c>
      <c r="BA663" s="4">
        <v>10</v>
      </c>
    </row>
    <row r="664" spans="1:53" ht="14.25" customHeight="1" x14ac:dyDescent="0.2">
      <c r="B664" s="4">
        <v>12</v>
      </c>
      <c r="C664" s="4" t="s">
        <v>7666</v>
      </c>
      <c r="D664" s="4">
        <v>333</v>
      </c>
      <c r="E664" s="4">
        <v>1881</v>
      </c>
      <c r="F664" s="16" t="s">
        <v>2666</v>
      </c>
      <c r="G664" s="4" t="s">
        <v>2667</v>
      </c>
      <c r="H664" s="4" t="s">
        <v>2668</v>
      </c>
      <c r="I664" s="4" t="s">
        <v>641</v>
      </c>
      <c r="J664" s="4" t="s">
        <v>1715</v>
      </c>
      <c r="K664" s="4">
        <v>1</v>
      </c>
      <c r="L664" s="4">
        <v>2284</v>
      </c>
      <c r="M664" s="6"/>
      <c r="AO664" s="4" t="s">
        <v>2666</v>
      </c>
      <c r="AP664" s="4">
        <v>333</v>
      </c>
      <c r="AQ664" s="4" t="s">
        <v>1716</v>
      </c>
      <c r="AR664" s="4" t="s">
        <v>1717</v>
      </c>
      <c r="AS664" s="4" t="s">
        <v>1718</v>
      </c>
      <c r="AT664" s="4" t="s">
        <v>1703</v>
      </c>
      <c r="AU664" s="4" t="s">
        <v>1703</v>
      </c>
      <c r="AV664" s="4" t="s">
        <v>1720</v>
      </c>
      <c r="AW664" s="4" t="s">
        <v>2368</v>
      </c>
      <c r="AY664" s="4">
        <v>49</v>
      </c>
      <c r="AZ664" s="4">
        <v>-119.7</v>
      </c>
      <c r="BA664" s="4">
        <v>4</v>
      </c>
    </row>
    <row r="665" spans="1:53" ht="14.25" customHeight="1" x14ac:dyDescent="0.2">
      <c r="A665" s="4" t="s">
        <v>88</v>
      </c>
      <c r="B665" s="4">
        <v>12</v>
      </c>
      <c r="C665" s="4" t="s">
        <v>7666</v>
      </c>
      <c r="D665" s="4">
        <v>334</v>
      </c>
      <c r="E665" s="4">
        <v>1882</v>
      </c>
      <c r="F665" s="4" t="s">
        <v>2669</v>
      </c>
      <c r="G665" s="8" t="s">
        <v>2670</v>
      </c>
      <c r="H665" s="4" t="s">
        <v>2671</v>
      </c>
      <c r="I665" s="4" t="s">
        <v>641</v>
      </c>
      <c r="J665" s="4" t="s">
        <v>1865</v>
      </c>
      <c r="K665" s="4">
        <v>1</v>
      </c>
      <c r="L665" s="4">
        <v>2285</v>
      </c>
      <c r="M665" s="62">
        <v>49.148330000000001</v>
      </c>
      <c r="N665" s="34">
        <v>-119.41500000000001</v>
      </c>
      <c r="O665" s="9" t="s">
        <v>142</v>
      </c>
      <c r="P665" s="34">
        <v>334</v>
      </c>
      <c r="Q665" s="20">
        <v>3</v>
      </c>
      <c r="R665" s="34" t="s">
        <v>2669</v>
      </c>
      <c r="S665" s="9" t="s">
        <v>1737</v>
      </c>
      <c r="T665" s="35">
        <v>1067</v>
      </c>
      <c r="U665" s="9"/>
      <c r="V665" s="9"/>
      <c r="W665" s="21">
        <v>30682</v>
      </c>
      <c r="X665" s="9" t="s">
        <v>1738</v>
      </c>
      <c r="AO665" s="4" t="s">
        <v>2669</v>
      </c>
      <c r="AP665" s="4">
        <v>334</v>
      </c>
      <c r="AQ665" s="4" t="s">
        <v>1700</v>
      </c>
      <c r="AR665" s="4" t="s">
        <v>1739</v>
      </c>
      <c r="AS665" s="4" t="s">
        <v>1740</v>
      </c>
      <c r="AT665" s="4" t="s">
        <v>1741</v>
      </c>
      <c r="AU665" s="4" t="s">
        <v>1772</v>
      </c>
      <c r="AV665" s="4" t="s">
        <v>1720</v>
      </c>
      <c r="AW665" s="4" t="s">
        <v>2368</v>
      </c>
      <c r="AX665" s="4" t="s">
        <v>2516</v>
      </c>
      <c r="AY665" s="4">
        <v>49.148299999999999</v>
      </c>
      <c r="AZ665" s="4">
        <v>-119.41500000000001</v>
      </c>
      <c r="BA665" s="4">
        <v>1023</v>
      </c>
    </row>
    <row r="666" spans="1:53" ht="14.25" customHeight="1" x14ac:dyDescent="0.2">
      <c r="B666" s="4">
        <v>12</v>
      </c>
      <c r="C666" s="4" t="s">
        <v>7666</v>
      </c>
      <c r="D666" s="4">
        <v>335</v>
      </c>
      <c r="E666" s="4">
        <v>1883</v>
      </c>
      <c r="F666" s="16" t="s">
        <v>2672</v>
      </c>
      <c r="G666" s="4" t="s">
        <v>2673</v>
      </c>
      <c r="H666" s="4" t="s">
        <v>2674</v>
      </c>
      <c r="I666" s="4" t="s">
        <v>1664</v>
      </c>
      <c r="J666" s="4" t="s">
        <v>1746</v>
      </c>
      <c r="K666" s="4">
        <v>1</v>
      </c>
      <c r="L666" s="4">
        <v>2286</v>
      </c>
      <c r="M666" s="6"/>
      <c r="AO666" s="4" t="s">
        <v>2672</v>
      </c>
      <c r="AP666" s="4">
        <v>335</v>
      </c>
      <c r="AQ666" s="4" t="s">
        <v>1716</v>
      </c>
      <c r="AR666" s="4" t="s">
        <v>1717</v>
      </c>
      <c r="AS666" s="4" t="s">
        <v>1718</v>
      </c>
      <c r="AT666" s="4" t="s">
        <v>1719</v>
      </c>
      <c r="AU666" s="4" t="s">
        <v>1703</v>
      </c>
      <c r="AV666" s="4" t="s">
        <v>1720</v>
      </c>
      <c r="AW666" s="4" t="s">
        <v>2368</v>
      </c>
      <c r="AX666" s="4" t="s">
        <v>2516</v>
      </c>
      <c r="AY666" s="4">
        <v>49.7</v>
      </c>
      <c r="AZ666" s="4">
        <v>-119.2</v>
      </c>
      <c r="BA666" s="4">
        <v>12</v>
      </c>
    </row>
    <row r="667" spans="1:53" ht="14.25" customHeight="1" x14ac:dyDescent="0.2">
      <c r="B667" s="4">
        <v>12</v>
      </c>
      <c r="C667" s="4" t="s">
        <v>7666</v>
      </c>
      <c r="D667" s="4">
        <v>336</v>
      </c>
      <c r="E667" s="4">
        <v>1884</v>
      </c>
      <c r="F667" s="16" t="s">
        <v>2675</v>
      </c>
      <c r="G667" s="4" t="s">
        <v>2676</v>
      </c>
      <c r="H667" s="4" t="s">
        <v>2677</v>
      </c>
      <c r="I667" s="4" t="s">
        <v>641</v>
      </c>
      <c r="J667" s="4" t="s">
        <v>1715</v>
      </c>
      <c r="K667" s="4">
        <v>1</v>
      </c>
      <c r="L667" s="4">
        <v>2287</v>
      </c>
      <c r="M667" s="6"/>
      <c r="AO667" s="4" t="s">
        <v>2675</v>
      </c>
      <c r="AP667" s="4">
        <v>336</v>
      </c>
      <c r="AQ667" s="4" t="s">
        <v>1716</v>
      </c>
      <c r="AR667" s="4" t="s">
        <v>1717</v>
      </c>
      <c r="AS667" s="4" t="s">
        <v>1718</v>
      </c>
      <c r="AT667" s="4" t="s">
        <v>1719</v>
      </c>
      <c r="AU667" s="4" t="s">
        <v>1959</v>
      </c>
      <c r="AV667" s="4" t="s">
        <v>1720</v>
      </c>
      <c r="AW667" s="4" t="s">
        <v>2368</v>
      </c>
      <c r="AX667" s="4" t="s">
        <v>2516</v>
      </c>
      <c r="AY667" s="4">
        <v>49.736699999999999</v>
      </c>
      <c r="AZ667" s="4">
        <v>-119.1767</v>
      </c>
      <c r="BA667" s="4">
        <v>1250</v>
      </c>
    </row>
    <row r="668" spans="1:53" ht="14.25" customHeight="1" x14ac:dyDescent="0.2">
      <c r="B668" s="4">
        <v>12</v>
      </c>
      <c r="C668" s="4" t="s">
        <v>7666</v>
      </c>
      <c r="D668" s="4">
        <v>338</v>
      </c>
      <c r="E668" s="4">
        <v>1885</v>
      </c>
      <c r="F668" s="16" t="s">
        <v>2678</v>
      </c>
      <c r="G668" s="4" t="s">
        <v>2679</v>
      </c>
      <c r="H668" s="4" t="s">
        <v>2680</v>
      </c>
      <c r="I668" s="4" t="s">
        <v>641</v>
      </c>
      <c r="J668" s="4" t="s">
        <v>1715</v>
      </c>
      <c r="K668" s="4">
        <v>1</v>
      </c>
      <c r="L668" s="4">
        <v>2288</v>
      </c>
      <c r="M668" s="62"/>
      <c r="N668" s="34"/>
      <c r="O668" s="9"/>
      <c r="P668" s="34"/>
      <c r="Q668" s="20"/>
      <c r="R668" s="34"/>
      <c r="S668" s="9"/>
      <c r="T668" s="35"/>
      <c r="U668" s="9"/>
      <c r="V668" s="9"/>
      <c r="W668" s="21"/>
      <c r="X668" s="9"/>
      <c r="AO668" s="4" t="s">
        <v>2678</v>
      </c>
      <c r="AP668" s="4">
        <v>338</v>
      </c>
      <c r="AQ668" s="4" t="s">
        <v>1716</v>
      </c>
      <c r="AR668" s="4" t="s">
        <v>1717</v>
      </c>
      <c r="AS668" s="4" t="s">
        <v>1718</v>
      </c>
      <c r="AT668" s="4" t="s">
        <v>1703</v>
      </c>
      <c r="AU668" s="4" t="s">
        <v>1703</v>
      </c>
      <c r="AV668" s="4" t="s">
        <v>1720</v>
      </c>
      <c r="AW668" s="4" t="s">
        <v>2368</v>
      </c>
      <c r="AX668" s="4" t="s">
        <v>2516</v>
      </c>
      <c r="AY668" s="4">
        <v>49.57</v>
      </c>
      <c r="AZ668" s="4">
        <v>-119.825</v>
      </c>
      <c r="BA668" s="4">
        <v>1189</v>
      </c>
    </row>
    <row r="669" spans="1:53" ht="14.25" customHeight="1" x14ac:dyDescent="0.2">
      <c r="B669" s="4">
        <v>12</v>
      </c>
      <c r="C669" s="4" t="s">
        <v>7666</v>
      </c>
      <c r="D669" s="4">
        <v>340</v>
      </c>
      <c r="E669" s="4">
        <v>1886</v>
      </c>
      <c r="F669" s="16" t="s">
        <v>2681</v>
      </c>
      <c r="G669" s="4" t="s">
        <v>2682</v>
      </c>
      <c r="H669" s="4" t="s">
        <v>2683</v>
      </c>
      <c r="I669" s="4" t="s">
        <v>641</v>
      </c>
      <c r="J669" s="4" t="s">
        <v>1715</v>
      </c>
      <c r="K669" s="4">
        <v>1</v>
      </c>
      <c r="L669" s="4">
        <v>2289</v>
      </c>
      <c r="M669" s="62"/>
      <c r="N669" s="34"/>
      <c r="P669" s="34"/>
      <c r="R669" s="34"/>
      <c r="T669" s="35"/>
      <c r="AO669" s="4" t="s">
        <v>2681</v>
      </c>
      <c r="AP669" s="4">
        <v>340</v>
      </c>
      <c r="AQ669" s="4" t="s">
        <v>1716</v>
      </c>
      <c r="AR669" s="4" t="s">
        <v>1717</v>
      </c>
      <c r="AS669" s="4" t="s">
        <v>1718</v>
      </c>
      <c r="AT669" s="4" t="s">
        <v>1703</v>
      </c>
      <c r="AU669" s="4" t="s">
        <v>1703</v>
      </c>
      <c r="AV669" s="4" t="s">
        <v>1720</v>
      </c>
      <c r="AW669" s="4" t="s">
        <v>2368</v>
      </c>
      <c r="AX669" s="4" t="s">
        <v>2516</v>
      </c>
      <c r="AY669" s="4">
        <v>49.055</v>
      </c>
      <c r="AZ669" s="4">
        <v>-119.5117</v>
      </c>
      <c r="BA669" s="4">
        <v>305</v>
      </c>
    </row>
    <row r="670" spans="1:53" ht="14.25" customHeight="1" x14ac:dyDescent="0.2">
      <c r="B670" s="4">
        <v>12</v>
      </c>
      <c r="C670" s="4" t="s">
        <v>7666</v>
      </c>
      <c r="D670" s="4">
        <v>341</v>
      </c>
      <c r="E670" s="4">
        <v>1887</v>
      </c>
      <c r="F670" s="16" t="s">
        <v>2684</v>
      </c>
      <c r="G670" s="4" t="s">
        <v>2685</v>
      </c>
      <c r="H670" s="4" t="s">
        <v>2686</v>
      </c>
      <c r="I670" s="4" t="s">
        <v>641</v>
      </c>
      <c r="J670" s="4" t="s">
        <v>1715</v>
      </c>
      <c r="K670" s="4">
        <v>1</v>
      </c>
      <c r="L670" s="4">
        <v>2290</v>
      </c>
      <c r="M670" s="62"/>
      <c r="N670" s="34"/>
      <c r="P670" s="34"/>
      <c r="R670" s="34"/>
      <c r="T670" s="35"/>
      <c r="AO670" s="4" t="s">
        <v>2684</v>
      </c>
      <c r="AP670" s="4">
        <v>341</v>
      </c>
      <c r="AQ670" s="4" t="s">
        <v>1716</v>
      </c>
      <c r="AR670" s="4" t="s">
        <v>1717</v>
      </c>
      <c r="AS670" s="4" t="s">
        <v>1718</v>
      </c>
      <c r="AT670" s="4" t="s">
        <v>1703</v>
      </c>
      <c r="AU670" s="4" t="s">
        <v>1703</v>
      </c>
      <c r="AV670" s="4" t="s">
        <v>1720</v>
      </c>
      <c r="AW670" s="4" t="s">
        <v>2368</v>
      </c>
      <c r="AX670" s="4" t="s">
        <v>2522</v>
      </c>
      <c r="AY670" s="4">
        <v>50.236699999999999</v>
      </c>
      <c r="AZ670" s="4">
        <v>-119.27670000000001</v>
      </c>
      <c r="BA670" s="4">
        <v>457</v>
      </c>
    </row>
    <row r="671" spans="1:53" ht="14.25" customHeight="1" x14ac:dyDescent="0.2">
      <c r="A671" s="4" t="s">
        <v>1908</v>
      </c>
      <c r="B671" s="4">
        <v>12</v>
      </c>
      <c r="C671" s="4" t="s">
        <v>7666</v>
      </c>
      <c r="D671" s="4">
        <v>343</v>
      </c>
      <c r="E671" s="4">
        <v>1888</v>
      </c>
      <c r="F671" s="4" t="s">
        <v>2687</v>
      </c>
      <c r="G671" s="8" t="s">
        <v>2688</v>
      </c>
      <c r="H671" s="4" t="s">
        <v>2689</v>
      </c>
      <c r="I671" s="4" t="s">
        <v>641</v>
      </c>
      <c r="J671" s="4" t="s">
        <v>1736</v>
      </c>
      <c r="K671" s="4">
        <v>1</v>
      </c>
      <c r="L671" s="4">
        <v>2291</v>
      </c>
      <c r="M671" s="62"/>
      <c r="N671" s="34"/>
      <c r="O671" s="9"/>
      <c r="P671" s="34"/>
      <c r="Q671" s="20"/>
      <c r="R671" s="34"/>
      <c r="S671" s="9"/>
      <c r="T671" s="35"/>
      <c r="U671" s="9"/>
      <c r="V671" s="9"/>
      <c r="W671" s="21"/>
      <c r="X671" s="9"/>
      <c r="AO671" s="4" t="s">
        <v>2690</v>
      </c>
      <c r="AP671" s="4">
        <v>343</v>
      </c>
      <c r="AQ671" s="4" t="s">
        <v>1716</v>
      </c>
      <c r="AR671" s="4" t="s">
        <v>1717</v>
      </c>
      <c r="AS671" s="4" t="s">
        <v>1740</v>
      </c>
      <c r="AT671" s="4" t="s">
        <v>1835</v>
      </c>
      <c r="AU671" s="4" t="s">
        <v>1742</v>
      </c>
      <c r="AV671" s="4" t="s">
        <v>1720</v>
      </c>
      <c r="AW671" s="4" t="s">
        <v>2003</v>
      </c>
      <c r="AX671" s="4" t="s">
        <v>2258</v>
      </c>
      <c r="AY671" s="4">
        <v>52.372100000000003</v>
      </c>
      <c r="AZ671" s="4">
        <v>-118.66030000000001</v>
      </c>
      <c r="BA671" s="4">
        <v>838</v>
      </c>
    </row>
    <row r="672" spans="1:53" ht="14.25" customHeight="1" x14ac:dyDescent="0.2">
      <c r="A672" s="4" t="s">
        <v>1908</v>
      </c>
      <c r="B672" s="4">
        <v>12</v>
      </c>
      <c r="C672" s="4" t="s">
        <v>7666</v>
      </c>
      <c r="D672" s="4">
        <v>344</v>
      </c>
      <c r="E672" s="4">
        <v>1889</v>
      </c>
      <c r="F672" s="8" t="s">
        <v>2691</v>
      </c>
      <c r="G672" s="8" t="s">
        <v>2692</v>
      </c>
      <c r="H672" s="4" t="s">
        <v>2693</v>
      </c>
      <c r="I672" s="4" t="s">
        <v>641</v>
      </c>
      <c r="J672" s="4" t="s">
        <v>1736</v>
      </c>
      <c r="K672" s="4">
        <v>1</v>
      </c>
      <c r="L672" s="4">
        <v>2292</v>
      </c>
      <c r="M672" s="6">
        <v>51.273519999999998</v>
      </c>
      <c r="N672" s="9">
        <v>-118.9147</v>
      </c>
      <c r="O672" s="9" t="s">
        <v>170</v>
      </c>
      <c r="P672" s="9">
        <v>344</v>
      </c>
      <c r="Q672" s="20">
        <v>1</v>
      </c>
      <c r="R672" s="9" t="s">
        <v>2694</v>
      </c>
      <c r="S672" s="9" t="s">
        <v>1737</v>
      </c>
      <c r="T672" s="9">
        <v>511</v>
      </c>
      <c r="U672" s="9"/>
      <c r="V672" s="9"/>
      <c r="W672" s="21">
        <v>29587</v>
      </c>
      <c r="X672" s="9" t="s">
        <v>1738</v>
      </c>
      <c r="AO672" s="4" t="s">
        <v>2694</v>
      </c>
      <c r="AP672" s="4">
        <v>344</v>
      </c>
      <c r="AQ672" s="4" t="s">
        <v>1716</v>
      </c>
      <c r="AR672" s="4" t="s">
        <v>1739</v>
      </c>
      <c r="AS672" s="4" t="s">
        <v>1740</v>
      </c>
      <c r="AT672" s="4" t="s">
        <v>1741</v>
      </c>
      <c r="AU672" s="4" t="s">
        <v>1742</v>
      </c>
      <c r="AV672" s="4" t="s">
        <v>1720</v>
      </c>
      <c r="AW672" s="4" t="s">
        <v>2368</v>
      </c>
      <c r="AX672" s="4" t="s">
        <v>2522</v>
      </c>
      <c r="AY672" s="4">
        <v>51.273499999999999</v>
      </c>
      <c r="AZ672" s="4">
        <v>-118.9147</v>
      </c>
      <c r="BA672" s="4">
        <v>497</v>
      </c>
    </row>
    <row r="673" spans="1:53" ht="14.25" customHeight="1" x14ac:dyDescent="0.2">
      <c r="B673" s="4">
        <v>12</v>
      </c>
      <c r="C673" s="4" t="s">
        <v>7666</v>
      </c>
      <c r="D673" s="4">
        <v>345</v>
      </c>
      <c r="E673" s="4">
        <v>1890</v>
      </c>
      <c r="F673" s="16" t="s">
        <v>2695</v>
      </c>
      <c r="G673" s="4" t="s">
        <v>2696</v>
      </c>
      <c r="H673" s="4" t="s">
        <v>2697</v>
      </c>
      <c r="I673" s="4" t="s">
        <v>641</v>
      </c>
      <c r="J673" s="4" t="s">
        <v>1715</v>
      </c>
      <c r="K673" s="4">
        <v>1</v>
      </c>
      <c r="L673" s="4">
        <v>2293</v>
      </c>
      <c r="M673" s="62"/>
      <c r="N673" s="34"/>
      <c r="R673" s="34"/>
      <c r="T673" s="35"/>
      <c r="AO673" s="4" t="s">
        <v>2695</v>
      </c>
      <c r="AP673" s="4">
        <v>345</v>
      </c>
      <c r="AQ673" s="4" t="s">
        <v>1716</v>
      </c>
      <c r="AR673" s="4" t="s">
        <v>1717</v>
      </c>
      <c r="AS673" s="4" t="s">
        <v>1718</v>
      </c>
      <c r="AT673" s="4" t="s">
        <v>1719</v>
      </c>
      <c r="AU673" s="4" t="s">
        <v>1959</v>
      </c>
      <c r="AV673" s="4" t="s">
        <v>1720</v>
      </c>
      <c r="AW673" s="4" t="s">
        <v>2698</v>
      </c>
      <c r="AX673" s="4" t="s">
        <v>2699</v>
      </c>
      <c r="AY673" s="4">
        <v>51.828800000000001</v>
      </c>
      <c r="AZ673" s="4">
        <v>-118.3612</v>
      </c>
      <c r="BA673" s="4">
        <v>832</v>
      </c>
    </row>
    <row r="674" spans="1:53" ht="14.25" customHeight="1" x14ac:dyDescent="0.2">
      <c r="A674" s="4" t="s">
        <v>2037</v>
      </c>
      <c r="B674" s="4">
        <v>12</v>
      </c>
      <c r="C674" s="4" t="s">
        <v>7666</v>
      </c>
      <c r="D674" s="4">
        <v>346</v>
      </c>
      <c r="E674" s="4">
        <v>1891</v>
      </c>
      <c r="F674" s="4" t="s">
        <v>2700</v>
      </c>
      <c r="G674" s="4" t="s">
        <v>2701</v>
      </c>
      <c r="H674" s="4" t="s">
        <v>2702</v>
      </c>
      <c r="I674" s="4" t="s">
        <v>641</v>
      </c>
      <c r="J674" s="4" t="s">
        <v>1736</v>
      </c>
      <c r="K674" s="4">
        <v>1</v>
      </c>
      <c r="L674" s="4">
        <v>2294</v>
      </c>
      <c r="M674" s="62"/>
      <c r="N674" s="34"/>
      <c r="O674" s="9"/>
      <c r="P674" s="9"/>
      <c r="Q674" s="20"/>
      <c r="R674" s="34"/>
      <c r="S674" s="9"/>
      <c r="T674" s="35"/>
      <c r="U674" s="9"/>
      <c r="V674" s="9"/>
      <c r="W674" s="21"/>
      <c r="X674" s="9"/>
      <c r="AO674" s="4" t="s">
        <v>2703</v>
      </c>
      <c r="AP674" s="4">
        <v>346</v>
      </c>
      <c r="AQ674" s="4" t="s">
        <v>1716</v>
      </c>
      <c r="AR674" s="4" t="s">
        <v>1717</v>
      </c>
      <c r="AS674" s="4" t="s">
        <v>1740</v>
      </c>
      <c r="AT674" s="4" t="s">
        <v>1835</v>
      </c>
      <c r="AU674" s="4" t="s">
        <v>1959</v>
      </c>
      <c r="AV674" s="4" t="s">
        <v>1720</v>
      </c>
      <c r="AW674" s="4" t="s">
        <v>2368</v>
      </c>
      <c r="AX674" s="4" t="s">
        <v>2522</v>
      </c>
      <c r="AY674" s="4">
        <v>50.685000000000002</v>
      </c>
      <c r="AZ674" s="4">
        <v>-119.235</v>
      </c>
      <c r="BA674" s="4">
        <v>527</v>
      </c>
    </row>
    <row r="675" spans="1:53" ht="14.25" customHeight="1" x14ac:dyDescent="0.2">
      <c r="B675" s="4">
        <v>12</v>
      </c>
      <c r="C675" s="4" t="s">
        <v>7666</v>
      </c>
      <c r="D675" s="4">
        <v>347</v>
      </c>
      <c r="E675" s="4">
        <v>1892</v>
      </c>
      <c r="F675" s="16" t="s">
        <v>2704</v>
      </c>
      <c r="G675" s="4" t="s">
        <v>2705</v>
      </c>
      <c r="H675" s="4" t="s">
        <v>2706</v>
      </c>
      <c r="I675" s="4" t="s">
        <v>1664</v>
      </c>
      <c r="J675" s="4" t="s">
        <v>1715</v>
      </c>
      <c r="K675" s="4">
        <v>1</v>
      </c>
      <c r="L675" s="4">
        <v>2295</v>
      </c>
      <c r="M675" s="62"/>
      <c r="N675" s="34"/>
      <c r="R675" s="34"/>
      <c r="AO675" s="4" t="s">
        <v>2704</v>
      </c>
      <c r="AP675" s="4">
        <v>347</v>
      </c>
      <c r="AQ675" s="4" t="s">
        <v>1716</v>
      </c>
      <c r="AR675" s="4" t="s">
        <v>1717</v>
      </c>
      <c r="AS675" s="4" t="s">
        <v>1718</v>
      </c>
      <c r="AT675" s="4" t="s">
        <v>1719</v>
      </c>
      <c r="AU675" s="4" t="s">
        <v>1703</v>
      </c>
      <c r="AV675" s="4" t="s">
        <v>1720</v>
      </c>
      <c r="AW675" s="4" t="s">
        <v>2368</v>
      </c>
      <c r="AX675" s="4" t="s">
        <v>2707</v>
      </c>
      <c r="AY675" s="4">
        <v>50.8</v>
      </c>
      <c r="AZ675" s="4">
        <v>-119</v>
      </c>
      <c r="BA675" s="4">
        <v>0</v>
      </c>
    </row>
    <row r="676" spans="1:53" ht="14.25" customHeight="1" x14ac:dyDescent="0.2">
      <c r="B676" s="4">
        <v>12</v>
      </c>
      <c r="C676" s="4" t="s">
        <v>7666</v>
      </c>
      <c r="D676" s="4">
        <v>348</v>
      </c>
      <c r="E676" s="4">
        <v>1893</v>
      </c>
      <c r="F676" s="16" t="s">
        <v>2708</v>
      </c>
      <c r="G676" s="4" t="s">
        <v>2709</v>
      </c>
      <c r="H676" s="4" t="s">
        <v>2710</v>
      </c>
      <c r="I676" s="4" t="s">
        <v>1664</v>
      </c>
      <c r="J676" s="4" t="s">
        <v>1715</v>
      </c>
      <c r="K676" s="4">
        <v>1</v>
      </c>
      <c r="L676" s="4">
        <v>2296</v>
      </c>
      <c r="M676" s="6"/>
      <c r="AO676" s="4" t="s">
        <v>2708</v>
      </c>
      <c r="AP676" s="4">
        <v>348</v>
      </c>
      <c r="AQ676" s="4" t="s">
        <v>1716</v>
      </c>
      <c r="AR676" s="4" t="s">
        <v>1717</v>
      </c>
      <c r="AS676" s="4" t="s">
        <v>1718</v>
      </c>
      <c r="AT676" s="4" t="s">
        <v>1719</v>
      </c>
      <c r="AU676" s="4" t="s">
        <v>1703</v>
      </c>
      <c r="AV676" s="4" t="s">
        <v>1720</v>
      </c>
      <c r="AW676" s="4" t="s">
        <v>2368</v>
      </c>
      <c r="AX676" s="4" t="s">
        <v>2401</v>
      </c>
      <c r="AY676" s="4">
        <v>51.3</v>
      </c>
      <c r="AZ676" s="4">
        <v>-119.5</v>
      </c>
      <c r="BA676" s="4">
        <v>0</v>
      </c>
    </row>
    <row r="677" spans="1:53" ht="14.25" customHeight="1" x14ac:dyDescent="0.2">
      <c r="B677" s="4">
        <v>12</v>
      </c>
      <c r="C677" s="4" t="s">
        <v>7666</v>
      </c>
      <c r="D677" s="4">
        <v>349</v>
      </c>
      <c r="E677" s="4">
        <v>1894</v>
      </c>
      <c r="F677" s="16" t="s">
        <v>2711</v>
      </c>
      <c r="G677" s="4" t="s">
        <v>2712</v>
      </c>
      <c r="H677" s="4" t="s">
        <v>2713</v>
      </c>
      <c r="I677" s="4" t="s">
        <v>1664</v>
      </c>
      <c r="J677" s="4" t="s">
        <v>1715</v>
      </c>
      <c r="K677" s="4">
        <v>1</v>
      </c>
      <c r="L677" s="4">
        <v>2297</v>
      </c>
      <c r="M677" s="62"/>
      <c r="N677" s="34"/>
      <c r="P677" s="34"/>
      <c r="R677" s="34"/>
      <c r="T677" s="35"/>
      <c r="AO677" s="4" t="s">
        <v>2711</v>
      </c>
      <c r="AP677" s="4">
        <v>349</v>
      </c>
      <c r="AQ677" s="4" t="s">
        <v>1716</v>
      </c>
      <c r="AR677" s="4" t="s">
        <v>1717</v>
      </c>
      <c r="AS677" s="4" t="s">
        <v>1718</v>
      </c>
      <c r="AT677" s="4" t="s">
        <v>1719</v>
      </c>
      <c r="AU677" s="4" t="s">
        <v>1703</v>
      </c>
      <c r="AV677" s="4" t="s">
        <v>1720</v>
      </c>
      <c r="AW677" s="4" t="s">
        <v>2698</v>
      </c>
      <c r="AX677" s="4" t="s">
        <v>2699</v>
      </c>
      <c r="AY677" s="4">
        <v>51.2</v>
      </c>
      <c r="AZ677" s="4">
        <v>-118.2</v>
      </c>
      <c r="BA677" s="4">
        <v>5</v>
      </c>
    </row>
    <row r="678" spans="1:53" ht="14.25" customHeight="1" x14ac:dyDescent="0.2">
      <c r="B678" s="4">
        <v>12</v>
      </c>
      <c r="C678" s="4" t="s">
        <v>7666</v>
      </c>
      <c r="D678" s="4">
        <v>350</v>
      </c>
      <c r="E678" s="4">
        <v>1895</v>
      </c>
      <c r="F678" s="16" t="s">
        <v>2714</v>
      </c>
      <c r="G678" s="4" t="s">
        <v>2715</v>
      </c>
      <c r="H678" s="4" t="s">
        <v>2716</v>
      </c>
      <c r="I678" s="4" t="s">
        <v>641</v>
      </c>
      <c r="J678" s="4" t="s">
        <v>1715</v>
      </c>
      <c r="K678" s="4">
        <v>1</v>
      </c>
      <c r="L678" s="4">
        <v>2298</v>
      </c>
      <c r="M678" s="62"/>
      <c r="N678" s="34"/>
      <c r="P678" s="34"/>
      <c r="R678" s="34"/>
      <c r="T678" s="35"/>
      <c r="AO678" s="4" t="s">
        <v>2714</v>
      </c>
      <c r="AP678" s="4">
        <v>350</v>
      </c>
      <c r="AQ678" s="4" t="s">
        <v>1716</v>
      </c>
      <c r="AR678" s="4" t="s">
        <v>1717</v>
      </c>
      <c r="AS678" s="4" t="s">
        <v>1718</v>
      </c>
      <c r="AT678" s="4" t="s">
        <v>1835</v>
      </c>
      <c r="AU678" s="4" t="s">
        <v>1959</v>
      </c>
      <c r="AV678" s="4" t="s">
        <v>1720</v>
      </c>
      <c r="AW678" s="4" t="s">
        <v>2368</v>
      </c>
      <c r="AX678" s="4" t="s">
        <v>2707</v>
      </c>
      <c r="AY678" s="4">
        <v>50.92</v>
      </c>
      <c r="AZ678" s="4">
        <v>-118.9633</v>
      </c>
      <c r="BA678" s="4">
        <v>1250</v>
      </c>
    </row>
    <row r="679" spans="1:53" ht="14.25" customHeight="1" x14ac:dyDescent="0.2">
      <c r="B679" s="4">
        <v>12</v>
      </c>
      <c r="C679" s="4" t="s">
        <v>7666</v>
      </c>
      <c r="D679" s="4">
        <v>351</v>
      </c>
      <c r="E679" s="4">
        <v>1896</v>
      </c>
      <c r="F679" s="16" t="s">
        <v>2717</v>
      </c>
      <c r="G679" s="4" t="s">
        <v>2718</v>
      </c>
      <c r="H679" s="4" t="s">
        <v>2719</v>
      </c>
      <c r="I679" s="4" t="s">
        <v>641</v>
      </c>
      <c r="J679" s="4" t="s">
        <v>1715</v>
      </c>
      <c r="K679" s="4">
        <v>1</v>
      </c>
      <c r="L679" s="4">
        <v>2299</v>
      </c>
      <c r="M679" s="6"/>
      <c r="AO679" s="4" t="s">
        <v>2717</v>
      </c>
      <c r="AP679" s="4">
        <v>351</v>
      </c>
      <c r="AQ679" s="4" t="s">
        <v>1716</v>
      </c>
      <c r="AR679" s="4" t="s">
        <v>1717</v>
      </c>
      <c r="AS679" s="4" t="s">
        <v>1718</v>
      </c>
      <c r="AT679" s="4" t="s">
        <v>1703</v>
      </c>
      <c r="AU679" s="4" t="s">
        <v>1703</v>
      </c>
      <c r="AV679" s="4" t="s">
        <v>1720</v>
      </c>
      <c r="AW679" s="4" t="s">
        <v>2368</v>
      </c>
      <c r="AX679" s="4" t="s">
        <v>2522</v>
      </c>
      <c r="AY679" s="4">
        <v>50.611699999999999</v>
      </c>
      <c r="AZ679" s="4">
        <v>-118.6467</v>
      </c>
      <c r="BA679" s="4">
        <v>1768</v>
      </c>
    </row>
    <row r="680" spans="1:53" ht="14.25" customHeight="1" x14ac:dyDescent="0.2">
      <c r="A680" s="4" t="s">
        <v>1908</v>
      </c>
      <c r="B680" s="4">
        <v>12</v>
      </c>
      <c r="C680" s="4" t="s">
        <v>7666</v>
      </c>
      <c r="D680" s="4">
        <v>352</v>
      </c>
      <c r="E680" s="4">
        <v>1897</v>
      </c>
      <c r="F680" s="8" t="s">
        <v>2720</v>
      </c>
      <c r="G680" s="8" t="s">
        <v>2721</v>
      </c>
      <c r="H680" s="4" t="s">
        <v>2722</v>
      </c>
      <c r="I680" s="4" t="s">
        <v>641</v>
      </c>
      <c r="J680" s="4" t="s">
        <v>1865</v>
      </c>
      <c r="K680" s="4">
        <v>1</v>
      </c>
      <c r="L680" s="4">
        <v>2300</v>
      </c>
      <c r="M680" s="62">
        <v>50.602150000000002</v>
      </c>
      <c r="N680" s="34">
        <v>-118.42292</v>
      </c>
      <c r="O680" s="4" t="s">
        <v>170</v>
      </c>
      <c r="P680" s="34">
        <v>352</v>
      </c>
      <c r="Q680" s="4">
        <v>3</v>
      </c>
      <c r="R680" s="34" t="s">
        <v>2723</v>
      </c>
      <c r="S680" s="4" t="s">
        <v>1737</v>
      </c>
      <c r="T680" s="35">
        <v>1286</v>
      </c>
      <c r="W680" s="4">
        <v>28856</v>
      </c>
      <c r="X680" s="4" t="s">
        <v>1738</v>
      </c>
      <c r="AO680" s="4" t="s">
        <v>2723</v>
      </c>
      <c r="AP680" s="4">
        <v>352</v>
      </c>
      <c r="AQ680" s="4" t="s">
        <v>1716</v>
      </c>
      <c r="AR680" s="4" t="s">
        <v>1739</v>
      </c>
      <c r="AS680" s="4" t="s">
        <v>1740</v>
      </c>
      <c r="AT680" s="4" t="s">
        <v>1741</v>
      </c>
      <c r="AU680" s="4" t="s">
        <v>1742</v>
      </c>
      <c r="AV680" s="4" t="s">
        <v>1720</v>
      </c>
      <c r="AW680" s="4" t="s">
        <v>2368</v>
      </c>
      <c r="AX680" s="4" t="s">
        <v>2522</v>
      </c>
      <c r="AY680" s="4">
        <v>50.602200000000003</v>
      </c>
      <c r="AZ680" s="4">
        <v>-118.4229</v>
      </c>
      <c r="BA680" s="4">
        <v>1286</v>
      </c>
    </row>
    <row r="681" spans="1:53" ht="14.25" customHeight="1" x14ac:dyDescent="0.2">
      <c r="B681" s="4">
        <v>12</v>
      </c>
      <c r="C681" s="4" t="s">
        <v>7666</v>
      </c>
      <c r="D681" s="4">
        <v>353</v>
      </c>
      <c r="E681" s="4">
        <v>1898</v>
      </c>
      <c r="F681" s="16" t="s">
        <v>2724</v>
      </c>
      <c r="G681" s="4" t="s">
        <v>2725</v>
      </c>
      <c r="H681" s="4" t="s">
        <v>2726</v>
      </c>
      <c r="I681" s="4" t="s">
        <v>641</v>
      </c>
      <c r="J681" s="4" t="s">
        <v>1715</v>
      </c>
      <c r="K681" s="4">
        <v>1</v>
      </c>
      <c r="L681" s="4">
        <v>2301</v>
      </c>
      <c r="M681" s="62"/>
      <c r="N681" s="34"/>
      <c r="P681" s="34"/>
      <c r="R681" s="34"/>
      <c r="T681" s="35"/>
      <c r="AO681" s="4" t="s">
        <v>2724</v>
      </c>
      <c r="AP681" s="4">
        <v>353</v>
      </c>
      <c r="AQ681" s="4" t="s">
        <v>1716</v>
      </c>
      <c r="AR681" s="4" t="s">
        <v>1717</v>
      </c>
      <c r="AS681" s="4" t="s">
        <v>1718</v>
      </c>
      <c r="AT681" s="4" t="s">
        <v>1703</v>
      </c>
      <c r="AU681" s="4" t="s">
        <v>1703</v>
      </c>
      <c r="AV681" s="4" t="s">
        <v>1720</v>
      </c>
      <c r="AW681" s="4" t="s">
        <v>2368</v>
      </c>
      <c r="AX681" s="4" t="s">
        <v>2707</v>
      </c>
      <c r="AY681" s="4">
        <v>51.01</v>
      </c>
      <c r="AZ681" s="4">
        <v>-119.39830000000001</v>
      </c>
      <c r="BA681" s="4">
        <v>1097</v>
      </c>
    </row>
    <row r="682" spans="1:53" ht="14.25" customHeight="1" x14ac:dyDescent="0.2">
      <c r="B682" s="4">
        <v>12</v>
      </c>
      <c r="C682" s="4" t="s">
        <v>7666</v>
      </c>
      <c r="D682" s="4">
        <v>354</v>
      </c>
      <c r="E682" s="4">
        <v>1899</v>
      </c>
      <c r="F682" s="16" t="s">
        <v>2727</v>
      </c>
      <c r="G682" s="4" t="s">
        <v>2728</v>
      </c>
      <c r="H682" s="4" t="s">
        <v>2729</v>
      </c>
      <c r="I682" s="4" t="s">
        <v>1664</v>
      </c>
      <c r="J682" s="4" t="s">
        <v>1715</v>
      </c>
      <c r="K682" s="4">
        <v>1</v>
      </c>
      <c r="L682" s="4">
        <v>2302</v>
      </c>
      <c r="M682" s="6"/>
      <c r="AO682" s="4" t="s">
        <v>2727</v>
      </c>
      <c r="AP682" s="4">
        <v>354</v>
      </c>
      <c r="AQ682" s="4" t="s">
        <v>1716</v>
      </c>
      <c r="AR682" s="4" t="s">
        <v>1717</v>
      </c>
      <c r="AS682" s="4" t="s">
        <v>1718</v>
      </c>
      <c r="AT682" s="4" t="s">
        <v>1719</v>
      </c>
      <c r="AU682" s="4" t="s">
        <v>1703</v>
      </c>
      <c r="AV682" s="4" t="s">
        <v>1720</v>
      </c>
      <c r="AW682" s="4" t="s">
        <v>2368</v>
      </c>
      <c r="AX682" s="4" t="s">
        <v>2707</v>
      </c>
      <c r="AY682" s="4">
        <v>50.7</v>
      </c>
      <c r="AZ682" s="4">
        <v>-118.7</v>
      </c>
      <c r="BA682" s="4">
        <v>13</v>
      </c>
    </row>
    <row r="683" spans="1:53" ht="14.25" customHeight="1" x14ac:dyDescent="0.2">
      <c r="B683" s="4">
        <v>12</v>
      </c>
      <c r="C683" s="4" t="s">
        <v>7666</v>
      </c>
      <c r="D683" s="4">
        <v>355</v>
      </c>
      <c r="E683" s="4">
        <v>1900</v>
      </c>
      <c r="F683" s="16" t="s">
        <v>2730</v>
      </c>
      <c r="G683" s="4" t="s">
        <v>2731</v>
      </c>
      <c r="H683" s="4" t="s">
        <v>2732</v>
      </c>
      <c r="I683" s="4" t="s">
        <v>641</v>
      </c>
      <c r="J683" s="4" t="s">
        <v>1715</v>
      </c>
      <c r="K683" s="4">
        <v>1</v>
      </c>
      <c r="L683" s="4">
        <v>2303</v>
      </c>
      <c r="M683" s="62"/>
      <c r="N683" s="34"/>
      <c r="P683" s="34"/>
      <c r="R683" s="34"/>
      <c r="T683" s="35"/>
      <c r="AO683" s="4" t="s">
        <v>2730</v>
      </c>
      <c r="AP683" s="4">
        <v>355</v>
      </c>
      <c r="AQ683" s="4" t="s">
        <v>1716</v>
      </c>
      <c r="AR683" s="4" t="s">
        <v>1717</v>
      </c>
      <c r="AS683" s="4" t="s">
        <v>1718</v>
      </c>
      <c r="AT683" s="4" t="s">
        <v>1719</v>
      </c>
      <c r="AU683" s="4" t="s">
        <v>1959</v>
      </c>
      <c r="AV683" s="4" t="s">
        <v>1720</v>
      </c>
      <c r="AW683" s="4" t="s">
        <v>2698</v>
      </c>
      <c r="AX683" s="4" t="s">
        <v>2699</v>
      </c>
      <c r="AY683" s="4">
        <v>51.7453</v>
      </c>
      <c r="AZ683" s="4">
        <v>-118.65779999999999</v>
      </c>
      <c r="BA683" s="4">
        <v>632</v>
      </c>
    </row>
    <row r="684" spans="1:53" ht="14.25" customHeight="1" x14ac:dyDescent="0.2">
      <c r="B684" s="4">
        <v>12</v>
      </c>
      <c r="C684" s="4" t="s">
        <v>7666</v>
      </c>
      <c r="D684" s="4">
        <v>356</v>
      </c>
      <c r="E684" s="4">
        <v>1901</v>
      </c>
      <c r="F684" s="16" t="s">
        <v>2733</v>
      </c>
      <c r="G684" s="4" t="s">
        <v>2734</v>
      </c>
      <c r="H684" s="4" t="s">
        <v>2735</v>
      </c>
      <c r="I684" s="4" t="s">
        <v>641</v>
      </c>
      <c r="J684" s="4" t="s">
        <v>1746</v>
      </c>
      <c r="K684" s="4">
        <v>1</v>
      </c>
      <c r="L684" s="4">
        <v>2304</v>
      </c>
      <c r="M684" s="6"/>
      <c r="AO684" s="4" t="s">
        <v>2733</v>
      </c>
      <c r="AP684" s="4">
        <v>356</v>
      </c>
      <c r="AQ684" s="4" t="s">
        <v>1716</v>
      </c>
      <c r="AR684" s="4" t="s">
        <v>1717</v>
      </c>
      <c r="AS684" s="4" t="s">
        <v>1718</v>
      </c>
      <c r="AT684" s="4" t="s">
        <v>1703</v>
      </c>
      <c r="AU684" s="4" t="s">
        <v>1703</v>
      </c>
      <c r="AV684" s="4" t="s">
        <v>1720</v>
      </c>
      <c r="AW684" s="4" t="s">
        <v>2698</v>
      </c>
      <c r="AX684" s="4" t="s">
        <v>2258</v>
      </c>
      <c r="AY684" s="4">
        <v>52.2</v>
      </c>
      <c r="AZ684" s="4">
        <v>-118.5</v>
      </c>
      <c r="BA684" s="4">
        <v>12</v>
      </c>
    </row>
    <row r="685" spans="1:53" ht="14.25" customHeight="1" x14ac:dyDescent="0.2">
      <c r="B685" s="4">
        <v>12</v>
      </c>
      <c r="C685" s="4" t="s">
        <v>7666</v>
      </c>
      <c r="D685" s="4">
        <v>357</v>
      </c>
      <c r="E685" s="4">
        <v>1902</v>
      </c>
      <c r="F685" s="16" t="s">
        <v>2736</v>
      </c>
      <c r="G685" s="4" t="s">
        <v>2737</v>
      </c>
      <c r="H685" s="4" t="s">
        <v>2738</v>
      </c>
      <c r="I685" s="4" t="s">
        <v>641</v>
      </c>
      <c r="J685" s="4" t="s">
        <v>1715</v>
      </c>
      <c r="K685" s="4">
        <v>1</v>
      </c>
      <c r="L685" s="4">
        <v>2305</v>
      </c>
      <c r="M685" s="6"/>
      <c r="AO685" s="4" t="s">
        <v>2736</v>
      </c>
      <c r="AP685" s="4">
        <v>357</v>
      </c>
      <c r="AQ685" s="4" t="s">
        <v>1716</v>
      </c>
      <c r="AR685" s="4" t="s">
        <v>1717</v>
      </c>
      <c r="AS685" s="4" t="s">
        <v>1718</v>
      </c>
      <c r="AT685" s="4" t="s">
        <v>1703</v>
      </c>
      <c r="AU685" s="4" t="s">
        <v>1703</v>
      </c>
      <c r="AV685" s="4" t="s">
        <v>1720</v>
      </c>
      <c r="AW685" s="4" t="s">
        <v>2368</v>
      </c>
      <c r="AX685" s="4" t="s">
        <v>2707</v>
      </c>
      <c r="AY685" s="4">
        <v>50.698300000000003</v>
      </c>
      <c r="AZ685" s="4">
        <v>-118.75830000000001</v>
      </c>
      <c r="BA685" s="4">
        <v>640</v>
      </c>
    </row>
    <row r="686" spans="1:53" ht="14.25" customHeight="1" x14ac:dyDescent="0.2">
      <c r="A686" s="4" t="s">
        <v>422</v>
      </c>
      <c r="B686" s="4">
        <v>12</v>
      </c>
      <c r="C686" s="4" t="s">
        <v>7666</v>
      </c>
      <c r="D686" s="4">
        <v>358</v>
      </c>
      <c r="E686" s="4">
        <v>1903</v>
      </c>
      <c r="F686" s="16" t="s">
        <v>2739</v>
      </c>
      <c r="G686" s="4" t="s">
        <v>2740</v>
      </c>
      <c r="H686" s="4" t="s">
        <v>2741</v>
      </c>
      <c r="I686" s="4" t="s">
        <v>1664</v>
      </c>
      <c r="J686" s="4" t="s">
        <v>1746</v>
      </c>
      <c r="K686" s="4">
        <v>1</v>
      </c>
      <c r="L686" s="4">
        <v>2306</v>
      </c>
      <c r="M686" s="62"/>
      <c r="N686" s="34"/>
      <c r="P686" s="34"/>
      <c r="R686" s="34"/>
      <c r="T686" s="35"/>
      <c r="AO686" s="4" t="s">
        <v>2739</v>
      </c>
      <c r="AP686" s="4">
        <v>358</v>
      </c>
      <c r="AQ686" s="4" t="s">
        <v>1716</v>
      </c>
      <c r="AR686" s="4" t="s">
        <v>1717</v>
      </c>
      <c r="AS686" s="4" t="s">
        <v>1718</v>
      </c>
      <c r="AT686" s="4" t="s">
        <v>1719</v>
      </c>
      <c r="AU686" s="4" t="s">
        <v>1703</v>
      </c>
      <c r="AV686" s="4" t="s">
        <v>1720</v>
      </c>
      <c r="AW686" s="4" t="s">
        <v>2368</v>
      </c>
      <c r="AX686" s="4" t="s">
        <v>2707</v>
      </c>
      <c r="AY686" s="4">
        <v>51</v>
      </c>
      <c r="AZ686" s="4">
        <v>-118.8</v>
      </c>
      <c r="BA686" s="4">
        <v>10</v>
      </c>
    </row>
    <row r="687" spans="1:53" ht="14.25" customHeight="1" x14ac:dyDescent="0.2">
      <c r="B687" s="4">
        <v>12</v>
      </c>
      <c r="C687" s="4" t="s">
        <v>7666</v>
      </c>
      <c r="D687" s="4">
        <v>359</v>
      </c>
      <c r="E687" s="4">
        <v>1904</v>
      </c>
      <c r="F687" s="16" t="s">
        <v>2742</v>
      </c>
      <c r="G687" s="4" t="s">
        <v>2743</v>
      </c>
      <c r="H687" s="4" t="s">
        <v>2744</v>
      </c>
      <c r="I687" s="4" t="s">
        <v>1664</v>
      </c>
      <c r="J687" s="4" t="s">
        <v>1715</v>
      </c>
      <c r="K687" s="4">
        <v>1</v>
      </c>
      <c r="L687" s="4">
        <v>2307</v>
      </c>
      <c r="M687" s="6"/>
      <c r="AO687" s="4" t="s">
        <v>2742</v>
      </c>
      <c r="AP687" s="4">
        <v>359</v>
      </c>
      <c r="AQ687" s="4" t="s">
        <v>1716</v>
      </c>
      <c r="AR687" s="4" t="s">
        <v>1717</v>
      </c>
      <c r="AS687" s="4" t="s">
        <v>1718</v>
      </c>
      <c r="AT687" s="4" t="s">
        <v>1719</v>
      </c>
      <c r="AU687" s="4" t="s">
        <v>1703</v>
      </c>
      <c r="AV687" s="4" t="s">
        <v>1720</v>
      </c>
      <c r="AW687" s="4" t="s">
        <v>2368</v>
      </c>
      <c r="AX687" s="4" t="s">
        <v>2522</v>
      </c>
      <c r="AY687" s="4">
        <v>50.4</v>
      </c>
      <c r="AZ687" s="4">
        <v>-118.7</v>
      </c>
      <c r="BA687" s="4">
        <v>4</v>
      </c>
    </row>
    <row r="688" spans="1:53" ht="14.25" customHeight="1" x14ac:dyDescent="0.2">
      <c r="B688" s="4">
        <v>12</v>
      </c>
      <c r="C688" s="4" t="s">
        <v>7666</v>
      </c>
      <c r="D688" s="4">
        <v>360</v>
      </c>
      <c r="E688" s="4">
        <v>1905</v>
      </c>
      <c r="F688" s="16" t="s">
        <v>2745</v>
      </c>
      <c r="G688" s="4" t="s">
        <v>2746</v>
      </c>
      <c r="H688" s="4" t="s">
        <v>2747</v>
      </c>
      <c r="I688" s="4" t="s">
        <v>641</v>
      </c>
      <c r="J688" s="4" t="s">
        <v>1715</v>
      </c>
      <c r="K688" s="4">
        <v>1</v>
      </c>
      <c r="L688" s="4">
        <v>2308</v>
      </c>
      <c r="M688" s="6"/>
      <c r="AO688" s="4" t="s">
        <v>2745</v>
      </c>
      <c r="AP688" s="4">
        <v>360</v>
      </c>
      <c r="AQ688" s="4" t="s">
        <v>1716</v>
      </c>
      <c r="AR688" s="4" t="s">
        <v>1717</v>
      </c>
      <c r="AS688" s="4" t="s">
        <v>1718</v>
      </c>
      <c r="AT688" s="4" t="s">
        <v>1703</v>
      </c>
      <c r="AU688" s="4" t="s">
        <v>1703</v>
      </c>
      <c r="AV688" s="4" t="s">
        <v>1720</v>
      </c>
      <c r="AW688" s="4" t="s">
        <v>2368</v>
      </c>
      <c r="AX688" s="4" t="s">
        <v>2401</v>
      </c>
      <c r="AY688" s="4">
        <v>51.265000000000001</v>
      </c>
      <c r="AZ688" s="4">
        <v>-119.44</v>
      </c>
      <c r="BA688" s="4">
        <v>1067</v>
      </c>
    </row>
    <row r="689" spans="1:53" ht="14.25" customHeight="1" x14ac:dyDescent="0.2">
      <c r="B689" s="4">
        <v>12</v>
      </c>
      <c r="C689" s="4" t="s">
        <v>7666</v>
      </c>
      <c r="D689" s="4">
        <v>361</v>
      </c>
      <c r="E689" s="4">
        <v>1906</v>
      </c>
      <c r="F689" s="4" t="s">
        <v>2748</v>
      </c>
      <c r="G689" s="4" t="s">
        <v>2749</v>
      </c>
      <c r="H689" s="4" t="s">
        <v>2750</v>
      </c>
      <c r="I689" s="4" t="s">
        <v>641</v>
      </c>
      <c r="J689" s="4" t="s">
        <v>1736</v>
      </c>
      <c r="K689" s="4">
        <v>1</v>
      </c>
      <c r="L689" s="4">
        <v>2309</v>
      </c>
      <c r="M689" s="62">
        <v>51.997219999999999</v>
      </c>
      <c r="N689" s="34">
        <v>-118.10250000000001</v>
      </c>
      <c r="O689" s="4" t="s">
        <v>170</v>
      </c>
      <c r="P689" s="34">
        <v>361</v>
      </c>
      <c r="Q689" s="4">
        <v>3</v>
      </c>
      <c r="R689" s="34" t="s">
        <v>2748</v>
      </c>
      <c r="S689" s="4" t="s">
        <v>1737</v>
      </c>
      <c r="T689" s="35">
        <v>1200</v>
      </c>
      <c r="W689" s="4">
        <v>31413</v>
      </c>
      <c r="X689" s="4" t="s">
        <v>1738</v>
      </c>
      <c r="AO689" s="4" t="s">
        <v>2748</v>
      </c>
      <c r="AP689" s="4">
        <v>361</v>
      </c>
      <c r="AQ689" s="4" t="s">
        <v>1716</v>
      </c>
      <c r="AR689" s="4" t="s">
        <v>1739</v>
      </c>
      <c r="AS689" s="4" t="s">
        <v>1740</v>
      </c>
      <c r="AT689" s="4" t="s">
        <v>1741</v>
      </c>
      <c r="AU689" s="4" t="s">
        <v>1742</v>
      </c>
      <c r="AV689" s="4" t="s">
        <v>1720</v>
      </c>
      <c r="AW689" s="4" t="s">
        <v>2698</v>
      </c>
      <c r="AX689" s="4" t="s">
        <v>2699</v>
      </c>
      <c r="AY689" s="4">
        <v>51.997199999999999</v>
      </c>
      <c r="AZ689" s="4">
        <v>-118.10250000000001</v>
      </c>
      <c r="BA689" s="4">
        <v>1200</v>
      </c>
    </row>
    <row r="690" spans="1:53" ht="14.25" customHeight="1" x14ac:dyDescent="0.2">
      <c r="A690" s="4" t="s">
        <v>88</v>
      </c>
      <c r="B690" s="4">
        <v>12</v>
      </c>
      <c r="C690" s="4" t="s">
        <v>7666</v>
      </c>
      <c r="D690" s="4">
        <v>362</v>
      </c>
      <c r="E690" s="4">
        <v>1907</v>
      </c>
      <c r="F690" s="4" t="s">
        <v>2751</v>
      </c>
      <c r="G690" s="8" t="s">
        <v>2752</v>
      </c>
      <c r="H690" s="4" t="s">
        <v>2753</v>
      </c>
      <c r="I690" s="4" t="s">
        <v>641</v>
      </c>
      <c r="J690" s="4" t="s">
        <v>1736</v>
      </c>
      <c r="K690" s="4">
        <v>1</v>
      </c>
      <c r="L690" s="4">
        <v>2310</v>
      </c>
      <c r="M690" s="6">
        <v>50.351669999999999</v>
      </c>
      <c r="N690" s="4">
        <v>-118.77333</v>
      </c>
      <c r="O690" s="4" t="s">
        <v>170</v>
      </c>
      <c r="P690" s="4">
        <v>362</v>
      </c>
      <c r="Q690" s="4">
        <v>1</v>
      </c>
      <c r="R690" s="4" t="s">
        <v>2754</v>
      </c>
      <c r="S690" s="4" t="s">
        <v>1737</v>
      </c>
      <c r="T690" s="4">
        <v>488</v>
      </c>
      <c r="U690" s="4" t="s">
        <v>645</v>
      </c>
      <c r="W690" s="4">
        <v>31778</v>
      </c>
      <c r="X690" s="4" t="s">
        <v>1738</v>
      </c>
      <c r="AO690" s="4" t="s">
        <v>2754</v>
      </c>
      <c r="AP690" s="4">
        <v>362</v>
      </c>
      <c r="AQ690" s="4" t="s">
        <v>1700</v>
      </c>
      <c r="AR690" s="4" t="s">
        <v>1739</v>
      </c>
      <c r="AS690" s="4" t="s">
        <v>1740</v>
      </c>
      <c r="AT690" s="4" t="s">
        <v>1741</v>
      </c>
      <c r="AU690" s="4" t="s">
        <v>1959</v>
      </c>
      <c r="AV690" s="4" t="s">
        <v>1720</v>
      </c>
      <c r="AW690" s="4" t="s">
        <v>2368</v>
      </c>
      <c r="AX690" s="4" t="s">
        <v>2522</v>
      </c>
      <c r="AY690" s="4">
        <v>50.351399999999998</v>
      </c>
      <c r="AZ690" s="4">
        <v>-118.7735</v>
      </c>
      <c r="BA690" s="4">
        <v>562</v>
      </c>
    </row>
    <row r="691" spans="1:53" ht="14.25" customHeight="1" x14ac:dyDescent="0.2">
      <c r="A691" s="4" t="s">
        <v>2037</v>
      </c>
      <c r="B691" s="4">
        <v>12</v>
      </c>
      <c r="C691" s="4" t="s">
        <v>7666</v>
      </c>
      <c r="D691" s="4">
        <v>363</v>
      </c>
      <c r="E691" s="4">
        <v>1908</v>
      </c>
      <c r="F691" s="8" t="s">
        <v>2755</v>
      </c>
      <c r="G691" s="4" t="s">
        <v>2756</v>
      </c>
      <c r="H691" s="4" t="s">
        <v>2757</v>
      </c>
      <c r="I691" s="4" t="s">
        <v>641</v>
      </c>
      <c r="J691" s="4" t="s">
        <v>1736</v>
      </c>
      <c r="K691" s="4">
        <v>1</v>
      </c>
      <c r="L691" s="4">
        <v>2311</v>
      </c>
      <c r="M691" s="6">
        <v>51.06033</v>
      </c>
      <c r="N691" s="4">
        <v>-118.21717</v>
      </c>
      <c r="O691" s="4" t="s">
        <v>170</v>
      </c>
      <c r="P691" s="4">
        <v>363</v>
      </c>
      <c r="Q691" s="4">
        <v>1</v>
      </c>
      <c r="R691" s="4" t="s">
        <v>2758</v>
      </c>
      <c r="S691" s="4" t="s">
        <v>1737</v>
      </c>
      <c r="T691" s="4">
        <v>680</v>
      </c>
      <c r="W691" s="4">
        <v>34700</v>
      </c>
      <c r="X691" s="4" t="s">
        <v>1738</v>
      </c>
      <c r="AO691" s="4" t="s">
        <v>2758</v>
      </c>
      <c r="AP691" s="4">
        <v>363</v>
      </c>
      <c r="AQ691" s="4" t="s">
        <v>1700</v>
      </c>
      <c r="AR691" s="4" t="s">
        <v>1739</v>
      </c>
      <c r="AS691" s="4" t="s">
        <v>1740</v>
      </c>
      <c r="AT691" s="4" t="s">
        <v>1741</v>
      </c>
      <c r="AU691" s="4" t="s">
        <v>1772</v>
      </c>
      <c r="AV691" s="4" t="s">
        <v>1720</v>
      </c>
      <c r="AW691" s="4" t="s">
        <v>2698</v>
      </c>
      <c r="AX691" s="4" t="s">
        <v>2699</v>
      </c>
      <c r="AY691" s="4">
        <v>51.060299999999998</v>
      </c>
      <c r="AZ691" s="4">
        <v>-118.21720000000001</v>
      </c>
      <c r="BA691" s="4">
        <v>680</v>
      </c>
    </row>
    <row r="692" spans="1:53" ht="14.25" customHeight="1" x14ac:dyDescent="0.2">
      <c r="B692" s="4">
        <v>12</v>
      </c>
      <c r="C692" s="4" t="s">
        <v>7666</v>
      </c>
      <c r="D692" s="4">
        <v>364</v>
      </c>
      <c r="E692" s="4">
        <v>1909</v>
      </c>
      <c r="F692" s="16" t="s">
        <v>2759</v>
      </c>
      <c r="G692" s="4" t="s">
        <v>2760</v>
      </c>
      <c r="H692" s="4" t="s">
        <v>2761</v>
      </c>
      <c r="I692" s="4" t="s">
        <v>641</v>
      </c>
      <c r="J692" s="4" t="s">
        <v>1715</v>
      </c>
      <c r="K692" s="4">
        <v>1</v>
      </c>
      <c r="L692" s="4">
        <v>2312</v>
      </c>
      <c r="M692" s="62"/>
      <c r="N692" s="34"/>
      <c r="P692" s="34"/>
      <c r="R692" s="34"/>
      <c r="AO692" s="4" t="s">
        <v>2759</v>
      </c>
      <c r="AP692" s="4">
        <v>364</v>
      </c>
      <c r="AQ692" s="4" t="s">
        <v>1716</v>
      </c>
      <c r="AR692" s="4" t="s">
        <v>1717</v>
      </c>
      <c r="AS692" s="4" t="s">
        <v>1718</v>
      </c>
      <c r="AT692" s="4" t="s">
        <v>1719</v>
      </c>
      <c r="AU692" s="4" t="s">
        <v>1959</v>
      </c>
      <c r="AV692" s="4" t="s">
        <v>1720</v>
      </c>
      <c r="AW692" s="4" t="s">
        <v>2698</v>
      </c>
      <c r="AX692" s="4" t="s">
        <v>2699</v>
      </c>
      <c r="AY692" s="4">
        <v>51.470799999999997</v>
      </c>
      <c r="AZ692" s="4">
        <v>-118.1855</v>
      </c>
      <c r="BA692" s="4">
        <v>761</v>
      </c>
    </row>
    <row r="693" spans="1:53" ht="14.25" customHeight="1" x14ac:dyDescent="0.2">
      <c r="B693" s="4">
        <v>12</v>
      </c>
      <c r="C693" s="4" t="s">
        <v>7666</v>
      </c>
      <c r="D693" s="4">
        <v>365</v>
      </c>
      <c r="E693" s="4">
        <v>1910</v>
      </c>
      <c r="F693" s="16" t="s">
        <v>2762</v>
      </c>
      <c r="G693" s="4" t="s">
        <v>2763</v>
      </c>
      <c r="H693" s="4" t="s">
        <v>2764</v>
      </c>
      <c r="I693" s="4" t="s">
        <v>641</v>
      </c>
      <c r="J693" s="4" t="s">
        <v>1715</v>
      </c>
      <c r="K693" s="4">
        <v>1</v>
      </c>
      <c r="L693" s="4">
        <v>2313</v>
      </c>
      <c r="M693" s="62"/>
      <c r="N693" s="34"/>
      <c r="P693" s="34"/>
      <c r="R693" s="34"/>
      <c r="T693" s="35"/>
      <c r="AO693" s="4" t="s">
        <v>2762</v>
      </c>
      <c r="AP693" s="4">
        <v>365</v>
      </c>
      <c r="AQ693" s="4" t="s">
        <v>1716</v>
      </c>
      <c r="AR693" s="4" t="s">
        <v>1717</v>
      </c>
      <c r="AS693" s="4" t="s">
        <v>1718</v>
      </c>
      <c r="AT693" s="4" t="s">
        <v>1719</v>
      </c>
      <c r="AU693" s="4" t="s">
        <v>1959</v>
      </c>
      <c r="AV693" s="4" t="s">
        <v>1720</v>
      </c>
      <c r="AW693" s="4" t="s">
        <v>2698</v>
      </c>
      <c r="AX693" s="4" t="s">
        <v>2699</v>
      </c>
      <c r="AY693" s="4">
        <v>50.7288</v>
      </c>
      <c r="AZ693" s="4">
        <v>-117.943</v>
      </c>
      <c r="BA693" s="4">
        <v>1000</v>
      </c>
    </row>
    <row r="694" spans="1:53" ht="14.25" customHeight="1" x14ac:dyDescent="0.2">
      <c r="A694" s="4" t="s">
        <v>88</v>
      </c>
      <c r="B694" s="4">
        <v>12</v>
      </c>
      <c r="C694" s="4" t="s">
        <v>7666</v>
      </c>
      <c r="D694" s="4">
        <v>366</v>
      </c>
      <c r="E694" s="4">
        <v>1911</v>
      </c>
      <c r="F694" s="4" t="s">
        <v>2765</v>
      </c>
      <c r="G694" s="8" t="s">
        <v>2766</v>
      </c>
      <c r="H694" s="4" t="s">
        <v>2767</v>
      </c>
      <c r="I694" s="4" t="s">
        <v>641</v>
      </c>
      <c r="J694" s="4" t="s">
        <v>1865</v>
      </c>
      <c r="K694" s="4">
        <v>1</v>
      </c>
      <c r="L694" s="4">
        <v>2314</v>
      </c>
      <c r="M694" s="62">
        <v>51.065330000000003</v>
      </c>
      <c r="N694" s="34">
        <v>-116.785</v>
      </c>
      <c r="O694" s="4" t="s">
        <v>170</v>
      </c>
      <c r="P694" s="34">
        <v>366</v>
      </c>
      <c r="Q694" s="4">
        <v>3</v>
      </c>
      <c r="R694" s="34" t="s">
        <v>2765</v>
      </c>
      <c r="S694" s="4" t="s">
        <v>1737</v>
      </c>
      <c r="T694" s="35">
        <v>1300</v>
      </c>
      <c r="W694" s="4">
        <v>32509</v>
      </c>
      <c r="X694" s="4" t="s">
        <v>1738</v>
      </c>
      <c r="AO694" s="4" t="s">
        <v>2765</v>
      </c>
      <c r="AP694" s="4">
        <v>366</v>
      </c>
      <c r="AQ694" s="4" t="s">
        <v>1700</v>
      </c>
      <c r="AR694" s="4" t="s">
        <v>1739</v>
      </c>
      <c r="AS694" s="4" t="s">
        <v>1740</v>
      </c>
      <c r="AT694" s="4" t="s">
        <v>1741</v>
      </c>
      <c r="AU694" s="4" t="s">
        <v>1959</v>
      </c>
      <c r="AV694" s="4" t="s">
        <v>1720</v>
      </c>
      <c r="AW694" s="4" t="s">
        <v>2698</v>
      </c>
      <c r="AX694" s="4" t="s">
        <v>2768</v>
      </c>
      <c r="AY694" s="4">
        <v>51.065300000000001</v>
      </c>
      <c r="AZ694" s="4">
        <v>-116.785</v>
      </c>
      <c r="BA694" s="4">
        <v>1354</v>
      </c>
    </row>
    <row r="695" spans="1:53" ht="14.25" customHeight="1" x14ac:dyDescent="0.2">
      <c r="B695" s="4">
        <v>12</v>
      </c>
      <c r="C695" s="4" t="s">
        <v>7666</v>
      </c>
      <c r="D695" s="4">
        <v>367</v>
      </c>
      <c r="E695" s="4">
        <v>1912</v>
      </c>
      <c r="F695" s="4" t="s">
        <v>2769</v>
      </c>
      <c r="G695" s="4" t="s">
        <v>2770</v>
      </c>
      <c r="H695" s="4" t="s">
        <v>2771</v>
      </c>
      <c r="I695" s="4" t="s">
        <v>641</v>
      </c>
      <c r="J695" s="4" t="s">
        <v>1736</v>
      </c>
      <c r="K695" s="4">
        <v>1</v>
      </c>
      <c r="L695" s="4">
        <v>2315</v>
      </c>
      <c r="M695" s="62">
        <v>51.042169999999999</v>
      </c>
      <c r="N695" s="34">
        <v>-116.36382999999999</v>
      </c>
      <c r="O695" s="4" t="s">
        <v>170</v>
      </c>
      <c r="P695" s="34">
        <v>367</v>
      </c>
      <c r="Q695" s="4">
        <v>3</v>
      </c>
      <c r="R695" s="34" t="s">
        <v>2769</v>
      </c>
      <c r="S695" s="4" t="s">
        <v>1737</v>
      </c>
      <c r="T695" s="4">
        <v>1300</v>
      </c>
      <c r="W695" s="4">
        <v>34335</v>
      </c>
      <c r="X695" s="4" t="s">
        <v>1738</v>
      </c>
      <c r="AO695" s="4" t="s">
        <v>2769</v>
      </c>
      <c r="AP695" s="4">
        <v>367</v>
      </c>
      <c r="AQ695" s="4" t="s">
        <v>1700</v>
      </c>
      <c r="AR695" s="4" t="s">
        <v>1739</v>
      </c>
      <c r="AS695" s="4" t="s">
        <v>1740</v>
      </c>
      <c r="AT695" s="4" t="s">
        <v>1741</v>
      </c>
      <c r="AU695" s="4" t="s">
        <v>1959</v>
      </c>
      <c r="AV695" s="4" t="s">
        <v>1720</v>
      </c>
      <c r="AW695" s="4" t="s">
        <v>2698</v>
      </c>
      <c r="AX695" s="4" t="s">
        <v>2699</v>
      </c>
      <c r="AY695" s="4">
        <v>51.042200000000001</v>
      </c>
      <c r="AZ695" s="4">
        <v>-116.3638</v>
      </c>
      <c r="BA695" s="4">
        <v>1300</v>
      </c>
    </row>
    <row r="696" spans="1:53" ht="14.25" customHeight="1" x14ac:dyDescent="0.2">
      <c r="B696" s="4">
        <v>12</v>
      </c>
      <c r="C696" s="4" t="s">
        <v>7666</v>
      </c>
      <c r="D696" s="4">
        <v>369</v>
      </c>
      <c r="E696" s="4">
        <v>1913</v>
      </c>
      <c r="F696" s="16" t="s">
        <v>2772</v>
      </c>
      <c r="G696" s="4" t="s">
        <v>2773</v>
      </c>
      <c r="H696" s="4" t="s">
        <v>2774</v>
      </c>
      <c r="I696" s="4" t="s">
        <v>1664</v>
      </c>
      <c r="J696" s="4" t="s">
        <v>1715</v>
      </c>
      <c r="K696" s="4">
        <v>1</v>
      </c>
      <c r="L696" s="4">
        <v>2316</v>
      </c>
      <c r="M696" s="62"/>
      <c r="N696" s="34"/>
      <c r="P696" s="34"/>
      <c r="R696" s="34"/>
      <c r="AO696" s="4" t="s">
        <v>2772</v>
      </c>
      <c r="AP696" s="4">
        <v>369</v>
      </c>
      <c r="AQ696" s="4" t="s">
        <v>1716</v>
      </c>
      <c r="AR696" s="4" t="s">
        <v>1717</v>
      </c>
      <c r="AS696" s="4" t="s">
        <v>1718</v>
      </c>
      <c r="AT696" s="4" t="s">
        <v>1719</v>
      </c>
      <c r="AU696" s="4" t="s">
        <v>1703</v>
      </c>
      <c r="AV696" s="4" t="s">
        <v>1720</v>
      </c>
      <c r="AW696" s="4" t="s">
        <v>2698</v>
      </c>
      <c r="AX696" s="4" t="s">
        <v>2768</v>
      </c>
      <c r="AY696" s="4">
        <v>50.9</v>
      </c>
      <c r="AZ696" s="4">
        <v>-116.4</v>
      </c>
      <c r="BA696" s="4">
        <v>0</v>
      </c>
    </row>
    <row r="697" spans="1:53" ht="14.25" customHeight="1" x14ac:dyDescent="0.2">
      <c r="B697" s="4">
        <v>12</v>
      </c>
      <c r="C697" s="4" t="s">
        <v>7666</v>
      </c>
      <c r="D697" s="4">
        <v>370</v>
      </c>
      <c r="E697" s="4">
        <v>1914</v>
      </c>
      <c r="F697" s="16" t="s">
        <v>2775</v>
      </c>
      <c r="G697" s="4" t="s">
        <v>2776</v>
      </c>
      <c r="H697" s="4" t="s">
        <v>2777</v>
      </c>
      <c r="I697" s="4" t="s">
        <v>1664</v>
      </c>
      <c r="J697" s="4" t="s">
        <v>1746</v>
      </c>
      <c r="K697" s="4">
        <v>1</v>
      </c>
      <c r="L697" s="4">
        <v>2317</v>
      </c>
      <c r="M697" s="62"/>
      <c r="N697" s="34"/>
      <c r="P697" s="34"/>
      <c r="R697" s="34"/>
      <c r="AO697" s="4" t="s">
        <v>2775</v>
      </c>
      <c r="AP697" s="4">
        <v>370</v>
      </c>
      <c r="AQ697" s="4" t="s">
        <v>1716</v>
      </c>
      <c r="AR697" s="4" t="s">
        <v>1717</v>
      </c>
      <c r="AS697" s="4" t="s">
        <v>1718</v>
      </c>
      <c r="AT697" s="4" t="s">
        <v>1719</v>
      </c>
      <c r="AU697" s="4" t="s">
        <v>1703</v>
      </c>
      <c r="AV697" s="4" t="s">
        <v>1720</v>
      </c>
      <c r="AW697" s="4" t="s">
        <v>2698</v>
      </c>
      <c r="AX697" s="4" t="s">
        <v>2699</v>
      </c>
      <c r="AY697" s="4">
        <v>52</v>
      </c>
      <c r="AZ697" s="4">
        <v>-118</v>
      </c>
      <c r="BA697" s="4">
        <v>9</v>
      </c>
    </row>
    <row r="698" spans="1:53" ht="14.25" customHeight="1" x14ac:dyDescent="0.2">
      <c r="A698" s="4" t="s">
        <v>422</v>
      </c>
      <c r="B698" s="4">
        <v>12</v>
      </c>
      <c r="C698" s="4" t="s">
        <v>7666</v>
      </c>
      <c r="D698" s="4">
        <v>372</v>
      </c>
      <c r="E698" s="4">
        <v>1915</v>
      </c>
      <c r="F698" s="16" t="s">
        <v>2778</v>
      </c>
      <c r="G698" s="4" t="s">
        <v>2779</v>
      </c>
      <c r="H698" s="4" t="s">
        <v>2780</v>
      </c>
      <c r="I698" s="4" t="s">
        <v>49</v>
      </c>
      <c r="J698" s="4" t="s">
        <v>1746</v>
      </c>
      <c r="K698" s="4">
        <v>1</v>
      </c>
      <c r="L698" s="4">
        <v>2318</v>
      </c>
      <c r="M698" s="62"/>
      <c r="N698" s="34"/>
      <c r="P698" s="34"/>
      <c r="R698" s="34"/>
      <c r="AO698" s="4" t="s">
        <v>2778</v>
      </c>
      <c r="AP698" s="4">
        <v>372</v>
      </c>
      <c r="AQ698" s="4" t="s">
        <v>1716</v>
      </c>
      <c r="AR698" s="4" t="s">
        <v>1717</v>
      </c>
      <c r="AS698" s="4" t="s">
        <v>1718</v>
      </c>
      <c r="AT698" s="4" t="s">
        <v>1719</v>
      </c>
      <c r="AU698" s="4" t="s">
        <v>1703</v>
      </c>
      <c r="AV698" s="4" t="s">
        <v>1720</v>
      </c>
      <c r="AW698" s="4" t="s">
        <v>2698</v>
      </c>
      <c r="AX698" s="4" t="s">
        <v>2699</v>
      </c>
      <c r="AY698" s="4">
        <v>51.3</v>
      </c>
      <c r="AZ698" s="4">
        <v>-117.5</v>
      </c>
      <c r="BA698" s="4">
        <v>0</v>
      </c>
    </row>
    <row r="699" spans="1:53" ht="14.25" customHeight="1" x14ac:dyDescent="0.2">
      <c r="B699" s="4">
        <v>12</v>
      </c>
      <c r="C699" s="4" t="s">
        <v>7666</v>
      </c>
      <c r="D699" s="4">
        <v>373</v>
      </c>
      <c r="E699" s="4">
        <v>1916</v>
      </c>
      <c r="F699" s="16" t="s">
        <v>2781</v>
      </c>
      <c r="G699" s="4" t="s">
        <v>2782</v>
      </c>
      <c r="H699" s="4" t="s">
        <v>2783</v>
      </c>
      <c r="I699" s="4" t="s">
        <v>641</v>
      </c>
      <c r="J699" s="4" t="s">
        <v>1715</v>
      </c>
      <c r="K699" s="4">
        <v>1</v>
      </c>
      <c r="L699" s="4">
        <v>2319</v>
      </c>
      <c r="M699" s="62"/>
      <c r="N699" s="34"/>
      <c r="P699" s="34"/>
      <c r="R699" s="34"/>
      <c r="AO699" s="4" t="s">
        <v>2781</v>
      </c>
      <c r="AP699" s="4">
        <v>373</v>
      </c>
      <c r="AQ699" s="4" t="s">
        <v>1716</v>
      </c>
      <c r="AR699" s="4" t="s">
        <v>1717</v>
      </c>
      <c r="AS699" s="4" t="s">
        <v>1718</v>
      </c>
      <c r="AT699" s="4" t="s">
        <v>1719</v>
      </c>
      <c r="AU699" s="4" t="s">
        <v>1836</v>
      </c>
      <c r="AV699" s="4" t="s">
        <v>1720</v>
      </c>
      <c r="AW699" s="4" t="s">
        <v>2698</v>
      </c>
      <c r="AX699" s="4" t="s">
        <v>2768</v>
      </c>
      <c r="AY699" s="4">
        <v>50.845799999999997</v>
      </c>
      <c r="AZ699" s="4">
        <v>-116.33799999999999</v>
      </c>
      <c r="BA699" s="4">
        <v>938</v>
      </c>
    </row>
    <row r="700" spans="1:53" ht="14.25" customHeight="1" x14ac:dyDescent="0.2">
      <c r="B700" s="4">
        <v>12</v>
      </c>
      <c r="C700" s="4" t="s">
        <v>7666</v>
      </c>
      <c r="D700" s="4">
        <v>374</v>
      </c>
      <c r="E700" s="4">
        <v>1917</v>
      </c>
      <c r="F700" s="4" t="s">
        <v>2784</v>
      </c>
      <c r="G700" s="4" t="s">
        <v>2785</v>
      </c>
      <c r="H700" s="4" t="s">
        <v>2750</v>
      </c>
      <c r="I700" s="4" t="s">
        <v>641</v>
      </c>
      <c r="J700" s="4" t="s">
        <v>1736</v>
      </c>
      <c r="K700" s="4">
        <v>1</v>
      </c>
      <c r="L700" s="4">
        <v>2320</v>
      </c>
      <c r="M700" s="62">
        <v>51.716169999999998</v>
      </c>
      <c r="N700" s="34">
        <v>-117.54167</v>
      </c>
      <c r="O700" s="9" t="s">
        <v>170</v>
      </c>
      <c r="P700" s="34">
        <v>374</v>
      </c>
      <c r="Q700" s="20">
        <v>2</v>
      </c>
      <c r="R700" s="34" t="s">
        <v>2784</v>
      </c>
      <c r="S700" s="9" t="s">
        <v>1737</v>
      </c>
      <c r="T700" s="9">
        <v>1000</v>
      </c>
      <c r="U700" s="9"/>
      <c r="V700" s="9"/>
      <c r="W700" s="21">
        <v>31413</v>
      </c>
      <c r="X700" s="9" t="s">
        <v>1738</v>
      </c>
      <c r="AO700" s="4" t="s">
        <v>2784</v>
      </c>
      <c r="AP700" s="4">
        <v>374</v>
      </c>
      <c r="AQ700" s="4" t="s">
        <v>1716</v>
      </c>
      <c r="AR700" s="4" t="s">
        <v>1739</v>
      </c>
      <c r="AS700" s="4" t="s">
        <v>1740</v>
      </c>
      <c r="AT700" s="4" t="s">
        <v>1741</v>
      </c>
      <c r="AU700" s="4" t="s">
        <v>1742</v>
      </c>
      <c r="AV700" s="4" t="s">
        <v>1720</v>
      </c>
      <c r="AW700" s="4" t="s">
        <v>2698</v>
      </c>
      <c r="AX700" s="4" t="s">
        <v>2699</v>
      </c>
      <c r="AY700" s="4">
        <v>51.716200000000001</v>
      </c>
      <c r="AZ700" s="4">
        <v>-117.54170000000001</v>
      </c>
      <c r="BA700" s="4">
        <v>1000</v>
      </c>
    </row>
    <row r="701" spans="1:53" ht="14.25" customHeight="1" x14ac:dyDescent="0.2">
      <c r="B701" s="4">
        <v>12</v>
      </c>
      <c r="C701" s="4" t="s">
        <v>7666</v>
      </c>
      <c r="D701" s="4">
        <v>375</v>
      </c>
      <c r="E701" s="4">
        <v>1918</v>
      </c>
      <c r="F701" s="16" t="s">
        <v>2786</v>
      </c>
      <c r="G701" s="4" t="s">
        <v>2787</v>
      </c>
      <c r="H701" s="4" t="s">
        <v>2788</v>
      </c>
      <c r="I701" s="4" t="s">
        <v>641</v>
      </c>
      <c r="J701" s="4" t="s">
        <v>1715</v>
      </c>
      <c r="K701" s="4">
        <v>1</v>
      </c>
      <c r="L701" s="4">
        <v>2321</v>
      </c>
      <c r="M701" s="62"/>
      <c r="N701" s="34"/>
      <c r="P701" s="34"/>
      <c r="R701" s="34"/>
      <c r="AO701" s="4" t="s">
        <v>2786</v>
      </c>
      <c r="AP701" s="4">
        <v>375</v>
      </c>
      <c r="AQ701" s="4" t="s">
        <v>1716</v>
      </c>
      <c r="AR701" s="4" t="s">
        <v>1717</v>
      </c>
      <c r="AS701" s="4" t="s">
        <v>1718</v>
      </c>
      <c r="AT701" s="4" t="s">
        <v>1719</v>
      </c>
      <c r="AU701" s="4" t="s">
        <v>1959</v>
      </c>
      <c r="AV701" s="4" t="s">
        <v>1720</v>
      </c>
      <c r="AW701" s="4" t="s">
        <v>2698</v>
      </c>
      <c r="AX701" s="4" t="s">
        <v>2699</v>
      </c>
      <c r="AY701" s="4">
        <v>51.431199999999997</v>
      </c>
      <c r="AZ701" s="4">
        <v>-117.16379999999999</v>
      </c>
      <c r="BA701" s="4">
        <v>1300</v>
      </c>
    </row>
    <row r="702" spans="1:53" ht="14.25" customHeight="1" x14ac:dyDescent="0.2">
      <c r="B702" s="4">
        <v>12</v>
      </c>
      <c r="C702" s="4" t="s">
        <v>7666</v>
      </c>
      <c r="D702" s="4">
        <v>376</v>
      </c>
      <c r="E702" s="4">
        <v>1919</v>
      </c>
      <c r="F702" s="4" t="s">
        <v>2789</v>
      </c>
      <c r="G702" s="4" t="s">
        <v>2790</v>
      </c>
      <c r="H702" s="4" t="s">
        <v>2791</v>
      </c>
      <c r="I702" s="4" t="s">
        <v>641</v>
      </c>
      <c r="J702" s="4" t="s">
        <v>1736</v>
      </c>
      <c r="K702" s="4">
        <v>1</v>
      </c>
      <c r="L702" s="4">
        <v>2322</v>
      </c>
      <c r="M702" s="62">
        <v>51.751330000000003</v>
      </c>
      <c r="N702" s="34">
        <v>-117.76133</v>
      </c>
      <c r="O702" s="9" t="s">
        <v>170</v>
      </c>
      <c r="P702" s="34">
        <v>376</v>
      </c>
      <c r="Q702" s="20">
        <v>8</v>
      </c>
      <c r="R702" s="34" t="s">
        <v>2792</v>
      </c>
      <c r="S702" s="9" t="s">
        <v>1737</v>
      </c>
      <c r="T702" s="9">
        <v>2438</v>
      </c>
      <c r="U702" s="9"/>
      <c r="V702" s="9"/>
      <c r="W702" s="21">
        <v>35796</v>
      </c>
      <c r="X702" s="9" t="s">
        <v>1738</v>
      </c>
      <c r="AA702" s="34"/>
      <c r="AC702" s="35"/>
      <c r="AO702" s="4" t="s">
        <v>2793</v>
      </c>
      <c r="AP702" s="4">
        <v>376</v>
      </c>
      <c r="AQ702" s="4" t="s">
        <v>1700</v>
      </c>
      <c r="AR702" s="4" t="s">
        <v>1701</v>
      </c>
      <c r="AS702" s="4" t="s">
        <v>1740</v>
      </c>
      <c r="AT702" s="4" t="s">
        <v>1835</v>
      </c>
      <c r="AU702" s="4" t="s">
        <v>2489</v>
      </c>
      <c r="AV702" s="4" t="s">
        <v>1720</v>
      </c>
      <c r="AW702" s="4" t="s">
        <v>2698</v>
      </c>
      <c r="AX702" s="4" t="s">
        <v>2699</v>
      </c>
      <c r="AY702" s="4">
        <v>51.751300000000001</v>
      </c>
      <c r="AZ702" s="4">
        <v>-117.76130000000001</v>
      </c>
      <c r="BA702" s="4">
        <v>2438</v>
      </c>
    </row>
    <row r="703" spans="1:53" ht="14.25" customHeight="1" x14ac:dyDescent="0.2">
      <c r="B703" s="4">
        <v>12</v>
      </c>
      <c r="C703" s="4" t="s">
        <v>7666</v>
      </c>
      <c r="D703" s="4">
        <v>377</v>
      </c>
      <c r="E703" s="4">
        <v>1920</v>
      </c>
      <c r="F703" s="16" t="s">
        <v>2794</v>
      </c>
      <c r="G703" s="4" t="s">
        <v>2795</v>
      </c>
      <c r="H703" s="4" t="s">
        <v>2796</v>
      </c>
      <c r="I703" s="4" t="s">
        <v>641</v>
      </c>
      <c r="J703" s="4" t="s">
        <v>1715</v>
      </c>
      <c r="K703" s="4">
        <v>1</v>
      </c>
      <c r="L703" s="4">
        <v>2323</v>
      </c>
      <c r="M703" s="62"/>
      <c r="N703" s="34"/>
      <c r="P703" s="34"/>
      <c r="R703" s="34"/>
      <c r="AO703" s="4" t="s">
        <v>2794</v>
      </c>
      <c r="AP703" s="4">
        <v>377</v>
      </c>
      <c r="AQ703" s="4" t="s">
        <v>1716</v>
      </c>
      <c r="AR703" s="4" t="s">
        <v>1717</v>
      </c>
      <c r="AS703" s="4" t="s">
        <v>1718</v>
      </c>
      <c r="AT703" s="4" t="s">
        <v>1703</v>
      </c>
      <c r="AU703" s="4" t="s">
        <v>1703</v>
      </c>
      <c r="AV703" s="4" t="s">
        <v>1720</v>
      </c>
      <c r="AW703" s="4" t="s">
        <v>2698</v>
      </c>
      <c r="AX703" s="4" t="s">
        <v>2797</v>
      </c>
      <c r="AY703" s="4">
        <v>50.252499999999998</v>
      </c>
      <c r="AZ703" s="4">
        <v>-117.77630000000001</v>
      </c>
      <c r="BA703" s="4">
        <v>651</v>
      </c>
    </row>
    <row r="704" spans="1:53" ht="14.25" customHeight="1" x14ac:dyDescent="0.2">
      <c r="B704" s="4">
        <v>12</v>
      </c>
      <c r="C704" s="4" t="s">
        <v>7666</v>
      </c>
      <c r="D704" s="4">
        <v>378</v>
      </c>
      <c r="E704" s="4">
        <v>1921</v>
      </c>
      <c r="F704" s="16" t="s">
        <v>2798</v>
      </c>
      <c r="G704" s="4" t="s">
        <v>2799</v>
      </c>
      <c r="H704" s="4" t="s">
        <v>2800</v>
      </c>
      <c r="I704" s="4" t="s">
        <v>641</v>
      </c>
      <c r="J704" s="4" t="s">
        <v>1715</v>
      </c>
      <c r="K704" s="4">
        <v>1</v>
      </c>
      <c r="L704" s="4">
        <v>2324</v>
      </c>
      <c r="M704" s="62"/>
      <c r="N704" s="34"/>
      <c r="P704" s="34"/>
      <c r="R704" s="34"/>
      <c r="AA704" s="34"/>
      <c r="AC704" s="35"/>
      <c r="AO704" s="4" t="s">
        <v>2798</v>
      </c>
      <c r="AP704" s="4">
        <v>378</v>
      </c>
      <c r="AQ704" s="4" t="s">
        <v>1716</v>
      </c>
      <c r="AR704" s="4" t="s">
        <v>1717</v>
      </c>
      <c r="AS704" s="4" t="s">
        <v>1718</v>
      </c>
      <c r="AT704" s="4" t="s">
        <v>1703</v>
      </c>
      <c r="AU704" s="4" t="s">
        <v>1703</v>
      </c>
      <c r="AV704" s="4" t="s">
        <v>1720</v>
      </c>
      <c r="AW704" s="4" t="s">
        <v>2698</v>
      </c>
      <c r="AX704" s="4" t="s">
        <v>2801</v>
      </c>
      <c r="AY704" s="4">
        <v>49.747</v>
      </c>
      <c r="AZ704" s="4">
        <v>-116.851</v>
      </c>
      <c r="BA704" s="4">
        <v>701</v>
      </c>
    </row>
    <row r="705" spans="1:53" ht="14.25" customHeight="1" x14ac:dyDescent="0.2">
      <c r="B705" s="4">
        <v>12</v>
      </c>
      <c r="C705" s="4" t="s">
        <v>7666</v>
      </c>
      <c r="D705" s="4">
        <v>379</v>
      </c>
      <c r="E705" s="4">
        <v>1922</v>
      </c>
      <c r="F705" s="4" t="s">
        <v>2802</v>
      </c>
      <c r="G705" s="4" t="s">
        <v>2803</v>
      </c>
      <c r="H705" s="4" t="s">
        <v>2804</v>
      </c>
      <c r="I705" s="4" t="s">
        <v>641</v>
      </c>
      <c r="J705" s="4" t="s">
        <v>1865</v>
      </c>
      <c r="K705" s="4">
        <v>1</v>
      </c>
      <c r="L705" s="4">
        <v>2325</v>
      </c>
      <c r="M705" s="62">
        <v>50.365830000000003</v>
      </c>
      <c r="N705" s="34">
        <v>-117.0645</v>
      </c>
      <c r="O705" s="9" t="s">
        <v>170</v>
      </c>
      <c r="P705" s="34">
        <v>379</v>
      </c>
      <c r="Q705" s="20">
        <v>1</v>
      </c>
      <c r="R705" s="34" t="s">
        <v>2802</v>
      </c>
      <c r="S705" s="9" t="s">
        <v>1737</v>
      </c>
      <c r="T705" s="9">
        <v>800</v>
      </c>
      <c r="U705" s="9"/>
      <c r="V705" s="9"/>
      <c r="W705" s="21">
        <v>28856</v>
      </c>
      <c r="X705" s="9" t="s">
        <v>1738</v>
      </c>
      <c r="AO705" s="4" t="s">
        <v>2802</v>
      </c>
      <c r="AP705" s="4">
        <v>379</v>
      </c>
      <c r="AQ705" s="4" t="s">
        <v>1716</v>
      </c>
      <c r="AR705" s="4" t="s">
        <v>1739</v>
      </c>
      <c r="AS705" s="4" t="s">
        <v>1740</v>
      </c>
      <c r="AT705" s="4" t="s">
        <v>1741</v>
      </c>
      <c r="AU705" s="4" t="s">
        <v>1742</v>
      </c>
      <c r="AV705" s="4" t="s">
        <v>1720</v>
      </c>
      <c r="AW705" s="4" t="s">
        <v>2698</v>
      </c>
      <c r="AX705" s="4" t="s">
        <v>2801</v>
      </c>
      <c r="AY705" s="4">
        <v>50.3658</v>
      </c>
      <c r="AZ705" s="4">
        <v>-117.0645</v>
      </c>
      <c r="BA705" s="4">
        <v>800</v>
      </c>
    </row>
    <row r="706" spans="1:53" ht="14.25" customHeight="1" x14ac:dyDescent="0.2">
      <c r="B706" s="4">
        <v>12</v>
      </c>
      <c r="C706" s="4" t="s">
        <v>7666</v>
      </c>
      <c r="D706" s="4">
        <v>380</v>
      </c>
      <c r="E706" s="4">
        <v>1923</v>
      </c>
      <c r="F706" s="4" t="s">
        <v>2805</v>
      </c>
      <c r="G706" s="4" t="s">
        <v>2806</v>
      </c>
      <c r="H706" s="4" t="s">
        <v>2807</v>
      </c>
      <c r="I706" s="4" t="s">
        <v>641</v>
      </c>
      <c r="J706" s="4" t="s">
        <v>1891</v>
      </c>
      <c r="K706" s="4">
        <v>1</v>
      </c>
      <c r="L706" s="4">
        <v>2326</v>
      </c>
      <c r="M706" s="62">
        <v>49.906500000000001</v>
      </c>
      <c r="N706" s="34">
        <v>-116.85509999999999</v>
      </c>
      <c r="O706" s="9" t="s">
        <v>170</v>
      </c>
      <c r="P706" s="34">
        <v>380</v>
      </c>
      <c r="Q706" s="20">
        <v>2</v>
      </c>
      <c r="R706" s="34" t="s">
        <v>2805</v>
      </c>
      <c r="S706" s="9" t="s">
        <v>1737</v>
      </c>
      <c r="T706" s="9">
        <v>1019</v>
      </c>
      <c r="U706" s="9"/>
      <c r="V706" s="9"/>
      <c r="W706" s="21">
        <v>36892</v>
      </c>
      <c r="X706" s="9" t="s">
        <v>1738</v>
      </c>
      <c r="AO706" s="4" t="s">
        <v>2805</v>
      </c>
      <c r="AP706" s="4">
        <v>380</v>
      </c>
      <c r="AQ706" s="4" t="s">
        <v>1700</v>
      </c>
      <c r="AR706" s="4" t="s">
        <v>1739</v>
      </c>
      <c r="AS706" s="4" t="s">
        <v>1740</v>
      </c>
      <c r="AT706" s="4" t="s">
        <v>1741</v>
      </c>
      <c r="AU706" s="4" t="s">
        <v>1959</v>
      </c>
      <c r="AV706" s="4" t="s">
        <v>1720</v>
      </c>
      <c r="AW706" s="4" t="s">
        <v>2698</v>
      </c>
      <c r="AX706" s="4" t="s">
        <v>2801</v>
      </c>
      <c r="AY706" s="4">
        <v>49.906500000000001</v>
      </c>
      <c r="AZ706" s="4">
        <v>-116.85509999999999</v>
      </c>
      <c r="BA706" s="4">
        <v>1019</v>
      </c>
    </row>
    <row r="707" spans="1:53" ht="14.25" customHeight="1" x14ac:dyDescent="0.2">
      <c r="B707" s="4">
        <v>12</v>
      </c>
      <c r="C707" s="4" t="s">
        <v>7666</v>
      </c>
      <c r="D707" s="4">
        <v>381</v>
      </c>
      <c r="E707" s="4">
        <v>1924</v>
      </c>
      <c r="F707" s="16" t="s">
        <v>2808</v>
      </c>
      <c r="G707" s="4" t="s">
        <v>2809</v>
      </c>
      <c r="H707" s="4" t="s">
        <v>2810</v>
      </c>
      <c r="I707" s="4" t="s">
        <v>1664</v>
      </c>
      <c r="J707" s="4" t="s">
        <v>1715</v>
      </c>
      <c r="K707" s="4">
        <v>1</v>
      </c>
      <c r="L707" s="4">
        <v>2327</v>
      </c>
      <c r="M707" s="62"/>
      <c r="N707" s="34"/>
      <c r="P707" s="34"/>
      <c r="R707" s="34"/>
      <c r="AO707" s="4" t="s">
        <v>2808</v>
      </c>
      <c r="AP707" s="4">
        <v>381</v>
      </c>
      <c r="AQ707" s="4" t="s">
        <v>1716</v>
      </c>
      <c r="AR707" s="4" t="s">
        <v>1717</v>
      </c>
      <c r="AS707" s="4" t="s">
        <v>1718</v>
      </c>
      <c r="AT707" s="4" t="s">
        <v>1719</v>
      </c>
      <c r="AU707" s="4" t="s">
        <v>1703</v>
      </c>
      <c r="AV707" s="4" t="s">
        <v>1720</v>
      </c>
      <c r="AW707" s="4" t="s">
        <v>2698</v>
      </c>
      <c r="AX707" s="4" t="s">
        <v>2797</v>
      </c>
      <c r="AY707" s="4">
        <v>50.3</v>
      </c>
      <c r="AZ707" s="4">
        <v>-117.9</v>
      </c>
      <c r="BA707" s="4">
        <v>0</v>
      </c>
    </row>
    <row r="708" spans="1:53" ht="14.25" customHeight="1" x14ac:dyDescent="0.2">
      <c r="B708" s="4">
        <v>12</v>
      </c>
      <c r="C708" s="4" t="s">
        <v>7666</v>
      </c>
      <c r="D708" s="4">
        <v>382</v>
      </c>
      <c r="E708" s="4">
        <v>1925</v>
      </c>
      <c r="F708" s="16" t="s">
        <v>2811</v>
      </c>
      <c r="G708" s="4" t="s">
        <v>2812</v>
      </c>
      <c r="H708" s="4" t="s">
        <v>2813</v>
      </c>
      <c r="I708" s="4" t="s">
        <v>1664</v>
      </c>
      <c r="J708" s="4" t="s">
        <v>1715</v>
      </c>
      <c r="K708" s="4">
        <v>1</v>
      </c>
      <c r="L708" s="4">
        <v>2328</v>
      </c>
      <c r="M708" s="62"/>
      <c r="N708" s="34"/>
      <c r="P708" s="34"/>
      <c r="R708" s="34"/>
      <c r="AO708" s="4" t="s">
        <v>2811</v>
      </c>
      <c r="AP708" s="4">
        <v>382</v>
      </c>
      <c r="AQ708" s="4" t="s">
        <v>1716</v>
      </c>
      <c r="AR708" s="4" t="s">
        <v>1717</v>
      </c>
      <c r="AS708" s="4" t="s">
        <v>1718</v>
      </c>
      <c r="AT708" s="4" t="s">
        <v>1703</v>
      </c>
      <c r="AU708" s="4" t="s">
        <v>1703</v>
      </c>
      <c r="AV708" s="4" t="s">
        <v>1720</v>
      </c>
      <c r="AW708" s="4" t="s">
        <v>2698</v>
      </c>
      <c r="AY708" s="4">
        <v>49</v>
      </c>
      <c r="AZ708" s="4">
        <v>-116.5</v>
      </c>
      <c r="BA708" s="4">
        <v>0</v>
      </c>
    </row>
    <row r="709" spans="1:53" ht="14.25" customHeight="1" x14ac:dyDescent="0.2">
      <c r="A709" s="4" t="s">
        <v>2037</v>
      </c>
      <c r="B709" s="4">
        <v>12</v>
      </c>
      <c r="C709" s="4" t="s">
        <v>7666</v>
      </c>
      <c r="D709" s="4">
        <v>383</v>
      </c>
      <c r="E709" s="4">
        <v>1926</v>
      </c>
      <c r="F709" s="8" t="s">
        <v>2814</v>
      </c>
      <c r="G709" s="4" t="s">
        <v>2815</v>
      </c>
      <c r="H709" s="4" t="s">
        <v>2816</v>
      </c>
      <c r="I709" s="4" t="s">
        <v>641</v>
      </c>
      <c r="J709" s="4" t="s">
        <v>1891</v>
      </c>
      <c r="K709" s="4">
        <v>1</v>
      </c>
      <c r="L709" s="4">
        <v>2329</v>
      </c>
      <c r="M709" s="62">
        <v>50.383000000000003</v>
      </c>
      <c r="N709" s="34">
        <v>-117.87990000000001</v>
      </c>
      <c r="O709" s="9" t="s">
        <v>170</v>
      </c>
      <c r="P709" s="34">
        <v>383</v>
      </c>
      <c r="Q709" s="20">
        <v>1</v>
      </c>
      <c r="R709" s="34" t="s">
        <v>2817</v>
      </c>
      <c r="S709" s="9" t="s">
        <v>1737</v>
      </c>
      <c r="T709" s="9">
        <v>790</v>
      </c>
      <c r="U709" s="9" t="s">
        <v>645</v>
      </c>
      <c r="V709" s="9"/>
      <c r="W709" s="21">
        <v>37257</v>
      </c>
      <c r="X709" s="9" t="s">
        <v>1738</v>
      </c>
      <c r="AO709" s="4" t="s">
        <v>2817</v>
      </c>
      <c r="AP709" s="4">
        <v>383</v>
      </c>
      <c r="AQ709" s="4" t="s">
        <v>1716</v>
      </c>
      <c r="AR709" s="4" t="s">
        <v>1739</v>
      </c>
      <c r="AS709" s="4" t="s">
        <v>1740</v>
      </c>
      <c r="AT709" s="4" t="s">
        <v>1741</v>
      </c>
      <c r="AU709" s="4" t="s">
        <v>1742</v>
      </c>
      <c r="AV709" s="4" t="s">
        <v>1720</v>
      </c>
      <c r="AW709" s="4" t="s">
        <v>2698</v>
      </c>
      <c r="AX709" s="4" t="s">
        <v>2797</v>
      </c>
      <c r="AY709" s="4">
        <v>50.383000000000003</v>
      </c>
      <c r="AZ709" s="4">
        <v>-117.87990000000001</v>
      </c>
      <c r="BA709" s="4">
        <v>790</v>
      </c>
    </row>
    <row r="710" spans="1:53" ht="14.25" customHeight="1" x14ac:dyDescent="0.2">
      <c r="A710" s="4" t="s">
        <v>2037</v>
      </c>
      <c r="B710" s="4">
        <v>12</v>
      </c>
      <c r="C710" s="4" t="s">
        <v>7666</v>
      </c>
      <c r="D710" s="4">
        <v>384</v>
      </c>
      <c r="E710" s="4">
        <v>1927</v>
      </c>
      <c r="F710" s="4" t="s">
        <v>2818</v>
      </c>
      <c r="G710" s="4" t="s">
        <v>2819</v>
      </c>
      <c r="H710" s="4" t="s">
        <v>2820</v>
      </c>
      <c r="I710" s="4" t="s">
        <v>641</v>
      </c>
      <c r="J710" s="4" t="s">
        <v>1715</v>
      </c>
      <c r="K710" s="4">
        <v>1</v>
      </c>
      <c r="L710" s="4">
        <v>2330</v>
      </c>
      <c r="M710" s="62"/>
      <c r="N710" s="34"/>
      <c r="O710" s="9"/>
      <c r="P710" s="34"/>
      <c r="Q710" s="20"/>
      <c r="R710" s="34"/>
      <c r="S710" s="9"/>
      <c r="T710" s="9"/>
      <c r="U710" s="9"/>
      <c r="V710" s="9"/>
      <c r="W710" s="21"/>
      <c r="X710" s="9"/>
      <c r="AO710" s="4" t="s">
        <v>2821</v>
      </c>
      <c r="AP710" s="4">
        <v>384</v>
      </c>
      <c r="AQ710" s="4" t="s">
        <v>1716</v>
      </c>
      <c r="AR710" s="4" t="s">
        <v>1717</v>
      </c>
      <c r="AS710" s="4" t="s">
        <v>1718</v>
      </c>
      <c r="AT710" s="4" t="s">
        <v>1835</v>
      </c>
      <c r="AU710" s="4" t="s">
        <v>1959</v>
      </c>
      <c r="AV710" s="4" t="s">
        <v>1720</v>
      </c>
      <c r="AW710" s="4" t="s">
        <v>2698</v>
      </c>
      <c r="AX710" s="4" t="s">
        <v>2801</v>
      </c>
      <c r="AY710" s="4">
        <v>50.366300000000003</v>
      </c>
      <c r="AZ710" s="4">
        <v>-117.0017</v>
      </c>
      <c r="BA710" s="4">
        <v>1300</v>
      </c>
    </row>
    <row r="711" spans="1:53" ht="14.25" customHeight="1" x14ac:dyDescent="0.2">
      <c r="B711" s="4">
        <v>12</v>
      </c>
      <c r="C711" s="4" t="s">
        <v>7666</v>
      </c>
      <c r="D711" s="4">
        <v>385</v>
      </c>
      <c r="E711" s="4">
        <v>1928</v>
      </c>
      <c r="F711" s="4" t="s">
        <v>2822</v>
      </c>
      <c r="G711" s="4" t="s">
        <v>2823</v>
      </c>
      <c r="H711" s="4" t="s">
        <v>2804</v>
      </c>
      <c r="I711" s="4" t="s">
        <v>641</v>
      </c>
      <c r="J711" s="4" t="s">
        <v>1865</v>
      </c>
      <c r="K711" s="4">
        <v>1</v>
      </c>
      <c r="L711" s="4">
        <v>2331</v>
      </c>
      <c r="M711" s="62">
        <v>50.780830000000002</v>
      </c>
      <c r="N711" s="34">
        <v>-117.18049999999999</v>
      </c>
      <c r="O711" s="9" t="s">
        <v>170</v>
      </c>
      <c r="P711" s="34">
        <v>385</v>
      </c>
      <c r="Q711" s="20">
        <v>4</v>
      </c>
      <c r="R711" s="34" t="s">
        <v>2822</v>
      </c>
      <c r="S711" s="9" t="s">
        <v>1737</v>
      </c>
      <c r="T711" s="9">
        <v>1376</v>
      </c>
      <c r="U711" s="9"/>
      <c r="V711" s="9"/>
      <c r="W711" s="21">
        <v>29587</v>
      </c>
      <c r="X711" s="9" t="s">
        <v>1738</v>
      </c>
      <c r="AO711" s="4" t="s">
        <v>2822</v>
      </c>
      <c r="AP711" s="4">
        <v>385</v>
      </c>
      <c r="AQ711" s="4" t="s">
        <v>1716</v>
      </c>
      <c r="AR711" s="4" t="s">
        <v>1739</v>
      </c>
      <c r="AS711" s="4" t="s">
        <v>1740</v>
      </c>
      <c r="AT711" s="4" t="s">
        <v>1741</v>
      </c>
      <c r="AU711" s="4" t="s">
        <v>1742</v>
      </c>
      <c r="AV711" s="4" t="s">
        <v>1720</v>
      </c>
      <c r="AW711" s="4" t="s">
        <v>2698</v>
      </c>
      <c r="AX711" s="4" t="s">
        <v>2801</v>
      </c>
      <c r="AY711" s="4">
        <v>50.780799999999999</v>
      </c>
      <c r="AZ711" s="4">
        <v>-117.18049999999999</v>
      </c>
      <c r="BA711" s="4">
        <v>1376</v>
      </c>
    </row>
    <row r="712" spans="1:53" ht="14.25" customHeight="1" x14ac:dyDescent="0.2">
      <c r="B712" s="4">
        <v>12</v>
      </c>
      <c r="C712" s="4" t="s">
        <v>7666</v>
      </c>
      <c r="D712" s="4">
        <v>386</v>
      </c>
      <c r="E712" s="4">
        <v>1929</v>
      </c>
      <c r="F712" s="16" t="s">
        <v>2824</v>
      </c>
      <c r="G712" s="4" t="s">
        <v>2825</v>
      </c>
      <c r="H712" s="4" t="s">
        <v>2826</v>
      </c>
      <c r="I712" s="4" t="s">
        <v>1664</v>
      </c>
      <c r="J712" s="4" t="s">
        <v>1715</v>
      </c>
      <c r="K712" s="4">
        <v>1</v>
      </c>
      <c r="L712" s="4">
        <v>2332</v>
      </c>
      <c r="M712" s="62"/>
      <c r="N712" s="34"/>
      <c r="P712" s="34"/>
      <c r="R712" s="34"/>
      <c r="AO712" s="4" t="s">
        <v>2824</v>
      </c>
      <c r="AP712" s="4">
        <v>386</v>
      </c>
      <c r="AQ712" s="4" t="s">
        <v>1716</v>
      </c>
      <c r="AR712" s="4" t="s">
        <v>1717</v>
      </c>
      <c r="AS712" s="4" t="s">
        <v>1718</v>
      </c>
      <c r="AT712" s="4" t="s">
        <v>1719</v>
      </c>
      <c r="AU712" s="4" t="s">
        <v>1703</v>
      </c>
      <c r="AV712" s="4" t="s">
        <v>1720</v>
      </c>
      <c r="AW712" s="4" t="s">
        <v>2368</v>
      </c>
      <c r="AX712" s="4" t="s">
        <v>2827</v>
      </c>
      <c r="AY712" s="4">
        <v>49.8</v>
      </c>
      <c r="AZ712" s="4">
        <v>-118.5</v>
      </c>
      <c r="BA712" s="4">
        <v>12</v>
      </c>
    </row>
    <row r="713" spans="1:53" ht="14.25" customHeight="1" x14ac:dyDescent="0.2">
      <c r="A713" s="4" t="s">
        <v>88</v>
      </c>
      <c r="B713" s="4">
        <v>12</v>
      </c>
      <c r="C713" s="4" t="s">
        <v>7666</v>
      </c>
      <c r="D713" s="4">
        <v>387</v>
      </c>
      <c r="E713" s="4">
        <v>1930</v>
      </c>
      <c r="F713" s="4" t="s">
        <v>693</v>
      </c>
      <c r="G713" s="8" t="s">
        <v>2828</v>
      </c>
      <c r="H713" s="4" t="s">
        <v>2829</v>
      </c>
      <c r="I713" s="4" t="s">
        <v>641</v>
      </c>
      <c r="J713" s="4" t="s">
        <v>1865</v>
      </c>
      <c r="K713" s="4">
        <v>1</v>
      </c>
      <c r="L713" s="4">
        <v>2333</v>
      </c>
      <c r="M713" s="62">
        <v>50.62133</v>
      </c>
      <c r="N713" s="34">
        <v>-117.4645</v>
      </c>
      <c r="O713" s="9" t="s">
        <v>170</v>
      </c>
      <c r="P713" s="34">
        <v>387</v>
      </c>
      <c r="Q713" s="20">
        <v>2</v>
      </c>
      <c r="R713" s="34" t="s">
        <v>693</v>
      </c>
      <c r="S713" s="9" t="s">
        <v>1737</v>
      </c>
      <c r="T713" s="9">
        <v>991</v>
      </c>
      <c r="U713" s="9"/>
      <c r="V713" s="9"/>
      <c r="W713" s="21">
        <v>31778</v>
      </c>
      <c r="X713" s="9" t="s">
        <v>1738</v>
      </c>
      <c r="AO713" s="4" t="s">
        <v>693</v>
      </c>
      <c r="AP713" s="4">
        <v>387</v>
      </c>
      <c r="AQ713" s="4" t="s">
        <v>1716</v>
      </c>
      <c r="AR713" s="4" t="s">
        <v>1739</v>
      </c>
      <c r="AS713" s="4" t="s">
        <v>1740</v>
      </c>
      <c r="AT713" s="4" t="s">
        <v>1741</v>
      </c>
      <c r="AU713" s="4" t="s">
        <v>1742</v>
      </c>
      <c r="AV713" s="4" t="s">
        <v>1720</v>
      </c>
      <c r="AW713" s="4" t="s">
        <v>2698</v>
      </c>
      <c r="AX713" s="4" t="s">
        <v>2797</v>
      </c>
      <c r="AY713" s="4">
        <v>50.6053</v>
      </c>
      <c r="AZ713" s="4">
        <v>-117.4272</v>
      </c>
      <c r="BA713" s="4">
        <v>991</v>
      </c>
    </row>
    <row r="714" spans="1:53" ht="14.25" customHeight="1" x14ac:dyDescent="0.2">
      <c r="A714" s="4" t="s">
        <v>1908</v>
      </c>
      <c r="B714" s="4">
        <v>12</v>
      </c>
      <c r="C714" s="4" t="s">
        <v>7666</v>
      </c>
      <c r="D714" s="4">
        <v>388</v>
      </c>
      <c r="E714" s="4">
        <v>1931</v>
      </c>
      <c r="F714" s="8" t="s">
        <v>2830</v>
      </c>
      <c r="G714" s="8" t="s">
        <v>2831</v>
      </c>
      <c r="H714" s="4" t="s">
        <v>2832</v>
      </c>
      <c r="I714" s="4" t="s">
        <v>641</v>
      </c>
      <c r="J714" s="4" t="s">
        <v>1865</v>
      </c>
      <c r="K714" s="4">
        <v>1</v>
      </c>
      <c r="L714" s="4">
        <v>2334</v>
      </c>
      <c r="M714" s="62">
        <v>49.959980000000002</v>
      </c>
      <c r="N714" s="34">
        <v>-118.62603</v>
      </c>
      <c r="O714" s="9" t="s">
        <v>142</v>
      </c>
      <c r="P714" s="34">
        <v>388</v>
      </c>
      <c r="Q714" s="20">
        <v>5</v>
      </c>
      <c r="R714" s="34" t="s">
        <v>2833</v>
      </c>
      <c r="S714" s="9" t="s">
        <v>1737</v>
      </c>
      <c r="T714" s="9">
        <v>1389</v>
      </c>
      <c r="U714" s="9"/>
      <c r="V714" s="9"/>
      <c r="W714" s="21">
        <v>31778</v>
      </c>
      <c r="X714" s="9" t="s">
        <v>1738</v>
      </c>
      <c r="AO714" s="4" t="s">
        <v>2833</v>
      </c>
      <c r="AP714" s="4">
        <v>388</v>
      </c>
      <c r="AQ714" s="4" t="s">
        <v>1700</v>
      </c>
      <c r="AR714" s="4" t="s">
        <v>1739</v>
      </c>
      <c r="AS714" s="4" t="s">
        <v>1740</v>
      </c>
      <c r="AT714" s="4" t="s">
        <v>1741</v>
      </c>
      <c r="AU714" s="4" t="s">
        <v>1959</v>
      </c>
      <c r="AV714" s="4" t="s">
        <v>1720</v>
      </c>
      <c r="AW714" s="4" t="s">
        <v>2368</v>
      </c>
      <c r="AX714" s="4" t="s">
        <v>2522</v>
      </c>
      <c r="AY714" s="4">
        <v>49.96</v>
      </c>
      <c r="AZ714" s="4">
        <v>-118.626</v>
      </c>
      <c r="BA714" s="4">
        <v>1389</v>
      </c>
    </row>
    <row r="715" spans="1:53" ht="14.25" customHeight="1" x14ac:dyDescent="0.2">
      <c r="B715" s="4">
        <v>12</v>
      </c>
      <c r="C715" s="4" t="s">
        <v>7666</v>
      </c>
      <c r="D715" s="4">
        <v>389</v>
      </c>
      <c r="E715" s="4">
        <v>1932</v>
      </c>
      <c r="F715" s="16" t="s">
        <v>2834</v>
      </c>
      <c r="G715" s="4" t="s">
        <v>2835</v>
      </c>
      <c r="H715" s="4" t="s">
        <v>2836</v>
      </c>
      <c r="I715" s="4" t="s">
        <v>641</v>
      </c>
      <c r="J715" s="4" t="s">
        <v>1715</v>
      </c>
      <c r="K715" s="4">
        <v>1</v>
      </c>
      <c r="L715" s="4">
        <v>2335</v>
      </c>
      <c r="M715" s="6"/>
      <c r="AO715" s="4" t="s">
        <v>2834</v>
      </c>
      <c r="AP715" s="4">
        <v>389</v>
      </c>
      <c r="AQ715" s="4" t="s">
        <v>1716</v>
      </c>
      <c r="AR715" s="4" t="s">
        <v>1717</v>
      </c>
      <c r="AS715" s="4" t="s">
        <v>1718</v>
      </c>
      <c r="AT715" s="4" t="s">
        <v>1703</v>
      </c>
      <c r="AU715" s="4" t="s">
        <v>1703</v>
      </c>
      <c r="AV715" s="4" t="s">
        <v>1720</v>
      </c>
      <c r="AW715" s="4" t="s">
        <v>2698</v>
      </c>
      <c r="AX715" s="4" t="s">
        <v>2801</v>
      </c>
      <c r="AY715" s="4">
        <v>50.253300000000003</v>
      </c>
      <c r="AZ715" s="4">
        <v>-116.8967</v>
      </c>
      <c r="BA715" s="4">
        <v>2259</v>
      </c>
    </row>
    <row r="716" spans="1:53" ht="14.25" customHeight="1" x14ac:dyDescent="0.2">
      <c r="A716" s="4" t="s">
        <v>88</v>
      </c>
      <c r="B716" s="4">
        <v>12</v>
      </c>
      <c r="C716" s="4" t="s">
        <v>7666</v>
      </c>
      <c r="D716" s="4">
        <v>390</v>
      </c>
      <c r="E716" s="4">
        <v>1933</v>
      </c>
      <c r="F716" s="4" t="s">
        <v>2837</v>
      </c>
      <c r="G716" s="8" t="s">
        <v>2838</v>
      </c>
      <c r="H716" s="4" t="s">
        <v>2839</v>
      </c>
      <c r="I716" s="4" t="s">
        <v>641</v>
      </c>
      <c r="J716" s="4" t="s">
        <v>1736</v>
      </c>
      <c r="K716" s="4">
        <v>1</v>
      </c>
      <c r="L716" s="4">
        <v>2336</v>
      </c>
      <c r="M716" s="6">
        <v>49.457000000000001</v>
      </c>
      <c r="N716" s="9">
        <v>-119.08833</v>
      </c>
      <c r="O716" s="9" t="s">
        <v>142</v>
      </c>
      <c r="P716" s="9">
        <v>390</v>
      </c>
      <c r="Q716" s="20">
        <v>2</v>
      </c>
      <c r="R716" s="9" t="s">
        <v>2837</v>
      </c>
      <c r="S716" s="9" t="s">
        <v>1737</v>
      </c>
      <c r="T716" s="9">
        <v>807</v>
      </c>
      <c r="U716" s="9" t="s">
        <v>645</v>
      </c>
      <c r="V716" s="9"/>
      <c r="W716" s="21">
        <v>25569</v>
      </c>
      <c r="X716" s="9" t="s">
        <v>1738</v>
      </c>
      <c r="AO716" s="4" t="s">
        <v>2837</v>
      </c>
      <c r="AP716" s="4">
        <v>390</v>
      </c>
      <c r="AQ716" s="4" t="s">
        <v>1700</v>
      </c>
      <c r="AR716" s="4" t="s">
        <v>1739</v>
      </c>
      <c r="AS716" s="4" t="s">
        <v>1740</v>
      </c>
      <c r="AT716" s="4" t="s">
        <v>1741</v>
      </c>
      <c r="AU716" s="4" t="s">
        <v>1772</v>
      </c>
      <c r="AV716" s="4" t="s">
        <v>1720</v>
      </c>
      <c r="AW716" s="4" t="s">
        <v>2698</v>
      </c>
      <c r="AX716" s="4" t="s">
        <v>2827</v>
      </c>
      <c r="AY716" s="4">
        <v>49.456400000000002</v>
      </c>
      <c r="AZ716" s="4">
        <v>-119.0886</v>
      </c>
      <c r="BA716" s="4">
        <v>807</v>
      </c>
    </row>
    <row r="717" spans="1:53" ht="14.25" customHeight="1" x14ac:dyDescent="0.2">
      <c r="A717" s="4" t="s">
        <v>2037</v>
      </c>
      <c r="B717" s="4">
        <v>12</v>
      </c>
      <c r="C717" s="4" t="s">
        <v>7666</v>
      </c>
      <c r="D717" s="4">
        <v>391</v>
      </c>
      <c r="E717" s="4">
        <v>1934</v>
      </c>
      <c r="F717" s="8" t="s">
        <v>2840</v>
      </c>
      <c r="G717" s="4" t="s">
        <v>2841</v>
      </c>
      <c r="H717" s="4" t="s">
        <v>2842</v>
      </c>
      <c r="I717" s="4" t="s">
        <v>641</v>
      </c>
      <c r="J717" s="4" t="s">
        <v>1736</v>
      </c>
      <c r="K717" s="4">
        <v>1</v>
      </c>
      <c r="L717" s="4">
        <v>2337</v>
      </c>
      <c r="M717" s="6">
        <v>49.432830000000003</v>
      </c>
      <c r="N717" s="9">
        <v>-118.57832999999999</v>
      </c>
      <c r="O717" s="9" t="s">
        <v>170</v>
      </c>
      <c r="P717" s="14">
        <v>391</v>
      </c>
      <c r="Q717" s="20">
        <v>3</v>
      </c>
      <c r="R717" s="9" t="s">
        <v>2843</v>
      </c>
      <c r="S717" s="9" t="s">
        <v>1737</v>
      </c>
      <c r="T717" s="9">
        <v>1338</v>
      </c>
      <c r="U717" s="9"/>
      <c r="V717" s="9"/>
      <c r="W717" s="21">
        <v>29221</v>
      </c>
      <c r="X717" s="9" t="s">
        <v>1738</v>
      </c>
      <c r="AO717" s="4" t="s">
        <v>2843</v>
      </c>
      <c r="AP717" s="4">
        <v>391</v>
      </c>
      <c r="AQ717" s="4" t="s">
        <v>1716</v>
      </c>
      <c r="AR717" s="4" t="s">
        <v>1739</v>
      </c>
      <c r="AS717" s="4" t="s">
        <v>1740</v>
      </c>
      <c r="AT717" s="4" t="s">
        <v>1741</v>
      </c>
      <c r="AU717" s="4" t="s">
        <v>1742</v>
      </c>
      <c r="AV717" s="4" t="s">
        <v>1720</v>
      </c>
      <c r="AW717" s="4" t="s">
        <v>2698</v>
      </c>
      <c r="AX717" s="4" t="s">
        <v>2827</v>
      </c>
      <c r="AY717" s="4">
        <v>49.4328</v>
      </c>
      <c r="AZ717" s="4">
        <v>-118.5783</v>
      </c>
      <c r="BA717" s="4">
        <v>1338</v>
      </c>
    </row>
    <row r="718" spans="1:53" ht="14.25" customHeight="1" x14ac:dyDescent="0.2">
      <c r="B718" s="4">
        <v>12</v>
      </c>
      <c r="C718" s="4" t="s">
        <v>7666</v>
      </c>
      <c r="D718" s="4">
        <v>392</v>
      </c>
      <c r="E718" s="4">
        <v>1935</v>
      </c>
      <c r="F718" s="4" t="s">
        <v>2844</v>
      </c>
      <c r="G718" s="4" t="s">
        <v>2845</v>
      </c>
      <c r="H718" s="4" t="s">
        <v>2846</v>
      </c>
      <c r="I718" s="4" t="s">
        <v>641</v>
      </c>
      <c r="J718" s="4" t="s">
        <v>1736</v>
      </c>
      <c r="K718" s="4">
        <v>1</v>
      </c>
      <c r="L718" s="4">
        <v>2338</v>
      </c>
      <c r="M718" s="6">
        <v>49.030700000000003</v>
      </c>
      <c r="N718" s="9">
        <v>-118.4156</v>
      </c>
      <c r="O718" s="9" t="s">
        <v>142</v>
      </c>
      <c r="P718" s="9">
        <v>392</v>
      </c>
      <c r="Q718" s="20">
        <v>1</v>
      </c>
      <c r="R718" s="9" t="s">
        <v>2844</v>
      </c>
      <c r="S718" s="9" t="s">
        <v>1737</v>
      </c>
      <c r="T718" s="9">
        <v>630</v>
      </c>
      <c r="U718" s="9"/>
      <c r="V718" s="9"/>
      <c r="W718" s="21">
        <v>29587</v>
      </c>
      <c r="X718" s="9" t="s">
        <v>1738</v>
      </c>
      <c r="AO718" s="4" t="s">
        <v>2844</v>
      </c>
      <c r="AP718" s="4">
        <v>392</v>
      </c>
      <c r="AQ718" s="4" t="s">
        <v>1700</v>
      </c>
      <c r="AR718" s="4" t="s">
        <v>1739</v>
      </c>
      <c r="AS718" s="4" t="s">
        <v>1740</v>
      </c>
      <c r="AT718" s="4" t="s">
        <v>1741</v>
      </c>
      <c r="AU718" s="4" t="s">
        <v>1772</v>
      </c>
      <c r="AV718" s="4" t="s">
        <v>1720</v>
      </c>
      <c r="AW718" s="4" t="s">
        <v>2698</v>
      </c>
      <c r="AX718" s="4" t="s">
        <v>2827</v>
      </c>
      <c r="AY718" s="4">
        <v>49.030700000000003</v>
      </c>
      <c r="AZ718" s="4">
        <v>-118.4156</v>
      </c>
      <c r="BA718" s="4">
        <v>630</v>
      </c>
    </row>
    <row r="719" spans="1:53" ht="14.25" customHeight="1" x14ac:dyDescent="0.2">
      <c r="B719" s="4">
        <v>12</v>
      </c>
      <c r="C719" s="4" t="s">
        <v>7666</v>
      </c>
      <c r="D719" s="4">
        <v>393</v>
      </c>
      <c r="E719" s="4">
        <v>1936</v>
      </c>
      <c r="F719" s="4" t="s">
        <v>2847</v>
      </c>
      <c r="G719" s="4" t="s">
        <v>2848</v>
      </c>
      <c r="H719" s="4" t="s">
        <v>2849</v>
      </c>
      <c r="I719" s="4" t="s">
        <v>641</v>
      </c>
      <c r="J719" s="4" t="s">
        <v>1865</v>
      </c>
      <c r="K719" s="4">
        <v>1</v>
      </c>
      <c r="L719" s="4">
        <v>2339</v>
      </c>
      <c r="M719" s="6">
        <v>49.526670000000003</v>
      </c>
      <c r="N719" s="9">
        <v>-118.36033</v>
      </c>
      <c r="O719" s="9" t="s">
        <v>170</v>
      </c>
      <c r="P719" s="9">
        <v>393</v>
      </c>
      <c r="Q719" s="20">
        <v>1</v>
      </c>
      <c r="R719" s="9" t="s">
        <v>2847</v>
      </c>
      <c r="S719" s="9" t="s">
        <v>1737</v>
      </c>
      <c r="T719" s="9">
        <v>866</v>
      </c>
      <c r="U719" s="9"/>
      <c r="V719" s="9"/>
      <c r="W719" s="21">
        <v>29587</v>
      </c>
      <c r="X719" s="9" t="s">
        <v>1738</v>
      </c>
      <c r="AO719" s="4" t="s">
        <v>2847</v>
      </c>
      <c r="AP719" s="4">
        <v>393</v>
      </c>
      <c r="AQ719" s="4" t="s">
        <v>1716</v>
      </c>
      <c r="AR719" s="4" t="s">
        <v>1739</v>
      </c>
      <c r="AS719" s="4" t="s">
        <v>1740</v>
      </c>
      <c r="AT719" s="4" t="s">
        <v>1741</v>
      </c>
      <c r="AU719" s="4" t="s">
        <v>1742</v>
      </c>
      <c r="AV719" s="4" t="s">
        <v>1720</v>
      </c>
      <c r="AW719" s="4" t="s">
        <v>2698</v>
      </c>
      <c r="AX719" s="4" t="s">
        <v>2827</v>
      </c>
      <c r="AY719" s="4">
        <v>49.526699999999998</v>
      </c>
      <c r="AZ719" s="4">
        <v>-118.3603</v>
      </c>
      <c r="BA719" s="4">
        <v>866</v>
      </c>
    </row>
    <row r="720" spans="1:53" ht="14.25" customHeight="1" x14ac:dyDescent="0.2">
      <c r="B720" s="4">
        <v>12</v>
      </c>
      <c r="C720" s="4" t="s">
        <v>7666</v>
      </c>
      <c r="D720" s="4">
        <v>394</v>
      </c>
      <c r="E720" s="4">
        <v>1937</v>
      </c>
      <c r="F720" s="4" t="s">
        <v>2850</v>
      </c>
      <c r="G720" s="4" t="s">
        <v>2851</v>
      </c>
      <c r="H720" s="4" t="s">
        <v>2852</v>
      </c>
      <c r="I720" s="4" t="s">
        <v>641</v>
      </c>
      <c r="J720" s="4" t="s">
        <v>1736</v>
      </c>
      <c r="K720" s="4">
        <v>1</v>
      </c>
      <c r="L720" s="4">
        <v>2340</v>
      </c>
      <c r="M720" s="6">
        <v>49.052</v>
      </c>
      <c r="N720" s="4">
        <v>-118.93667000000001</v>
      </c>
      <c r="O720" s="4" t="s">
        <v>142</v>
      </c>
      <c r="P720" s="4">
        <v>394</v>
      </c>
      <c r="Q720" s="4">
        <v>1</v>
      </c>
      <c r="R720" s="4" t="s">
        <v>2850</v>
      </c>
      <c r="S720" s="4" t="s">
        <v>1737</v>
      </c>
      <c r="T720" s="4">
        <v>609</v>
      </c>
      <c r="U720" s="4" t="s">
        <v>645</v>
      </c>
      <c r="W720" s="4">
        <v>32874</v>
      </c>
      <c r="X720" s="4" t="s">
        <v>1738</v>
      </c>
      <c r="AO720" s="4" t="s">
        <v>2850</v>
      </c>
      <c r="AP720" s="4">
        <v>394</v>
      </c>
      <c r="AQ720" s="4" t="s">
        <v>1700</v>
      </c>
      <c r="AR720" s="4" t="s">
        <v>1739</v>
      </c>
      <c r="AS720" s="4" t="s">
        <v>1740</v>
      </c>
      <c r="AT720" s="4" t="s">
        <v>1741</v>
      </c>
      <c r="AU720" s="4" t="s">
        <v>1772</v>
      </c>
      <c r="AV720" s="4" t="s">
        <v>1720</v>
      </c>
      <c r="AW720" s="4" t="s">
        <v>2698</v>
      </c>
      <c r="AX720" s="4" t="s">
        <v>2827</v>
      </c>
      <c r="AY720" s="4">
        <v>49.052</v>
      </c>
      <c r="AZ720" s="4">
        <v>-118.9367</v>
      </c>
      <c r="BA720" s="4">
        <v>609</v>
      </c>
    </row>
    <row r="721" spans="1:53" ht="14.25" customHeight="1" x14ac:dyDescent="0.2">
      <c r="A721" s="4" t="s">
        <v>422</v>
      </c>
      <c r="B721" s="4">
        <v>12</v>
      </c>
      <c r="C721" s="4" t="s">
        <v>7671</v>
      </c>
      <c r="D721" s="4">
        <v>395</v>
      </c>
      <c r="E721" s="4">
        <v>12972</v>
      </c>
      <c r="F721" s="49" t="s">
        <v>2853</v>
      </c>
      <c r="G721" s="4" t="s">
        <v>127</v>
      </c>
      <c r="H721" s="4" t="s">
        <v>1697</v>
      </c>
      <c r="I721" s="4" t="s">
        <v>49</v>
      </c>
      <c r="J721" s="4" t="s">
        <v>1698</v>
      </c>
      <c r="K721" s="4">
        <v>1</v>
      </c>
      <c r="L721" s="4">
        <v>14904</v>
      </c>
      <c r="M721" s="6"/>
      <c r="AO721" s="48" t="s">
        <v>2854</v>
      </c>
      <c r="AP721" s="48">
        <v>395</v>
      </c>
      <c r="AQ721" s="48" t="s">
        <v>1700</v>
      </c>
      <c r="AR721" s="48" t="s">
        <v>1701</v>
      </c>
      <c r="AS721" s="48" t="s">
        <v>1702</v>
      </c>
      <c r="AT721" s="48" t="s">
        <v>1703</v>
      </c>
      <c r="AU721" s="48" t="s">
        <v>1704</v>
      </c>
      <c r="AV721" s="48" t="s">
        <v>1702</v>
      </c>
      <c r="AW721" s="48" t="s">
        <v>2698</v>
      </c>
      <c r="AX721" s="48" t="s">
        <v>2797</v>
      </c>
      <c r="AY721" s="48">
        <v>49.3</v>
      </c>
      <c r="AZ721" s="48">
        <v>-117.6</v>
      </c>
      <c r="BA721" s="48">
        <v>495</v>
      </c>
    </row>
    <row r="722" spans="1:53" ht="14.25" customHeight="1" x14ac:dyDescent="0.2">
      <c r="B722" s="4">
        <v>12</v>
      </c>
      <c r="C722" s="4" t="s">
        <v>7666</v>
      </c>
      <c r="D722" s="4">
        <v>396</v>
      </c>
      <c r="E722" s="4">
        <v>1938</v>
      </c>
      <c r="F722" s="4" t="s">
        <v>2855</v>
      </c>
      <c r="G722" s="4" t="s">
        <v>2856</v>
      </c>
      <c r="H722" s="4" t="s">
        <v>2857</v>
      </c>
      <c r="I722" s="4" t="s">
        <v>641</v>
      </c>
      <c r="J722" s="4" t="s">
        <v>1865</v>
      </c>
      <c r="K722" s="4">
        <v>1</v>
      </c>
      <c r="L722" s="4">
        <v>2341</v>
      </c>
      <c r="M722" s="6">
        <v>49.698999999999998</v>
      </c>
      <c r="N722" s="4">
        <v>-118.081</v>
      </c>
      <c r="O722" s="4" t="s">
        <v>170</v>
      </c>
      <c r="P722" s="4">
        <v>396</v>
      </c>
      <c r="Q722" s="4">
        <v>4</v>
      </c>
      <c r="R722" s="4" t="s">
        <v>2855</v>
      </c>
      <c r="S722" s="4" t="s">
        <v>1737</v>
      </c>
      <c r="T722" s="4">
        <v>1432</v>
      </c>
      <c r="W722" s="4">
        <v>36526</v>
      </c>
      <c r="X722" s="4" t="s">
        <v>1738</v>
      </c>
      <c r="AO722" s="4" t="s">
        <v>2855</v>
      </c>
      <c r="AP722" s="4">
        <v>396</v>
      </c>
      <c r="AQ722" s="4" t="s">
        <v>1716</v>
      </c>
      <c r="AR722" s="4" t="s">
        <v>1739</v>
      </c>
      <c r="AS722" s="4" t="s">
        <v>1740</v>
      </c>
      <c r="AT722" s="4" t="s">
        <v>1741</v>
      </c>
      <c r="AU722" s="4" t="s">
        <v>1742</v>
      </c>
      <c r="AV722" s="4" t="s">
        <v>1720</v>
      </c>
      <c r="AW722" s="4" t="s">
        <v>2698</v>
      </c>
      <c r="AX722" s="4" t="s">
        <v>2797</v>
      </c>
      <c r="AY722" s="4">
        <v>49.698999999999998</v>
      </c>
      <c r="AZ722" s="4">
        <v>-118.081</v>
      </c>
      <c r="BA722" s="4">
        <v>1432</v>
      </c>
    </row>
    <row r="723" spans="1:53" ht="14.25" customHeight="1" x14ac:dyDescent="0.2">
      <c r="B723" s="4">
        <v>12</v>
      </c>
      <c r="C723" s="4" t="s">
        <v>7666</v>
      </c>
      <c r="D723" s="4">
        <v>397</v>
      </c>
      <c r="E723" s="4">
        <v>1939</v>
      </c>
      <c r="F723" s="16" t="s">
        <v>2858</v>
      </c>
      <c r="G723" s="4" t="s">
        <v>2859</v>
      </c>
      <c r="H723" s="4" t="s">
        <v>1900</v>
      </c>
      <c r="I723" s="4" t="s">
        <v>1664</v>
      </c>
      <c r="J723" s="4" t="s">
        <v>1715</v>
      </c>
      <c r="K723" s="4">
        <v>1</v>
      </c>
      <c r="L723" s="4">
        <v>2342</v>
      </c>
      <c r="M723" s="6"/>
      <c r="AO723" s="4" t="s">
        <v>2858</v>
      </c>
      <c r="AP723" s="4">
        <v>397</v>
      </c>
      <c r="AQ723" s="4" t="s">
        <v>1716</v>
      </c>
      <c r="AR723" s="4" t="s">
        <v>1717</v>
      </c>
      <c r="AS723" s="4" t="s">
        <v>1718</v>
      </c>
      <c r="AT723" s="4" t="s">
        <v>1719</v>
      </c>
      <c r="AU723" s="4" t="s">
        <v>1703</v>
      </c>
      <c r="AV723" s="4" t="s">
        <v>1720</v>
      </c>
      <c r="AW723" s="4" t="s">
        <v>2698</v>
      </c>
      <c r="AY723" s="4">
        <v>49</v>
      </c>
      <c r="AZ723" s="4">
        <v>-117.3</v>
      </c>
      <c r="BA723" s="4">
        <v>0</v>
      </c>
    </row>
    <row r="724" spans="1:53" ht="14.25" customHeight="1" x14ac:dyDescent="0.2">
      <c r="A724" s="4" t="s">
        <v>2037</v>
      </c>
      <c r="B724" s="4">
        <v>12</v>
      </c>
      <c r="C724" s="4" t="s">
        <v>7666</v>
      </c>
      <c r="D724" s="4">
        <v>398</v>
      </c>
      <c r="E724" s="4">
        <v>1940</v>
      </c>
      <c r="F724" s="4" t="s">
        <v>2860</v>
      </c>
      <c r="G724" s="4" t="s">
        <v>2861</v>
      </c>
      <c r="H724" s="4" t="s">
        <v>2862</v>
      </c>
      <c r="I724" s="4" t="s">
        <v>641</v>
      </c>
      <c r="J724" s="4" t="s">
        <v>1715</v>
      </c>
      <c r="K724" s="4">
        <v>1</v>
      </c>
      <c r="L724" s="4">
        <v>2343</v>
      </c>
      <c r="M724" s="6"/>
      <c r="N724" s="9"/>
      <c r="O724" s="9"/>
      <c r="P724" s="9"/>
      <c r="Q724" s="20"/>
      <c r="R724" s="9"/>
      <c r="S724" s="9"/>
      <c r="T724" s="9"/>
      <c r="U724" s="9"/>
      <c r="V724" s="9"/>
      <c r="W724" s="58"/>
      <c r="X724" s="9"/>
      <c r="AO724" s="4" t="s">
        <v>2863</v>
      </c>
      <c r="AP724" s="4">
        <v>398</v>
      </c>
      <c r="AQ724" s="4" t="s">
        <v>1716</v>
      </c>
      <c r="AR724" s="4" t="s">
        <v>1717</v>
      </c>
      <c r="AS724" s="4" t="s">
        <v>1718</v>
      </c>
      <c r="AT724" s="4" t="s">
        <v>1835</v>
      </c>
      <c r="AU724" s="4" t="s">
        <v>1836</v>
      </c>
      <c r="AV724" s="4" t="s">
        <v>1720</v>
      </c>
      <c r="AW724" s="4" t="s">
        <v>2698</v>
      </c>
      <c r="AX724" s="4" t="s">
        <v>2801</v>
      </c>
      <c r="AY724" s="4">
        <v>49.037999999999997</v>
      </c>
      <c r="AZ724" s="4">
        <v>-116.4958</v>
      </c>
      <c r="BA724" s="4">
        <v>683</v>
      </c>
    </row>
    <row r="725" spans="1:53" ht="14.25" customHeight="1" x14ac:dyDescent="0.2">
      <c r="B725" s="4">
        <v>12</v>
      </c>
      <c r="C725" s="4" t="s">
        <v>7666</v>
      </c>
      <c r="D725" s="4">
        <v>399</v>
      </c>
      <c r="E725" s="4">
        <v>1941</v>
      </c>
      <c r="F725" s="16" t="s">
        <v>2864</v>
      </c>
      <c r="G725" s="4" t="s">
        <v>2865</v>
      </c>
      <c r="H725" s="4" t="s">
        <v>2866</v>
      </c>
      <c r="I725" s="4" t="s">
        <v>1664</v>
      </c>
      <c r="J725" s="4" t="s">
        <v>1746</v>
      </c>
      <c r="K725" s="4">
        <v>1</v>
      </c>
      <c r="L725" s="4">
        <v>2344</v>
      </c>
      <c r="M725" s="6"/>
      <c r="AO725" s="4" t="s">
        <v>2864</v>
      </c>
      <c r="AP725" s="4">
        <v>399</v>
      </c>
      <c r="AQ725" s="4" t="s">
        <v>1716</v>
      </c>
      <c r="AR725" s="4" t="s">
        <v>1717</v>
      </c>
      <c r="AS725" s="4" t="s">
        <v>1718</v>
      </c>
      <c r="AT725" s="4" t="s">
        <v>1719</v>
      </c>
      <c r="AU725" s="4" t="s">
        <v>1703</v>
      </c>
      <c r="AV725" s="4" t="s">
        <v>1720</v>
      </c>
      <c r="AW725" s="4" t="s">
        <v>2698</v>
      </c>
      <c r="AX725" s="4" t="s">
        <v>2801</v>
      </c>
      <c r="AY725" s="4">
        <v>49.6</v>
      </c>
      <c r="AZ725" s="4">
        <v>-117</v>
      </c>
      <c r="BA725" s="4">
        <v>0</v>
      </c>
    </row>
    <row r="726" spans="1:53" ht="14.25" customHeight="1" x14ac:dyDescent="0.2">
      <c r="B726" s="4">
        <v>12</v>
      </c>
      <c r="C726" s="4" t="s">
        <v>7666</v>
      </c>
      <c r="D726" s="4">
        <v>400</v>
      </c>
      <c r="E726" s="4">
        <v>1942</v>
      </c>
      <c r="F726" s="16" t="s">
        <v>2867</v>
      </c>
      <c r="G726" s="4" t="s">
        <v>2868</v>
      </c>
      <c r="H726" s="4" t="s">
        <v>2869</v>
      </c>
      <c r="I726" s="4" t="s">
        <v>1664</v>
      </c>
      <c r="J726" s="4" t="s">
        <v>1715</v>
      </c>
      <c r="K726" s="4">
        <v>1</v>
      </c>
      <c r="L726" s="4">
        <v>2345</v>
      </c>
      <c r="M726" s="6"/>
      <c r="AO726" s="4" t="s">
        <v>2867</v>
      </c>
      <c r="AP726" s="4">
        <v>400</v>
      </c>
      <c r="AQ726" s="4" t="s">
        <v>1716</v>
      </c>
      <c r="AR726" s="4" t="s">
        <v>1717</v>
      </c>
      <c r="AS726" s="4" t="s">
        <v>1718</v>
      </c>
      <c r="AT726" s="4" t="s">
        <v>1719</v>
      </c>
      <c r="AU726" s="4" t="s">
        <v>1703</v>
      </c>
      <c r="AV726" s="4" t="s">
        <v>1720</v>
      </c>
      <c r="AW726" s="4" t="s">
        <v>2698</v>
      </c>
      <c r="AX726" s="4" t="s">
        <v>2801</v>
      </c>
      <c r="AY726" s="4">
        <v>49.6</v>
      </c>
      <c r="AZ726" s="4">
        <v>-117.1</v>
      </c>
      <c r="BA726" s="4">
        <v>0</v>
      </c>
    </row>
    <row r="727" spans="1:53" ht="14.25" customHeight="1" x14ac:dyDescent="0.2">
      <c r="B727" s="4">
        <v>12</v>
      </c>
      <c r="C727" s="4" t="s">
        <v>7666</v>
      </c>
      <c r="D727" s="4">
        <v>401</v>
      </c>
      <c r="E727" s="4">
        <v>1943</v>
      </c>
      <c r="F727" s="4" t="s">
        <v>1278</v>
      </c>
      <c r="G727" s="4" t="s">
        <v>2870</v>
      </c>
      <c r="H727" s="4" t="s">
        <v>2871</v>
      </c>
      <c r="I727" s="4" t="s">
        <v>641</v>
      </c>
      <c r="J727" s="4" t="s">
        <v>1865</v>
      </c>
      <c r="K727" s="4">
        <v>1</v>
      </c>
      <c r="L727" s="4">
        <v>2346</v>
      </c>
      <c r="M727" s="62">
        <v>49.125329999999998</v>
      </c>
      <c r="N727" s="34">
        <v>-116.16383</v>
      </c>
      <c r="O727" s="9" t="s">
        <v>170</v>
      </c>
      <c r="P727" s="9">
        <v>401</v>
      </c>
      <c r="Q727" s="20">
        <v>2</v>
      </c>
      <c r="R727" s="34" t="s">
        <v>1278</v>
      </c>
      <c r="S727" s="9" t="s">
        <v>1737</v>
      </c>
      <c r="T727" s="35">
        <v>1098</v>
      </c>
      <c r="U727" s="9"/>
      <c r="V727" s="9"/>
      <c r="W727" s="21">
        <v>31413</v>
      </c>
      <c r="X727" s="9" t="s">
        <v>1738</v>
      </c>
      <c r="AO727" s="4" t="s">
        <v>1278</v>
      </c>
      <c r="AP727" s="4">
        <v>401</v>
      </c>
      <c r="AQ727" s="4" t="s">
        <v>1700</v>
      </c>
      <c r="AR727" s="4" t="s">
        <v>1739</v>
      </c>
      <c r="AS727" s="4" t="s">
        <v>1740</v>
      </c>
      <c r="AT727" s="4" t="s">
        <v>1741</v>
      </c>
      <c r="AU727" s="4" t="s">
        <v>1959</v>
      </c>
      <c r="AV727" s="4" t="s">
        <v>1720</v>
      </c>
      <c r="AW727" s="4" t="s">
        <v>2698</v>
      </c>
      <c r="AX727" s="4" t="s">
        <v>2801</v>
      </c>
      <c r="AY727" s="4">
        <v>49.125300000000003</v>
      </c>
      <c r="AZ727" s="4">
        <v>-116.16379999999999</v>
      </c>
      <c r="BA727" s="4">
        <v>1098</v>
      </c>
    </row>
    <row r="728" spans="1:53" ht="14.25" customHeight="1" x14ac:dyDescent="0.2">
      <c r="A728" s="4" t="s">
        <v>88</v>
      </c>
      <c r="B728" s="4">
        <v>12</v>
      </c>
      <c r="C728" s="4" t="s">
        <v>7666</v>
      </c>
      <c r="D728" s="4">
        <v>402</v>
      </c>
      <c r="E728" s="4">
        <v>1944</v>
      </c>
      <c r="F728" s="4" t="s">
        <v>2872</v>
      </c>
      <c r="G728" s="8" t="s">
        <v>2873</v>
      </c>
      <c r="H728" s="4" t="s">
        <v>2750</v>
      </c>
      <c r="I728" s="4" t="s">
        <v>641</v>
      </c>
      <c r="J728" s="4" t="s">
        <v>1865</v>
      </c>
      <c r="K728" s="4">
        <v>1</v>
      </c>
      <c r="L728" s="4">
        <v>2347</v>
      </c>
      <c r="M728" s="6">
        <v>49.050559999999997</v>
      </c>
      <c r="N728" s="9">
        <v>-117.41388999999999</v>
      </c>
      <c r="O728" s="9" t="s">
        <v>170</v>
      </c>
      <c r="P728" s="9">
        <v>402</v>
      </c>
      <c r="Q728" s="20">
        <v>1</v>
      </c>
      <c r="R728" s="9" t="s">
        <v>2872</v>
      </c>
      <c r="S728" s="9" t="s">
        <v>1737</v>
      </c>
      <c r="T728" s="9">
        <v>725</v>
      </c>
      <c r="U728" s="9"/>
      <c r="V728" s="9"/>
      <c r="W728" s="21">
        <v>31413</v>
      </c>
      <c r="X728" s="9" t="s">
        <v>1738</v>
      </c>
      <c r="AO728" s="4" t="s">
        <v>2872</v>
      </c>
      <c r="AP728" s="4">
        <v>402</v>
      </c>
      <c r="AQ728" s="4" t="s">
        <v>1716</v>
      </c>
      <c r="AR728" s="4" t="s">
        <v>1739</v>
      </c>
      <c r="AS728" s="4" t="s">
        <v>1740</v>
      </c>
      <c r="AT728" s="4" t="s">
        <v>1741</v>
      </c>
      <c r="AU728" s="4" t="s">
        <v>1742</v>
      </c>
      <c r="AV728" s="4" t="s">
        <v>1720</v>
      </c>
      <c r="AW728" s="4" t="s">
        <v>2698</v>
      </c>
      <c r="AX728" s="4" t="s">
        <v>2797</v>
      </c>
      <c r="AY728" s="4">
        <v>49.050600000000003</v>
      </c>
      <c r="AZ728" s="4">
        <v>-117.4139</v>
      </c>
      <c r="BA728" s="4">
        <v>725</v>
      </c>
    </row>
    <row r="729" spans="1:53" ht="14.25" customHeight="1" x14ac:dyDescent="0.2">
      <c r="B729" s="4">
        <v>12</v>
      </c>
      <c r="C729" s="4" t="s">
        <v>7666</v>
      </c>
      <c r="D729" s="4">
        <v>403</v>
      </c>
      <c r="E729" s="4">
        <v>1945</v>
      </c>
      <c r="F729" s="16" t="s">
        <v>2874</v>
      </c>
      <c r="G729" s="4" t="s">
        <v>2875</v>
      </c>
      <c r="H729" s="4" t="s">
        <v>2876</v>
      </c>
      <c r="I729" s="4" t="s">
        <v>641</v>
      </c>
      <c r="J729" s="4" t="s">
        <v>1715</v>
      </c>
      <c r="K729" s="4">
        <v>1</v>
      </c>
      <c r="L729" s="4">
        <v>2348</v>
      </c>
      <c r="M729" s="62"/>
      <c r="N729" s="34"/>
      <c r="R729" s="34"/>
      <c r="T729" s="35"/>
      <c r="AO729" s="4" t="s">
        <v>2874</v>
      </c>
      <c r="AP729" s="4">
        <v>403</v>
      </c>
      <c r="AQ729" s="4" t="s">
        <v>1716</v>
      </c>
      <c r="AR729" s="4" t="s">
        <v>1717</v>
      </c>
      <c r="AS729" s="4" t="s">
        <v>1718</v>
      </c>
      <c r="AT729" s="4" t="s">
        <v>1703</v>
      </c>
      <c r="AU729" s="4" t="s">
        <v>1703</v>
      </c>
      <c r="AV729" s="4" t="s">
        <v>1720</v>
      </c>
      <c r="AW729" s="4" t="s">
        <v>2698</v>
      </c>
      <c r="AX729" s="4" t="s">
        <v>2801</v>
      </c>
      <c r="AY729" s="4">
        <v>49.6</v>
      </c>
      <c r="AZ729" s="4">
        <v>-117.3</v>
      </c>
      <c r="BA729" s="4">
        <v>6</v>
      </c>
    </row>
    <row r="730" spans="1:53" ht="14.25" customHeight="1" x14ac:dyDescent="0.2">
      <c r="B730" s="4">
        <v>12</v>
      </c>
      <c r="C730" s="4" t="s">
        <v>7666</v>
      </c>
      <c r="D730" s="4">
        <v>404</v>
      </c>
      <c r="E730" s="4">
        <v>1946</v>
      </c>
      <c r="F730" s="4" t="s">
        <v>2877</v>
      </c>
      <c r="G730" s="4" t="s">
        <v>2878</v>
      </c>
      <c r="H730" s="4" t="s">
        <v>2879</v>
      </c>
      <c r="I730" s="4" t="s">
        <v>641</v>
      </c>
      <c r="J730" s="4" t="s">
        <v>1736</v>
      </c>
      <c r="K730" s="4">
        <v>1</v>
      </c>
      <c r="L730" s="4">
        <v>2349</v>
      </c>
      <c r="M730" s="6">
        <v>49.496670000000002</v>
      </c>
      <c r="N730" s="9">
        <v>-117.44750000000001</v>
      </c>
      <c r="O730" s="9" t="s">
        <v>170</v>
      </c>
      <c r="P730" s="9">
        <v>404</v>
      </c>
      <c r="Q730" s="20">
        <v>2</v>
      </c>
      <c r="R730" s="9" t="s">
        <v>2877</v>
      </c>
      <c r="S730" s="9" t="s">
        <v>1737</v>
      </c>
      <c r="T730" s="9">
        <v>997</v>
      </c>
      <c r="U730" s="9" t="s">
        <v>645</v>
      </c>
      <c r="V730" s="9"/>
      <c r="W730" s="21">
        <v>33239</v>
      </c>
      <c r="X730" s="9" t="s">
        <v>1738</v>
      </c>
      <c r="AO730" s="4" t="s">
        <v>2877</v>
      </c>
      <c r="AP730" s="4">
        <v>404</v>
      </c>
      <c r="AQ730" s="4" t="s">
        <v>1700</v>
      </c>
      <c r="AR730" s="4" t="s">
        <v>1739</v>
      </c>
      <c r="AS730" s="4" t="s">
        <v>1740</v>
      </c>
      <c r="AT730" s="4" t="s">
        <v>1741</v>
      </c>
      <c r="AU730" s="4" t="s">
        <v>1772</v>
      </c>
      <c r="AV730" s="4" t="s">
        <v>1720</v>
      </c>
      <c r="AW730" s="4" t="s">
        <v>2698</v>
      </c>
      <c r="AX730" s="4" t="s">
        <v>2801</v>
      </c>
      <c r="AY730" s="4">
        <v>49.496699999999997</v>
      </c>
      <c r="AZ730" s="4">
        <v>-117.44750000000001</v>
      </c>
      <c r="BA730" s="4">
        <v>997</v>
      </c>
    </row>
    <row r="731" spans="1:53" ht="14.25" customHeight="1" x14ac:dyDescent="0.2">
      <c r="B731" s="4">
        <v>12</v>
      </c>
      <c r="C731" s="4" t="s">
        <v>7666</v>
      </c>
      <c r="D731" s="4">
        <v>405</v>
      </c>
      <c r="E731" s="4">
        <v>1947</v>
      </c>
      <c r="F731" s="16" t="s">
        <v>2880</v>
      </c>
      <c r="G731" s="4" t="s">
        <v>2881</v>
      </c>
      <c r="H731" s="4" t="s">
        <v>2882</v>
      </c>
      <c r="I731" s="4" t="s">
        <v>641</v>
      </c>
      <c r="J731" s="4" t="s">
        <v>1715</v>
      </c>
      <c r="K731" s="4">
        <v>1</v>
      </c>
      <c r="L731" s="4">
        <v>2350</v>
      </c>
      <c r="M731" s="62"/>
      <c r="N731" s="34"/>
      <c r="P731" s="34"/>
      <c r="R731" s="34"/>
      <c r="T731" s="35"/>
      <c r="AO731" s="4" t="s">
        <v>2880</v>
      </c>
      <c r="AP731" s="4">
        <v>405</v>
      </c>
      <c r="AQ731" s="4" t="s">
        <v>1716</v>
      </c>
      <c r="AR731" s="4" t="s">
        <v>1717</v>
      </c>
      <c r="AS731" s="4" t="s">
        <v>1718</v>
      </c>
      <c r="AT731" s="4" t="s">
        <v>1703</v>
      </c>
      <c r="AU731" s="4" t="s">
        <v>1703</v>
      </c>
      <c r="AV731" s="4" t="s">
        <v>1720</v>
      </c>
      <c r="AW731" s="4" t="s">
        <v>2698</v>
      </c>
      <c r="AX731" s="4" t="s">
        <v>2797</v>
      </c>
      <c r="AY731" s="4">
        <v>49.8</v>
      </c>
      <c r="AZ731" s="4">
        <v>-118.2</v>
      </c>
      <c r="BA731" s="4">
        <v>15</v>
      </c>
    </row>
    <row r="732" spans="1:53" ht="14.25" customHeight="1" x14ac:dyDescent="0.2">
      <c r="B732" s="4">
        <v>12</v>
      </c>
      <c r="C732" s="4" t="s">
        <v>7666</v>
      </c>
      <c r="D732" s="4">
        <v>406</v>
      </c>
      <c r="E732" s="4">
        <v>1948</v>
      </c>
      <c r="F732" s="4" t="s">
        <v>2883</v>
      </c>
      <c r="G732" s="4" t="s">
        <v>2884</v>
      </c>
      <c r="H732" s="4" t="s">
        <v>2885</v>
      </c>
      <c r="I732" s="4" t="s">
        <v>641</v>
      </c>
      <c r="J732" s="4" t="s">
        <v>1736</v>
      </c>
      <c r="K732" s="4">
        <v>1</v>
      </c>
      <c r="L732" s="4">
        <v>2351</v>
      </c>
      <c r="M732" s="6">
        <v>49.784669999999998</v>
      </c>
      <c r="N732" s="9">
        <v>-117.44</v>
      </c>
      <c r="O732" s="9" t="s">
        <v>170</v>
      </c>
      <c r="P732" s="9">
        <v>406</v>
      </c>
      <c r="Q732" s="20">
        <v>3</v>
      </c>
      <c r="R732" s="9" t="s">
        <v>2883</v>
      </c>
      <c r="S732" s="9" t="s">
        <v>1737</v>
      </c>
      <c r="T732" s="9">
        <v>1230</v>
      </c>
      <c r="U732" s="9" t="s">
        <v>645</v>
      </c>
      <c r="V732" s="9"/>
      <c r="W732" s="21">
        <v>33604</v>
      </c>
      <c r="X732" s="9" t="s">
        <v>1738</v>
      </c>
      <c r="AO732" s="4" t="s">
        <v>2883</v>
      </c>
      <c r="AP732" s="4">
        <v>406</v>
      </c>
      <c r="AQ732" s="4" t="s">
        <v>1700</v>
      </c>
      <c r="AR732" s="4" t="s">
        <v>1739</v>
      </c>
      <c r="AS732" s="4" t="s">
        <v>1740</v>
      </c>
      <c r="AT732" s="4" t="s">
        <v>1741</v>
      </c>
      <c r="AU732" s="4" t="s">
        <v>1772</v>
      </c>
      <c r="AV732" s="4" t="s">
        <v>1720</v>
      </c>
      <c r="AW732" s="4" t="s">
        <v>2698</v>
      </c>
      <c r="AX732" s="4" t="s">
        <v>2797</v>
      </c>
      <c r="AY732" s="4">
        <v>49.784700000000001</v>
      </c>
      <c r="AZ732" s="4">
        <v>-117.44</v>
      </c>
      <c r="BA732" s="4">
        <v>1230</v>
      </c>
    </row>
    <row r="733" spans="1:53" ht="14.25" customHeight="1" x14ac:dyDescent="0.2">
      <c r="B733" s="4">
        <v>12</v>
      </c>
      <c r="C733" s="4" t="s">
        <v>7666</v>
      </c>
      <c r="D733" s="4">
        <v>407</v>
      </c>
      <c r="E733" s="4">
        <v>1949</v>
      </c>
      <c r="F733" s="4" t="s">
        <v>2886</v>
      </c>
      <c r="G733" s="4" t="s">
        <v>2887</v>
      </c>
      <c r="H733" s="4" t="s">
        <v>2888</v>
      </c>
      <c r="I733" s="4" t="s">
        <v>641</v>
      </c>
      <c r="J733" s="4" t="s">
        <v>1736</v>
      </c>
      <c r="K733" s="4">
        <v>1</v>
      </c>
      <c r="L733" s="4">
        <v>2352</v>
      </c>
      <c r="M733" s="6">
        <v>49.2545</v>
      </c>
      <c r="N733" s="9">
        <v>-117.99417</v>
      </c>
      <c r="O733" s="9" t="s">
        <v>170</v>
      </c>
      <c r="P733" s="9">
        <v>407</v>
      </c>
      <c r="Q733" s="20">
        <v>4</v>
      </c>
      <c r="R733" s="9" t="s">
        <v>2886</v>
      </c>
      <c r="S733" s="9" t="s">
        <v>1737</v>
      </c>
      <c r="T733" s="9">
        <v>1397</v>
      </c>
      <c r="U733" s="9"/>
      <c r="V733" s="9"/>
      <c r="W733" s="21">
        <v>33604</v>
      </c>
      <c r="X733" s="9" t="s">
        <v>1738</v>
      </c>
      <c r="AO733" s="4" t="s">
        <v>2886</v>
      </c>
      <c r="AP733" s="4">
        <v>407</v>
      </c>
      <c r="AQ733" s="4" t="s">
        <v>1716</v>
      </c>
      <c r="AR733" s="4" t="s">
        <v>1739</v>
      </c>
      <c r="AS733" s="4" t="s">
        <v>1740</v>
      </c>
      <c r="AT733" s="4" t="s">
        <v>1741</v>
      </c>
      <c r="AU733" s="4" t="s">
        <v>1742</v>
      </c>
      <c r="AV733" s="4" t="s">
        <v>1720</v>
      </c>
      <c r="AW733" s="4" t="s">
        <v>2698</v>
      </c>
      <c r="AX733" s="4" t="s">
        <v>2797</v>
      </c>
      <c r="AY733" s="4">
        <v>49.2545</v>
      </c>
      <c r="AZ733" s="4">
        <v>-117.99420000000001</v>
      </c>
      <c r="BA733" s="4">
        <v>1397</v>
      </c>
    </row>
    <row r="734" spans="1:53" ht="14.25" customHeight="1" x14ac:dyDescent="0.2">
      <c r="B734" s="4">
        <v>12</v>
      </c>
      <c r="C734" s="4" t="s">
        <v>7666</v>
      </c>
      <c r="D734" s="4">
        <v>408</v>
      </c>
      <c r="E734" s="4">
        <v>1950</v>
      </c>
      <c r="F734" s="4" t="s">
        <v>2889</v>
      </c>
      <c r="G734" s="4" t="s">
        <v>2890</v>
      </c>
      <c r="H734" s="4" t="s">
        <v>2891</v>
      </c>
      <c r="I734" s="4" t="s">
        <v>641</v>
      </c>
      <c r="J734" s="4" t="s">
        <v>1865</v>
      </c>
      <c r="K734" s="4">
        <v>1</v>
      </c>
      <c r="L734" s="4">
        <v>2353</v>
      </c>
      <c r="M734" s="6">
        <v>49.502499999999998</v>
      </c>
      <c r="N734" s="9">
        <v>-117.78700000000001</v>
      </c>
      <c r="O734" s="9" t="s">
        <v>170</v>
      </c>
      <c r="P734" s="9">
        <v>408</v>
      </c>
      <c r="Q734" s="20">
        <v>8</v>
      </c>
      <c r="R734" s="9" t="s">
        <v>2889</v>
      </c>
      <c r="S734" s="9" t="s">
        <v>1737</v>
      </c>
      <c r="T734" s="9">
        <v>2423</v>
      </c>
      <c r="U734" s="9"/>
      <c r="V734" s="9"/>
      <c r="W734" s="21">
        <v>33604</v>
      </c>
      <c r="X734" s="9" t="s">
        <v>1738</v>
      </c>
      <c r="AO734" s="4" t="s">
        <v>2892</v>
      </c>
      <c r="AP734" s="4">
        <v>408</v>
      </c>
      <c r="AQ734" s="4" t="s">
        <v>1700</v>
      </c>
      <c r="AR734" s="4" t="s">
        <v>1701</v>
      </c>
      <c r="AS734" s="4" t="s">
        <v>1740</v>
      </c>
      <c r="AT734" s="4" t="s">
        <v>1835</v>
      </c>
      <c r="AU734" s="4" t="s">
        <v>2489</v>
      </c>
      <c r="AV734" s="4" t="s">
        <v>1720</v>
      </c>
      <c r="AW734" s="4" t="s">
        <v>2698</v>
      </c>
      <c r="AX734" s="4" t="s">
        <v>2797</v>
      </c>
      <c r="AY734" s="4">
        <v>49.502499999999998</v>
      </c>
      <c r="AZ734" s="4">
        <v>-117.78700000000001</v>
      </c>
      <c r="BA734" s="4">
        <v>2423</v>
      </c>
    </row>
    <row r="735" spans="1:53" ht="14.25" customHeight="1" x14ac:dyDescent="0.2">
      <c r="B735" s="4">
        <v>12</v>
      </c>
      <c r="C735" s="4" t="s">
        <v>7666</v>
      </c>
      <c r="D735" s="4">
        <v>410</v>
      </c>
      <c r="E735" s="4">
        <v>1951</v>
      </c>
      <c r="F735" s="16" t="s">
        <v>2893</v>
      </c>
      <c r="G735" s="4" t="s">
        <v>2894</v>
      </c>
      <c r="H735" s="4" t="s">
        <v>2895</v>
      </c>
      <c r="I735" s="4" t="s">
        <v>641</v>
      </c>
      <c r="J735" s="4" t="s">
        <v>1715</v>
      </c>
      <c r="K735" s="4">
        <v>1</v>
      </c>
      <c r="L735" s="4">
        <v>2354</v>
      </c>
      <c r="M735" s="62"/>
      <c r="N735" s="34"/>
      <c r="P735" s="34"/>
      <c r="R735" s="34"/>
      <c r="T735" s="35"/>
      <c r="AO735" s="4" t="s">
        <v>2893</v>
      </c>
      <c r="AP735" s="4">
        <v>410</v>
      </c>
      <c r="AQ735" s="4" t="s">
        <v>1716</v>
      </c>
      <c r="AR735" s="4" t="s">
        <v>1717</v>
      </c>
      <c r="AS735" s="4" t="s">
        <v>1718</v>
      </c>
      <c r="AT735" s="4" t="s">
        <v>1703</v>
      </c>
      <c r="AU735" s="4" t="s">
        <v>1703</v>
      </c>
      <c r="AV735" s="4" t="s">
        <v>1720</v>
      </c>
      <c r="AW735" s="4" t="s">
        <v>2698</v>
      </c>
      <c r="AX735" s="4" t="s">
        <v>2768</v>
      </c>
      <c r="AY735" s="4">
        <v>50.172199999999997</v>
      </c>
      <c r="AZ735" s="4">
        <v>-116.0217</v>
      </c>
      <c r="BA735" s="4">
        <v>1301</v>
      </c>
    </row>
    <row r="736" spans="1:53" ht="14.25" customHeight="1" x14ac:dyDescent="0.2">
      <c r="A736" s="4" t="s">
        <v>88</v>
      </c>
      <c r="B736" s="4">
        <v>12</v>
      </c>
      <c r="C736" s="4" t="s">
        <v>7666</v>
      </c>
      <c r="D736" s="4">
        <v>411</v>
      </c>
      <c r="E736" s="4">
        <v>1952</v>
      </c>
      <c r="F736" s="4" t="s">
        <v>2896</v>
      </c>
      <c r="G736" s="8" t="s">
        <v>2897</v>
      </c>
      <c r="H736" s="4" t="s">
        <v>2898</v>
      </c>
      <c r="I736" s="4" t="s">
        <v>641</v>
      </c>
      <c r="J736" s="4" t="s">
        <v>1736</v>
      </c>
      <c r="K736" s="4">
        <v>1</v>
      </c>
      <c r="L736" s="4">
        <v>2355</v>
      </c>
      <c r="M736" s="6">
        <v>50.494610000000002</v>
      </c>
      <c r="N736" s="9">
        <v>-115.66643999999999</v>
      </c>
      <c r="O736" s="9" t="s">
        <v>170</v>
      </c>
      <c r="P736" s="9">
        <v>411</v>
      </c>
      <c r="Q736" s="20">
        <v>2</v>
      </c>
      <c r="R736" s="9" t="s">
        <v>2896</v>
      </c>
      <c r="S736" s="9" t="s">
        <v>1737</v>
      </c>
      <c r="T736" s="9">
        <v>1100</v>
      </c>
      <c r="U736" s="9"/>
      <c r="V736" s="9"/>
      <c r="W736" s="21">
        <v>26665</v>
      </c>
      <c r="X736" s="9" t="s">
        <v>1738</v>
      </c>
      <c r="AO736" s="4" t="s">
        <v>2896</v>
      </c>
      <c r="AP736" s="4">
        <v>411</v>
      </c>
      <c r="AQ736" s="4" t="s">
        <v>1716</v>
      </c>
      <c r="AR736" s="4" t="s">
        <v>1739</v>
      </c>
      <c r="AS736" s="4" t="s">
        <v>1740</v>
      </c>
      <c r="AT736" s="4" t="s">
        <v>1741</v>
      </c>
      <c r="AU736" s="4" t="s">
        <v>1742</v>
      </c>
      <c r="AV736" s="4" t="s">
        <v>1720</v>
      </c>
      <c r="AW736" s="4" t="s">
        <v>2698</v>
      </c>
      <c r="AX736" s="4" t="s">
        <v>2768</v>
      </c>
      <c r="AY736" s="4">
        <v>50.494599999999998</v>
      </c>
      <c r="AZ736" s="4">
        <v>-115.6664</v>
      </c>
      <c r="BA736" s="4">
        <v>1100</v>
      </c>
    </row>
    <row r="737" spans="1:53" ht="14.25" customHeight="1" x14ac:dyDescent="0.2">
      <c r="A737" s="4" t="s">
        <v>88</v>
      </c>
      <c r="B737" s="4">
        <v>12</v>
      </c>
      <c r="C737" s="4" t="s">
        <v>7666</v>
      </c>
      <c r="D737" s="4">
        <v>412</v>
      </c>
      <c r="E737" s="4">
        <v>1953</v>
      </c>
      <c r="F737" s="4" t="s">
        <v>2899</v>
      </c>
      <c r="G737" s="8" t="s">
        <v>2900</v>
      </c>
      <c r="H737" s="4" t="s">
        <v>2901</v>
      </c>
      <c r="I737" s="4" t="s">
        <v>641</v>
      </c>
      <c r="J737" s="4" t="s">
        <v>1865</v>
      </c>
      <c r="K737" s="4">
        <v>1</v>
      </c>
      <c r="L737" s="4">
        <v>2356</v>
      </c>
      <c r="M737" s="62">
        <v>49.287669999999999</v>
      </c>
      <c r="N737" s="34">
        <v>-115.15456</v>
      </c>
      <c r="O737" s="9" t="s">
        <v>170</v>
      </c>
      <c r="P737" s="9">
        <v>412</v>
      </c>
      <c r="Q737" s="20">
        <v>1</v>
      </c>
      <c r="R737" s="34" t="s">
        <v>2899</v>
      </c>
      <c r="S737" s="9" t="s">
        <v>1737</v>
      </c>
      <c r="T737" s="35">
        <v>775</v>
      </c>
      <c r="U737" s="9"/>
      <c r="V737" s="9"/>
      <c r="W737" s="21">
        <v>35431</v>
      </c>
      <c r="X737" s="9" t="s">
        <v>1738</v>
      </c>
      <c r="AO737" s="4" t="s">
        <v>2899</v>
      </c>
      <c r="AP737" s="4">
        <v>412</v>
      </c>
      <c r="AQ737" s="4" t="s">
        <v>1700</v>
      </c>
      <c r="AR737" s="4" t="s">
        <v>1739</v>
      </c>
      <c r="AS737" s="4" t="s">
        <v>1740</v>
      </c>
      <c r="AT737" s="4" t="s">
        <v>1741</v>
      </c>
      <c r="AU737" s="4" t="s">
        <v>1959</v>
      </c>
      <c r="AV737" s="4" t="s">
        <v>1720</v>
      </c>
      <c r="AW737" s="4" t="s">
        <v>2698</v>
      </c>
      <c r="AX737" s="4" t="s">
        <v>2902</v>
      </c>
      <c r="AY737" s="4">
        <v>49.287599999999998</v>
      </c>
      <c r="AZ737" s="4">
        <v>-115.1545</v>
      </c>
      <c r="BA737" s="4">
        <v>876</v>
      </c>
    </row>
    <row r="738" spans="1:53" ht="14.25" customHeight="1" x14ac:dyDescent="0.2">
      <c r="B738" s="4">
        <v>12</v>
      </c>
      <c r="C738" s="4" t="s">
        <v>7666</v>
      </c>
      <c r="D738" s="4">
        <v>413</v>
      </c>
      <c r="E738" s="4">
        <v>1954</v>
      </c>
      <c r="F738" s="16" t="s">
        <v>2903</v>
      </c>
      <c r="G738" s="4" t="s">
        <v>2904</v>
      </c>
      <c r="H738" s="4" t="s">
        <v>1714</v>
      </c>
      <c r="I738" s="4" t="s">
        <v>1664</v>
      </c>
      <c r="J738" s="4" t="s">
        <v>1715</v>
      </c>
      <c r="K738" s="4">
        <v>1</v>
      </c>
      <c r="L738" s="4">
        <v>2357</v>
      </c>
      <c r="M738" s="6"/>
      <c r="AO738" s="4" t="s">
        <v>2903</v>
      </c>
      <c r="AP738" s="4">
        <v>413</v>
      </c>
      <c r="AQ738" s="4" t="s">
        <v>1716</v>
      </c>
      <c r="AR738" s="4" t="s">
        <v>1717</v>
      </c>
      <c r="AS738" s="4" t="s">
        <v>1718</v>
      </c>
      <c r="AT738" s="4" t="s">
        <v>1719</v>
      </c>
      <c r="AU738" s="4" t="s">
        <v>1703</v>
      </c>
      <c r="AV738" s="4" t="s">
        <v>1720</v>
      </c>
      <c r="AW738" s="4" t="s">
        <v>2698</v>
      </c>
      <c r="AX738" s="4" t="s">
        <v>2768</v>
      </c>
      <c r="AY738" s="4">
        <v>50.5</v>
      </c>
      <c r="AZ738" s="4">
        <v>-116</v>
      </c>
      <c r="BA738" s="4">
        <v>0</v>
      </c>
    </row>
    <row r="739" spans="1:53" ht="14.25" customHeight="1" x14ac:dyDescent="0.2">
      <c r="B739" s="4">
        <v>12</v>
      </c>
      <c r="C739" s="4" t="s">
        <v>7666</v>
      </c>
      <c r="D739" s="4">
        <v>414</v>
      </c>
      <c r="E739" s="4">
        <v>1955</v>
      </c>
      <c r="F739" s="16" t="s">
        <v>2905</v>
      </c>
      <c r="G739" s="4" t="s">
        <v>2906</v>
      </c>
      <c r="H739" s="4" t="s">
        <v>2907</v>
      </c>
      <c r="I739" s="4" t="s">
        <v>1664</v>
      </c>
      <c r="J739" s="4" t="s">
        <v>1715</v>
      </c>
      <c r="K739" s="4">
        <v>1</v>
      </c>
      <c r="L739" s="4">
        <v>2358</v>
      </c>
      <c r="M739" s="62"/>
      <c r="N739" s="34"/>
      <c r="R739" s="34"/>
      <c r="T739" s="35"/>
      <c r="AO739" s="4" t="s">
        <v>2905</v>
      </c>
      <c r="AP739" s="4">
        <v>414</v>
      </c>
      <c r="AQ739" s="4" t="s">
        <v>1716</v>
      </c>
      <c r="AR739" s="4" t="s">
        <v>1717</v>
      </c>
      <c r="AS739" s="4" t="s">
        <v>1718</v>
      </c>
      <c r="AT739" s="4" t="s">
        <v>1719</v>
      </c>
      <c r="AU739" s="4" t="s">
        <v>1703</v>
      </c>
      <c r="AV739" s="4" t="s">
        <v>1720</v>
      </c>
      <c r="AW739" s="4" t="s">
        <v>2698</v>
      </c>
      <c r="AY739" s="4">
        <v>49</v>
      </c>
      <c r="AZ739" s="4">
        <v>-114.5</v>
      </c>
      <c r="BA739" s="4">
        <v>0</v>
      </c>
    </row>
    <row r="740" spans="1:53" ht="14.25" customHeight="1" x14ac:dyDescent="0.2">
      <c r="A740" s="4" t="s">
        <v>422</v>
      </c>
      <c r="B740" s="4">
        <v>12</v>
      </c>
      <c r="C740" s="4" t="s">
        <v>7665</v>
      </c>
      <c r="D740" s="4">
        <v>415</v>
      </c>
      <c r="E740" s="4">
        <v>12973</v>
      </c>
      <c r="F740" s="49" t="s">
        <v>2908</v>
      </c>
      <c r="G740" s="4" t="s">
        <v>127</v>
      </c>
      <c r="H740" s="4" t="s">
        <v>1697</v>
      </c>
      <c r="I740" s="4" t="s">
        <v>49</v>
      </c>
      <c r="J740" s="4" t="s">
        <v>1698</v>
      </c>
      <c r="K740" s="4">
        <v>1</v>
      </c>
      <c r="L740" s="4">
        <v>14905</v>
      </c>
      <c r="M740" s="6"/>
      <c r="AO740" s="48" t="s">
        <v>2909</v>
      </c>
      <c r="AP740" s="48">
        <v>415</v>
      </c>
      <c r="AQ740" s="48" t="s">
        <v>1716</v>
      </c>
      <c r="AR740" s="48" t="s">
        <v>1717</v>
      </c>
      <c r="AS740" s="48" t="s">
        <v>1702</v>
      </c>
      <c r="AT740" s="48" t="s">
        <v>1703</v>
      </c>
      <c r="AU740" s="48" t="s">
        <v>1704</v>
      </c>
      <c r="AV740" s="48" t="s">
        <v>1702</v>
      </c>
      <c r="AW740" s="48" t="s">
        <v>2698</v>
      </c>
      <c r="AX740" s="48" t="s">
        <v>2902</v>
      </c>
      <c r="AY740" s="48">
        <v>49.75</v>
      </c>
      <c r="AZ740" s="48">
        <v>-114.87</v>
      </c>
      <c r="BA740" s="48">
        <v>1138</v>
      </c>
    </row>
    <row r="741" spans="1:53" ht="14.25" customHeight="1" x14ac:dyDescent="0.2">
      <c r="B741" s="4">
        <v>12</v>
      </c>
      <c r="C741" s="4" t="s">
        <v>7666</v>
      </c>
      <c r="D741" s="4">
        <v>416</v>
      </c>
      <c r="E741" s="4">
        <v>1956</v>
      </c>
      <c r="F741" s="16" t="s">
        <v>2910</v>
      </c>
      <c r="G741" s="4" t="s">
        <v>2911</v>
      </c>
      <c r="H741" s="4" t="s">
        <v>2912</v>
      </c>
      <c r="I741" s="4" t="s">
        <v>641</v>
      </c>
      <c r="J741" s="4" t="s">
        <v>1715</v>
      </c>
      <c r="K741" s="4">
        <v>1</v>
      </c>
      <c r="L741" s="4">
        <v>2359</v>
      </c>
      <c r="M741" s="62"/>
      <c r="N741" s="34"/>
      <c r="R741" s="34"/>
      <c r="T741" s="35"/>
      <c r="AO741" s="4" t="s">
        <v>2910</v>
      </c>
      <c r="AP741" s="4">
        <v>416</v>
      </c>
      <c r="AQ741" s="4" t="s">
        <v>1716</v>
      </c>
      <c r="AR741" s="4" t="s">
        <v>1717</v>
      </c>
      <c r="AS741" s="4" t="s">
        <v>1718</v>
      </c>
      <c r="AT741" s="4" t="s">
        <v>1703</v>
      </c>
      <c r="AU741" s="4" t="s">
        <v>1703</v>
      </c>
      <c r="AV741" s="4" t="s">
        <v>1720</v>
      </c>
      <c r="AW741" s="4" t="s">
        <v>2698</v>
      </c>
      <c r="AX741" s="4" t="s">
        <v>2902</v>
      </c>
      <c r="AY741" s="4">
        <v>49.3</v>
      </c>
      <c r="AZ741" s="4">
        <v>-115.2</v>
      </c>
      <c r="BA741" s="4">
        <v>10</v>
      </c>
    </row>
    <row r="742" spans="1:53" ht="14.25" customHeight="1" x14ac:dyDescent="0.2">
      <c r="A742" s="4" t="s">
        <v>2037</v>
      </c>
      <c r="B742" s="4">
        <v>12</v>
      </c>
      <c r="C742" s="4" t="s">
        <v>7666</v>
      </c>
      <c r="D742" s="4">
        <v>417</v>
      </c>
      <c r="E742" s="4">
        <v>1957</v>
      </c>
      <c r="F742" s="8" t="s">
        <v>2913</v>
      </c>
      <c r="G742" s="4" t="s">
        <v>2914</v>
      </c>
      <c r="H742" s="4" t="s">
        <v>2915</v>
      </c>
      <c r="I742" s="4" t="s">
        <v>641</v>
      </c>
      <c r="J742" s="4" t="s">
        <v>1736</v>
      </c>
      <c r="K742" s="4">
        <v>1</v>
      </c>
      <c r="L742" s="4">
        <v>2360</v>
      </c>
      <c r="M742" s="6">
        <v>50.512830000000001</v>
      </c>
      <c r="N742" s="9">
        <v>-116.05533</v>
      </c>
      <c r="O742" s="9" t="s">
        <v>170</v>
      </c>
      <c r="P742" s="9">
        <v>417</v>
      </c>
      <c r="Q742" s="20">
        <v>1</v>
      </c>
      <c r="R742" s="9" t="s">
        <v>2916</v>
      </c>
      <c r="S742" s="9" t="s">
        <v>1737</v>
      </c>
      <c r="T742" s="9">
        <v>894</v>
      </c>
      <c r="U742" s="9" t="s">
        <v>645</v>
      </c>
      <c r="V742" s="9" t="s">
        <v>1830</v>
      </c>
      <c r="W742" s="21">
        <v>31413</v>
      </c>
      <c r="X742" s="9" t="s">
        <v>1738</v>
      </c>
      <c r="AO742" s="53" t="s">
        <v>2916</v>
      </c>
      <c r="AP742" s="4">
        <v>417</v>
      </c>
      <c r="AQ742" s="4" t="s">
        <v>1700</v>
      </c>
      <c r="AR742" s="4" t="s">
        <v>1739</v>
      </c>
      <c r="AS742" s="4" t="s">
        <v>1740</v>
      </c>
      <c r="AT742" s="4" t="s">
        <v>1741</v>
      </c>
      <c r="AU742" s="4" t="s">
        <v>2043</v>
      </c>
      <c r="AV742" s="4" t="s">
        <v>1720</v>
      </c>
      <c r="AW742" s="4" t="s">
        <v>2698</v>
      </c>
      <c r="AX742" s="4" t="s">
        <v>2768</v>
      </c>
      <c r="AY742" s="4">
        <v>50.512799999999999</v>
      </c>
      <c r="AZ742" s="4">
        <v>-116.0553</v>
      </c>
      <c r="BA742" s="4">
        <v>894</v>
      </c>
    </row>
    <row r="743" spans="1:53" ht="14.25" customHeight="1" x14ac:dyDescent="0.2">
      <c r="A743" s="4" t="s">
        <v>88</v>
      </c>
      <c r="B743" s="4">
        <v>12</v>
      </c>
      <c r="C743" s="4" t="s">
        <v>7666</v>
      </c>
      <c r="D743" s="4">
        <v>418</v>
      </c>
      <c r="E743" s="4">
        <v>1958</v>
      </c>
      <c r="F743" s="4" t="s">
        <v>2917</v>
      </c>
      <c r="G743" s="8" t="s">
        <v>2918</v>
      </c>
      <c r="H743" s="4" t="s">
        <v>2919</v>
      </c>
      <c r="I743" s="4" t="s">
        <v>641</v>
      </c>
      <c r="J743" s="4" t="s">
        <v>1865</v>
      </c>
      <c r="K743" s="4">
        <v>1</v>
      </c>
      <c r="L743" s="4">
        <v>2361</v>
      </c>
      <c r="M743" s="6">
        <v>49.079129999999999</v>
      </c>
      <c r="N743" s="9">
        <v>-114.53734</v>
      </c>
      <c r="O743" s="9" t="s">
        <v>170</v>
      </c>
      <c r="P743" s="9">
        <v>418</v>
      </c>
      <c r="Q743" s="20">
        <v>3</v>
      </c>
      <c r="R743" s="9" t="s">
        <v>2917</v>
      </c>
      <c r="S743" s="9" t="s">
        <v>1737</v>
      </c>
      <c r="T743" s="9">
        <v>1311</v>
      </c>
      <c r="U743" s="9"/>
      <c r="V743" s="9"/>
      <c r="W743" s="21">
        <v>31413</v>
      </c>
      <c r="X743" s="9" t="s">
        <v>1738</v>
      </c>
      <c r="AO743" s="4" t="s">
        <v>2917</v>
      </c>
      <c r="AP743" s="4">
        <v>418</v>
      </c>
      <c r="AQ743" s="4" t="s">
        <v>1716</v>
      </c>
      <c r="AR743" s="4" t="s">
        <v>1739</v>
      </c>
      <c r="AS743" s="4" t="s">
        <v>1740</v>
      </c>
      <c r="AT743" s="4" t="s">
        <v>1741</v>
      </c>
      <c r="AU743" s="4" t="s">
        <v>1742</v>
      </c>
      <c r="AV743" s="4" t="s">
        <v>1720</v>
      </c>
      <c r="AW743" s="4" t="s">
        <v>2698</v>
      </c>
      <c r="AX743" s="4" t="s">
        <v>2902</v>
      </c>
      <c r="AY743" s="4">
        <v>49.079099999999997</v>
      </c>
      <c r="AZ743" s="4">
        <v>-114.5373</v>
      </c>
      <c r="BA743" s="4">
        <v>1311</v>
      </c>
    </row>
    <row r="744" spans="1:53" ht="14.25" customHeight="1" x14ac:dyDescent="0.2">
      <c r="A744" s="4" t="s">
        <v>88</v>
      </c>
      <c r="B744" s="4">
        <v>12</v>
      </c>
      <c r="C744" s="4" t="s">
        <v>7666</v>
      </c>
      <c r="D744" s="4">
        <v>419</v>
      </c>
      <c r="E744" s="4">
        <v>1959</v>
      </c>
      <c r="F744" s="4" t="s">
        <v>2920</v>
      </c>
      <c r="G744" s="8" t="s">
        <v>2921</v>
      </c>
      <c r="H744" s="4" t="s">
        <v>2839</v>
      </c>
      <c r="I744" s="4" t="s">
        <v>641</v>
      </c>
      <c r="J744" s="4" t="s">
        <v>1865</v>
      </c>
      <c r="K744" s="4">
        <v>1</v>
      </c>
      <c r="L744" s="4">
        <v>2362</v>
      </c>
      <c r="M744" s="6">
        <v>49.921999999999997</v>
      </c>
      <c r="N744" s="9">
        <v>-115.73667</v>
      </c>
      <c r="O744" s="9" t="s">
        <v>170</v>
      </c>
      <c r="P744" s="9">
        <v>419</v>
      </c>
      <c r="Q744" s="20">
        <v>1</v>
      </c>
      <c r="R744" s="9" t="s">
        <v>2920</v>
      </c>
      <c r="S744" s="9" t="s">
        <v>1737</v>
      </c>
      <c r="T744" s="9">
        <v>853</v>
      </c>
      <c r="U744" s="9" t="s">
        <v>645</v>
      </c>
      <c r="V744" s="9"/>
      <c r="W744" s="21">
        <v>31413</v>
      </c>
      <c r="X744" s="9" t="s">
        <v>1738</v>
      </c>
      <c r="AO744" s="4" t="s">
        <v>2920</v>
      </c>
      <c r="AP744" s="4">
        <v>419</v>
      </c>
      <c r="AQ744" s="4" t="s">
        <v>1700</v>
      </c>
      <c r="AR744" s="4" t="s">
        <v>1739</v>
      </c>
      <c r="AS744" s="4" t="s">
        <v>1740</v>
      </c>
      <c r="AT744" s="4" t="s">
        <v>1741</v>
      </c>
      <c r="AU744" s="4" t="s">
        <v>1959</v>
      </c>
      <c r="AV744" s="4" t="s">
        <v>1720</v>
      </c>
      <c r="AW744" s="4" t="s">
        <v>2698</v>
      </c>
      <c r="AX744" s="4" t="s">
        <v>2768</v>
      </c>
      <c r="AY744" s="4">
        <v>49.944400000000002</v>
      </c>
      <c r="AZ744" s="4">
        <v>-115.75830000000001</v>
      </c>
      <c r="BA744" s="4">
        <v>853</v>
      </c>
    </row>
    <row r="745" spans="1:53" ht="14.25" customHeight="1" x14ac:dyDescent="0.2">
      <c r="B745" s="4">
        <v>12</v>
      </c>
      <c r="C745" s="4" t="s">
        <v>7666</v>
      </c>
      <c r="D745" s="4">
        <v>420</v>
      </c>
      <c r="E745" s="4">
        <v>1960</v>
      </c>
      <c r="F745" s="16" t="s">
        <v>2922</v>
      </c>
      <c r="G745" s="4" t="s">
        <v>2923</v>
      </c>
      <c r="H745" s="4" t="s">
        <v>2924</v>
      </c>
      <c r="I745" s="4" t="s">
        <v>1664</v>
      </c>
      <c r="J745" s="4" t="s">
        <v>1715</v>
      </c>
      <c r="K745" s="4">
        <v>1</v>
      </c>
      <c r="L745" s="4">
        <v>2363</v>
      </c>
      <c r="M745" s="62"/>
      <c r="N745" s="34"/>
      <c r="O745" s="34"/>
      <c r="Q745" s="34"/>
      <c r="R745" s="34"/>
      <c r="T745" s="34"/>
      <c r="AO745" s="4" t="s">
        <v>2922</v>
      </c>
      <c r="AP745" s="4">
        <v>420</v>
      </c>
      <c r="AQ745" s="4" t="s">
        <v>1716</v>
      </c>
      <c r="AR745" s="4" t="s">
        <v>1717</v>
      </c>
      <c r="AS745" s="4" t="s">
        <v>1718</v>
      </c>
      <c r="AT745" s="4" t="s">
        <v>1719</v>
      </c>
      <c r="AU745" s="4" t="s">
        <v>1703</v>
      </c>
      <c r="AV745" s="4" t="s">
        <v>1720</v>
      </c>
      <c r="AW745" s="4" t="s">
        <v>2698</v>
      </c>
      <c r="AX745" s="4" t="s">
        <v>2902</v>
      </c>
      <c r="AY745" s="4">
        <v>49.8</v>
      </c>
      <c r="AZ745" s="4">
        <v>-115.2</v>
      </c>
      <c r="BA745" s="4">
        <v>17</v>
      </c>
    </row>
    <row r="746" spans="1:53" ht="14.25" customHeight="1" x14ac:dyDescent="0.2">
      <c r="B746" s="4">
        <v>12</v>
      </c>
      <c r="C746" s="4" t="s">
        <v>7666</v>
      </c>
      <c r="D746" s="4">
        <v>421</v>
      </c>
      <c r="E746" s="4">
        <v>1961</v>
      </c>
      <c r="F746" s="4" t="s">
        <v>2925</v>
      </c>
      <c r="G746" s="4" t="s">
        <v>2926</v>
      </c>
      <c r="H746" s="4" t="s">
        <v>2842</v>
      </c>
      <c r="I746" s="4" t="s">
        <v>641</v>
      </c>
      <c r="J746" s="4" t="s">
        <v>1865</v>
      </c>
      <c r="K746" s="4">
        <v>1</v>
      </c>
      <c r="L746" s="4">
        <v>2364</v>
      </c>
      <c r="M746" s="6">
        <v>49.784500000000001</v>
      </c>
      <c r="N746" s="9">
        <v>-116.383</v>
      </c>
      <c r="O746" s="9" t="s">
        <v>170</v>
      </c>
      <c r="P746" s="9">
        <v>421</v>
      </c>
      <c r="Q746" s="20">
        <v>5</v>
      </c>
      <c r="R746" s="9" t="s">
        <v>2925</v>
      </c>
      <c r="S746" s="9" t="s">
        <v>1737</v>
      </c>
      <c r="T746" s="9">
        <v>1608</v>
      </c>
      <c r="U746" s="9"/>
      <c r="V746" s="9"/>
      <c r="W746" s="21">
        <v>31413</v>
      </c>
      <c r="X746" s="9" t="s">
        <v>1738</v>
      </c>
      <c r="AO746" s="4" t="s">
        <v>2925</v>
      </c>
      <c r="AP746" s="4">
        <v>421</v>
      </c>
      <c r="AQ746" s="4" t="s">
        <v>1716</v>
      </c>
      <c r="AR746" s="4" t="s">
        <v>1739</v>
      </c>
      <c r="AS746" s="4" t="s">
        <v>1740</v>
      </c>
      <c r="AT746" s="4" t="s">
        <v>1741</v>
      </c>
      <c r="AU746" s="4" t="s">
        <v>1742</v>
      </c>
      <c r="AV746" s="4" t="s">
        <v>1720</v>
      </c>
      <c r="AW746" s="4" t="s">
        <v>2698</v>
      </c>
      <c r="AX746" s="4" t="s">
        <v>2902</v>
      </c>
      <c r="AY746" s="4">
        <v>49.784500000000001</v>
      </c>
      <c r="AZ746" s="4">
        <v>-116.383</v>
      </c>
      <c r="BA746" s="4">
        <v>1608</v>
      </c>
    </row>
    <row r="747" spans="1:53" ht="14.25" customHeight="1" x14ac:dyDescent="0.2">
      <c r="B747" s="4">
        <v>12</v>
      </c>
      <c r="C747" s="4" t="s">
        <v>7666</v>
      </c>
      <c r="D747" s="4">
        <v>422</v>
      </c>
      <c r="E747" s="4">
        <v>1962</v>
      </c>
      <c r="F747" s="16" t="s">
        <v>2927</v>
      </c>
      <c r="G747" s="4" t="s">
        <v>2928</v>
      </c>
      <c r="H747" s="4" t="s">
        <v>2929</v>
      </c>
      <c r="I747" s="4" t="s">
        <v>641</v>
      </c>
      <c r="J747" s="4" t="s">
        <v>1715</v>
      </c>
      <c r="K747" s="4">
        <v>1</v>
      </c>
      <c r="L747" s="4">
        <v>2365</v>
      </c>
      <c r="M747" s="6"/>
      <c r="AO747" s="4" t="s">
        <v>2927</v>
      </c>
      <c r="AP747" s="4">
        <v>422</v>
      </c>
      <c r="AQ747" s="4" t="s">
        <v>1716</v>
      </c>
      <c r="AR747" s="4" t="s">
        <v>1717</v>
      </c>
      <c r="AS747" s="4" t="s">
        <v>1718</v>
      </c>
      <c r="AT747" s="4" t="s">
        <v>1719</v>
      </c>
      <c r="AU747" s="4" t="s">
        <v>1959</v>
      </c>
      <c r="AV747" s="4" t="s">
        <v>1720</v>
      </c>
      <c r="AW747" s="4" t="s">
        <v>2698</v>
      </c>
      <c r="AX747" s="4" t="s">
        <v>2902</v>
      </c>
      <c r="AY747" s="4">
        <v>49.902500000000003</v>
      </c>
      <c r="AZ747" s="4">
        <v>-115.1388</v>
      </c>
      <c r="BA747" s="4">
        <v>1326</v>
      </c>
    </row>
    <row r="748" spans="1:53" ht="14.25" customHeight="1" x14ac:dyDescent="0.2">
      <c r="B748" s="4">
        <v>12</v>
      </c>
      <c r="C748" s="4" t="s">
        <v>7666</v>
      </c>
      <c r="D748" s="4">
        <v>423</v>
      </c>
      <c r="E748" s="4">
        <v>1963</v>
      </c>
      <c r="F748" s="4" t="s">
        <v>2930</v>
      </c>
      <c r="G748" s="4" t="s">
        <v>2931</v>
      </c>
      <c r="H748" s="4" t="s">
        <v>2932</v>
      </c>
      <c r="I748" s="4" t="s">
        <v>641</v>
      </c>
      <c r="J748" s="4" t="s">
        <v>1715</v>
      </c>
      <c r="K748" s="4">
        <v>1</v>
      </c>
      <c r="L748" s="4">
        <v>2366</v>
      </c>
      <c r="M748" s="6"/>
      <c r="N748" s="9"/>
      <c r="O748" s="9"/>
      <c r="P748" s="14"/>
      <c r="Q748" s="20"/>
      <c r="R748" s="9"/>
      <c r="S748" s="9"/>
      <c r="T748" s="9"/>
      <c r="U748" s="9"/>
      <c r="V748" s="9"/>
      <c r="W748" s="21"/>
      <c r="X748" s="9"/>
      <c r="AO748" s="53" t="s">
        <v>2933</v>
      </c>
      <c r="AP748" s="4">
        <v>423</v>
      </c>
      <c r="AQ748" s="4" t="s">
        <v>1716</v>
      </c>
      <c r="AR748" s="4" t="s">
        <v>1717</v>
      </c>
      <c r="AS748" s="4" t="s">
        <v>1718</v>
      </c>
      <c r="AT748" s="4" t="s">
        <v>1719</v>
      </c>
      <c r="AU748" s="4" t="s">
        <v>2443</v>
      </c>
      <c r="AV748" s="4" t="s">
        <v>1720</v>
      </c>
      <c r="AW748" s="4" t="s">
        <v>2698</v>
      </c>
      <c r="AX748" s="4" t="s">
        <v>2902</v>
      </c>
      <c r="AY748" s="4">
        <v>49.456200000000003</v>
      </c>
      <c r="AZ748" s="4">
        <v>-115.6263</v>
      </c>
      <c r="BA748" s="4">
        <v>2262</v>
      </c>
    </row>
    <row r="749" spans="1:53" ht="14.25" customHeight="1" x14ac:dyDescent="0.2">
      <c r="B749" s="4">
        <v>12</v>
      </c>
      <c r="C749" s="4" t="s">
        <v>7666</v>
      </c>
      <c r="D749" s="4">
        <v>425</v>
      </c>
      <c r="E749" s="4">
        <v>1964</v>
      </c>
      <c r="F749" s="4" t="s">
        <v>2934</v>
      </c>
      <c r="G749" s="4" t="s">
        <v>2935</v>
      </c>
      <c r="H749" s="4" t="s">
        <v>2936</v>
      </c>
      <c r="I749" s="4" t="s">
        <v>641</v>
      </c>
      <c r="J749" s="4" t="s">
        <v>1829</v>
      </c>
      <c r="K749" s="4">
        <v>1</v>
      </c>
      <c r="L749" s="4">
        <v>2367</v>
      </c>
      <c r="M749" s="62">
        <v>50.14508</v>
      </c>
      <c r="N749" s="34">
        <v>-115.97723000000001</v>
      </c>
      <c r="O749" s="9" t="s">
        <v>170</v>
      </c>
      <c r="P749" s="34">
        <v>425</v>
      </c>
      <c r="Q749" s="20">
        <v>3</v>
      </c>
      <c r="R749" s="34" t="s">
        <v>2934</v>
      </c>
      <c r="S749" s="9" t="s">
        <v>1737</v>
      </c>
      <c r="T749" s="35">
        <v>1190</v>
      </c>
      <c r="U749" s="9" t="s">
        <v>645</v>
      </c>
      <c r="V749" s="9"/>
      <c r="W749" s="21">
        <v>37257</v>
      </c>
      <c r="X749" s="9" t="s">
        <v>1738</v>
      </c>
      <c r="AO749" s="4" t="s">
        <v>2934</v>
      </c>
      <c r="AP749" s="4">
        <v>425</v>
      </c>
      <c r="AQ749" s="4" t="s">
        <v>1700</v>
      </c>
      <c r="AR749" s="4" t="s">
        <v>1739</v>
      </c>
      <c r="AS749" s="4" t="s">
        <v>1740</v>
      </c>
      <c r="AT749" s="4" t="s">
        <v>1741</v>
      </c>
      <c r="AU749" s="4" t="s">
        <v>1959</v>
      </c>
      <c r="AV749" s="4" t="s">
        <v>1720</v>
      </c>
      <c r="AW749" s="4" t="s">
        <v>2698</v>
      </c>
      <c r="AX749" s="4" t="s">
        <v>2768</v>
      </c>
      <c r="AY749" s="4">
        <v>50.145099999999999</v>
      </c>
      <c r="AZ749" s="4">
        <v>-115.9772</v>
      </c>
      <c r="BA749" s="4">
        <v>1190</v>
      </c>
    </row>
    <row r="750" spans="1:53" ht="14.25" customHeight="1" x14ac:dyDescent="0.2">
      <c r="A750" s="4" t="s">
        <v>88</v>
      </c>
      <c r="B750" s="4">
        <v>12</v>
      </c>
      <c r="C750" s="4" t="s">
        <v>7666</v>
      </c>
      <c r="D750" s="4">
        <v>426</v>
      </c>
      <c r="E750" s="4">
        <v>1965</v>
      </c>
      <c r="F750" s="4" t="s">
        <v>2937</v>
      </c>
      <c r="G750" s="8" t="s">
        <v>2938</v>
      </c>
      <c r="H750" s="4" t="s">
        <v>2939</v>
      </c>
      <c r="I750" s="4" t="s">
        <v>641</v>
      </c>
      <c r="J750" s="4" t="s">
        <v>1891</v>
      </c>
      <c r="K750" s="4">
        <v>1</v>
      </c>
      <c r="L750" s="4">
        <v>2368</v>
      </c>
      <c r="M750" s="6">
        <v>49.667299999999997</v>
      </c>
      <c r="N750" s="9">
        <v>-115.848</v>
      </c>
      <c r="O750" s="9" t="s">
        <v>170</v>
      </c>
      <c r="P750" s="9">
        <v>426</v>
      </c>
      <c r="Q750" s="20">
        <v>2</v>
      </c>
      <c r="R750" s="9" t="s">
        <v>2937</v>
      </c>
      <c r="S750" s="9" t="s">
        <v>1737</v>
      </c>
      <c r="T750" s="9">
        <v>996</v>
      </c>
      <c r="U750" s="9"/>
      <c r="V750" s="9"/>
      <c r="W750" s="21">
        <v>36892</v>
      </c>
      <c r="X750" s="9" t="s">
        <v>1738</v>
      </c>
      <c r="AO750" s="4" t="s">
        <v>2940</v>
      </c>
      <c r="AP750" s="4">
        <v>426</v>
      </c>
      <c r="AQ750" s="4" t="s">
        <v>1700</v>
      </c>
      <c r="AR750" s="4" t="s">
        <v>1739</v>
      </c>
      <c r="AS750" s="4" t="s">
        <v>1740</v>
      </c>
      <c r="AT750" s="4" t="s">
        <v>1741</v>
      </c>
      <c r="AU750" s="4" t="s">
        <v>1959</v>
      </c>
      <c r="AV750" s="4" t="s">
        <v>1720</v>
      </c>
      <c r="AW750" s="4" t="s">
        <v>2698</v>
      </c>
      <c r="AX750" s="4" t="s">
        <v>2902</v>
      </c>
      <c r="AY750" s="4">
        <v>49.667299999999997</v>
      </c>
      <c r="AZ750" s="4">
        <v>-115.84829999999999</v>
      </c>
      <c r="BA750" s="4">
        <v>996</v>
      </c>
    </row>
    <row r="751" spans="1:53" ht="14.25" customHeight="1" x14ac:dyDescent="0.2">
      <c r="A751" s="4" t="s">
        <v>88</v>
      </c>
      <c r="B751" s="4">
        <v>12</v>
      </c>
      <c r="C751" s="4" t="s">
        <v>7666</v>
      </c>
      <c r="D751" s="4">
        <v>427</v>
      </c>
      <c r="E751" s="4">
        <v>1966</v>
      </c>
      <c r="F751" s="4" t="s">
        <v>2941</v>
      </c>
      <c r="G751" s="8" t="s">
        <v>2942</v>
      </c>
      <c r="H751" s="4" t="s">
        <v>2943</v>
      </c>
      <c r="I751" s="4" t="s">
        <v>641</v>
      </c>
      <c r="J751" s="4" t="s">
        <v>1736</v>
      </c>
      <c r="K751" s="4">
        <v>1</v>
      </c>
      <c r="L751" s="4">
        <v>2369</v>
      </c>
      <c r="M751" s="62">
        <v>55.288330000000002</v>
      </c>
      <c r="N751" s="34">
        <v>-128.99332999999999</v>
      </c>
      <c r="O751" s="9" t="s">
        <v>51</v>
      </c>
      <c r="P751" s="34">
        <v>427</v>
      </c>
      <c r="Q751" s="20">
        <v>2</v>
      </c>
      <c r="R751" s="34" t="s">
        <v>2941</v>
      </c>
      <c r="S751" s="9" t="s">
        <v>1737</v>
      </c>
      <c r="T751" s="35">
        <v>191</v>
      </c>
      <c r="U751" s="9"/>
      <c r="V751" s="9"/>
      <c r="W751" s="21">
        <v>25569</v>
      </c>
      <c r="X751" s="9" t="s">
        <v>1738</v>
      </c>
      <c r="AO751" s="4" t="s">
        <v>2941</v>
      </c>
      <c r="AP751" s="4">
        <v>427</v>
      </c>
      <c r="AQ751" s="4" t="s">
        <v>1716</v>
      </c>
      <c r="AR751" s="4" t="s">
        <v>1739</v>
      </c>
      <c r="AS751" s="4" t="s">
        <v>1740</v>
      </c>
      <c r="AT751" s="4" t="s">
        <v>1741</v>
      </c>
      <c r="AU751" s="4" t="s">
        <v>1742</v>
      </c>
      <c r="AV751" s="4" t="s">
        <v>1720</v>
      </c>
      <c r="AW751" s="4" t="s">
        <v>1947</v>
      </c>
      <c r="AX751" s="4" t="s">
        <v>1973</v>
      </c>
      <c r="AY751" s="4">
        <v>55.288600000000002</v>
      </c>
      <c r="AZ751" s="4">
        <v>-128.9984</v>
      </c>
      <c r="BA751" s="4">
        <v>176</v>
      </c>
    </row>
    <row r="752" spans="1:53" ht="14.25" customHeight="1" x14ac:dyDescent="0.2">
      <c r="A752" s="4" t="s">
        <v>1908</v>
      </c>
      <c r="B752" s="4">
        <v>12</v>
      </c>
      <c r="C752" s="4" t="s">
        <v>7666</v>
      </c>
      <c r="D752" s="4">
        <v>428</v>
      </c>
      <c r="E752" s="4">
        <v>1967</v>
      </c>
      <c r="F752" s="8" t="s">
        <v>2944</v>
      </c>
      <c r="G752" s="8" t="s">
        <v>2945</v>
      </c>
      <c r="H752" s="4" t="s">
        <v>2946</v>
      </c>
      <c r="I752" s="4" t="s">
        <v>641</v>
      </c>
      <c r="J752" s="4" t="s">
        <v>1736</v>
      </c>
      <c r="K752" s="4">
        <v>1</v>
      </c>
      <c r="L752" s="4">
        <v>2370</v>
      </c>
      <c r="M752" s="6">
        <v>55.435000000000002</v>
      </c>
      <c r="N752" s="9">
        <v>-127.64667</v>
      </c>
      <c r="O752" s="9" t="s">
        <v>51</v>
      </c>
      <c r="P752" s="9">
        <v>428</v>
      </c>
      <c r="Q752" s="20">
        <v>3</v>
      </c>
      <c r="R752" s="9" t="s">
        <v>2947</v>
      </c>
      <c r="S752" s="9" t="s">
        <v>1737</v>
      </c>
      <c r="T752" s="9">
        <v>335</v>
      </c>
      <c r="U752" s="9" t="s">
        <v>645</v>
      </c>
      <c r="V752" s="9"/>
      <c r="W752" s="21">
        <v>25569</v>
      </c>
      <c r="X752" s="9" t="s">
        <v>1738</v>
      </c>
      <c r="AO752" s="53" t="s">
        <v>2947</v>
      </c>
      <c r="AP752" s="4">
        <v>428</v>
      </c>
      <c r="AQ752" s="4" t="s">
        <v>1700</v>
      </c>
      <c r="AR752" s="4" t="s">
        <v>1739</v>
      </c>
      <c r="AS752" s="4" t="s">
        <v>1740</v>
      </c>
      <c r="AT752" s="4" t="s">
        <v>1741</v>
      </c>
      <c r="AU752" s="4" t="s">
        <v>1772</v>
      </c>
      <c r="AV752" s="4" t="s">
        <v>1720</v>
      </c>
      <c r="AW752" s="4" t="s">
        <v>1947</v>
      </c>
      <c r="AX752" s="4" t="s">
        <v>2948</v>
      </c>
      <c r="AY752" s="4">
        <v>55.4343</v>
      </c>
      <c r="AZ752" s="4">
        <v>-127.64870000000001</v>
      </c>
      <c r="BA752" s="4">
        <v>328</v>
      </c>
    </row>
    <row r="753" spans="1:53" ht="14.25" customHeight="1" x14ac:dyDescent="0.2">
      <c r="A753" s="4" t="s">
        <v>88</v>
      </c>
      <c r="B753" s="4">
        <v>12</v>
      </c>
      <c r="C753" s="4" t="s">
        <v>7666</v>
      </c>
      <c r="D753" s="4">
        <v>429</v>
      </c>
      <c r="E753" s="4">
        <v>1968</v>
      </c>
      <c r="F753" s="4" t="s">
        <v>2949</v>
      </c>
      <c r="G753" s="8" t="s">
        <v>2950</v>
      </c>
      <c r="H753" s="4" t="s">
        <v>2591</v>
      </c>
      <c r="I753" s="4" t="s">
        <v>641</v>
      </c>
      <c r="J753" s="4" t="s">
        <v>1736</v>
      </c>
      <c r="K753" s="4">
        <v>1</v>
      </c>
      <c r="L753" s="4">
        <v>2371</v>
      </c>
      <c r="M753" s="62">
        <v>55.026670000000003</v>
      </c>
      <c r="N753" s="34">
        <v>-128.31333000000001</v>
      </c>
      <c r="O753" s="9" t="s">
        <v>51</v>
      </c>
      <c r="P753" s="9">
        <v>429</v>
      </c>
      <c r="Q753" s="20">
        <v>2</v>
      </c>
      <c r="R753" s="34" t="s">
        <v>2949</v>
      </c>
      <c r="S753" s="9" t="s">
        <v>1737</v>
      </c>
      <c r="T753" s="35">
        <v>274</v>
      </c>
      <c r="U753" s="9" t="s">
        <v>645</v>
      </c>
      <c r="V753" s="9" t="s">
        <v>1830</v>
      </c>
      <c r="W753" s="21">
        <v>29952</v>
      </c>
      <c r="X753" s="9" t="s">
        <v>1738</v>
      </c>
      <c r="AO753" s="4" t="s">
        <v>2949</v>
      </c>
      <c r="AP753" s="4">
        <v>429</v>
      </c>
      <c r="AQ753" s="4" t="s">
        <v>1716</v>
      </c>
      <c r="AR753" s="4" t="s">
        <v>1739</v>
      </c>
      <c r="AS753" s="4" t="s">
        <v>1740</v>
      </c>
      <c r="AT753" s="4" t="s">
        <v>1741</v>
      </c>
      <c r="AU753" s="4" t="s">
        <v>1742</v>
      </c>
      <c r="AV753" s="4" t="s">
        <v>1720</v>
      </c>
      <c r="AW753" s="4" t="s">
        <v>1947</v>
      </c>
      <c r="AX753" s="4" t="s">
        <v>2948</v>
      </c>
      <c r="AY753" s="4">
        <v>55.030099999999997</v>
      </c>
      <c r="AZ753" s="4">
        <v>-128.3115</v>
      </c>
      <c r="BA753" s="4">
        <v>174</v>
      </c>
    </row>
    <row r="754" spans="1:53" ht="14.25" customHeight="1" x14ac:dyDescent="0.2">
      <c r="A754" s="4" t="s">
        <v>88</v>
      </c>
      <c r="B754" s="4">
        <v>12</v>
      </c>
      <c r="C754" s="4" t="s">
        <v>7666</v>
      </c>
      <c r="D754" s="4">
        <v>430</v>
      </c>
      <c r="E754" s="4">
        <v>1969</v>
      </c>
      <c r="F754" s="4" t="s">
        <v>2951</v>
      </c>
      <c r="G754" s="8" t="s">
        <v>2952</v>
      </c>
      <c r="H754" s="4" t="s">
        <v>2953</v>
      </c>
      <c r="I754" s="4" t="s">
        <v>641</v>
      </c>
      <c r="J754" s="4" t="s">
        <v>1736</v>
      </c>
      <c r="K754" s="4">
        <v>1</v>
      </c>
      <c r="L754" s="4">
        <v>2372</v>
      </c>
      <c r="M754" s="6">
        <v>56.012729999999998</v>
      </c>
      <c r="N754" s="4">
        <v>-129.09980999999999</v>
      </c>
      <c r="O754" s="4" t="s">
        <v>51</v>
      </c>
      <c r="P754" s="4">
        <v>430</v>
      </c>
      <c r="Q754" s="4">
        <v>2</v>
      </c>
      <c r="R754" s="4" t="s">
        <v>2951</v>
      </c>
      <c r="S754" s="4" t="s">
        <v>1737</v>
      </c>
      <c r="T754" s="4">
        <v>296</v>
      </c>
      <c r="U754" s="4" t="s">
        <v>645</v>
      </c>
      <c r="W754" s="4">
        <v>30317</v>
      </c>
      <c r="X754" s="4" t="s">
        <v>1738</v>
      </c>
      <c r="AO754" s="4" t="s">
        <v>2951</v>
      </c>
      <c r="AP754" s="4">
        <v>430</v>
      </c>
      <c r="AQ754" s="4" t="s">
        <v>1716</v>
      </c>
      <c r="AR754" s="4" t="s">
        <v>1739</v>
      </c>
      <c r="AS754" s="4" t="s">
        <v>1740</v>
      </c>
      <c r="AT754" s="4" t="s">
        <v>1741</v>
      </c>
      <c r="AU754" s="4" t="s">
        <v>1742</v>
      </c>
      <c r="AV754" s="4" t="s">
        <v>1720</v>
      </c>
      <c r="AW754" s="4" t="s">
        <v>1947</v>
      </c>
      <c r="AX754" s="4" t="s">
        <v>1973</v>
      </c>
      <c r="AY754" s="4">
        <v>56.012700000000002</v>
      </c>
      <c r="AZ754" s="4">
        <v>-129.09979999999999</v>
      </c>
      <c r="BA754" s="4">
        <v>296</v>
      </c>
    </row>
    <row r="755" spans="1:53" ht="14.25" customHeight="1" x14ac:dyDescent="0.2">
      <c r="A755" s="4" t="s">
        <v>88</v>
      </c>
      <c r="B755" s="4">
        <v>12</v>
      </c>
      <c r="C755" s="4" t="s">
        <v>7666</v>
      </c>
      <c r="D755" s="4">
        <v>431</v>
      </c>
      <c r="E755" s="4">
        <v>1970</v>
      </c>
      <c r="F755" s="4" t="s">
        <v>2954</v>
      </c>
      <c r="G755" s="8" t="s">
        <v>2955</v>
      </c>
      <c r="H755" s="4" t="s">
        <v>2956</v>
      </c>
      <c r="I755" s="4" t="s">
        <v>641</v>
      </c>
      <c r="J755" s="4" t="s">
        <v>1865</v>
      </c>
      <c r="K755" s="4">
        <v>1</v>
      </c>
      <c r="L755" s="4">
        <v>2373</v>
      </c>
      <c r="M755" s="62">
        <v>55.6</v>
      </c>
      <c r="N755" s="34">
        <v>-128.04167000000001</v>
      </c>
      <c r="O755" s="4" t="s">
        <v>51</v>
      </c>
      <c r="P755" s="34">
        <v>431</v>
      </c>
      <c r="Q755" s="4">
        <v>3</v>
      </c>
      <c r="R755" s="34" t="s">
        <v>2954</v>
      </c>
      <c r="S755" s="4" t="s">
        <v>1737</v>
      </c>
      <c r="T755" s="35">
        <v>410</v>
      </c>
      <c r="W755" s="4">
        <v>31413</v>
      </c>
      <c r="X755" s="4" t="s">
        <v>1738</v>
      </c>
      <c r="AO755" s="4" t="s">
        <v>2954</v>
      </c>
      <c r="AP755" s="4">
        <v>431</v>
      </c>
      <c r="AQ755" s="4" t="s">
        <v>1716</v>
      </c>
      <c r="AR755" s="4" t="s">
        <v>1739</v>
      </c>
      <c r="AS755" s="4" t="s">
        <v>1740</v>
      </c>
      <c r="AT755" s="4" t="s">
        <v>1741</v>
      </c>
      <c r="AU755" s="4" t="s">
        <v>1742</v>
      </c>
      <c r="AV755" s="4" t="s">
        <v>1720</v>
      </c>
      <c r="AW755" s="4" t="s">
        <v>1947</v>
      </c>
      <c r="AX755" s="4" t="s">
        <v>2948</v>
      </c>
      <c r="AY755" s="4">
        <v>55.601500000000001</v>
      </c>
      <c r="AZ755" s="4">
        <v>-128.0478</v>
      </c>
      <c r="BA755" s="4">
        <v>410</v>
      </c>
    </row>
    <row r="756" spans="1:53" ht="14.25" customHeight="1" x14ac:dyDescent="0.2">
      <c r="A756" s="4" t="s">
        <v>88</v>
      </c>
      <c r="B756" s="4">
        <v>12</v>
      </c>
      <c r="C756" s="4" t="s">
        <v>7666</v>
      </c>
      <c r="D756" s="4">
        <v>432</v>
      </c>
      <c r="E756" s="4">
        <v>1971</v>
      </c>
      <c r="F756" s="4" t="s">
        <v>2957</v>
      </c>
      <c r="G756" s="8" t="s">
        <v>2958</v>
      </c>
      <c r="H756" s="4" t="s">
        <v>2959</v>
      </c>
      <c r="I756" s="4" t="s">
        <v>641</v>
      </c>
      <c r="J756" s="4" t="s">
        <v>1865</v>
      </c>
      <c r="K756" s="4">
        <v>1</v>
      </c>
      <c r="L756" s="4">
        <v>2374</v>
      </c>
      <c r="M756" s="6">
        <v>56.348489999999998</v>
      </c>
      <c r="N756" s="4">
        <v>-129.29283000000001</v>
      </c>
      <c r="O756" s="4" t="s">
        <v>51</v>
      </c>
      <c r="P756" s="4">
        <v>432</v>
      </c>
      <c r="Q756" s="4">
        <v>3</v>
      </c>
      <c r="R756" s="4" t="s">
        <v>2957</v>
      </c>
      <c r="S756" s="4" t="s">
        <v>1737</v>
      </c>
      <c r="T756" s="4">
        <v>388</v>
      </c>
      <c r="U756" s="4" t="s">
        <v>645</v>
      </c>
      <c r="W756" s="4">
        <v>31413</v>
      </c>
      <c r="X756" s="4" t="s">
        <v>1738</v>
      </c>
      <c r="AO756" s="4" t="s">
        <v>2957</v>
      </c>
      <c r="AP756" s="4">
        <v>432</v>
      </c>
      <c r="AQ756" s="4" t="s">
        <v>1716</v>
      </c>
      <c r="AR756" s="4" t="s">
        <v>1739</v>
      </c>
      <c r="AS756" s="4" t="s">
        <v>1740</v>
      </c>
      <c r="AT756" s="4" t="s">
        <v>1741</v>
      </c>
      <c r="AU756" s="4" t="s">
        <v>1742</v>
      </c>
      <c r="AV756" s="4" t="s">
        <v>1720</v>
      </c>
      <c r="AW756" s="4" t="s">
        <v>1947</v>
      </c>
      <c r="AX756" s="4" t="s">
        <v>1973</v>
      </c>
      <c r="AY756" s="4">
        <v>56.348599999999998</v>
      </c>
      <c r="AZ756" s="4">
        <v>-129.2928</v>
      </c>
      <c r="BA756" s="4">
        <v>391</v>
      </c>
    </row>
    <row r="757" spans="1:53" ht="14.25" customHeight="1" x14ac:dyDescent="0.2">
      <c r="A757" s="4" t="s">
        <v>88</v>
      </c>
      <c r="B757" s="4">
        <v>12</v>
      </c>
      <c r="C757" s="4" t="s">
        <v>7666</v>
      </c>
      <c r="D757" s="4">
        <v>433</v>
      </c>
      <c r="E757" s="4">
        <v>1972</v>
      </c>
      <c r="F757" s="4" t="s">
        <v>2960</v>
      </c>
      <c r="G757" s="8" t="s">
        <v>2961</v>
      </c>
      <c r="H757" s="4" t="s">
        <v>2962</v>
      </c>
      <c r="I757" s="4" t="s">
        <v>641</v>
      </c>
      <c r="J757" s="4" t="s">
        <v>1865</v>
      </c>
      <c r="K757" s="4">
        <v>1</v>
      </c>
      <c r="L757" s="4">
        <v>2375</v>
      </c>
      <c r="M757" s="62">
        <v>55.57667</v>
      </c>
      <c r="N757" s="34">
        <v>-128.70500000000001</v>
      </c>
      <c r="O757" s="4" t="s">
        <v>51</v>
      </c>
      <c r="P757" s="34">
        <v>433</v>
      </c>
      <c r="Q757" s="4">
        <v>3</v>
      </c>
      <c r="R757" s="34" t="s">
        <v>2960</v>
      </c>
      <c r="S757" s="4" t="s">
        <v>1737</v>
      </c>
      <c r="T757" s="35">
        <v>500</v>
      </c>
      <c r="W757" s="4">
        <v>34700</v>
      </c>
      <c r="X757" s="4" t="s">
        <v>1738</v>
      </c>
      <c r="AO757" s="4" t="s">
        <v>2960</v>
      </c>
      <c r="AP757" s="4">
        <v>433</v>
      </c>
      <c r="AQ757" s="4" t="s">
        <v>1716</v>
      </c>
      <c r="AR757" s="4" t="s">
        <v>1739</v>
      </c>
      <c r="AS757" s="4" t="s">
        <v>1740</v>
      </c>
      <c r="AT757" s="4" t="s">
        <v>1741</v>
      </c>
      <c r="AU757" s="4" t="s">
        <v>1742</v>
      </c>
      <c r="AV757" s="4" t="s">
        <v>1720</v>
      </c>
      <c r="AW757" s="4" t="s">
        <v>1947</v>
      </c>
      <c r="AX757" s="4" t="s">
        <v>2948</v>
      </c>
      <c r="AY757" s="4">
        <v>55.576799999999999</v>
      </c>
      <c r="AZ757" s="4">
        <v>-128.70480000000001</v>
      </c>
      <c r="BA757" s="4">
        <v>496</v>
      </c>
    </row>
    <row r="758" spans="1:53" ht="14.25" customHeight="1" x14ac:dyDescent="0.2">
      <c r="A758" s="4" t="s">
        <v>422</v>
      </c>
      <c r="B758" s="4">
        <v>12</v>
      </c>
      <c r="C758" s="4" t="s">
        <v>7665</v>
      </c>
      <c r="D758" s="4">
        <v>434</v>
      </c>
      <c r="E758" s="4">
        <v>12974</v>
      </c>
      <c r="F758" s="49" t="s">
        <v>2963</v>
      </c>
      <c r="G758" s="4" t="s">
        <v>127</v>
      </c>
      <c r="H758" s="4" t="s">
        <v>1697</v>
      </c>
      <c r="I758" s="4" t="s">
        <v>49</v>
      </c>
      <c r="J758" s="4" t="s">
        <v>1698</v>
      </c>
      <c r="K758" s="4">
        <v>1</v>
      </c>
      <c r="L758" s="4">
        <v>14906</v>
      </c>
      <c r="M758" s="6"/>
      <c r="AO758" s="48" t="s">
        <v>2964</v>
      </c>
      <c r="AP758" s="48">
        <v>434</v>
      </c>
      <c r="AQ758" s="48" t="s">
        <v>1700</v>
      </c>
      <c r="AR758" s="48" t="s">
        <v>1701</v>
      </c>
      <c r="AS758" s="48" t="s">
        <v>1702</v>
      </c>
      <c r="AT758" s="48" t="s">
        <v>1703</v>
      </c>
      <c r="AU758" s="48" t="s">
        <v>1704</v>
      </c>
      <c r="AV758" s="48" t="s">
        <v>1702</v>
      </c>
      <c r="AW758" s="48" t="s">
        <v>2003</v>
      </c>
      <c r="AX758" s="48" t="s">
        <v>2004</v>
      </c>
      <c r="AY758" s="48">
        <v>56.3</v>
      </c>
      <c r="AZ758" s="48">
        <v>-120.7</v>
      </c>
      <c r="BA758" s="48">
        <v>695</v>
      </c>
    </row>
    <row r="759" spans="1:53" ht="14.25" customHeight="1" x14ac:dyDescent="0.2">
      <c r="A759" s="4" t="s">
        <v>422</v>
      </c>
      <c r="B759" s="4">
        <v>12</v>
      </c>
      <c r="C759" s="4" t="s">
        <v>7665</v>
      </c>
      <c r="D759" s="4">
        <v>435</v>
      </c>
      <c r="E759" s="4">
        <v>12975</v>
      </c>
      <c r="F759" s="49" t="s">
        <v>2965</v>
      </c>
      <c r="G759" s="4" t="s">
        <v>127</v>
      </c>
      <c r="H759" s="4" t="s">
        <v>1697</v>
      </c>
      <c r="I759" s="4" t="s">
        <v>49</v>
      </c>
      <c r="J759" s="4" t="s">
        <v>1746</v>
      </c>
      <c r="K759" s="4">
        <v>1</v>
      </c>
      <c r="L759" s="4">
        <v>14907</v>
      </c>
      <c r="M759" s="62"/>
      <c r="N759" s="34"/>
      <c r="P759" s="34"/>
      <c r="R759" s="34"/>
      <c r="T759" s="35"/>
      <c r="AO759" s="48" t="s">
        <v>2966</v>
      </c>
      <c r="AP759" s="48">
        <v>435</v>
      </c>
      <c r="AQ759" s="48" t="s">
        <v>1700</v>
      </c>
      <c r="AR759" s="48" t="s">
        <v>1701</v>
      </c>
      <c r="AS759" s="48" t="s">
        <v>1702</v>
      </c>
      <c r="AT759" s="48" t="s">
        <v>1703</v>
      </c>
      <c r="AU759" s="48" t="s">
        <v>1704</v>
      </c>
      <c r="AV759" s="48" t="s">
        <v>1702</v>
      </c>
      <c r="AW759" s="48" t="s">
        <v>2003</v>
      </c>
      <c r="AX759" s="48" t="s">
        <v>2024</v>
      </c>
      <c r="AY759" s="48">
        <v>55.8</v>
      </c>
      <c r="AZ759" s="48">
        <v>-120.2</v>
      </c>
      <c r="BA759" s="48">
        <v>655</v>
      </c>
    </row>
    <row r="760" spans="1:53" ht="14.25" customHeight="1" x14ac:dyDescent="0.2">
      <c r="B760" s="4">
        <v>12</v>
      </c>
      <c r="C760" s="4" t="s">
        <v>7666</v>
      </c>
      <c r="D760" s="4">
        <v>436</v>
      </c>
      <c r="E760" s="4">
        <v>1973</v>
      </c>
      <c r="F760" s="16" t="s">
        <v>2967</v>
      </c>
      <c r="G760" s="4" t="s">
        <v>2968</v>
      </c>
      <c r="H760" s="4" t="s">
        <v>2969</v>
      </c>
      <c r="I760" s="4" t="s">
        <v>1664</v>
      </c>
      <c r="J760" s="4" t="s">
        <v>1715</v>
      </c>
      <c r="K760" s="4">
        <v>1</v>
      </c>
      <c r="L760" s="4">
        <v>2376</v>
      </c>
      <c r="M760" s="6"/>
      <c r="AO760" s="4" t="s">
        <v>2967</v>
      </c>
      <c r="AP760" s="4">
        <v>436</v>
      </c>
      <c r="AQ760" s="4" t="s">
        <v>1716</v>
      </c>
      <c r="AR760" s="4" t="s">
        <v>1717</v>
      </c>
      <c r="AS760" s="4" t="s">
        <v>1718</v>
      </c>
      <c r="AT760" s="4" t="s">
        <v>1719</v>
      </c>
      <c r="AU760" s="4" t="s">
        <v>1703</v>
      </c>
      <c r="AV760" s="4" t="s">
        <v>1720</v>
      </c>
      <c r="AW760" s="4" t="s">
        <v>2003</v>
      </c>
      <c r="AX760" s="4" t="s">
        <v>2024</v>
      </c>
      <c r="AY760" s="4">
        <v>55.3</v>
      </c>
      <c r="AZ760" s="4">
        <v>-120.1</v>
      </c>
      <c r="BA760" s="4">
        <v>7</v>
      </c>
    </row>
    <row r="761" spans="1:53" ht="14.25" customHeight="1" x14ac:dyDescent="0.2">
      <c r="A761" s="4" t="s">
        <v>88</v>
      </c>
      <c r="B761" s="4">
        <v>12</v>
      </c>
      <c r="C761" s="4" t="s">
        <v>7666</v>
      </c>
      <c r="D761" s="4">
        <v>437</v>
      </c>
      <c r="E761" s="4">
        <v>1974</v>
      </c>
      <c r="F761" s="4" t="s">
        <v>2970</v>
      </c>
      <c r="G761" s="8" t="s">
        <v>2971</v>
      </c>
      <c r="H761" s="4" t="s">
        <v>2972</v>
      </c>
      <c r="I761" s="4" t="s">
        <v>641</v>
      </c>
      <c r="J761" s="4" t="s">
        <v>1736</v>
      </c>
      <c r="K761" s="4">
        <v>1</v>
      </c>
      <c r="L761" s="4">
        <v>2377</v>
      </c>
      <c r="M761" s="62">
        <v>55.295760000000001</v>
      </c>
      <c r="N761" s="34">
        <v>-120.48605999999999</v>
      </c>
      <c r="O761" s="9" t="s">
        <v>153</v>
      </c>
      <c r="P761" s="34">
        <v>437</v>
      </c>
      <c r="Q761" s="20">
        <v>8</v>
      </c>
      <c r="R761" s="34" t="s">
        <v>2970</v>
      </c>
      <c r="S761" s="9" t="s">
        <v>1737</v>
      </c>
      <c r="T761" s="35">
        <v>988</v>
      </c>
      <c r="U761" s="9" t="s">
        <v>645</v>
      </c>
      <c r="V761" s="9" t="s">
        <v>1830</v>
      </c>
      <c r="W761" s="21">
        <v>33970</v>
      </c>
      <c r="X761" s="9" t="s">
        <v>1738</v>
      </c>
      <c r="AO761" s="4" t="s">
        <v>2970</v>
      </c>
      <c r="AP761" s="4">
        <v>437</v>
      </c>
      <c r="AQ761" s="4" t="s">
        <v>1700</v>
      </c>
      <c r="AR761" s="4" t="s">
        <v>1739</v>
      </c>
      <c r="AS761" s="4" t="s">
        <v>1740</v>
      </c>
      <c r="AT761" s="4" t="s">
        <v>1835</v>
      </c>
      <c r="AU761" s="4" t="s">
        <v>1959</v>
      </c>
      <c r="AV761" s="4" t="s">
        <v>1720</v>
      </c>
      <c r="AW761" s="4" t="s">
        <v>2003</v>
      </c>
      <c r="AX761" s="4" t="s">
        <v>2024</v>
      </c>
      <c r="AY761" s="4">
        <v>55.2956</v>
      </c>
      <c r="AZ761" s="4">
        <v>-120.485</v>
      </c>
      <c r="BA761" s="4">
        <v>977</v>
      </c>
    </row>
    <row r="762" spans="1:53" ht="14.25" customHeight="1" x14ac:dyDescent="0.2">
      <c r="A762" s="4" t="s">
        <v>88</v>
      </c>
      <c r="B762" s="4">
        <v>12</v>
      </c>
      <c r="C762" s="4" t="s">
        <v>7666</v>
      </c>
      <c r="D762" s="4">
        <v>438</v>
      </c>
      <c r="E762" s="4">
        <v>1975</v>
      </c>
      <c r="F762" s="4" t="s">
        <v>2973</v>
      </c>
      <c r="G762" s="8" t="s">
        <v>2974</v>
      </c>
      <c r="H762" s="4" t="s">
        <v>2975</v>
      </c>
      <c r="I762" s="4" t="s">
        <v>641</v>
      </c>
      <c r="J762" s="4" t="s">
        <v>1736</v>
      </c>
      <c r="K762" s="4">
        <v>1</v>
      </c>
      <c r="L762" s="4">
        <v>2378</v>
      </c>
      <c r="M762" s="6">
        <v>59.333689999999997</v>
      </c>
      <c r="N762" s="9">
        <v>-125.51139000000001</v>
      </c>
      <c r="O762" s="9" t="s">
        <v>1577</v>
      </c>
      <c r="P762" s="14">
        <v>438</v>
      </c>
      <c r="Q762" s="20">
        <v>1</v>
      </c>
      <c r="R762" s="9" t="s">
        <v>2973</v>
      </c>
      <c r="S762" s="9" t="s">
        <v>1737</v>
      </c>
      <c r="T762" s="9">
        <v>437</v>
      </c>
      <c r="U762" s="9"/>
      <c r="V762" s="9"/>
      <c r="W762" s="21">
        <v>26665</v>
      </c>
      <c r="X762" s="9" t="s">
        <v>1738</v>
      </c>
      <c r="AO762" s="4" t="s">
        <v>2973</v>
      </c>
      <c r="AP762" s="4">
        <v>438</v>
      </c>
      <c r="AQ762" s="4" t="s">
        <v>1716</v>
      </c>
      <c r="AR762" s="4" t="s">
        <v>1739</v>
      </c>
      <c r="AS762" s="4" t="s">
        <v>1740</v>
      </c>
      <c r="AT762" s="4" t="s">
        <v>1741</v>
      </c>
      <c r="AU762" s="4" t="s">
        <v>1742</v>
      </c>
      <c r="AV762" s="4" t="s">
        <v>1720</v>
      </c>
      <c r="AW762" s="4" t="s">
        <v>2003</v>
      </c>
      <c r="AX762" s="4" t="s">
        <v>2009</v>
      </c>
      <c r="AY762" s="4">
        <v>59.333599999999997</v>
      </c>
      <c r="AZ762" s="4">
        <v>-125.51139999999999</v>
      </c>
      <c r="BA762" s="4">
        <v>437</v>
      </c>
    </row>
    <row r="763" spans="1:53" ht="14.25" customHeight="1" x14ac:dyDescent="0.2">
      <c r="B763" s="4">
        <v>12</v>
      </c>
      <c r="C763" s="4" t="s">
        <v>7666</v>
      </c>
      <c r="D763" s="4">
        <v>440</v>
      </c>
      <c r="E763" s="4">
        <v>1976</v>
      </c>
      <c r="F763" s="4" t="s">
        <v>2976</v>
      </c>
      <c r="G763" s="8" t="s">
        <v>2977</v>
      </c>
      <c r="H763" s="4" t="s">
        <v>2978</v>
      </c>
      <c r="I763" s="4" t="s">
        <v>641</v>
      </c>
      <c r="J763" s="4" t="s">
        <v>1736</v>
      </c>
      <c r="K763" s="4">
        <v>1</v>
      </c>
      <c r="L763" s="4">
        <v>2379</v>
      </c>
      <c r="M763" s="62">
        <v>59.722670000000001</v>
      </c>
      <c r="N763" s="34">
        <v>-127.33514</v>
      </c>
      <c r="O763" s="9" t="s">
        <v>1577</v>
      </c>
      <c r="P763" s="34">
        <v>440</v>
      </c>
      <c r="Q763" s="20">
        <v>1</v>
      </c>
      <c r="R763" s="34" t="s">
        <v>2976</v>
      </c>
      <c r="S763" s="9" t="s">
        <v>1737</v>
      </c>
      <c r="T763" s="35">
        <v>731</v>
      </c>
      <c r="U763" s="9"/>
      <c r="V763" s="9"/>
      <c r="W763" s="21">
        <v>35065</v>
      </c>
      <c r="X763" s="9" t="s">
        <v>1738</v>
      </c>
      <c r="AO763" s="4" t="s">
        <v>2976</v>
      </c>
      <c r="AP763" s="4">
        <v>440</v>
      </c>
      <c r="AQ763" s="4" t="s">
        <v>1716</v>
      </c>
      <c r="AR763" s="4" t="s">
        <v>1739</v>
      </c>
      <c r="AS763" s="4" t="s">
        <v>1740</v>
      </c>
      <c r="AT763" s="4" t="s">
        <v>1741</v>
      </c>
      <c r="AU763" s="4" t="s">
        <v>1742</v>
      </c>
      <c r="AV763" s="4" t="s">
        <v>1720</v>
      </c>
      <c r="AW763" s="4" t="s">
        <v>2003</v>
      </c>
      <c r="AX763" s="4" t="s">
        <v>2009</v>
      </c>
      <c r="AY763" s="4">
        <v>59.7226</v>
      </c>
      <c r="AZ763" s="4">
        <v>-127.33499999999999</v>
      </c>
      <c r="BA763" s="4">
        <v>735</v>
      </c>
    </row>
    <row r="764" spans="1:53" ht="14.25" customHeight="1" x14ac:dyDescent="0.2">
      <c r="B764" s="4">
        <v>12</v>
      </c>
      <c r="C764" s="4" t="s">
        <v>7666</v>
      </c>
      <c r="D764" s="4">
        <v>441</v>
      </c>
      <c r="E764" s="4">
        <v>1977</v>
      </c>
      <c r="F764" s="16" t="s">
        <v>2979</v>
      </c>
      <c r="G764" s="4" t="s">
        <v>2980</v>
      </c>
      <c r="H764" s="4" t="s">
        <v>2981</v>
      </c>
      <c r="I764" s="4" t="s">
        <v>1664</v>
      </c>
      <c r="J764" s="4" t="s">
        <v>1715</v>
      </c>
      <c r="K764" s="4">
        <v>1</v>
      </c>
      <c r="L764" s="4">
        <v>2380</v>
      </c>
      <c r="M764" s="6"/>
      <c r="AO764" s="4" t="s">
        <v>2979</v>
      </c>
      <c r="AP764" s="4">
        <v>441</v>
      </c>
      <c r="AQ764" s="4" t="s">
        <v>1716</v>
      </c>
      <c r="AR764" s="4" t="s">
        <v>1717</v>
      </c>
      <c r="AS764" s="4" t="s">
        <v>1718</v>
      </c>
      <c r="AT764" s="4" t="s">
        <v>1719</v>
      </c>
      <c r="AU764" s="4" t="s">
        <v>1703</v>
      </c>
      <c r="AV764" s="4" t="s">
        <v>1720</v>
      </c>
      <c r="AW764" s="4" t="s">
        <v>1947</v>
      </c>
      <c r="AX764" s="4" t="s">
        <v>2009</v>
      </c>
      <c r="AY764" s="4">
        <v>59.7</v>
      </c>
      <c r="AZ764" s="4">
        <v>-127</v>
      </c>
      <c r="BA764" s="4">
        <v>5</v>
      </c>
    </row>
    <row r="765" spans="1:53" ht="14.25" customHeight="1" x14ac:dyDescent="0.2">
      <c r="B765" s="4">
        <v>12</v>
      </c>
      <c r="C765" s="4" t="s">
        <v>7666</v>
      </c>
      <c r="D765" s="4">
        <v>442</v>
      </c>
      <c r="E765" s="4">
        <v>1978</v>
      </c>
      <c r="F765" s="16" t="s">
        <v>2982</v>
      </c>
      <c r="G765" s="4" t="s">
        <v>2983</v>
      </c>
      <c r="H765" s="4" t="s">
        <v>2984</v>
      </c>
      <c r="I765" s="4" t="s">
        <v>1664</v>
      </c>
      <c r="J765" s="4" t="s">
        <v>1746</v>
      </c>
      <c r="K765" s="4">
        <v>1</v>
      </c>
      <c r="L765" s="4">
        <v>2381</v>
      </c>
      <c r="M765" s="62"/>
      <c r="N765" s="34"/>
      <c r="P765" s="34"/>
      <c r="R765" s="34"/>
      <c r="T765" s="35"/>
      <c r="AO765" s="4" t="s">
        <v>2982</v>
      </c>
      <c r="AP765" s="4">
        <v>442</v>
      </c>
      <c r="AQ765" s="4" t="s">
        <v>1716</v>
      </c>
      <c r="AR765" s="4" t="s">
        <v>1717</v>
      </c>
      <c r="AS765" s="4" t="s">
        <v>1718</v>
      </c>
      <c r="AT765" s="4" t="s">
        <v>1719</v>
      </c>
      <c r="AU765" s="4" t="s">
        <v>1703</v>
      </c>
      <c r="AV765" s="4" t="s">
        <v>1720</v>
      </c>
      <c r="AW765" s="4" t="s">
        <v>1947</v>
      </c>
      <c r="AX765" s="4" t="s">
        <v>2009</v>
      </c>
      <c r="AY765" s="4">
        <v>59.1</v>
      </c>
      <c r="AZ765" s="4">
        <v>-128.1</v>
      </c>
      <c r="BA765" s="4">
        <v>0</v>
      </c>
    </row>
    <row r="766" spans="1:53" ht="14.25" customHeight="1" x14ac:dyDescent="0.2">
      <c r="B766" s="4">
        <v>12</v>
      </c>
      <c r="C766" s="4" t="s">
        <v>7666</v>
      </c>
      <c r="D766" s="4">
        <v>443</v>
      </c>
      <c r="E766" s="4">
        <v>1979</v>
      </c>
      <c r="F766" s="16" t="s">
        <v>2985</v>
      </c>
      <c r="G766" s="4" t="s">
        <v>2986</v>
      </c>
      <c r="H766" s="4" t="s">
        <v>2987</v>
      </c>
      <c r="I766" s="4" t="s">
        <v>1664</v>
      </c>
      <c r="J766" s="4" t="s">
        <v>1715</v>
      </c>
      <c r="K766" s="4">
        <v>1</v>
      </c>
      <c r="L766" s="4">
        <v>2382</v>
      </c>
      <c r="M766" s="6"/>
      <c r="AO766" s="4" t="s">
        <v>2985</v>
      </c>
      <c r="AP766" s="4">
        <v>443</v>
      </c>
      <c r="AQ766" s="4" t="s">
        <v>1716</v>
      </c>
      <c r="AR766" s="4" t="s">
        <v>1717</v>
      </c>
      <c r="AS766" s="4" t="s">
        <v>1718</v>
      </c>
      <c r="AT766" s="4" t="s">
        <v>1719</v>
      </c>
      <c r="AU766" s="4" t="s">
        <v>1703</v>
      </c>
      <c r="AV766" s="4" t="s">
        <v>1720</v>
      </c>
      <c r="AW766" s="4" t="s">
        <v>1947</v>
      </c>
      <c r="AX766" s="4" t="s">
        <v>1986</v>
      </c>
      <c r="AY766" s="4">
        <v>59.3</v>
      </c>
      <c r="AZ766" s="4">
        <v>-129.30000000000001</v>
      </c>
      <c r="BA766" s="4">
        <v>8</v>
      </c>
    </row>
    <row r="767" spans="1:53" ht="14.25" customHeight="1" x14ac:dyDescent="0.2">
      <c r="B767" s="4">
        <v>12</v>
      </c>
      <c r="C767" s="4" t="s">
        <v>7666</v>
      </c>
      <c r="D767" s="4">
        <v>444</v>
      </c>
      <c r="E767" s="4">
        <v>1980</v>
      </c>
      <c r="F767" s="4" t="s">
        <v>2988</v>
      </c>
      <c r="G767" s="4" t="s">
        <v>2989</v>
      </c>
      <c r="H767" s="4" t="s">
        <v>2990</v>
      </c>
      <c r="I767" s="4" t="s">
        <v>641</v>
      </c>
      <c r="J767" s="4" t="s">
        <v>1736</v>
      </c>
      <c r="K767" s="4">
        <v>1</v>
      </c>
      <c r="L767" s="4">
        <v>2383</v>
      </c>
      <c r="M767" s="62">
        <v>58.726979999999998</v>
      </c>
      <c r="N767" s="34">
        <v>-127.12496</v>
      </c>
      <c r="O767" s="9" t="s">
        <v>1577</v>
      </c>
      <c r="P767" s="9">
        <v>444</v>
      </c>
      <c r="Q767" s="20">
        <v>1</v>
      </c>
      <c r="R767" s="34" t="s">
        <v>2988</v>
      </c>
      <c r="S767" s="9" t="s">
        <v>1737</v>
      </c>
      <c r="T767" s="35">
        <v>687</v>
      </c>
      <c r="U767" s="9"/>
      <c r="V767" s="9"/>
      <c r="W767" s="21">
        <v>31413</v>
      </c>
      <c r="X767" s="9" t="s">
        <v>1738</v>
      </c>
      <c r="AO767" s="4" t="s">
        <v>2988</v>
      </c>
      <c r="AP767" s="4">
        <v>444</v>
      </c>
      <c r="AQ767" s="4" t="s">
        <v>1716</v>
      </c>
      <c r="AR767" s="4" t="s">
        <v>2441</v>
      </c>
      <c r="AS767" s="4" t="s">
        <v>1740</v>
      </c>
      <c r="AT767" s="4" t="s">
        <v>1741</v>
      </c>
      <c r="AU767" s="4" t="s">
        <v>1742</v>
      </c>
      <c r="AV767" s="4" t="s">
        <v>1720</v>
      </c>
      <c r="AW767" s="4" t="s">
        <v>2003</v>
      </c>
      <c r="AX767" s="4" t="s">
        <v>2009</v>
      </c>
      <c r="AY767" s="4">
        <v>58.726999999999997</v>
      </c>
      <c r="AZ767" s="4">
        <v>-127.125</v>
      </c>
      <c r="BA767" s="4">
        <v>687</v>
      </c>
    </row>
    <row r="768" spans="1:53" ht="14.25" customHeight="1" x14ac:dyDescent="0.2">
      <c r="A768" s="4" t="s">
        <v>88</v>
      </c>
      <c r="B768" s="4">
        <v>12</v>
      </c>
      <c r="C768" s="4" t="s">
        <v>7666</v>
      </c>
      <c r="D768" s="4">
        <v>445</v>
      </c>
      <c r="E768" s="4">
        <v>1981</v>
      </c>
      <c r="F768" s="4" t="s">
        <v>2991</v>
      </c>
      <c r="G768" s="8" t="s">
        <v>2992</v>
      </c>
      <c r="H768" s="4" t="s">
        <v>2993</v>
      </c>
      <c r="I768" s="4" t="s">
        <v>641</v>
      </c>
      <c r="J768" s="4" t="s">
        <v>1865</v>
      </c>
      <c r="K768" s="4">
        <v>1</v>
      </c>
      <c r="L768" s="4">
        <v>2384</v>
      </c>
      <c r="M768" s="6">
        <v>59.36833</v>
      </c>
      <c r="N768" s="9">
        <v>-129.11000000000001</v>
      </c>
      <c r="O768" s="9" t="s">
        <v>1577</v>
      </c>
      <c r="P768" s="9">
        <v>445</v>
      </c>
      <c r="Q768" s="20">
        <v>1</v>
      </c>
      <c r="R768" s="9" t="s">
        <v>2991</v>
      </c>
      <c r="S768" s="9" t="s">
        <v>1737</v>
      </c>
      <c r="T768" s="9">
        <v>730</v>
      </c>
      <c r="U768" s="9"/>
      <c r="V768" s="9"/>
      <c r="W768" s="21">
        <v>31048</v>
      </c>
      <c r="X768" s="9" t="s">
        <v>1738</v>
      </c>
      <c r="AO768" s="4" t="s">
        <v>2991</v>
      </c>
      <c r="AP768" s="4">
        <v>445</v>
      </c>
      <c r="AQ768" s="4" t="s">
        <v>1716</v>
      </c>
      <c r="AR768" s="4" t="s">
        <v>1739</v>
      </c>
      <c r="AS768" s="4" t="s">
        <v>1740</v>
      </c>
      <c r="AT768" s="4" t="s">
        <v>1741</v>
      </c>
      <c r="AU768" s="4" t="s">
        <v>1742</v>
      </c>
      <c r="AV768" s="4" t="s">
        <v>1720</v>
      </c>
      <c r="AW768" s="4" t="s">
        <v>1947</v>
      </c>
      <c r="AX768" s="4" t="s">
        <v>1986</v>
      </c>
      <c r="AY768" s="4">
        <v>59.3673</v>
      </c>
      <c r="AZ768" s="4">
        <v>-129.11099999999999</v>
      </c>
      <c r="BA768" s="4">
        <v>742</v>
      </c>
    </row>
    <row r="769" spans="1:53" ht="14.25" customHeight="1" x14ac:dyDescent="0.2">
      <c r="A769" s="4" t="s">
        <v>422</v>
      </c>
      <c r="B769" s="4">
        <v>12</v>
      </c>
      <c r="C769" s="4" t="s">
        <v>7666</v>
      </c>
      <c r="D769" s="4">
        <v>446</v>
      </c>
      <c r="E769" s="4">
        <v>1982</v>
      </c>
      <c r="F769" s="16" t="s">
        <v>2994</v>
      </c>
      <c r="G769" s="4" t="s">
        <v>2995</v>
      </c>
      <c r="H769" s="4" t="s">
        <v>2996</v>
      </c>
      <c r="I769" s="4" t="s">
        <v>1664</v>
      </c>
      <c r="J769" s="4" t="s">
        <v>1746</v>
      </c>
      <c r="K769" s="4">
        <v>1</v>
      </c>
      <c r="L769" s="4">
        <v>2385</v>
      </c>
      <c r="M769" s="62"/>
      <c r="N769" s="34"/>
      <c r="P769" s="34"/>
      <c r="R769" s="34"/>
      <c r="T769" s="35"/>
      <c r="AO769" s="4" t="s">
        <v>2994</v>
      </c>
      <c r="AP769" s="4">
        <v>446</v>
      </c>
      <c r="AQ769" s="4" t="s">
        <v>1716</v>
      </c>
      <c r="AR769" s="4" t="s">
        <v>1717</v>
      </c>
      <c r="AS769" s="4" t="s">
        <v>1718</v>
      </c>
      <c r="AT769" s="4" t="s">
        <v>1719</v>
      </c>
      <c r="AU769" s="4" t="s">
        <v>1703</v>
      </c>
      <c r="AV769" s="4" t="s">
        <v>1720</v>
      </c>
      <c r="AW769" s="4" t="s">
        <v>1947</v>
      </c>
      <c r="AX769" s="4" t="s">
        <v>2009</v>
      </c>
      <c r="AY769" s="4">
        <v>59.7</v>
      </c>
      <c r="AZ769" s="4">
        <v>-127.2</v>
      </c>
      <c r="BA769" s="4">
        <v>7</v>
      </c>
    </row>
    <row r="770" spans="1:53" ht="14.25" customHeight="1" x14ac:dyDescent="0.2">
      <c r="A770" s="4" t="s">
        <v>1908</v>
      </c>
      <c r="B770" s="4">
        <v>12</v>
      </c>
      <c r="C770" s="4" t="s">
        <v>7666</v>
      </c>
      <c r="D770" s="4">
        <v>474</v>
      </c>
      <c r="E770" s="4">
        <v>1984</v>
      </c>
      <c r="F770" s="4" t="s">
        <v>2997</v>
      </c>
      <c r="G770" s="8" t="s">
        <v>2998</v>
      </c>
      <c r="H770" s="4" t="s">
        <v>2999</v>
      </c>
      <c r="I770" s="4" t="s">
        <v>641</v>
      </c>
      <c r="J770" s="4" t="s">
        <v>3000</v>
      </c>
      <c r="K770" s="4">
        <v>1</v>
      </c>
      <c r="L770" s="4">
        <v>2387</v>
      </c>
      <c r="M770" s="6">
        <v>52.0105</v>
      </c>
      <c r="N770" s="9">
        <v>-119.25502</v>
      </c>
      <c r="O770" s="9" t="s">
        <v>170</v>
      </c>
      <c r="P770" s="9">
        <v>474</v>
      </c>
      <c r="Q770" s="20">
        <v>8</v>
      </c>
      <c r="R770" s="9" t="s">
        <v>3001</v>
      </c>
      <c r="S770" s="9" t="s">
        <v>1737</v>
      </c>
      <c r="T770" s="9">
        <v>2153</v>
      </c>
      <c r="U770" s="9"/>
      <c r="V770" s="9"/>
      <c r="W770" s="21">
        <v>34335</v>
      </c>
      <c r="X770" s="9" t="s">
        <v>1738</v>
      </c>
      <c r="AO770" s="4" t="s">
        <v>3002</v>
      </c>
      <c r="AP770" s="4">
        <v>474</v>
      </c>
      <c r="AQ770" s="4" t="s">
        <v>3003</v>
      </c>
      <c r="AR770" s="4" t="s">
        <v>1701</v>
      </c>
      <c r="AS770" s="4" t="s">
        <v>1740</v>
      </c>
      <c r="AT770" s="4" t="s">
        <v>1835</v>
      </c>
      <c r="AU770" s="4" t="s">
        <v>2489</v>
      </c>
      <c r="AV770" s="4" t="s">
        <v>1720</v>
      </c>
      <c r="AW770" s="4" t="s">
        <v>2368</v>
      </c>
      <c r="AX770" s="4" t="s">
        <v>2369</v>
      </c>
      <c r="AY770" s="4">
        <v>52.0105</v>
      </c>
      <c r="AZ770" s="4">
        <v>-119.255</v>
      </c>
      <c r="BA770" s="4">
        <v>2149</v>
      </c>
    </row>
    <row r="771" spans="1:53" ht="14.25" customHeight="1" x14ac:dyDescent="0.2">
      <c r="B771" s="4">
        <v>12</v>
      </c>
      <c r="C771" s="4" t="s">
        <v>7666</v>
      </c>
      <c r="D771" s="4">
        <v>480</v>
      </c>
      <c r="E771" s="4">
        <v>12335</v>
      </c>
      <c r="F771" s="4" t="s">
        <v>3004</v>
      </c>
      <c r="G771" s="4" t="s">
        <v>3005</v>
      </c>
      <c r="H771" s="4" t="s">
        <v>3006</v>
      </c>
      <c r="I771" s="4" t="s">
        <v>49</v>
      </c>
      <c r="J771" s="4" t="s">
        <v>1746</v>
      </c>
      <c r="K771" s="4">
        <v>1</v>
      </c>
      <c r="L771" s="4">
        <v>14391</v>
      </c>
      <c r="M771" s="6"/>
      <c r="N771" s="9"/>
      <c r="O771" s="9"/>
      <c r="P771" s="9"/>
      <c r="Q771" s="20"/>
      <c r="R771" s="9"/>
      <c r="S771" s="9"/>
      <c r="T771" s="9"/>
      <c r="U771" s="9"/>
      <c r="V771" s="9"/>
      <c r="W771" s="21"/>
      <c r="X771" s="9"/>
      <c r="AO771" s="4" t="s">
        <v>3004</v>
      </c>
      <c r="AP771" s="4">
        <v>480</v>
      </c>
      <c r="AQ771" s="4" t="s">
        <v>1700</v>
      </c>
      <c r="AR771" s="4" t="s">
        <v>1701</v>
      </c>
      <c r="AS771" s="4" t="s">
        <v>1740</v>
      </c>
      <c r="AT771" s="4" t="s">
        <v>1835</v>
      </c>
      <c r="AU771" s="4" t="s">
        <v>2489</v>
      </c>
      <c r="AV771" s="4" t="s">
        <v>1720</v>
      </c>
      <c r="AW771" s="4" t="s">
        <v>2368</v>
      </c>
      <c r="AX771" s="4" t="s">
        <v>2522</v>
      </c>
      <c r="AY771" s="4">
        <v>50.368200000000002</v>
      </c>
      <c r="AZ771" s="4">
        <v>-119.0654</v>
      </c>
      <c r="BA771" s="4">
        <v>1880</v>
      </c>
    </row>
    <row r="772" spans="1:53" ht="14.25" customHeight="1" x14ac:dyDescent="0.2">
      <c r="A772" s="4" t="s">
        <v>2251</v>
      </c>
      <c r="B772" s="4">
        <v>12</v>
      </c>
      <c r="C772" s="4" t="s">
        <v>7666</v>
      </c>
      <c r="D772" s="4">
        <v>503</v>
      </c>
      <c r="E772" s="4">
        <v>1985</v>
      </c>
      <c r="F772" s="8" t="s">
        <v>3007</v>
      </c>
      <c r="G772" s="8" t="s">
        <v>3008</v>
      </c>
      <c r="H772" s="4" t="s">
        <v>3009</v>
      </c>
      <c r="I772" s="4" t="s">
        <v>641</v>
      </c>
      <c r="J772" s="4" t="s">
        <v>3010</v>
      </c>
      <c r="K772" s="4">
        <v>1</v>
      </c>
      <c r="L772" s="4">
        <v>2388</v>
      </c>
      <c r="M772" s="6">
        <v>49.456159999999997</v>
      </c>
      <c r="N772" s="9">
        <v>-115.62633</v>
      </c>
      <c r="O772" s="9" t="s">
        <v>170</v>
      </c>
      <c r="P772" s="14">
        <v>503</v>
      </c>
      <c r="Q772" s="20">
        <v>8</v>
      </c>
      <c r="R772" s="9" t="s">
        <v>3011</v>
      </c>
      <c r="S772" s="9" t="s">
        <v>1737</v>
      </c>
      <c r="T772" s="9">
        <v>2262</v>
      </c>
      <c r="U772" s="9"/>
      <c r="V772" s="9"/>
      <c r="W772" s="21">
        <v>39259</v>
      </c>
      <c r="X772" s="9" t="s">
        <v>1738</v>
      </c>
      <c r="AO772" s="4" t="s">
        <v>3012</v>
      </c>
      <c r="AP772" s="4">
        <v>503</v>
      </c>
      <c r="AQ772" s="4" t="s">
        <v>1700</v>
      </c>
      <c r="AR772" s="4" t="s">
        <v>1701</v>
      </c>
      <c r="AS772" s="4" t="s">
        <v>1740</v>
      </c>
      <c r="AT772" s="4" t="s">
        <v>1835</v>
      </c>
      <c r="AU772" s="4" t="s">
        <v>2043</v>
      </c>
      <c r="AV772" s="4" t="s">
        <v>1720</v>
      </c>
      <c r="AW772" s="4" t="s">
        <v>2698</v>
      </c>
      <c r="AX772" s="4" t="s">
        <v>2902</v>
      </c>
      <c r="AY772" s="4">
        <v>49.4589</v>
      </c>
      <c r="AZ772" s="4">
        <v>-115.63030000000001</v>
      </c>
      <c r="BA772" s="4">
        <v>2262</v>
      </c>
    </row>
    <row r="773" spans="1:53" ht="14.25" customHeight="1" x14ac:dyDescent="0.2">
      <c r="B773" s="4">
        <v>12</v>
      </c>
      <c r="C773" s="4" t="s">
        <v>7666</v>
      </c>
      <c r="D773" s="4">
        <v>521</v>
      </c>
      <c r="E773" s="4">
        <v>1986</v>
      </c>
      <c r="F773" s="16" t="s">
        <v>3013</v>
      </c>
      <c r="G773" s="27" t="s">
        <v>3014</v>
      </c>
      <c r="H773" s="4" t="s">
        <v>3015</v>
      </c>
      <c r="I773" s="4" t="s">
        <v>1664</v>
      </c>
      <c r="J773" s="4" t="s">
        <v>1746</v>
      </c>
      <c r="K773" s="4">
        <v>1</v>
      </c>
      <c r="L773" s="4">
        <v>2389</v>
      </c>
      <c r="M773" s="6"/>
      <c r="AO773" s="4" t="s">
        <v>3013</v>
      </c>
      <c r="AP773" s="4">
        <v>521</v>
      </c>
      <c r="AQ773" s="4" t="s">
        <v>1716</v>
      </c>
      <c r="AR773" s="4" t="s">
        <v>1717</v>
      </c>
      <c r="AS773" s="4" t="s">
        <v>1718</v>
      </c>
      <c r="AT773" s="4" t="s">
        <v>1719</v>
      </c>
      <c r="AU773" s="4" t="s">
        <v>1703</v>
      </c>
      <c r="AV773" s="4" t="s">
        <v>1720</v>
      </c>
      <c r="AW773" s="4" t="s">
        <v>1705</v>
      </c>
      <c r="AX773" s="4" t="s">
        <v>1706</v>
      </c>
      <c r="AY773" s="4">
        <v>49</v>
      </c>
      <c r="AZ773" s="4">
        <v>-125</v>
      </c>
      <c r="BA773" s="4">
        <v>40</v>
      </c>
    </row>
    <row r="774" spans="1:53" ht="14.25" customHeight="1" x14ac:dyDescent="0.2">
      <c r="A774" s="4" t="s">
        <v>422</v>
      </c>
      <c r="B774" s="4">
        <v>12</v>
      </c>
      <c r="C774" s="4" t="s">
        <v>7666</v>
      </c>
      <c r="D774" s="4">
        <v>522</v>
      </c>
      <c r="E774" s="4">
        <v>1987</v>
      </c>
      <c r="F774" s="16" t="s">
        <v>3016</v>
      </c>
      <c r="G774" s="27" t="s">
        <v>3017</v>
      </c>
      <c r="H774" s="4" t="s">
        <v>3018</v>
      </c>
      <c r="I774" s="4" t="s">
        <v>1664</v>
      </c>
      <c r="J774" s="4" t="s">
        <v>1746</v>
      </c>
      <c r="K774" s="4">
        <v>1</v>
      </c>
      <c r="L774" s="4">
        <v>2390</v>
      </c>
      <c r="M774" s="6"/>
      <c r="AO774" s="4" t="s">
        <v>3016</v>
      </c>
      <c r="AP774" s="4">
        <v>522</v>
      </c>
      <c r="AQ774" s="4" t="s">
        <v>1716</v>
      </c>
      <c r="AR774" s="4" t="s">
        <v>1717</v>
      </c>
      <c r="AS774" s="4" t="s">
        <v>1718</v>
      </c>
      <c r="AT774" s="4" t="s">
        <v>1719</v>
      </c>
      <c r="AU774" s="4" t="s">
        <v>1703</v>
      </c>
      <c r="AV774" s="4" t="s">
        <v>1720</v>
      </c>
      <c r="AW774" s="4" t="s">
        <v>1705</v>
      </c>
      <c r="AY774" s="4">
        <v>48.9</v>
      </c>
      <c r="AZ774" s="4">
        <v>-125.6</v>
      </c>
      <c r="BA774" s="4">
        <v>1</v>
      </c>
    </row>
    <row r="775" spans="1:53" ht="14.25" customHeight="1" x14ac:dyDescent="0.2">
      <c r="B775" s="4">
        <v>12</v>
      </c>
      <c r="C775" s="4" t="s">
        <v>7666</v>
      </c>
      <c r="D775" s="4">
        <v>523</v>
      </c>
      <c r="E775" s="4">
        <v>1988</v>
      </c>
      <c r="F775" s="16" t="s">
        <v>3019</v>
      </c>
      <c r="G775" s="27" t="s">
        <v>3020</v>
      </c>
      <c r="H775" s="4" t="s">
        <v>3021</v>
      </c>
      <c r="I775" s="4" t="s">
        <v>1664</v>
      </c>
      <c r="J775" s="4" t="s">
        <v>1715</v>
      </c>
      <c r="K775" s="4">
        <v>1</v>
      </c>
      <c r="L775" s="4">
        <v>2391</v>
      </c>
      <c r="M775" s="6"/>
      <c r="AO775" s="4" t="s">
        <v>3019</v>
      </c>
      <c r="AP775" s="4">
        <v>523</v>
      </c>
      <c r="AQ775" s="4" t="s">
        <v>1716</v>
      </c>
      <c r="AR775" s="4" t="s">
        <v>1717</v>
      </c>
      <c r="AS775" s="4" t="s">
        <v>1718</v>
      </c>
      <c r="AT775" s="4" t="s">
        <v>1719</v>
      </c>
      <c r="AU775" s="4" t="s">
        <v>1703</v>
      </c>
      <c r="AV775" s="4" t="s">
        <v>1720</v>
      </c>
      <c r="AW775" s="4" t="s">
        <v>1705</v>
      </c>
      <c r="AX775" s="4" t="s">
        <v>1706</v>
      </c>
      <c r="AY775" s="4">
        <v>49.4</v>
      </c>
      <c r="AZ775" s="4">
        <v>-126.3</v>
      </c>
      <c r="BA775" s="4">
        <v>0</v>
      </c>
    </row>
    <row r="776" spans="1:53" ht="14.25" customHeight="1" x14ac:dyDescent="0.2">
      <c r="B776" s="4">
        <v>12</v>
      </c>
      <c r="C776" s="4" t="s">
        <v>7666</v>
      </c>
      <c r="D776" s="4">
        <v>524</v>
      </c>
      <c r="E776" s="4">
        <v>1989</v>
      </c>
      <c r="F776" s="16" t="s">
        <v>3022</v>
      </c>
      <c r="G776" s="27" t="s">
        <v>3023</v>
      </c>
      <c r="H776" s="4" t="s">
        <v>3024</v>
      </c>
      <c r="I776" s="4" t="s">
        <v>1664</v>
      </c>
      <c r="J776" s="4" t="s">
        <v>1715</v>
      </c>
      <c r="K776" s="4">
        <v>1</v>
      </c>
      <c r="L776" s="4">
        <v>2392</v>
      </c>
      <c r="M776" s="6"/>
      <c r="AO776" s="4" t="s">
        <v>3022</v>
      </c>
      <c r="AP776" s="4">
        <v>524</v>
      </c>
      <c r="AQ776" s="4" t="s">
        <v>1716</v>
      </c>
      <c r="AR776" s="4" t="s">
        <v>1717</v>
      </c>
      <c r="AS776" s="4" t="s">
        <v>1718</v>
      </c>
      <c r="AT776" s="4" t="s">
        <v>1719</v>
      </c>
      <c r="AU776" s="4" t="s">
        <v>1703</v>
      </c>
      <c r="AV776" s="4" t="s">
        <v>1720</v>
      </c>
      <c r="AW776" s="4" t="s">
        <v>1705</v>
      </c>
      <c r="AX776" s="4" t="s">
        <v>1706</v>
      </c>
      <c r="AY776" s="4">
        <v>49.1</v>
      </c>
      <c r="AZ776" s="4">
        <v>-125.6</v>
      </c>
      <c r="BA776" s="4">
        <v>8</v>
      </c>
    </row>
    <row r="777" spans="1:53" ht="14.25" customHeight="1" x14ac:dyDescent="0.2">
      <c r="B777" s="4">
        <v>12</v>
      </c>
      <c r="C777" s="4" t="s">
        <v>7666</v>
      </c>
      <c r="D777" s="4">
        <v>525</v>
      </c>
      <c r="E777" s="4">
        <v>1990</v>
      </c>
      <c r="F777" s="16" t="s">
        <v>3025</v>
      </c>
      <c r="G777" s="4" t="s">
        <v>3026</v>
      </c>
      <c r="H777" s="4" t="s">
        <v>3027</v>
      </c>
      <c r="I777" s="4" t="s">
        <v>1664</v>
      </c>
      <c r="J777" s="4" t="s">
        <v>1715</v>
      </c>
      <c r="K777" s="4">
        <v>1</v>
      </c>
      <c r="L777" s="4">
        <v>2393</v>
      </c>
      <c r="M777" s="6"/>
      <c r="AO777" s="4" t="s">
        <v>3025</v>
      </c>
      <c r="AP777" s="4">
        <v>525</v>
      </c>
      <c r="AQ777" s="4" t="s">
        <v>1716</v>
      </c>
      <c r="AR777" s="4" t="s">
        <v>1717</v>
      </c>
      <c r="AS777" s="4" t="s">
        <v>1718</v>
      </c>
      <c r="AT777" s="4" t="s">
        <v>1719</v>
      </c>
      <c r="AU777" s="4" t="s">
        <v>1703</v>
      </c>
      <c r="AV777" s="4" t="s">
        <v>1720</v>
      </c>
      <c r="AW777" s="4" t="s">
        <v>1705</v>
      </c>
      <c r="AX777" s="4" t="s">
        <v>1706</v>
      </c>
      <c r="AY777" s="4">
        <v>49.2</v>
      </c>
      <c r="AZ777" s="4">
        <v>-125.7</v>
      </c>
      <c r="BA777" s="4">
        <v>0</v>
      </c>
    </row>
    <row r="778" spans="1:53" ht="14.25" customHeight="1" x14ac:dyDescent="0.2">
      <c r="B778" s="4">
        <v>12</v>
      </c>
      <c r="C778" s="4" t="s">
        <v>7666</v>
      </c>
      <c r="D778" s="4">
        <v>526</v>
      </c>
      <c r="E778" s="4">
        <v>1991</v>
      </c>
      <c r="F778" s="16" t="s">
        <v>3028</v>
      </c>
      <c r="G778" s="4" t="s">
        <v>3029</v>
      </c>
      <c r="H778" s="4" t="s">
        <v>3030</v>
      </c>
      <c r="I778" s="4" t="s">
        <v>1664</v>
      </c>
      <c r="J778" s="4" t="s">
        <v>1715</v>
      </c>
      <c r="K778" s="4">
        <v>1</v>
      </c>
      <c r="L778" s="4">
        <v>2394</v>
      </c>
      <c r="M778" s="6"/>
      <c r="AO778" s="4" t="s">
        <v>3028</v>
      </c>
      <c r="AP778" s="4">
        <v>526</v>
      </c>
      <c r="AQ778" s="4" t="s">
        <v>1716</v>
      </c>
      <c r="AR778" s="4" t="s">
        <v>1717</v>
      </c>
      <c r="AS778" s="4" t="s">
        <v>1718</v>
      </c>
      <c r="AT778" s="4" t="s">
        <v>1719</v>
      </c>
      <c r="AU778" s="4" t="s">
        <v>1703</v>
      </c>
      <c r="AV778" s="4" t="s">
        <v>1720</v>
      </c>
      <c r="AW778" s="4" t="s">
        <v>1705</v>
      </c>
      <c r="AX778" s="4" t="s">
        <v>1706</v>
      </c>
      <c r="AY778" s="4">
        <v>49.1</v>
      </c>
      <c r="AZ778" s="4">
        <v>-125</v>
      </c>
      <c r="BA778" s="4">
        <v>1</v>
      </c>
    </row>
    <row r="779" spans="1:53" ht="14.25" customHeight="1" x14ac:dyDescent="0.2">
      <c r="B779" s="4">
        <v>12</v>
      </c>
      <c r="C779" s="4" t="s">
        <v>7666</v>
      </c>
      <c r="D779" s="25">
        <v>527</v>
      </c>
      <c r="E779" s="4">
        <v>1992</v>
      </c>
      <c r="F779" s="16" t="s">
        <v>3031</v>
      </c>
      <c r="G779" s="4" t="s">
        <v>3032</v>
      </c>
      <c r="H779" s="4" t="s">
        <v>3030</v>
      </c>
      <c r="I779" s="4" t="s">
        <v>1664</v>
      </c>
      <c r="J779" s="4" t="s">
        <v>1715</v>
      </c>
      <c r="K779" s="4">
        <v>1</v>
      </c>
      <c r="L779" s="4">
        <v>2395</v>
      </c>
      <c r="M779" s="6"/>
      <c r="AO779" s="4" t="s">
        <v>3031</v>
      </c>
      <c r="AP779" s="4">
        <v>527</v>
      </c>
      <c r="AQ779" s="4" t="s">
        <v>1716</v>
      </c>
      <c r="AR779" s="4" t="s">
        <v>1717</v>
      </c>
      <c r="AS779" s="4" t="s">
        <v>1718</v>
      </c>
      <c r="AT779" s="4" t="s">
        <v>1719</v>
      </c>
      <c r="AU779" s="4" t="s">
        <v>1703</v>
      </c>
      <c r="AV779" s="4" t="s">
        <v>1720</v>
      </c>
      <c r="AW779" s="4" t="s">
        <v>1705</v>
      </c>
      <c r="AX779" s="4" t="s">
        <v>1710</v>
      </c>
      <c r="AY779" s="4">
        <v>50.7</v>
      </c>
      <c r="AZ779" s="4">
        <v>-127.5</v>
      </c>
      <c r="BA779" s="4">
        <v>1</v>
      </c>
    </row>
    <row r="780" spans="1:53" ht="14.25" customHeight="1" x14ac:dyDescent="0.2">
      <c r="B780" s="4">
        <v>12</v>
      </c>
      <c r="C780" s="4" t="s">
        <v>7666</v>
      </c>
      <c r="D780" s="25">
        <v>528</v>
      </c>
      <c r="E780" s="4">
        <v>1993</v>
      </c>
      <c r="F780" s="16" t="s">
        <v>3033</v>
      </c>
      <c r="G780" s="4" t="s">
        <v>3034</v>
      </c>
      <c r="H780" s="4" t="s">
        <v>3035</v>
      </c>
      <c r="I780" s="4" t="s">
        <v>1664</v>
      </c>
      <c r="J780" s="4" t="s">
        <v>1746</v>
      </c>
      <c r="K780" s="4">
        <v>1</v>
      </c>
      <c r="L780" s="4">
        <v>2396</v>
      </c>
      <c r="M780" s="6"/>
      <c r="AO780" s="4" t="s">
        <v>3033</v>
      </c>
      <c r="AP780" s="4">
        <v>528</v>
      </c>
      <c r="AQ780" s="4" t="s">
        <v>1716</v>
      </c>
      <c r="AR780" s="4" t="s">
        <v>1717</v>
      </c>
      <c r="AS780" s="4" t="s">
        <v>1718</v>
      </c>
      <c r="AT780" s="4" t="s">
        <v>1719</v>
      </c>
      <c r="AU780" s="4" t="s">
        <v>1703</v>
      </c>
      <c r="AV780" s="4" t="s">
        <v>1720</v>
      </c>
      <c r="AW780" s="4" t="s">
        <v>1705</v>
      </c>
      <c r="AX780" s="4" t="s">
        <v>1710</v>
      </c>
      <c r="AY780" s="4">
        <v>50.9</v>
      </c>
      <c r="AZ780" s="4">
        <v>-126.9</v>
      </c>
      <c r="BA780" s="4">
        <v>2</v>
      </c>
    </row>
    <row r="781" spans="1:53" ht="14.25" customHeight="1" x14ac:dyDescent="0.2">
      <c r="A781" s="4" t="s">
        <v>422</v>
      </c>
      <c r="B781" s="4">
        <v>12</v>
      </c>
      <c r="C781" s="4" t="s">
        <v>7666</v>
      </c>
      <c r="D781" s="25">
        <v>529</v>
      </c>
      <c r="E781" s="4">
        <v>1994</v>
      </c>
      <c r="F781" s="16" t="s">
        <v>3036</v>
      </c>
      <c r="G781" s="4" t="s">
        <v>3037</v>
      </c>
      <c r="H781" s="4" t="s">
        <v>3038</v>
      </c>
      <c r="I781" s="4" t="s">
        <v>1664</v>
      </c>
      <c r="J781" s="4" t="s">
        <v>1746</v>
      </c>
      <c r="K781" s="4">
        <v>1</v>
      </c>
      <c r="L781" s="4">
        <v>2397</v>
      </c>
      <c r="M781" s="6"/>
      <c r="AO781" s="4" t="s">
        <v>3036</v>
      </c>
      <c r="AP781" s="4">
        <v>529</v>
      </c>
      <c r="AQ781" s="4" t="s">
        <v>1716</v>
      </c>
      <c r="AR781" s="4" t="s">
        <v>1717</v>
      </c>
      <c r="AS781" s="4" t="s">
        <v>1718</v>
      </c>
      <c r="AT781" s="4" t="s">
        <v>1719</v>
      </c>
      <c r="AU781" s="4" t="s">
        <v>1703</v>
      </c>
      <c r="AV781" s="4" t="s">
        <v>1720</v>
      </c>
      <c r="AW781" s="4" t="s">
        <v>1705</v>
      </c>
      <c r="AX781" s="4" t="s">
        <v>1706</v>
      </c>
      <c r="AY781" s="4">
        <v>49.1</v>
      </c>
      <c r="AZ781" s="4">
        <v>-125.9</v>
      </c>
      <c r="BA781" s="4">
        <v>0</v>
      </c>
    </row>
    <row r="782" spans="1:53" ht="14.25" customHeight="1" x14ac:dyDescent="0.2">
      <c r="B782" s="4">
        <v>12</v>
      </c>
      <c r="C782" s="4" t="s">
        <v>7666</v>
      </c>
      <c r="D782" s="4">
        <v>530</v>
      </c>
      <c r="E782" s="4">
        <v>1995</v>
      </c>
      <c r="F782" s="16" t="s">
        <v>3039</v>
      </c>
      <c r="G782" s="4" t="s">
        <v>3040</v>
      </c>
      <c r="H782" s="4" t="s">
        <v>3041</v>
      </c>
      <c r="I782" s="4" t="s">
        <v>1664</v>
      </c>
      <c r="J782" s="4" t="s">
        <v>1715</v>
      </c>
      <c r="K782" s="4">
        <v>1</v>
      </c>
      <c r="L782" s="4">
        <v>2398</v>
      </c>
      <c r="M782" s="6"/>
      <c r="AO782" s="4" t="s">
        <v>3039</v>
      </c>
      <c r="AP782" s="4">
        <v>530</v>
      </c>
      <c r="AQ782" s="4" t="s">
        <v>1716</v>
      </c>
      <c r="AR782" s="4" t="s">
        <v>1717</v>
      </c>
      <c r="AS782" s="4" t="s">
        <v>1718</v>
      </c>
      <c r="AT782" s="4" t="s">
        <v>1719</v>
      </c>
      <c r="AU782" s="4" t="s">
        <v>1703</v>
      </c>
      <c r="AV782" s="4" t="s">
        <v>1720</v>
      </c>
      <c r="AW782" s="4" t="s">
        <v>1705</v>
      </c>
      <c r="AX782" s="4" t="s">
        <v>1706</v>
      </c>
      <c r="AY782" s="4">
        <v>49.280299999999997</v>
      </c>
      <c r="AZ782" s="4">
        <v>-125.9014</v>
      </c>
      <c r="BA782" s="4">
        <v>1</v>
      </c>
    </row>
    <row r="783" spans="1:53" ht="14.25" customHeight="1" x14ac:dyDescent="0.2">
      <c r="B783" s="4">
        <v>12</v>
      </c>
      <c r="C783" s="4" t="s">
        <v>7666</v>
      </c>
      <c r="D783" s="4">
        <v>531</v>
      </c>
      <c r="E783" s="4">
        <v>1996</v>
      </c>
      <c r="F783" s="16" t="s">
        <v>3042</v>
      </c>
      <c r="G783" s="4" t="s">
        <v>3043</v>
      </c>
      <c r="H783" s="4" t="s">
        <v>3044</v>
      </c>
      <c r="I783" s="4" t="s">
        <v>1664</v>
      </c>
      <c r="J783" s="4" t="s">
        <v>1715</v>
      </c>
      <c r="K783" s="4">
        <v>1</v>
      </c>
      <c r="L783" s="4">
        <v>2399</v>
      </c>
      <c r="M783" s="6"/>
      <c r="AO783" s="4" t="s">
        <v>3042</v>
      </c>
      <c r="AP783" s="4">
        <v>531</v>
      </c>
      <c r="AQ783" s="4" t="s">
        <v>1716</v>
      </c>
      <c r="AR783" s="4" t="s">
        <v>1717</v>
      </c>
      <c r="AS783" s="4" t="s">
        <v>1718</v>
      </c>
      <c r="AT783" s="4" t="s">
        <v>1719</v>
      </c>
      <c r="AU783" s="4" t="s">
        <v>1703</v>
      </c>
      <c r="AV783" s="4" t="s">
        <v>1720</v>
      </c>
      <c r="AW783" s="4" t="s">
        <v>1705</v>
      </c>
      <c r="AX783" s="4" t="s">
        <v>1706</v>
      </c>
      <c r="AY783" s="4">
        <v>49.6</v>
      </c>
      <c r="AZ783" s="4">
        <v>-126.5</v>
      </c>
      <c r="BA783" s="4">
        <v>0</v>
      </c>
    </row>
    <row r="784" spans="1:53" ht="14.25" customHeight="1" x14ac:dyDescent="0.2">
      <c r="B784" s="4">
        <v>12</v>
      </c>
      <c r="C784" s="4" t="s">
        <v>7666</v>
      </c>
      <c r="D784" s="4">
        <v>532</v>
      </c>
      <c r="E784" s="4">
        <v>1997</v>
      </c>
      <c r="F784" s="16" t="s">
        <v>3045</v>
      </c>
      <c r="G784" s="4" t="s">
        <v>3046</v>
      </c>
      <c r="H784" s="4" t="s">
        <v>3047</v>
      </c>
      <c r="I784" s="4" t="s">
        <v>1664</v>
      </c>
      <c r="J784" s="4" t="s">
        <v>1746</v>
      </c>
      <c r="K784" s="4">
        <v>1</v>
      </c>
      <c r="L784" s="4">
        <v>2400</v>
      </c>
      <c r="M784" s="6"/>
      <c r="AO784" s="4" t="s">
        <v>3045</v>
      </c>
      <c r="AP784" s="4">
        <v>532</v>
      </c>
      <c r="AQ784" s="4" t="s">
        <v>1716</v>
      </c>
      <c r="AR784" s="4" t="s">
        <v>1717</v>
      </c>
      <c r="AS784" s="4" t="s">
        <v>1718</v>
      </c>
      <c r="AT784" s="4" t="s">
        <v>1719</v>
      </c>
      <c r="AU784" s="4" t="s">
        <v>1703</v>
      </c>
      <c r="AV784" s="4" t="s">
        <v>1720</v>
      </c>
      <c r="AW784" s="4" t="s">
        <v>1705</v>
      </c>
      <c r="AX784" s="4" t="s">
        <v>1706</v>
      </c>
      <c r="AY784" s="4">
        <v>49.4</v>
      </c>
      <c r="AZ784" s="4">
        <v>-126.5</v>
      </c>
      <c r="BA784" s="4">
        <v>30</v>
      </c>
    </row>
    <row r="785" spans="1:53" ht="14.25" customHeight="1" x14ac:dyDescent="0.2">
      <c r="B785" s="4">
        <v>12</v>
      </c>
      <c r="C785" s="4" t="s">
        <v>7666</v>
      </c>
      <c r="D785" s="4">
        <v>533</v>
      </c>
      <c r="E785" s="4">
        <v>1998</v>
      </c>
      <c r="F785" s="16" t="s">
        <v>3048</v>
      </c>
      <c r="G785" s="4" t="s">
        <v>3049</v>
      </c>
      <c r="H785" s="4" t="s">
        <v>3050</v>
      </c>
      <c r="I785" s="4" t="s">
        <v>1664</v>
      </c>
      <c r="J785" s="4" t="s">
        <v>1715</v>
      </c>
      <c r="K785" s="4">
        <v>1</v>
      </c>
      <c r="L785" s="4">
        <v>2401</v>
      </c>
      <c r="M785" s="6"/>
      <c r="AO785" s="4" t="s">
        <v>3048</v>
      </c>
      <c r="AP785" s="4">
        <v>533</v>
      </c>
      <c r="AQ785" s="4" t="s">
        <v>1716</v>
      </c>
      <c r="AR785" s="4" t="s">
        <v>1717</v>
      </c>
      <c r="AS785" s="4" t="s">
        <v>1718</v>
      </c>
      <c r="AT785" s="4" t="s">
        <v>1719</v>
      </c>
      <c r="AU785" s="4" t="s">
        <v>1703</v>
      </c>
      <c r="AV785" s="4" t="s">
        <v>1720</v>
      </c>
      <c r="AW785" s="4" t="s">
        <v>1705</v>
      </c>
      <c r="AX785" s="4" t="s">
        <v>1706</v>
      </c>
      <c r="AY785" s="4">
        <v>48.9</v>
      </c>
      <c r="AZ785" s="4">
        <v>-125</v>
      </c>
      <c r="BA785" s="4">
        <v>2</v>
      </c>
    </row>
    <row r="786" spans="1:53" ht="14.25" customHeight="1" x14ac:dyDescent="0.2">
      <c r="B786" s="4">
        <v>12</v>
      </c>
      <c r="C786" s="4" t="s">
        <v>7666</v>
      </c>
      <c r="D786" s="4">
        <v>534</v>
      </c>
      <c r="E786" s="4">
        <v>1999</v>
      </c>
      <c r="F786" s="16" t="s">
        <v>3051</v>
      </c>
      <c r="G786" s="4" t="s">
        <v>3052</v>
      </c>
      <c r="H786" s="4" t="s">
        <v>3053</v>
      </c>
      <c r="I786" s="4" t="s">
        <v>1664</v>
      </c>
      <c r="J786" s="4" t="s">
        <v>1746</v>
      </c>
      <c r="K786" s="4">
        <v>1</v>
      </c>
      <c r="L786" s="4">
        <v>2402</v>
      </c>
      <c r="M786" s="6"/>
      <c r="AO786" s="4" t="s">
        <v>3051</v>
      </c>
      <c r="AP786" s="4">
        <v>534</v>
      </c>
      <c r="AQ786" s="4" t="s">
        <v>1716</v>
      </c>
      <c r="AR786" s="4" t="s">
        <v>1717</v>
      </c>
      <c r="AS786" s="4" t="s">
        <v>1718</v>
      </c>
      <c r="AT786" s="4" t="s">
        <v>1719</v>
      </c>
      <c r="AU786" s="4" t="s">
        <v>1703</v>
      </c>
      <c r="AV786" s="4" t="s">
        <v>1720</v>
      </c>
      <c r="AW786" s="4" t="s">
        <v>1705</v>
      </c>
      <c r="AX786" s="4" t="s">
        <v>1706</v>
      </c>
      <c r="AY786" s="4">
        <v>49.2</v>
      </c>
      <c r="AZ786" s="4">
        <v>-125.4</v>
      </c>
      <c r="BA786" s="4">
        <v>1</v>
      </c>
    </row>
    <row r="787" spans="1:53" ht="14.25" customHeight="1" x14ac:dyDescent="0.2">
      <c r="B787" s="4">
        <v>12</v>
      </c>
      <c r="C787" s="4" t="s">
        <v>7666</v>
      </c>
      <c r="D787" s="4">
        <v>535</v>
      </c>
      <c r="E787" s="4">
        <v>2000</v>
      </c>
      <c r="F787" s="16" t="s">
        <v>3054</v>
      </c>
      <c r="G787" s="4" t="s">
        <v>3055</v>
      </c>
      <c r="H787" s="4" t="s">
        <v>3056</v>
      </c>
      <c r="I787" s="4" t="s">
        <v>1664</v>
      </c>
      <c r="J787" s="4" t="s">
        <v>1715</v>
      </c>
      <c r="K787" s="4">
        <v>1</v>
      </c>
      <c r="L787" s="4">
        <v>2403</v>
      </c>
      <c r="M787" s="6"/>
      <c r="AO787" s="4" t="s">
        <v>3054</v>
      </c>
      <c r="AP787" s="4">
        <v>535</v>
      </c>
      <c r="AQ787" s="4" t="s">
        <v>1716</v>
      </c>
      <c r="AR787" s="4" t="s">
        <v>1717</v>
      </c>
      <c r="AS787" s="4" t="s">
        <v>1718</v>
      </c>
      <c r="AT787" s="4" t="s">
        <v>1719</v>
      </c>
      <c r="AU787" s="4" t="s">
        <v>1703</v>
      </c>
      <c r="AV787" s="4" t="s">
        <v>1720</v>
      </c>
      <c r="AW787" s="4" t="s">
        <v>1705</v>
      </c>
      <c r="AX787" s="4" t="s">
        <v>1837</v>
      </c>
      <c r="AY787" s="4">
        <v>50</v>
      </c>
      <c r="AZ787" s="4">
        <v>-124</v>
      </c>
      <c r="BA787" s="4">
        <v>0</v>
      </c>
    </row>
    <row r="788" spans="1:53" ht="14.25" customHeight="1" x14ac:dyDescent="0.2">
      <c r="A788" s="4" t="s">
        <v>422</v>
      </c>
      <c r="B788" s="4">
        <v>12</v>
      </c>
      <c r="C788" s="4" t="s">
        <v>7666</v>
      </c>
      <c r="D788" s="4">
        <v>536</v>
      </c>
      <c r="E788" s="4">
        <v>2001</v>
      </c>
      <c r="F788" s="16" t="s">
        <v>3057</v>
      </c>
      <c r="G788" s="4" t="s">
        <v>3058</v>
      </c>
      <c r="H788" s="4" t="s">
        <v>3059</v>
      </c>
      <c r="I788" s="4" t="s">
        <v>1664</v>
      </c>
      <c r="J788" s="4" t="s">
        <v>1746</v>
      </c>
      <c r="K788" s="4">
        <v>1</v>
      </c>
      <c r="L788" s="4">
        <v>2404</v>
      </c>
      <c r="M788" s="6"/>
      <c r="AO788" s="4" t="s">
        <v>3057</v>
      </c>
      <c r="AP788" s="4">
        <v>536</v>
      </c>
      <c r="AQ788" s="4" t="s">
        <v>1716</v>
      </c>
      <c r="AR788" s="4" t="s">
        <v>1717</v>
      </c>
      <c r="AS788" s="4" t="s">
        <v>1718</v>
      </c>
      <c r="AT788" s="4" t="s">
        <v>1719</v>
      </c>
      <c r="AU788" s="4" t="s">
        <v>1703</v>
      </c>
      <c r="AV788" s="4" t="s">
        <v>1720</v>
      </c>
      <c r="AW788" s="4" t="s">
        <v>1705</v>
      </c>
      <c r="AX788" s="4" t="s">
        <v>1706</v>
      </c>
      <c r="AY788" s="4">
        <v>49.5</v>
      </c>
      <c r="AZ788" s="4">
        <v>-125.4</v>
      </c>
      <c r="BA788" s="4">
        <v>3</v>
      </c>
    </row>
    <row r="789" spans="1:53" ht="14.25" customHeight="1" x14ac:dyDescent="0.2">
      <c r="B789" s="4">
        <v>12</v>
      </c>
      <c r="C789" s="4" t="s">
        <v>7666</v>
      </c>
      <c r="D789" s="4">
        <v>539</v>
      </c>
      <c r="E789" s="4">
        <v>2002</v>
      </c>
      <c r="F789" s="16" t="s">
        <v>3060</v>
      </c>
      <c r="G789" s="4" t="s">
        <v>3061</v>
      </c>
      <c r="H789" s="4" t="s">
        <v>3062</v>
      </c>
      <c r="I789" s="4" t="s">
        <v>641</v>
      </c>
      <c r="J789" s="4" t="s">
        <v>1715</v>
      </c>
      <c r="K789" s="4">
        <v>1</v>
      </c>
      <c r="L789" s="4">
        <v>2405</v>
      </c>
      <c r="M789" s="6"/>
      <c r="AO789" s="4" t="s">
        <v>3060</v>
      </c>
      <c r="AP789" s="4">
        <v>539</v>
      </c>
      <c r="AQ789" s="4" t="s">
        <v>1716</v>
      </c>
      <c r="AR789" s="4" t="s">
        <v>1717</v>
      </c>
      <c r="AS789" s="4" t="s">
        <v>1718</v>
      </c>
      <c r="AT789" s="4" t="s">
        <v>1703</v>
      </c>
      <c r="AU789" s="4" t="s">
        <v>1703</v>
      </c>
      <c r="AV789" s="4" t="s">
        <v>1720</v>
      </c>
      <c r="AW789" s="4" t="s">
        <v>1705</v>
      </c>
      <c r="AX789" s="4" t="s">
        <v>1723</v>
      </c>
      <c r="AY789" s="4">
        <v>50.2</v>
      </c>
      <c r="AZ789" s="4">
        <v>-125.2</v>
      </c>
      <c r="BA789" s="4">
        <v>50</v>
      </c>
    </row>
    <row r="790" spans="1:53" ht="14.25" customHeight="1" x14ac:dyDescent="0.2">
      <c r="B790" s="4">
        <v>12</v>
      </c>
      <c r="C790" s="4" t="s">
        <v>7666</v>
      </c>
      <c r="D790" s="4">
        <v>540</v>
      </c>
      <c r="E790" s="4">
        <v>2003</v>
      </c>
      <c r="F790" s="16" t="s">
        <v>3063</v>
      </c>
      <c r="G790" s="4" t="s">
        <v>3064</v>
      </c>
      <c r="H790" s="4" t="s">
        <v>3065</v>
      </c>
      <c r="I790" s="4" t="s">
        <v>1664</v>
      </c>
      <c r="J790" s="4" t="s">
        <v>1715</v>
      </c>
      <c r="K790" s="4">
        <v>1</v>
      </c>
      <c r="L790" s="4">
        <v>2406</v>
      </c>
      <c r="M790" s="6"/>
      <c r="AO790" s="4" t="s">
        <v>3063</v>
      </c>
      <c r="AP790" s="4">
        <v>540</v>
      </c>
      <c r="AQ790" s="4" t="s">
        <v>1716</v>
      </c>
      <c r="AR790" s="4" t="s">
        <v>1717</v>
      </c>
      <c r="AS790" s="4" t="s">
        <v>1718</v>
      </c>
      <c r="AT790" s="4" t="s">
        <v>1719</v>
      </c>
      <c r="AU790" s="4" t="s">
        <v>1703</v>
      </c>
      <c r="AV790" s="4" t="s">
        <v>1720</v>
      </c>
      <c r="AW790" s="4" t="s">
        <v>1705</v>
      </c>
      <c r="AX790" s="4" t="s">
        <v>1747</v>
      </c>
      <c r="AY790" s="4">
        <v>48.6</v>
      </c>
      <c r="AZ790" s="4">
        <v>-123.6</v>
      </c>
      <c r="BA790" s="4">
        <v>7</v>
      </c>
    </row>
    <row r="791" spans="1:53" ht="14.25" customHeight="1" x14ac:dyDescent="0.2">
      <c r="B791" s="4">
        <v>12</v>
      </c>
      <c r="C791" s="4" t="s">
        <v>7666</v>
      </c>
      <c r="D791" s="4">
        <v>541</v>
      </c>
      <c r="E791" s="4">
        <v>2004</v>
      </c>
      <c r="F791" s="16" t="s">
        <v>3066</v>
      </c>
      <c r="G791" s="4" t="s">
        <v>3067</v>
      </c>
      <c r="H791" s="4" t="s">
        <v>3068</v>
      </c>
      <c r="I791" s="4" t="s">
        <v>1664</v>
      </c>
      <c r="J791" s="4" t="s">
        <v>1715</v>
      </c>
      <c r="K791" s="4">
        <v>1</v>
      </c>
      <c r="L791" s="4">
        <v>2407</v>
      </c>
      <c r="M791" s="6"/>
      <c r="AO791" s="4" t="s">
        <v>3066</v>
      </c>
      <c r="AP791" s="4">
        <v>541</v>
      </c>
      <c r="AQ791" s="4" t="s">
        <v>1716</v>
      </c>
      <c r="AR791" s="4" t="s">
        <v>1717</v>
      </c>
      <c r="AS791" s="4" t="s">
        <v>1718</v>
      </c>
      <c r="AT791" s="4" t="s">
        <v>1719</v>
      </c>
      <c r="AU791" s="4" t="s">
        <v>1703</v>
      </c>
      <c r="AV791" s="4" t="s">
        <v>1720</v>
      </c>
      <c r="AW791" s="4" t="s">
        <v>1705</v>
      </c>
      <c r="AX791" s="4" t="s">
        <v>1706</v>
      </c>
      <c r="AY791" s="4">
        <v>49.4</v>
      </c>
      <c r="AZ791" s="4">
        <v>-124.3</v>
      </c>
      <c r="BA791" s="4">
        <v>1</v>
      </c>
    </row>
    <row r="792" spans="1:53" ht="14.25" customHeight="1" x14ac:dyDescent="0.2">
      <c r="B792" s="4">
        <v>12</v>
      </c>
      <c r="C792" s="4" t="s">
        <v>7666</v>
      </c>
      <c r="D792" s="4">
        <v>542</v>
      </c>
      <c r="E792" s="4">
        <v>2005</v>
      </c>
      <c r="F792" s="16" t="s">
        <v>3069</v>
      </c>
      <c r="G792" s="4" t="s">
        <v>3070</v>
      </c>
      <c r="H792" s="4" t="s">
        <v>3071</v>
      </c>
      <c r="I792" s="4" t="s">
        <v>1664</v>
      </c>
      <c r="J792" s="4" t="s">
        <v>1715</v>
      </c>
      <c r="K792" s="4">
        <v>1</v>
      </c>
      <c r="L792" s="4">
        <v>2408</v>
      </c>
      <c r="M792" s="6"/>
      <c r="AO792" s="4" t="s">
        <v>3069</v>
      </c>
      <c r="AP792" s="4">
        <v>542</v>
      </c>
      <c r="AQ792" s="4" t="s">
        <v>1716</v>
      </c>
      <c r="AR792" s="4" t="s">
        <v>1717</v>
      </c>
      <c r="AS792" s="4" t="s">
        <v>1718</v>
      </c>
      <c r="AT792" s="4" t="s">
        <v>1719</v>
      </c>
      <c r="AU792" s="4" t="s">
        <v>1703</v>
      </c>
      <c r="AV792" s="4" t="s">
        <v>1720</v>
      </c>
      <c r="AW792" s="4" t="s">
        <v>1705</v>
      </c>
      <c r="AX792" s="4" t="s">
        <v>1706</v>
      </c>
      <c r="AY792" s="4">
        <v>49.5</v>
      </c>
      <c r="AZ792" s="4">
        <v>-124.9</v>
      </c>
      <c r="BA792" s="4">
        <v>0</v>
      </c>
    </row>
    <row r="793" spans="1:53" ht="14.25" customHeight="1" x14ac:dyDescent="0.2">
      <c r="A793" s="4" t="s">
        <v>422</v>
      </c>
      <c r="B793" s="4">
        <v>12</v>
      </c>
      <c r="C793" s="4" t="s">
        <v>7672</v>
      </c>
      <c r="D793" s="4">
        <v>543</v>
      </c>
      <c r="E793" s="4">
        <v>12444</v>
      </c>
      <c r="F793" s="4" t="s">
        <v>3073</v>
      </c>
      <c r="G793" s="27" t="s">
        <v>3074</v>
      </c>
      <c r="H793" s="4" t="s">
        <v>3075</v>
      </c>
      <c r="I793" s="4" t="s">
        <v>49</v>
      </c>
      <c r="J793" s="4" t="s">
        <v>1746</v>
      </c>
      <c r="K793" s="4">
        <v>1</v>
      </c>
      <c r="L793" s="4">
        <v>14466</v>
      </c>
      <c r="M793" s="6">
        <v>48.529440000000001</v>
      </c>
      <c r="N793" s="4">
        <v>-123.638611</v>
      </c>
      <c r="O793" s="4" t="s">
        <v>51</v>
      </c>
      <c r="P793" s="4" t="s">
        <v>60</v>
      </c>
      <c r="Q793" s="4">
        <v>4</v>
      </c>
      <c r="R793" s="4" t="s">
        <v>61</v>
      </c>
      <c r="S793" s="4" t="s">
        <v>44</v>
      </c>
      <c r="T793" s="4">
        <v>606</v>
      </c>
      <c r="V793" s="4" t="s">
        <v>65</v>
      </c>
      <c r="W793" s="4">
        <v>35065</v>
      </c>
      <c r="AO793" s="48" t="s">
        <v>3076</v>
      </c>
      <c r="AP793" s="48">
        <v>543</v>
      </c>
      <c r="AQ793" s="48" t="s">
        <v>1700</v>
      </c>
      <c r="AR793" s="48" t="s">
        <v>1739</v>
      </c>
      <c r="AS793" s="48" t="s">
        <v>3077</v>
      </c>
      <c r="AT793" s="48" t="s">
        <v>1835</v>
      </c>
      <c r="AU793" s="48" t="s">
        <v>1704</v>
      </c>
      <c r="AV793" s="48" t="s">
        <v>3077</v>
      </c>
      <c r="AW793" s="48" t="s">
        <v>1705</v>
      </c>
      <c r="AX793" s="48" t="s">
        <v>1747</v>
      </c>
      <c r="AY793" s="48">
        <v>48.529699999999998</v>
      </c>
      <c r="AZ793" s="48">
        <v>-123.6375</v>
      </c>
      <c r="BA793" s="48">
        <v>600</v>
      </c>
    </row>
    <row r="794" spans="1:53" ht="14.25" customHeight="1" x14ac:dyDescent="0.2">
      <c r="B794" s="4">
        <v>12</v>
      </c>
      <c r="C794" s="4" t="s">
        <v>7666</v>
      </c>
      <c r="D794" s="4">
        <v>544</v>
      </c>
      <c r="E794" s="4">
        <v>2006</v>
      </c>
      <c r="F794" s="16" t="s">
        <v>3078</v>
      </c>
      <c r="G794" s="4" t="s">
        <v>3079</v>
      </c>
      <c r="H794" s="4" t="s">
        <v>3080</v>
      </c>
      <c r="I794" s="4" t="s">
        <v>1664</v>
      </c>
      <c r="J794" s="4" t="s">
        <v>1746</v>
      </c>
      <c r="K794" s="4">
        <v>1</v>
      </c>
      <c r="L794" s="4">
        <v>2409</v>
      </c>
      <c r="M794" s="6"/>
      <c r="AO794" s="4" t="s">
        <v>3078</v>
      </c>
      <c r="AP794" s="4">
        <v>544</v>
      </c>
      <c r="AQ794" s="4" t="s">
        <v>1716</v>
      </c>
      <c r="AR794" s="4" t="s">
        <v>1717</v>
      </c>
      <c r="AS794" s="4" t="s">
        <v>1718</v>
      </c>
      <c r="AT794" s="4" t="s">
        <v>1719</v>
      </c>
      <c r="AU794" s="4" t="s">
        <v>1703</v>
      </c>
      <c r="AV794" s="4" t="s">
        <v>1720</v>
      </c>
      <c r="AW794" s="4" t="s">
        <v>1705</v>
      </c>
      <c r="AX794" s="4" t="s">
        <v>1706</v>
      </c>
      <c r="AY794" s="4">
        <v>49.6</v>
      </c>
      <c r="AZ794" s="4">
        <v>-124.7</v>
      </c>
      <c r="BA794" s="4">
        <v>0</v>
      </c>
    </row>
    <row r="795" spans="1:53" ht="14.25" customHeight="1" x14ac:dyDescent="0.2">
      <c r="B795" s="4">
        <v>12</v>
      </c>
      <c r="C795" s="4" t="s">
        <v>7666</v>
      </c>
      <c r="D795" s="4">
        <v>545</v>
      </c>
      <c r="E795" s="4">
        <v>2007</v>
      </c>
      <c r="F795" s="16" t="s">
        <v>3081</v>
      </c>
      <c r="G795" s="4" t="s">
        <v>3082</v>
      </c>
      <c r="H795" s="4" t="s">
        <v>3083</v>
      </c>
      <c r="I795" s="4" t="s">
        <v>1664</v>
      </c>
      <c r="J795" s="4" t="s">
        <v>1715</v>
      </c>
      <c r="K795" s="4">
        <v>1</v>
      </c>
      <c r="L795" s="4">
        <v>2410</v>
      </c>
      <c r="M795" s="6"/>
      <c r="AO795" s="4" t="s">
        <v>3081</v>
      </c>
      <c r="AP795" s="4">
        <v>545</v>
      </c>
      <c r="AQ795" s="4" t="s">
        <v>1716</v>
      </c>
      <c r="AR795" s="4" t="s">
        <v>1717</v>
      </c>
      <c r="AS795" s="4" t="s">
        <v>1718</v>
      </c>
      <c r="AT795" s="4" t="s">
        <v>1719</v>
      </c>
      <c r="AU795" s="4" t="s">
        <v>1703</v>
      </c>
      <c r="AV795" s="4" t="s">
        <v>1720</v>
      </c>
      <c r="AW795" s="4" t="s">
        <v>1705</v>
      </c>
      <c r="AX795" s="4" t="s">
        <v>1747</v>
      </c>
      <c r="AY795" s="4">
        <v>48.6</v>
      </c>
      <c r="AZ795" s="4">
        <v>-124</v>
      </c>
      <c r="BA795" s="4">
        <v>7</v>
      </c>
    </row>
    <row r="796" spans="1:53" ht="14.25" customHeight="1" x14ac:dyDescent="0.2">
      <c r="B796" s="4">
        <v>12</v>
      </c>
      <c r="C796" s="4" t="s">
        <v>7666</v>
      </c>
      <c r="D796" s="4">
        <v>546</v>
      </c>
      <c r="E796" s="4">
        <v>2008</v>
      </c>
      <c r="F796" s="16" t="s">
        <v>3084</v>
      </c>
      <c r="G796" s="4" t="s">
        <v>3085</v>
      </c>
      <c r="H796" s="4" t="s">
        <v>3086</v>
      </c>
      <c r="I796" s="4" t="s">
        <v>1664</v>
      </c>
      <c r="J796" s="4" t="s">
        <v>1715</v>
      </c>
      <c r="K796" s="4">
        <v>1</v>
      </c>
      <c r="L796" s="4">
        <v>2411</v>
      </c>
      <c r="M796" s="6"/>
      <c r="AO796" s="4" t="s">
        <v>3084</v>
      </c>
      <c r="AP796" s="4">
        <v>546</v>
      </c>
      <c r="AQ796" s="4" t="s">
        <v>1716</v>
      </c>
      <c r="AR796" s="4" t="s">
        <v>1717</v>
      </c>
      <c r="AS796" s="4" t="s">
        <v>1718</v>
      </c>
      <c r="AT796" s="4" t="s">
        <v>1719</v>
      </c>
      <c r="AU796" s="4" t="s">
        <v>1703</v>
      </c>
      <c r="AV796" s="4" t="s">
        <v>1720</v>
      </c>
      <c r="AW796" s="4" t="s">
        <v>1705</v>
      </c>
      <c r="AX796" s="4" t="s">
        <v>1747</v>
      </c>
      <c r="AY796" s="4">
        <v>49</v>
      </c>
      <c r="AZ796" s="4">
        <v>-124</v>
      </c>
      <c r="BA796" s="4">
        <v>0</v>
      </c>
    </row>
    <row r="797" spans="1:53" ht="14.25" customHeight="1" x14ac:dyDescent="0.2">
      <c r="B797" s="4">
        <v>12</v>
      </c>
      <c r="C797" s="4" t="s">
        <v>7666</v>
      </c>
      <c r="D797" s="4">
        <v>547</v>
      </c>
      <c r="E797" s="4">
        <v>2009</v>
      </c>
      <c r="F797" s="16" t="s">
        <v>3087</v>
      </c>
      <c r="G797" s="27" t="s">
        <v>3088</v>
      </c>
      <c r="H797" s="4" t="s">
        <v>3089</v>
      </c>
      <c r="I797" s="4" t="s">
        <v>641</v>
      </c>
      <c r="J797" s="4" t="s">
        <v>1715</v>
      </c>
      <c r="K797" s="4">
        <v>1</v>
      </c>
      <c r="L797" s="4">
        <v>2412</v>
      </c>
      <c r="M797" s="6"/>
      <c r="AO797" s="4" t="s">
        <v>3087</v>
      </c>
      <c r="AP797" s="4">
        <v>547</v>
      </c>
      <c r="AQ797" s="4" t="s">
        <v>1716</v>
      </c>
      <c r="AR797" s="4" t="s">
        <v>1717</v>
      </c>
      <c r="AS797" s="4" t="s">
        <v>1718</v>
      </c>
      <c r="AT797" s="4" t="s">
        <v>1703</v>
      </c>
      <c r="AU797" s="4" t="s">
        <v>1703</v>
      </c>
      <c r="AV797" s="4" t="s">
        <v>1720</v>
      </c>
      <c r="AW797" s="4" t="s">
        <v>1705</v>
      </c>
      <c r="AX797" s="4" t="s">
        <v>1706</v>
      </c>
      <c r="AY797" s="4">
        <v>49.186700000000002</v>
      </c>
      <c r="AZ797" s="4">
        <v>-123.83329999999999</v>
      </c>
      <c r="BA797" s="4">
        <v>25</v>
      </c>
    </row>
    <row r="798" spans="1:53" ht="14.25" customHeight="1" x14ac:dyDescent="0.2">
      <c r="B798" s="4">
        <v>12</v>
      </c>
      <c r="C798" s="4" t="s">
        <v>7666</v>
      </c>
      <c r="D798" s="4">
        <v>548</v>
      </c>
      <c r="E798" s="4">
        <v>2010</v>
      </c>
      <c r="F798" s="16" t="s">
        <v>3090</v>
      </c>
      <c r="G798" s="4" t="s">
        <v>3070</v>
      </c>
      <c r="H798" s="4" t="s">
        <v>3091</v>
      </c>
      <c r="I798" s="4" t="s">
        <v>1664</v>
      </c>
      <c r="J798" s="4" t="s">
        <v>1715</v>
      </c>
      <c r="K798" s="4">
        <v>1</v>
      </c>
      <c r="L798" s="4">
        <v>2413</v>
      </c>
      <c r="M798" s="6"/>
      <c r="AO798" s="4" t="s">
        <v>3090</v>
      </c>
      <c r="AP798" s="4">
        <v>548</v>
      </c>
      <c r="AQ798" s="4" t="s">
        <v>1716</v>
      </c>
      <c r="AR798" s="4" t="s">
        <v>1717</v>
      </c>
      <c r="AS798" s="4" t="s">
        <v>1718</v>
      </c>
      <c r="AT798" s="4" t="s">
        <v>1719</v>
      </c>
      <c r="AU798" s="4" t="s">
        <v>1703</v>
      </c>
      <c r="AV798" s="4" t="s">
        <v>1720</v>
      </c>
      <c r="AW798" s="4" t="s">
        <v>1705</v>
      </c>
      <c r="AX798" s="4" t="s">
        <v>1706</v>
      </c>
      <c r="AY798" s="4">
        <v>49.5</v>
      </c>
      <c r="AZ798" s="4">
        <v>-124.9</v>
      </c>
      <c r="BA798" s="4">
        <v>0</v>
      </c>
    </row>
    <row r="799" spans="1:53" ht="14.25" customHeight="1" x14ac:dyDescent="0.2">
      <c r="B799" s="4">
        <v>12</v>
      </c>
      <c r="C799" s="4" t="s">
        <v>7666</v>
      </c>
      <c r="D799" s="4">
        <v>549</v>
      </c>
      <c r="E799" s="4">
        <v>2011</v>
      </c>
      <c r="F799" s="16" t="s">
        <v>3092</v>
      </c>
      <c r="G799" s="4" t="s">
        <v>3093</v>
      </c>
      <c r="H799" s="4" t="s">
        <v>3094</v>
      </c>
      <c r="I799" s="4" t="s">
        <v>1664</v>
      </c>
      <c r="J799" s="4" t="s">
        <v>1746</v>
      </c>
      <c r="K799" s="4">
        <v>1</v>
      </c>
      <c r="L799" s="4">
        <v>2414</v>
      </c>
      <c r="M799" s="6"/>
      <c r="AO799" s="4" t="s">
        <v>3092</v>
      </c>
      <c r="AP799" s="4">
        <v>549</v>
      </c>
      <c r="AQ799" s="4" t="s">
        <v>1716</v>
      </c>
      <c r="AR799" s="4" t="s">
        <v>1717</v>
      </c>
      <c r="AS799" s="4" t="s">
        <v>1718</v>
      </c>
      <c r="AT799" s="4" t="s">
        <v>1719</v>
      </c>
      <c r="AU799" s="4" t="s">
        <v>1703</v>
      </c>
      <c r="AV799" s="4" t="s">
        <v>1720</v>
      </c>
      <c r="AW799" s="4" t="s">
        <v>1705</v>
      </c>
      <c r="AX799" s="4" t="s">
        <v>1837</v>
      </c>
      <c r="AY799" s="4">
        <v>49.566000000000003</v>
      </c>
      <c r="AZ799" s="4">
        <v>-123.383</v>
      </c>
      <c r="BA799" s="4">
        <v>4</v>
      </c>
    </row>
    <row r="800" spans="1:53" ht="14.25" customHeight="1" x14ac:dyDescent="0.2">
      <c r="A800" s="4" t="s">
        <v>422</v>
      </c>
      <c r="B800" s="4">
        <v>12</v>
      </c>
      <c r="C800" s="4" t="s">
        <v>7666</v>
      </c>
      <c r="D800" s="4">
        <v>550</v>
      </c>
      <c r="E800" s="4">
        <v>2012</v>
      </c>
      <c r="F800" s="16" t="s">
        <v>3095</v>
      </c>
      <c r="G800" s="4" t="s">
        <v>3096</v>
      </c>
      <c r="H800" s="4" t="s">
        <v>3097</v>
      </c>
      <c r="I800" s="4" t="s">
        <v>1664</v>
      </c>
      <c r="J800" s="4" t="s">
        <v>1746</v>
      </c>
      <c r="K800" s="4">
        <v>1</v>
      </c>
      <c r="L800" s="4">
        <v>2415</v>
      </c>
      <c r="M800" s="6"/>
      <c r="AO800" s="4" t="s">
        <v>3095</v>
      </c>
      <c r="AP800" s="4">
        <v>550</v>
      </c>
      <c r="AQ800" s="4" t="s">
        <v>1716</v>
      </c>
      <c r="AR800" s="4" t="s">
        <v>1717</v>
      </c>
      <c r="AS800" s="4" t="s">
        <v>1718</v>
      </c>
      <c r="AT800" s="4" t="s">
        <v>1719</v>
      </c>
      <c r="AU800" s="4" t="s">
        <v>1703</v>
      </c>
      <c r="AV800" s="4" t="s">
        <v>1720</v>
      </c>
      <c r="AW800" s="4" t="s">
        <v>1705</v>
      </c>
      <c r="AX800" s="4" t="s">
        <v>1747</v>
      </c>
      <c r="AY800" s="4">
        <v>48.7</v>
      </c>
      <c r="AZ800" s="4">
        <v>-123.3</v>
      </c>
      <c r="BA800" s="4">
        <v>0</v>
      </c>
    </row>
    <row r="801" spans="1:53" ht="14.25" customHeight="1" x14ac:dyDescent="0.2">
      <c r="A801" s="4" t="s">
        <v>422</v>
      </c>
      <c r="B801" s="4">
        <v>12</v>
      </c>
      <c r="C801" s="4" t="s">
        <v>7666</v>
      </c>
      <c r="D801" s="4">
        <v>551</v>
      </c>
      <c r="E801" s="4">
        <v>2013</v>
      </c>
      <c r="F801" s="16" t="s">
        <v>3098</v>
      </c>
      <c r="G801" s="4" t="s">
        <v>3099</v>
      </c>
      <c r="H801" s="4" t="s">
        <v>3100</v>
      </c>
      <c r="I801" s="4" t="s">
        <v>1664</v>
      </c>
      <c r="J801" s="4" t="s">
        <v>1746</v>
      </c>
      <c r="K801" s="4">
        <v>1</v>
      </c>
      <c r="L801" s="4">
        <v>2416</v>
      </c>
      <c r="M801" s="6"/>
      <c r="AO801" s="4" t="s">
        <v>3098</v>
      </c>
      <c r="AP801" s="4">
        <v>551</v>
      </c>
      <c r="AQ801" s="4" t="s">
        <v>1716</v>
      </c>
      <c r="AR801" s="4" t="s">
        <v>1717</v>
      </c>
      <c r="AS801" s="4" t="s">
        <v>1718</v>
      </c>
      <c r="AT801" s="4" t="s">
        <v>1719</v>
      </c>
      <c r="AU801" s="4" t="s">
        <v>1703</v>
      </c>
      <c r="AV801" s="4" t="s">
        <v>1720</v>
      </c>
      <c r="AW801" s="4" t="s">
        <v>1705</v>
      </c>
      <c r="AX801" s="4" t="s">
        <v>1883</v>
      </c>
      <c r="AY801" s="4">
        <v>49.5</v>
      </c>
      <c r="AZ801" s="4">
        <v>-122.8</v>
      </c>
      <c r="BA801" s="4">
        <v>4</v>
      </c>
    </row>
    <row r="802" spans="1:53" ht="14.25" customHeight="1" x14ac:dyDescent="0.2">
      <c r="B802" s="4">
        <v>12</v>
      </c>
      <c r="C802" s="4" t="s">
        <v>7666</v>
      </c>
      <c r="D802" s="4">
        <v>552</v>
      </c>
      <c r="E802" s="4">
        <v>2014</v>
      </c>
      <c r="F802" s="16" t="s">
        <v>3101</v>
      </c>
      <c r="G802" s="4" t="s">
        <v>3102</v>
      </c>
      <c r="H802" s="4" t="s">
        <v>3103</v>
      </c>
      <c r="I802" s="4" t="s">
        <v>1664</v>
      </c>
      <c r="J802" s="4" t="s">
        <v>1715</v>
      </c>
      <c r="K802" s="4">
        <v>1</v>
      </c>
      <c r="L802" s="4">
        <v>2417</v>
      </c>
      <c r="M802" s="6"/>
      <c r="AO802" s="4" t="s">
        <v>3101</v>
      </c>
      <c r="AP802" s="4">
        <v>552</v>
      </c>
      <c r="AQ802" s="4" t="s">
        <v>1716</v>
      </c>
      <c r="AR802" s="4" t="s">
        <v>1717</v>
      </c>
      <c r="AS802" s="4" t="s">
        <v>1718</v>
      </c>
      <c r="AT802" s="4" t="s">
        <v>1719</v>
      </c>
      <c r="AU802" s="4" t="s">
        <v>1703</v>
      </c>
      <c r="AV802" s="4" t="s">
        <v>1720</v>
      </c>
      <c r="AW802" s="4" t="s">
        <v>1705</v>
      </c>
      <c r="AY802" s="4">
        <v>49</v>
      </c>
      <c r="AZ802" s="4">
        <v>-121</v>
      </c>
      <c r="BA802" s="4">
        <v>11</v>
      </c>
    </row>
    <row r="803" spans="1:53" ht="14.25" customHeight="1" x14ac:dyDescent="0.2">
      <c r="A803" s="4" t="s">
        <v>422</v>
      </c>
      <c r="B803" s="4">
        <v>12</v>
      </c>
      <c r="C803" s="4" t="s">
        <v>7666</v>
      </c>
      <c r="D803" s="4">
        <v>553</v>
      </c>
      <c r="E803" s="4">
        <v>2015</v>
      </c>
      <c r="F803" s="16" t="s">
        <v>3104</v>
      </c>
      <c r="G803" s="4" t="s">
        <v>3105</v>
      </c>
      <c r="H803" s="4" t="s">
        <v>3106</v>
      </c>
      <c r="I803" s="4" t="s">
        <v>641</v>
      </c>
      <c r="J803" s="4" t="s">
        <v>1746</v>
      </c>
      <c r="K803" s="4">
        <v>1</v>
      </c>
      <c r="L803" s="4">
        <v>2418</v>
      </c>
      <c r="M803" s="6"/>
      <c r="AO803" s="4" t="s">
        <v>3104</v>
      </c>
      <c r="AP803" s="4">
        <v>553</v>
      </c>
      <c r="AQ803" s="4" t="s">
        <v>1716</v>
      </c>
      <c r="AR803" s="4" t="s">
        <v>1717</v>
      </c>
      <c r="AS803" s="4" t="s">
        <v>1718</v>
      </c>
      <c r="AT803" s="4" t="s">
        <v>1703</v>
      </c>
      <c r="AU803" s="4" t="s">
        <v>1703</v>
      </c>
      <c r="AV803" s="4" t="s">
        <v>1720</v>
      </c>
      <c r="AW803" s="4" t="s">
        <v>1705</v>
      </c>
      <c r="AX803" s="4" t="s">
        <v>1883</v>
      </c>
      <c r="AY803" s="4">
        <v>49.369</v>
      </c>
      <c r="AZ803" s="4">
        <v>-121.492</v>
      </c>
      <c r="BA803" s="4">
        <v>162</v>
      </c>
    </row>
    <row r="804" spans="1:53" ht="14.25" customHeight="1" x14ac:dyDescent="0.2">
      <c r="A804" s="4" t="s">
        <v>3107</v>
      </c>
      <c r="B804" s="4">
        <v>12</v>
      </c>
      <c r="C804" s="8" t="s">
        <v>7673</v>
      </c>
      <c r="D804" s="64" t="s">
        <v>3109</v>
      </c>
      <c r="E804" s="4">
        <v>13011</v>
      </c>
      <c r="F804" s="10" t="s">
        <v>3110</v>
      </c>
      <c r="G804" s="8" t="s">
        <v>3111</v>
      </c>
      <c r="H804" s="4" t="s">
        <v>3112</v>
      </c>
      <c r="I804" s="4" t="s">
        <v>49</v>
      </c>
      <c r="J804" s="4" t="s">
        <v>1746</v>
      </c>
      <c r="K804" s="4">
        <v>1</v>
      </c>
      <c r="L804" s="4">
        <v>14943</v>
      </c>
      <c r="M804" s="6">
        <v>49.444916669999998</v>
      </c>
      <c r="N804" s="9">
        <v>-123.1039444</v>
      </c>
      <c r="O804" s="9" t="s">
        <v>51</v>
      </c>
      <c r="P804" s="9" t="s">
        <v>3113</v>
      </c>
      <c r="Q804" s="20">
        <v>2</v>
      </c>
      <c r="R804" s="9" t="s">
        <v>3114</v>
      </c>
      <c r="S804" s="9" t="s">
        <v>3115</v>
      </c>
      <c r="T804" s="9">
        <v>295</v>
      </c>
      <c r="U804" s="9"/>
      <c r="V804" s="9" t="s">
        <v>3116</v>
      </c>
      <c r="W804" s="9">
        <v>1986</v>
      </c>
      <c r="X804" s="9" t="s">
        <v>3117</v>
      </c>
      <c r="Y804" s="9" t="s">
        <v>3118</v>
      </c>
      <c r="Z804" s="9"/>
      <c r="AA804" s="9"/>
      <c r="AB804" s="9"/>
      <c r="AC804" s="9" t="s">
        <v>55</v>
      </c>
      <c r="AD804" s="9" t="s">
        <v>56</v>
      </c>
      <c r="AE804" s="9" t="s">
        <v>66</v>
      </c>
      <c r="AF804" s="9"/>
      <c r="AG804" s="9"/>
      <c r="AH804" s="9" t="s">
        <v>3119</v>
      </c>
      <c r="AI804" s="9"/>
      <c r="AJ804" s="9"/>
      <c r="AO804" s="48" t="s">
        <v>3120</v>
      </c>
      <c r="AP804" s="48">
        <v>554</v>
      </c>
      <c r="AQ804" s="48" t="s">
        <v>1716</v>
      </c>
      <c r="AR804" s="48" t="s">
        <v>1701</v>
      </c>
      <c r="AS804" s="48" t="s">
        <v>1740</v>
      </c>
      <c r="AT804" s="48" t="s">
        <v>1835</v>
      </c>
      <c r="AU804" s="48" t="s">
        <v>1742</v>
      </c>
      <c r="AV804" s="48" t="s">
        <v>3121</v>
      </c>
      <c r="AW804" s="48" t="s">
        <v>1705</v>
      </c>
      <c r="AX804" s="48" t="s">
        <v>1883</v>
      </c>
      <c r="AY804" s="48">
        <v>49.44</v>
      </c>
      <c r="AZ804" s="48">
        <v>-123.09699999999999</v>
      </c>
      <c r="BA804" s="48">
        <v>400</v>
      </c>
    </row>
    <row r="805" spans="1:53" ht="14.25" customHeight="1" x14ac:dyDescent="0.2">
      <c r="A805" s="4" t="s">
        <v>3107</v>
      </c>
      <c r="B805" s="4">
        <v>12</v>
      </c>
      <c r="C805" s="8" t="s">
        <v>7673</v>
      </c>
      <c r="D805" s="64" t="s">
        <v>3122</v>
      </c>
      <c r="E805" s="4">
        <v>13012</v>
      </c>
      <c r="F805" s="10" t="s">
        <v>3123</v>
      </c>
      <c r="G805" s="8" t="s">
        <v>3124</v>
      </c>
      <c r="H805" s="4" t="s">
        <v>3112</v>
      </c>
      <c r="I805" s="4" t="s">
        <v>49</v>
      </c>
      <c r="J805" s="4" t="s">
        <v>1746</v>
      </c>
      <c r="K805" s="4">
        <v>1</v>
      </c>
      <c r="L805" s="4">
        <v>14944</v>
      </c>
      <c r="M805" s="6">
        <v>49.485888889999998</v>
      </c>
      <c r="N805" s="9">
        <v>-122.9463056</v>
      </c>
      <c r="O805" s="9" t="s">
        <v>51</v>
      </c>
      <c r="P805" s="9" t="s">
        <v>3125</v>
      </c>
      <c r="Q805" s="20">
        <v>3</v>
      </c>
      <c r="R805" s="9" t="s">
        <v>3126</v>
      </c>
      <c r="S805" s="9" t="s">
        <v>3115</v>
      </c>
      <c r="T805" s="9">
        <v>375</v>
      </c>
      <c r="U805" s="9"/>
      <c r="V805" s="9" t="s">
        <v>3127</v>
      </c>
      <c r="W805" s="9">
        <v>1987</v>
      </c>
      <c r="X805" s="9" t="s">
        <v>3117</v>
      </c>
      <c r="Y805" s="9" t="s">
        <v>3118</v>
      </c>
      <c r="Z805" s="9"/>
      <c r="AA805" s="9"/>
      <c r="AB805" s="9"/>
      <c r="AC805" s="9" t="s">
        <v>55</v>
      </c>
      <c r="AD805" s="9" t="s">
        <v>56</v>
      </c>
      <c r="AE805" s="9" t="s">
        <v>66</v>
      </c>
      <c r="AO805" s="48" t="s">
        <v>3128</v>
      </c>
      <c r="AP805" s="48">
        <v>555</v>
      </c>
      <c r="AQ805" s="48" t="s">
        <v>1716</v>
      </c>
      <c r="AR805" s="48" t="s">
        <v>1739</v>
      </c>
      <c r="AS805" s="48" t="s">
        <v>1740</v>
      </c>
      <c r="AT805" s="48" t="s">
        <v>1835</v>
      </c>
      <c r="AU805" s="48" t="s">
        <v>1742</v>
      </c>
      <c r="AV805" s="48" t="s">
        <v>3121</v>
      </c>
      <c r="AW805" s="48" t="s">
        <v>1705</v>
      </c>
      <c r="AX805" s="48" t="s">
        <v>1883</v>
      </c>
      <c r="AY805" s="48">
        <v>49.482999999999997</v>
      </c>
      <c r="AZ805" s="48">
        <v>-122.95</v>
      </c>
      <c r="BA805" s="48">
        <v>390</v>
      </c>
    </row>
    <row r="806" spans="1:53" ht="14.25" customHeight="1" x14ac:dyDescent="0.2">
      <c r="A806" s="4" t="s">
        <v>3107</v>
      </c>
      <c r="B806" s="4">
        <v>12</v>
      </c>
      <c r="C806" s="8" t="s">
        <v>7673</v>
      </c>
      <c r="D806" s="64" t="s">
        <v>3129</v>
      </c>
      <c r="E806" s="4">
        <v>13013</v>
      </c>
      <c r="F806" s="10" t="s">
        <v>3130</v>
      </c>
      <c r="G806" s="8" t="s">
        <v>3131</v>
      </c>
      <c r="H806" s="4" t="s">
        <v>3112</v>
      </c>
      <c r="I806" s="4" t="s">
        <v>49</v>
      </c>
      <c r="J806" s="4" t="s">
        <v>1746</v>
      </c>
      <c r="K806" s="4">
        <v>1</v>
      </c>
      <c r="L806" s="4">
        <v>14945</v>
      </c>
      <c r="M806" s="6">
        <v>49.363861110000002</v>
      </c>
      <c r="N806" s="9">
        <v>-122.7536111</v>
      </c>
      <c r="O806" s="9" t="s">
        <v>51</v>
      </c>
      <c r="P806" s="9" t="s">
        <v>3132</v>
      </c>
      <c r="Q806" s="20">
        <v>3</v>
      </c>
      <c r="R806" s="9" t="s">
        <v>3133</v>
      </c>
      <c r="S806" s="9" t="s">
        <v>3115</v>
      </c>
      <c r="T806" s="9">
        <v>352</v>
      </c>
      <c r="U806" s="9"/>
      <c r="V806" s="9" t="s">
        <v>3134</v>
      </c>
      <c r="W806" s="9">
        <v>1987</v>
      </c>
      <c r="X806" s="9" t="s">
        <v>3117</v>
      </c>
      <c r="Y806" s="9" t="s">
        <v>3118</v>
      </c>
      <c r="Z806" s="9"/>
      <c r="AA806" s="9"/>
      <c r="AB806" s="9"/>
      <c r="AC806" s="9" t="s">
        <v>55</v>
      </c>
      <c r="AD806" s="9" t="s">
        <v>56</v>
      </c>
      <c r="AE806" s="9" t="s">
        <v>66</v>
      </c>
      <c r="AF806" s="9"/>
      <c r="AG806" s="9"/>
      <c r="AH806" s="9" t="s">
        <v>3119</v>
      </c>
      <c r="AI806" s="9"/>
      <c r="AJ806" s="9"/>
      <c r="AK806" s="9"/>
      <c r="AO806" s="48" t="s">
        <v>3135</v>
      </c>
      <c r="AP806" s="48">
        <v>556</v>
      </c>
      <c r="AQ806" s="48" t="s">
        <v>1716</v>
      </c>
      <c r="AR806" s="48" t="s">
        <v>1739</v>
      </c>
      <c r="AS806" s="48" t="s">
        <v>1740</v>
      </c>
      <c r="AT806" s="48" t="s">
        <v>1835</v>
      </c>
      <c r="AU806" s="48" t="s">
        <v>1742</v>
      </c>
      <c r="AV806" s="48" t="s">
        <v>3121</v>
      </c>
      <c r="AW806" s="48" t="s">
        <v>1705</v>
      </c>
      <c r="AX806" s="48" t="s">
        <v>1883</v>
      </c>
      <c r="AY806" s="48">
        <v>49.386000000000003</v>
      </c>
      <c r="AZ806" s="48">
        <v>-122.77</v>
      </c>
      <c r="BA806" s="48">
        <v>430</v>
      </c>
    </row>
    <row r="807" spans="1:53" ht="14.25" customHeight="1" x14ac:dyDescent="0.2">
      <c r="B807" s="4">
        <v>12</v>
      </c>
      <c r="C807" s="4" t="s">
        <v>7666</v>
      </c>
      <c r="D807" s="4">
        <v>558</v>
      </c>
      <c r="E807" s="4">
        <v>2016</v>
      </c>
      <c r="F807" s="16" t="s">
        <v>3136</v>
      </c>
      <c r="G807" s="4" t="s">
        <v>3137</v>
      </c>
      <c r="H807" s="4" t="s">
        <v>3138</v>
      </c>
      <c r="I807" s="4" t="s">
        <v>1664</v>
      </c>
      <c r="J807" s="4" t="s">
        <v>1715</v>
      </c>
      <c r="K807" s="4">
        <v>1</v>
      </c>
      <c r="L807" s="4">
        <v>2419</v>
      </c>
      <c r="M807" s="6"/>
      <c r="AO807" s="4" t="s">
        <v>3136</v>
      </c>
      <c r="AP807" s="4">
        <v>558</v>
      </c>
      <c r="AQ807" s="4" t="s">
        <v>1716</v>
      </c>
      <c r="AR807" s="4" t="s">
        <v>1717</v>
      </c>
      <c r="AS807" s="4" t="s">
        <v>1718</v>
      </c>
      <c r="AT807" s="4" t="s">
        <v>1719</v>
      </c>
      <c r="AU807" s="4" t="s">
        <v>1703</v>
      </c>
      <c r="AV807" s="4" t="s">
        <v>1720</v>
      </c>
      <c r="AW807" s="4" t="s">
        <v>1705</v>
      </c>
      <c r="AX807" s="4" t="s">
        <v>1710</v>
      </c>
      <c r="AY807" s="4">
        <v>51.1</v>
      </c>
      <c r="AZ807" s="4">
        <v>-125.6</v>
      </c>
      <c r="BA807" s="4">
        <v>10</v>
      </c>
    </row>
    <row r="808" spans="1:53" ht="14.25" customHeight="1" x14ac:dyDescent="0.2">
      <c r="B808" s="4">
        <v>12</v>
      </c>
      <c r="C808" s="4" t="s">
        <v>7666</v>
      </c>
      <c r="D808" s="4">
        <v>559</v>
      </c>
      <c r="E808" s="4">
        <v>2017</v>
      </c>
      <c r="F808" s="16" t="s">
        <v>3139</v>
      </c>
      <c r="G808" s="4" t="s">
        <v>3140</v>
      </c>
      <c r="H808" s="4" t="s">
        <v>3141</v>
      </c>
      <c r="I808" s="4" t="s">
        <v>1664</v>
      </c>
      <c r="J808" s="4" t="s">
        <v>1715</v>
      </c>
      <c r="K808" s="4">
        <v>1</v>
      </c>
      <c r="L808" s="4">
        <v>2420</v>
      </c>
      <c r="M808" s="6"/>
      <c r="AO808" s="4" t="s">
        <v>3139</v>
      </c>
      <c r="AP808" s="4">
        <v>559</v>
      </c>
      <c r="AQ808" s="4" t="s">
        <v>1716</v>
      </c>
      <c r="AR808" s="4" t="s">
        <v>1717</v>
      </c>
      <c r="AS808" s="4" t="s">
        <v>1718</v>
      </c>
      <c r="AT808" s="4" t="s">
        <v>1719</v>
      </c>
      <c r="AU808" s="4" t="s">
        <v>1703</v>
      </c>
      <c r="AV808" s="4" t="s">
        <v>1720</v>
      </c>
      <c r="AW808" s="4" t="s">
        <v>1705</v>
      </c>
      <c r="AX808" s="4" t="s">
        <v>1837</v>
      </c>
      <c r="AY808" s="4">
        <v>50.1</v>
      </c>
      <c r="AZ808" s="4">
        <v>-124</v>
      </c>
      <c r="BA808" s="4">
        <v>1</v>
      </c>
    </row>
    <row r="809" spans="1:53" ht="14.25" customHeight="1" x14ac:dyDescent="0.2">
      <c r="B809" s="4">
        <v>12</v>
      </c>
      <c r="C809" s="4" t="s">
        <v>7666</v>
      </c>
      <c r="D809" s="4">
        <v>560</v>
      </c>
      <c r="E809" s="4">
        <v>2018</v>
      </c>
      <c r="F809" s="16" t="s">
        <v>3142</v>
      </c>
      <c r="G809" s="4" t="s">
        <v>3143</v>
      </c>
      <c r="H809" s="4" t="s">
        <v>3144</v>
      </c>
      <c r="I809" s="4" t="s">
        <v>1664</v>
      </c>
      <c r="J809" s="4" t="s">
        <v>1746</v>
      </c>
      <c r="K809" s="4">
        <v>1</v>
      </c>
      <c r="L809" s="4">
        <v>2421</v>
      </c>
      <c r="M809" s="6"/>
      <c r="AO809" s="4" t="s">
        <v>3142</v>
      </c>
      <c r="AP809" s="4">
        <v>560</v>
      </c>
      <c r="AQ809" s="4" t="s">
        <v>1716</v>
      </c>
      <c r="AR809" s="4" t="s">
        <v>1717</v>
      </c>
      <c r="AS809" s="4" t="s">
        <v>1718</v>
      </c>
      <c r="AT809" s="4" t="s">
        <v>1719</v>
      </c>
      <c r="AU809" s="4" t="s">
        <v>1703</v>
      </c>
      <c r="AV809" s="4" t="s">
        <v>1720</v>
      </c>
      <c r="AW809" s="4" t="s">
        <v>1947</v>
      </c>
      <c r="AX809" s="4" t="s">
        <v>1948</v>
      </c>
      <c r="AY809" s="4">
        <v>53.3</v>
      </c>
      <c r="AZ809" s="4">
        <v>-128.4</v>
      </c>
      <c r="BA809" s="4">
        <v>2</v>
      </c>
    </row>
    <row r="810" spans="1:53" ht="14.25" customHeight="1" x14ac:dyDescent="0.2">
      <c r="B810" s="4">
        <v>12</v>
      </c>
      <c r="C810" s="4" t="s">
        <v>7666</v>
      </c>
      <c r="D810" s="4">
        <v>561</v>
      </c>
      <c r="E810" s="4">
        <v>2019</v>
      </c>
      <c r="F810" s="16" t="s">
        <v>3145</v>
      </c>
      <c r="G810" s="4" t="s">
        <v>3146</v>
      </c>
      <c r="H810" s="4" t="s">
        <v>3147</v>
      </c>
      <c r="I810" s="4" t="s">
        <v>1664</v>
      </c>
      <c r="J810" s="4" t="s">
        <v>1715</v>
      </c>
      <c r="K810" s="4">
        <v>1</v>
      </c>
      <c r="L810" s="4">
        <v>2422</v>
      </c>
      <c r="M810" s="6"/>
      <c r="AO810" s="4" t="s">
        <v>3145</v>
      </c>
      <c r="AP810" s="4">
        <v>561</v>
      </c>
      <c r="AQ810" s="4" t="s">
        <v>1716</v>
      </c>
      <c r="AR810" s="4" t="s">
        <v>1717</v>
      </c>
      <c r="AS810" s="4" t="s">
        <v>1718</v>
      </c>
      <c r="AT810" s="4" t="s">
        <v>1719</v>
      </c>
      <c r="AU810" s="4" t="s">
        <v>1703</v>
      </c>
      <c r="AV810" s="4" t="s">
        <v>1720</v>
      </c>
      <c r="AW810" s="4" t="s">
        <v>1705</v>
      </c>
      <c r="AX810" s="4" t="s">
        <v>1965</v>
      </c>
      <c r="AY810" s="4">
        <v>51.4</v>
      </c>
      <c r="AZ810" s="4">
        <v>-127.5</v>
      </c>
      <c r="BA810" s="4">
        <v>1</v>
      </c>
    </row>
    <row r="811" spans="1:53" ht="14.25" customHeight="1" x14ac:dyDescent="0.2">
      <c r="B811" s="4">
        <v>12</v>
      </c>
      <c r="C811" s="4" t="s">
        <v>7666</v>
      </c>
      <c r="D811" s="4">
        <v>562</v>
      </c>
      <c r="E811" s="4">
        <v>2020</v>
      </c>
      <c r="F811" s="16" t="s">
        <v>3148</v>
      </c>
      <c r="G811" s="27" t="s">
        <v>3149</v>
      </c>
      <c r="H811" s="4" t="s">
        <v>3150</v>
      </c>
      <c r="I811" s="4" t="s">
        <v>1664</v>
      </c>
      <c r="J811" s="4" t="s">
        <v>1715</v>
      </c>
      <c r="K811" s="4">
        <v>1</v>
      </c>
      <c r="L811" s="4">
        <v>2423</v>
      </c>
      <c r="M811" s="6"/>
      <c r="AO811" s="4" t="s">
        <v>3148</v>
      </c>
      <c r="AP811" s="4">
        <v>562</v>
      </c>
      <c r="AQ811" s="4" t="s">
        <v>1716</v>
      </c>
      <c r="AR811" s="4" t="s">
        <v>1717</v>
      </c>
      <c r="AS811" s="4" t="s">
        <v>1718</v>
      </c>
      <c r="AT811" s="4" t="s">
        <v>1719</v>
      </c>
      <c r="AU811" s="4" t="s">
        <v>1703</v>
      </c>
      <c r="AV811" s="4" t="s">
        <v>1720</v>
      </c>
      <c r="AW811" s="4" t="s">
        <v>1705</v>
      </c>
      <c r="AX811" s="4" t="s">
        <v>1965</v>
      </c>
      <c r="AY811" s="4">
        <v>51.7</v>
      </c>
      <c r="AZ811" s="4">
        <v>-127.3</v>
      </c>
      <c r="BA811" s="4">
        <v>1</v>
      </c>
    </row>
    <row r="812" spans="1:53" ht="14.25" customHeight="1" x14ac:dyDescent="0.2">
      <c r="B812" s="4">
        <v>12</v>
      </c>
      <c r="C812" s="4" t="s">
        <v>7666</v>
      </c>
      <c r="D812" s="4">
        <v>563</v>
      </c>
      <c r="E812" s="4">
        <v>2021</v>
      </c>
      <c r="F812" s="16" t="s">
        <v>3151</v>
      </c>
      <c r="G812" s="27" t="s">
        <v>3152</v>
      </c>
      <c r="H812" s="4" t="s">
        <v>3153</v>
      </c>
      <c r="I812" s="4" t="s">
        <v>1664</v>
      </c>
      <c r="J812" s="4" t="s">
        <v>1715</v>
      </c>
      <c r="K812" s="4">
        <v>1</v>
      </c>
      <c r="L812" s="4">
        <v>2424</v>
      </c>
      <c r="M812" s="6"/>
      <c r="AO812" s="4" t="s">
        <v>3151</v>
      </c>
      <c r="AP812" s="4">
        <v>563</v>
      </c>
      <c r="AQ812" s="4" t="s">
        <v>1716</v>
      </c>
      <c r="AR812" s="4" t="s">
        <v>1717</v>
      </c>
      <c r="AS812" s="4" t="s">
        <v>1718</v>
      </c>
      <c r="AT812" s="4" t="s">
        <v>1719</v>
      </c>
      <c r="AU812" s="4" t="s">
        <v>1703</v>
      </c>
      <c r="AV812" s="4" t="s">
        <v>1720</v>
      </c>
      <c r="AW812" s="4" t="s">
        <v>1705</v>
      </c>
      <c r="AX812" s="4" t="s">
        <v>1965</v>
      </c>
      <c r="AY812" s="4">
        <v>51.9</v>
      </c>
      <c r="AZ812" s="4">
        <v>-127.4</v>
      </c>
      <c r="BA812" s="4">
        <v>1</v>
      </c>
    </row>
    <row r="813" spans="1:53" ht="14.25" customHeight="1" x14ac:dyDescent="0.2">
      <c r="B813" s="4">
        <v>12</v>
      </c>
      <c r="C813" s="4" t="s">
        <v>7666</v>
      </c>
      <c r="D813" s="4">
        <v>564</v>
      </c>
      <c r="E813" s="4">
        <v>2022</v>
      </c>
      <c r="F813" s="16" t="s">
        <v>3154</v>
      </c>
      <c r="G813" s="4" t="s">
        <v>3155</v>
      </c>
      <c r="H813" s="4" t="s">
        <v>3156</v>
      </c>
      <c r="I813" s="4" t="s">
        <v>1664</v>
      </c>
      <c r="J813" s="4" t="s">
        <v>1715</v>
      </c>
      <c r="K813" s="4">
        <v>1</v>
      </c>
      <c r="L813" s="4">
        <v>2425</v>
      </c>
      <c r="M813" s="6"/>
      <c r="AO813" s="4" t="s">
        <v>3154</v>
      </c>
      <c r="AP813" s="4">
        <v>564</v>
      </c>
      <c r="AQ813" s="4" t="s">
        <v>1716</v>
      </c>
      <c r="AR813" s="4" t="s">
        <v>1717</v>
      </c>
      <c r="AS813" s="4" t="s">
        <v>1718</v>
      </c>
      <c r="AT813" s="4" t="s">
        <v>1719</v>
      </c>
      <c r="AU813" s="4" t="s">
        <v>1703</v>
      </c>
      <c r="AV813" s="4" t="s">
        <v>1720</v>
      </c>
      <c r="AW813" s="4" t="s">
        <v>1705</v>
      </c>
      <c r="AX813" s="4" t="s">
        <v>1965</v>
      </c>
      <c r="AY813" s="4">
        <v>52.1</v>
      </c>
      <c r="AZ813" s="4">
        <v>-127.4</v>
      </c>
      <c r="BA813" s="4">
        <v>1</v>
      </c>
    </row>
    <row r="814" spans="1:53" ht="14.25" customHeight="1" x14ac:dyDescent="0.2">
      <c r="B814" s="4">
        <v>12</v>
      </c>
      <c r="C814" s="4" t="s">
        <v>7666</v>
      </c>
      <c r="D814" s="4">
        <v>565</v>
      </c>
      <c r="E814" s="4">
        <v>2023</v>
      </c>
      <c r="F814" s="16" t="s">
        <v>3157</v>
      </c>
      <c r="G814" s="27" t="s">
        <v>3158</v>
      </c>
      <c r="H814" s="4" t="s">
        <v>3159</v>
      </c>
      <c r="I814" s="4" t="s">
        <v>1664</v>
      </c>
      <c r="J814" s="4" t="s">
        <v>1715</v>
      </c>
      <c r="K814" s="4">
        <v>1</v>
      </c>
      <c r="L814" s="4">
        <v>2426</v>
      </c>
      <c r="M814" s="6"/>
      <c r="AO814" s="4" t="s">
        <v>3157</v>
      </c>
      <c r="AP814" s="4">
        <v>565</v>
      </c>
      <c r="AQ814" s="4" t="s">
        <v>1716</v>
      </c>
      <c r="AR814" s="4" t="s">
        <v>1717</v>
      </c>
      <c r="AS814" s="4" t="s">
        <v>1718</v>
      </c>
      <c r="AT814" s="4" t="s">
        <v>1719</v>
      </c>
      <c r="AU814" s="4" t="s">
        <v>1703</v>
      </c>
      <c r="AV814" s="4" t="s">
        <v>1720</v>
      </c>
      <c r="AW814" s="4" t="s">
        <v>1705</v>
      </c>
      <c r="AX814" s="4" t="s">
        <v>1965</v>
      </c>
      <c r="AY814" s="4">
        <v>52</v>
      </c>
      <c r="AZ814" s="4">
        <v>-127.7</v>
      </c>
      <c r="BA814" s="4">
        <v>1</v>
      </c>
    </row>
    <row r="815" spans="1:53" ht="14.25" customHeight="1" x14ac:dyDescent="0.2">
      <c r="B815" s="4">
        <v>12</v>
      </c>
      <c r="C815" s="4" t="s">
        <v>7666</v>
      </c>
      <c r="D815" s="4">
        <v>566</v>
      </c>
      <c r="E815" s="4">
        <v>2024</v>
      </c>
      <c r="F815" s="16" t="s">
        <v>3160</v>
      </c>
      <c r="G815" s="27" t="s">
        <v>3161</v>
      </c>
      <c r="H815" s="4" t="s">
        <v>3162</v>
      </c>
      <c r="I815" s="4" t="s">
        <v>1664</v>
      </c>
      <c r="J815" s="4" t="s">
        <v>1746</v>
      </c>
      <c r="K815" s="4">
        <v>1</v>
      </c>
      <c r="L815" s="4">
        <v>2427</v>
      </c>
      <c r="M815" s="6"/>
      <c r="AO815" s="4" t="s">
        <v>3160</v>
      </c>
      <c r="AP815" s="4">
        <v>566</v>
      </c>
      <c r="AQ815" s="4" t="s">
        <v>1716</v>
      </c>
      <c r="AR815" s="4" t="s">
        <v>1717</v>
      </c>
      <c r="AS815" s="4" t="s">
        <v>1718</v>
      </c>
      <c r="AT815" s="4" t="s">
        <v>1719</v>
      </c>
      <c r="AU815" s="4" t="s">
        <v>1703</v>
      </c>
      <c r="AV815" s="4" t="s">
        <v>1720</v>
      </c>
      <c r="AW815" s="4" t="s">
        <v>1705</v>
      </c>
      <c r="AX815" s="4" t="s">
        <v>1965</v>
      </c>
      <c r="AY815" s="4">
        <v>52.4</v>
      </c>
      <c r="AZ815" s="4">
        <v>-126.7</v>
      </c>
      <c r="BA815" s="4">
        <v>1</v>
      </c>
    </row>
    <row r="816" spans="1:53" ht="14.25" customHeight="1" x14ac:dyDescent="0.2">
      <c r="B816" s="4">
        <v>12</v>
      </c>
      <c r="C816" s="4" t="s">
        <v>7666</v>
      </c>
      <c r="D816" s="4">
        <v>567</v>
      </c>
      <c r="E816" s="4">
        <v>2025</v>
      </c>
      <c r="F816" s="16" t="s">
        <v>3163</v>
      </c>
      <c r="G816" s="27" t="s">
        <v>3164</v>
      </c>
      <c r="H816" s="4" t="s">
        <v>3165</v>
      </c>
      <c r="I816" s="4" t="s">
        <v>1664</v>
      </c>
      <c r="J816" s="4" t="s">
        <v>1746</v>
      </c>
      <c r="K816" s="4">
        <v>1</v>
      </c>
      <c r="L816" s="4">
        <v>2428</v>
      </c>
      <c r="M816" s="6"/>
      <c r="AO816" s="4" t="s">
        <v>3163</v>
      </c>
      <c r="AP816" s="4">
        <v>567</v>
      </c>
      <c r="AQ816" s="4" t="s">
        <v>1716</v>
      </c>
      <c r="AR816" s="4" t="s">
        <v>1717</v>
      </c>
      <c r="AS816" s="4" t="s">
        <v>1718</v>
      </c>
      <c r="AT816" s="4" t="s">
        <v>1719</v>
      </c>
      <c r="AU816" s="4" t="s">
        <v>1703</v>
      </c>
      <c r="AV816" s="4" t="s">
        <v>1720</v>
      </c>
      <c r="AW816" s="4" t="s">
        <v>1947</v>
      </c>
      <c r="AX816" s="4" t="s">
        <v>1948</v>
      </c>
      <c r="AY816" s="4">
        <v>54.3</v>
      </c>
      <c r="AZ816" s="4">
        <v>-129.80000000000001</v>
      </c>
      <c r="BA816" s="4">
        <v>2</v>
      </c>
    </row>
    <row r="817" spans="1:53" ht="14.25" customHeight="1" x14ac:dyDescent="0.2">
      <c r="B817" s="4">
        <v>12</v>
      </c>
      <c r="C817" s="4" t="s">
        <v>7666</v>
      </c>
      <c r="D817" s="4">
        <v>568</v>
      </c>
      <c r="E817" s="4">
        <v>2026</v>
      </c>
      <c r="F817" s="16" t="s">
        <v>3166</v>
      </c>
      <c r="G817" s="27" t="s">
        <v>3167</v>
      </c>
      <c r="H817" s="4" t="s">
        <v>3168</v>
      </c>
      <c r="I817" s="4" t="s">
        <v>1664</v>
      </c>
      <c r="J817" s="4" t="s">
        <v>1715</v>
      </c>
      <c r="K817" s="4">
        <v>1</v>
      </c>
      <c r="L817" s="4">
        <v>2429</v>
      </c>
      <c r="M817" s="6"/>
      <c r="AO817" s="4" t="s">
        <v>3166</v>
      </c>
      <c r="AP817" s="4">
        <v>568</v>
      </c>
      <c r="AQ817" s="4" t="s">
        <v>1716</v>
      </c>
      <c r="AR817" s="4" t="s">
        <v>1717</v>
      </c>
      <c r="AS817" s="4" t="s">
        <v>1718</v>
      </c>
      <c r="AT817" s="4" t="s">
        <v>1719</v>
      </c>
      <c r="AU817" s="4" t="s">
        <v>1703</v>
      </c>
      <c r="AV817" s="4" t="s">
        <v>1720</v>
      </c>
      <c r="AW817" s="4" t="s">
        <v>1705</v>
      </c>
      <c r="AX817" s="4" t="s">
        <v>1965</v>
      </c>
      <c r="AY817" s="4">
        <v>52.5</v>
      </c>
      <c r="AZ817" s="4">
        <v>-127.6</v>
      </c>
      <c r="BA817" s="4">
        <v>2</v>
      </c>
    </row>
    <row r="818" spans="1:53" ht="14.25" customHeight="1" x14ac:dyDescent="0.2">
      <c r="B818" s="4">
        <v>12</v>
      </c>
      <c r="C818" s="4" t="s">
        <v>7666</v>
      </c>
      <c r="D818" s="4">
        <v>569</v>
      </c>
      <c r="E818" s="4">
        <v>2027</v>
      </c>
      <c r="F818" s="16" t="s">
        <v>3169</v>
      </c>
      <c r="G818" s="4" t="s">
        <v>3170</v>
      </c>
      <c r="H818" s="4" t="s">
        <v>3171</v>
      </c>
      <c r="I818" s="4" t="s">
        <v>1664</v>
      </c>
      <c r="J818" s="4" t="s">
        <v>1746</v>
      </c>
      <c r="K818" s="4">
        <v>1</v>
      </c>
      <c r="L818" s="4">
        <v>2430</v>
      </c>
      <c r="M818" s="6"/>
      <c r="AO818" s="4" t="s">
        <v>3169</v>
      </c>
      <c r="AP818" s="4">
        <v>569</v>
      </c>
      <c r="AQ818" s="4" t="s">
        <v>1716</v>
      </c>
      <c r="AR818" s="4" t="s">
        <v>1717</v>
      </c>
      <c r="AS818" s="4" t="s">
        <v>1718</v>
      </c>
      <c r="AT818" s="4" t="s">
        <v>1719</v>
      </c>
      <c r="AU818" s="4" t="s">
        <v>1703</v>
      </c>
      <c r="AV818" s="4" t="s">
        <v>1720</v>
      </c>
      <c r="AW818" s="4" t="s">
        <v>1705</v>
      </c>
      <c r="AX818" s="4" t="s">
        <v>1965</v>
      </c>
      <c r="AY818" s="4">
        <v>52.3</v>
      </c>
      <c r="AZ818" s="4">
        <v>-127.3</v>
      </c>
      <c r="BA818" s="4">
        <v>0</v>
      </c>
    </row>
    <row r="819" spans="1:53" ht="14.25" customHeight="1" x14ac:dyDescent="0.2">
      <c r="A819" s="4" t="s">
        <v>422</v>
      </c>
      <c r="B819" s="4">
        <v>12</v>
      </c>
      <c r="C819" s="4" t="s">
        <v>7666</v>
      </c>
      <c r="D819" s="4">
        <v>570</v>
      </c>
      <c r="E819" s="4">
        <v>2028</v>
      </c>
      <c r="F819" s="16" t="s">
        <v>3172</v>
      </c>
      <c r="G819" s="4" t="s">
        <v>3173</v>
      </c>
      <c r="H819" s="4" t="s">
        <v>3174</v>
      </c>
      <c r="I819" s="4" t="s">
        <v>1664</v>
      </c>
      <c r="J819" s="4" t="s">
        <v>1746</v>
      </c>
      <c r="K819" s="4">
        <v>1</v>
      </c>
      <c r="L819" s="4">
        <v>2431</v>
      </c>
      <c r="M819" s="6"/>
      <c r="AO819" s="4" t="s">
        <v>3172</v>
      </c>
      <c r="AP819" s="4">
        <v>570</v>
      </c>
      <c r="AQ819" s="4" t="s">
        <v>1716</v>
      </c>
      <c r="AR819" s="4" t="s">
        <v>1717</v>
      </c>
      <c r="AS819" s="4" t="s">
        <v>1718</v>
      </c>
      <c r="AT819" s="4" t="s">
        <v>1719</v>
      </c>
      <c r="AU819" s="4" t="s">
        <v>1703</v>
      </c>
      <c r="AV819" s="4" t="s">
        <v>1720</v>
      </c>
      <c r="AW819" s="4" t="s">
        <v>1705</v>
      </c>
      <c r="AX819" s="4" t="s">
        <v>1952</v>
      </c>
      <c r="AY819" s="4">
        <v>53.4</v>
      </c>
      <c r="AZ819" s="4">
        <v>-132.1</v>
      </c>
      <c r="BA819" s="4">
        <v>1</v>
      </c>
    </row>
    <row r="820" spans="1:53" ht="14.25" customHeight="1" x14ac:dyDescent="0.2">
      <c r="B820" s="4">
        <v>12</v>
      </c>
      <c r="C820" s="4" t="s">
        <v>7666</v>
      </c>
      <c r="D820" s="4">
        <v>571</v>
      </c>
      <c r="E820" s="4">
        <v>2029</v>
      </c>
      <c r="F820" s="16" t="s">
        <v>3175</v>
      </c>
      <c r="G820" s="4" t="s">
        <v>3176</v>
      </c>
      <c r="H820" s="4" t="s">
        <v>3177</v>
      </c>
      <c r="I820" s="4" t="s">
        <v>1664</v>
      </c>
      <c r="J820" s="4" t="s">
        <v>1715</v>
      </c>
      <c r="K820" s="4">
        <v>1</v>
      </c>
      <c r="L820" s="4">
        <v>2432</v>
      </c>
      <c r="M820" s="6"/>
      <c r="AO820" s="4" t="s">
        <v>3175</v>
      </c>
      <c r="AP820" s="4">
        <v>571</v>
      </c>
      <c r="AQ820" s="4" t="s">
        <v>1716</v>
      </c>
      <c r="AR820" s="4" t="s">
        <v>1717</v>
      </c>
      <c r="AS820" s="4" t="s">
        <v>1718</v>
      </c>
      <c r="AT820" s="4" t="s">
        <v>1719</v>
      </c>
      <c r="AU820" s="4" t="s">
        <v>1703</v>
      </c>
      <c r="AV820" s="4" t="s">
        <v>1720</v>
      </c>
      <c r="AW820" s="4" t="s">
        <v>1947</v>
      </c>
      <c r="AX820" s="4" t="s">
        <v>1948</v>
      </c>
      <c r="AY820" s="4">
        <v>54.2</v>
      </c>
      <c r="AZ820" s="4">
        <v>-129.80000000000001</v>
      </c>
      <c r="BA820" s="4">
        <v>0</v>
      </c>
    </row>
    <row r="821" spans="1:53" ht="14.25" customHeight="1" x14ac:dyDescent="0.2">
      <c r="B821" s="4">
        <v>12</v>
      </c>
      <c r="C821" s="4" t="s">
        <v>7666</v>
      </c>
      <c r="D821" s="4">
        <v>572</v>
      </c>
      <c r="E821" s="4">
        <v>2030</v>
      </c>
      <c r="F821" s="16" t="s">
        <v>3178</v>
      </c>
      <c r="G821" s="4" t="s">
        <v>3179</v>
      </c>
      <c r="H821" s="4" t="s">
        <v>3180</v>
      </c>
      <c r="I821" s="4" t="s">
        <v>1664</v>
      </c>
      <c r="J821" s="4" t="s">
        <v>1746</v>
      </c>
      <c r="K821" s="4">
        <v>1</v>
      </c>
      <c r="L821" s="4">
        <v>2433</v>
      </c>
      <c r="M821" s="6"/>
      <c r="AO821" s="4" t="s">
        <v>3178</v>
      </c>
      <c r="AP821" s="4">
        <v>572</v>
      </c>
      <c r="AQ821" s="4" t="s">
        <v>1716</v>
      </c>
      <c r="AR821" s="4" t="s">
        <v>1717</v>
      </c>
      <c r="AS821" s="4" t="s">
        <v>1718</v>
      </c>
      <c r="AT821" s="4" t="s">
        <v>1719</v>
      </c>
      <c r="AU821" s="4" t="s">
        <v>1703</v>
      </c>
      <c r="AV821" s="4" t="s">
        <v>1720</v>
      </c>
      <c r="AW821" s="4" t="s">
        <v>1947</v>
      </c>
      <c r="AX821" s="4" t="s">
        <v>1948</v>
      </c>
      <c r="AY821" s="4">
        <v>53.3</v>
      </c>
      <c r="AZ821" s="4">
        <v>-128.5</v>
      </c>
      <c r="BA821" s="4">
        <v>1</v>
      </c>
    </row>
    <row r="822" spans="1:53" ht="14.25" customHeight="1" x14ac:dyDescent="0.2">
      <c r="A822" s="4" t="s">
        <v>422</v>
      </c>
      <c r="B822" s="4">
        <v>12</v>
      </c>
      <c r="C822" s="4" t="s">
        <v>7666</v>
      </c>
      <c r="D822" s="4">
        <v>574</v>
      </c>
      <c r="E822" s="4">
        <v>2031</v>
      </c>
      <c r="F822" s="16" t="s">
        <v>3181</v>
      </c>
      <c r="G822" s="4" t="s">
        <v>3182</v>
      </c>
      <c r="H822" s="4" t="s">
        <v>3183</v>
      </c>
      <c r="I822" s="4" t="s">
        <v>1664</v>
      </c>
      <c r="J822" s="4" t="s">
        <v>1746</v>
      </c>
      <c r="K822" s="4">
        <v>1</v>
      </c>
      <c r="L822" s="4">
        <v>2434</v>
      </c>
      <c r="M822" s="6"/>
      <c r="AO822" s="4" t="s">
        <v>3181</v>
      </c>
      <c r="AP822" s="4">
        <v>574</v>
      </c>
      <c r="AQ822" s="4" t="s">
        <v>1716</v>
      </c>
      <c r="AR822" s="4" t="s">
        <v>1717</v>
      </c>
      <c r="AS822" s="4" t="s">
        <v>1718</v>
      </c>
      <c r="AT822" s="4" t="s">
        <v>1719</v>
      </c>
      <c r="AU822" s="4" t="s">
        <v>1703</v>
      </c>
      <c r="AV822" s="4" t="s">
        <v>1720</v>
      </c>
      <c r="AW822" s="4" t="s">
        <v>1705</v>
      </c>
      <c r="AX822" s="4" t="s">
        <v>1965</v>
      </c>
      <c r="AY822" s="4">
        <v>52.133000000000003</v>
      </c>
      <c r="AZ822" s="4">
        <v>-128.26</v>
      </c>
      <c r="BA822" s="4">
        <v>1</v>
      </c>
    </row>
    <row r="823" spans="1:53" ht="14.25" customHeight="1" x14ac:dyDescent="0.2">
      <c r="B823" s="4">
        <v>12</v>
      </c>
      <c r="C823" s="4" t="s">
        <v>7666</v>
      </c>
      <c r="D823" s="4">
        <v>575</v>
      </c>
      <c r="E823" s="4">
        <v>2032</v>
      </c>
      <c r="F823" s="16" t="s">
        <v>3184</v>
      </c>
      <c r="G823" s="4" t="s">
        <v>3185</v>
      </c>
      <c r="H823" s="4" t="s">
        <v>3186</v>
      </c>
      <c r="I823" s="4" t="s">
        <v>1664</v>
      </c>
      <c r="J823" s="4" t="s">
        <v>1746</v>
      </c>
      <c r="K823" s="4">
        <v>1</v>
      </c>
      <c r="L823" s="4">
        <v>2435</v>
      </c>
      <c r="M823" s="6"/>
      <c r="AO823" s="4" t="s">
        <v>3184</v>
      </c>
      <c r="AP823" s="4">
        <v>575</v>
      </c>
      <c r="AQ823" s="4" t="s">
        <v>1716</v>
      </c>
      <c r="AR823" s="4" t="s">
        <v>1717</v>
      </c>
      <c r="AS823" s="4" t="s">
        <v>1718</v>
      </c>
      <c r="AT823" s="4" t="s">
        <v>1719</v>
      </c>
      <c r="AU823" s="4" t="s">
        <v>1703</v>
      </c>
      <c r="AV823" s="4" t="s">
        <v>1720</v>
      </c>
      <c r="AW823" s="4" t="s">
        <v>1705</v>
      </c>
      <c r="AX823" s="4" t="s">
        <v>1965</v>
      </c>
      <c r="AY823" s="4">
        <v>52.7</v>
      </c>
      <c r="AZ823" s="4">
        <v>-128.30000000000001</v>
      </c>
      <c r="BA823" s="4">
        <v>1</v>
      </c>
    </row>
    <row r="824" spans="1:53" ht="14.25" customHeight="1" x14ac:dyDescent="0.2">
      <c r="A824" s="4" t="s">
        <v>422</v>
      </c>
      <c r="B824" s="4">
        <v>12</v>
      </c>
      <c r="C824" s="4" t="s">
        <v>7666</v>
      </c>
      <c r="D824" s="25">
        <v>576</v>
      </c>
      <c r="E824" s="4">
        <v>2033</v>
      </c>
      <c r="F824" s="16" t="s">
        <v>3187</v>
      </c>
      <c r="G824" s="4" t="s">
        <v>3188</v>
      </c>
      <c r="H824" s="4" t="s">
        <v>3189</v>
      </c>
      <c r="I824" s="4" t="s">
        <v>1664</v>
      </c>
      <c r="J824" s="4" t="s">
        <v>1746</v>
      </c>
      <c r="K824" s="4">
        <v>1</v>
      </c>
      <c r="L824" s="4">
        <v>2436</v>
      </c>
      <c r="M824" s="6"/>
      <c r="AO824" s="4" t="s">
        <v>3187</v>
      </c>
      <c r="AP824" s="4">
        <v>576</v>
      </c>
      <c r="AQ824" s="4" t="s">
        <v>1716</v>
      </c>
      <c r="AR824" s="4" t="s">
        <v>1717</v>
      </c>
      <c r="AS824" s="4" t="s">
        <v>1718</v>
      </c>
      <c r="AT824" s="4" t="s">
        <v>1719</v>
      </c>
      <c r="AU824" s="4" t="s">
        <v>1703</v>
      </c>
      <c r="AV824" s="4" t="s">
        <v>1720</v>
      </c>
      <c r="AW824" s="4" t="s">
        <v>1947</v>
      </c>
      <c r="AX824" s="4" t="s">
        <v>1948</v>
      </c>
      <c r="AY824" s="4">
        <v>53.4</v>
      </c>
      <c r="AZ824" s="4">
        <v>-128.69999999999999</v>
      </c>
      <c r="BA824" s="4">
        <v>6</v>
      </c>
    </row>
    <row r="825" spans="1:53" ht="14.25" customHeight="1" x14ac:dyDescent="0.2">
      <c r="A825" s="4" t="s">
        <v>422</v>
      </c>
      <c r="B825" s="4">
        <v>12</v>
      </c>
      <c r="C825" s="4" t="s">
        <v>7666</v>
      </c>
      <c r="D825" s="4">
        <v>577</v>
      </c>
      <c r="E825" s="4">
        <v>2034</v>
      </c>
      <c r="F825" s="16" t="s">
        <v>3190</v>
      </c>
      <c r="G825" s="4" t="s">
        <v>3191</v>
      </c>
      <c r="H825" s="4" t="s">
        <v>3192</v>
      </c>
      <c r="I825" s="4" t="s">
        <v>1664</v>
      </c>
      <c r="J825" s="4" t="s">
        <v>1746</v>
      </c>
      <c r="K825" s="4">
        <v>1</v>
      </c>
      <c r="L825" s="4">
        <v>2437</v>
      </c>
      <c r="M825" s="6"/>
      <c r="AO825" s="4" t="s">
        <v>3190</v>
      </c>
      <c r="AP825" s="4">
        <v>577</v>
      </c>
      <c r="AQ825" s="4" t="s">
        <v>1716</v>
      </c>
      <c r="AR825" s="4" t="s">
        <v>1717</v>
      </c>
      <c r="AS825" s="4" t="s">
        <v>1718</v>
      </c>
      <c r="AT825" s="4" t="s">
        <v>1719</v>
      </c>
      <c r="AU825" s="4" t="s">
        <v>1703</v>
      </c>
      <c r="AV825" s="4" t="s">
        <v>1720</v>
      </c>
      <c r="AW825" s="4" t="s">
        <v>1947</v>
      </c>
      <c r="AX825" s="4" t="s">
        <v>1948</v>
      </c>
      <c r="AY825" s="4">
        <v>53.5</v>
      </c>
      <c r="AZ825" s="4">
        <v>-128.80000000000001</v>
      </c>
      <c r="BA825" s="4">
        <v>1</v>
      </c>
    </row>
    <row r="826" spans="1:53" ht="14.25" customHeight="1" x14ac:dyDescent="0.2">
      <c r="A826" s="4" t="s">
        <v>422</v>
      </c>
      <c r="B826" s="4">
        <v>12</v>
      </c>
      <c r="C826" s="4" t="s">
        <v>7666</v>
      </c>
      <c r="D826" s="4">
        <v>578</v>
      </c>
      <c r="E826" s="4">
        <v>2035</v>
      </c>
      <c r="F826" s="16" t="s">
        <v>3193</v>
      </c>
      <c r="G826" s="4" t="s">
        <v>3194</v>
      </c>
      <c r="H826" s="4" t="s">
        <v>3195</v>
      </c>
      <c r="I826" s="4" t="s">
        <v>1664</v>
      </c>
      <c r="J826" s="4" t="s">
        <v>1746</v>
      </c>
      <c r="K826" s="4">
        <v>1</v>
      </c>
      <c r="L826" s="4">
        <v>2438</v>
      </c>
      <c r="M826" s="6"/>
      <c r="AO826" s="4" t="s">
        <v>3193</v>
      </c>
      <c r="AP826" s="4">
        <v>578</v>
      </c>
      <c r="AQ826" s="4" t="s">
        <v>1716</v>
      </c>
      <c r="AR826" s="4" t="s">
        <v>1717</v>
      </c>
      <c r="AS826" s="4" t="s">
        <v>1718</v>
      </c>
      <c r="AT826" s="4" t="s">
        <v>1719</v>
      </c>
      <c r="AU826" s="4" t="s">
        <v>1703</v>
      </c>
      <c r="AV826" s="4" t="s">
        <v>1720</v>
      </c>
      <c r="AW826" s="4" t="s">
        <v>1947</v>
      </c>
      <c r="AX826" s="4" t="s">
        <v>1948</v>
      </c>
      <c r="AY826" s="4">
        <v>53.4</v>
      </c>
      <c r="AZ826" s="4">
        <v>-129.1</v>
      </c>
      <c r="BA826" s="4">
        <v>0</v>
      </c>
    </row>
    <row r="827" spans="1:53" ht="14.25" customHeight="1" x14ac:dyDescent="0.2">
      <c r="B827" s="4">
        <v>12</v>
      </c>
      <c r="C827" s="4" t="s">
        <v>7666</v>
      </c>
      <c r="D827" s="4">
        <v>579</v>
      </c>
      <c r="E827" s="4">
        <v>2036</v>
      </c>
      <c r="F827" s="16" t="s">
        <v>3196</v>
      </c>
      <c r="G827" s="4" t="s">
        <v>3197</v>
      </c>
      <c r="H827" s="4" t="s">
        <v>3198</v>
      </c>
      <c r="I827" s="4" t="s">
        <v>1664</v>
      </c>
      <c r="J827" s="4" t="s">
        <v>1715</v>
      </c>
      <c r="K827" s="4">
        <v>1</v>
      </c>
      <c r="L827" s="4">
        <v>2439</v>
      </c>
      <c r="M827" s="6"/>
      <c r="AO827" s="4" t="s">
        <v>3196</v>
      </c>
      <c r="AP827" s="4">
        <v>579</v>
      </c>
      <c r="AQ827" s="4" t="s">
        <v>1716</v>
      </c>
      <c r="AR827" s="4" t="s">
        <v>1717</v>
      </c>
      <c r="AS827" s="4" t="s">
        <v>1718</v>
      </c>
      <c r="AT827" s="4" t="s">
        <v>1719</v>
      </c>
      <c r="AU827" s="4" t="s">
        <v>1703</v>
      </c>
      <c r="AV827" s="4" t="s">
        <v>1720</v>
      </c>
      <c r="AW827" s="4" t="s">
        <v>1705</v>
      </c>
      <c r="AX827" s="4" t="s">
        <v>1965</v>
      </c>
      <c r="AY827" s="4">
        <v>52.2</v>
      </c>
      <c r="AZ827" s="4">
        <v>-126.8</v>
      </c>
      <c r="BA827" s="4">
        <v>1</v>
      </c>
    </row>
    <row r="828" spans="1:53" ht="14.25" customHeight="1" x14ac:dyDescent="0.2">
      <c r="B828" s="4">
        <v>12</v>
      </c>
      <c r="C828" s="4" t="s">
        <v>7666</v>
      </c>
      <c r="D828" s="4">
        <v>580</v>
      </c>
      <c r="E828" s="4">
        <v>2037</v>
      </c>
      <c r="F828" s="16" t="s">
        <v>3199</v>
      </c>
      <c r="G828" s="4" t="s">
        <v>3200</v>
      </c>
      <c r="H828" s="4" t="s">
        <v>3201</v>
      </c>
      <c r="I828" s="4" t="s">
        <v>1664</v>
      </c>
      <c r="J828" s="4" t="s">
        <v>1715</v>
      </c>
      <c r="K828" s="4">
        <v>1</v>
      </c>
      <c r="L828" s="4">
        <v>2440</v>
      </c>
      <c r="M828" s="6"/>
      <c r="AO828" s="4" t="s">
        <v>3199</v>
      </c>
      <c r="AP828" s="4">
        <v>580</v>
      </c>
      <c r="AQ828" s="4" t="s">
        <v>1716</v>
      </c>
      <c r="AR828" s="4" t="s">
        <v>1717</v>
      </c>
      <c r="AS828" s="4" t="s">
        <v>1718</v>
      </c>
      <c r="AT828" s="4" t="s">
        <v>1719</v>
      </c>
      <c r="AU828" s="4" t="s">
        <v>1703</v>
      </c>
      <c r="AV828" s="4" t="s">
        <v>1720</v>
      </c>
      <c r="AW828" s="4" t="s">
        <v>1705</v>
      </c>
      <c r="AX828" s="4" t="s">
        <v>1965</v>
      </c>
      <c r="AY828" s="4">
        <v>51.6</v>
      </c>
      <c r="AZ828" s="4">
        <v>-126.7</v>
      </c>
      <c r="BA828" s="4">
        <v>1</v>
      </c>
    </row>
    <row r="829" spans="1:53" ht="14.25" customHeight="1" x14ac:dyDescent="0.2">
      <c r="B829" s="4">
        <v>12</v>
      </c>
      <c r="C829" s="4" t="s">
        <v>7666</v>
      </c>
      <c r="D829" s="4">
        <v>581</v>
      </c>
      <c r="E829" s="4">
        <v>2038</v>
      </c>
      <c r="F829" s="16" t="s">
        <v>3202</v>
      </c>
      <c r="G829" s="4" t="s">
        <v>3203</v>
      </c>
      <c r="H829" s="4" t="s">
        <v>3159</v>
      </c>
      <c r="I829" s="4" t="s">
        <v>1664</v>
      </c>
      <c r="J829" s="4" t="s">
        <v>1715</v>
      </c>
      <c r="K829" s="4">
        <v>1</v>
      </c>
      <c r="L829" s="4">
        <v>2441</v>
      </c>
      <c r="M829" s="6"/>
      <c r="AO829" s="4" t="s">
        <v>3202</v>
      </c>
      <c r="AP829" s="4">
        <v>581</v>
      </c>
      <c r="AQ829" s="4" t="s">
        <v>1716</v>
      </c>
      <c r="AR829" s="4" t="s">
        <v>1717</v>
      </c>
      <c r="AS829" s="4" t="s">
        <v>1718</v>
      </c>
      <c r="AT829" s="4" t="s">
        <v>1719</v>
      </c>
      <c r="AU829" s="4" t="s">
        <v>1703</v>
      </c>
      <c r="AV829" s="4" t="s">
        <v>1720</v>
      </c>
      <c r="AW829" s="4" t="s">
        <v>1705</v>
      </c>
      <c r="AX829" s="4" t="s">
        <v>1965</v>
      </c>
      <c r="AY829" s="4">
        <v>51.8</v>
      </c>
      <c r="AZ829" s="4">
        <v>-126.6</v>
      </c>
      <c r="BA829" s="4">
        <v>1</v>
      </c>
    </row>
    <row r="830" spans="1:53" ht="14.25" customHeight="1" x14ac:dyDescent="0.2">
      <c r="B830" s="4">
        <v>12</v>
      </c>
      <c r="C830" s="4" t="s">
        <v>7666</v>
      </c>
      <c r="D830" s="4">
        <v>582</v>
      </c>
      <c r="E830" s="4">
        <v>2039</v>
      </c>
      <c r="F830" s="16" t="s">
        <v>3204</v>
      </c>
      <c r="G830" s="4" t="s">
        <v>3205</v>
      </c>
      <c r="H830" s="4" t="s">
        <v>3159</v>
      </c>
      <c r="I830" s="4" t="s">
        <v>1664</v>
      </c>
      <c r="J830" s="4" t="s">
        <v>1715</v>
      </c>
      <c r="K830" s="4">
        <v>1</v>
      </c>
      <c r="L830" s="4">
        <v>2442</v>
      </c>
      <c r="M830" s="6"/>
      <c r="AO830" s="4" t="s">
        <v>3204</v>
      </c>
      <c r="AP830" s="4">
        <v>582</v>
      </c>
      <c r="AQ830" s="4" t="s">
        <v>1716</v>
      </c>
      <c r="AR830" s="4" t="s">
        <v>1717</v>
      </c>
      <c r="AS830" s="4" t="s">
        <v>1718</v>
      </c>
      <c r="AT830" s="4" t="s">
        <v>1719</v>
      </c>
      <c r="AU830" s="4" t="s">
        <v>1703</v>
      </c>
      <c r="AV830" s="4" t="s">
        <v>1720</v>
      </c>
      <c r="AW830" s="4" t="s">
        <v>1705</v>
      </c>
      <c r="AX830" s="4" t="s">
        <v>1965</v>
      </c>
      <c r="AY830" s="4">
        <v>51.8</v>
      </c>
      <c r="AZ830" s="4">
        <v>-126.7</v>
      </c>
      <c r="BA830" s="4">
        <v>1</v>
      </c>
    </row>
    <row r="831" spans="1:53" ht="14.25" customHeight="1" x14ac:dyDescent="0.2">
      <c r="B831" s="4">
        <v>12</v>
      </c>
      <c r="C831" s="4" t="s">
        <v>7666</v>
      </c>
      <c r="D831" s="4">
        <v>583</v>
      </c>
      <c r="E831" s="4">
        <v>2040</v>
      </c>
      <c r="F831" s="16" t="s">
        <v>3206</v>
      </c>
      <c r="G831" s="4" t="s">
        <v>3207</v>
      </c>
      <c r="H831" s="4" t="s">
        <v>3208</v>
      </c>
      <c r="I831" s="4" t="s">
        <v>1664</v>
      </c>
      <c r="J831" s="4" t="s">
        <v>1715</v>
      </c>
      <c r="K831" s="4">
        <v>1</v>
      </c>
      <c r="L831" s="4">
        <v>2443</v>
      </c>
      <c r="M831" s="6"/>
      <c r="AO831" s="4" t="s">
        <v>3206</v>
      </c>
      <c r="AP831" s="4">
        <v>583</v>
      </c>
      <c r="AQ831" s="4" t="s">
        <v>1716</v>
      </c>
      <c r="AR831" s="4" t="s">
        <v>1717</v>
      </c>
      <c r="AS831" s="4" t="s">
        <v>1718</v>
      </c>
      <c r="AT831" s="4" t="s">
        <v>1719</v>
      </c>
      <c r="AU831" s="4" t="s">
        <v>1703</v>
      </c>
      <c r="AV831" s="4" t="s">
        <v>1720</v>
      </c>
      <c r="AW831" s="4" t="s">
        <v>1705</v>
      </c>
      <c r="AX831" s="4" t="s">
        <v>1837</v>
      </c>
      <c r="AY831" s="4">
        <v>50</v>
      </c>
      <c r="AZ831" s="4">
        <v>-124</v>
      </c>
      <c r="BA831" s="4">
        <v>1</v>
      </c>
    </row>
    <row r="832" spans="1:53" ht="14.25" customHeight="1" x14ac:dyDescent="0.2">
      <c r="B832" s="4">
        <v>12</v>
      </c>
      <c r="C832" s="4" t="s">
        <v>7666</v>
      </c>
      <c r="D832" s="4">
        <v>584</v>
      </c>
      <c r="E832" s="4">
        <v>2041</v>
      </c>
      <c r="F832" s="16" t="s">
        <v>3209</v>
      </c>
      <c r="G832" s="4" t="s">
        <v>3210</v>
      </c>
      <c r="H832" s="4" t="s">
        <v>3211</v>
      </c>
      <c r="I832" s="4" t="s">
        <v>1664</v>
      </c>
      <c r="J832" s="4" t="s">
        <v>1715</v>
      </c>
      <c r="K832" s="4">
        <v>1</v>
      </c>
      <c r="L832" s="4">
        <v>2444</v>
      </c>
      <c r="M832" s="6"/>
      <c r="AO832" s="4" t="s">
        <v>3209</v>
      </c>
      <c r="AP832" s="4">
        <v>584</v>
      </c>
      <c r="AQ832" s="4" t="s">
        <v>1716</v>
      </c>
      <c r="AR832" s="4" t="s">
        <v>1717</v>
      </c>
      <c r="AS832" s="4" t="s">
        <v>1718</v>
      </c>
      <c r="AT832" s="4" t="s">
        <v>1719</v>
      </c>
      <c r="AU832" s="4" t="s">
        <v>1703</v>
      </c>
      <c r="AV832" s="4" t="s">
        <v>1720</v>
      </c>
      <c r="AW832" s="4" t="s">
        <v>1705</v>
      </c>
      <c r="AX832" s="4" t="s">
        <v>2153</v>
      </c>
      <c r="AY832" s="4">
        <v>53.5</v>
      </c>
      <c r="AZ832" s="4">
        <v>-127.4</v>
      </c>
      <c r="BA832" s="4">
        <v>19</v>
      </c>
    </row>
    <row r="833" spans="1:53" ht="14.25" customHeight="1" x14ac:dyDescent="0.2">
      <c r="B833" s="4">
        <v>12</v>
      </c>
      <c r="C833" s="4" t="s">
        <v>7666</v>
      </c>
      <c r="D833" s="4">
        <v>585</v>
      </c>
      <c r="E833" s="4">
        <v>2042</v>
      </c>
      <c r="F833" s="16" t="s">
        <v>3212</v>
      </c>
      <c r="G833" s="4" t="s">
        <v>3213</v>
      </c>
      <c r="H833" s="4" t="s">
        <v>3214</v>
      </c>
      <c r="I833" s="4" t="s">
        <v>641</v>
      </c>
      <c r="J833" s="4" t="s">
        <v>1746</v>
      </c>
      <c r="K833" s="4">
        <v>1</v>
      </c>
      <c r="L833" s="4">
        <v>2445</v>
      </c>
      <c r="M833" s="6"/>
      <c r="AO833" s="4" t="s">
        <v>3212</v>
      </c>
      <c r="AP833" s="4">
        <v>585</v>
      </c>
      <c r="AQ833" s="4" t="s">
        <v>1716</v>
      </c>
      <c r="AR833" s="4" t="s">
        <v>1717</v>
      </c>
      <c r="AS833" s="4" t="s">
        <v>1718</v>
      </c>
      <c r="AT833" s="4" t="s">
        <v>1719</v>
      </c>
      <c r="AU833" s="4" t="s">
        <v>1959</v>
      </c>
      <c r="AV833" s="4" t="s">
        <v>1720</v>
      </c>
      <c r="AW833" s="4" t="s">
        <v>1705</v>
      </c>
      <c r="AX833" s="4" t="s">
        <v>1965</v>
      </c>
      <c r="AY833" s="4">
        <v>52.383600000000001</v>
      </c>
      <c r="AZ833" s="4">
        <v>-126.5913</v>
      </c>
      <c r="BA833" s="4">
        <v>50</v>
      </c>
    </row>
    <row r="834" spans="1:53" ht="14.25" customHeight="1" x14ac:dyDescent="0.2">
      <c r="B834" s="4">
        <v>12</v>
      </c>
      <c r="C834" s="4" t="s">
        <v>7666</v>
      </c>
      <c r="D834" s="4">
        <v>586</v>
      </c>
      <c r="E834" s="4">
        <v>2043</v>
      </c>
      <c r="F834" s="16" t="s">
        <v>3215</v>
      </c>
      <c r="G834" s="4" t="s">
        <v>3216</v>
      </c>
      <c r="H834" s="4" t="s">
        <v>3217</v>
      </c>
      <c r="I834" s="4" t="s">
        <v>1664</v>
      </c>
      <c r="J834" s="4" t="s">
        <v>1715</v>
      </c>
      <c r="K834" s="4">
        <v>1</v>
      </c>
      <c r="L834" s="4">
        <v>2446</v>
      </c>
      <c r="M834" s="6"/>
      <c r="AO834" s="4" t="s">
        <v>3215</v>
      </c>
      <c r="AP834" s="4">
        <v>586</v>
      </c>
      <c r="AQ834" s="4" t="s">
        <v>1716</v>
      </c>
      <c r="AR834" s="4" t="s">
        <v>1717</v>
      </c>
      <c r="AS834" s="4" t="s">
        <v>1718</v>
      </c>
      <c r="AT834" s="4" t="s">
        <v>1703</v>
      </c>
      <c r="AU834" s="4" t="s">
        <v>1703</v>
      </c>
      <c r="AV834" s="4" t="s">
        <v>1720</v>
      </c>
      <c r="AW834" s="4" t="s">
        <v>1705</v>
      </c>
      <c r="AX834" s="4" t="s">
        <v>1965</v>
      </c>
      <c r="AY834" s="4">
        <v>52.3</v>
      </c>
      <c r="AZ834" s="4">
        <v>-126.5</v>
      </c>
      <c r="BA834" s="4">
        <v>1</v>
      </c>
    </row>
    <row r="835" spans="1:53" ht="14.25" customHeight="1" x14ac:dyDescent="0.2">
      <c r="A835" s="4" t="s">
        <v>422</v>
      </c>
      <c r="B835" s="4">
        <v>12</v>
      </c>
      <c r="C835" s="4" t="s">
        <v>7666</v>
      </c>
      <c r="D835" s="4">
        <v>587</v>
      </c>
      <c r="E835" s="4">
        <v>2044</v>
      </c>
      <c r="F835" s="16" t="s">
        <v>3218</v>
      </c>
      <c r="G835" s="4" t="s">
        <v>3219</v>
      </c>
      <c r="H835" s="4" t="s">
        <v>3220</v>
      </c>
      <c r="I835" s="4" t="s">
        <v>1664</v>
      </c>
      <c r="J835" s="4" t="s">
        <v>1746</v>
      </c>
      <c r="K835" s="4">
        <v>1</v>
      </c>
      <c r="L835" s="4">
        <v>2447</v>
      </c>
      <c r="M835" s="6"/>
      <c r="AO835" s="4" t="s">
        <v>3218</v>
      </c>
      <c r="AP835" s="4">
        <v>587</v>
      </c>
      <c r="AQ835" s="4" t="s">
        <v>1716</v>
      </c>
      <c r="AR835" s="4" t="s">
        <v>1717</v>
      </c>
      <c r="AS835" s="4" t="s">
        <v>1718</v>
      </c>
      <c r="AT835" s="4" t="s">
        <v>1719</v>
      </c>
      <c r="AU835" s="4" t="s">
        <v>1703</v>
      </c>
      <c r="AV835" s="4" t="s">
        <v>1720</v>
      </c>
      <c r="AW835" s="4" t="s">
        <v>1705</v>
      </c>
      <c r="AX835" s="4" t="s">
        <v>1965</v>
      </c>
      <c r="AY835" s="4">
        <v>52.2</v>
      </c>
      <c r="AZ835" s="4">
        <v>-126.7</v>
      </c>
      <c r="BA835" s="4">
        <v>7</v>
      </c>
    </row>
    <row r="836" spans="1:53" ht="14.25" customHeight="1" x14ac:dyDescent="0.2">
      <c r="B836" s="4">
        <v>12</v>
      </c>
      <c r="C836" s="4" t="s">
        <v>7666</v>
      </c>
      <c r="D836" s="4">
        <v>588</v>
      </c>
      <c r="E836" s="4">
        <v>2045</v>
      </c>
      <c r="F836" s="16" t="s">
        <v>3221</v>
      </c>
      <c r="G836" s="4" t="s">
        <v>3222</v>
      </c>
      <c r="H836" s="4" t="s">
        <v>3223</v>
      </c>
      <c r="I836" s="4" t="s">
        <v>1664</v>
      </c>
      <c r="J836" s="4" t="s">
        <v>1746</v>
      </c>
      <c r="K836" s="4">
        <v>1</v>
      </c>
      <c r="L836" s="4">
        <v>2448</v>
      </c>
      <c r="M836" s="6"/>
      <c r="AO836" s="4" t="s">
        <v>3221</v>
      </c>
      <c r="AP836" s="4">
        <v>588</v>
      </c>
      <c r="AQ836" s="4" t="s">
        <v>1716</v>
      </c>
      <c r="AR836" s="4" t="s">
        <v>1717</v>
      </c>
      <c r="AS836" s="4" t="s">
        <v>1718</v>
      </c>
      <c r="AT836" s="4" t="s">
        <v>1719</v>
      </c>
      <c r="AU836" s="4" t="s">
        <v>1703</v>
      </c>
      <c r="AV836" s="4" t="s">
        <v>1720</v>
      </c>
      <c r="AW836" s="4" t="s">
        <v>1705</v>
      </c>
      <c r="AX836" s="4" t="s">
        <v>1965</v>
      </c>
      <c r="AY836" s="4">
        <v>52.12</v>
      </c>
      <c r="AZ836" s="4">
        <v>-127.93300000000001</v>
      </c>
      <c r="BA836" s="4">
        <v>5</v>
      </c>
    </row>
    <row r="837" spans="1:53" ht="14.25" customHeight="1" x14ac:dyDescent="0.2">
      <c r="B837" s="4">
        <v>12</v>
      </c>
      <c r="C837" s="4" t="s">
        <v>7666</v>
      </c>
      <c r="D837" s="4">
        <v>589</v>
      </c>
      <c r="E837" s="4">
        <v>2046</v>
      </c>
      <c r="F837" s="16" t="s">
        <v>3224</v>
      </c>
      <c r="G837" s="4" t="s">
        <v>3225</v>
      </c>
      <c r="H837" s="4" t="s">
        <v>3226</v>
      </c>
      <c r="I837" s="4" t="s">
        <v>1664</v>
      </c>
      <c r="J837" s="4" t="s">
        <v>1715</v>
      </c>
      <c r="K837" s="4">
        <v>1</v>
      </c>
      <c r="L837" s="4">
        <v>2449</v>
      </c>
      <c r="M837" s="6"/>
      <c r="AO837" s="4" t="s">
        <v>3224</v>
      </c>
      <c r="AP837" s="4">
        <v>589</v>
      </c>
      <c r="AQ837" s="4" t="s">
        <v>1716</v>
      </c>
      <c r="AR837" s="4" t="s">
        <v>1717</v>
      </c>
      <c r="AS837" s="4" t="s">
        <v>1718</v>
      </c>
      <c r="AT837" s="4" t="s">
        <v>1719</v>
      </c>
      <c r="AU837" s="4" t="s">
        <v>1703</v>
      </c>
      <c r="AV837" s="4" t="s">
        <v>1720</v>
      </c>
      <c r="AW837" s="4" t="s">
        <v>1947</v>
      </c>
      <c r="AX837" s="4" t="s">
        <v>1973</v>
      </c>
      <c r="AY837" s="4">
        <v>54.1</v>
      </c>
      <c r="AZ837" s="4">
        <v>-128.6</v>
      </c>
      <c r="BA837" s="4">
        <v>13</v>
      </c>
    </row>
    <row r="838" spans="1:53" ht="14.25" customHeight="1" x14ac:dyDescent="0.2">
      <c r="B838" s="4">
        <v>12</v>
      </c>
      <c r="C838" s="4" t="s">
        <v>7666</v>
      </c>
      <c r="D838" s="4">
        <v>590</v>
      </c>
      <c r="E838" s="4">
        <v>2047</v>
      </c>
      <c r="F838" s="16" t="s">
        <v>3227</v>
      </c>
      <c r="G838" s="4" t="s">
        <v>3228</v>
      </c>
      <c r="H838" s="4" t="s">
        <v>3229</v>
      </c>
      <c r="I838" s="4" t="s">
        <v>1664</v>
      </c>
      <c r="J838" s="4" t="s">
        <v>1715</v>
      </c>
      <c r="K838" s="4">
        <v>1</v>
      </c>
      <c r="L838" s="4">
        <v>2450</v>
      </c>
      <c r="M838" s="6"/>
      <c r="AO838" s="4" t="s">
        <v>3227</v>
      </c>
      <c r="AP838" s="4">
        <v>590</v>
      </c>
      <c r="AQ838" s="4" t="s">
        <v>1716</v>
      </c>
      <c r="AR838" s="4" t="s">
        <v>1717</v>
      </c>
      <c r="AS838" s="4" t="s">
        <v>1718</v>
      </c>
      <c r="AT838" s="4" t="s">
        <v>1719</v>
      </c>
      <c r="AU838" s="4" t="s">
        <v>1703</v>
      </c>
      <c r="AV838" s="4" t="s">
        <v>1720</v>
      </c>
      <c r="AW838" s="4" t="s">
        <v>1947</v>
      </c>
      <c r="AX838" s="4" t="s">
        <v>1973</v>
      </c>
      <c r="AY838" s="4">
        <v>53.8</v>
      </c>
      <c r="AZ838" s="4">
        <v>-128.4</v>
      </c>
      <c r="BA838" s="4">
        <v>5</v>
      </c>
    </row>
    <row r="839" spans="1:53" ht="14.25" customHeight="1" x14ac:dyDescent="0.2">
      <c r="B839" s="4">
        <v>12</v>
      </c>
      <c r="C839" s="4" t="s">
        <v>7666</v>
      </c>
      <c r="D839" s="4">
        <v>592</v>
      </c>
      <c r="E839" s="4">
        <v>2048</v>
      </c>
      <c r="F839" s="16" t="s">
        <v>3230</v>
      </c>
      <c r="G839" s="4" t="s">
        <v>3231</v>
      </c>
      <c r="H839" s="4" t="s">
        <v>3232</v>
      </c>
      <c r="I839" s="4" t="s">
        <v>1664</v>
      </c>
      <c r="J839" s="4" t="s">
        <v>1715</v>
      </c>
      <c r="K839" s="4">
        <v>1</v>
      </c>
      <c r="L839" s="4">
        <v>2451</v>
      </c>
      <c r="M839" s="6"/>
      <c r="AO839" s="4" t="s">
        <v>3230</v>
      </c>
      <c r="AP839" s="4">
        <v>592</v>
      </c>
      <c r="AQ839" s="4" t="s">
        <v>1716</v>
      </c>
      <c r="AR839" s="4" t="s">
        <v>1717</v>
      </c>
      <c r="AS839" s="4" t="s">
        <v>1718</v>
      </c>
      <c r="AT839" s="4" t="s">
        <v>1719</v>
      </c>
      <c r="AU839" s="4" t="s">
        <v>1703</v>
      </c>
      <c r="AV839" s="4" t="s">
        <v>1720</v>
      </c>
      <c r="AW839" s="4" t="s">
        <v>1947</v>
      </c>
      <c r="AX839" s="4" t="s">
        <v>1986</v>
      </c>
      <c r="AY839" s="4">
        <v>57.4</v>
      </c>
      <c r="AZ839" s="4">
        <v>-130.19999999999999</v>
      </c>
      <c r="BA839" s="4">
        <v>0</v>
      </c>
    </row>
    <row r="840" spans="1:53" ht="14.25" customHeight="1" x14ac:dyDescent="0.2">
      <c r="B840" s="4">
        <v>12</v>
      </c>
      <c r="C840" s="4" t="s">
        <v>7666</v>
      </c>
      <c r="D840" s="4">
        <v>593</v>
      </c>
      <c r="E840" s="4">
        <v>2049</v>
      </c>
      <c r="F840" s="16" t="s">
        <v>3233</v>
      </c>
      <c r="G840" s="4" t="s">
        <v>3234</v>
      </c>
      <c r="H840" s="4" t="s">
        <v>3235</v>
      </c>
      <c r="I840" s="4" t="s">
        <v>1664</v>
      </c>
      <c r="J840" s="4" t="s">
        <v>1746</v>
      </c>
      <c r="K840" s="4">
        <v>1</v>
      </c>
      <c r="L840" s="4">
        <v>2452</v>
      </c>
      <c r="M840" s="6"/>
      <c r="AO840" s="4" t="s">
        <v>3233</v>
      </c>
      <c r="AP840" s="4">
        <v>593</v>
      </c>
      <c r="AQ840" s="4" t="s">
        <v>1716</v>
      </c>
      <c r="AR840" s="4" t="s">
        <v>1717</v>
      </c>
      <c r="AS840" s="4" t="s">
        <v>1718</v>
      </c>
      <c r="AT840" s="4" t="s">
        <v>1719</v>
      </c>
      <c r="AU840" s="4" t="s">
        <v>1703</v>
      </c>
      <c r="AV840" s="4" t="s">
        <v>1720</v>
      </c>
      <c r="AW840" s="4" t="s">
        <v>1947</v>
      </c>
      <c r="AX840" s="4" t="s">
        <v>1986</v>
      </c>
      <c r="AY840" s="4">
        <v>56.6</v>
      </c>
      <c r="AZ840" s="4">
        <v>-131.1</v>
      </c>
      <c r="BA840" s="4">
        <v>2</v>
      </c>
    </row>
    <row r="841" spans="1:53" ht="14.25" customHeight="1" x14ac:dyDescent="0.2">
      <c r="B841" s="4">
        <v>12</v>
      </c>
      <c r="C841" s="4" t="s">
        <v>7666</v>
      </c>
      <c r="D841" s="4">
        <v>594</v>
      </c>
      <c r="E841" s="4">
        <v>2050</v>
      </c>
      <c r="F841" s="16" t="s">
        <v>3236</v>
      </c>
      <c r="G841" s="4" t="s">
        <v>3237</v>
      </c>
      <c r="H841" s="4" t="s">
        <v>3238</v>
      </c>
      <c r="I841" s="4" t="s">
        <v>1664</v>
      </c>
      <c r="J841" s="4" t="s">
        <v>1746</v>
      </c>
      <c r="K841" s="4">
        <v>1</v>
      </c>
      <c r="L841" s="4">
        <v>2453</v>
      </c>
      <c r="M841" s="6"/>
      <c r="AO841" s="4" t="s">
        <v>3236</v>
      </c>
      <c r="AP841" s="4">
        <v>594</v>
      </c>
      <c r="AQ841" s="4" t="s">
        <v>1716</v>
      </c>
      <c r="AR841" s="4" t="s">
        <v>1717</v>
      </c>
      <c r="AS841" s="4" t="s">
        <v>1718</v>
      </c>
      <c r="AT841" s="4" t="s">
        <v>1719</v>
      </c>
      <c r="AU841" s="4" t="s">
        <v>1703</v>
      </c>
      <c r="AV841" s="4" t="s">
        <v>1720</v>
      </c>
      <c r="AW841" s="4" t="s">
        <v>1947</v>
      </c>
      <c r="AX841" s="4" t="s">
        <v>1986</v>
      </c>
      <c r="AY841" s="4">
        <v>57.6</v>
      </c>
      <c r="AZ841" s="4">
        <v>-130.1</v>
      </c>
      <c r="BA841" s="4">
        <v>99</v>
      </c>
    </row>
    <row r="842" spans="1:53" ht="14.25" customHeight="1" x14ac:dyDescent="0.2">
      <c r="B842" s="4">
        <v>12</v>
      </c>
      <c r="C842" s="4" t="s">
        <v>7666</v>
      </c>
      <c r="D842" s="4">
        <v>598</v>
      </c>
      <c r="E842" s="4">
        <v>2054</v>
      </c>
      <c r="F842" s="16" t="s">
        <v>3239</v>
      </c>
      <c r="G842" s="4" t="s">
        <v>3240</v>
      </c>
      <c r="H842" s="4" t="s">
        <v>3241</v>
      </c>
      <c r="I842" s="4" t="s">
        <v>1664</v>
      </c>
      <c r="J842" s="4" t="s">
        <v>1715</v>
      </c>
      <c r="K842" s="4">
        <v>1</v>
      </c>
      <c r="L842" s="4">
        <v>2457</v>
      </c>
      <c r="M842" s="6"/>
      <c r="AO842" s="4" t="s">
        <v>3239</v>
      </c>
      <c r="AP842" s="4">
        <v>598</v>
      </c>
      <c r="AQ842" s="4" t="s">
        <v>1716</v>
      </c>
      <c r="AR842" s="4" t="s">
        <v>1717</v>
      </c>
      <c r="AS842" s="4" t="s">
        <v>1718</v>
      </c>
      <c r="AT842" s="4" t="s">
        <v>1719</v>
      </c>
      <c r="AU842" s="4" t="s">
        <v>1703</v>
      </c>
      <c r="AV842" s="4" t="s">
        <v>1720</v>
      </c>
      <c r="AW842" s="4" t="s">
        <v>2003</v>
      </c>
      <c r="AX842" s="4" t="s">
        <v>2009</v>
      </c>
      <c r="AY842" s="4">
        <v>58.4</v>
      </c>
      <c r="AZ842" s="4">
        <v>-122.4</v>
      </c>
      <c r="BA842" s="4">
        <v>4</v>
      </c>
    </row>
    <row r="843" spans="1:53" ht="14.25" customHeight="1" x14ac:dyDescent="0.2">
      <c r="A843" s="4" t="s">
        <v>88</v>
      </c>
      <c r="B843" s="4">
        <v>12</v>
      </c>
      <c r="C843" s="4" t="s">
        <v>7666</v>
      </c>
      <c r="D843" s="4">
        <v>599</v>
      </c>
      <c r="E843" s="4">
        <v>2055</v>
      </c>
      <c r="F843" s="4" t="s">
        <v>3242</v>
      </c>
      <c r="G843" s="8" t="s">
        <v>3243</v>
      </c>
      <c r="H843" s="4" t="s">
        <v>3244</v>
      </c>
      <c r="I843" s="4" t="s">
        <v>641</v>
      </c>
      <c r="J843" s="4" t="s">
        <v>1736</v>
      </c>
      <c r="K843" s="4">
        <v>1</v>
      </c>
      <c r="L843" s="4">
        <v>2458</v>
      </c>
      <c r="M843" s="6">
        <v>58.841470000000001</v>
      </c>
      <c r="N843" s="4">
        <v>-122.57375</v>
      </c>
      <c r="O843" s="4" t="s">
        <v>2008</v>
      </c>
      <c r="P843" s="4">
        <v>599</v>
      </c>
      <c r="Q843" s="4">
        <v>1</v>
      </c>
      <c r="R843" s="4" t="s">
        <v>3242</v>
      </c>
      <c r="S843" s="4" t="s">
        <v>1737</v>
      </c>
      <c r="T843" s="4">
        <v>382</v>
      </c>
      <c r="W843" s="4">
        <v>36161</v>
      </c>
      <c r="X843" s="4" t="s">
        <v>1738</v>
      </c>
      <c r="AO843" s="4" t="s">
        <v>3242</v>
      </c>
      <c r="AP843" s="4">
        <v>599</v>
      </c>
      <c r="AQ843" s="4" t="s">
        <v>1700</v>
      </c>
      <c r="AR843" s="4" t="s">
        <v>1739</v>
      </c>
      <c r="AS843" s="4" t="s">
        <v>1740</v>
      </c>
      <c r="AT843" s="4" t="s">
        <v>1741</v>
      </c>
      <c r="AU843" s="4" t="s">
        <v>1959</v>
      </c>
      <c r="AV843" s="4" t="s">
        <v>1720</v>
      </c>
      <c r="AW843" s="4" t="s">
        <v>2003</v>
      </c>
      <c r="AX843" s="4" t="s">
        <v>2009</v>
      </c>
      <c r="AY843" s="4">
        <v>58.841799999999999</v>
      </c>
      <c r="AZ843" s="4">
        <v>-122.5736</v>
      </c>
      <c r="BA843" s="4">
        <v>375</v>
      </c>
    </row>
    <row r="844" spans="1:53" ht="14.25" customHeight="1" x14ac:dyDescent="0.2">
      <c r="B844" s="4">
        <v>12</v>
      </c>
      <c r="C844" s="4" t="s">
        <v>7666</v>
      </c>
      <c r="D844" s="4">
        <v>600</v>
      </c>
      <c r="E844" s="4">
        <v>2056</v>
      </c>
      <c r="F844" s="16" t="s">
        <v>3245</v>
      </c>
      <c r="G844" s="4" t="s">
        <v>3246</v>
      </c>
      <c r="H844" s="4" t="s">
        <v>3247</v>
      </c>
      <c r="I844" s="4" t="s">
        <v>1664</v>
      </c>
      <c r="J844" s="4" t="s">
        <v>1746</v>
      </c>
      <c r="K844" s="4">
        <v>1</v>
      </c>
      <c r="L844" s="4">
        <v>2459</v>
      </c>
      <c r="M844" s="6"/>
      <c r="AO844" s="4" t="s">
        <v>3245</v>
      </c>
      <c r="AP844" s="4">
        <v>600</v>
      </c>
      <c r="AQ844" s="4" t="s">
        <v>1716</v>
      </c>
      <c r="AR844" s="4" t="s">
        <v>1717</v>
      </c>
      <c r="AS844" s="4" t="s">
        <v>1718</v>
      </c>
      <c r="AT844" s="4" t="s">
        <v>1719</v>
      </c>
      <c r="AU844" s="4" t="s">
        <v>1703</v>
      </c>
      <c r="AV844" s="4" t="s">
        <v>1720</v>
      </c>
      <c r="AW844" s="4" t="s">
        <v>2003</v>
      </c>
      <c r="AX844" s="4" t="s">
        <v>2024</v>
      </c>
      <c r="AY844" s="4">
        <v>55.4</v>
      </c>
      <c r="AZ844" s="4">
        <v>-122.3</v>
      </c>
      <c r="BA844" s="4">
        <v>12</v>
      </c>
    </row>
    <row r="845" spans="1:53" ht="14.25" customHeight="1" x14ac:dyDescent="0.2">
      <c r="B845" s="4">
        <v>12</v>
      </c>
      <c r="C845" s="4" t="s">
        <v>7666</v>
      </c>
      <c r="D845" s="4">
        <v>601</v>
      </c>
      <c r="E845" s="4">
        <v>2057</v>
      </c>
      <c r="F845" s="16" t="s">
        <v>3248</v>
      </c>
      <c r="G845" s="4" t="s">
        <v>3249</v>
      </c>
      <c r="H845" s="4" t="s">
        <v>3250</v>
      </c>
      <c r="I845" s="4" t="s">
        <v>1664</v>
      </c>
      <c r="J845" s="4" t="s">
        <v>1715</v>
      </c>
      <c r="K845" s="4">
        <v>1</v>
      </c>
      <c r="L845" s="4">
        <v>2460</v>
      </c>
      <c r="M845" s="6"/>
      <c r="AO845" s="4" t="s">
        <v>3248</v>
      </c>
      <c r="AP845" s="4">
        <v>601</v>
      </c>
      <c r="AQ845" s="4" t="s">
        <v>1716</v>
      </c>
      <c r="AR845" s="4" t="s">
        <v>1717</v>
      </c>
      <c r="AS845" s="4" t="s">
        <v>1718</v>
      </c>
      <c r="AT845" s="4" t="s">
        <v>1719</v>
      </c>
      <c r="AU845" s="4" t="s">
        <v>1703</v>
      </c>
      <c r="AV845" s="4" t="s">
        <v>1720</v>
      </c>
      <c r="AW845" s="4" t="s">
        <v>2003</v>
      </c>
      <c r="AX845" s="4" t="s">
        <v>2087</v>
      </c>
      <c r="AY845" s="4">
        <v>56.2</v>
      </c>
      <c r="AZ845" s="4">
        <v>-124.6</v>
      </c>
      <c r="BA845" s="4">
        <v>7</v>
      </c>
    </row>
    <row r="846" spans="1:53" ht="14.25" customHeight="1" x14ac:dyDescent="0.2">
      <c r="B846" s="4">
        <v>12</v>
      </c>
      <c r="C846" s="4" t="s">
        <v>7666</v>
      </c>
      <c r="D846" s="4">
        <v>602</v>
      </c>
      <c r="E846" s="4">
        <v>2058</v>
      </c>
      <c r="F846" s="16" t="s">
        <v>3251</v>
      </c>
      <c r="G846" s="4" t="s">
        <v>3252</v>
      </c>
      <c r="H846" s="4" t="s">
        <v>3253</v>
      </c>
      <c r="I846" s="4" t="s">
        <v>1664</v>
      </c>
      <c r="J846" s="4" t="s">
        <v>1715</v>
      </c>
      <c r="K846" s="4">
        <v>1</v>
      </c>
      <c r="L846" s="4">
        <v>2461</v>
      </c>
      <c r="M846" s="6"/>
      <c r="AO846" s="4" t="s">
        <v>3251</v>
      </c>
      <c r="AP846" s="4">
        <v>602</v>
      </c>
      <c r="AQ846" s="4" t="s">
        <v>1716</v>
      </c>
      <c r="AR846" s="4" t="s">
        <v>1717</v>
      </c>
      <c r="AS846" s="4" t="s">
        <v>1718</v>
      </c>
      <c r="AT846" s="4" t="s">
        <v>1719</v>
      </c>
      <c r="AU846" s="4" t="s">
        <v>1703</v>
      </c>
      <c r="AV846" s="4" t="s">
        <v>1720</v>
      </c>
      <c r="AW846" s="4" t="s">
        <v>2003</v>
      </c>
      <c r="AX846" s="4" t="s">
        <v>2087</v>
      </c>
      <c r="AY846" s="4">
        <v>55</v>
      </c>
      <c r="AZ846" s="4">
        <v>-123.7</v>
      </c>
      <c r="BA846" s="4">
        <v>10</v>
      </c>
    </row>
    <row r="847" spans="1:53" ht="14.25" customHeight="1" x14ac:dyDescent="0.2">
      <c r="B847" s="4">
        <v>12</v>
      </c>
      <c r="C847" s="4" t="s">
        <v>7666</v>
      </c>
      <c r="D847" s="4">
        <v>603</v>
      </c>
      <c r="E847" s="4">
        <v>2059</v>
      </c>
      <c r="F847" s="16" t="s">
        <v>3254</v>
      </c>
      <c r="G847" s="4" t="s">
        <v>3255</v>
      </c>
      <c r="H847" s="4" t="s">
        <v>3253</v>
      </c>
      <c r="I847" s="4" t="s">
        <v>1664</v>
      </c>
      <c r="J847" s="4" t="s">
        <v>1715</v>
      </c>
      <c r="K847" s="4">
        <v>1</v>
      </c>
      <c r="L847" s="4">
        <v>2462</v>
      </c>
      <c r="M847" s="6"/>
      <c r="AO847" s="4" t="s">
        <v>3254</v>
      </c>
      <c r="AP847" s="4">
        <v>603</v>
      </c>
      <c r="AQ847" s="4" t="s">
        <v>1716</v>
      </c>
      <c r="AR847" s="4" t="s">
        <v>1717</v>
      </c>
      <c r="AS847" s="4" t="s">
        <v>1718</v>
      </c>
      <c r="AT847" s="4" t="s">
        <v>1719</v>
      </c>
      <c r="AU847" s="4" t="s">
        <v>1703</v>
      </c>
      <c r="AV847" s="4" t="s">
        <v>1720</v>
      </c>
      <c r="AW847" s="4" t="s">
        <v>2003</v>
      </c>
      <c r="AX847" s="4" t="s">
        <v>2087</v>
      </c>
      <c r="AY847" s="4">
        <v>55.5</v>
      </c>
      <c r="AZ847" s="4">
        <v>-123.7</v>
      </c>
      <c r="BA847" s="4">
        <v>7</v>
      </c>
    </row>
    <row r="848" spans="1:53" ht="14.25" customHeight="1" x14ac:dyDescent="0.2">
      <c r="B848" s="4">
        <v>12</v>
      </c>
      <c r="C848" s="4" t="s">
        <v>7666</v>
      </c>
      <c r="D848" s="4">
        <v>604</v>
      </c>
      <c r="E848" s="4">
        <v>2060</v>
      </c>
      <c r="F848" s="16" t="s">
        <v>3256</v>
      </c>
      <c r="G848" s="4" t="s">
        <v>3257</v>
      </c>
      <c r="H848" s="4" t="s">
        <v>3258</v>
      </c>
      <c r="I848" s="4" t="s">
        <v>1664</v>
      </c>
      <c r="J848" s="4" t="s">
        <v>1715</v>
      </c>
      <c r="K848" s="4">
        <v>1</v>
      </c>
      <c r="L848" s="4">
        <v>2463</v>
      </c>
      <c r="M848" s="6"/>
      <c r="AO848" s="4" t="s">
        <v>3256</v>
      </c>
      <c r="AP848" s="4">
        <v>604</v>
      </c>
      <c r="AQ848" s="4" t="s">
        <v>1716</v>
      </c>
      <c r="AR848" s="4" t="s">
        <v>1717</v>
      </c>
      <c r="AS848" s="4" t="s">
        <v>1718</v>
      </c>
      <c r="AT848" s="4" t="s">
        <v>1719</v>
      </c>
      <c r="AU848" s="4" t="s">
        <v>1703</v>
      </c>
      <c r="AV848" s="4" t="s">
        <v>1720</v>
      </c>
      <c r="AW848" s="4" t="s">
        <v>2003</v>
      </c>
      <c r="AX848" s="4" t="s">
        <v>2087</v>
      </c>
      <c r="AY848" s="4">
        <v>55.3</v>
      </c>
      <c r="AZ848" s="4">
        <v>-123.9</v>
      </c>
      <c r="BA848" s="4">
        <v>10</v>
      </c>
    </row>
    <row r="849" spans="2:53" ht="14.25" customHeight="1" x14ac:dyDescent="0.2">
      <c r="B849" s="4">
        <v>12</v>
      </c>
      <c r="C849" s="4" t="s">
        <v>7666</v>
      </c>
      <c r="D849" s="4">
        <v>605</v>
      </c>
      <c r="E849" s="4">
        <v>2061</v>
      </c>
      <c r="F849" s="16" t="s">
        <v>3259</v>
      </c>
      <c r="G849" s="4" t="s">
        <v>3260</v>
      </c>
      <c r="H849" s="4" t="s">
        <v>3261</v>
      </c>
      <c r="I849" s="4" t="s">
        <v>1664</v>
      </c>
      <c r="J849" s="4" t="s">
        <v>1715</v>
      </c>
      <c r="K849" s="4">
        <v>1</v>
      </c>
      <c r="L849" s="4">
        <v>2464</v>
      </c>
      <c r="M849" s="6"/>
      <c r="AO849" s="4" t="s">
        <v>3259</v>
      </c>
      <c r="AP849" s="4">
        <v>605</v>
      </c>
      <c r="AQ849" s="4" t="s">
        <v>1716</v>
      </c>
      <c r="AR849" s="4" t="s">
        <v>1717</v>
      </c>
      <c r="AS849" s="4" t="s">
        <v>1718</v>
      </c>
      <c r="AT849" s="4" t="s">
        <v>1719</v>
      </c>
      <c r="AU849" s="4" t="s">
        <v>1703</v>
      </c>
      <c r="AV849" s="4" t="s">
        <v>1720</v>
      </c>
      <c r="AW849" s="4" t="s">
        <v>2003</v>
      </c>
      <c r="AX849" s="4" t="s">
        <v>2087</v>
      </c>
      <c r="AY849" s="4">
        <v>56</v>
      </c>
      <c r="AZ849" s="4">
        <v>-125.2</v>
      </c>
      <c r="BA849" s="4">
        <v>11</v>
      </c>
    </row>
    <row r="850" spans="2:53" ht="14.25" customHeight="1" x14ac:dyDescent="0.2">
      <c r="B850" s="4">
        <v>12</v>
      </c>
      <c r="C850" s="4" t="s">
        <v>7666</v>
      </c>
      <c r="D850" s="4">
        <v>606</v>
      </c>
      <c r="E850" s="4">
        <v>2062</v>
      </c>
      <c r="F850" s="16" t="s">
        <v>3262</v>
      </c>
      <c r="G850" s="4" t="s">
        <v>3263</v>
      </c>
      <c r="H850" s="4" t="s">
        <v>3264</v>
      </c>
      <c r="I850" s="4" t="s">
        <v>1664</v>
      </c>
      <c r="J850" s="4" t="s">
        <v>1715</v>
      </c>
      <c r="K850" s="4">
        <v>1</v>
      </c>
      <c r="L850" s="4">
        <v>2465</v>
      </c>
      <c r="M850" s="6"/>
      <c r="AO850" s="4" t="s">
        <v>3262</v>
      </c>
      <c r="AP850" s="4">
        <v>606</v>
      </c>
      <c r="AQ850" s="4" t="s">
        <v>1716</v>
      </c>
      <c r="AR850" s="4" t="s">
        <v>1717</v>
      </c>
      <c r="AS850" s="4" t="s">
        <v>1718</v>
      </c>
      <c r="AT850" s="4" t="s">
        <v>1719</v>
      </c>
      <c r="AU850" s="4" t="s">
        <v>1703</v>
      </c>
      <c r="AV850" s="4" t="s">
        <v>1720</v>
      </c>
      <c r="AW850" s="4" t="s">
        <v>2003</v>
      </c>
      <c r="AX850" s="4" t="s">
        <v>2153</v>
      </c>
      <c r="AY850" s="4">
        <v>55.1</v>
      </c>
      <c r="AZ850" s="4">
        <v>-125.9</v>
      </c>
      <c r="BA850" s="4">
        <v>88</v>
      </c>
    </row>
    <row r="851" spans="2:53" ht="14.25" customHeight="1" x14ac:dyDescent="0.2">
      <c r="B851" s="4">
        <v>12</v>
      </c>
      <c r="C851" s="4" t="s">
        <v>7666</v>
      </c>
      <c r="D851" s="4">
        <v>607</v>
      </c>
      <c r="E851" s="4">
        <v>2063</v>
      </c>
      <c r="F851" s="16" t="s">
        <v>3265</v>
      </c>
      <c r="G851" s="4" t="s">
        <v>3266</v>
      </c>
      <c r="H851" s="4" t="s">
        <v>3267</v>
      </c>
      <c r="I851" s="4" t="s">
        <v>1664</v>
      </c>
      <c r="J851" s="4" t="s">
        <v>1715</v>
      </c>
      <c r="K851" s="4">
        <v>1</v>
      </c>
      <c r="L851" s="4">
        <v>2466</v>
      </c>
      <c r="M851" s="6"/>
      <c r="AO851" s="4" t="s">
        <v>3265</v>
      </c>
      <c r="AP851" s="4">
        <v>607</v>
      </c>
      <c r="AQ851" s="4" t="s">
        <v>1716</v>
      </c>
      <c r="AR851" s="4" t="s">
        <v>1717</v>
      </c>
      <c r="AS851" s="4" t="s">
        <v>1718</v>
      </c>
      <c r="AT851" s="4" t="s">
        <v>1719</v>
      </c>
      <c r="AU851" s="4" t="s">
        <v>1703</v>
      </c>
      <c r="AV851" s="4" t="s">
        <v>1720</v>
      </c>
      <c r="AW851" s="4" t="s">
        <v>2003</v>
      </c>
      <c r="AX851" s="4" t="s">
        <v>2099</v>
      </c>
      <c r="AY851" s="4">
        <v>55.2</v>
      </c>
      <c r="AZ851" s="4">
        <v>-124.9</v>
      </c>
      <c r="BA851" s="4">
        <v>45</v>
      </c>
    </row>
    <row r="852" spans="2:53" ht="14.25" customHeight="1" x14ac:dyDescent="0.2">
      <c r="B852" s="4">
        <v>12</v>
      </c>
      <c r="C852" s="4" t="s">
        <v>7666</v>
      </c>
      <c r="D852" s="4">
        <v>608</v>
      </c>
      <c r="E852" s="4">
        <v>2064</v>
      </c>
      <c r="F852" s="16" t="s">
        <v>3268</v>
      </c>
      <c r="G852" s="4" t="s">
        <v>3269</v>
      </c>
      <c r="H852" s="4" t="s">
        <v>3270</v>
      </c>
      <c r="I852" s="4" t="s">
        <v>1664</v>
      </c>
      <c r="J852" s="4" t="s">
        <v>1715</v>
      </c>
      <c r="K852" s="4">
        <v>1</v>
      </c>
      <c r="L852" s="4">
        <v>2467</v>
      </c>
      <c r="M852" s="6"/>
      <c r="AO852" s="4" t="s">
        <v>3268</v>
      </c>
      <c r="AP852" s="4">
        <v>608</v>
      </c>
      <c r="AQ852" s="4" t="s">
        <v>1716</v>
      </c>
      <c r="AR852" s="4" t="s">
        <v>1717</v>
      </c>
      <c r="AS852" s="4" t="s">
        <v>1718</v>
      </c>
      <c r="AT852" s="4" t="s">
        <v>1719</v>
      </c>
      <c r="AU852" s="4" t="s">
        <v>1703</v>
      </c>
      <c r="AV852" s="4" t="s">
        <v>1720</v>
      </c>
      <c r="AW852" s="4" t="s">
        <v>2003</v>
      </c>
      <c r="AX852" s="4" t="s">
        <v>2099</v>
      </c>
      <c r="AY852" s="4">
        <v>54.9</v>
      </c>
      <c r="AZ852" s="4">
        <v>-123.8</v>
      </c>
      <c r="BA852" s="4">
        <v>33</v>
      </c>
    </row>
    <row r="853" spans="2:53" ht="14.25" customHeight="1" x14ac:dyDescent="0.2">
      <c r="B853" s="4">
        <v>12</v>
      </c>
      <c r="C853" s="4" t="s">
        <v>7666</v>
      </c>
      <c r="D853" s="4">
        <v>609</v>
      </c>
      <c r="E853" s="4">
        <v>2065</v>
      </c>
      <c r="F853" s="16" t="s">
        <v>3271</v>
      </c>
      <c r="G853" s="4" t="s">
        <v>3272</v>
      </c>
      <c r="H853" s="4" t="s">
        <v>3273</v>
      </c>
      <c r="I853" s="4" t="s">
        <v>1664</v>
      </c>
      <c r="J853" s="4" t="s">
        <v>1715</v>
      </c>
      <c r="K853" s="4">
        <v>1</v>
      </c>
      <c r="L853" s="4">
        <v>2468</v>
      </c>
      <c r="M853" s="6"/>
      <c r="AO853" s="4" t="s">
        <v>3271</v>
      </c>
      <c r="AP853" s="4">
        <v>609</v>
      </c>
      <c r="AQ853" s="4" t="s">
        <v>1716</v>
      </c>
      <c r="AR853" s="4" t="s">
        <v>1717</v>
      </c>
      <c r="AS853" s="4" t="s">
        <v>1718</v>
      </c>
      <c r="AT853" s="4" t="s">
        <v>1719</v>
      </c>
      <c r="AU853" s="4" t="s">
        <v>1703</v>
      </c>
      <c r="AV853" s="4" t="s">
        <v>1720</v>
      </c>
      <c r="AW853" s="4" t="s">
        <v>2003</v>
      </c>
      <c r="AX853" s="4" t="s">
        <v>2099</v>
      </c>
      <c r="AY853" s="4">
        <v>55</v>
      </c>
      <c r="AZ853" s="4">
        <v>-125.2</v>
      </c>
      <c r="BA853" s="4">
        <v>11</v>
      </c>
    </row>
    <row r="854" spans="2:53" ht="14.25" customHeight="1" x14ac:dyDescent="0.2">
      <c r="B854" s="4">
        <v>12</v>
      </c>
      <c r="C854" s="4" t="s">
        <v>7666</v>
      </c>
      <c r="D854" s="4">
        <v>610</v>
      </c>
      <c r="E854" s="4">
        <v>2066</v>
      </c>
      <c r="F854" s="16" t="s">
        <v>3274</v>
      </c>
      <c r="G854" s="4" t="s">
        <v>3275</v>
      </c>
      <c r="H854" s="4" t="s">
        <v>3276</v>
      </c>
      <c r="I854" s="4" t="s">
        <v>1664</v>
      </c>
      <c r="J854" s="4" t="s">
        <v>1715</v>
      </c>
      <c r="K854" s="4">
        <v>1</v>
      </c>
      <c r="L854" s="4">
        <v>2469</v>
      </c>
      <c r="M854" s="6"/>
      <c r="AO854" s="4" t="s">
        <v>3274</v>
      </c>
      <c r="AP854" s="4">
        <v>610</v>
      </c>
      <c r="AQ854" s="4" t="s">
        <v>1716</v>
      </c>
      <c r="AR854" s="4" t="s">
        <v>1717</v>
      </c>
      <c r="AS854" s="4" t="s">
        <v>1718</v>
      </c>
      <c r="AT854" s="4" t="s">
        <v>1719</v>
      </c>
      <c r="AU854" s="4" t="s">
        <v>1703</v>
      </c>
      <c r="AV854" s="4" t="s">
        <v>1720</v>
      </c>
      <c r="AW854" s="4" t="s">
        <v>2003</v>
      </c>
      <c r="AX854" s="4" t="s">
        <v>2099</v>
      </c>
      <c r="AY854" s="4">
        <v>54.6</v>
      </c>
      <c r="AZ854" s="4">
        <v>-124</v>
      </c>
      <c r="BA854" s="4">
        <v>8</v>
      </c>
    </row>
    <row r="855" spans="2:53" ht="14.25" customHeight="1" x14ac:dyDescent="0.2">
      <c r="B855" s="4">
        <v>12</v>
      </c>
      <c r="C855" s="4" t="s">
        <v>7666</v>
      </c>
      <c r="D855" s="4">
        <v>611</v>
      </c>
      <c r="E855" s="4">
        <v>2067</v>
      </c>
      <c r="F855" s="16" t="s">
        <v>3277</v>
      </c>
      <c r="G855" s="4" t="s">
        <v>3278</v>
      </c>
      <c r="H855" s="4" t="s">
        <v>3279</v>
      </c>
      <c r="I855" s="4" t="s">
        <v>1664</v>
      </c>
      <c r="J855" s="4" t="s">
        <v>1715</v>
      </c>
      <c r="K855" s="4">
        <v>1</v>
      </c>
      <c r="L855" s="4">
        <v>2470</v>
      </c>
      <c r="M855" s="6"/>
      <c r="AO855" s="4" t="s">
        <v>3277</v>
      </c>
      <c r="AP855" s="4">
        <v>611</v>
      </c>
      <c r="AQ855" s="4" t="s">
        <v>1716</v>
      </c>
      <c r="AR855" s="4" t="s">
        <v>1717</v>
      </c>
      <c r="AS855" s="4" t="s">
        <v>1718</v>
      </c>
      <c r="AT855" s="4" t="s">
        <v>1719</v>
      </c>
      <c r="AU855" s="4" t="s">
        <v>1703</v>
      </c>
      <c r="AV855" s="4" t="s">
        <v>1720</v>
      </c>
      <c r="AW855" s="4" t="s">
        <v>2003</v>
      </c>
      <c r="AX855" s="4" t="s">
        <v>2099</v>
      </c>
      <c r="AY855" s="4">
        <v>54.9</v>
      </c>
      <c r="AZ855" s="4">
        <v>-125.1</v>
      </c>
      <c r="BA855" s="4">
        <v>35</v>
      </c>
    </row>
    <row r="856" spans="2:53" ht="14.25" customHeight="1" x14ac:dyDescent="0.2">
      <c r="B856" s="4">
        <v>12</v>
      </c>
      <c r="C856" s="4" t="s">
        <v>7666</v>
      </c>
      <c r="D856" s="4">
        <v>612</v>
      </c>
      <c r="E856" s="4">
        <v>2068</v>
      </c>
      <c r="F856" s="16" t="s">
        <v>3280</v>
      </c>
      <c r="G856" s="4" t="s">
        <v>3281</v>
      </c>
      <c r="H856" s="4" t="s">
        <v>3273</v>
      </c>
      <c r="I856" s="4" t="s">
        <v>1664</v>
      </c>
      <c r="J856" s="4" t="s">
        <v>1715</v>
      </c>
      <c r="K856" s="4">
        <v>1</v>
      </c>
      <c r="L856" s="4">
        <v>2471</v>
      </c>
      <c r="M856" s="6"/>
      <c r="AO856" s="4" t="s">
        <v>3280</v>
      </c>
      <c r="AP856" s="4">
        <v>612</v>
      </c>
      <c r="AQ856" s="4" t="s">
        <v>1716</v>
      </c>
      <c r="AR856" s="4" t="s">
        <v>1717</v>
      </c>
      <c r="AS856" s="4" t="s">
        <v>1718</v>
      </c>
      <c r="AT856" s="4" t="s">
        <v>1719</v>
      </c>
      <c r="AU856" s="4" t="s">
        <v>1703</v>
      </c>
      <c r="AV856" s="4" t="s">
        <v>1720</v>
      </c>
      <c r="AW856" s="4" t="s">
        <v>2003</v>
      </c>
      <c r="AX856" s="4" t="s">
        <v>2099</v>
      </c>
      <c r="AY856" s="4">
        <v>54.4</v>
      </c>
      <c r="AZ856" s="4">
        <v>-123.7</v>
      </c>
      <c r="BA856" s="4">
        <v>79</v>
      </c>
    </row>
    <row r="857" spans="2:53" ht="14.25" customHeight="1" x14ac:dyDescent="0.2">
      <c r="B857" s="4">
        <v>12</v>
      </c>
      <c r="C857" s="4" t="s">
        <v>7666</v>
      </c>
      <c r="D857" s="4">
        <v>613</v>
      </c>
      <c r="E857" s="4">
        <v>2069</v>
      </c>
      <c r="F857" s="16" t="s">
        <v>3282</v>
      </c>
      <c r="G857" s="4" t="s">
        <v>3283</v>
      </c>
      <c r="H857" s="4" t="s">
        <v>3284</v>
      </c>
      <c r="I857" s="4" t="s">
        <v>1664</v>
      </c>
      <c r="J857" s="4" t="s">
        <v>1715</v>
      </c>
      <c r="K857" s="4">
        <v>1</v>
      </c>
      <c r="L857" s="4">
        <v>2472</v>
      </c>
      <c r="M857" s="6"/>
      <c r="AO857" s="4" t="s">
        <v>3282</v>
      </c>
      <c r="AP857" s="4">
        <v>613</v>
      </c>
      <c r="AQ857" s="4" t="s">
        <v>1716</v>
      </c>
      <c r="AR857" s="4" t="s">
        <v>1717</v>
      </c>
      <c r="AS857" s="4" t="s">
        <v>1718</v>
      </c>
      <c r="AT857" s="4" t="s">
        <v>1719</v>
      </c>
      <c r="AU857" s="4" t="s">
        <v>1703</v>
      </c>
      <c r="AV857" s="4" t="s">
        <v>1720</v>
      </c>
      <c r="AW857" s="4" t="s">
        <v>2003</v>
      </c>
      <c r="AX857" s="4" t="s">
        <v>2099</v>
      </c>
      <c r="AY857" s="4">
        <v>54.7</v>
      </c>
      <c r="AZ857" s="4">
        <v>-124.6</v>
      </c>
      <c r="BA857" s="4">
        <v>95</v>
      </c>
    </row>
    <row r="858" spans="2:53" ht="14.25" customHeight="1" x14ac:dyDescent="0.2">
      <c r="B858" s="4">
        <v>12</v>
      </c>
      <c r="C858" s="4" t="s">
        <v>7666</v>
      </c>
      <c r="D858" s="25">
        <v>614</v>
      </c>
      <c r="E858" s="4">
        <v>2070</v>
      </c>
      <c r="F858" s="16" t="s">
        <v>3285</v>
      </c>
      <c r="G858" s="4" t="s">
        <v>3286</v>
      </c>
      <c r="H858" s="4" t="s">
        <v>3287</v>
      </c>
      <c r="I858" s="4" t="s">
        <v>1664</v>
      </c>
      <c r="J858" s="4" t="s">
        <v>1715</v>
      </c>
      <c r="K858" s="4">
        <v>1</v>
      </c>
      <c r="L858" s="4">
        <v>2473</v>
      </c>
      <c r="M858" s="6"/>
      <c r="AO858" s="4" t="s">
        <v>3285</v>
      </c>
      <c r="AP858" s="4">
        <v>614</v>
      </c>
      <c r="AQ858" s="4" t="s">
        <v>1716</v>
      </c>
      <c r="AR858" s="4" t="s">
        <v>1717</v>
      </c>
      <c r="AS858" s="4" t="s">
        <v>1718</v>
      </c>
      <c r="AT858" s="4" t="s">
        <v>1719</v>
      </c>
      <c r="AU858" s="4" t="s">
        <v>1703</v>
      </c>
      <c r="AV858" s="4" t="s">
        <v>1720</v>
      </c>
      <c r="AW858" s="4" t="s">
        <v>2003</v>
      </c>
      <c r="AX858" s="4" t="s">
        <v>2087</v>
      </c>
      <c r="AY858" s="4">
        <v>56.5</v>
      </c>
      <c r="AZ858" s="4">
        <v>-124.4</v>
      </c>
      <c r="BA858" s="4">
        <v>7</v>
      </c>
    </row>
    <row r="859" spans="2:53" ht="14.25" customHeight="1" x14ac:dyDescent="0.2">
      <c r="B859" s="4">
        <v>12</v>
      </c>
      <c r="C859" s="4" t="s">
        <v>7666</v>
      </c>
      <c r="D859" s="4">
        <v>615</v>
      </c>
      <c r="E859" s="4">
        <v>2071</v>
      </c>
      <c r="F859" s="16" t="s">
        <v>3288</v>
      </c>
      <c r="G859" s="4" t="s">
        <v>3289</v>
      </c>
      <c r="H859" s="4" t="s">
        <v>3290</v>
      </c>
      <c r="I859" s="4" t="s">
        <v>1664</v>
      </c>
      <c r="J859" s="4" t="s">
        <v>1746</v>
      </c>
      <c r="K859" s="4">
        <v>1</v>
      </c>
      <c r="L859" s="4">
        <v>2474</v>
      </c>
      <c r="M859" s="6"/>
      <c r="AO859" s="4" t="s">
        <v>3288</v>
      </c>
      <c r="AP859" s="4">
        <v>615</v>
      </c>
      <c r="AQ859" s="4" t="s">
        <v>1716</v>
      </c>
      <c r="AR859" s="4" t="s">
        <v>1717</v>
      </c>
      <c r="AS859" s="4" t="s">
        <v>1718</v>
      </c>
      <c r="AT859" s="4" t="s">
        <v>1719</v>
      </c>
      <c r="AU859" s="4" t="s">
        <v>1703</v>
      </c>
      <c r="AV859" s="4" t="s">
        <v>1720</v>
      </c>
      <c r="AW859" s="4" t="s">
        <v>2003</v>
      </c>
      <c r="AX859" s="4" t="s">
        <v>2099</v>
      </c>
      <c r="AY859" s="4">
        <v>54.7</v>
      </c>
      <c r="AZ859" s="4">
        <v>-124.9</v>
      </c>
      <c r="BA859" s="4">
        <v>7</v>
      </c>
    </row>
    <row r="860" spans="2:53" ht="14.25" customHeight="1" x14ac:dyDescent="0.2">
      <c r="B860" s="4">
        <v>12</v>
      </c>
      <c r="C860" s="4" t="s">
        <v>7666</v>
      </c>
      <c r="D860" s="4">
        <v>616</v>
      </c>
      <c r="E860" s="4">
        <v>2072</v>
      </c>
      <c r="F860" s="16" t="s">
        <v>3291</v>
      </c>
      <c r="G860" s="4" t="s">
        <v>3292</v>
      </c>
      <c r="H860" s="4" t="s">
        <v>3293</v>
      </c>
      <c r="I860" s="4" t="s">
        <v>1664</v>
      </c>
      <c r="J860" s="4" t="s">
        <v>1746</v>
      </c>
      <c r="K860" s="4">
        <v>1</v>
      </c>
      <c r="L860" s="4">
        <v>2475</v>
      </c>
      <c r="M860" s="6"/>
      <c r="AO860" s="4" t="s">
        <v>3291</v>
      </c>
      <c r="AP860" s="4">
        <v>616</v>
      </c>
      <c r="AQ860" s="4" t="s">
        <v>1716</v>
      </c>
      <c r="AR860" s="4" t="s">
        <v>1717</v>
      </c>
      <c r="AS860" s="4" t="s">
        <v>1718</v>
      </c>
      <c r="AT860" s="4" t="s">
        <v>1719</v>
      </c>
      <c r="AU860" s="4" t="s">
        <v>1703</v>
      </c>
      <c r="AV860" s="4" t="s">
        <v>1720</v>
      </c>
      <c r="AW860" s="4" t="s">
        <v>2003</v>
      </c>
      <c r="AX860" s="4" t="s">
        <v>2087</v>
      </c>
      <c r="AY860" s="4">
        <v>56.3</v>
      </c>
      <c r="AZ860" s="4">
        <v>-124.5</v>
      </c>
      <c r="BA860" s="4">
        <v>10</v>
      </c>
    </row>
    <row r="861" spans="2:53" ht="14.25" customHeight="1" x14ac:dyDescent="0.2">
      <c r="B861" s="4">
        <v>12</v>
      </c>
      <c r="C861" s="4" t="s">
        <v>7666</v>
      </c>
      <c r="D861" s="4">
        <v>617</v>
      </c>
      <c r="E861" s="4">
        <v>2073</v>
      </c>
      <c r="F861" s="16" t="s">
        <v>3294</v>
      </c>
      <c r="G861" s="4" t="s">
        <v>3295</v>
      </c>
      <c r="H861" s="4" t="s">
        <v>3296</v>
      </c>
      <c r="I861" s="4" t="s">
        <v>1664</v>
      </c>
      <c r="J861" s="4" t="s">
        <v>1746</v>
      </c>
      <c r="K861" s="4">
        <v>1</v>
      </c>
      <c r="L861" s="4">
        <v>2476</v>
      </c>
      <c r="M861" s="6"/>
      <c r="AO861" s="4" t="s">
        <v>3294</v>
      </c>
      <c r="AP861" s="4">
        <v>617</v>
      </c>
      <c r="AQ861" s="4" t="s">
        <v>1716</v>
      </c>
      <c r="AR861" s="4" t="s">
        <v>1717</v>
      </c>
      <c r="AS861" s="4" t="s">
        <v>1718</v>
      </c>
      <c r="AT861" s="4" t="s">
        <v>1719</v>
      </c>
      <c r="AU861" s="4" t="s">
        <v>1703</v>
      </c>
      <c r="AV861" s="4" t="s">
        <v>1720</v>
      </c>
      <c r="AW861" s="4" t="s">
        <v>2003</v>
      </c>
      <c r="AX861" s="4" t="s">
        <v>2087</v>
      </c>
      <c r="AY861" s="4">
        <v>55.9</v>
      </c>
      <c r="AZ861" s="4">
        <v>-123.2</v>
      </c>
      <c r="BA861" s="4">
        <v>85</v>
      </c>
    </row>
    <row r="862" spans="2:53" ht="14.25" customHeight="1" x14ac:dyDescent="0.2">
      <c r="B862" s="4">
        <v>12</v>
      </c>
      <c r="C862" s="4" t="s">
        <v>7666</v>
      </c>
      <c r="D862" s="4">
        <v>618</v>
      </c>
      <c r="E862" s="4">
        <v>2074</v>
      </c>
      <c r="F862" s="16" t="s">
        <v>3297</v>
      </c>
      <c r="G862" s="4" t="s">
        <v>3298</v>
      </c>
      <c r="H862" s="4" t="s">
        <v>3299</v>
      </c>
      <c r="I862" s="4" t="s">
        <v>1664</v>
      </c>
      <c r="J862" s="4" t="s">
        <v>1715</v>
      </c>
      <c r="K862" s="4">
        <v>1</v>
      </c>
      <c r="L862" s="4">
        <v>2477</v>
      </c>
      <c r="M862" s="6"/>
      <c r="AO862" s="4" t="s">
        <v>3297</v>
      </c>
      <c r="AP862" s="4">
        <v>618</v>
      </c>
      <c r="AQ862" s="4" t="s">
        <v>1716</v>
      </c>
      <c r="AR862" s="4" t="s">
        <v>1717</v>
      </c>
      <c r="AS862" s="4" t="s">
        <v>1718</v>
      </c>
      <c r="AT862" s="4" t="s">
        <v>1719</v>
      </c>
      <c r="AU862" s="4" t="s">
        <v>1703</v>
      </c>
      <c r="AV862" s="4" t="s">
        <v>1720</v>
      </c>
      <c r="AW862" s="4" t="s">
        <v>1947</v>
      </c>
      <c r="AX862" s="4" t="s">
        <v>2133</v>
      </c>
      <c r="AY862" s="4">
        <v>54.8</v>
      </c>
      <c r="AZ862" s="4">
        <v>-127.4</v>
      </c>
      <c r="BA862" s="4">
        <v>9</v>
      </c>
    </row>
    <row r="863" spans="2:53" ht="14.25" customHeight="1" x14ac:dyDescent="0.2">
      <c r="B863" s="4">
        <v>12</v>
      </c>
      <c r="C863" s="4" t="s">
        <v>7666</v>
      </c>
      <c r="D863" s="4">
        <v>619</v>
      </c>
      <c r="E863" s="4">
        <v>2075</v>
      </c>
      <c r="F863" s="16" t="s">
        <v>3300</v>
      </c>
      <c r="G863" s="4" t="s">
        <v>3301</v>
      </c>
      <c r="H863" s="4" t="s">
        <v>3302</v>
      </c>
      <c r="I863" s="4" t="s">
        <v>641</v>
      </c>
      <c r="J863" s="4" t="s">
        <v>1746</v>
      </c>
      <c r="K863" s="4">
        <v>1</v>
      </c>
      <c r="L863" s="4">
        <v>2478</v>
      </c>
      <c r="M863" s="6"/>
      <c r="AO863" s="4" t="s">
        <v>3300</v>
      </c>
      <c r="AP863" s="4">
        <v>619</v>
      </c>
      <c r="AQ863" s="4" t="s">
        <v>1716</v>
      </c>
      <c r="AR863" s="4" t="s">
        <v>1717</v>
      </c>
      <c r="AS863" s="4" t="s">
        <v>1718</v>
      </c>
      <c r="AT863" s="4" t="s">
        <v>2161</v>
      </c>
      <c r="AU863" s="4" t="s">
        <v>2162</v>
      </c>
      <c r="AV863" s="4" t="s">
        <v>1720</v>
      </c>
      <c r="AW863" s="4" t="s">
        <v>1947</v>
      </c>
      <c r="AX863" s="4" t="s">
        <v>2133</v>
      </c>
      <c r="AY863" s="4">
        <v>54.8</v>
      </c>
      <c r="AZ863" s="4">
        <v>-127.2</v>
      </c>
      <c r="BA863" s="4">
        <v>522</v>
      </c>
    </row>
    <row r="864" spans="2:53" ht="14.25" customHeight="1" x14ac:dyDescent="0.2">
      <c r="B864" s="4">
        <v>12</v>
      </c>
      <c r="C864" s="4" t="s">
        <v>7666</v>
      </c>
      <c r="D864" s="4">
        <v>620</v>
      </c>
      <c r="E864" s="4">
        <v>2076</v>
      </c>
      <c r="F864" s="16" t="s">
        <v>3303</v>
      </c>
      <c r="G864" s="27" t="s">
        <v>3304</v>
      </c>
      <c r="H864" s="4" t="s">
        <v>3305</v>
      </c>
      <c r="I864" s="4" t="s">
        <v>1664</v>
      </c>
      <c r="J864" s="4" t="s">
        <v>1715</v>
      </c>
      <c r="K864" s="4">
        <v>1</v>
      </c>
      <c r="L864" s="4">
        <v>2479</v>
      </c>
      <c r="M864" s="6"/>
      <c r="AO864" s="4" t="s">
        <v>3303</v>
      </c>
      <c r="AP864" s="4">
        <v>620</v>
      </c>
      <c r="AQ864" s="4" t="s">
        <v>1716</v>
      </c>
      <c r="AR864" s="4" t="s">
        <v>1717</v>
      </c>
      <c r="AS864" s="4" t="s">
        <v>1718</v>
      </c>
      <c r="AT864" s="4" t="s">
        <v>1719</v>
      </c>
      <c r="AU864" s="4" t="s">
        <v>1703</v>
      </c>
      <c r="AV864" s="4" t="s">
        <v>1720</v>
      </c>
      <c r="AW864" s="4" t="s">
        <v>1947</v>
      </c>
      <c r="AX864" s="4" t="s">
        <v>2148</v>
      </c>
      <c r="AY864" s="4">
        <v>54.4</v>
      </c>
      <c r="AZ864" s="4">
        <v>-125.5</v>
      </c>
      <c r="BA864" s="4">
        <v>9</v>
      </c>
    </row>
    <row r="865" spans="1:53" ht="14.25" customHeight="1" x14ac:dyDescent="0.2">
      <c r="B865" s="4">
        <v>12</v>
      </c>
      <c r="C865" s="4" t="s">
        <v>7666</v>
      </c>
      <c r="D865" s="4">
        <v>621</v>
      </c>
      <c r="E865" s="4">
        <v>2077</v>
      </c>
      <c r="F865" s="16" t="s">
        <v>3306</v>
      </c>
      <c r="G865" s="4" t="s">
        <v>3307</v>
      </c>
      <c r="H865" s="4" t="s">
        <v>3308</v>
      </c>
      <c r="I865" s="4" t="s">
        <v>1664</v>
      </c>
      <c r="J865" s="4" t="s">
        <v>1715</v>
      </c>
      <c r="K865" s="4">
        <v>1</v>
      </c>
      <c r="L865" s="4">
        <v>2480</v>
      </c>
      <c r="M865" s="6"/>
      <c r="AO865" s="4" t="s">
        <v>3306</v>
      </c>
      <c r="AP865" s="4">
        <v>621</v>
      </c>
      <c r="AQ865" s="4" t="s">
        <v>1716</v>
      </c>
      <c r="AR865" s="4" t="s">
        <v>1717</v>
      </c>
      <c r="AS865" s="4" t="s">
        <v>1718</v>
      </c>
      <c r="AT865" s="4" t="s">
        <v>1719</v>
      </c>
      <c r="AU865" s="4" t="s">
        <v>1703</v>
      </c>
      <c r="AV865" s="4" t="s">
        <v>1720</v>
      </c>
      <c r="AW865" s="4" t="s">
        <v>1947</v>
      </c>
      <c r="AX865" s="4" t="s">
        <v>2148</v>
      </c>
      <c r="AY865" s="4">
        <v>54.2</v>
      </c>
      <c r="AZ865" s="4">
        <v>-126</v>
      </c>
      <c r="BA865" s="4">
        <v>9</v>
      </c>
    </row>
    <row r="866" spans="1:53" ht="14.25" customHeight="1" x14ac:dyDescent="0.2">
      <c r="A866" s="4" t="s">
        <v>422</v>
      </c>
      <c r="B866" s="4">
        <v>12</v>
      </c>
      <c r="C866" s="4" t="s">
        <v>7666</v>
      </c>
      <c r="D866" s="4">
        <v>622</v>
      </c>
      <c r="E866" s="4">
        <v>2078</v>
      </c>
      <c r="F866" s="16" t="s">
        <v>3309</v>
      </c>
      <c r="G866" s="27" t="s">
        <v>3310</v>
      </c>
      <c r="H866" s="4" t="s">
        <v>3311</v>
      </c>
      <c r="I866" s="4" t="s">
        <v>1664</v>
      </c>
      <c r="J866" s="4" t="s">
        <v>1746</v>
      </c>
      <c r="K866" s="4">
        <v>1</v>
      </c>
      <c r="L866" s="4">
        <v>2481</v>
      </c>
      <c r="M866" s="6"/>
      <c r="AO866" s="4" t="s">
        <v>3309</v>
      </c>
      <c r="AP866" s="4">
        <v>622</v>
      </c>
      <c r="AQ866" s="4" t="s">
        <v>1716</v>
      </c>
      <c r="AR866" s="4" t="s">
        <v>1717</v>
      </c>
      <c r="AS866" s="4" t="s">
        <v>1718</v>
      </c>
      <c r="AT866" s="4" t="s">
        <v>1719</v>
      </c>
      <c r="AU866" s="4" t="s">
        <v>1703</v>
      </c>
      <c r="AV866" s="4" t="s">
        <v>1720</v>
      </c>
      <c r="AW866" s="4" t="s">
        <v>1947</v>
      </c>
      <c r="AX866" s="4" t="s">
        <v>2148</v>
      </c>
      <c r="AY866" s="4">
        <v>54.3</v>
      </c>
      <c r="AZ866" s="4">
        <v>-125.5</v>
      </c>
      <c r="BA866" s="4">
        <v>9</v>
      </c>
    </row>
    <row r="867" spans="1:53" ht="14.25" customHeight="1" x14ac:dyDescent="0.2">
      <c r="B867" s="4">
        <v>12</v>
      </c>
      <c r="C867" s="4" t="s">
        <v>7666</v>
      </c>
      <c r="D867" s="4">
        <v>623</v>
      </c>
      <c r="E867" s="4">
        <v>2079</v>
      </c>
      <c r="F867" s="16" t="s">
        <v>3312</v>
      </c>
      <c r="G867" s="4" t="s">
        <v>3313</v>
      </c>
      <c r="H867" s="4" t="s">
        <v>3314</v>
      </c>
      <c r="I867" s="4" t="s">
        <v>1664</v>
      </c>
      <c r="J867" s="4" t="s">
        <v>1715</v>
      </c>
      <c r="K867" s="4">
        <v>1</v>
      </c>
      <c r="L867" s="4">
        <v>2482</v>
      </c>
      <c r="M867" s="6"/>
      <c r="AO867" s="4" t="s">
        <v>3312</v>
      </c>
      <c r="AP867" s="4">
        <v>623</v>
      </c>
      <c r="AQ867" s="4" t="s">
        <v>1716</v>
      </c>
      <c r="AR867" s="4" t="s">
        <v>1717</v>
      </c>
      <c r="AS867" s="4" t="s">
        <v>1718</v>
      </c>
      <c r="AT867" s="4" t="s">
        <v>1719</v>
      </c>
      <c r="AU867" s="4" t="s">
        <v>1703</v>
      </c>
      <c r="AV867" s="4" t="s">
        <v>1720</v>
      </c>
      <c r="AW867" s="4" t="s">
        <v>2003</v>
      </c>
      <c r="AX867" s="4" t="s">
        <v>2139</v>
      </c>
      <c r="AY867" s="4">
        <v>53.5</v>
      </c>
      <c r="AZ867" s="4">
        <v>-124.2</v>
      </c>
      <c r="BA867" s="4">
        <v>9</v>
      </c>
    </row>
    <row r="868" spans="1:53" ht="14.25" customHeight="1" x14ac:dyDescent="0.2">
      <c r="B868" s="4">
        <v>12</v>
      </c>
      <c r="C868" s="4" t="s">
        <v>7666</v>
      </c>
      <c r="D868" s="4">
        <v>624</v>
      </c>
      <c r="E868" s="4">
        <v>2080</v>
      </c>
      <c r="F868" s="16" t="s">
        <v>3315</v>
      </c>
      <c r="G868" s="4" t="s">
        <v>3316</v>
      </c>
      <c r="H868" s="4" t="s">
        <v>3317</v>
      </c>
      <c r="I868" s="4" t="s">
        <v>1664</v>
      </c>
      <c r="J868" s="4" t="s">
        <v>1715</v>
      </c>
      <c r="K868" s="4">
        <v>1</v>
      </c>
      <c r="L868" s="4">
        <v>2483</v>
      </c>
      <c r="M868" s="6"/>
      <c r="AO868" s="4" t="s">
        <v>3315</v>
      </c>
      <c r="AP868" s="4">
        <v>624</v>
      </c>
      <c r="AQ868" s="4" t="s">
        <v>1716</v>
      </c>
      <c r="AR868" s="4" t="s">
        <v>1717</v>
      </c>
      <c r="AS868" s="4" t="s">
        <v>1718</v>
      </c>
      <c r="AT868" s="4" t="s">
        <v>1719</v>
      </c>
      <c r="AU868" s="4" t="s">
        <v>1703</v>
      </c>
      <c r="AV868" s="4" t="s">
        <v>1720</v>
      </c>
      <c r="AW868" s="4" t="s">
        <v>2003</v>
      </c>
      <c r="AX868" s="4" t="s">
        <v>2139</v>
      </c>
      <c r="AY868" s="4">
        <v>54.1</v>
      </c>
      <c r="AZ868" s="4">
        <v>-124.3</v>
      </c>
      <c r="BA868" s="4">
        <v>9</v>
      </c>
    </row>
    <row r="869" spans="1:53" ht="14.25" customHeight="1" x14ac:dyDescent="0.2">
      <c r="B869" s="4">
        <v>12</v>
      </c>
      <c r="C869" s="4" t="s">
        <v>7666</v>
      </c>
      <c r="D869" s="4">
        <v>625</v>
      </c>
      <c r="E869" s="4">
        <v>2081</v>
      </c>
      <c r="F869" s="16" t="s">
        <v>3318</v>
      </c>
      <c r="G869" s="4" t="s">
        <v>3319</v>
      </c>
      <c r="H869" s="4" t="s">
        <v>3320</v>
      </c>
      <c r="I869" s="4" t="s">
        <v>1664</v>
      </c>
      <c r="J869" s="4" t="s">
        <v>1715</v>
      </c>
      <c r="K869" s="4">
        <v>1</v>
      </c>
      <c r="L869" s="4">
        <v>2484</v>
      </c>
      <c r="M869" s="6"/>
      <c r="AO869" s="4" t="s">
        <v>3318</v>
      </c>
      <c r="AP869" s="4">
        <v>625</v>
      </c>
      <c r="AQ869" s="4" t="s">
        <v>1716</v>
      </c>
      <c r="AR869" s="4" t="s">
        <v>1717</v>
      </c>
      <c r="AS869" s="4" t="s">
        <v>1718</v>
      </c>
      <c r="AT869" s="4" t="s">
        <v>1719</v>
      </c>
      <c r="AU869" s="4" t="s">
        <v>1703</v>
      </c>
      <c r="AV869" s="4" t="s">
        <v>1720</v>
      </c>
      <c r="AW869" s="4" t="s">
        <v>2003</v>
      </c>
      <c r="AX869" s="4" t="s">
        <v>2139</v>
      </c>
      <c r="AY869" s="4">
        <v>53.2</v>
      </c>
      <c r="AZ869" s="4">
        <v>-125.1</v>
      </c>
      <c r="BA869" s="4">
        <v>13</v>
      </c>
    </row>
    <row r="870" spans="1:53" ht="14.25" customHeight="1" x14ac:dyDescent="0.2">
      <c r="A870" s="4" t="s">
        <v>422</v>
      </c>
      <c r="B870" s="4">
        <v>12</v>
      </c>
      <c r="C870" s="4" t="s">
        <v>7666</v>
      </c>
      <c r="D870" s="4">
        <v>626</v>
      </c>
      <c r="E870" s="4">
        <v>2082</v>
      </c>
      <c r="F870" s="16" t="s">
        <v>3321</v>
      </c>
      <c r="G870" s="4" t="s">
        <v>3322</v>
      </c>
      <c r="H870" s="4" t="s">
        <v>3323</v>
      </c>
      <c r="I870" s="4" t="s">
        <v>1664</v>
      </c>
      <c r="J870" s="4" t="s">
        <v>1746</v>
      </c>
      <c r="K870" s="4">
        <v>1</v>
      </c>
      <c r="L870" s="4">
        <v>2485</v>
      </c>
      <c r="M870" s="6"/>
      <c r="AO870" s="4" t="s">
        <v>3321</v>
      </c>
      <c r="AP870" s="4">
        <v>626</v>
      </c>
      <c r="AQ870" s="4" t="s">
        <v>1716</v>
      </c>
      <c r="AR870" s="4" t="s">
        <v>1717</v>
      </c>
      <c r="AS870" s="4" t="s">
        <v>1718</v>
      </c>
      <c r="AT870" s="4" t="s">
        <v>1719</v>
      </c>
      <c r="AU870" s="4" t="s">
        <v>1703</v>
      </c>
      <c r="AV870" s="4" t="s">
        <v>1720</v>
      </c>
      <c r="AW870" s="4" t="s">
        <v>2003</v>
      </c>
      <c r="AX870" s="4" t="s">
        <v>2139</v>
      </c>
      <c r="AY870" s="4">
        <v>54.2</v>
      </c>
      <c r="AZ870" s="4">
        <v>-124.1</v>
      </c>
      <c r="BA870" s="4">
        <v>8</v>
      </c>
    </row>
    <row r="871" spans="1:53" ht="14.25" customHeight="1" x14ac:dyDescent="0.2">
      <c r="B871" s="4">
        <v>12</v>
      </c>
      <c r="C871" s="4" t="s">
        <v>7666</v>
      </c>
      <c r="D871" s="4">
        <v>627</v>
      </c>
      <c r="E871" s="4">
        <v>2083</v>
      </c>
      <c r="F871" s="16" t="s">
        <v>3324</v>
      </c>
      <c r="G871" s="4" t="s">
        <v>3325</v>
      </c>
      <c r="H871" s="4" t="s">
        <v>3326</v>
      </c>
      <c r="I871" s="4" t="s">
        <v>1664</v>
      </c>
      <c r="J871" s="4" t="s">
        <v>1715</v>
      </c>
      <c r="K871" s="4">
        <v>1</v>
      </c>
      <c r="L871" s="4">
        <v>2486</v>
      </c>
      <c r="M871" s="6"/>
      <c r="AO871" s="4" t="s">
        <v>3324</v>
      </c>
      <c r="AP871" s="4">
        <v>627</v>
      </c>
      <c r="AQ871" s="4" t="s">
        <v>1716</v>
      </c>
      <c r="AR871" s="4" t="s">
        <v>1717</v>
      </c>
      <c r="AS871" s="4" t="s">
        <v>1718</v>
      </c>
      <c r="AT871" s="4" t="s">
        <v>1719</v>
      </c>
      <c r="AU871" s="4" t="s">
        <v>1703</v>
      </c>
      <c r="AV871" s="4" t="s">
        <v>1720</v>
      </c>
      <c r="AW871" s="4" t="s">
        <v>2003</v>
      </c>
      <c r="AX871" s="4" t="s">
        <v>2139</v>
      </c>
      <c r="AY871" s="4">
        <v>53.6</v>
      </c>
      <c r="AZ871" s="4">
        <v>-124.1</v>
      </c>
      <c r="BA871" s="4">
        <v>12</v>
      </c>
    </row>
    <row r="872" spans="1:53" ht="14.25" customHeight="1" x14ac:dyDescent="0.2">
      <c r="B872" s="4">
        <v>12</v>
      </c>
      <c r="C872" s="4" t="s">
        <v>7666</v>
      </c>
      <c r="D872" s="4">
        <v>628</v>
      </c>
      <c r="E872" s="4">
        <v>2084</v>
      </c>
      <c r="F872" s="16" t="s">
        <v>3327</v>
      </c>
      <c r="G872" s="4" t="s">
        <v>3328</v>
      </c>
      <c r="H872" s="4" t="s">
        <v>3329</v>
      </c>
      <c r="I872" s="4" t="s">
        <v>1664</v>
      </c>
      <c r="J872" s="4" t="s">
        <v>1715</v>
      </c>
      <c r="K872" s="4">
        <v>1</v>
      </c>
      <c r="L872" s="4">
        <v>2487</v>
      </c>
      <c r="M872" s="6"/>
      <c r="AO872" s="4" t="s">
        <v>3327</v>
      </c>
      <c r="AP872" s="4">
        <v>628</v>
      </c>
      <c r="AQ872" s="4" t="s">
        <v>1716</v>
      </c>
      <c r="AR872" s="4" t="s">
        <v>1717</v>
      </c>
      <c r="AS872" s="4" t="s">
        <v>1718</v>
      </c>
      <c r="AT872" s="4" t="s">
        <v>1719</v>
      </c>
      <c r="AU872" s="4" t="s">
        <v>1703</v>
      </c>
      <c r="AV872" s="4" t="s">
        <v>1720</v>
      </c>
      <c r="AW872" s="4" t="s">
        <v>2003</v>
      </c>
      <c r="AX872" s="4" t="s">
        <v>2139</v>
      </c>
      <c r="AY872" s="4">
        <v>53.5</v>
      </c>
      <c r="AZ872" s="4">
        <v>-124.6</v>
      </c>
      <c r="BA872" s="4">
        <v>9</v>
      </c>
    </row>
    <row r="873" spans="1:53" ht="14.25" customHeight="1" x14ac:dyDescent="0.2">
      <c r="B873" s="4">
        <v>12</v>
      </c>
      <c r="C873" s="4" t="s">
        <v>7666</v>
      </c>
      <c r="D873" s="4">
        <v>629</v>
      </c>
      <c r="E873" s="4">
        <v>2085</v>
      </c>
      <c r="F873" s="16" t="s">
        <v>3330</v>
      </c>
      <c r="G873" s="4" t="s">
        <v>3331</v>
      </c>
      <c r="H873" s="4" t="s">
        <v>3332</v>
      </c>
      <c r="I873" s="4" t="s">
        <v>1664</v>
      </c>
      <c r="J873" s="4" t="s">
        <v>1746</v>
      </c>
      <c r="K873" s="4">
        <v>1</v>
      </c>
      <c r="L873" s="4">
        <v>2488</v>
      </c>
      <c r="M873" s="6"/>
      <c r="AO873" s="4" t="s">
        <v>3330</v>
      </c>
      <c r="AP873" s="4">
        <v>629</v>
      </c>
      <c r="AQ873" s="4" t="s">
        <v>1716</v>
      </c>
      <c r="AR873" s="4" t="s">
        <v>1717</v>
      </c>
      <c r="AS873" s="4" t="s">
        <v>1718</v>
      </c>
      <c r="AT873" s="4" t="s">
        <v>1719</v>
      </c>
      <c r="AU873" s="4" t="s">
        <v>1703</v>
      </c>
      <c r="AV873" s="4" t="s">
        <v>1720</v>
      </c>
      <c r="AW873" s="4" t="s">
        <v>1947</v>
      </c>
      <c r="AX873" s="4" t="s">
        <v>2148</v>
      </c>
      <c r="AY873" s="4">
        <v>53.4</v>
      </c>
      <c r="AZ873" s="4">
        <v>-125.3</v>
      </c>
      <c r="BA873" s="4">
        <v>0</v>
      </c>
    </row>
    <row r="874" spans="1:53" ht="14.25" customHeight="1" x14ac:dyDescent="0.2">
      <c r="A874" s="4" t="s">
        <v>422</v>
      </c>
      <c r="B874" s="4">
        <v>12</v>
      </c>
      <c r="C874" s="4" t="s">
        <v>7666</v>
      </c>
      <c r="D874" s="4">
        <v>631</v>
      </c>
      <c r="E874" s="4">
        <v>2086</v>
      </c>
      <c r="F874" s="16" t="s">
        <v>3333</v>
      </c>
      <c r="G874" s="4" t="s">
        <v>3334</v>
      </c>
      <c r="H874" s="4" t="s">
        <v>3335</v>
      </c>
      <c r="I874" s="4" t="s">
        <v>1664</v>
      </c>
      <c r="J874" s="4" t="s">
        <v>1746</v>
      </c>
      <c r="K874" s="4">
        <v>1</v>
      </c>
      <c r="L874" s="4">
        <v>2489</v>
      </c>
      <c r="M874" s="6"/>
      <c r="AO874" s="4" t="s">
        <v>3333</v>
      </c>
      <c r="AP874" s="4">
        <v>631</v>
      </c>
      <c r="AQ874" s="4" t="s">
        <v>1716</v>
      </c>
      <c r="AR874" s="4" t="s">
        <v>1717</v>
      </c>
      <c r="AS874" s="4" t="s">
        <v>1718</v>
      </c>
      <c r="AT874" s="4" t="s">
        <v>1719</v>
      </c>
      <c r="AU874" s="4" t="s">
        <v>1703</v>
      </c>
      <c r="AV874" s="4" t="s">
        <v>1720</v>
      </c>
      <c r="AW874" s="4" t="s">
        <v>2003</v>
      </c>
      <c r="AX874" s="4" t="s">
        <v>2139</v>
      </c>
      <c r="AY874" s="4">
        <v>53.1</v>
      </c>
      <c r="AZ874" s="4">
        <v>-125.1</v>
      </c>
      <c r="BA874" s="4">
        <v>14</v>
      </c>
    </row>
    <row r="875" spans="1:53" ht="14.25" customHeight="1" x14ac:dyDescent="0.2">
      <c r="A875" s="4" t="s">
        <v>422</v>
      </c>
      <c r="B875" s="4">
        <v>12</v>
      </c>
      <c r="C875" s="4" t="s">
        <v>7666</v>
      </c>
      <c r="D875" s="4">
        <v>632</v>
      </c>
      <c r="E875" s="4">
        <v>2087</v>
      </c>
      <c r="F875" s="16" t="s">
        <v>3336</v>
      </c>
      <c r="G875" s="4" t="s">
        <v>3337</v>
      </c>
      <c r="H875" s="4" t="s">
        <v>3338</v>
      </c>
      <c r="I875" s="4" t="s">
        <v>1664</v>
      </c>
      <c r="J875" s="4" t="s">
        <v>1746</v>
      </c>
      <c r="K875" s="4">
        <v>1</v>
      </c>
      <c r="L875" s="4">
        <v>2490</v>
      </c>
      <c r="M875" s="6"/>
      <c r="AO875" s="4" t="s">
        <v>3336</v>
      </c>
      <c r="AP875" s="4">
        <v>632</v>
      </c>
      <c r="AQ875" s="4" t="s">
        <v>1716</v>
      </c>
      <c r="AR875" s="4" t="s">
        <v>1717</v>
      </c>
      <c r="AS875" s="4" t="s">
        <v>1718</v>
      </c>
      <c r="AT875" s="4" t="s">
        <v>1719</v>
      </c>
      <c r="AU875" s="4" t="s">
        <v>1703</v>
      </c>
      <c r="AV875" s="4" t="s">
        <v>1720</v>
      </c>
      <c r="AW875" s="4" t="s">
        <v>2003</v>
      </c>
      <c r="AX875" s="4" t="s">
        <v>2139</v>
      </c>
      <c r="AY875" s="4">
        <v>53.3</v>
      </c>
      <c r="AZ875" s="4">
        <v>-125.1</v>
      </c>
      <c r="BA875" s="4">
        <v>10</v>
      </c>
    </row>
    <row r="876" spans="1:53" ht="14.25" customHeight="1" x14ac:dyDescent="0.2">
      <c r="B876" s="4">
        <v>12</v>
      </c>
      <c r="C876" s="4" t="s">
        <v>7666</v>
      </c>
      <c r="D876" s="4">
        <v>633</v>
      </c>
      <c r="E876" s="4">
        <v>2088</v>
      </c>
      <c r="F876" s="16" t="s">
        <v>3339</v>
      </c>
      <c r="G876" s="4" t="s">
        <v>3340</v>
      </c>
      <c r="H876" s="4" t="s">
        <v>3341</v>
      </c>
      <c r="I876" s="4" t="s">
        <v>1664</v>
      </c>
      <c r="J876" s="4" t="s">
        <v>1746</v>
      </c>
      <c r="K876" s="4">
        <v>1</v>
      </c>
      <c r="L876" s="4">
        <v>2491</v>
      </c>
      <c r="M876" s="6"/>
      <c r="AO876" s="4" t="s">
        <v>3339</v>
      </c>
      <c r="AP876" s="4">
        <v>633</v>
      </c>
      <c r="AQ876" s="4" t="s">
        <v>1716</v>
      </c>
      <c r="AR876" s="4" t="s">
        <v>1717</v>
      </c>
      <c r="AS876" s="4" t="s">
        <v>1718</v>
      </c>
      <c r="AT876" s="4" t="s">
        <v>1719</v>
      </c>
      <c r="AU876" s="4" t="s">
        <v>1703</v>
      </c>
      <c r="AV876" s="4" t="s">
        <v>1720</v>
      </c>
      <c r="AW876" s="4" t="s">
        <v>2003</v>
      </c>
      <c r="AX876" s="4" t="s">
        <v>2139</v>
      </c>
      <c r="AY876" s="4">
        <v>53.7</v>
      </c>
      <c r="AZ876" s="4">
        <v>-124</v>
      </c>
      <c r="BA876" s="4">
        <v>12</v>
      </c>
    </row>
    <row r="877" spans="1:53" ht="14.25" customHeight="1" x14ac:dyDescent="0.2">
      <c r="B877" s="4">
        <v>12</v>
      </c>
      <c r="C877" s="4" t="s">
        <v>7666</v>
      </c>
      <c r="D877" s="4">
        <v>634</v>
      </c>
      <c r="E877" s="4">
        <v>2089</v>
      </c>
      <c r="F877" s="16" t="s">
        <v>3342</v>
      </c>
      <c r="G877" s="4" t="s">
        <v>3343</v>
      </c>
      <c r="H877" s="4" t="s">
        <v>3344</v>
      </c>
      <c r="I877" s="4" t="s">
        <v>1664</v>
      </c>
      <c r="J877" s="4" t="s">
        <v>1715</v>
      </c>
      <c r="K877" s="4">
        <v>1</v>
      </c>
      <c r="L877" s="4">
        <v>2492</v>
      </c>
      <c r="M877" s="6"/>
      <c r="AO877" s="4" t="s">
        <v>3342</v>
      </c>
      <c r="AP877" s="4">
        <v>634</v>
      </c>
      <c r="AQ877" s="4" t="s">
        <v>1716</v>
      </c>
      <c r="AR877" s="4" t="s">
        <v>1717</v>
      </c>
      <c r="AS877" s="4" t="s">
        <v>1718</v>
      </c>
      <c r="AT877" s="4" t="s">
        <v>1719</v>
      </c>
      <c r="AU877" s="4" t="s">
        <v>1703</v>
      </c>
      <c r="AV877" s="4" t="s">
        <v>1720</v>
      </c>
      <c r="AW877" s="4" t="s">
        <v>1947</v>
      </c>
      <c r="AX877" s="4" t="s">
        <v>2153</v>
      </c>
      <c r="AY877" s="4">
        <v>54.6</v>
      </c>
      <c r="AZ877" s="4">
        <v>-126.2</v>
      </c>
      <c r="BA877" s="4">
        <v>12</v>
      </c>
    </row>
    <row r="878" spans="1:53" ht="14.25" customHeight="1" x14ac:dyDescent="0.2">
      <c r="B878" s="4">
        <v>12</v>
      </c>
      <c r="C878" s="4" t="s">
        <v>7666</v>
      </c>
      <c r="D878" s="4">
        <v>635</v>
      </c>
      <c r="E878" s="4">
        <v>2090</v>
      </c>
      <c r="F878" s="16" t="s">
        <v>3345</v>
      </c>
      <c r="G878" s="4" t="s">
        <v>3346</v>
      </c>
      <c r="H878" s="4" t="s">
        <v>3347</v>
      </c>
      <c r="I878" s="4" t="s">
        <v>1664</v>
      </c>
      <c r="J878" s="4" t="s">
        <v>1746</v>
      </c>
      <c r="K878" s="4">
        <v>1</v>
      </c>
      <c r="L878" s="4">
        <v>2493</v>
      </c>
      <c r="M878" s="6"/>
      <c r="AO878" s="4" t="s">
        <v>3345</v>
      </c>
      <c r="AP878" s="4">
        <v>635</v>
      </c>
      <c r="AQ878" s="4" t="s">
        <v>1716</v>
      </c>
      <c r="AR878" s="4" t="s">
        <v>1717</v>
      </c>
      <c r="AS878" s="4" t="s">
        <v>1718</v>
      </c>
      <c r="AT878" s="4" t="s">
        <v>1719</v>
      </c>
      <c r="AU878" s="4" t="s">
        <v>1703</v>
      </c>
      <c r="AV878" s="4" t="s">
        <v>1720</v>
      </c>
      <c r="AW878" s="4" t="s">
        <v>1947</v>
      </c>
      <c r="AX878" s="4" t="s">
        <v>2133</v>
      </c>
      <c r="AY878" s="4">
        <v>54.9</v>
      </c>
      <c r="AZ878" s="4">
        <v>-126.7</v>
      </c>
      <c r="BA878" s="4">
        <v>9</v>
      </c>
    </row>
    <row r="879" spans="1:53" ht="14.25" customHeight="1" x14ac:dyDescent="0.2">
      <c r="B879" s="4">
        <v>12</v>
      </c>
      <c r="C879" s="4" t="s">
        <v>7666</v>
      </c>
      <c r="D879" s="4">
        <v>636</v>
      </c>
      <c r="E879" s="4">
        <v>2091</v>
      </c>
      <c r="F879" s="16" t="s">
        <v>3348</v>
      </c>
      <c r="G879" s="4" t="s">
        <v>3349</v>
      </c>
      <c r="H879" s="4" t="s">
        <v>3350</v>
      </c>
      <c r="I879" s="4" t="s">
        <v>1664</v>
      </c>
      <c r="J879" s="4" t="s">
        <v>1746</v>
      </c>
      <c r="K879" s="4">
        <v>1</v>
      </c>
      <c r="L879" s="4">
        <v>2494</v>
      </c>
      <c r="M879" s="6"/>
      <c r="AO879" s="4" t="s">
        <v>3348</v>
      </c>
      <c r="AP879" s="4">
        <v>636</v>
      </c>
      <c r="AQ879" s="4" t="s">
        <v>1716</v>
      </c>
      <c r="AR879" s="4" t="s">
        <v>1717</v>
      </c>
      <c r="AS879" s="4" t="s">
        <v>1718</v>
      </c>
      <c r="AT879" s="4" t="s">
        <v>1719</v>
      </c>
      <c r="AU879" s="4" t="s">
        <v>1703</v>
      </c>
      <c r="AV879" s="4" t="s">
        <v>1720</v>
      </c>
      <c r="AW879" s="4" t="s">
        <v>1947</v>
      </c>
      <c r="AX879" s="4" t="s">
        <v>2153</v>
      </c>
      <c r="AY879" s="4">
        <v>55.2</v>
      </c>
      <c r="AZ879" s="4">
        <v>-126.2</v>
      </c>
      <c r="BA879" s="4">
        <v>9</v>
      </c>
    </row>
    <row r="880" spans="1:53" ht="14.25" customHeight="1" x14ac:dyDescent="0.2">
      <c r="B880" s="4">
        <v>12</v>
      </c>
      <c r="C880" s="4" t="s">
        <v>7666</v>
      </c>
      <c r="D880" s="4">
        <v>637</v>
      </c>
      <c r="E880" s="4">
        <v>2092</v>
      </c>
      <c r="F880" s="16" t="s">
        <v>3351</v>
      </c>
      <c r="G880" s="4" t="s">
        <v>3352</v>
      </c>
      <c r="H880" s="4" t="s">
        <v>3353</v>
      </c>
      <c r="I880" s="4" t="s">
        <v>1664</v>
      </c>
      <c r="J880" s="4" t="s">
        <v>1746</v>
      </c>
      <c r="K880" s="4">
        <v>1</v>
      </c>
      <c r="L880" s="4">
        <v>2495</v>
      </c>
      <c r="M880" s="6"/>
      <c r="AO880" s="4" t="s">
        <v>3351</v>
      </c>
      <c r="AP880" s="4">
        <v>637</v>
      </c>
      <c r="AQ880" s="4" t="s">
        <v>1716</v>
      </c>
      <c r="AR880" s="4" t="s">
        <v>1717</v>
      </c>
      <c r="AS880" s="4" t="s">
        <v>1718</v>
      </c>
      <c r="AT880" s="4" t="s">
        <v>1719</v>
      </c>
      <c r="AU880" s="4" t="s">
        <v>1703</v>
      </c>
      <c r="AV880" s="4" t="s">
        <v>1720</v>
      </c>
      <c r="AW880" s="4" t="s">
        <v>1947</v>
      </c>
      <c r="AX880" s="4" t="s">
        <v>2153</v>
      </c>
      <c r="AY880" s="4">
        <v>54.9</v>
      </c>
      <c r="AZ880" s="4">
        <v>-125.9</v>
      </c>
      <c r="BA880" s="4">
        <v>10</v>
      </c>
    </row>
    <row r="881" spans="1:53" ht="14.25" customHeight="1" x14ac:dyDescent="0.2">
      <c r="B881" s="4">
        <v>12</v>
      </c>
      <c r="C881" s="4" t="s">
        <v>7666</v>
      </c>
      <c r="D881" s="4">
        <v>638</v>
      </c>
      <c r="E881" s="4">
        <v>2093</v>
      </c>
      <c r="F881" s="16" t="s">
        <v>3354</v>
      </c>
      <c r="G881" s="4" t="s">
        <v>3355</v>
      </c>
      <c r="H881" s="4" t="s">
        <v>3356</v>
      </c>
      <c r="I881" s="4" t="s">
        <v>1664</v>
      </c>
      <c r="J881" s="4" t="s">
        <v>1746</v>
      </c>
      <c r="K881" s="4">
        <v>1</v>
      </c>
      <c r="L881" s="4">
        <v>2496</v>
      </c>
      <c r="M881" s="6"/>
      <c r="AO881" s="4" t="s">
        <v>3354</v>
      </c>
      <c r="AP881" s="4">
        <v>638</v>
      </c>
      <c r="AQ881" s="4" t="s">
        <v>1716</v>
      </c>
      <c r="AR881" s="4" t="s">
        <v>1717</v>
      </c>
      <c r="AS881" s="4" t="s">
        <v>1718</v>
      </c>
      <c r="AT881" s="4" t="s">
        <v>1719</v>
      </c>
      <c r="AU881" s="4" t="s">
        <v>1703</v>
      </c>
      <c r="AV881" s="4" t="s">
        <v>1720</v>
      </c>
      <c r="AW881" s="4" t="s">
        <v>1947</v>
      </c>
      <c r="AX881" s="4" t="s">
        <v>2153</v>
      </c>
      <c r="AY881" s="4">
        <v>54.2</v>
      </c>
      <c r="AZ881" s="4">
        <v>-126.4</v>
      </c>
      <c r="BA881" s="4">
        <v>14</v>
      </c>
    </row>
    <row r="882" spans="1:53" ht="14.25" customHeight="1" x14ac:dyDescent="0.2">
      <c r="B882" s="4">
        <v>12</v>
      </c>
      <c r="C882" s="4" t="s">
        <v>7666</v>
      </c>
      <c r="D882" s="4">
        <v>639</v>
      </c>
      <c r="E882" s="4">
        <v>2094</v>
      </c>
      <c r="F882" s="16" t="s">
        <v>3357</v>
      </c>
      <c r="G882" s="4" t="s">
        <v>3358</v>
      </c>
      <c r="H882" s="4" t="s">
        <v>3356</v>
      </c>
      <c r="I882" s="4" t="s">
        <v>1664</v>
      </c>
      <c r="J882" s="4" t="s">
        <v>1746</v>
      </c>
      <c r="K882" s="4">
        <v>1</v>
      </c>
      <c r="L882" s="4">
        <v>2497</v>
      </c>
      <c r="M882" s="6"/>
      <c r="AO882" s="4" t="s">
        <v>3357</v>
      </c>
      <c r="AP882" s="4">
        <v>639</v>
      </c>
      <c r="AQ882" s="4" t="s">
        <v>1716</v>
      </c>
      <c r="AR882" s="4" t="s">
        <v>1717</v>
      </c>
      <c r="AS882" s="4" t="s">
        <v>1740</v>
      </c>
      <c r="AT882" s="4" t="s">
        <v>1719</v>
      </c>
      <c r="AU882" s="4" t="s">
        <v>1772</v>
      </c>
      <c r="AV882" s="4" t="s">
        <v>1720</v>
      </c>
      <c r="AW882" s="4" t="s">
        <v>1947</v>
      </c>
      <c r="AX882" s="4" t="s">
        <v>2153</v>
      </c>
      <c r="AY882" s="4">
        <v>54.1</v>
      </c>
      <c r="AZ882" s="4">
        <v>-126.6</v>
      </c>
      <c r="BA882" s="4">
        <v>9</v>
      </c>
    </row>
    <row r="883" spans="1:53" ht="14.25" customHeight="1" x14ac:dyDescent="0.2">
      <c r="B883" s="4">
        <v>12</v>
      </c>
      <c r="C883" s="4" t="s">
        <v>7666</v>
      </c>
      <c r="D883" s="4">
        <v>640</v>
      </c>
      <c r="E883" s="4">
        <v>2095</v>
      </c>
      <c r="F883" s="16" t="s">
        <v>3359</v>
      </c>
      <c r="G883" s="4" t="s">
        <v>3360</v>
      </c>
      <c r="H883" s="4" t="s">
        <v>3356</v>
      </c>
      <c r="I883" s="4" t="s">
        <v>1664</v>
      </c>
      <c r="J883" s="4" t="s">
        <v>1746</v>
      </c>
      <c r="K883" s="4">
        <v>1</v>
      </c>
      <c r="L883" s="4">
        <v>2498</v>
      </c>
      <c r="M883" s="6"/>
      <c r="AO883" s="4" t="s">
        <v>3359</v>
      </c>
      <c r="AP883" s="4">
        <v>640</v>
      </c>
      <c r="AQ883" s="4" t="s">
        <v>1716</v>
      </c>
      <c r="AR883" s="4" t="s">
        <v>1717</v>
      </c>
      <c r="AS883" s="4" t="s">
        <v>1718</v>
      </c>
      <c r="AT883" s="4" t="s">
        <v>1719</v>
      </c>
      <c r="AU883" s="4" t="s">
        <v>1703</v>
      </c>
      <c r="AV883" s="4" t="s">
        <v>1720</v>
      </c>
      <c r="AW883" s="4" t="s">
        <v>1947</v>
      </c>
      <c r="AX883" s="4" t="s">
        <v>2153</v>
      </c>
      <c r="AY883" s="4">
        <v>54.4</v>
      </c>
      <c r="AZ883" s="4">
        <v>-126.9</v>
      </c>
      <c r="BA883" s="4">
        <v>10</v>
      </c>
    </row>
    <row r="884" spans="1:53" ht="14.25" customHeight="1" x14ac:dyDescent="0.2">
      <c r="B884" s="4">
        <v>12</v>
      </c>
      <c r="C884" s="4" t="s">
        <v>7666</v>
      </c>
      <c r="D884" s="4">
        <v>641</v>
      </c>
      <c r="E884" s="4">
        <v>2096</v>
      </c>
      <c r="F884" s="16" t="s">
        <v>3361</v>
      </c>
      <c r="G884" s="4" t="s">
        <v>3362</v>
      </c>
      <c r="H884" s="4" t="s">
        <v>3363</v>
      </c>
      <c r="I884" s="4" t="s">
        <v>1664</v>
      </c>
      <c r="J884" s="4" t="s">
        <v>1746</v>
      </c>
      <c r="K884" s="4">
        <v>1</v>
      </c>
      <c r="L884" s="4">
        <v>2499</v>
      </c>
      <c r="M884" s="6"/>
      <c r="AO884" s="4" t="s">
        <v>3361</v>
      </c>
      <c r="AP884" s="4">
        <v>641</v>
      </c>
      <c r="AQ884" s="4" t="s">
        <v>1716</v>
      </c>
      <c r="AR884" s="4" t="s">
        <v>1717</v>
      </c>
      <c r="AS884" s="4" t="s">
        <v>1718</v>
      </c>
      <c r="AT884" s="4" t="s">
        <v>1719</v>
      </c>
      <c r="AU884" s="4" t="s">
        <v>1703</v>
      </c>
      <c r="AV884" s="4" t="s">
        <v>1720</v>
      </c>
      <c r="AW884" s="4" t="s">
        <v>1947</v>
      </c>
      <c r="AX884" s="4" t="s">
        <v>2153</v>
      </c>
      <c r="AY884" s="4">
        <v>54.1</v>
      </c>
      <c r="AZ884" s="4">
        <v>-126.9</v>
      </c>
      <c r="BA884" s="4">
        <v>9</v>
      </c>
    </row>
    <row r="885" spans="1:53" ht="14.25" customHeight="1" x14ac:dyDescent="0.2">
      <c r="B885" s="4">
        <v>12</v>
      </c>
      <c r="C885" s="4" t="s">
        <v>7666</v>
      </c>
      <c r="D885" s="25">
        <v>642</v>
      </c>
      <c r="E885" s="4">
        <v>2097</v>
      </c>
      <c r="F885" s="16" t="s">
        <v>3364</v>
      </c>
      <c r="G885" s="4" t="s">
        <v>3365</v>
      </c>
      <c r="H885" s="4" t="s">
        <v>3366</v>
      </c>
      <c r="I885" s="4" t="s">
        <v>1664</v>
      </c>
      <c r="J885" s="4" t="s">
        <v>1746</v>
      </c>
      <c r="K885" s="4">
        <v>1</v>
      </c>
      <c r="L885" s="4">
        <v>2500</v>
      </c>
      <c r="M885" s="6"/>
      <c r="AO885" s="4" t="s">
        <v>3364</v>
      </c>
      <c r="AP885" s="4">
        <v>642</v>
      </c>
      <c r="AQ885" s="4" t="s">
        <v>1716</v>
      </c>
      <c r="AR885" s="4" t="s">
        <v>1717</v>
      </c>
      <c r="AS885" s="4" t="s">
        <v>1718</v>
      </c>
      <c r="AT885" s="4" t="s">
        <v>1719</v>
      </c>
      <c r="AU885" s="4" t="s">
        <v>1703</v>
      </c>
      <c r="AV885" s="4" t="s">
        <v>1720</v>
      </c>
      <c r="AW885" s="4" t="s">
        <v>1947</v>
      </c>
      <c r="AX885" s="4" t="s">
        <v>2153</v>
      </c>
      <c r="AY885" s="4">
        <v>54.3</v>
      </c>
      <c r="AZ885" s="4">
        <v>-127.4</v>
      </c>
      <c r="BA885" s="4">
        <v>10</v>
      </c>
    </row>
    <row r="886" spans="1:53" ht="14.25" customHeight="1" x14ac:dyDescent="0.2">
      <c r="B886" s="4">
        <v>12</v>
      </c>
      <c r="C886" s="4" t="s">
        <v>7666</v>
      </c>
      <c r="D886" s="4">
        <v>643</v>
      </c>
      <c r="E886" s="4">
        <v>2098</v>
      </c>
      <c r="F886" s="16" t="s">
        <v>3367</v>
      </c>
      <c r="G886" s="4" t="s">
        <v>3368</v>
      </c>
      <c r="H886" s="4" t="s">
        <v>3369</v>
      </c>
      <c r="I886" s="4" t="s">
        <v>1664</v>
      </c>
      <c r="J886" s="4" t="s">
        <v>1746</v>
      </c>
      <c r="K886" s="4">
        <v>1</v>
      </c>
      <c r="L886" s="4">
        <v>2501</v>
      </c>
      <c r="M886" s="6"/>
      <c r="AO886" s="4" t="s">
        <v>3367</v>
      </c>
      <c r="AP886" s="4">
        <v>643</v>
      </c>
      <c r="AQ886" s="4" t="s">
        <v>1716</v>
      </c>
      <c r="AR886" s="4" t="s">
        <v>1717</v>
      </c>
      <c r="AS886" s="4" t="s">
        <v>1718</v>
      </c>
      <c r="AT886" s="4" t="s">
        <v>1719</v>
      </c>
      <c r="AU886" s="4" t="s">
        <v>1703</v>
      </c>
      <c r="AV886" s="4" t="s">
        <v>1720</v>
      </c>
      <c r="AW886" s="4" t="s">
        <v>1947</v>
      </c>
      <c r="AX886" s="4" t="s">
        <v>2153</v>
      </c>
      <c r="AY886" s="4">
        <v>54.2</v>
      </c>
      <c r="AZ886" s="4">
        <v>-127.3</v>
      </c>
      <c r="BA886" s="4">
        <v>9</v>
      </c>
    </row>
    <row r="887" spans="1:53" ht="14.25" customHeight="1" x14ac:dyDescent="0.2">
      <c r="B887" s="4">
        <v>12</v>
      </c>
      <c r="C887" s="4" t="s">
        <v>7666</v>
      </c>
      <c r="D887" s="4">
        <v>644</v>
      </c>
      <c r="E887" s="4">
        <v>2099</v>
      </c>
      <c r="F887" s="16" t="s">
        <v>3370</v>
      </c>
      <c r="G887" s="4" t="s">
        <v>3371</v>
      </c>
      <c r="H887" s="4" t="s">
        <v>3356</v>
      </c>
      <c r="I887" s="4" t="s">
        <v>1664</v>
      </c>
      <c r="J887" s="4" t="s">
        <v>1746</v>
      </c>
      <c r="K887" s="4">
        <v>1</v>
      </c>
      <c r="L887" s="4">
        <v>2502</v>
      </c>
      <c r="M887" s="6"/>
      <c r="AO887" s="4" t="s">
        <v>3370</v>
      </c>
      <c r="AP887" s="4">
        <v>644</v>
      </c>
      <c r="AQ887" s="4" t="s">
        <v>1716</v>
      </c>
      <c r="AR887" s="4" t="s">
        <v>1717</v>
      </c>
      <c r="AS887" s="4" t="s">
        <v>1718</v>
      </c>
      <c r="AT887" s="4" t="s">
        <v>1719</v>
      </c>
      <c r="AU887" s="4" t="s">
        <v>1703</v>
      </c>
      <c r="AV887" s="4" t="s">
        <v>1720</v>
      </c>
      <c r="AW887" s="4" t="s">
        <v>1947</v>
      </c>
      <c r="AX887" s="4" t="s">
        <v>2153</v>
      </c>
      <c r="AY887" s="4">
        <v>54.3</v>
      </c>
      <c r="AZ887" s="4">
        <v>-127.4</v>
      </c>
      <c r="BA887" s="4">
        <v>9</v>
      </c>
    </row>
    <row r="888" spans="1:53" ht="14.25" customHeight="1" x14ac:dyDescent="0.2">
      <c r="B888" s="4">
        <v>12</v>
      </c>
      <c r="C888" s="4" t="s">
        <v>7666</v>
      </c>
      <c r="D888" s="4">
        <v>645</v>
      </c>
      <c r="E888" s="4">
        <v>2100</v>
      </c>
      <c r="F888" s="16" t="s">
        <v>3372</v>
      </c>
      <c r="G888" s="4" t="s">
        <v>3373</v>
      </c>
      <c r="H888" s="4" t="s">
        <v>3374</v>
      </c>
      <c r="I888" s="4" t="s">
        <v>1664</v>
      </c>
      <c r="J888" s="4" t="s">
        <v>1746</v>
      </c>
      <c r="K888" s="4">
        <v>1</v>
      </c>
      <c r="L888" s="4">
        <v>2503</v>
      </c>
      <c r="M888" s="6"/>
      <c r="AO888" s="4" t="s">
        <v>3372</v>
      </c>
      <c r="AP888" s="4">
        <v>645</v>
      </c>
      <c r="AQ888" s="4" t="s">
        <v>1716</v>
      </c>
      <c r="AR888" s="4" t="s">
        <v>1717</v>
      </c>
      <c r="AS888" s="4" t="s">
        <v>1718</v>
      </c>
      <c r="AT888" s="4" t="s">
        <v>1719</v>
      </c>
      <c r="AU888" s="4" t="s">
        <v>1703</v>
      </c>
      <c r="AV888" s="4" t="s">
        <v>1720</v>
      </c>
      <c r="AW888" s="4" t="s">
        <v>1947</v>
      </c>
      <c r="AX888" s="4" t="s">
        <v>2153</v>
      </c>
      <c r="AY888" s="4">
        <v>53.6</v>
      </c>
      <c r="AZ888" s="4">
        <v>-127</v>
      </c>
      <c r="BA888" s="4">
        <v>10</v>
      </c>
    </row>
    <row r="889" spans="1:53" ht="14.25" customHeight="1" x14ac:dyDescent="0.2">
      <c r="B889" s="4">
        <v>12</v>
      </c>
      <c r="C889" s="4" t="s">
        <v>7666</v>
      </c>
      <c r="D889" s="4">
        <v>646</v>
      </c>
      <c r="E889" s="4">
        <v>2101</v>
      </c>
      <c r="F889" s="16" t="s">
        <v>3375</v>
      </c>
      <c r="G889" s="27" t="s">
        <v>3376</v>
      </c>
      <c r="H889" s="4" t="s">
        <v>3377</v>
      </c>
      <c r="I889" s="4" t="s">
        <v>1664</v>
      </c>
      <c r="J889" s="4" t="s">
        <v>1715</v>
      </c>
      <c r="K889" s="4">
        <v>1</v>
      </c>
      <c r="L889" s="4">
        <v>2504</v>
      </c>
      <c r="M889" s="6"/>
      <c r="AO889" s="4" t="s">
        <v>3375</v>
      </c>
      <c r="AP889" s="4">
        <v>646</v>
      </c>
      <c r="AQ889" s="4" t="s">
        <v>1716</v>
      </c>
      <c r="AR889" s="4" t="s">
        <v>1717</v>
      </c>
      <c r="AS889" s="4" t="s">
        <v>1718</v>
      </c>
      <c r="AT889" s="4" t="s">
        <v>1719</v>
      </c>
      <c r="AU889" s="4" t="s">
        <v>1703</v>
      </c>
      <c r="AV889" s="4" t="s">
        <v>1720</v>
      </c>
      <c r="AW889" s="4" t="s">
        <v>2003</v>
      </c>
      <c r="AX889" s="4" t="s">
        <v>2139</v>
      </c>
      <c r="AY889" s="4">
        <v>53.5</v>
      </c>
      <c r="AZ889" s="4">
        <v>-124.9</v>
      </c>
      <c r="BA889" s="4">
        <v>10</v>
      </c>
    </row>
    <row r="890" spans="1:53" ht="14.25" customHeight="1" x14ac:dyDescent="0.2">
      <c r="B890" s="4">
        <v>12</v>
      </c>
      <c r="C890" s="4" t="s">
        <v>7666</v>
      </c>
      <c r="D890" s="4">
        <v>649</v>
      </c>
      <c r="E890" s="4">
        <v>2102</v>
      </c>
      <c r="F890" s="16" t="s">
        <v>3378</v>
      </c>
      <c r="G890" s="4" t="s">
        <v>3379</v>
      </c>
      <c r="H890" s="4" t="s">
        <v>3380</v>
      </c>
      <c r="I890" s="4" t="s">
        <v>1664</v>
      </c>
      <c r="J890" s="4" t="s">
        <v>1746</v>
      </c>
      <c r="K890" s="4">
        <v>1</v>
      </c>
      <c r="L890" s="4">
        <v>2505</v>
      </c>
      <c r="M890" s="6"/>
      <c r="AO890" s="4" t="s">
        <v>3378</v>
      </c>
      <c r="AP890" s="4">
        <v>649</v>
      </c>
      <c r="AQ890" s="4" t="s">
        <v>1716</v>
      </c>
      <c r="AR890" s="4" t="s">
        <v>1717</v>
      </c>
      <c r="AS890" s="4" t="s">
        <v>1718</v>
      </c>
      <c r="AT890" s="4" t="s">
        <v>1719</v>
      </c>
      <c r="AU890" s="4" t="s">
        <v>1703</v>
      </c>
      <c r="AV890" s="4" t="s">
        <v>1720</v>
      </c>
      <c r="AW890" s="4" t="s">
        <v>1947</v>
      </c>
      <c r="AX890" s="4" t="s">
        <v>2153</v>
      </c>
      <c r="AY890" s="4">
        <v>53.8</v>
      </c>
      <c r="AZ890" s="4">
        <v>-126.9</v>
      </c>
      <c r="BA890" s="4">
        <v>10</v>
      </c>
    </row>
    <row r="891" spans="1:53" ht="14.25" customHeight="1" x14ac:dyDescent="0.2">
      <c r="B891" s="4">
        <v>12</v>
      </c>
      <c r="C891" s="4" t="s">
        <v>7666</v>
      </c>
      <c r="D891" s="4">
        <v>650</v>
      </c>
      <c r="E891" s="4">
        <v>2103</v>
      </c>
      <c r="F891" s="16" t="s">
        <v>3381</v>
      </c>
      <c r="G891" s="4" t="s">
        <v>3382</v>
      </c>
      <c r="H891" s="4" t="s">
        <v>3383</v>
      </c>
      <c r="I891" s="4" t="s">
        <v>1664</v>
      </c>
      <c r="J891" s="4" t="s">
        <v>1746</v>
      </c>
      <c r="K891" s="4">
        <v>1</v>
      </c>
      <c r="L891" s="4">
        <v>2506</v>
      </c>
      <c r="M891" s="6"/>
      <c r="AO891" s="4" t="s">
        <v>3381</v>
      </c>
      <c r="AP891" s="4">
        <v>650</v>
      </c>
      <c r="AQ891" s="4" t="s">
        <v>1716</v>
      </c>
      <c r="AR891" s="4" t="s">
        <v>1717</v>
      </c>
      <c r="AS891" s="4" t="s">
        <v>1718</v>
      </c>
      <c r="AT891" s="4" t="s">
        <v>1719</v>
      </c>
      <c r="AU891" s="4" t="s">
        <v>1703</v>
      </c>
      <c r="AV891" s="4" t="s">
        <v>1720</v>
      </c>
      <c r="AW891" s="4" t="s">
        <v>1947</v>
      </c>
      <c r="AX891" s="4" t="s">
        <v>2148</v>
      </c>
      <c r="AY891" s="4">
        <v>54.4</v>
      </c>
      <c r="AZ891" s="4">
        <v>-126.3</v>
      </c>
      <c r="BA891" s="4">
        <v>10</v>
      </c>
    </row>
    <row r="892" spans="1:53" ht="14.25" customHeight="1" x14ac:dyDescent="0.2">
      <c r="A892" s="4" t="s">
        <v>422</v>
      </c>
      <c r="B892" s="4">
        <v>12</v>
      </c>
      <c r="C892" s="4" t="s">
        <v>7666</v>
      </c>
      <c r="D892" s="4">
        <v>651</v>
      </c>
      <c r="E892" s="4">
        <v>2104</v>
      </c>
      <c r="F892" s="16" t="s">
        <v>3384</v>
      </c>
      <c r="G892" s="4" t="s">
        <v>3385</v>
      </c>
      <c r="H892" s="4" t="s">
        <v>3386</v>
      </c>
      <c r="I892" s="4" t="s">
        <v>1664</v>
      </c>
      <c r="J892" s="4" t="s">
        <v>1746</v>
      </c>
      <c r="K892" s="4">
        <v>1</v>
      </c>
      <c r="L892" s="4">
        <v>2507</v>
      </c>
      <c r="M892" s="6"/>
      <c r="AO892" s="4" t="s">
        <v>3384</v>
      </c>
      <c r="AP892" s="4">
        <v>651</v>
      </c>
      <c r="AQ892" s="4" t="s">
        <v>1716</v>
      </c>
      <c r="AR892" s="4" t="s">
        <v>1717</v>
      </c>
      <c r="AS892" s="4" t="s">
        <v>1718</v>
      </c>
      <c r="AT892" s="4" t="s">
        <v>1719</v>
      </c>
      <c r="AU892" s="4" t="s">
        <v>1703</v>
      </c>
      <c r="AV892" s="4" t="s">
        <v>1720</v>
      </c>
      <c r="AW892" s="4" t="s">
        <v>1947</v>
      </c>
      <c r="AX892" s="4" t="s">
        <v>2133</v>
      </c>
      <c r="AY892" s="4">
        <v>55.8</v>
      </c>
      <c r="AZ892" s="4">
        <v>-127.1</v>
      </c>
      <c r="BA892" s="4">
        <v>9</v>
      </c>
    </row>
    <row r="893" spans="1:53" ht="14.25" customHeight="1" x14ac:dyDescent="0.2">
      <c r="A893" s="4" t="s">
        <v>422</v>
      </c>
      <c r="B893" s="4">
        <v>12</v>
      </c>
      <c r="C893" s="4" t="s">
        <v>7666</v>
      </c>
      <c r="D893" s="4">
        <v>652</v>
      </c>
      <c r="E893" s="4">
        <v>2105</v>
      </c>
      <c r="F893" s="16" t="s">
        <v>3387</v>
      </c>
      <c r="G893" s="4" t="s">
        <v>3388</v>
      </c>
      <c r="H893" s="4" t="s">
        <v>3389</v>
      </c>
      <c r="I893" s="4" t="s">
        <v>1664</v>
      </c>
      <c r="J893" s="4" t="s">
        <v>1746</v>
      </c>
      <c r="K893" s="4">
        <v>1</v>
      </c>
      <c r="L893" s="4">
        <v>2508</v>
      </c>
      <c r="M893" s="6"/>
      <c r="AO893" s="4" t="s">
        <v>3387</v>
      </c>
      <c r="AP893" s="4">
        <v>652</v>
      </c>
      <c r="AQ893" s="4" t="s">
        <v>1716</v>
      </c>
      <c r="AR893" s="4" t="s">
        <v>1717</v>
      </c>
      <c r="AS893" s="4" t="s">
        <v>1718</v>
      </c>
      <c r="AT893" s="4" t="s">
        <v>1719</v>
      </c>
      <c r="AU893" s="4" t="s">
        <v>1703</v>
      </c>
      <c r="AV893" s="4" t="s">
        <v>1720</v>
      </c>
      <c r="AW893" s="4" t="s">
        <v>1947</v>
      </c>
      <c r="AX893" s="4" t="s">
        <v>2153</v>
      </c>
      <c r="AY893" s="4">
        <v>53.5</v>
      </c>
      <c r="AZ893" s="4">
        <v>-126.9</v>
      </c>
      <c r="BA893" s="4">
        <v>9</v>
      </c>
    </row>
    <row r="894" spans="1:53" ht="14.25" customHeight="1" x14ac:dyDescent="0.2">
      <c r="B894" s="4">
        <v>12</v>
      </c>
      <c r="C894" s="4" t="s">
        <v>7666</v>
      </c>
      <c r="D894" s="4">
        <v>653</v>
      </c>
      <c r="E894" s="4">
        <v>2106</v>
      </c>
      <c r="F894" s="16" t="s">
        <v>3390</v>
      </c>
      <c r="G894" s="4" t="s">
        <v>3391</v>
      </c>
      <c r="H894" s="4" t="s">
        <v>3392</v>
      </c>
      <c r="I894" s="4" t="s">
        <v>1664</v>
      </c>
      <c r="J894" s="4" t="s">
        <v>1715</v>
      </c>
      <c r="K894" s="4">
        <v>1</v>
      </c>
      <c r="L894" s="4">
        <v>2509</v>
      </c>
      <c r="M894" s="6"/>
      <c r="AO894" s="4" t="s">
        <v>3390</v>
      </c>
      <c r="AP894" s="4">
        <v>653</v>
      </c>
      <c r="AQ894" s="4" t="s">
        <v>1716</v>
      </c>
      <c r="AR894" s="4" t="s">
        <v>1717</v>
      </c>
      <c r="AS894" s="4" t="s">
        <v>1718</v>
      </c>
      <c r="AT894" s="4" t="s">
        <v>1719</v>
      </c>
      <c r="AU894" s="4" t="s">
        <v>1703</v>
      </c>
      <c r="AV894" s="4" t="s">
        <v>1720</v>
      </c>
      <c r="AW894" s="4" t="s">
        <v>1947</v>
      </c>
      <c r="AX894" s="4" t="s">
        <v>2148</v>
      </c>
      <c r="AY894" s="4">
        <v>53.3</v>
      </c>
      <c r="AZ894" s="4">
        <v>-126.1</v>
      </c>
      <c r="BA894" s="4">
        <v>9</v>
      </c>
    </row>
    <row r="895" spans="1:53" ht="14.25" customHeight="1" x14ac:dyDescent="0.2">
      <c r="A895" s="4" t="s">
        <v>88</v>
      </c>
      <c r="B895" s="4">
        <v>12</v>
      </c>
      <c r="C895" s="4" t="s">
        <v>7666</v>
      </c>
      <c r="D895" s="4">
        <v>654</v>
      </c>
      <c r="E895" s="4">
        <v>2107</v>
      </c>
      <c r="F895" s="4" t="s">
        <v>2276</v>
      </c>
      <c r="G895" s="8" t="s">
        <v>3393</v>
      </c>
      <c r="H895" s="4" t="s">
        <v>3394</v>
      </c>
      <c r="I895" s="4" t="s">
        <v>641</v>
      </c>
      <c r="J895" s="4" t="s">
        <v>1736</v>
      </c>
      <c r="K895" s="4">
        <v>1</v>
      </c>
      <c r="L895" s="4">
        <v>2510</v>
      </c>
      <c r="M895" s="6"/>
      <c r="N895" s="9"/>
      <c r="AO895" s="4" t="s">
        <v>2276</v>
      </c>
      <c r="AP895" s="4">
        <v>654</v>
      </c>
      <c r="AQ895" s="4" t="s">
        <v>1700</v>
      </c>
      <c r="AR895" s="4" t="s">
        <v>1739</v>
      </c>
      <c r="AS895" s="4" t="s">
        <v>1740</v>
      </c>
      <c r="AT895" s="4" t="s">
        <v>1741</v>
      </c>
      <c r="AU895" s="4" t="s">
        <v>1959</v>
      </c>
      <c r="AV895" s="4" t="s">
        <v>1720</v>
      </c>
      <c r="AW895" s="4" t="s">
        <v>2003</v>
      </c>
      <c r="AX895" s="4" t="s">
        <v>2139</v>
      </c>
      <c r="AY895" s="4">
        <v>53.936199999999999</v>
      </c>
      <c r="AZ895" s="4">
        <v>-124.7765</v>
      </c>
      <c r="BA895" s="4">
        <v>961</v>
      </c>
    </row>
    <row r="896" spans="1:53" ht="14.25" customHeight="1" x14ac:dyDescent="0.2">
      <c r="B896" s="4">
        <v>12</v>
      </c>
      <c r="C896" s="4" t="s">
        <v>7666</v>
      </c>
      <c r="D896" s="4">
        <v>655</v>
      </c>
      <c r="E896" s="4">
        <v>2108</v>
      </c>
      <c r="F896" s="16" t="s">
        <v>3395</v>
      </c>
      <c r="G896" s="4" t="s">
        <v>3396</v>
      </c>
      <c r="H896" s="4" t="s">
        <v>3397</v>
      </c>
      <c r="I896" s="4" t="s">
        <v>1664</v>
      </c>
      <c r="J896" s="4" t="s">
        <v>1746</v>
      </c>
      <c r="K896" s="4">
        <v>1</v>
      </c>
      <c r="L896" s="4">
        <v>2511</v>
      </c>
      <c r="M896" s="6"/>
      <c r="AO896" s="4" t="s">
        <v>3395</v>
      </c>
      <c r="AP896" s="4">
        <v>655</v>
      </c>
      <c r="AQ896" s="4" t="s">
        <v>1716</v>
      </c>
      <c r="AR896" s="4" t="s">
        <v>1717</v>
      </c>
      <c r="AS896" s="4" t="s">
        <v>1718</v>
      </c>
      <c r="AT896" s="4" t="s">
        <v>1719</v>
      </c>
      <c r="AU896" s="4" t="s">
        <v>1703</v>
      </c>
      <c r="AV896" s="4" t="s">
        <v>1720</v>
      </c>
      <c r="AW896" s="4" t="s">
        <v>2193</v>
      </c>
      <c r="AX896" s="4" t="s">
        <v>2194</v>
      </c>
      <c r="AY896" s="4">
        <v>53</v>
      </c>
      <c r="AZ896" s="4">
        <v>-122</v>
      </c>
      <c r="BA896" s="4">
        <v>12</v>
      </c>
    </row>
    <row r="897" spans="1:53" ht="14.25" customHeight="1" x14ac:dyDescent="0.2">
      <c r="B897" s="4">
        <v>12</v>
      </c>
      <c r="C897" s="4" t="s">
        <v>7666</v>
      </c>
      <c r="D897" s="4">
        <v>656</v>
      </c>
      <c r="E897" s="4">
        <v>2109</v>
      </c>
      <c r="F897" s="16" t="s">
        <v>3398</v>
      </c>
      <c r="G897" s="4" t="s">
        <v>3399</v>
      </c>
      <c r="H897" s="4" t="s">
        <v>3400</v>
      </c>
      <c r="I897" s="4" t="s">
        <v>1664</v>
      </c>
      <c r="J897" s="4" t="s">
        <v>1715</v>
      </c>
      <c r="K897" s="4">
        <v>1</v>
      </c>
      <c r="L897" s="4">
        <v>2512</v>
      </c>
      <c r="M897" s="6"/>
      <c r="AO897" s="4" t="s">
        <v>3398</v>
      </c>
      <c r="AP897" s="4">
        <v>656</v>
      </c>
      <c r="AQ897" s="4" t="s">
        <v>1716</v>
      </c>
      <c r="AR897" s="4" t="s">
        <v>1717</v>
      </c>
      <c r="AS897" s="4" t="s">
        <v>1718</v>
      </c>
      <c r="AT897" s="4" t="s">
        <v>1719</v>
      </c>
      <c r="AU897" s="4" t="s">
        <v>1703</v>
      </c>
      <c r="AV897" s="4" t="s">
        <v>1720</v>
      </c>
      <c r="AW897" s="4" t="s">
        <v>2193</v>
      </c>
      <c r="AX897" s="4" t="s">
        <v>2194</v>
      </c>
      <c r="AY897" s="4">
        <v>53.1</v>
      </c>
      <c r="AZ897" s="4">
        <v>-122</v>
      </c>
      <c r="BA897" s="4">
        <v>11</v>
      </c>
    </row>
    <row r="898" spans="1:53" ht="14.25" customHeight="1" x14ac:dyDescent="0.2">
      <c r="B898" s="4">
        <v>12</v>
      </c>
      <c r="C898" s="4" t="s">
        <v>7666</v>
      </c>
      <c r="D898" s="4">
        <v>657</v>
      </c>
      <c r="E898" s="4">
        <v>2110</v>
      </c>
      <c r="F898" s="16" t="s">
        <v>3401</v>
      </c>
      <c r="G898" s="4" t="s">
        <v>3402</v>
      </c>
      <c r="H898" s="4" t="s">
        <v>3403</v>
      </c>
      <c r="I898" s="4" t="s">
        <v>1664</v>
      </c>
      <c r="J898" s="4" t="s">
        <v>1746</v>
      </c>
      <c r="K898" s="4">
        <v>1</v>
      </c>
      <c r="L898" s="4">
        <v>2513</v>
      </c>
      <c r="M898" s="6"/>
      <c r="AO898" s="4" t="s">
        <v>3401</v>
      </c>
      <c r="AP898" s="4">
        <v>657</v>
      </c>
      <c r="AQ898" s="4" t="s">
        <v>1716</v>
      </c>
      <c r="AR898" s="4" t="s">
        <v>1717</v>
      </c>
      <c r="AS898" s="4" t="s">
        <v>1718</v>
      </c>
      <c r="AT898" s="4" t="s">
        <v>1719</v>
      </c>
      <c r="AU898" s="4" t="s">
        <v>1703</v>
      </c>
      <c r="AV898" s="4" t="s">
        <v>1720</v>
      </c>
      <c r="AW898" s="4" t="s">
        <v>2003</v>
      </c>
      <c r="AX898" s="4" t="s">
        <v>2258</v>
      </c>
      <c r="AY898" s="4">
        <v>53</v>
      </c>
      <c r="AZ898" s="4">
        <v>-120</v>
      </c>
      <c r="BA898" s="4">
        <v>23</v>
      </c>
    </row>
    <row r="899" spans="1:53" ht="14.25" customHeight="1" x14ac:dyDescent="0.2">
      <c r="A899" s="4" t="s">
        <v>422</v>
      </c>
      <c r="B899" s="4">
        <v>12</v>
      </c>
      <c r="C899" s="4" t="s">
        <v>7666</v>
      </c>
      <c r="D899" s="4">
        <v>658</v>
      </c>
      <c r="E899" s="4">
        <v>2111</v>
      </c>
      <c r="F899" s="16" t="s">
        <v>3404</v>
      </c>
      <c r="G899" s="4" t="s">
        <v>3405</v>
      </c>
      <c r="H899" s="4" t="s">
        <v>3406</v>
      </c>
      <c r="I899" s="4" t="s">
        <v>1664</v>
      </c>
      <c r="J899" s="4" t="s">
        <v>1746</v>
      </c>
      <c r="K899" s="4">
        <v>1</v>
      </c>
      <c r="L899" s="4">
        <v>2514</v>
      </c>
      <c r="M899" s="6"/>
      <c r="AO899" s="4" t="s">
        <v>3404</v>
      </c>
      <c r="AP899" s="4">
        <v>658</v>
      </c>
      <c r="AQ899" s="4" t="s">
        <v>1716</v>
      </c>
      <c r="AR899" s="4" t="s">
        <v>1717</v>
      </c>
      <c r="AS899" s="4" t="s">
        <v>1718</v>
      </c>
      <c r="AT899" s="4" t="s">
        <v>1719</v>
      </c>
      <c r="AU899" s="4" t="s">
        <v>1703</v>
      </c>
      <c r="AV899" s="4" t="s">
        <v>1720</v>
      </c>
      <c r="AW899" s="4" t="s">
        <v>2003</v>
      </c>
      <c r="AX899" s="4" t="s">
        <v>2258</v>
      </c>
      <c r="AY899" s="4">
        <v>52.4</v>
      </c>
      <c r="AZ899" s="4">
        <v>-118.4</v>
      </c>
      <c r="BA899" s="4">
        <v>9</v>
      </c>
    </row>
    <row r="900" spans="1:53" ht="14.25" customHeight="1" x14ac:dyDescent="0.2">
      <c r="B900" s="4">
        <v>12</v>
      </c>
      <c r="C900" s="4" t="s">
        <v>7666</v>
      </c>
      <c r="D900" s="4">
        <v>660</v>
      </c>
      <c r="E900" s="4">
        <v>2112</v>
      </c>
      <c r="F900" s="16" t="s">
        <v>3407</v>
      </c>
      <c r="G900" s="4" t="s">
        <v>3408</v>
      </c>
      <c r="H900" s="4" t="s">
        <v>3409</v>
      </c>
      <c r="I900" s="4" t="s">
        <v>1664</v>
      </c>
      <c r="J900" s="4" t="s">
        <v>1715</v>
      </c>
      <c r="K900" s="4">
        <v>1</v>
      </c>
      <c r="L900" s="4">
        <v>2515</v>
      </c>
      <c r="M900" s="6"/>
      <c r="AO900" s="4" t="s">
        <v>3407</v>
      </c>
      <c r="AP900" s="4">
        <v>660</v>
      </c>
      <c r="AQ900" s="4" t="s">
        <v>1716</v>
      </c>
      <c r="AR900" s="4" t="s">
        <v>1717</v>
      </c>
      <c r="AS900" s="4" t="s">
        <v>1718</v>
      </c>
      <c r="AT900" s="4" t="s">
        <v>1719</v>
      </c>
      <c r="AU900" s="4" t="s">
        <v>1703</v>
      </c>
      <c r="AV900" s="4" t="s">
        <v>1720</v>
      </c>
      <c r="AW900" s="4" t="s">
        <v>1947</v>
      </c>
      <c r="AX900" s="4" t="s">
        <v>2153</v>
      </c>
      <c r="AY900" s="4">
        <v>53.9</v>
      </c>
      <c r="AZ900" s="4">
        <v>-126.7</v>
      </c>
      <c r="BA900" s="4">
        <v>10</v>
      </c>
    </row>
    <row r="901" spans="1:53" ht="14.25" customHeight="1" x14ac:dyDescent="0.2">
      <c r="B901" s="4">
        <v>12</v>
      </c>
      <c r="C901" s="4" t="s">
        <v>7666</v>
      </c>
      <c r="D901" s="4">
        <v>661</v>
      </c>
      <c r="E901" s="4">
        <v>2113</v>
      </c>
      <c r="F901" s="16" t="s">
        <v>3410</v>
      </c>
      <c r="G901" s="4" t="s">
        <v>3411</v>
      </c>
      <c r="H901" s="4" t="s">
        <v>3412</v>
      </c>
      <c r="I901" s="4" t="s">
        <v>1664</v>
      </c>
      <c r="J901" s="4" t="s">
        <v>1715</v>
      </c>
      <c r="K901" s="4">
        <v>1</v>
      </c>
      <c r="L901" s="4">
        <v>2516</v>
      </c>
      <c r="M901" s="6"/>
      <c r="AO901" s="4" t="s">
        <v>3410</v>
      </c>
      <c r="AP901" s="4">
        <v>661</v>
      </c>
      <c r="AQ901" s="4" t="s">
        <v>1716</v>
      </c>
      <c r="AR901" s="4" t="s">
        <v>1717</v>
      </c>
      <c r="AS901" s="4" t="s">
        <v>1718</v>
      </c>
      <c r="AT901" s="4" t="s">
        <v>1719</v>
      </c>
      <c r="AU901" s="4" t="s">
        <v>1703</v>
      </c>
      <c r="AV901" s="4" t="s">
        <v>1720</v>
      </c>
      <c r="AW901" s="4" t="s">
        <v>2193</v>
      </c>
      <c r="AX901" s="4" t="s">
        <v>2283</v>
      </c>
      <c r="AY901" s="4">
        <v>51.3</v>
      </c>
      <c r="AZ901" s="4">
        <v>-123.6</v>
      </c>
      <c r="BA901" s="4">
        <v>14</v>
      </c>
    </row>
    <row r="902" spans="1:53" ht="14.25" customHeight="1" x14ac:dyDescent="0.2">
      <c r="A902" s="4" t="s">
        <v>422</v>
      </c>
      <c r="B902" s="4">
        <v>12</v>
      </c>
      <c r="C902" s="4" t="s">
        <v>7666</v>
      </c>
      <c r="D902" s="4">
        <v>662</v>
      </c>
      <c r="E902" s="4">
        <v>2114</v>
      </c>
      <c r="F902" s="16" t="s">
        <v>3413</v>
      </c>
      <c r="G902" s="27" t="s">
        <v>3414</v>
      </c>
      <c r="H902" s="4" t="s">
        <v>3415</v>
      </c>
      <c r="I902" s="4" t="s">
        <v>1664</v>
      </c>
      <c r="J902" s="4" t="s">
        <v>1746</v>
      </c>
      <c r="K902" s="4">
        <v>1</v>
      </c>
      <c r="L902" s="4">
        <v>2517</v>
      </c>
      <c r="M902" s="6"/>
      <c r="AO902" s="4" t="s">
        <v>3413</v>
      </c>
      <c r="AP902" s="4">
        <v>662</v>
      </c>
      <c r="AQ902" s="4" t="s">
        <v>1716</v>
      </c>
      <c r="AR902" s="4" t="s">
        <v>1717</v>
      </c>
      <c r="AS902" s="4" t="s">
        <v>1718</v>
      </c>
      <c r="AT902" s="4" t="s">
        <v>1719</v>
      </c>
      <c r="AU902" s="4" t="s">
        <v>1703</v>
      </c>
      <c r="AV902" s="4" t="s">
        <v>1720</v>
      </c>
      <c r="AW902" s="4" t="s">
        <v>2193</v>
      </c>
      <c r="AX902" s="4" t="s">
        <v>2283</v>
      </c>
      <c r="AY902" s="4">
        <v>52</v>
      </c>
      <c r="AZ902" s="4">
        <v>-125.1</v>
      </c>
      <c r="BA902" s="4">
        <v>35</v>
      </c>
    </row>
    <row r="903" spans="1:53" ht="14.25" customHeight="1" x14ac:dyDescent="0.2">
      <c r="B903" s="4">
        <v>12</v>
      </c>
      <c r="C903" s="4" t="s">
        <v>7666</v>
      </c>
      <c r="D903" s="4">
        <v>663</v>
      </c>
      <c r="E903" s="4">
        <v>2115</v>
      </c>
      <c r="F903" s="16" t="s">
        <v>3416</v>
      </c>
      <c r="G903" s="27" t="s">
        <v>3417</v>
      </c>
      <c r="H903" s="4" t="s">
        <v>3418</v>
      </c>
      <c r="I903" s="4" t="s">
        <v>1664</v>
      </c>
      <c r="J903" s="4" t="s">
        <v>1715</v>
      </c>
      <c r="K903" s="4">
        <v>1</v>
      </c>
      <c r="L903" s="4">
        <v>2518</v>
      </c>
      <c r="M903" s="6"/>
      <c r="AO903" s="4" t="s">
        <v>3416</v>
      </c>
      <c r="AP903" s="4">
        <v>663</v>
      </c>
      <c r="AQ903" s="4" t="s">
        <v>1716</v>
      </c>
      <c r="AR903" s="4" t="s">
        <v>1717</v>
      </c>
      <c r="AS903" s="4" t="s">
        <v>1718</v>
      </c>
      <c r="AT903" s="4" t="s">
        <v>1719</v>
      </c>
      <c r="AU903" s="4" t="s">
        <v>1703</v>
      </c>
      <c r="AV903" s="4" t="s">
        <v>1720</v>
      </c>
      <c r="AW903" s="4" t="s">
        <v>2193</v>
      </c>
      <c r="AX903" s="4" t="s">
        <v>2194</v>
      </c>
      <c r="AY903" s="4">
        <v>53.1</v>
      </c>
      <c r="AZ903" s="4">
        <v>-124.3</v>
      </c>
      <c r="BA903" s="4">
        <v>12</v>
      </c>
    </row>
    <row r="904" spans="1:53" ht="14.25" customHeight="1" x14ac:dyDescent="0.2">
      <c r="B904" s="4">
        <v>12</v>
      </c>
      <c r="C904" s="4" t="s">
        <v>7666</v>
      </c>
      <c r="D904" s="4">
        <v>664</v>
      </c>
      <c r="E904" s="4">
        <v>2116</v>
      </c>
      <c r="F904" s="16" t="s">
        <v>3419</v>
      </c>
      <c r="G904" s="4" t="s">
        <v>3420</v>
      </c>
      <c r="H904" s="4" t="s">
        <v>3421</v>
      </c>
      <c r="I904" s="4" t="s">
        <v>1664</v>
      </c>
      <c r="J904" s="4" t="s">
        <v>1746</v>
      </c>
      <c r="K904" s="4">
        <v>1</v>
      </c>
      <c r="L904" s="4">
        <v>2519</v>
      </c>
      <c r="M904" s="6"/>
      <c r="AO904" s="4" t="s">
        <v>3419</v>
      </c>
      <c r="AP904" s="4">
        <v>664</v>
      </c>
      <c r="AQ904" s="4" t="s">
        <v>1716</v>
      </c>
      <c r="AR904" s="4" t="s">
        <v>1717</v>
      </c>
      <c r="AS904" s="4" t="s">
        <v>1718</v>
      </c>
      <c r="AT904" s="4" t="s">
        <v>1719</v>
      </c>
      <c r="AU904" s="4" t="s">
        <v>1703</v>
      </c>
      <c r="AV904" s="4" t="s">
        <v>1720</v>
      </c>
      <c r="AW904" s="4" t="s">
        <v>2193</v>
      </c>
      <c r="AX904" s="4" t="s">
        <v>2194</v>
      </c>
      <c r="AY904" s="4">
        <v>53.2</v>
      </c>
      <c r="AZ904" s="4">
        <v>-122.1</v>
      </c>
      <c r="BA904" s="4">
        <v>9</v>
      </c>
    </row>
    <row r="905" spans="1:53" ht="14.25" customHeight="1" x14ac:dyDescent="0.2">
      <c r="A905" s="4" t="s">
        <v>422</v>
      </c>
      <c r="B905" s="4">
        <v>12</v>
      </c>
      <c r="C905" s="4" t="s">
        <v>7666</v>
      </c>
      <c r="D905" s="4">
        <v>665</v>
      </c>
      <c r="E905" s="4">
        <v>2117</v>
      </c>
      <c r="F905" s="16" t="s">
        <v>3422</v>
      </c>
      <c r="G905" s="27" t="s">
        <v>3423</v>
      </c>
      <c r="H905" s="4" t="s">
        <v>3424</v>
      </c>
      <c r="I905" s="4" t="s">
        <v>1664</v>
      </c>
      <c r="J905" s="4" t="s">
        <v>1746</v>
      </c>
      <c r="K905" s="4">
        <v>1</v>
      </c>
      <c r="L905" s="4">
        <v>2520</v>
      </c>
      <c r="M905" s="6"/>
      <c r="AO905" s="4" t="s">
        <v>3422</v>
      </c>
      <c r="AP905" s="4">
        <v>665</v>
      </c>
      <c r="AQ905" s="4" t="s">
        <v>1716</v>
      </c>
      <c r="AR905" s="4" t="s">
        <v>1717</v>
      </c>
      <c r="AS905" s="4" t="s">
        <v>1718</v>
      </c>
      <c r="AT905" s="4" t="s">
        <v>1719</v>
      </c>
      <c r="AU905" s="4" t="s">
        <v>1703</v>
      </c>
      <c r="AV905" s="4" t="s">
        <v>1720</v>
      </c>
      <c r="AW905" s="4" t="s">
        <v>2193</v>
      </c>
      <c r="AX905" s="4" t="s">
        <v>2194</v>
      </c>
      <c r="AY905" s="4">
        <v>53.2</v>
      </c>
      <c r="AZ905" s="4">
        <v>-122.6</v>
      </c>
      <c r="BA905" s="4">
        <v>8</v>
      </c>
    </row>
    <row r="906" spans="1:53" ht="14.25" customHeight="1" x14ac:dyDescent="0.2">
      <c r="B906" s="4">
        <v>12</v>
      </c>
      <c r="C906" s="4" t="s">
        <v>7666</v>
      </c>
      <c r="D906" s="4">
        <v>666</v>
      </c>
      <c r="E906" s="4">
        <v>2118</v>
      </c>
      <c r="F906" s="16" t="s">
        <v>3425</v>
      </c>
      <c r="G906" s="27" t="s">
        <v>3426</v>
      </c>
      <c r="H906" s="4" t="s">
        <v>3427</v>
      </c>
      <c r="I906" s="4" t="s">
        <v>1664</v>
      </c>
      <c r="J906" s="4" t="s">
        <v>1746</v>
      </c>
      <c r="K906" s="4">
        <v>1</v>
      </c>
      <c r="L906" s="4">
        <v>2521</v>
      </c>
      <c r="M906" s="6"/>
      <c r="AO906" s="4" t="s">
        <v>3425</v>
      </c>
      <c r="AP906" s="4">
        <v>666</v>
      </c>
      <c r="AQ906" s="4" t="s">
        <v>1716</v>
      </c>
      <c r="AR906" s="4" t="s">
        <v>1717</v>
      </c>
      <c r="AS906" s="4" t="s">
        <v>1718</v>
      </c>
      <c r="AT906" s="4" t="s">
        <v>1719</v>
      </c>
      <c r="AU906" s="4" t="s">
        <v>1703</v>
      </c>
      <c r="AV906" s="4" t="s">
        <v>1720</v>
      </c>
      <c r="AW906" s="4" t="s">
        <v>2368</v>
      </c>
      <c r="AX906" s="4" t="s">
        <v>2401</v>
      </c>
      <c r="AY906" s="4">
        <v>52.567</v>
      </c>
      <c r="AZ906" s="4">
        <v>-119.867</v>
      </c>
      <c r="BA906" s="4">
        <v>14</v>
      </c>
    </row>
    <row r="907" spans="1:53" ht="14.25" customHeight="1" x14ac:dyDescent="0.2">
      <c r="A907" s="4" t="s">
        <v>422</v>
      </c>
      <c r="B907" s="4">
        <v>12</v>
      </c>
      <c r="C907" s="4" t="s">
        <v>7666</v>
      </c>
      <c r="D907" s="4">
        <v>667</v>
      </c>
      <c r="E907" s="4">
        <v>2119</v>
      </c>
      <c r="F907" s="16" t="s">
        <v>3428</v>
      </c>
      <c r="G907" s="4" t="s">
        <v>3429</v>
      </c>
      <c r="H907" s="4" t="s">
        <v>3430</v>
      </c>
      <c r="I907" s="4" t="s">
        <v>1664</v>
      </c>
      <c r="J907" s="4" t="s">
        <v>1746</v>
      </c>
      <c r="K907" s="4">
        <v>1</v>
      </c>
      <c r="L907" s="4">
        <v>2522</v>
      </c>
      <c r="M907" s="6"/>
      <c r="AO907" s="4" t="s">
        <v>3428</v>
      </c>
      <c r="AP907" s="4">
        <v>667</v>
      </c>
      <c r="AQ907" s="4" t="s">
        <v>1716</v>
      </c>
      <c r="AR907" s="4" t="s">
        <v>1717</v>
      </c>
      <c r="AS907" s="4" t="s">
        <v>1718</v>
      </c>
      <c r="AT907" s="4" t="s">
        <v>1719</v>
      </c>
      <c r="AU907" s="4" t="s">
        <v>1703</v>
      </c>
      <c r="AV907" s="4" t="s">
        <v>1720</v>
      </c>
      <c r="AW907" s="4" t="s">
        <v>2368</v>
      </c>
      <c r="AX907" s="4" t="s">
        <v>2401</v>
      </c>
      <c r="AY907" s="4">
        <v>51.767000000000003</v>
      </c>
      <c r="AZ907" s="4">
        <v>-120.06699999999999</v>
      </c>
      <c r="BA907" s="4">
        <v>11</v>
      </c>
    </row>
    <row r="908" spans="1:53" ht="14.25" customHeight="1" x14ac:dyDescent="0.2">
      <c r="B908" s="4">
        <v>12</v>
      </c>
      <c r="C908" s="4" t="s">
        <v>7666</v>
      </c>
      <c r="D908" s="4">
        <v>668</v>
      </c>
      <c r="E908" s="4">
        <v>2120</v>
      </c>
      <c r="F908" s="16" t="s">
        <v>3431</v>
      </c>
      <c r="G908" s="27" t="s">
        <v>3432</v>
      </c>
      <c r="H908" s="4" t="s">
        <v>3433</v>
      </c>
      <c r="I908" s="4" t="s">
        <v>641</v>
      </c>
      <c r="J908" s="4" t="s">
        <v>1715</v>
      </c>
      <c r="K908" s="4">
        <v>1</v>
      </c>
      <c r="L908" s="4">
        <v>2523</v>
      </c>
      <c r="M908" s="6"/>
      <c r="AO908" s="4" t="s">
        <v>3431</v>
      </c>
      <c r="AP908" s="4">
        <v>668</v>
      </c>
      <c r="AQ908" s="4" t="s">
        <v>1716</v>
      </c>
      <c r="AR908" s="4" t="s">
        <v>1717</v>
      </c>
      <c r="AS908" s="4" t="s">
        <v>1718</v>
      </c>
      <c r="AT908" s="4" t="s">
        <v>1703</v>
      </c>
      <c r="AU908" s="4" t="s">
        <v>1703</v>
      </c>
      <c r="AV908" s="4" t="s">
        <v>1720</v>
      </c>
      <c r="AW908" s="4" t="s">
        <v>2193</v>
      </c>
      <c r="AX908" s="4" t="s">
        <v>2194</v>
      </c>
      <c r="AY908" s="4">
        <v>53.186700000000002</v>
      </c>
      <c r="AZ908" s="4">
        <v>-122.02330000000001</v>
      </c>
      <c r="BA908" s="4">
        <v>1400</v>
      </c>
    </row>
    <row r="909" spans="1:53" ht="14.25" customHeight="1" x14ac:dyDescent="0.2">
      <c r="B909" s="4">
        <v>12</v>
      </c>
      <c r="C909" s="4" t="s">
        <v>7666</v>
      </c>
      <c r="D909" s="4">
        <v>669</v>
      </c>
      <c r="E909" s="4">
        <v>2121</v>
      </c>
      <c r="F909" s="16" t="s">
        <v>3434</v>
      </c>
      <c r="G909" s="4" t="s">
        <v>3435</v>
      </c>
      <c r="H909" s="4" t="s">
        <v>3436</v>
      </c>
      <c r="I909" s="4" t="s">
        <v>641</v>
      </c>
      <c r="J909" s="4" t="s">
        <v>1746</v>
      </c>
      <c r="K909" s="4">
        <v>1</v>
      </c>
      <c r="L909" s="4">
        <v>2524</v>
      </c>
      <c r="M909" s="6"/>
      <c r="AO909" s="4" t="s">
        <v>3434</v>
      </c>
      <c r="AP909" s="4">
        <v>669</v>
      </c>
      <c r="AQ909" s="4" t="s">
        <v>1716</v>
      </c>
      <c r="AR909" s="4" t="s">
        <v>1717</v>
      </c>
      <c r="AS909" s="4" t="s">
        <v>1718</v>
      </c>
      <c r="AT909" s="4" t="s">
        <v>1703</v>
      </c>
      <c r="AU909" s="4" t="s">
        <v>1703</v>
      </c>
      <c r="AV909" s="4" t="s">
        <v>1720</v>
      </c>
      <c r="AW909" s="4" t="s">
        <v>2193</v>
      </c>
      <c r="AX909" s="4" t="s">
        <v>2194</v>
      </c>
      <c r="AY909" s="4">
        <v>53.247999999999998</v>
      </c>
      <c r="AZ909" s="4">
        <v>-121.416</v>
      </c>
      <c r="BA909" s="4">
        <v>1205</v>
      </c>
    </row>
    <row r="910" spans="1:53" ht="14.25" customHeight="1" x14ac:dyDescent="0.2">
      <c r="B910" s="4">
        <v>12</v>
      </c>
      <c r="C910" s="4" t="s">
        <v>7666</v>
      </c>
      <c r="D910" s="4">
        <v>670</v>
      </c>
      <c r="E910" s="4">
        <v>2122</v>
      </c>
      <c r="F910" s="16" t="s">
        <v>3437</v>
      </c>
      <c r="G910" s="27" t="s">
        <v>3438</v>
      </c>
      <c r="H910" s="4" t="s">
        <v>3439</v>
      </c>
      <c r="I910" s="4" t="s">
        <v>641</v>
      </c>
      <c r="J910" s="4" t="s">
        <v>1746</v>
      </c>
      <c r="K910" s="4">
        <v>1</v>
      </c>
      <c r="L910" s="4">
        <v>2525</v>
      </c>
      <c r="M910" s="6"/>
      <c r="AO910" s="4" t="s">
        <v>3437</v>
      </c>
      <c r="AP910" s="4">
        <v>670</v>
      </c>
      <c r="AQ910" s="4" t="s">
        <v>1716</v>
      </c>
      <c r="AR910" s="4" t="s">
        <v>1717</v>
      </c>
      <c r="AS910" s="4" t="s">
        <v>1718</v>
      </c>
      <c r="AT910" s="4" t="s">
        <v>1719</v>
      </c>
      <c r="AU910" s="4" t="s">
        <v>1959</v>
      </c>
      <c r="AV910" s="4" t="s">
        <v>1720</v>
      </c>
      <c r="AW910" s="4" t="s">
        <v>2193</v>
      </c>
      <c r="AX910" s="4" t="s">
        <v>2291</v>
      </c>
      <c r="AY910" s="4">
        <v>51.7898</v>
      </c>
      <c r="AZ910" s="4">
        <v>-122.6358</v>
      </c>
      <c r="BA910" s="4">
        <v>915</v>
      </c>
    </row>
    <row r="911" spans="1:53" ht="14.25" customHeight="1" x14ac:dyDescent="0.2">
      <c r="B911" s="4">
        <v>12</v>
      </c>
      <c r="C911" s="4" t="s">
        <v>7666</v>
      </c>
      <c r="D911" s="4">
        <v>671</v>
      </c>
      <c r="E911" s="4">
        <v>2123</v>
      </c>
      <c r="F911" s="16" t="s">
        <v>3440</v>
      </c>
      <c r="G911" s="27" t="s">
        <v>3441</v>
      </c>
      <c r="H911" s="4" t="s">
        <v>3442</v>
      </c>
      <c r="I911" s="4" t="s">
        <v>641</v>
      </c>
      <c r="J911" s="4" t="s">
        <v>1746</v>
      </c>
      <c r="K911" s="4">
        <v>1</v>
      </c>
      <c r="L911" s="4">
        <v>2526</v>
      </c>
      <c r="M911" s="6"/>
      <c r="AO911" s="4" t="s">
        <v>3440</v>
      </c>
      <c r="AP911" s="4">
        <v>671</v>
      </c>
      <c r="AQ911" s="4" t="s">
        <v>1716</v>
      </c>
      <c r="AR911" s="4" t="s">
        <v>1717</v>
      </c>
      <c r="AS911" s="4" t="s">
        <v>1718</v>
      </c>
      <c r="AT911" s="4" t="s">
        <v>1703</v>
      </c>
      <c r="AU911" s="4" t="s">
        <v>1703</v>
      </c>
      <c r="AV911" s="4" t="s">
        <v>1720</v>
      </c>
      <c r="AW911" s="4" t="s">
        <v>2193</v>
      </c>
      <c r="AX911" s="4" t="s">
        <v>2291</v>
      </c>
      <c r="AY911" s="4">
        <v>52.1</v>
      </c>
      <c r="AZ911" s="4">
        <v>-121.9</v>
      </c>
      <c r="BA911" s="4">
        <v>8</v>
      </c>
    </row>
    <row r="912" spans="1:53" ht="14.25" customHeight="1" x14ac:dyDescent="0.2">
      <c r="B912" s="4">
        <v>12</v>
      </c>
      <c r="C912" s="4" t="s">
        <v>7666</v>
      </c>
      <c r="D912" s="4">
        <v>672</v>
      </c>
      <c r="E912" s="4">
        <v>2124</v>
      </c>
      <c r="F912" s="16" t="s">
        <v>3443</v>
      </c>
      <c r="G912" s="4" t="s">
        <v>3444</v>
      </c>
      <c r="H912" s="4" t="s">
        <v>3445</v>
      </c>
      <c r="I912" s="4" t="s">
        <v>641</v>
      </c>
      <c r="J912" s="4" t="s">
        <v>1746</v>
      </c>
      <c r="K912" s="4">
        <v>1</v>
      </c>
      <c r="L912" s="4">
        <v>2527</v>
      </c>
      <c r="M912" s="6"/>
      <c r="AO912" s="4" t="s">
        <v>3443</v>
      </c>
      <c r="AP912" s="4">
        <v>672</v>
      </c>
      <c r="AQ912" s="4" t="s">
        <v>1716</v>
      </c>
      <c r="AR912" s="4" t="s">
        <v>1717</v>
      </c>
      <c r="AS912" s="4" t="s">
        <v>1718</v>
      </c>
      <c r="AT912" s="4" t="s">
        <v>1719</v>
      </c>
      <c r="AU912" s="4" t="s">
        <v>1959</v>
      </c>
      <c r="AV912" s="4" t="s">
        <v>1720</v>
      </c>
      <c r="AW912" s="4" t="s">
        <v>2193</v>
      </c>
      <c r="AX912" s="4" t="s">
        <v>2291</v>
      </c>
      <c r="AY912" s="4">
        <v>51.786999999999999</v>
      </c>
      <c r="AZ912" s="4">
        <v>-122.426</v>
      </c>
      <c r="BA912" s="4">
        <v>933</v>
      </c>
    </row>
    <row r="913" spans="1:53" ht="14.25" customHeight="1" x14ac:dyDescent="0.2">
      <c r="B913" s="4">
        <v>12</v>
      </c>
      <c r="C913" s="4" t="s">
        <v>7666</v>
      </c>
      <c r="D913" s="4">
        <v>673</v>
      </c>
      <c r="E913" s="4">
        <v>2125</v>
      </c>
      <c r="F913" s="16" t="s">
        <v>3446</v>
      </c>
      <c r="G913" s="4" t="s">
        <v>3447</v>
      </c>
      <c r="H913" s="4" t="s">
        <v>3448</v>
      </c>
      <c r="I913" s="4" t="s">
        <v>1664</v>
      </c>
      <c r="J913" s="4" t="s">
        <v>1746</v>
      </c>
      <c r="K913" s="4">
        <v>1</v>
      </c>
      <c r="L913" s="4">
        <v>2528</v>
      </c>
      <c r="M913" s="6"/>
      <c r="AO913" s="4" t="s">
        <v>3446</v>
      </c>
      <c r="AP913" s="4">
        <v>673</v>
      </c>
      <c r="AQ913" s="4" t="s">
        <v>1716</v>
      </c>
      <c r="AR913" s="4" t="s">
        <v>1717</v>
      </c>
      <c r="AS913" s="4" t="s">
        <v>1718</v>
      </c>
      <c r="AT913" s="4" t="s">
        <v>1719</v>
      </c>
      <c r="AU913" s="4" t="s">
        <v>1703</v>
      </c>
      <c r="AV913" s="4" t="s">
        <v>1720</v>
      </c>
      <c r="AW913" s="4" t="s">
        <v>2193</v>
      </c>
      <c r="AX913" s="4" t="s">
        <v>2194</v>
      </c>
      <c r="AY913" s="4">
        <v>53</v>
      </c>
      <c r="AZ913" s="4">
        <v>-122</v>
      </c>
      <c r="BA913" s="4">
        <v>8</v>
      </c>
    </row>
    <row r="914" spans="1:53" ht="14.25" customHeight="1" x14ac:dyDescent="0.2">
      <c r="A914" s="4" t="s">
        <v>422</v>
      </c>
      <c r="B914" s="4">
        <v>12</v>
      </c>
      <c r="C914" s="4" t="s">
        <v>7666</v>
      </c>
      <c r="D914" s="4">
        <v>674</v>
      </c>
      <c r="E914" s="4">
        <v>2126</v>
      </c>
      <c r="F914" s="16" t="s">
        <v>3449</v>
      </c>
      <c r="G914" s="4" t="s">
        <v>3450</v>
      </c>
      <c r="H914" s="4" t="s">
        <v>3451</v>
      </c>
      <c r="I914" s="4" t="s">
        <v>1664</v>
      </c>
      <c r="J914" s="4" t="s">
        <v>1746</v>
      </c>
      <c r="K914" s="4">
        <v>1</v>
      </c>
      <c r="L914" s="4">
        <v>2529</v>
      </c>
      <c r="M914" s="6"/>
      <c r="AO914" s="4" t="s">
        <v>3449</v>
      </c>
      <c r="AP914" s="4">
        <v>674</v>
      </c>
      <c r="AQ914" s="4" t="s">
        <v>1716</v>
      </c>
      <c r="AR914" s="4" t="s">
        <v>1717</v>
      </c>
      <c r="AS914" s="4" t="s">
        <v>1718</v>
      </c>
      <c r="AT914" s="4" t="s">
        <v>1719</v>
      </c>
      <c r="AU914" s="4" t="s">
        <v>1703</v>
      </c>
      <c r="AV914" s="4" t="s">
        <v>1720</v>
      </c>
      <c r="AW914" s="4" t="s">
        <v>2368</v>
      </c>
      <c r="AX914" s="4" t="s">
        <v>2287</v>
      </c>
      <c r="AY914" s="4">
        <v>52.1</v>
      </c>
      <c r="AZ914" s="4">
        <v>-121.1</v>
      </c>
      <c r="BA914" s="4">
        <v>15</v>
      </c>
    </row>
    <row r="915" spans="1:53" ht="14.25" customHeight="1" x14ac:dyDescent="0.2">
      <c r="A915" s="4" t="s">
        <v>422</v>
      </c>
      <c r="B915" s="4">
        <v>12</v>
      </c>
      <c r="C915" s="4" t="s">
        <v>7666</v>
      </c>
      <c r="D915" s="4">
        <v>675</v>
      </c>
      <c r="E915" s="4">
        <v>2127</v>
      </c>
      <c r="F915" s="16" t="s">
        <v>3452</v>
      </c>
      <c r="G915" s="4" t="s">
        <v>3453</v>
      </c>
      <c r="H915" s="4" t="s">
        <v>3454</v>
      </c>
      <c r="I915" s="4" t="s">
        <v>1664</v>
      </c>
      <c r="J915" s="4" t="s">
        <v>1746</v>
      </c>
      <c r="K915" s="4">
        <v>1</v>
      </c>
      <c r="L915" s="4">
        <v>2530</v>
      </c>
      <c r="M915" s="6"/>
      <c r="AO915" s="4" t="s">
        <v>3452</v>
      </c>
      <c r="AP915" s="4">
        <v>675</v>
      </c>
      <c r="AQ915" s="4" t="s">
        <v>1716</v>
      </c>
      <c r="AR915" s="4" t="s">
        <v>1717</v>
      </c>
      <c r="AS915" s="4" t="s">
        <v>1718</v>
      </c>
      <c r="AT915" s="4" t="s">
        <v>1719</v>
      </c>
      <c r="AU915" s="4" t="s">
        <v>1703</v>
      </c>
      <c r="AV915" s="4" t="s">
        <v>1720</v>
      </c>
      <c r="AW915" s="4" t="s">
        <v>2368</v>
      </c>
      <c r="AX915" s="4" t="s">
        <v>2401</v>
      </c>
      <c r="AY915" s="4">
        <v>51.4</v>
      </c>
      <c r="AZ915" s="4">
        <v>-119.4</v>
      </c>
      <c r="BA915" s="4">
        <v>16</v>
      </c>
    </row>
    <row r="916" spans="1:53" ht="14.25" customHeight="1" x14ac:dyDescent="0.2">
      <c r="B916" s="4">
        <v>12</v>
      </c>
      <c r="C916" s="4" t="s">
        <v>7666</v>
      </c>
      <c r="D916" s="4">
        <v>676</v>
      </c>
      <c r="E916" s="4">
        <v>2128</v>
      </c>
      <c r="F916" s="16" t="s">
        <v>3455</v>
      </c>
      <c r="G916" s="4" t="s">
        <v>3456</v>
      </c>
      <c r="H916" s="4" t="s">
        <v>3457</v>
      </c>
      <c r="I916" s="4" t="s">
        <v>1664</v>
      </c>
      <c r="J916" s="4" t="s">
        <v>1715</v>
      </c>
      <c r="K916" s="4">
        <v>1</v>
      </c>
      <c r="L916" s="4">
        <v>2531</v>
      </c>
      <c r="M916" s="6"/>
      <c r="AO916" s="4" t="s">
        <v>3455</v>
      </c>
      <c r="AP916" s="4">
        <v>676</v>
      </c>
      <c r="AQ916" s="4" t="s">
        <v>1716</v>
      </c>
      <c r="AR916" s="4" t="s">
        <v>1717</v>
      </c>
      <c r="AS916" s="4" t="s">
        <v>1718</v>
      </c>
      <c r="AT916" s="4" t="s">
        <v>1719</v>
      </c>
      <c r="AU916" s="4" t="s">
        <v>1703</v>
      </c>
      <c r="AV916" s="4" t="s">
        <v>1720</v>
      </c>
      <c r="AW916" s="4" t="s">
        <v>2193</v>
      </c>
      <c r="AX916" s="4" t="s">
        <v>2356</v>
      </c>
      <c r="AY916" s="4">
        <v>52.2</v>
      </c>
      <c r="AZ916" s="4">
        <v>-121.2</v>
      </c>
      <c r="BA916" s="4">
        <v>13</v>
      </c>
    </row>
    <row r="917" spans="1:53" ht="14.25" customHeight="1" x14ac:dyDescent="0.2">
      <c r="B917" s="4">
        <v>12</v>
      </c>
      <c r="C917" s="4" t="s">
        <v>7666</v>
      </c>
      <c r="D917" s="4">
        <v>677</v>
      </c>
      <c r="E917" s="4">
        <v>2129</v>
      </c>
      <c r="F917" s="16" t="s">
        <v>3458</v>
      </c>
      <c r="G917" s="4" t="s">
        <v>3459</v>
      </c>
      <c r="H917" s="4" t="s">
        <v>3460</v>
      </c>
      <c r="I917" s="4" t="s">
        <v>1664</v>
      </c>
      <c r="J917" s="4" t="s">
        <v>1715</v>
      </c>
      <c r="K917" s="4">
        <v>1</v>
      </c>
      <c r="L917" s="4">
        <v>2532</v>
      </c>
      <c r="M917" s="6"/>
      <c r="AO917" s="4" t="s">
        <v>3458</v>
      </c>
      <c r="AP917" s="4">
        <v>677</v>
      </c>
      <c r="AQ917" s="4" t="s">
        <v>1716</v>
      </c>
      <c r="AR917" s="4" t="s">
        <v>1717</v>
      </c>
      <c r="AS917" s="4" t="s">
        <v>1718</v>
      </c>
      <c r="AT917" s="4" t="s">
        <v>1719</v>
      </c>
      <c r="AU917" s="4" t="s">
        <v>1703</v>
      </c>
      <c r="AV917" s="4" t="s">
        <v>1720</v>
      </c>
      <c r="AW917" s="4" t="s">
        <v>2193</v>
      </c>
      <c r="AX917" s="4" t="s">
        <v>1837</v>
      </c>
      <c r="AY917" s="4">
        <v>50</v>
      </c>
      <c r="AZ917" s="4">
        <v>-124</v>
      </c>
      <c r="BA917" s="4">
        <v>14</v>
      </c>
    </row>
    <row r="918" spans="1:53" ht="14.25" customHeight="1" x14ac:dyDescent="0.2">
      <c r="B918" s="4">
        <v>12</v>
      </c>
      <c r="C918" s="4" t="s">
        <v>7666</v>
      </c>
      <c r="D918" s="4">
        <v>678</v>
      </c>
      <c r="E918" s="4">
        <v>2130</v>
      </c>
      <c r="F918" s="16" t="s">
        <v>3461</v>
      </c>
      <c r="G918" s="4" t="s">
        <v>3462</v>
      </c>
      <c r="H918" s="4" t="s">
        <v>3463</v>
      </c>
      <c r="I918" s="4" t="s">
        <v>1664</v>
      </c>
      <c r="J918" s="4" t="s">
        <v>1715</v>
      </c>
      <c r="K918" s="4">
        <v>1</v>
      </c>
      <c r="L918" s="4">
        <v>2533</v>
      </c>
      <c r="M918" s="6"/>
      <c r="AO918" s="4" t="s">
        <v>3461</v>
      </c>
      <c r="AP918" s="4">
        <v>678</v>
      </c>
      <c r="AQ918" s="4" t="s">
        <v>1716</v>
      </c>
      <c r="AR918" s="4" t="s">
        <v>1717</v>
      </c>
      <c r="AS918" s="4" t="s">
        <v>1718</v>
      </c>
      <c r="AT918" s="4" t="s">
        <v>1719</v>
      </c>
      <c r="AU918" s="4" t="s">
        <v>1703</v>
      </c>
      <c r="AV918" s="4" t="s">
        <v>1720</v>
      </c>
      <c r="AW918" s="4" t="s">
        <v>2193</v>
      </c>
      <c r="AX918" s="4" t="s">
        <v>2287</v>
      </c>
      <c r="AY918" s="4">
        <v>51.2</v>
      </c>
      <c r="AZ918" s="4">
        <v>-120.8</v>
      </c>
      <c r="BA918" s="4">
        <v>13</v>
      </c>
    </row>
    <row r="919" spans="1:53" ht="14.25" customHeight="1" x14ac:dyDescent="0.2">
      <c r="B919" s="4">
        <v>12</v>
      </c>
      <c r="C919" s="4" t="s">
        <v>7666</v>
      </c>
      <c r="D919" s="4">
        <v>680</v>
      </c>
      <c r="E919" s="4">
        <v>2131</v>
      </c>
      <c r="F919" s="16" t="s">
        <v>3464</v>
      </c>
      <c r="G919" s="4" t="s">
        <v>3465</v>
      </c>
      <c r="H919" s="4" t="s">
        <v>3466</v>
      </c>
      <c r="I919" s="4" t="s">
        <v>1664</v>
      </c>
      <c r="J919" s="4" t="s">
        <v>1746</v>
      </c>
      <c r="K919" s="4">
        <v>1</v>
      </c>
      <c r="L919" s="4">
        <v>2534</v>
      </c>
      <c r="M919" s="6"/>
      <c r="AO919" s="4" t="s">
        <v>3464</v>
      </c>
      <c r="AP919" s="4">
        <v>680</v>
      </c>
      <c r="AQ919" s="4" t="s">
        <v>1716</v>
      </c>
      <c r="AR919" s="4" t="s">
        <v>1717</v>
      </c>
      <c r="AS919" s="4" t="s">
        <v>1718</v>
      </c>
      <c r="AT919" s="4" t="s">
        <v>1719</v>
      </c>
      <c r="AU919" s="4" t="s">
        <v>1703</v>
      </c>
      <c r="AV919" s="4" t="s">
        <v>1720</v>
      </c>
      <c r="AW919" s="4" t="s">
        <v>2193</v>
      </c>
      <c r="AX919" s="4" t="s">
        <v>2287</v>
      </c>
      <c r="AY919" s="4">
        <v>52</v>
      </c>
      <c r="AZ919" s="4">
        <v>-120.4</v>
      </c>
      <c r="BA919" s="4">
        <v>12</v>
      </c>
    </row>
    <row r="920" spans="1:53" ht="14.25" customHeight="1" x14ac:dyDescent="0.2">
      <c r="B920" s="4">
        <v>12</v>
      </c>
      <c r="C920" s="4" t="s">
        <v>7666</v>
      </c>
      <c r="D920" s="4">
        <v>681</v>
      </c>
      <c r="E920" s="4">
        <v>2132</v>
      </c>
      <c r="F920" s="16" t="s">
        <v>3467</v>
      </c>
      <c r="G920" s="27" t="s">
        <v>3468</v>
      </c>
      <c r="H920" s="4" t="s">
        <v>3469</v>
      </c>
      <c r="I920" s="4" t="s">
        <v>1664</v>
      </c>
      <c r="J920" s="4" t="s">
        <v>1746</v>
      </c>
      <c r="K920" s="4">
        <v>1</v>
      </c>
      <c r="L920" s="4">
        <v>2535</v>
      </c>
      <c r="M920" s="6"/>
      <c r="AO920" s="4" t="s">
        <v>3467</v>
      </c>
      <c r="AP920" s="4">
        <v>681</v>
      </c>
      <c r="AQ920" s="4" t="s">
        <v>1716</v>
      </c>
      <c r="AR920" s="4" t="s">
        <v>1717</v>
      </c>
      <c r="AS920" s="4" t="s">
        <v>1718</v>
      </c>
      <c r="AT920" s="4" t="s">
        <v>1719</v>
      </c>
      <c r="AU920" s="4" t="s">
        <v>1703</v>
      </c>
      <c r="AV920" s="4" t="s">
        <v>1720</v>
      </c>
      <c r="AW920" s="4" t="s">
        <v>2368</v>
      </c>
      <c r="AX920" s="4" t="s">
        <v>2287</v>
      </c>
      <c r="AY920" s="4">
        <v>51.5</v>
      </c>
      <c r="AZ920" s="4">
        <v>-120.5</v>
      </c>
      <c r="BA920" s="4">
        <v>14</v>
      </c>
    </row>
    <row r="921" spans="1:53" ht="14.25" customHeight="1" x14ac:dyDescent="0.2">
      <c r="B921" s="4">
        <v>12</v>
      </c>
      <c r="C921" s="4" t="s">
        <v>7666</v>
      </c>
      <c r="D921" s="4">
        <v>682</v>
      </c>
      <c r="E921" s="4">
        <v>2133</v>
      </c>
      <c r="F921" s="16" t="s">
        <v>3470</v>
      </c>
      <c r="G921" s="27" t="s">
        <v>3471</v>
      </c>
      <c r="H921" s="4" t="s">
        <v>3472</v>
      </c>
      <c r="I921" s="4" t="s">
        <v>1664</v>
      </c>
      <c r="J921" s="4" t="s">
        <v>1746</v>
      </c>
      <c r="K921" s="4">
        <v>1</v>
      </c>
      <c r="L921" s="4">
        <v>2536</v>
      </c>
      <c r="M921" s="6"/>
      <c r="AO921" s="4" t="s">
        <v>3470</v>
      </c>
      <c r="AP921" s="4">
        <v>682</v>
      </c>
      <c r="AQ921" s="4" t="s">
        <v>1716</v>
      </c>
      <c r="AR921" s="4" t="s">
        <v>1717</v>
      </c>
      <c r="AS921" s="4" t="s">
        <v>1718</v>
      </c>
      <c r="AT921" s="4" t="s">
        <v>1719</v>
      </c>
      <c r="AU921" s="4" t="s">
        <v>1703</v>
      </c>
      <c r="AV921" s="4" t="s">
        <v>1720</v>
      </c>
      <c r="AW921" s="4" t="s">
        <v>2193</v>
      </c>
      <c r="AX921" s="4" t="s">
        <v>2287</v>
      </c>
      <c r="AY921" s="4">
        <v>51.7</v>
      </c>
      <c r="AZ921" s="4">
        <v>-121.3</v>
      </c>
      <c r="BA921" s="4">
        <v>10</v>
      </c>
    </row>
    <row r="922" spans="1:53" ht="14.25" customHeight="1" x14ac:dyDescent="0.2">
      <c r="A922" s="4" t="s">
        <v>422</v>
      </c>
      <c r="B922" s="4">
        <v>12</v>
      </c>
      <c r="C922" s="4" t="s">
        <v>7666</v>
      </c>
      <c r="D922" s="4">
        <v>683</v>
      </c>
      <c r="E922" s="4">
        <v>2134</v>
      </c>
      <c r="F922" s="16" t="s">
        <v>3473</v>
      </c>
      <c r="G922" s="27" t="s">
        <v>3474</v>
      </c>
      <c r="H922" s="4" t="s">
        <v>3475</v>
      </c>
      <c r="I922" s="4" t="s">
        <v>641</v>
      </c>
      <c r="J922" s="4" t="s">
        <v>1746</v>
      </c>
      <c r="K922" s="4">
        <v>1</v>
      </c>
      <c r="L922" s="4">
        <v>2537</v>
      </c>
      <c r="M922" s="6"/>
      <c r="AO922" s="4" t="s">
        <v>3473</v>
      </c>
      <c r="AP922" s="4">
        <v>683</v>
      </c>
      <c r="AQ922" s="4" t="s">
        <v>1716</v>
      </c>
      <c r="AR922" s="4" t="s">
        <v>1717</v>
      </c>
      <c r="AS922" s="4" t="s">
        <v>1718</v>
      </c>
      <c r="AT922" s="4" t="s">
        <v>1703</v>
      </c>
      <c r="AU922" s="4" t="s">
        <v>1703</v>
      </c>
      <c r="AV922" s="4" t="s">
        <v>1720</v>
      </c>
      <c r="AW922" s="4" t="s">
        <v>2368</v>
      </c>
      <c r="AX922" s="4" t="s">
        <v>2401</v>
      </c>
      <c r="AY922" s="4">
        <v>51.5</v>
      </c>
      <c r="AZ922" s="4">
        <v>-120.1</v>
      </c>
      <c r="BA922" s="4">
        <v>14</v>
      </c>
    </row>
    <row r="923" spans="1:53" ht="14.25" customHeight="1" x14ac:dyDescent="0.2">
      <c r="B923" s="4">
        <v>12</v>
      </c>
      <c r="C923" s="4" t="s">
        <v>7666</v>
      </c>
      <c r="D923" s="4">
        <v>684</v>
      </c>
      <c r="E923" s="4">
        <v>2135</v>
      </c>
      <c r="F923" s="16" t="s">
        <v>3476</v>
      </c>
      <c r="G923" s="4" t="s">
        <v>3459</v>
      </c>
      <c r="H923" s="4" t="s">
        <v>3477</v>
      </c>
      <c r="I923" s="4" t="s">
        <v>1664</v>
      </c>
      <c r="J923" s="4" t="s">
        <v>1746</v>
      </c>
      <c r="K923" s="4">
        <v>1</v>
      </c>
      <c r="L923" s="4">
        <v>2538</v>
      </c>
      <c r="M923" s="6"/>
      <c r="AO923" s="4" t="s">
        <v>3476</v>
      </c>
      <c r="AP923" s="4">
        <v>684</v>
      </c>
      <c r="AQ923" s="4" t="s">
        <v>1716</v>
      </c>
      <c r="AR923" s="4" t="s">
        <v>1717</v>
      </c>
      <c r="AS923" s="4" t="s">
        <v>1718</v>
      </c>
      <c r="AT923" s="4" t="s">
        <v>1719</v>
      </c>
      <c r="AU923" s="4" t="s">
        <v>1703</v>
      </c>
      <c r="AV923" s="4" t="s">
        <v>1720</v>
      </c>
      <c r="AW923" s="4" t="s">
        <v>2193</v>
      </c>
      <c r="AX923" s="4" t="s">
        <v>1837</v>
      </c>
      <c r="AY923" s="4">
        <v>50</v>
      </c>
      <c r="AZ923" s="4">
        <v>-124</v>
      </c>
      <c r="BA923" s="4">
        <v>14</v>
      </c>
    </row>
    <row r="924" spans="1:53" ht="14.25" customHeight="1" x14ac:dyDescent="0.2">
      <c r="B924" s="4">
        <v>12</v>
      </c>
      <c r="C924" s="4" t="s">
        <v>7666</v>
      </c>
      <c r="D924" s="4">
        <v>685</v>
      </c>
      <c r="E924" s="4">
        <v>2136</v>
      </c>
      <c r="F924" s="16" t="s">
        <v>3478</v>
      </c>
      <c r="G924" s="4" t="s">
        <v>3479</v>
      </c>
      <c r="H924" s="4" t="s">
        <v>3480</v>
      </c>
      <c r="I924" s="4" t="s">
        <v>1664</v>
      </c>
      <c r="J924" s="4" t="s">
        <v>1746</v>
      </c>
      <c r="K924" s="4">
        <v>1</v>
      </c>
      <c r="L924" s="4">
        <v>2539</v>
      </c>
      <c r="M924" s="6"/>
      <c r="AO924" s="4" t="s">
        <v>3478</v>
      </c>
      <c r="AP924" s="4">
        <v>685</v>
      </c>
      <c r="AQ924" s="4" t="s">
        <v>1716</v>
      </c>
      <c r="AR924" s="4" t="s">
        <v>1717</v>
      </c>
      <c r="AS924" s="4" t="s">
        <v>1718</v>
      </c>
      <c r="AT924" s="4" t="s">
        <v>1719</v>
      </c>
      <c r="AU924" s="4" t="s">
        <v>1703</v>
      </c>
      <c r="AV924" s="4" t="s">
        <v>1720</v>
      </c>
      <c r="AW924" s="4" t="s">
        <v>2368</v>
      </c>
      <c r="AX924" s="4" t="s">
        <v>2401</v>
      </c>
      <c r="AY924" s="4">
        <v>51.8</v>
      </c>
      <c r="AZ924" s="4">
        <v>-120.3</v>
      </c>
      <c r="BA924" s="4">
        <v>16</v>
      </c>
    </row>
    <row r="925" spans="1:53" ht="14.25" customHeight="1" x14ac:dyDescent="0.2">
      <c r="B925" s="4">
        <v>12</v>
      </c>
      <c r="C925" s="4" t="s">
        <v>7666</v>
      </c>
      <c r="D925" s="4">
        <v>686</v>
      </c>
      <c r="E925" s="4">
        <v>2137</v>
      </c>
      <c r="F925" s="16" t="s">
        <v>3481</v>
      </c>
      <c r="G925" s="4" t="s">
        <v>3482</v>
      </c>
      <c r="H925" s="4" t="s">
        <v>3483</v>
      </c>
      <c r="I925" s="4" t="s">
        <v>1664</v>
      </c>
      <c r="J925" s="4" t="s">
        <v>1746</v>
      </c>
      <c r="K925" s="4">
        <v>1</v>
      </c>
      <c r="L925" s="4">
        <v>2540</v>
      </c>
      <c r="M925" s="6"/>
      <c r="AO925" s="4" t="s">
        <v>3481</v>
      </c>
      <c r="AP925" s="4">
        <v>686</v>
      </c>
      <c r="AQ925" s="4" t="s">
        <v>1716</v>
      </c>
      <c r="AR925" s="4" t="s">
        <v>1717</v>
      </c>
      <c r="AS925" s="4" t="s">
        <v>1718</v>
      </c>
      <c r="AT925" s="4" t="s">
        <v>1719</v>
      </c>
      <c r="AU925" s="4" t="s">
        <v>1703</v>
      </c>
      <c r="AV925" s="4" t="s">
        <v>1720</v>
      </c>
      <c r="AW925" s="4" t="s">
        <v>2193</v>
      </c>
      <c r="AX925" s="4" t="s">
        <v>2401</v>
      </c>
      <c r="AY925" s="4">
        <v>51.9</v>
      </c>
      <c r="AZ925" s="4">
        <v>-120.5</v>
      </c>
      <c r="BA925" s="4">
        <v>11</v>
      </c>
    </row>
    <row r="926" spans="1:53" ht="14.25" customHeight="1" x14ac:dyDescent="0.2">
      <c r="B926" s="4">
        <v>12</v>
      </c>
      <c r="C926" s="4" t="s">
        <v>7666</v>
      </c>
      <c r="D926" s="4">
        <v>687</v>
      </c>
      <c r="E926" s="4">
        <v>2138</v>
      </c>
      <c r="F926" s="16" t="s">
        <v>3484</v>
      </c>
      <c r="G926" s="4" t="s">
        <v>3485</v>
      </c>
      <c r="H926" s="4" t="s">
        <v>3486</v>
      </c>
      <c r="I926" s="4" t="s">
        <v>1664</v>
      </c>
      <c r="J926" s="4" t="s">
        <v>1746</v>
      </c>
      <c r="K926" s="4">
        <v>1</v>
      </c>
      <c r="L926" s="4">
        <v>2541</v>
      </c>
      <c r="M926" s="6"/>
      <c r="AO926" s="4" t="s">
        <v>3484</v>
      </c>
      <c r="AP926" s="4">
        <v>687</v>
      </c>
      <c r="AQ926" s="4" t="s">
        <v>1716</v>
      </c>
      <c r="AR926" s="4" t="s">
        <v>1717</v>
      </c>
      <c r="AS926" s="4" t="s">
        <v>1718</v>
      </c>
      <c r="AT926" s="4" t="s">
        <v>1719</v>
      </c>
      <c r="AU926" s="4" t="s">
        <v>1703</v>
      </c>
      <c r="AV926" s="4" t="s">
        <v>1720</v>
      </c>
      <c r="AW926" s="4" t="s">
        <v>2193</v>
      </c>
      <c r="AX926" s="4" t="s">
        <v>2194</v>
      </c>
      <c r="AY926" s="4">
        <v>53.1</v>
      </c>
      <c r="AZ926" s="4">
        <v>-123.4</v>
      </c>
      <c r="BA926" s="4">
        <v>8</v>
      </c>
    </row>
    <row r="927" spans="1:53" ht="14.25" customHeight="1" x14ac:dyDescent="0.2">
      <c r="A927" s="4" t="s">
        <v>422</v>
      </c>
      <c r="B927" s="4">
        <v>12</v>
      </c>
      <c r="C927" s="4" t="s">
        <v>7666</v>
      </c>
      <c r="D927" s="4">
        <v>688</v>
      </c>
      <c r="E927" s="4">
        <v>2139</v>
      </c>
      <c r="F927" s="16" t="s">
        <v>3487</v>
      </c>
      <c r="G927" s="4" t="s">
        <v>3488</v>
      </c>
      <c r="H927" s="4" t="s">
        <v>3489</v>
      </c>
      <c r="I927" s="4" t="s">
        <v>1664</v>
      </c>
      <c r="J927" s="4" t="s">
        <v>1746</v>
      </c>
      <c r="K927" s="4">
        <v>1</v>
      </c>
      <c r="L927" s="4">
        <v>2542</v>
      </c>
      <c r="M927" s="6"/>
      <c r="AO927" s="4" t="s">
        <v>3487</v>
      </c>
      <c r="AP927" s="4">
        <v>688</v>
      </c>
      <c r="AQ927" s="4" t="s">
        <v>1716</v>
      </c>
      <c r="AR927" s="4" t="s">
        <v>1717</v>
      </c>
      <c r="AS927" s="4" t="s">
        <v>1718</v>
      </c>
      <c r="AT927" s="4" t="s">
        <v>1719</v>
      </c>
      <c r="AU927" s="4" t="s">
        <v>1703</v>
      </c>
      <c r="AV927" s="4" t="s">
        <v>1720</v>
      </c>
      <c r="AW927" s="4" t="s">
        <v>2193</v>
      </c>
      <c r="AX927" s="4" t="s">
        <v>2356</v>
      </c>
      <c r="AY927" s="4">
        <v>52.2</v>
      </c>
      <c r="AZ927" s="4">
        <v>-120.7</v>
      </c>
      <c r="BA927" s="4">
        <v>0</v>
      </c>
    </row>
    <row r="928" spans="1:53" ht="14.25" customHeight="1" x14ac:dyDescent="0.2">
      <c r="A928" s="4" t="s">
        <v>422</v>
      </c>
      <c r="B928" s="4">
        <v>12</v>
      </c>
      <c r="C928" s="4" t="s">
        <v>7666</v>
      </c>
      <c r="D928" s="4">
        <v>689</v>
      </c>
      <c r="E928" s="4">
        <v>2140</v>
      </c>
      <c r="F928" s="16" t="s">
        <v>3490</v>
      </c>
      <c r="G928" s="27" t="s">
        <v>3491</v>
      </c>
      <c r="H928" s="4" t="s">
        <v>3492</v>
      </c>
      <c r="I928" s="4" t="s">
        <v>641</v>
      </c>
      <c r="J928" s="4" t="s">
        <v>1746</v>
      </c>
      <c r="K928" s="4">
        <v>1</v>
      </c>
      <c r="L928" s="4">
        <v>2543</v>
      </c>
      <c r="M928" s="6"/>
      <c r="AO928" s="4" t="s">
        <v>3490</v>
      </c>
      <c r="AP928" s="4">
        <v>689</v>
      </c>
      <c r="AQ928" s="4" t="s">
        <v>1716</v>
      </c>
      <c r="AR928" s="4" t="s">
        <v>1717</v>
      </c>
      <c r="AS928" s="4" t="s">
        <v>1718</v>
      </c>
      <c r="AT928" s="4" t="s">
        <v>1719</v>
      </c>
      <c r="AU928" s="4" t="s">
        <v>1703</v>
      </c>
      <c r="AV928" s="4" t="s">
        <v>1720</v>
      </c>
      <c r="AW928" s="4" t="s">
        <v>2193</v>
      </c>
      <c r="AX928" s="4" t="s">
        <v>2356</v>
      </c>
      <c r="AY928" s="4">
        <v>52.5</v>
      </c>
      <c r="AZ928" s="4">
        <v>-121.5</v>
      </c>
      <c r="BA928" s="4">
        <v>0</v>
      </c>
    </row>
    <row r="929" spans="1:53" ht="14.25" customHeight="1" x14ac:dyDescent="0.2">
      <c r="B929" s="4">
        <v>12</v>
      </c>
      <c r="C929" s="4" t="s">
        <v>7666</v>
      </c>
      <c r="D929" s="4">
        <v>690</v>
      </c>
      <c r="E929" s="4">
        <v>2141</v>
      </c>
      <c r="F929" s="16" t="s">
        <v>3493</v>
      </c>
      <c r="G929" s="4" t="s">
        <v>3494</v>
      </c>
      <c r="H929" s="4" t="s">
        <v>3495</v>
      </c>
      <c r="I929" s="4" t="s">
        <v>1664</v>
      </c>
      <c r="J929" s="4" t="s">
        <v>1746</v>
      </c>
      <c r="K929" s="4">
        <v>1</v>
      </c>
      <c r="L929" s="4">
        <v>2544</v>
      </c>
      <c r="M929" s="6"/>
      <c r="AO929" s="4" t="s">
        <v>3493</v>
      </c>
      <c r="AP929" s="4">
        <v>690</v>
      </c>
      <c r="AQ929" s="4" t="s">
        <v>1716</v>
      </c>
      <c r="AR929" s="4" t="s">
        <v>1717</v>
      </c>
      <c r="AS929" s="4" t="s">
        <v>1718</v>
      </c>
      <c r="AT929" s="4" t="s">
        <v>1719</v>
      </c>
      <c r="AU929" s="4" t="s">
        <v>1703</v>
      </c>
      <c r="AV929" s="4" t="s">
        <v>1720</v>
      </c>
      <c r="AW929" s="4" t="s">
        <v>2193</v>
      </c>
      <c r="AX929" s="4" t="s">
        <v>2401</v>
      </c>
      <c r="AY929" s="4">
        <v>52</v>
      </c>
      <c r="AZ929" s="4">
        <v>-120.2</v>
      </c>
      <c r="BA929" s="4">
        <v>14</v>
      </c>
    </row>
    <row r="930" spans="1:53" ht="14.25" customHeight="1" x14ac:dyDescent="0.2">
      <c r="A930" s="4" t="s">
        <v>422</v>
      </c>
      <c r="B930" s="4">
        <v>12</v>
      </c>
      <c r="C930" s="4" t="s">
        <v>7666</v>
      </c>
      <c r="D930" s="4">
        <v>691</v>
      </c>
      <c r="E930" s="4">
        <v>2142</v>
      </c>
      <c r="F930" s="16" t="s">
        <v>3496</v>
      </c>
      <c r="G930" s="4" t="s">
        <v>3497</v>
      </c>
      <c r="H930" s="4" t="s">
        <v>3498</v>
      </c>
      <c r="I930" s="4" t="s">
        <v>1664</v>
      </c>
      <c r="J930" s="4" t="s">
        <v>1746</v>
      </c>
      <c r="K930" s="4">
        <v>1</v>
      </c>
      <c r="L930" s="4">
        <v>2545</v>
      </c>
      <c r="M930" s="6"/>
      <c r="AO930" s="4" t="s">
        <v>3496</v>
      </c>
      <c r="AP930" s="4">
        <v>691</v>
      </c>
      <c r="AQ930" s="4" t="s">
        <v>1716</v>
      </c>
      <c r="AR930" s="4" t="s">
        <v>1717</v>
      </c>
      <c r="AS930" s="4" t="s">
        <v>1718</v>
      </c>
      <c r="AT930" s="4" t="s">
        <v>1719</v>
      </c>
      <c r="AU930" s="4" t="s">
        <v>1703</v>
      </c>
      <c r="AV930" s="4" t="s">
        <v>1720</v>
      </c>
      <c r="AW930" s="4" t="s">
        <v>2368</v>
      </c>
      <c r="AX930" s="4" t="s">
        <v>2401</v>
      </c>
      <c r="AY930" s="4">
        <v>51.8</v>
      </c>
      <c r="AZ930" s="4">
        <v>-119.4</v>
      </c>
      <c r="BA930" s="4">
        <v>11</v>
      </c>
    </row>
    <row r="931" spans="1:53" ht="14.25" customHeight="1" x14ac:dyDescent="0.2">
      <c r="B931" s="4">
        <v>12</v>
      </c>
      <c r="C931" s="4" t="s">
        <v>7666</v>
      </c>
      <c r="D931" s="4">
        <v>692</v>
      </c>
      <c r="E931" s="4">
        <v>2143</v>
      </c>
      <c r="F931" s="16" t="s">
        <v>3499</v>
      </c>
      <c r="G931" s="4" t="s">
        <v>3500</v>
      </c>
      <c r="H931" s="4" t="s">
        <v>3501</v>
      </c>
      <c r="I931" s="4" t="s">
        <v>1664</v>
      </c>
      <c r="J931" s="4" t="s">
        <v>1715</v>
      </c>
      <c r="K931" s="4">
        <v>1</v>
      </c>
      <c r="L931" s="4">
        <v>2546</v>
      </c>
      <c r="M931" s="6"/>
      <c r="AO931" s="4" t="s">
        <v>3499</v>
      </c>
      <c r="AP931" s="4">
        <v>692</v>
      </c>
      <c r="AQ931" s="4" t="s">
        <v>1716</v>
      </c>
      <c r="AR931" s="4" t="s">
        <v>1717</v>
      </c>
      <c r="AS931" s="4" t="s">
        <v>1718</v>
      </c>
      <c r="AT931" s="4" t="s">
        <v>1719</v>
      </c>
      <c r="AU931" s="4" t="s">
        <v>1703</v>
      </c>
      <c r="AV931" s="4" t="s">
        <v>1720</v>
      </c>
      <c r="AW931" s="4" t="s">
        <v>2193</v>
      </c>
      <c r="AX931" s="4" t="s">
        <v>2287</v>
      </c>
      <c r="AY931" s="4">
        <v>51.6</v>
      </c>
      <c r="AZ931" s="4">
        <v>-120.9</v>
      </c>
      <c r="BA931" s="4">
        <v>13</v>
      </c>
    </row>
    <row r="932" spans="1:53" ht="14.25" customHeight="1" x14ac:dyDescent="0.2">
      <c r="A932" s="4" t="s">
        <v>422</v>
      </c>
      <c r="B932" s="4">
        <v>12</v>
      </c>
      <c r="C932" s="4" t="s">
        <v>7666</v>
      </c>
      <c r="D932" s="4">
        <v>693</v>
      </c>
      <c r="E932" s="4">
        <v>2144</v>
      </c>
      <c r="F932" s="16" t="s">
        <v>3502</v>
      </c>
      <c r="G932" s="4" t="s">
        <v>3503</v>
      </c>
      <c r="H932" s="4" t="s">
        <v>3504</v>
      </c>
      <c r="I932" s="4" t="s">
        <v>1664</v>
      </c>
      <c r="J932" s="4" t="s">
        <v>1746</v>
      </c>
      <c r="K932" s="4">
        <v>1</v>
      </c>
      <c r="L932" s="4">
        <v>2547</v>
      </c>
      <c r="M932" s="6"/>
      <c r="AO932" s="4" t="s">
        <v>3502</v>
      </c>
      <c r="AP932" s="4">
        <v>693</v>
      </c>
      <c r="AQ932" s="4" t="s">
        <v>1716</v>
      </c>
      <c r="AR932" s="4" t="s">
        <v>1717</v>
      </c>
      <c r="AS932" s="4" t="s">
        <v>1718</v>
      </c>
      <c r="AT932" s="4" t="s">
        <v>1719</v>
      </c>
      <c r="AU932" s="4" t="s">
        <v>1703</v>
      </c>
      <c r="AV932" s="4" t="s">
        <v>1720</v>
      </c>
      <c r="AW932" s="4" t="s">
        <v>2368</v>
      </c>
      <c r="AX932" s="4" t="s">
        <v>2401</v>
      </c>
      <c r="AY932" s="4">
        <v>51.7</v>
      </c>
      <c r="AZ932" s="4">
        <v>-119.6</v>
      </c>
      <c r="BA932" s="4">
        <v>13</v>
      </c>
    </row>
    <row r="933" spans="1:53" ht="14.25" customHeight="1" x14ac:dyDescent="0.2">
      <c r="B933" s="4">
        <v>12</v>
      </c>
      <c r="C933" s="4" t="s">
        <v>7666</v>
      </c>
      <c r="D933" s="4">
        <v>694</v>
      </c>
      <c r="E933" s="4">
        <v>2145</v>
      </c>
      <c r="F933" s="16" t="s">
        <v>3505</v>
      </c>
      <c r="G933" s="4" t="s">
        <v>3506</v>
      </c>
      <c r="H933" s="4" t="s">
        <v>3507</v>
      </c>
      <c r="I933" s="4" t="s">
        <v>1664</v>
      </c>
      <c r="J933" s="4" t="s">
        <v>1746</v>
      </c>
      <c r="K933" s="4">
        <v>1</v>
      </c>
      <c r="L933" s="4">
        <v>2548</v>
      </c>
      <c r="M933" s="6"/>
      <c r="AO933" s="4" t="s">
        <v>3505</v>
      </c>
      <c r="AP933" s="4">
        <v>694</v>
      </c>
      <c r="AQ933" s="4" t="s">
        <v>1716</v>
      </c>
      <c r="AR933" s="4" t="s">
        <v>1717</v>
      </c>
      <c r="AS933" s="4" t="s">
        <v>1718</v>
      </c>
      <c r="AT933" s="4" t="s">
        <v>1719</v>
      </c>
      <c r="AU933" s="4" t="s">
        <v>1703</v>
      </c>
      <c r="AV933" s="4" t="s">
        <v>1720</v>
      </c>
      <c r="AW933" s="4" t="s">
        <v>2193</v>
      </c>
      <c r="AX933" s="4" t="s">
        <v>2287</v>
      </c>
      <c r="AY933" s="4">
        <v>52</v>
      </c>
      <c r="AZ933" s="4">
        <v>-120.8</v>
      </c>
      <c r="BA933" s="4">
        <v>13</v>
      </c>
    </row>
    <row r="934" spans="1:53" ht="14.25" customHeight="1" x14ac:dyDescent="0.2">
      <c r="B934" s="4">
        <v>12</v>
      </c>
      <c r="C934" s="4" t="s">
        <v>7666</v>
      </c>
      <c r="D934" s="4">
        <v>695</v>
      </c>
      <c r="E934" s="4">
        <v>2146</v>
      </c>
      <c r="F934" s="16" t="s">
        <v>3508</v>
      </c>
      <c r="G934" s="4" t="s">
        <v>3509</v>
      </c>
      <c r="H934" s="4" t="s">
        <v>3510</v>
      </c>
      <c r="I934" s="4" t="s">
        <v>1664</v>
      </c>
      <c r="J934" s="4" t="s">
        <v>1715</v>
      </c>
      <c r="K934" s="4">
        <v>1</v>
      </c>
      <c r="L934" s="4">
        <v>2549</v>
      </c>
      <c r="M934" s="6"/>
      <c r="AO934" s="4" t="s">
        <v>3508</v>
      </c>
      <c r="AP934" s="4">
        <v>695</v>
      </c>
      <c r="AQ934" s="4" t="s">
        <v>1716</v>
      </c>
      <c r="AR934" s="4" t="s">
        <v>1717</v>
      </c>
      <c r="AS934" s="4" t="s">
        <v>1718</v>
      </c>
      <c r="AT934" s="4" t="s">
        <v>1719</v>
      </c>
      <c r="AU934" s="4" t="s">
        <v>1703</v>
      </c>
      <c r="AV934" s="4" t="s">
        <v>1720</v>
      </c>
      <c r="AW934" s="4" t="s">
        <v>2193</v>
      </c>
      <c r="AX934" s="4" t="s">
        <v>2194</v>
      </c>
      <c r="AY934" s="4">
        <v>52.9</v>
      </c>
      <c r="AZ934" s="4">
        <v>-121.7</v>
      </c>
      <c r="BA934" s="4">
        <v>13</v>
      </c>
    </row>
    <row r="935" spans="1:53" ht="14.25" customHeight="1" x14ac:dyDescent="0.2">
      <c r="B935" s="4">
        <v>12</v>
      </c>
      <c r="C935" s="4" t="s">
        <v>7666</v>
      </c>
      <c r="D935" s="4">
        <v>696</v>
      </c>
      <c r="E935" s="4">
        <v>2147</v>
      </c>
      <c r="F935" s="16" t="s">
        <v>3511</v>
      </c>
      <c r="G935" s="4" t="s">
        <v>3512</v>
      </c>
      <c r="H935" s="4" t="s">
        <v>3513</v>
      </c>
      <c r="I935" s="4" t="s">
        <v>1664</v>
      </c>
      <c r="J935" s="4" t="s">
        <v>1746</v>
      </c>
      <c r="K935" s="4">
        <v>1</v>
      </c>
      <c r="L935" s="4">
        <v>2550</v>
      </c>
      <c r="M935" s="6"/>
      <c r="AO935" s="4" t="s">
        <v>3511</v>
      </c>
      <c r="AP935" s="4">
        <v>696</v>
      </c>
      <c r="AQ935" s="4" t="s">
        <v>1716</v>
      </c>
      <c r="AR935" s="4" t="s">
        <v>1717</v>
      </c>
      <c r="AS935" s="4" t="s">
        <v>1718</v>
      </c>
      <c r="AT935" s="4" t="s">
        <v>1719</v>
      </c>
      <c r="AU935" s="4" t="s">
        <v>1703</v>
      </c>
      <c r="AV935" s="4" t="s">
        <v>1720</v>
      </c>
      <c r="AW935" s="4" t="s">
        <v>2368</v>
      </c>
      <c r="AX935" s="4" t="s">
        <v>2369</v>
      </c>
      <c r="AY935" s="4">
        <v>51</v>
      </c>
      <c r="AZ935" s="4">
        <v>-120</v>
      </c>
      <c r="BA935" s="4">
        <v>13</v>
      </c>
    </row>
    <row r="936" spans="1:53" ht="14.25" customHeight="1" x14ac:dyDescent="0.2">
      <c r="B936" s="4">
        <v>12</v>
      </c>
      <c r="C936" s="4" t="s">
        <v>7666</v>
      </c>
      <c r="D936" s="4">
        <v>697</v>
      </c>
      <c r="E936" s="4">
        <v>2148</v>
      </c>
      <c r="F936" s="16" t="s">
        <v>3514</v>
      </c>
      <c r="G936" s="4" t="s">
        <v>3515</v>
      </c>
      <c r="H936" s="4" t="s">
        <v>3516</v>
      </c>
      <c r="I936" s="4" t="s">
        <v>1664</v>
      </c>
      <c r="J936" s="4" t="s">
        <v>1746</v>
      </c>
      <c r="K936" s="4">
        <v>1</v>
      </c>
      <c r="L936" s="4">
        <v>2551</v>
      </c>
      <c r="M936" s="6"/>
      <c r="AO936" s="4" t="s">
        <v>3514</v>
      </c>
      <c r="AP936" s="4">
        <v>697</v>
      </c>
      <c r="AQ936" s="4" t="s">
        <v>1716</v>
      </c>
      <c r="AR936" s="4" t="s">
        <v>1717</v>
      </c>
      <c r="AS936" s="4" t="s">
        <v>1718</v>
      </c>
      <c r="AT936" s="4" t="s">
        <v>1719</v>
      </c>
      <c r="AU936" s="4" t="s">
        <v>1703</v>
      </c>
      <c r="AV936" s="4" t="s">
        <v>1720</v>
      </c>
      <c r="AW936" s="4" t="s">
        <v>2193</v>
      </c>
      <c r="AX936" s="4" t="s">
        <v>2194</v>
      </c>
      <c r="AY936" s="4">
        <v>53</v>
      </c>
      <c r="AZ936" s="4">
        <v>-121</v>
      </c>
      <c r="BA936" s="4">
        <v>13</v>
      </c>
    </row>
    <row r="937" spans="1:53" ht="14.25" customHeight="1" x14ac:dyDescent="0.2">
      <c r="B937" s="4">
        <v>12</v>
      </c>
      <c r="C937" s="4" t="s">
        <v>7666</v>
      </c>
      <c r="D937" s="4">
        <v>698</v>
      </c>
      <c r="E937" s="4">
        <v>2149</v>
      </c>
      <c r="F937" s="16" t="s">
        <v>3517</v>
      </c>
      <c r="G937" s="4" t="s">
        <v>3518</v>
      </c>
      <c r="H937" s="4" t="s">
        <v>3041</v>
      </c>
      <c r="I937" s="4" t="s">
        <v>1664</v>
      </c>
      <c r="J937" s="4" t="s">
        <v>1715</v>
      </c>
      <c r="K937" s="4">
        <v>1</v>
      </c>
      <c r="L937" s="4">
        <v>2552</v>
      </c>
      <c r="M937" s="6"/>
      <c r="AO937" s="4" t="s">
        <v>3517</v>
      </c>
      <c r="AP937" s="4">
        <v>698</v>
      </c>
      <c r="AQ937" s="4" t="s">
        <v>1716</v>
      </c>
      <c r="AR937" s="4" t="s">
        <v>1717</v>
      </c>
      <c r="AS937" s="4" t="s">
        <v>1718</v>
      </c>
      <c r="AT937" s="4" t="s">
        <v>1719</v>
      </c>
      <c r="AU937" s="4" t="s">
        <v>1703</v>
      </c>
      <c r="AV937" s="4" t="s">
        <v>1720</v>
      </c>
      <c r="AW937" s="4" t="s">
        <v>2193</v>
      </c>
      <c r="AX937" s="4" t="s">
        <v>2287</v>
      </c>
      <c r="AY937" s="4">
        <v>52</v>
      </c>
      <c r="AZ937" s="4">
        <v>-121</v>
      </c>
      <c r="BA937" s="4">
        <v>13</v>
      </c>
    </row>
    <row r="938" spans="1:53" ht="14.25" customHeight="1" x14ac:dyDescent="0.2">
      <c r="B938" s="4">
        <v>12</v>
      </c>
      <c r="C938" s="4" t="s">
        <v>7666</v>
      </c>
      <c r="D938" s="4">
        <v>700</v>
      </c>
      <c r="E938" s="4">
        <v>2150</v>
      </c>
      <c r="F938" s="16" t="s">
        <v>3519</v>
      </c>
      <c r="G938" s="4" t="s">
        <v>3520</v>
      </c>
      <c r="H938" s="4" t="s">
        <v>3521</v>
      </c>
      <c r="I938" s="4" t="s">
        <v>1664</v>
      </c>
      <c r="J938" s="4" t="s">
        <v>1746</v>
      </c>
      <c r="K938" s="4">
        <v>1</v>
      </c>
      <c r="L938" s="4">
        <v>2553</v>
      </c>
      <c r="M938" s="6"/>
      <c r="AO938" s="4" t="s">
        <v>3519</v>
      </c>
      <c r="AP938" s="4">
        <v>700</v>
      </c>
      <c r="AQ938" s="4" t="s">
        <v>1716</v>
      </c>
      <c r="AR938" s="4" t="s">
        <v>1717</v>
      </c>
      <c r="AS938" s="4" t="s">
        <v>1718</v>
      </c>
      <c r="AT938" s="4" t="s">
        <v>1719</v>
      </c>
      <c r="AU938" s="4" t="s">
        <v>1703</v>
      </c>
      <c r="AV938" s="4" t="s">
        <v>1720</v>
      </c>
      <c r="AW938" s="4" t="s">
        <v>2193</v>
      </c>
      <c r="AX938" s="4" t="s">
        <v>2369</v>
      </c>
      <c r="AY938" s="4">
        <v>50.5</v>
      </c>
      <c r="AZ938" s="4">
        <v>-120.3</v>
      </c>
      <c r="BA938" s="4">
        <v>9</v>
      </c>
    </row>
    <row r="939" spans="1:53" ht="14.25" customHeight="1" x14ac:dyDescent="0.2">
      <c r="B939" s="4">
        <v>12</v>
      </c>
      <c r="C939" s="4" t="s">
        <v>7666</v>
      </c>
      <c r="D939" s="4">
        <v>701</v>
      </c>
      <c r="E939" s="4">
        <v>2151</v>
      </c>
      <c r="F939" s="16" t="s">
        <v>3522</v>
      </c>
      <c r="G939" s="4" t="s">
        <v>3523</v>
      </c>
      <c r="H939" s="4" t="s">
        <v>3524</v>
      </c>
      <c r="I939" s="4" t="s">
        <v>1664</v>
      </c>
      <c r="J939" s="4" t="s">
        <v>1715</v>
      </c>
      <c r="K939" s="4">
        <v>1</v>
      </c>
      <c r="L939" s="4">
        <v>2554</v>
      </c>
      <c r="M939" s="6"/>
      <c r="AO939" s="4" t="s">
        <v>3522</v>
      </c>
      <c r="AP939" s="4">
        <v>701</v>
      </c>
      <c r="AQ939" s="4" t="s">
        <v>1716</v>
      </c>
      <c r="AR939" s="4" t="s">
        <v>1717</v>
      </c>
      <c r="AS939" s="4" t="s">
        <v>1718</v>
      </c>
      <c r="AT939" s="4" t="s">
        <v>1719</v>
      </c>
      <c r="AU939" s="4" t="s">
        <v>1703</v>
      </c>
      <c r="AV939" s="4" t="s">
        <v>1720</v>
      </c>
      <c r="AW939" s="4" t="s">
        <v>2193</v>
      </c>
      <c r="AX939" s="4" t="s">
        <v>2356</v>
      </c>
      <c r="AY939" s="4">
        <v>52.5</v>
      </c>
      <c r="AZ939" s="4">
        <v>-121.5</v>
      </c>
      <c r="BA939" s="4">
        <v>98</v>
      </c>
    </row>
    <row r="940" spans="1:53" ht="14.25" customHeight="1" x14ac:dyDescent="0.2">
      <c r="B940" s="4">
        <v>12</v>
      </c>
      <c r="C940" s="4" t="s">
        <v>7666</v>
      </c>
      <c r="D940" s="4">
        <v>702</v>
      </c>
      <c r="E940" s="4">
        <v>2152</v>
      </c>
      <c r="F940" s="16" t="s">
        <v>3525</v>
      </c>
      <c r="G940" s="4" t="s">
        <v>3526</v>
      </c>
      <c r="H940" s="4" t="s">
        <v>3527</v>
      </c>
      <c r="I940" s="4" t="s">
        <v>1664</v>
      </c>
      <c r="J940" s="4" t="s">
        <v>1746</v>
      </c>
      <c r="K940" s="4">
        <v>1</v>
      </c>
      <c r="L940" s="4">
        <v>2555</v>
      </c>
      <c r="M940" s="6"/>
      <c r="AO940" s="4" t="s">
        <v>3525</v>
      </c>
      <c r="AP940" s="4">
        <v>702</v>
      </c>
      <c r="AQ940" s="4" t="s">
        <v>1716</v>
      </c>
      <c r="AR940" s="4" t="s">
        <v>1717</v>
      </c>
      <c r="AS940" s="4" t="s">
        <v>1718</v>
      </c>
      <c r="AT940" s="4" t="s">
        <v>1719</v>
      </c>
      <c r="AU940" s="4" t="s">
        <v>1703</v>
      </c>
      <c r="AV940" s="4" t="s">
        <v>1720</v>
      </c>
      <c r="AW940" s="4" t="s">
        <v>2193</v>
      </c>
      <c r="AX940" s="4" t="s">
        <v>1879</v>
      </c>
      <c r="AY940" s="4">
        <v>50</v>
      </c>
      <c r="AZ940" s="4">
        <v>-123</v>
      </c>
      <c r="BA940" s="4">
        <v>0</v>
      </c>
    </row>
    <row r="941" spans="1:53" ht="14.25" customHeight="1" x14ac:dyDescent="0.2">
      <c r="B941" s="4">
        <v>12</v>
      </c>
      <c r="C941" s="4" t="s">
        <v>7666</v>
      </c>
      <c r="D941" s="4">
        <v>703</v>
      </c>
      <c r="E941" s="4">
        <v>2153</v>
      </c>
      <c r="F941" s="16" t="s">
        <v>3528</v>
      </c>
      <c r="G941" s="4" t="s">
        <v>3529</v>
      </c>
      <c r="H941" s="4" t="s">
        <v>3530</v>
      </c>
      <c r="I941" s="4" t="s">
        <v>641</v>
      </c>
      <c r="J941" s="4" t="s">
        <v>1746</v>
      </c>
      <c r="K941" s="4">
        <v>1</v>
      </c>
      <c r="L941" s="4">
        <v>2556</v>
      </c>
      <c r="M941" s="6"/>
      <c r="AO941" s="4" t="s">
        <v>3528</v>
      </c>
      <c r="AP941" s="4">
        <v>703</v>
      </c>
      <c r="AQ941" s="4" t="s">
        <v>1716</v>
      </c>
      <c r="AR941" s="4" t="s">
        <v>1717</v>
      </c>
      <c r="AS941" s="4" t="s">
        <v>1718</v>
      </c>
      <c r="AT941" s="4" t="s">
        <v>1703</v>
      </c>
      <c r="AU941" s="4" t="s">
        <v>1703</v>
      </c>
      <c r="AV941" s="4" t="s">
        <v>1720</v>
      </c>
      <c r="AW941" s="4" t="s">
        <v>2368</v>
      </c>
      <c r="AX941" s="4" t="s">
        <v>2258</v>
      </c>
      <c r="AY941" s="4">
        <v>52.5</v>
      </c>
      <c r="AZ941" s="4">
        <v>-119.1</v>
      </c>
      <c r="BA941" s="4">
        <v>9</v>
      </c>
    </row>
    <row r="942" spans="1:53" ht="14.25" customHeight="1" x14ac:dyDescent="0.2">
      <c r="A942" s="4" t="s">
        <v>422</v>
      </c>
      <c r="B942" s="4">
        <v>12</v>
      </c>
      <c r="C942" s="4" t="s">
        <v>7666</v>
      </c>
      <c r="D942" s="4">
        <v>704</v>
      </c>
      <c r="E942" s="4">
        <v>2154</v>
      </c>
      <c r="F942" s="16" t="s">
        <v>3531</v>
      </c>
      <c r="G942" s="4" t="s">
        <v>3532</v>
      </c>
      <c r="H942" s="4" t="s">
        <v>3533</v>
      </c>
      <c r="I942" s="4" t="s">
        <v>641</v>
      </c>
      <c r="J942" s="4" t="s">
        <v>1746</v>
      </c>
      <c r="K942" s="4">
        <v>1</v>
      </c>
      <c r="L942" s="4">
        <v>2557</v>
      </c>
      <c r="M942" s="6"/>
      <c r="AO942" s="4" t="s">
        <v>3531</v>
      </c>
      <c r="AP942" s="4">
        <v>704</v>
      </c>
      <c r="AQ942" s="4" t="s">
        <v>1716</v>
      </c>
      <c r="AR942" s="4" t="s">
        <v>1717</v>
      </c>
      <c r="AS942" s="4" t="s">
        <v>1718</v>
      </c>
      <c r="AT942" s="4" t="s">
        <v>1719</v>
      </c>
      <c r="AU942" s="4" t="s">
        <v>1703</v>
      </c>
      <c r="AV942" s="4" t="s">
        <v>1720</v>
      </c>
      <c r="AW942" s="4" t="s">
        <v>2368</v>
      </c>
      <c r="AX942" s="4" t="s">
        <v>2258</v>
      </c>
      <c r="AY942" s="4">
        <v>52.5</v>
      </c>
      <c r="AZ942" s="4">
        <v>-119</v>
      </c>
      <c r="BA942" s="4">
        <v>7</v>
      </c>
    </row>
    <row r="943" spans="1:53" ht="14.25" customHeight="1" x14ac:dyDescent="0.2">
      <c r="B943" s="4">
        <v>12</v>
      </c>
      <c r="C943" s="4" t="s">
        <v>7666</v>
      </c>
      <c r="D943" s="4">
        <v>705</v>
      </c>
      <c r="E943" s="4">
        <v>2155</v>
      </c>
      <c r="F943" s="16" t="s">
        <v>3534</v>
      </c>
      <c r="G943" s="27" t="s">
        <v>3535</v>
      </c>
      <c r="H943" s="4" t="s">
        <v>3536</v>
      </c>
      <c r="I943" s="4" t="s">
        <v>1664</v>
      </c>
      <c r="J943" s="4" t="s">
        <v>1746</v>
      </c>
      <c r="K943" s="4">
        <v>1</v>
      </c>
      <c r="L943" s="4">
        <v>2558</v>
      </c>
      <c r="M943" s="6"/>
      <c r="AO943" s="4" t="s">
        <v>3534</v>
      </c>
      <c r="AP943" s="4">
        <v>705</v>
      </c>
      <c r="AQ943" s="4" t="s">
        <v>1716</v>
      </c>
      <c r="AR943" s="4" t="s">
        <v>1717</v>
      </c>
      <c r="AS943" s="4" t="s">
        <v>1718</v>
      </c>
      <c r="AT943" s="4" t="s">
        <v>1719</v>
      </c>
      <c r="AU943" s="4" t="s">
        <v>1703</v>
      </c>
      <c r="AV943" s="4" t="s">
        <v>1720</v>
      </c>
      <c r="AW943" s="4" t="s">
        <v>2193</v>
      </c>
      <c r="AX943" s="4" t="s">
        <v>2356</v>
      </c>
      <c r="AY943" s="4">
        <v>52.3</v>
      </c>
      <c r="AZ943" s="4">
        <v>-121.4</v>
      </c>
      <c r="BA943" s="4">
        <v>0</v>
      </c>
    </row>
    <row r="944" spans="1:53" ht="14.25" customHeight="1" x14ac:dyDescent="0.2">
      <c r="A944" s="4" t="s">
        <v>422</v>
      </c>
      <c r="B944" s="4">
        <v>12</v>
      </c>
      <c r="C944" s="4" t="s">
        <v>7666</v>
      </c>
      <c r="D944" s="4">
        <v>706</v>
      </c>
      <c r="E944" s="4">
        <v>2156</v>
      </c>
      <c r="F944" s="16" t="s">
        <v>3537</v>
      </c>
      <c r="G944" s="27" t="s">
        <v>3538</v>
      </c>
      <c r="H944" s="4" t="s">
        <v>3539</v>
      </c>
      <c r="I944" s="4" t="s">
        <v>1664</v>
      </c>
      <c r="J944" s="4" t="s">
        <v>1746</v>
      </c>
      <c r="K944" s="4">
        <v>1</v>
      </c>
      <c r="L944" s="4">
        <v>2559</v>
      </c>
      <c r="M944" s="6"/>
      <c r="AO944" s="4" t="s">
        <v>3537</v>
      </c>
      <c r="AP944" s="4">
        <v>706</v>
      </c>
      <c r="AQ944" s="4" t="s">
        <v>1716</v>
      </c>
      <c r="AR944" s="4" t="s">
        <v>1717</v>
      </c>
      <c r="AS944" s="4" t="s">
        <v>1718</v>
      </c>
      <c r="AT944" s="4" t="s">
        <v>1719</v>
      </c>
      <c r="AU944" s="4" t="s">
        <v>1703</v>
      </c>
      <c r="AV944" s="4" t="s">
        <v>1720</v>
      </c>
      <c r="AW944" s="4" t="s">
        <v>2193</v>
      </c>
      <c r="AX944" s="4" t="s">
        <v>2401</v>
      </c>
      <c r="AY944" s="4">
        <v>52.5</v>
      </c>
      <c r="AZ944" s="4">
        <v>-120.5</v>
      </c>
      <c r="BA944" s="4">
        <v>30</v>
      </c>
    </row>
    <row r="945" spans="1:53" ht="14.25" customHeight="1" x14ac:dyDescent="0.2">
      <c r="B945" s="4">
        <v>12</v>
      </c>
      <c r="C945" s="4" t="s">
        <v>7666</v>
      </c>
      <c r="D945" s="4">
        <v>707</v>
      </c>
      <c r="E945" s="4">
        <v>2157</v>
      </c>
      <c r="F945" s="16" t="s">
        <v>3540</v>
      </c>
      <c r="G945" s="4" t="s">
        <v>3541</v>
      </c>
      <c r="H945" s="4" t="s">
        <v>3542</v>
      </c>
      <c r="I945" s="4" t="s">
        <v>1664</v>
      </c>
      <c r="J945" s="4" t="s">
        <v>1746</v>
      </c>
      <c r="K945" s="4">
        <v>1</v>
      </c>
      <c r="L945" s="4">
        <v>2560</v>
      </c>
      <c r="M945" s="6"/>
      <c r="AO945" s="4" t="s">
        <v>3540</v>
      </c>
      <c r="AP945" s="4">
        <v>707</v>
      </c>
      <c r="AQ945" s="4" t="s">
        <v>1716</v>
      </c>
      <c r="AR945" s="4" t="s">
        <v>1717</v>
      </c>
      <c r="AS945" s="4" t="s">
        <v>1718</v>
      </c>
      <c r="AT945" s="4" t="s">
        <v>1719</v>
      </c>
      <c r="AU945" s="4" t="s">
        <v>1703</v>
      </c>
      <c r="AV945" s="4" t="s">
        <v>1720</v>
      </c>
      <c r="AW945" s="4" t="s">
        <v>2193</v>
      </c>
      <c r="AX945" s="4" t="s">
        <v>2194</v>
      </c>
      <c r="AY945" s="4">
        <v>52.4</v>
      </c>
      <c r="AZ945" s="4">
        <v>-122.8</v>
      </c>
      <c r="BA945" s="4">
        <v>13</v>
      </c>
    </row>
    <row r="946" spans="1:53" ht="14.25" customHeight="1" x14ac:dyDescent="0.2">
      <c r="A946" s="4" t="s">
        <v>422</v>
      </c>
      <c r="B946" s="4">
        <v>12</v>
      </c>
      <c r="C946" s="4" t="s">
        <v>7666</v>
      </c>
      <c r="D946" s="4">
        <v>708</v>
      </c>
      <c r="E946" s="4">
        <v>2158</v>
      </c>
      <c r="F946" s="16" t="s">
        <v>3543</v>
      </c>
      <c r="G946" s="4" t="s">
        <v>3544</v>
      </c>
      <c r="H946" s="4" t="s">
        <v>3545</v>
      </c>
      <c r="I946" s="4" t="s">
        <v>1664</v>
      </c>
      <c r="J946" s="4" t="s">
        <v>1746</v>
      </c>
      <c r="K946" s="4">
        <v>1</v>
      </c>
      <c r="L946" s="4">
        <v>2561</v>
      </c>
      <c r="M946" s="6"/>
      <c r="AO946" s="4" t="s">
        <v>3543</v>
      </c>
      <c r="AP946" s="4">
        <v>708</v>
      </c>
      <c r="AQ946" s="4" t="s">
        <v>1716</v>
      </c>
      <c r="AR946" s="4" t="s">
        <v>1717</v>
      </c>
      <c r="AS946" s="4" t="s">
        <v>1718</v>
      </c>
      <c r="AT946" s="4" t="s">
        <v>1719</v>
      </c>
      <c r="AU946" s="4" t="s">
        <v>1703</v>
      </c>
      <c r="AV946" s="4" t="s">
        <v>1720</v>
      </c>
      <c r="AW946" s="4" t="s">
        <v>2368</v>
      </c>
      <c r="AX946" s="4" t="s">
        <v>2258</v>
      </c>
      <c r="AY946" s="4">
        <v>52.1</v>
      </c>
      <c r="AZ946" s="4">
        <v>-119.4</v>
      </c>
      <c r="BA946" s="4">
        <v>10</v>
      </c>
    </row>
    <row r="947" spans="1:53" ht="14.25" customHeight="1" x14ac:dyDescent="0.2">
      <c r="B947" s="4">
        <v>12</v>
      </c>
      <c r="C947" s="4" t="s">
        <v>7666</v>
      </c>
      <c r="D947" s="4">
        <v>709</v>
      </c>
      <c r="E947" s="4">
        <v>2159</v>
      </c>
      <c r="F947" s="16" t="s">
        <v>3546</v>
      </c>
      <c r="G947" s="27" t="s">
        <v>3547</v>
      </c>
      <c r="H947" s="4" t="s">
        <v>3548</v>
      </c>
      <c r="I947" s="4" t="s">
        <v>1664</v>
      </c>
      <c r="J947" s="4" t="s">
        <v>1746</v>
      </c>
      <c r="K947" s="4">
        <v>1</v>
      </c>
      <c r="L947" s="4">
        <v>2562</v>
      </c>
      <c r="M947" s="6"/>
      <c r="AO947" s="4" t="s">
        <v>3546</v>
      </c>
      <c r="AP947" s="4">
        <v>709</v>
      </c>
      <c r="AQ947" s="4" t="s">
        <v>1716</v>
      </c>
      <c r="AR947" s="4" t="s">
        <v>1717</v>
      </c>
      <c r="AS947" s="4" t="s">
        <v>1718</v>
      </c>
      <c r="AT947" s="4" t="s">
        <v>1719</v>
      </c>
      <c r="AU947" s="4" t="s">
        <v>1703</v>
      </c>
      <c r="AV947" s="4" t="s">
        <v>1720</v>
      </c>
      <c r="AW947" s="4" t="s">
        <v>2193</v>
      </c>
      <c r="AX947" s="4" t="s">
        <v>2356</v>
      </c>
      <c r="AY947" s="4">
        <v>52.5</v>
      </c>
      <c r="AZ947" s="4">
        <v>-121.4</v>
      </c>
      <c r="BA947" s="4">
        <v>9</v>
      </c>
    </row>
    <row r="948" spans="1:53" ht="14.25" customHeight="1" x14ac:dyDescent="0.2">
      <c r="B948" s="4">
        <v>12</v>
      </c>
      <c r="C948" s="4" t="s">
        <v>7666</v>
      </c>
      <c r="D948" s="4">
        <v>710</v>
      </c>
      <c r="E948" s="4">
        <v>2160</v>
      </c>
      <c r="F948" s="16" t="s">
        <v>3549</v>
      </c>
      <c r="G948" s="4" t="s">
        <v>3550</v>
      </c>
      <c r="H948" s="4" t="s">
        <v>3551</v>
      </c>
      <c r="I948" s="4" t="s">
        <v>1664</v>
      </c>
      <c r="J948" s="4" t="s">
        <v>1746</v>
      </c>
      <c r="K948" s="4">
        <v>1</v>
      </c>
      <c r="L948" s="4">
        <v>2563</v>
      </c>
      <c r="M948" s="6"/>
      <c r="AO948" s="4" t="s">
        <v>3549</v>
      </c>
      <c r="AP948" s="4">
        <v>710</v>
      </c>
      <c r="AQ948" s="4" t="s">
        <v>1716</v>
      </c>
      <c r="AR948" s="4" t="s">
        <v>1717</v>
      </c>
      <c r="AS948" s="4" t="s">
        <v>1718</v>
      </c>
      <c r="AT948" s="4" t="s">
        <v>1719</v>
      </c>
      <c r="AU948" s="4" t="s">
        <v>1703</v>
      </c>
      <c r="AV948" s="4" t="s">
        <v>1720</v>
      </c>
      <c r="AW948" s="4" t="s">
        <v>2368</v>
      </c>
      <c r="AX948" s="4" t="s">
        <v>2258</v>
      </c>
      <c r="AY948" s="4">
        <v>52.5</v>
      </c>
      <c r="AZ948" s="4">
        <v>-119.35</v>
      </c>
      <c r="BA948" s="4">
        <v>14</v>
      </c>
    </row>
    <row r="949" spans="1:53" ht="14.25" customHeight="1" x14ac:dyDescent="0.2">
      <c r="B949" s="4">
        <v>12</v>
      </c>
      <c r="C949" s="4" t="s">
        <v>7666</v>
      </c>
      <c r="D949" s="4">
        <v>711</v>
      </c>
      <c r="E949" s="4">
        <v>2161</v>
      </c>
      <c r="F949" s="16" t="s">
        <v>3552</v>
      </c>
      <c r="G949" s="4" t="s">
        <v>3553</v>
      </c>
      <c r="H949" s="4" t="s">
        <v>3554</v>
      </c>
      <c r="I949" s="4" t="s">
        <v>1664</v>
      </c>
      <c r="J949" s="4" t="s">
        <v>1715</v>
      </c>
      <c r="K949" s="4">
        <v>1</v>
      </c>
      <c r="L949" s="4">
        <v>2564</v>
      </c>
      <c r="M949" s="6"/>
      <c r="AO949" s="4" t="s">
        <v>3552</v>
      </c>
      <c r="AP949" s="4">
        <v>711</v>
      </c>
      <c r="AQ949" s="4" t="s">
        <v>1716</v>
      </c>
      <c r="AR949" s="4" t="s">
        <v>1717</v>
      </c>
      <c r="AS949" s="4" t="s">
        <v>1718</v>
      </c>
      <c r="AT949" s="4" t="s">
        <v>1719</v>
      </c>
      <c r="AU949" s="4" t="s">
        <v>1703</v>
      </c>
      <c r="AV949" s="4" t="s">
        <v>1720</v>
      </c>
      <c r="AW949" s="4" t="s">
        <v>2368</v>
      </c>
      <c r="AX949" s="4" t="s">
        <v>2401</v>
      </c>
      <c r="AY949" s="4">
        <v>51.8</v>
      </c>
      <c r="AZ949" s="4">
        <v>-119.1</v>
      </c>
      <c r="BA949" s="4">
        <v>8</v>
      </c>
    </row>
    <row r="950" spans="1:53" ht="14.25" customHeight="1" x14ac:dyDescent="0.2">
      <c r="B950" s="4">
        <v>12</v>
      </c>
      <c r="C950" s="4" t="s">
        <v>7666</v>
      </c>
      <c r="D950" s="4">
        <v>712</v>
      </c>
      <c r="E950" s="4">
        <v>2162</v>
      </c>
      <c r="F950" s="16" t="s">
        <v>3555</v>
      </c>
      <c r="G950" s="4" t="s">
        <v>3556</v>
      </c>
      <c r="H950" s="4" t="s">
        <v>3557</v>
      </c>
      <c r="I950" s="4" t="s">
        <v>1664</v>
      </c>
      <c r="J950" s="4" t="s">
        <v>1715</v>
      </c>
      <c r="K950" s="4">
        <v>1</v>
      </c>
      <c r="L950" s="4">
        <v>2565</v>
      </c>
      <c r="M950" s="6"/>
      <c r="AO950" s="4" t="s">
        <v>3555</v>
      </c>
      <c r="AP950" s="4">
        <v>712</v>
      </c>
      <c r="AQ950" s="4" t="s">
        <v>1716</v>
      </c>
      <c r="AR950" s="4" t="s">
        <v>1717</v>
      </c>
      <c r="AS950" s="4" t="s">
        <v>1718</v>
      </c>
      <c r="AT950" s="4" t="s">
        <v>1719</v>
      </c>
      <c r="AU950" s="4" t="s">
        <v>1703</v>
      </c>
      <c r="AV950" s="4" t="s">
        <v>1720</v>
      </c>
      <c r="AW950" s="4" t="s">
        <v>2193</v>
      </c>
      <c r="AX950" s="4" t="s">
        <v>2356</v>
      </c>
      <c r="AY950" s="4">
        <v>52.7</v>
      </c>
      <c r="AZ950" s="4">
        <v>-120.9</v>
      </c>
      <c r="BA950" s="4">
        <v>9</v>
      </c>
    </row>
    <row r="951" spans="1:53" ht="14.25" customHeight="1" x14ac:dyDescent="0.2">
      <c r="B951" s="4">
        <v>12</v>
      </c>
      <c r="C951" s="4" t="s">
        <v>7666</v>
      </c>
      <c r="D951" s="4">
        <v>713</v>
      </c>
      <c r="E951" s="4">
        <v>2163</v>
      </c>
      <c r="F951" s="16" t="s">
        <v>3558</v>
      </c>
      <c r="G951" s="4" t="s">
        <v>3559</v>
      </c>
      <c r="H951" s="4" t="s">
        <v>3560</v>
      </c>
      <c r="I951" s="4" t="s">
        <v>641</v>
      </c>
      <c r="J951" s="4" t="s">
        <v>1715</v>
      </c>
      <c r="K951" s="4">
        <v>1</v>
      </c>
      <c r="L951" s="4">
        <v>2566</v>
      </c>
      <c r="M951" s="6"/>
      <c r="AO951" s="4" t="s">
        <v>3558</v>
      </c>
      <c r="AP951" s="4">
        <v>713</v>
      </c>
      <c r="AQ951" s="4" t="s">
        <v>1716</v>
      </c>
      <c r="AR951" s="4" t="s">
        <v>1717</v>
      </c>
      <c r="AS951" s="4" t="s">
        <v>1718</v>
      </c>
      <c r="AT951" s="4" t="s">
        <v>1703</v>
      </c>
      <c r="AU951" s="4" t="s">
        <v>1703</v>
      </c>
      <c r="AV951" s="4" t="s">
        <v>1720</v>
      </c>
      <c r="AW951" s="4" t="s">
        <v>2368</v>
      </c>
      <c r="AX951" s="4" t="s">
        <v>2258</v>
      </c>
      <c r="AY951" s="4">
        <v>52.3</v>
      </c>
      <c r="AZ951" s="4">
        <v>-119.1</v>
      </c>
      <c r="BA951" s="4">
        <v>5</v>
      </c>
    </row>
    <row r="952" spans="1:53" ht="14.25" customHeight="1" x14ac:dyDescent="0.2">
      <c r="A952" s="4" t="s">
        <v>422</v>
      </c>
      <c r="B952" s="4">
        <v>12</v>
      </c>
      <c r="C952" s="4" t="s">
        <v>7666</v>
      </c>
      <c r="D952" s="4">
        <v>714</v>
      </c>
      <c r="E952" s="4">
        <v>2164</v>
      </c>
      <c r="F952" s="16" t="s">
        <v>3561</v>
      </c>
      <c r="G952" s="4" t="s">
        <v>3562</v>
      </c>
      <c r="H952" s="4" t="s">
        <v>3563</v>
      </c>
      <c r="I952" s="4" t="s">
        <v>1664</v>
      </c>
      <c r="J952" s="4" t="s">
        <v>1746</v>
      </c>
      <c r="K952" s="4">
        <v>1</v>
      </c>
      <c r="L952" s="4">
        <v>2567</v>
      </c>
      <c r="M952" s="6"/>
      <c r="AO952" s="4" t="s">
        <v>3561</v>
      </c>
      <c r="AP952" s="4">
        <v>714</v>
      </c>
      <c r="AQ952" s="4" t="s">
        <v>1716</v>
      </c>
      <c r="AR952" s="4" t="s">
        <v>1717</v>
      </c>
      <c r="AS952" s="4" t="s">
        <v>1718</v>
      </c>
      <c r="AT952" s="4" t="s">
        <v>1719</v>
      </c>
      <c r="AU952" s="4" t="s">
        <v>1703</v>
      </c>
      <c r="AV952" s="4" t="s">
        <v>1720</v>
      </c>
      <c r="AW952" s="4" t="s">
        <v>2193</v>
      </c>
      <c r="AX952" s="4" t="s">
        <v>2287</v>
      </c>
      <c r="AY952" s="4">
        <v>52.133000000000003</v>
      </c>
      <c r="AZ952" s="4">
        <v>-120.68300000000001</v>
      </c>
      <c r="BA952" s="4">
        <v>12</v>
      </c>
    </row>
    <row r="953" spans="1:53" ht="14.25" customHeight="1" x14ac:dyDescent="0.2">
      <c r="B953" s="4">
        <v>12</v>
      </c>
      <c r="C953" s="4" t="s">
        <v>7666</v>
      </c>
      <c r="D953" s="4">
        <v>715</v>
      </c>
      <c r="E953" s="4">
        <v>2165</v>
      </c>
      <c r="F953" s="16" t="s">
        <v>3564</v>
      </c>
      <c r="G953" s="4" t="s">
        <v>3544</v>
      </c>
      <c r="H953" s="4" t="s">
        <v>3565</v>
      </c>
      <c r="I953" s="4" t="s">
        <v>1664</v>
      </c>
      <c r="J953" s="4" t="s">
        <v>1746</v>
      </c>
      <c r="K953" s="4">
        <v>1</v>
      </c>
      <c r="L953" s="4">
        <v>2568</v>
      </c>
      <c r="M953" s="6"/>
      <c r="AO953" s="4" t="s">
        <v>3564</v>
      </c>
      <c r="AP953" s="4">
        <v>715</v>
      </c>
      <c r="AQ953" s="4" t="s">
        <v>1716</v>
      </c>
      <c r="AR953" s="4" t="s">
        <v>1717</v>
      </c>
      <c r="AS953" s="4" t="s">
        <v>1718</v>
      </c>
      <c r="AT953" s="4" t="s">
        <v>1719</v>
      </c>
      <c r="AU953" s="4" t="s">
        <v>1703</v>
      </c>
      <c r="AV953" s="4" t="s">
        <v>1720</v>
      </c>
      <c r="AW953" s="4" t="s">
        <v>2368</v>
      </c>
      <c r="AX953" s="4" t="s">
        <v>2258</v>
      </c>
      <c r="AY953" s="4">
        <v>52.1</v>
      </c>
      <c r="AZ953" s="4">
        <v>-119.4</v>
      </c>
      <c r="BA953" s="4">
        <v>10</v>
      </c>
    </row>
    <row r="954" spans="1:53" ht="14.25" customHeight="1" x14ac:dyDescent="0.2">
      <c r="B954" s="4">
        <v>12</v>
      </c>
      <c r="C954" s="4" t="s">
        <v>7666</v>
      </c>
      <c r="D954" s="4">
        <v>716</v>
      </c>
      <c r="E954" s="4">
        <v>2166</v>
      </c>
      <c r="F954" s="16" t="s">
        <v>3566</v>
      </c>
      <c r="G954" s="4" t="s">
        <v>3567</v>
      </c>
      <c r="H954" s="4" t="s">
        <v>3568</v>
      </c>
      <c r="I954" s="4" t="s">
        <v>1664</v>
      </c>
      <c r="J954" s="4" t="s">
        <v>1746</v>
      </c>
      <c r="K954" s="4">
        <v>1</v>
      </c>
      <c r="L954" s="4">
        <v>2569</v>
      </c>
      <c r="M954" s="6"/>
      <c r="AO954" s="4" t="s">
        <v>3566</v>
      </c>
      <c r="AP954" s="4">
        <v>716</v>
      </c>
      <c r="AQ954" s="4" t="s">
        <v>1716</v>
      </c>
      <c r="AR954" s="4" t="s">
        <v>1717</v>
      </c>
      <c r="AS954" s="4" t="s">
        <v>1718</v>
      </c>
      <c r="AT954" s="4" t="s">
        <v>1719</v>
      </c>
      <c r="AU954" s="4" t="s">
        <v>1703</v>
      </c>
      <c r="AV954" s="4" t="s">
        <v>1720</v>
      </c>
      <c r="AW954" s="4" t="s">
        <v>2368</v>
      </c>
      <c r="AX954" s="4" t="s">
        <v>2707</v>
      </c>
      <c r="AY954" s="4">
        <v>51.3</v>
      </c>
      <c r="AZ954" s="4">
        <v>-119.1</v>
      </c>
      <c r="BA954" s="4">
        <v>13</v>
      </c>
    </row>
    <row r="955" spans="1:53" ht="14.25" customHeight="1" x14ac:dyDescent="0.2">
      <c r="A955" s="4" t="s">
        <v>422</v>
      </c>
      <c r="B955" s="4">
        <v>12</v>
      </c>
      <c r="C955" s="4" t="s">
        <v>7666</v>
      </c>
      <c r="D955" s="4">
        <v>717</v>
      </c>
      <c r="E955" s="4">
        <v>2167</v>
      </c>
      <c r="F955" s="16" t="s">
        <v>3569</v>
      </c>
      <c r="G955" s="4" t="s">
        <v>3570</v>
      </c>
      <c r="H955" s="4" t="s">
        <v>3571</v>
      </c>
      <c r="I955" s="4" t="s">
        <v>1664</v>
      </c>
      <c r="J955" s="4" t="s">
        <v>1746</v>
      </c>
      <c r="K955" s="4">
        <v>1</v>
      </c>
      <c r="L955" s="4">
        <v>2570</v>
      </c>
      <c r="M955" s="6"/>
      <c r="AO955" s="4" t="s">
        <v>3569</v>
      </c>
      <c r="AP955" s="4">
        <v>717</v>
      </c>
      <c r="AQ955" s="4" t="s">
        <v>1716</v>
      </c>
      <c r="AR955" s="4" t="s">
        <v>1717</v>
      </c>
      <c r="AS955" s="4" t="s">
        <v>1718</v>
      </c>
      <c r="AT955" s="4" t="s">
        <v>1719</v>
      </c>
      <c r="AU955" s="4" t="s">
        <v>1703</v>
      </c>
      <c r="AV955" s="4" t="s">
        <v>1720</v>
      </c>
      <c r="AW955" s="4" t="s">
        <v>2193</v>
      </c>
      <c r="AX955" s="4" t="s">
        <v>2356</v>
      </c>
      <c r="AY955" s="4">
        <v>52.232999999999997</v>
      </c>
      <c r="AZ955" s="4">
        <v>-121.01600000000001</v>
      </c>
      <c r="BA955" s="4">
        <v>15</v>
      </c>
    </row>
    <row r="956" spans="1:53" ht="14.25" customHeight="1" x14ac:dyDescent="0.2">
      <c r="A956" s="4" t="s">
        <v>422</v>
      </c>
      <c r="B956" s="4">
        <v>12</v>
      </c>
      <c r="C956" s="4" t="s">
        <v>7666</v>
      </c>
      <c r="D956" s="4">
        <v>718</v>
      </c>
      <c r="E956" s="4">
        <v>2168</v>
      </c>
      <c r="F956" s="16" t="s">
        <v>3572</v>
      </c>
      <c r="G956" s="4" t="s">
        <v>3573</v>
      </c>
      <c r="H956" s="4" t="s">
        <v>3574</v>
      </c>
      <c r="I956" s="4" t="s">
        <v>641</v>
      </c>
      <c r="J956" s="4" t="s">
        <v>1746</v>
      </c>
      <c r="K956" s="4">
        <v>1</v>
      </c>
      <c r="L956" s="4">
        <v>2571</v>
      </c>
      <c r="M956" s="6"/>
      <c r="AO956" s="4" t="s">
        <v>3572</v>
      </c>
      <c r="AP956" s="4">
        <v>718</v>
      </c>
      <c r="AQ956" s="4" t="s">
        <v>1716</v>
      </c>
      <c r="AR956" s="4" t="s">
        <v>1717</v>
      </c>
      <c r="AS956" s="4" t="s">
        <v>1718</v>
      </c>
      <c r="AT956" s="4" t="s">
        <v>1703</v>
      </c>
      <c r="AU956" s="4" t="s">
        <v>1703</v>
      </c>
      <c r="AV956" s="4" t="s">
        <v>1720</v>
      </c>
      <c r="AW956" s="4" t="s">
        <v>2368</v>
      </c>
      <c r="AX956" s="4" t="s">
        <v>2492</v>
      </c>
      <c r="AY956" s="4">
        <v>49.548200000000001</v>
      </c>
      <c r="AZ956" s="4">
        <v>-120.76990000000001</v>
      </c>
      <c r="BA956" s="4">
        <v>876</v>
      </c>
    </row>
    <row r="957" spans="1:53" ht="14.25" customHeight="1" x14ac:dyDescent="0.2">
      <c r="B957" s="4">
        <v>12</v>
      </c>
      <c r="C957" s="4" t="s">
        <v>7666</v>
      </c>
      <c r="D957" s="4">
        <v>719</v>
      </c>
      <c r="E957" s="4">
        <v>2169</v>
      </c>
      <c r="F957" s="16" t="s">
        <v>3575</v>
      </c>
      <c r="G957" s="4" t="s">
        <v>3576</v>
      </c>
      <c r="H957" s="4" t="s">
        <v>3577</v>
      </c>
      <c r="I957" s="4" t="s">
        <v>1664</v>
      </c>
      <c r="J957" s="4" t="s">
        <v>1715</v>
      </c>
      <c r="K957" s="4">
        <v>1</v>
      </c>
      <c r="L957" s="4">
        <v>2572</v>
      </c>
      <c r="M957" s="6"/>
      <c r="AO957" s="4" t="s">
        <v>3575</v>
      </c>
      <c r="AP957" s="4">
        <v>719</v>
      </c>
      <c r="AQ957" s="4" t="s">
        <v>1716</v>
      </c>
      <c r="AR957" s="4" t="s">
        <v>1717</v>
      </c>
      <c r="AS957" s="4" t="s">
        <v>1718</v>
      </c>
      <c r="AT957" s="4" t="s">
        <v>1719</v>
      </c>
      <c r="AU957" s="4" t="s">
        <v>1703</v>
      </c>
      <c r="AV957" s="4" t="s">
        <v>1720</v>
      </c>
      <c r="AW957" s="4" t="s">
        <v>1705</v>
      </c>
      <c r="AX957" s="4" t="s">
        <v>1883</v>
      </c>
      <c r="AY957" s="4">
        <v>49.8</v>
      </c>
      <c r="AZ957" s="4">
        <v>-121.3</v>
      </c>
      <c r="BA957" s="4">
        <v>11</v>
      </c>
    </row>
    <row r="958" spans="1:53" ht="14.25" customHeight="1" x14ac:dyDescent="0.2">
      <c r="B958" s="4">
        <v>12</v>
      </c>
      <c r="C958" s="4" t="s">
        <v>7666</v>
      </c>
      <c r="D958" s="4">
        <v>720</v>
      </c>
      <c r="E958" s="4">
        <v>2170</v>
      </c>
      <c r="F958" s="16" t="s">
        <v>3578</v>
      </c>
      <c r="G958" s="4" t="s">
        <v>3579</v>
      </c>
      <c r="H958" s="4" t="s">
        <v>3580</v>
      </c>
      <c r="I958" s="4" t="s">
        <v>1664</v>
      </c>
      <c r="J958" s="4" t="s">
        <v>1715</v>
      </c>
      <c r="K958" s="4">
        <v>1</v>
      </c>
      <c r="L958" s="4">
        <v>2573</v>
      </c>
      <c r="M958" s="6"/>
      <c r="AO958" s="4" t="s">
        <v>3578</v>
      </c>
      <c r="AP958" s="4">
        <v>720</v>
      </c>
      <c r="AQ958" s="4" t="s">
        <v>1716</v>
      </c>
      <c r="AR958" s="4" t="s">
        <v>1717</v>
      </c>
      <c r="AS958" s="4" t="s">
        <v>1718</v>
      </c>
      <c r="AT958" s="4" t="s">
        <v>1719</v>
      </c>
      <c r="AU958" s="4" t="s">
        <v>1703</v>
      </c>
      <c r="AV958" s="4" t="s">
        <v>1720</v>
      </c>
      <c r="AW958" s="4" t="s">
        <v>1705</v>
      </c>
      <c r="AX958" s="4" t="s">
        <v>1883</v>
      </c>
      <c r="AY958" s="4">
        <v>49.7</v>
      </c>
      <c r="AZ958" s="4">
        <v>-121.5</v>
      </c>
      <c r="BA958" s="4">
        <v>10</v>
      </c>
    </row>
    <row r="959" spans="1:53" ht="14.25" customHeight="1" x14ac:dyDescent="0.2">
      <c r="A959" s="4" t="s">
        <v>422</v>
      </c>
      <c r="B959" s="4">
        <v>12</v>
      </c>
      <c r="C959" s="4" t="s">
        <v>7666</v>
      </c>
      <c r="D959" s="4">
        <v>722</v>
      </c>
      <c r="E959" s="4">
        <v>2171</v>
      </c>
      <c r="F959" s="16" t="s">
        <v>3581</v>
      </c>
      <c r="G959" s="4" t="s">
        <v>3582</v>
      </c>
      <c r="H959" s="4" t="s">
        <v>3583</v>
      </c>
      <c r="I959" s="4" t="s">
        <v>641</v>
      </c>
      <c r="J959" s="4" t="s">
        <v>1746</v>
      </c>
      <c r="K959" s="4">
        <v>1</v>
      </c>
      <c r="L959" s="4">
        <v>2574</v>
      </c>
      <c r="M959" s="6"/>
      <c r="AO959" s="4" t="s">
        <v>3581</v>
      </c>
      <c r="AP959" s="4">
        <v>722</v>
      </c>
      <c r="AQ959" s="4" t="s">
        <v>1716</v>
      </c>
      <c r="AR959" s="4" t="s">
        <v>1717</v>
      </c>
      <c r="AS959" s="4" t="s">
        <v>1718</v>
      </c>
      <c r="AT959" s="4" t="s">
        <v>1719</v>
      </c>
      <c r="AU959" s="4" t="s">
        <v>1959</v>
      </c>
      <c r="AV959" s="4" t="s">
        <v>1720</v>
      </c>
      <c r="AW959" s="4" t="s">
        <v>2368</v>
      </c>
      <c r="AX959" s="4" t="s">
        <v>2505</v>
      </c>
      <c r="AY959" s="4">
        <v>51.061900000000001</v>
      </c>
      <c r="AZ959" s="4">
        <v>-122.751</v>
      </c>
      <c r="BA959" s="4">
        <v>0</v>
      </c>
    </row>
    <row r="960" spans="1:53" ht="14.25" customHeight="1" x14ac:dyDescent="0.2">
      <c r="A960" s="4" t="s">
        <v>422</v>
      </c>
      <c r="B960" s="4">
        <v>12</v>
      </c>
      <c r="C960" s="4" t="s">
        <v>7666</v>
      </c>
      <c r="D960" s="4">
        <v>723</v>
      </c>
      <c r="E960" s="4">
        <v>2172</v>
      </c>
      <c r="F960" s="16" t="s">
        <v>3584</v>
      </c>
      <c r="G960" s="4" t="s">
        <v>3585</v>
      </c>
      <c r="H960" s="4" t="s">
        <v>3586</v>
      </c>
      <c r="I960" s="4" t="s">
        <v>641</v>
      </c>
      <c r="J960" s="4" t="s">
        <v>1746</v>
      </c>
      <c r="K960" s="4">
        <v>1</v>
      </c>
      <c r="L960" s="4">
        <v>2575</v>
      </c>
      <c r="M960" s="6"/>
      <c r="AO960" s="4" t="s">
        <v>3584</v>
      </c>
      <c r="AP960" s="4">
        <v>723</v>
      </c>
      <c r="AQ960" s="4" t="s">
        <v>1716</v>
      </c>
      <c r="AR960" s="4" t="s">
        <v>1717</v>
      </c>
      <c r="AS960" s="4" t="s">
        <v>1718</v>
      </c>
      <c r="AT960" s="4" t="s">
        <v>1719</v>
      </c>
      <c r="AU960" s="4" t="s">
        <v>1959</v>
      </c>
      <c r="AV960" s="4" t="s">
        <v>1720</v>
      </c>
      <c r="AW960" s="4" t="s">
        <v>2368</v>
      </c>
      <c r="AX960" s="4" t="s">
        <v>2505</v>
      </c>
      <c r="AY960" s="4">
        <v>50.683999999999997</v>
      </c>
      <c r="AZ960" s="4">
        <v>-122.645</v>
      </c>
      <c r="BA960" s="4">
        <v>0</v>
      </c>
    </row>
    <row r="961" spans="1:53" ht="14.25" customHeight="1" x14ac:dyDescent="0.2">
      <c r="B961" s="4">
        <v>12</v>
      </c>
      <c r="C961" s="4" t="s">
        <v>7666</v>
      </c>
      <c r="D961" s="4">
        <v>724</v>
      </c>
      <c r="E961" s="4">
        <v>2173</v>
      </c>
      <c r="F961" s="16" t="s">
        <v>3587</v>
      </c>
      <c r="G961" s="4" t="s">
        <v>3588</v>
      </c>
      <c r="H961" s="4" t="s">
        <v>3589</v>
      </c>
      <c r="I961" s="4" t="s">
        <v>641</v>
      </c>
      <c r="J961" s="4" t="s">
        <v>1746</v>
      </c>
      <c r="K961" s="4">
        <v>1</v>
      </c>
      <c r="L961" s="4">
        <v>2576</v>
      </c>
      <c r="M961" s="6"/>
      <c r="AO961" s="4" t="s">
        <v>3587</v>
      </c>
      <c r="AP961" s="4">
        <v>724</v>
      </c>
      <c r="AQ961" s="4" t="s">
        <v>1716</v>
      </c>
      <c r="AR961" s="4" t="s">
        <v>1717</v>
      </c>
      <c r="AS961" s="4" t="s">
        <v>1718</v>
      </c>
      <c r="AT961" s="4" t="s">
        <v>1719</v>
      </c>
      <c r="AU961" s="4" t="s">
        <v>1959</v>
      </c>
      <c r="AV961" s="4" t="s">
        <v>1720</v>
      </c>
      <c r="AW961" s="4" t="s">
        <v>2368</v>
      </c>
      <c r="AX961" s="4" t="s">
        <v>2369</v>
      </c>
      <c r="AY961" s="4">
        <v>50.46</v>
      </c>
      <c r="AZ961" s="4">
        <v>-120.38</v>
      </c>
      <c r="BA961" s="4">
        <v>443</v>
      </c>
    </row>
    <row r="962" spans="1:53" ht="14.25" customHeight="1" x14ac:dyDescent="0.2">
      <c r="B962" s="4">
        <v>12</v>
      </c>
      <c r="C962" s="4" t="s">
        <v>7666</v>
      </c>
      <c r="D962" s="4">
        <v>725</v>
      </c>
      <c r="E962" s="4">
        <v>2174</v>
      </c>
      <c r="F962" s="16" t="s">
        <v>3590</v>
      </c>
      <c r="G962" s="4" t="s">
        <v>3591</v>
      </c>
      <c r="H962" s="4" t="s">
        <v>3592</v>
      </c>
      <c r="I962" s="4" t="s">
        <v>641</v>
      </c>
      <c r="J962" s="4" t="s">
        <v>1746</v>
      </c>
      <c r="K962" s="4">
        <v>1</v>
      </c>
      <c r="L962" s="4">
        <v>2577</v>
      </c>
      <c r="M962" s="6"/>
      <c r="AO962" s="4" t="s">
        <v>3590</v>
      </c>
      <c r="AP962" s="4">
        <v>725</v>
      </c>
      <c r="AQ962" s="4" t="s">
        <v>1716</v>
      </c>
      <c r="AR962" s="4" t="s">
        <v>1717</v>
      </c>
      <c r="AS962" s="4" t="s">
        <v>1718</v>
      </c>
      <c r="AT962" s="4" t="s">
        <v>1719</v>
      </c>
      <c r="AU962" s="4" t="s">
        <v>1959</v>
      </c>
      <c r="AV962" s="4" t="s">
        <v>1720</v>
      </c>
      <c r="AW962" s="4" t="s">
        <v>1705</v>
      </c>
      <c r="AX962" s="4" t="s">
        <v>1879</v>
      </c>
      <c r="AY962" s="4">
        <v>50.196599999999997</v>
      </c>
      <c r="AZ962" s="4">
        <v>-122.345</v>
      </c>
      <c r="BA962" s="4">
        <v>950</v>
      </c>
    </row>
    <row r="963" spans="1:53" ht="14.25" customHeight="1" x14ac:dyDescent="0.2">
      <c r="A963" s="4" t="s">
        <v>422</v>
      </c>
      <c r="B963" s="4">
        <v>12</v>
      </c>
      <c r="C963" s="4" t="s">
        <v>7666</v>
      </c>
      <c r="D963" s="4">
        <v>727</v>
      </c>
      <c r="E963" s="4">
        <v>2175</v>
      </c>
      <c r="F963" s="16" t="s">
        <v>3593</v>
      </c>
      <c r="G963" s="4" t="s">
        <v>3594</v>
      </c>
      <c r="H963" s="4" t="s">
        <v>3595</v>
      </c>
      <c r="I963" s="4" t="s">
        <v>641</v>
      </c>
      <c r="J963" s="4" t="s">
        <v>1746</v>
      </c>
      <c r="K963" s="4">
        <v>1</v>
      </c>
      <c r="L963" s="4">
        <v>2578</v>
      </c>
      <c r="M963" s="6"/>
      <c r="AO963" s="4" t="s">
        <v>3593</v>
      </c>
      <c r="AP963" s="4">
        <v>727</v>
      </c>
      <c r="AQ963" s="4" t="s">
        <v>1716</v>
      </c>
      <c r="AR963" s="4" t="s">
        <v>1717</v>
      </c>
      <c r="AS963" s="4" t="s">
        <v>1718</v>
      </c>
      <c r="AT963" s="4" t="s">
        <v>1719</v>
      </c>
      <c r="AU963" s="4" t="s">
        <v>1703</v>
      </c>
      <c r="AV963" s="4" t="s">
        <v>1720</v>
      </c>
      <c r="AW963" s="4" t="s">
        <v>2368</v>
      </c>
      <c r="AX963" s="4" t="s">
        <v>2401</v>
      </c>
      <c r="AY963" s="4">
        <v>51.6</v>
      </c>
      <c r="AZ963" s="4">
        <v>-120</v>
      </c>
      <c r="BA963" s="4">
        <v>14</v>
      </c>
    </row>
    <row r="964" spans="1:53" ht="14.25" customHeight="1" x14ac:dyDescent="0.2">
      <c r="B964" s="4">
        <v>12</v>
      </c>
      <c r="C964" s="4" t="s">
        <v>7666</v>
      </c>
      <c r="D964" s="4">
        <v>728</v>
      </c>
      <c r="E964" s="4">
        <v>2176</v>
      </c>
      <c r="F964" s="16" t="s">
        <v>3596</v>
      </c>
      <c r="G964" s="4" t="s">
        <v>3597</v>
      </c>
      <c r="H964" s="4" t="s">
        <v>3598</v>
      </c>
      <c r="I964" s="4" t="s">
        <v>1664</v>
      </c>
      <c r="J964" s="4" t="s">
        <v>1715</v>
      </c>
      <c r="K964" s="4">
        <v>1</v>
      </c>
      <c r="L964" s="4">
        <v>2579</v>
      </c>
      <c r="M964" s="6"/>
      <c r="AO964" s="4" t="s">
        <v>3596</v>
      </c>
      <c r="AP964" s="4">
        <v>728</v>
      </c>
      <c r="AQ964" s="4" t="s">
        <v>1716</v>
      </c>
      <c r="AR964" s="4" t="s">
        <v>1717</v>
      </c>
      <c r="AS964" s="4" t="s">
        <v>1718</v>
      </c>
      <c r="AT964" s="4" t="s">
        <v>1719</v>
      </c>
      <c r="AU964" s="4" t="s">
        <v>1703</v>
      </c>
      <c r="AV964" s="4" t="s">
        <v>1720</v>
      </c>
      <c r="AW964" s="4" t="s">
        <v>2368</v>
      </c>
      <c r="AX964" s="4" t="s">
        <v>2505</v>
      </c>
      <c r="AY964" s="4">
        <v>50.3</v>
      </c>
      <c r="AZ964" s="4">
        <v>-122.3</v>
      </c>
      <c r="BA964" s="4">
        <v>4</v>
      </c>
    </row>
    <row r="965" spans="1:53" ht="14.25" customHeight="1" x14ac:dyDescent="0.2">
      <c r="B965" s="4">
        <v>12</v>
      </c>
      <c r="C965" s="4" t="s">
        <v>7666</v>
      </c>
      <c r="D965" s="4">
        <v>729</v>
      </c>
      <c r="E965" s="4">
        <v>2177</v>
      </c>
      <c r="F965" s="16" t="s">
        <v>3599</v>
      </c>
      <c r="G965" s="4" t="s">
        <v>3600</v>
      </c>
      <c r="H965" s="4" t="s">
        <v>3601</v>
      </c>
      <c r="I965" s="4" t="s">
        <v>1664</v>
      </c>
      <c r="J965" s="4" t="s">
        <v>1715</v>
      </c>
      <c r="K965" s="4">
        <v>1</v>
      </c>
      <c r="L965" s="4">
        <v>2580</v>
      </c>
      <c r="M965" s="6"/>
      <c r="AO965" s="4" t="s">
        <v>3599</v>
      </c>
      <c r="AP965" s="4">
        <v>729</v>
      </c>
      <c r="AQ965" s="4" t="s">
        <v>1716</v>
      </c>
      <c r="AR965" s="4" t="s">
        <v>1717</v>
      </c>
      <c r="AS965" s="4" t="s">
        <v>1718</v>
      </c>
      <c r="AT965" s="4" t="s">
        <v>1719</v>
      </c>
      <c r="AU965" s="4" t="s">
        <v>1703</v>
      </c>
      <c r="AV965" s="4" t="s">
        <v>1720</v>
      </c>
      <c r="AW965" s="4" t="s">
        <v>2368</v>
      </c>
      <c r="AX965" s="4" t="s">
        <v>2492</v>
      </c>
      <c r="AY965" s="4">
        <v>50</v>
      </c>
      <c r="AZ965" s="4">
        <v>-121</v>
      </c>
      <c r="BA965" s="4">
        <v>13</v>
      </c>
    </row>
    <row r="966" spans="1:53" ht="14.25" customHeight="1" x14ac:dyDescent="0.2">
      <c r="A966" s="4" t="s">
        <v>422</v>
      </c>
      <c r="B966" s="4">
        <v>12</v>
      </c>
      <c r="C966" s="4" t="s">
        <v>7666</v>
      </c>
      <c r="D966" s="4">
        <v>730</v>
      </c>
      <c r="E966" s="4">
        <v>2178</v>
      </c>
      <c r="F966" s="16" t="s">
        <v>3602</v>
      </c>
      <c r="G966" s="4" t="s">
        <v>3603</v>
      </c>
      <c r="H966" s="4" t="s">
        <v>3604</v>
      </c>
      <c r="I966" s="4" t="s">
        <v>1664</v>
      </c>
      <c r="J966" s="4" t="s">
        <v>1746</v>
      </c>
      <c r="K966" s="4">
        <v>1</v>
      </c>
      <c r="L966" s="4">
        <v>2581</v>
      </c>
      <c r="M966" s="6"/>
      <c r="AO966" s="4" t="s">
        <v>3602</v>
      </c>
      <c r="AP966" s="4">
        <v>730</v>
      </c>
      <c r="AQ966" s="4" t="s">
        <v>1716</v>
      </c>
      <c r="AR966" s="4" t="s">
        <v>1717</v>
      </c>
      <c r="AS966" s="4" t="s">
        <v>1718</v>
      </c>
      <c r="AT966" s="4" t="s">
        <v>1719</v>
      </c>
      <c r="AU966" s="4" t="s">
        <v>1703</v>
      </c>
      <c r="AV966" s="4" t="s">
        <v>1720</v>
      </c>
      <c r="AW966" s="4" t="s">
        <v>2368</v>
      </c>
      <c r="AX966" s="4" t="s">
        <v>1879</v>
      </c>
      <c r="AY966" s="4">
        <v>50</v>
      </c>
      <c r="AZ966" s="4">
        <v>-123</v>
      </c>
      <c r="BA966" s="4">
        <v>13</v>
      </c>
    </row>
    <row r="967" spans="1:53" ht="14.25" customHeight="1" x14ac:dyDescent="0.2">
      <c r="A967" s="4" t="s">
        <v>422</v>
      </c>
      <c r="B967" s="4">
        <v>12</v>
      </c>
      <c r="C967" s="4" t="s">
        <v>7666</v>
      </c>
      <c r="D967" s="4">
        <v>731</v>
      </c>
      <c r="E967" s="4">
        <v>2179</v>
      </c>
      <c r="F967" s="16" t="s">
        <v>3605</v>
      </c>
      <c r="G967" s="4" t="s">
        <v>3606</v>
      </c>
      <c r="H967" s="4" t="s">
        <v>3607</v>
      </c>
      <c r="I967" s="4" t="s">
        <v>1664</v>
      </c>
      <c r="J967" s="4" t="s">
        <v>1746</v>
      </c>
      <c r="K967" s="4">
        <v>1</v>
      </c>
      <c r="L967" s="4">
        <v>2582</v>
      </c>
      <c r="AO967" s="4" t="s">
        <v>3605</v>
      </c>
      <c r="AP967" s="4">
        <v>731</v>
      </c>
      <c r="AQ967" s="4" t="s">
        <v>1716</v>
      </c>
      <c r="AR967" s="4" t="s">
        <v>1717</v>
      </c>
      <c r="AS967" s="4" t="s">
        <v>1718</v>
      </c>
      <c r="AT967" s="4" t="s">
        <v>1719</v>
      </c>
      <c r="AU967" s="4" t="s">
        <v>1703</v>
      </c>
      <c r="AV967" s="4" t="s">
        <v>1720</v>
      </c>
      <c r="AW967" s="4" t="s">
        <v>2368</v>
      </c>
      <c r="AX967" s="4" t="s">
        <v>1883</v>
      </c>
      <c r="AY967" s="4">
        <v>50</v>
      </c>
      <c r="AZ967" s="4">
        <v>-122</v>
      </c>
      <c r="BA967" s="4">
        <v>14</v>
      </c>
    </row>
    <row r="968" spans="1:53" ht="14.25" customHeight="1" x14ac:dyDescent="0.2">
      <c r="A968" s="4" t="s">
        <v>422</v>
      </c>
      <c r="B968" s="4">
        <v>12</v>
      </c>
      <c r="C968" s="4" t="s">
        <v>7666</v>
      </c>
      <c r="D968" s="4">
        <v>732</v>
      </c>
      <c r="E968" s="4">
        <v>2180</v>
      </c>
      <c r="F968" s="16" t="s">
        <v>3608</v>
      </c>
      <c r="G968" s="4" t="s">
        <v>3609</v>
      </c>
      <c r="H968" s="4" t="s">
        <v>3610</v>
      </c>
      <c r="I968" s="4" t="s">
        <v>1664</v>
      </c>
      <c r="J968" s="4" t="s">
        <v>1746</v>
      </c>
      <c r="K968" s="4">
        <v>1</v>
      </c>
      <c r="L968" s="4">
        <v>2583</v>
      </c>
      <c r="M968" s="6"/>
      <c r="AO968" s="4" t="s">
        <v>3608</v>
      </c>
      <c r="AP968" s="4">
        <v>732</v>
      </c>
      <c r="AQ968" s="4" t="s">
        <v>1716</v>
      </c>
      <c r="AR968" s="4" t="s">
        <v>1717</v>
      </c>
      <c r="AS968" s="4" t="s">
        <v>1718</v>
      </c>
      <c r="AT968" s="4" t="s">
        <v>1719</v>
      </c>
      <c r="AU968" s="4" t="s">
        <v>1703</v>
      </c>
      <c r="AV968" s="4" t="s">
        <v>1720</v>
      </c>
      <c r="AW968" s="4" t="s">
        <v>2368</v>
      </c>
      <c r="AX968" s="4" t="s">
        <v>1883</v>
      </c>
      <c r="AY968" s="4">
        <v>50</v>
      </c>
      <c r="AZ968" s="4">
        <v>-122</v>
      </c>
      <c r="BA968" s="4">
        <v>4</v>
      </c>
    </row>
    <row r="969" spans="1:53" ht="14.25" customHeight="1" x14ac:dyDescent="0.2">
      <c r="A969" s="4" t="s">
        <v>422</v>
      </c>
      <c r="B969" s="4">
        <v>12</v>
      </c>
      <c r="C969" s="4" t="s">
        <v>7666</v>
      </c>
      <c r="D969" s="4">
        <v>733</v>
      </c>
      <c r="E969" s="4">
        <v>2181</v>
      </c>
      <c r="F969" s="16" t="s">
        <v>3611</v>
      </c>
      <c r="G969" s="4" t="s">
        <v>3609</v>
      </c>
      <c r="H969" s="4" t="s">
        <v>3612</v>
      </c>
      <c r="I969" s="4" t="s">
        <v>1664</v>
      </c>
      <c r="J969" s="4" t="s">
        <v>1746</v>
      </c>
      <c r="K969" s="4">
        <v>1</v>
      </c>
      <c r="L969" s="4">
        <v>2584</v>
      </c>
      <c r="M969" s="6"/>
      <c r="AK969" s="7"/>
      <c r="AO969" s="4" t="s">
        <v>3611</v>
      </c>
      <c r="AP969" s="4">
        <v>733</v>
      </c>
      <c r="AQ969" s="4" t="s">
        <v>1716</v>
      </c>
      <c r="AR969" s="4" t="s">
        <v>1717</v>
      </c>
      <c r="AS969" s="4" t="s">
        <v>1718</v>
      </c>
      <c r="AT969" s="4" t="s">
        <v>1719</v>
      </c>
      <c r="AU969" s="4" t="s">
        <v>1703</v>
      </c>
      <c r="AV969" s="4" t="s">
        <v>1720</v>
      </c>
      <c r="AW969" s="4" t="s">
        <v>2368</v>
      </c>
      <c r="AX969" s="4" t="s">
        <v>1883</v>
      </c>
      <c r="AY969" s="4">
        <v>50</v>
      </c>
      <c r="AZ969" s="4">
        <v>-122</v>
      </c>
      <c r="BA969" s="4">
        <v>4</v>
      </c>
    </row>
    <row r="970" spans="1:53" ht="14.25" customHeight="1" x14ac:dyDescent="0.2">
      <c r="A970" s="4" t="s">
        <v>422</v>
      </c>
      <c r="B970" s="4">
        <v>12</v>
      </c>
      <c r="C970" s="4" t="s">
        <v>7666</v>
      </c>
      <c r="D970" s="4">
        <v>734</v>
      </c>
      <c r="E970" s="4">
        <v>2182</v>
      </c>
      <c r="F970" s="16" t="s">
        <v>3613</v>
      </c>
      <c r="G970" s="4" t="s">
        <v>3614</v>
      </c>
      <c r="H970" s="4" t="s">
        <v>3615</v>
      </c>
      <c r="I970" s="4" t="s">
        <v>1664</v>
      </c>
      <c r="J970" s="4" t="s">
        <v>1746</v>
      </c>
      <c r="K970" s="4">
        <v>1</v>
      </c>
      <c r="L970" s="4">
        <v>2585</v>
      </c>
      <c r="M970" s="6"/>
      <c r="AK970" s="7"/>
      <c r="AO970" s="4" t="s">
        <v>3613</v>
      </c>
      <c r="AP970" s="4">
        <v>734</v>
      </c>
      <c r="AQ970" s="4" t="s">
        <v>1716</v>
      </c>
      <c r="AR970" s="4" t="s">
        <v>1717</v>
      </c>
      <c r="AS970" s="4" t="s">
        <v>1718</v>
      </c>
      <c r="AT970" s="4" t="s">
        <v>1719</v>
      </c>
      <c r="AU970" s="4" t="s">
        <v>1703</v>
      </c>
      <c r="AV970" s="4" t="s">
        <v>1720</v>
      </c>
      <c r="AW970" s="4" t="s">
        <v>2368</v>
      </c>
      <c r="AX970" s="4" t="s">
        <v>2505</v>
      </c>
      <c r="AY970" s="4">
        <v>50.5</v>
      </c>
      <c r="AZ970" s="4">
        <v>-122</v>
      </c>
      <c r="BA970" s="4">
        <v>16</v>
      </c>
    </row>
    <row r="971" spans="1:53" ht="14.25" customHeight="1" x14ac:dyDescent="0.2">
      <c r="B971" s="4">
        <v>12</v>
      </c>
      <c r="C971" s="4" t="s">
        <v>7666</v>
      </c>
      <c r="D971" s="4">
        <v>735</v>
      </c>
      <c r="E971" s="4">
        <v>2183</v>
      </c>
      <c r="F971" s="16" t="s">
        <v>3616</v>
      </c>
      <c r="G971" s="4" t="s">
        <v>3617</v>
      </c>
      <c r="H971" s="4" t="s">
        <v>3618</v>
      </c>
      <c r="I971" s="4" t="s">
        <v>1664</v>
      </c>
      <c r="J971" s="4" t="s">
        <v>1746</v>
      </c>
      <c r="K971" s="4">
        <v>1</v>
      </c>
      <c r="L971" s="4">
        <v>2586</v>
      </c>
      <c r="M971" s="6"/>
      <c r="AK971" s="7"/>
      <c r="AO971" s="4" t="s">
        <v>3616</v>
      </c>
      <c r="AP971" s="4">
        <v>735</v>
      </c>
      <c r="AQ971" s="4" t="s">
        <v>1716</v>
      </c>
      <c r="AR971" s="4" t="s">
        <v>1717</v>
      </c>
      <c r="AS971" s="4" t="s">
        <v>1718</v>
      </c>
      <c r="AT971" s="4" t="s">
        <v>1719</v>
      </c>
      <c r="AU971" s="4" t="s">
        <v>1703</v>
      </c>
      <c r="AV971" s="4" t="s">
        <v>1720</v>
      </c>
      <c r="AW971" s="4" t="s">
        <v>2368</v>
      </c>
      <c r="AX971" s="4" t="s">
        <v>2505</v>
      </c>
      <c r="AY971" s="4">
        <v>50.4</v>
      </c>
      <c r="AZ971" s="4">
        <v>-122.4</v>
      </c>
      <c r="BA971" s="4">
        <v>16</v>
      </c>
    </row>
    <row r="972" spans="1:53" ht="14.25" customHeight="1" x14ac:dyDescent="0.2">
      <c r="B972" s="4">
        <v>12</v>
      </c>
      <c r="C972" s="4" t="s">
        <v>7666</v>
      </c>
      <c r="D972" s="4">
        <v>736</v>
      </c>
      <c r="E972" s="4">
        <v>2184</v>
      </c>
      <c r="F972" s="16" t="s">
        <v>3619</v>
      </c>
      <c r="G972" s="4" t="s">
        <v>3620</v>
      </c>
      <c r="H972" s="4" t="s">
        <v>3621</v>
      </c>
      <c r="I972" s="4" t="s">
        <v>1664</v>
      </c>
      <c r="J972" s="4" t="s">
        <v>1746</v>
      </c>
      <c r="K972" s="4">
        <v>1</v>
      </c>
      <c r="L972" s="4">
        <v>2587</v>
      </c>
      <c r="M972" s="6"/>
      <c r="AK972" s="7"/>
      <c r="AO972" s="4" t="s">
        <v>3619</v>
      </c>
      <c r="AP972" s="4">
        <v>736</v>
      </c>
      <c r="AQ972" s="4" t="s">
        <v>1716</v>
      </c>
      <c r="AR972" s="4" t="s">
        <v>1717</v>
      </c>
      <c r="AS972" s="4" t="s">
        <v>1718</v>
      </c>
      <c r="AT972" s="4" t="s">
        <v>1719</v>
      </c>
      <c r="AU972" s="4" t="s">
        <v>1703</v>
      </c>
      <c r="AV972" s="4" t="s">
        <v>1720</v>
      </c>
      <c r="AW972" s="4" t="s">
        <v>2368</v>
      </c>
      <c r="AX972" s="4" t="s">
        <v>2505</v>
      </c>
      <c r="AY972" s="4">
        <v>50.6</v>
      </c>
      <c r="AZ972" s="4">
        <v>-122.2</v>
      </c>
      <c r="BA972" s="4">
        <v>12</v>
      </c>
    </row>
    <row r="973" spans="1:53" ht="14.25" customHeight="1" x14ac:dyDescent="0.2">
      <c r="A973" s="4" t="s">
        <v>422</v>
      </c>
      <c r="B973" s="4">
        <v>12</v>
      </c>
      <c r="C973" s="4" t="s">
        <v>7666</v>
      </c>
      <c r="D973" s="4">
        <v>737</v>
      </c>
      <c r="E973" s="4">
        <v>2185</v>
      </c>
      <c r="F973" s="16" t="s">
        <v>3622</v>
      </c>
      <c r="G973" s="4" t="s">
        <v>3623</v>
      </c>
      <c r="H973" s="4" t="s">
        <v>3624</v>
      </c>
      <c r="I973" s="4" t="s">
        <v>1664</v>
      </c>
      <c r="J973" s="4" t="s">
        <v>1746</v>
      </c>
      <c r="K973" s="4">
        <v>1</v>
      </c>
      <c r="L973" s="4">
        <v>2588</v>
      </c>
      <c r="M973" s="6"/>
      <c r="AK973" s="7"/>
      <c r="AO973" s="4" t="s">
        <v>3622</v>
      </c>
      <c r="AP973" s="4">
        <v>737</v>
      </c>
      <c r="AQ973" s="4" t="s">
        <v>1716</v>
      </c>
      <c r="AR973" s="4" t="s">
        <v>1717</v>
      </c>
      <c r="AS973" s="4" t="s">
        <v>1718</v>
      </c>
      <c r="AT973" s="4" t="s">
        <v>1719</v>
      </c>
      <c r="AU973" s="4" t="s">
        <v>1703</v>
      </c>
      <c r="AV973" s="4" t="s">
        <v>1720</v>
      </c>
      <c r="AW973" s="4" t="s">
        <v>2368</v>
      </c>
      <c r="AX973" s="4" t="s">
        <v>2505</v>
      </c>
      <c r="AY973" s="4">
        <v>51.2</v>
      </c>
      <c r="AZ973" s="4">
        <v>-122.2</v>
      </c>
      <c r="BA973" s="4">
        <v>3</v>
      </c>
    </row>
    <row r="974" spans="1:53" ht="14.25" customHeight="1" x14ac:dyDescent="0.2">
      <c r="B974" s="4">
        <v>12</v>
      </c>
      <c r="C974" s="4" t="s">
        <v>7666</v>
      </c>
      <c r="D974" s="4">
        <v>738</v>
      </c>
      <c r="E974" s="4">
        <v>2186</v>
      </c>
      <c r="F974" s="16" t="s">
        <v>3625</v>
      </c>
      <c r="G974" s="4" t="s">
        <v>3626</v>
      </c>
      <c r="H974" s="4" t="s">
        <v>3627</v>
      </c>
      <c r="I974" s="4" t="s">
        <v>1664</v>
      </c>
      <c r="J974" s="4" t="s">
        <v>1715</v>
      </c>
      <c r="K974" s="4">
        <v>1</v>
      </c>
      <c r="L974" s="4">
        <v>2589</v>
      </c>
      <c r="M974" s="6"/>
      <c r="AK974" s="7"/>
      <c r="AO974" s="4" t="s">
        <v>3625</v>
      </c>
      <c r="AP974" s="4">
        <v>738</v>
      </c>
      <c r="AQ974" s="4" t="s">
        <v>1716</v>
      </c>
      <c r="AR974" s="4" t="s">
        <v>1717</v>
      </c>
      <c r="AS974" s="4" t="s">
        <v>1718</v>
      </c>
      <c r="AT974" s="4" t="s">
        <v>1719</v>
      </c>
      <c r="AU974" s="4" t="s">
        <v>1703</v>
      </c>
      <c r="AV974" s="4" t="s">
        <v>1720</v>
      </c>
      <c r="AW974" s="4" t="s">
        <v>2368</v>
      </c>
      <c r="AX974" s="4" t="s">
        <v>2516</v>
      </c>
      <c r="AY974" s="4">
        <v>49.3</v>
      </c>
      <c r="AZ974" s="4">
        <v>-119.3</v>
      </c>
      <c r="BA974" s="4">
        <v>18</v>
      </c>
    </row>
    <row r="975" spans="1:53" ht="14.25" customHeight="1" x14ac:dyDescent="0.2">
      <c r="A975" s="4" t="s">
        <v>422</v>
      </c>
      <c r="B975" s="4">
        <v>12</v>
      </c>
      <c r="C975" s="4" t="s">
        <v>7666</v>
      </c>
      <c r="D975" s="4">
        <v>739</v>
      </c>
      <c r="E975" s="4">
        <v>2187</v>
      </c>
      <c r="F975" s="16" t="s">
        <v>3628</v>
      </c>
      <c r="G975" s="4" t="s">
        <v>3629</v>
      </c>
      <c r="H975" s="4" t="s">
        <v>3630</v>
      </c>
      <c r="I975" s="4" t="s">
        <v>641</v>
      </c>
      <c r="J975" s="4" t="s">
        <v>1746</v>
      </c>
      <c r="K975" s="4">
        <v>1</v>
      </c>
      <c r="L975" s="4">
        <v>2590</v>
      </c>
      <c r="M975" s="6"/>
      <c r="AK975" s="7"/>
      <c r="AO975" s="4" t="s">
        <v>3628</v>
      </c>
      <c r="AP975" s="4">
        <v>739</v>
      </c>
      <c r="AQ975" s="4" t="s">
        <v>1716</v>
      </c>
      <c r="AR975" s="4" t="s">
        <v>1717</v>
      </c>
      <c r="AS975" s="4" t="s">
        <v>1718</v>
      </c>
      <c r="AT975" s="4" t="s">
        <v>1719</v>
      </c>
      <c r="AU975" s="4" t="s">
        <v>1703</v>
      </c>
      <c r="AV975" s="4" t="s">
        <v>1720</v>
      </c>
      <c r="AW975" s="4" t="s">
        <v>2368</v>
      </c>
      <c r="AY975" s="4">
        <v>49</v>
      </c>
      <c r="AZ975" s="4">
        <v>-119</v>
      </c>
      <c r="BA975" s="4">
        <v>15</v>
      </c>
    </row>
    <row r="976" spans="1:53" ht="14.25" customHeight="1" x14ac:dyDescent="0.2">
      <c r="A976" s="4" t="s">
        <v>422</v>
      </c>
      <c r="B976" s="4">
        <v>12</v>
      </c>
      <c r="C976" s="4" t="s">
        <v>7666</v>
      </c>
      <c r="D976" s="4">
        <v>740</v>
      </c>
      <c r="E976" s="4">
        <v>2188</v>
      </c>
      <c r="F976" s="16" t="s">
        <v>3631</v>
      </c>
      <c r="G976" s="4" t="s">
        <v>3632</v>
      </c>
      <c r="H976" s="4" t="s">
        <v>3633</v>
      </c>
      <c r="I976" s="4" t="s">
        <v>1664</v>
      </c>
      <c r="J976" s="4" t="s">
        <v>1746</v>
      </c>
      <c r="K976" s="4">
        <v>1</v>
      </c>
      <c r="L976" s="4">
        <v>2591</v>
      </c>
      <c r="M976" s="6"/>
      <c r="AK976" s="7"/>
      <c r="AO976" s="4" t="s">
        <v>3631</v>
      </c>
      <c r="AP976" s="4">
        <v>740</v>
      </c>
      <c r="AQ976" s="4" t="s">
        <v>1716</v>
      </c>
      <c r="AR976" s="4" t="s">
        <v>1717</v>
      </c>
      <c r="AS976" s="4" t="s">
        <v>1718</v>
      </c>
      <c r="AT976" s="4" t="s">
        <v>1719</v>
      </c>
      <c r="AU976" s="4" t="s">
        <v>1703</v>
      </c>
      <c r="AV976" s="4" t="s">
        <v>1720</v>
      </c>
      <c r="AW976" s="4" t="s">
        <v>2368</v>
      </c>
      <c r="AY976" s="4">
        <v>49</v>
      </c>
      <c r="AZ976" s="4">
        <v>-119</v>
      </c>
      <c r="BA976" s="4">
        <v>16</v>
      </c>
    </row>
    <row r="977" spans="1:53" ht="14.25" customHeight="1" x14ac:dyDescent="0.2">
      <c r="A977" s="4" t="s">
        <v>422</v>
      </c>
      <c r="B977" s="4">
        <v>12</v>
      </c>
      <c r="C977" s="4" t="s">
        <v>7666</v>
      </c>
      <c r="D977" s="4">
        <v>741</v>
      </c>
      <c r="E977" s="4">
        <v>2189</v>
      </c>
      <c r="F977" s="16" t="s">
        <v>3634</v>
      </c>
      <c r="G977" s="4" t="s">
        <v>3635</v>
      </c>
      <c r="H977" s="4" t="s">
        <v>3636</v>
      </c>
      <c r="I977" s="4" t="s">
        <v>1664</v>
      </c>
      <c r="J977" s="4" t="s">
        <v>1746</v>
      </c>
      <c r="K977" s="4">
        <v>1</v>
      </c>
      <c r="L977" s="4">
        <v>2592</v>
      </c>
      <c r="M977" s="62"/>
      <c r="N977" s="34"/>
      <c r="P977" s="34"/>
      <c r="AK977" s="7"/>
      <c r="AO977" s="4" t="s">
        <v>3634</v>
      </c>
      <c r="AP977" s="4">
        <v>741</v>
      </c>
      <c r="AQ977" s="4" t="s">
        <v>1716</v>
      </c>
      <c r="AR977" s="4" t="s">
        <v>1717</v>
      </c>
      <c r="AS977" s="4" t="s">
        <v>1718</v>
      </c>
      <c r="AT977" s="4" t="s">
        <v>1719</v>
      </c>
      <c r="AU977" s="4" t="s">
        <v>1703</v>
      </c>
      <c r="AV977" s="4" t="s">
        <v>1720</v>
      </c>
      <c r="AW977" s="4" t="s">
        <v>2368</v>
      </c>
      <c r="AX977" s="4" t="s">
        <v>2492</v>
      </c>
      <c r="AY977" s="4">
        <v>50.1</v>
      </c>
      <c r="AZ977" s="4">
        <v>-121.1</v>
      </c>
      <c r="BA977" s="4">
        <v>10</v>
      </c>
    </row>
    <row r="978" spans="1:53" ht="14.25" customHeight="1" x14ac:dyDescent="0.2">
      <c r="A978" s="4" t="s">
        <v>422</v>
      </c>
      <c r="B978" s="4">
        <v>12</v>
      </c>
      <c r="C978" s="4" t="s">
        <v>7666</v>
      </c>
      <c r="D978" s="4">
        <v>742</v>
      </c>
      <c r="E978" s="4">
        <v>2190</v>
      </c>
      <c r="F978" s="16" t="s">
        <v>3637</v>
      </c>
      <c r="G978" s="4" t="s">
        <v>3638</v>
      </c>
      <c r="H978" s="4" t="s">
        <v>3639</v>
      </c>
      <c r="I978" s="4" t="s">
        <v>641</v>
      </c>
      <c r="J978" s="4" t="s">
        <v>1746</v>
      </c>
      <c r="K978" s="4">
        <v>1</v>
      </c>
      <c r="L978" s="4">
        <v>2593</v>
      </c>
      <c r="M978" s="6"/>
      <c r="AK978" s="7"/>
      <c r="AO978" s="4" t="s">
        <v>3637</v>
      </c>
      <c r="AP978" s="4">
        <v>742</v>
      </c>
      <c r="AQ978" s="4" t="s">
        <v>1716</v>
      </c>
      <c r="AR978" s="4" t="s">
        <v>1717</v>
      </c>
      <c r="AS978" s="4" t="s">
        <v>1718</v>
      </c>
      <c r="AT978" s="4" t="s">
        <v>1703</v>
      </c>
      <c r="AU978" s="4" t="s">
        <v>1703</v>
      </c>
      <c r="AV978" s="4" t="s">
        <v>1720</v>
      </c>
      <c r="AW978" s="4" t="s">
        <v>2368</v>
      </c>
      <c r="AX978" s="4" t="s">
        <v>2516</v>
      </c>
      <c r="AY978" s="4">
        <v>49.959600000000002</v>
      </c>
      <c r="AZ978" s="4">
        <v>-119.7076</v>
      </c>
      <c r="BA978" s="4">
        <v>1150</v>
      </c>
    </row>
    <row r="979" spans="1:53" ht="14.25" customHeight="1" x14ac:dyDescent="0.2">
      <c r="A979" s="4" t="s">
        <v>422</v>
      </c>
      <c r="B979" s="4">
        <v>12</v>
      </c>
      <c r="C979" s="4" t="s">
        <v>7666</v>
      </c>
      <c r="D979" s="4">
        <v>743</v>
      </c>
      <c r="E979" s="4">
        <v>2191</v>
      </c>
      <c r="F979" s="16" t="s">
        <v>3640</v>
      </c>
      <c r="G979" s="4" t="s">
        <v>3641</v>
      </c>
      <c r="H979" s="4" t="s">
        <v>3639</v>
      </c>
      <c r="I979" s="4" t="s">
        <v>641</v>
      </c>
      <c r="J979" s="4" t="s">
        <v>1746</v>
      </c>
      <c r="K979" s="4">
        <v>1</v>
      </c>
      <c r="L979" s="4">
        <v>2594</v>
      </c>
      <c r="M979" s="6"/>
      <c r="AK979" s="7"/>
      <c r="AO979" s="4" t="s">
        <v>3640</v>
      </c>
      <c r="AP979" s="4">
        <v>743</v>
      </c>
      <c r="AQ979" s="4" t="s">
        <v>1716</v>
      </c>
      <c r="AR979" s="4" t="s">
        <v>1717</v>
      </c>
      <c r="AS979" s="4" t="s">
        <v>1718</v>
      </c>
      <c r="AT979" s="4" t="s">
        <v>1703</v>
      </c>
      <c r="AU979" s="4" t="s">
        <v>1703</v>
      </c>
      <c r="AV979" s="4" t="s">
        <v>1720</v>
      </c>
      <c r="AW979" s="4" t="s">
        <v>2368</v>
      </c>
      <c r="AX979" s="4" t="s">
        <v>2516</v>
      </c>
      <c r="AY979" s="4">
        <v>49.959000000000003</v>
      </c>
      <c r="AZ979" s="4">
        <v>-119.70959999999999</v>
      </c>
      <c r="BA979" s="4">
        <v>1150</v>
      </c>
    </row>
    <row r="980" spans="1:53" ht="14.25" customHeight="1" x14ac:dyDescent="0.2">
      <c r="A980" s="4" t="s">
        <v>422</v>
      </c>
      <c r="B980" s="4">
        <v>12</v>
      </c>
      <c r="C980" s="4" t="s">
        <v>7666</v>
      </c>
      <c r="D980" s="4">
        <v>744</v>
      </c>
      <c r="E980" s="4">
        <v>2192</v>
      </c>
      <c r="F980" s="16" t="s">
        <v>3642</v>
      </c>
      <c r="G980" s="4" t="s">
        <v>3643</v>
      </c>
      <c r="H980" s="4" t="s">
        <v>3644</v>
      </c>
      <c r="I980" s="4" t="s">
        <v>1664</v>
      </c>
      <c r="J980" s="4" t="s">
        <v>1746</v>
      </c>
      <c r="K980" s="4">
        <v>1</v>
      </c>
      <c r="L980" s="4">
        <v>2595</v>
      </c>
      <c r="M980" s="6"/>
      <c r="AK980" s="7"/>
      <c r="AO980" s="4" t="s">
        <v>3642</v>
      </c>
      <c r="AP980" s="4">
        <v>744</v>
      </c>
      <c r="AQ980" s="4" t="s">
        <v>1716</v>
      </c>
      <c r="AR980" s="4" t="s">
        <v>1717</v>
      </c>
      <c r="AS980" s="4" t="s">
        <v>1718</v>
      </c>
      <c r="AT980" s="4" t="s">
        <v>1719</v>
      </c>
      <c r="AU980" s="4" t="s">
        <v>1703</v>
      </c>
      <c r="AV980" s="4" t="s">
        <v>1720</v>
      </c>
      <c r="AW980" s="4" t="s">
        <v>2368</v>
      </c>
      <c r="AX980" s="4" t="s">
        <v>2827</v>
      </c>
      <c r="AY980" s="4">
        <v>49.2</v>
      </c>
      <c r="AZ980" s="4">
        <v>-119.2</v>
      </c>
      <c r="BA980" s="4">
        <v>14</v>
      </c>
    </row>
    <row r="981" spans="1:53" ht="14.25" customHeight="1" x14ac:dyDescent="0.2">
      <c r="B981" s="4">
        <v>12</v>
      </c>
      <c r="C981" s="4" t="s">
        <v>7666</v>
      </c>
      <c r="D981" s="4">
        <v>745</v>
      </c>
      <c r="E981" s="4">
        <v>2193</v>
      </c>
      <c r="F981" s="16" t="s">
        <v>3645</v>
      </c>
      <c r="G981" s="4" t="s">
        <v>3646</v>
      </c>
      <c r="H981" s="4" t="s">
        <v>3647</v>
      </c>
      <c r="I981" s="4" t="s">
        <v>641</v>
      </c>
      <c r="J981" s="4" t="s">
        <v>1715</v>
      </c>
      <c r="K981" s="4">
        <v>1</v>
      </c>
      <c r="L981" s="4">
        <v>2596</v>
      </c>
      <c r="M981" s="6"/>
      <c r="AK981" s="7"/>
      <c r="AO981" s="4" t="s">
        <v>3645</v>
      </c>
      <c r="AP981" s="4">
        <v>745</v>
      </c>
      <c r="AQ981" s="4" t="s">
        <v>1716</v>
      </c>
      <c r="AR981" s="4" t="s">
        <v>1717</v>
      </c>
      <c r="AS981" s="4" t="s">
        <v>1718</v>
      </c>
      <c r="AT981" s="4" t="s">
        <v>1719</v>
      </c>
      <c r="AU981" s="4" t="s">
        <v>1703</v>
      </c>
      <c r="AV981" s="4" t="s">
        <v>1720</v>
      </c>
      <c r="AW981" s="4" t="s">
        <v>2368</v>
      </c>
      <c r="AX981" s="4" t="s">
        <v>2516</v>
      </c>
      <c r="AY981" s="4">
        <v>49.966999999999999</v>
      </c>
      <c r="AZ981" s="4">
        <v>-119.717</v>
      </c>
      <c r="BA981" s="4">
        <v>1100</v>
      </c>
    </row>
    <row r="982" spans="1:53" ht="14.25" customHeight="1" x14ac:dyDescent="0.2">
      <c r="A982" s="4" t="s">
        <v>422</v>
      </c>
      <c r="B982" s="4">
        <v>12</v>
      </c>
      <c r="C982" s="4" t="s">
        <v>7666</v>
      </c>
      <c r="D982" s="4">
        <v>746</v>
      </c>
      <c r="E982" s="4">
        <v>2194</v>
      </c>
      <c r="F982" s="16" t="s">
        <v>3648</v>
      </c>
      <c r="G982" s="4" t="s">
        <v>3649</v>
      </c>
      <c r="H982" s="4" t="s">
        <v>3650</v>
      </c>
      <c r="I982" s="4" t="s">
        <v>641</v>
      </c>
      <c r="J982" s="4" t="s">
        <v>1746</v>
      </c>
      <c r="K982" s="4">
        <v>1</v>
      </c>
      <c r="L982" s="4">
        <v>2597</v>
      </c>
      <c r="M982" s="6"/>
      <c r="AK982" s="7"/>
      <c r="AO982" s="4" t="s">
        <v>3648</v>
      </c>
      <c r="AP982" s="4">
        <v>746</v>
      </c>
      <c r="AQ982" s="4" t="s">
        <v>1716</v>
      </c>
      <c r="AR982" s="4" t="s">
        <v>1717</v>
      </c>
      <c r="AS982" s="4" t="s">
        <v>1718</v>
      </c>
      <c r="AT982" s="4" t="s">
        <v>1719</v>
      </c>
      <c r="AU982" s="4" t="s">
        <v>1959</v>
      </c>
      <c r="AV982" s="4" t="s">
        <v>1720</v>
      </c>
      <c r="AW982" s="4" t="s">
        <v>2368</v>
      </c>
      <c r="AX982" s="4" t="s">
        <v>2522</v>
      </c>
      <c r="AY982" s="4">
        <v>50.444200000000002</v>
      </c>
      <c r="AZ982" s="4">
        <v>-118.89570000000001</v>
      </c>
      <c r="BA982" s="4">
        <v>1180</v>
      </c>
    </row>
    <row r="983" spans="1:53" ht="14.25" customHeight="1" x14ac:dyDescent="0.2">
      <c r="A983" s="4" t="s">
        <v>422</v>
      </c>
      <c r="B983" s="4">
        <v>12</v>
      </c>
      <c r="C983" s="4" t="s">
        <v>7666</v>
      </c>
      <c r="D983" s="4">
        <v>747</v>
      </c>
      <c r="E983" s="4">
        <v>2195</v>
      </c>
      <c r="F983" s="16" t="s">
        <v>3651</v>
      </c>
      <c r="G983" s="4" t="s">
        <v>3652</v>
      </c>
      <c r="H983" s="4" t="s">
        <v>3653</v>
      </c>
      <c r="I983" s="4" t="s">
        <v>641</v>
      </c>
      <c r="J983" s="4" t="s">
        <v>1746</v>
      </c>
      <c r="K983" s="4">
        <v>1</v>
      </c>
      <c r="L983" s="4">
        <v>2598</v>
      </c>
      <c r="M983" s="6"/>
      <c r="AK983" s="7"/>
      <c r="AO983" s="4" t="s">
        <v>3651</v>
      </c>
      <c r="AP983" s="4">
        <v>747</v>
      </c>
      <c r="AQ983" s="4" t="s">
        <v>1716</v>
      </c>
      <c r="AR983" s="4" t="s">
        <v>1717</v>
      </c>
      <c r="AS983" s="4" t="s">
        <v>1718</v>
      </c>
      <c r="AT983" s="4" t="s">
        <v>1719</v>
      </c>
      <c r="AU983" s="4" t="s">
        <v>1703</v>
      </c>
      <c r="AV983" s="4" t="s">
        <v>1720</v>
      </c>
      <c r="AW983" s="4" t="s">
        <v>2368</v>
      </c>
      <c r="AX983" s="4" t="s">
        <v>2522</v>
      </c>
      <c r="AY983" s="4">
        <v>50.205500000000001</v>
      </c>
      <c r="AZ983" s="4">
        <v>-119.57</v>
      </c>
      <c r="BA983" s="4">
        <v>1100</v>
      </c>
    </row>
    <row r="984" spans="1:53" ht="14.25" customHeight="1" x14ac:dyDescent="0.2">
      <c r="B984" s="4">
        <v>12</v>
      </c>
      <c r="C984" s="4" t="s">
        <v>7666</v>
      </c>
      <c r="D984" s="4">
        <v>748</v>
      </c>
      <c r="E984" s="4">
        <v>2196</v>
      </c>
      <c r="F984" s="16" t="s">
        <v>3654</v>
      </c>
      <c r="G984" s="4" t="s">
        <v>3655</v>
      </c>
      <c r="H984" s="4" t="s">
        <v>3656</v>
      </c>
      <c r="I984" s="4" t="s">
        <v>1664</v>
      </c>
      <c r="J984" s="4" t="s">
        <v>1715</v>
      </c>
      <c r="K984" s="4">
        <v>1</v>
      </c>
      <c r="L984" s="4">
        <v>2599</v>
      </c>
      <c r="M984" s="6"/>
      <c r="AK984" s="7"/>
      <c r="AO984" s="4" t="s">
        <v>3654</v>
      </c>
      <c r="AP984" s="4">
        <v>748</v>
      </c>
      <c r="AQ984" s="4" t="s">
        <v>1716</v>
      </c>
      <c r="AR984" s="4" t="s">
        <v>1717</v>
      </c>
      <c r="AS984" s="4" t="s">
        <v>1718</v>
      </c>
      <c r="AT984" s="4" t="s">
        <v>1719</v>
      </c>
      <c r="AU984" s="4" t="s">
        <v>1703</v>
      </c>
      <c r="AV984" s="4" t="s">
        <v>1720</v>
      </c>
      <c r="AW984" s="4" t="s">
        <v>2368</v>
      </c>
      <c r="AX984" s="4" t="s">
        <v>2401</v>
      </c>
      <c r="AY984" s="4">
        <v>52</v>
      </c>
      <c r="AZ984" s="4">
        <v>-119</v>
      </c>
      <c r="BA984" s="4">
        <v>5</v>
      </c>
    </row>
    <row r="985" spans="1:53" ht="14.25" customHeight="1" x14ac:dyDescent="0.2">
      <c r="B985" s="4">
        <v>12</v>
      </c>
      <c r="C985" s="4" t="s">
        <v>7666</v>
      </c>
      <c r="D985" s="4">
        <v>749</v>
      </c>
      <c r="E985" s="4">
        <v>2197</v>
      </c>
      <c r="F985" s="16" t="s">
        <v>3657</v>
      </c>
      <c r="G985" s="4" t="s">
        <v>3658</v>
      </c>
      <c r="H985" s="4" t="s">
        <v>3308</v>
      </c>
      <c r="I985" s="4" t="s">
        <v>1664</v>
      </c>
      <c r="J985" s="4" t="s">
        <v>1715</v>
      </c>
      <c r="K985" s="4">
        <v>1</v>
      </c>
      <c r="L985" s="4">
        <v>2600</v>
      </c>
      <c r="M985" s="6"/>
      <c r="AK985" s="7"/>
      <c r="AO985" s="4" t="s">
        <v>3657</v>
      </c>
      <c r="AP985" s="4">
        <v>749</v>
      </c>
      <c r="AQ985" s="4" t="s">
        <v>1716</v>
      </c>
      <c r="AR985" s="4" t="s">
        <v>1717</v>
      </c>
      <c r="AS985" s="4" t="s">
        <v>1718</v>
      </c>
      <c r="AT985" s="4" t="s">
        <v>1719</v>
      </c>
      <c r="AU985" s="4" t="s">
        <v>1703</v>
      </c>
      <c r="AV985" s="4" t="s">
        <v>1720</v>
      </c>
      <c r="AW985" s="4" t="s">
        <v>2368</v>
      </c>
      <c r="AX985" s="4" t="s">
        <v>2401</v>
      </c>
      <c r="AY985" s="4">
        <v>52</v>
      </c>
      <c r="AZ985" s="4">
        <v>-119.1</v>
      </c>
      <c r="BA985" s="4">
        <v>12</v>
      </c>
    </row>
    <row r="986" spans="1:53" ht="14.25" customHeight="1" x14ac:dyDescent="0.2">
      <c r="A986" s="4" t="s">
        <v>422</v>
      </c>
      <c r="B986" s="4">
        <v>12</v>
      </c>
      <c r="C986" s="4" t="s">
        <v>7666</v>
      </c>
      <c r="D986" s="4">
        <v>750</v>
      </c>
      <c r="E986" s="4">
        <v>2198</v>
      </c>
      <c r="F986" s="16" t="s">
        <v>3659</v>
      </c>
      <c r="G986" s="4" t="s">
        <v>3660</v>
      </c>
      <c r="H986" s="4" t="s">
        <v>3661</v>
      </c>
      <c r="I986" s="4" t="s">
        <v>1664</v>
      </c>
      <c r="J986" s="4" t="s">
        <v>1746</v>
      </c>
      <c r="K986" s="4">
        <v>1</v>
      </c>
      <c r="L986" s="4">
        <v>2601</v>
      </c>
      <c r="M986" s="6"/>
      <c r="AK986" s="7"/>
      <c r="AO986" s="4" t="s">
        <v>3659</v>
      </c>
      <c r="AP986" s="4">
        <v>750</v>
      </c>
      <c r="AQ986" s="4" t="s">
        <v>1716</v>
      </c>
      <c r="AR986" s="4" t="s">
        <v>1717</v>
      </c>
      <c r="AS986" s="4" t="s">
        <v>1718</v>
      </c>
      <c r="AT986" s="4" t="s">
        <v>1719</v>
      </c>
      <c r="AU986" s="4" t="s">
        <v>1703</v>
      </c>
      <c r="AV986" s="4" t="s">
        <v>1720</v>
      </c>
      <c r="AW986" s="4" t="s">
        <v>2698</v>
      </c>
      <c r="AX986" s="4" t="s">
        <v>2801</v>
      </c>
      <c r="AY986" s="4">
        <v>50.8</v>
      </c>
      <c r="AZ986" s="4">
        <v>-117</v>
      </c>
      <c r="BA986" s="4">
        <v>12</v>
      </c>
    </row>
    <row r="987" spans="1:53" ht="14.25" customHeight="1" x14ac:dyDescent="0.2">
      <c r="A987" s="4" t="s">
        <v>422</v>
      </c>
      <c r="B987" s="4">
        <v>12</v>
      </c>
      <c r="C987" s="4" t="s">
        <v>7666</v>
      </c>
      <c r="D987" s="4">
        <v>751</v>
      </c>
      <c r="E987" s="4">
        <v>2199</v>
      </c>
      <c r="F987" s="16" t="s">
        <v>3662</v>
      </c>
      <c r="G987" s="4" t="s">
        <v>3663</v>
      </c>
      <c r="H987" s="4" t="s">
        <v>3664</v>
      </c>
      <c r="I987" s="4" t="s">
        <v>1664</v>
      </c>
      <c r="J987" s="4" t="s">
        <v>1746</v>
      </c>
      <c r="K987" s="4">
        <v>1</v>
      </c>
      <c r="L987" s="4">
        <v>2602</v>
      </c>
      <c r="M987" s="6"/>
      <c r="AK987" s="7"/>
      <c r="AO987" s="4" t="s">
        <v>3662</v>
      </c>
      <c r="AP987" s="4">
        <v>751</v>
      </c>
      <c r="AQ987" s="4" t="s">
        <v>1716</v>
      </c>
      <c r="AR987" s="4" t="s">
        <v>1717</v>
      </c>
      <c r="AS987" s="4" t="s">
        <v>1718</v>
      </c>
      <c r="AT987" s="4" t="s">
        <v>1719</v>
      </c>
      <c r="AU987" s="4" t="s">
        <v>1703</v>
      </c>
      <c r="AV987" s="4" t="s">
        <v>1720</v>
      </c>
      <c r="AW987" s="4" t="s">
        <v>2368</v>
      </c>
      <c r="AX987" s="4" t="s">
        <v>2401</v>
      </c>
      <c r="AY987" s="4">
        <v>51.7</v>
      </c>
      <c r="AZ987" s="4">
        <v>-119.3</v>
      </c>
      <c r="BA987" s="4">
        <v>13</v>
      </c>
    </row>
    <row r="988" spans="1:53" ht="14.25" customHeight="1" x14ac:dyDescent="0.2">
      <c r="A988" s="4" t="s">
        <v>422</v>
      </c>
      <c r="B988" s="4">
        <v>12</v>
      </c>
      <c r="C988" s="4" t="s">
        <v>7666</v>
      </c>
      <c r="D988" s="4">
        <v>753</v>
      </c>
      <c r="E988" s="4">
        <v>2201</v>
      </c>
      <c r="F988" s="16" t="s">
        <v>3665</v>
      </c>
      <c r="G988" s="4" t="s">
        <v>3666</v>
      </c>
      <c r="H988" s="4" t="s">
        <v>3667</v>
      </c>
      <c r="I988" s="4" t="s">
        <v>1664</v>
      </c>
      <c r="J988" s="4" t="s">
        <v>1746</v>
      </c>
      <c r="K988" s="4">
        <v>1</v>
      </c>
      <c r="L988" s="4">
        <v>2604</v>
      </c>
      <c r="M988" s="6"/>
      <c r="AK988" s="7"/>
      <c r="AO988" s="27" t="s">
        <v>3665</v>
      </c>
      <c r="AP988" s="4">
        <v>753</v>
      </c>
      <c r="AQ988" s="4" t="s">
        <v>1716</v>
      </c>
      <c r="AR988" s="4" t="s">
        <v>1717</v>
      </c>
      <c r="AS988" s="4" t="s">
        <v>2257</v>
      </c>
      <c r="AT988" s="4" t="s">
        <v>1703</v>
      </c>
      <c r="AU988" s="4" t="s">
        <v>3668</v>
      </c>
      <c r="AV988" s="4" t="s">
        <v>1720</v>
      </c>
      <c r="AW988" s="4" t="s">
        <v>2698</v>
      </c>
      <c r="AX988" s="4" t="s">
        <v>2699</v>
      </c>
      <c r="AY988" s="4">
        <v>51.35</v>
      </c>
      <c r="AZ988" s="4">
        <v>-118.16</v>
      </c>
      <c r="BA988" s="4">
        <v>1000</v>
      </c>
    </row>
    <row r="989" spans="1:53" ht="14.25" customHeight="1" x14ac:dyDescent="0.2">
      <c r="A989" s="4" t="s">
        <v>422</v>
      </c>
      <c r="B989" s="4">
        <v>12</v>
      </c>
      <c r="C989" s="4" t="s">
        <v>7666</v>
      </c>
      <c r="D989" s="4">
        <v>754</v>
      </c>
      <c r="E989" s="4">
        <v>2202</v>
      </c>
      <c r="F989" s="16" t="s">
        <v>3669</v>
      </c>
      <c r="G989" s="4" t="s">
        <v>3670</v>
      </c>
      <c r="H989" s="4" t="s">
        <v>3671</v>
      </c>
      <c r="I989" s="4" t="s">
        <v>1664</v>
      </c>
      <c r="J989" s="4" t="s">
        <v>1746</v>
      </c>
      <c r="K989" s="4">
        <v>1</v>
      </c>
      <c r="L989" s="4">
        <v>2605</v>
      </c>
      <c r="M989" s="6"/>
      <c r="AK989" s="7"/>
      <c r="AO989" s="4" t="s">
        <v>3669</v>
      </c>
      <c r="AP989" s="4">
        <v>754</v>
      </c>
      <c r="AQ989" s="4" t="s">
        <v>1716</v>
      </c>
      <c r="AR989" s="4" t="s">
        <v>1717</v>
      </c>
      <c r="AS989" s="4" t="s">
        <v>2257</v>
      </c>
      <c r="AT989" s="4" t="s">
        <v>1703</v>
      </c>
      <c r="AU989" s="4" t="s">
        <v>3668</v>
      </c>
      <c r="AV989" s="4" t="s">
        <v>1720</v>
      </c>
      <c r="AW989" s="4" t="s">
        <v>2698</v>
      </c>
      <c r="AX989" s="4" t="s">
        <v>2699</v>
      </c>
      <c r="AY989" s="4">
        <v>51.12</v>
      </c>
      <c r="AZ989" s="4">
        <v>-118.16</v>
      </c>
      <c r="BA989" s="4">
        <v>1000</v>
      </c>
    </row>
    <row r="990" spans="1:53" ht="14.25" customHeight="1" x14ac:dyDescent="0.2">
      <c r="B990" s="4">
        <v>12</v>
      </c>
      <c r="C990" s="4" t="s">
        <v>7666</v>
      </c>
      <c r="D990" s="4">
        <v>755</v>
      </c>
      <c r="E990" s="4">
        <v>2203</v>
      </c>
      <c r="F990" s="16" t="s">
        <v>3672</v>
      </c>
      <c r="G990" s="4" t="s">
        <v>3673</v>
      </c>
      <c r="H990" s="4" t="s">
        <v>3279</v>
      </c>
      <c r="I990" s="4" t="s">
        <v>1664</v>
      </c>
      <c r="J990" s="4" t="s">
        <v>1715</v>
      </c>
      <c r="K990" s="4">
        <v>1</v>
      </c>
      <c r="L990" s="4">
        <v>2606</v>
      </c>
      <c r="M990" s="6"/>
      <c r="AK990" s="7"/>
      <c r="AO990" s="4" t="s">
        <v>3672</v>
      </c>
      <c r="AP990" s="4">
        <v>755</v>
      </c>
      <c r="AQ990" s="4" t="s">
        <v>1716</v>
      </c>
      <c r="AR990" s="4" t="s">
        <v>1717</v>
      </c>
      <c r="AS990" s="4" t="s">
        <v>1718</v>
      </c>
      <c r="AT990" s="4" t="s">
        <v>1719</v>
      </c>
      <c r="AU990" s="4" t="s">
        <v>1703</v>
      </c>
      <c r="AV990" s="4" t="s">
        <v>1720</v>
      </c>
      <c r="AW990" s="4" t="s">
        <v>2698</v>
      </c>
      <c r="AX990" s="4" t="s">
        <v>2699</v>
      </c>
      <c r="AY990" s="4">
        <v>51.5</v>
      </c>
      <c r="AZ990" s="4">
        <v>-118.5</v>
      </c>
      <c r="BA990" s="4">
        <v>13</v>
      </c>
    </row>
    <row r="991" spans="1:53" ht="14.25" customHeight="1" x14ac:dyDescent="0.2">
      <c r="A991" s="4" t="s">
        <v>422</v>
      </c>
      <c r="B991" s="4">
        <v>12</v>
      </c>
      <c r="C991" s="4" t="s">
        <v>7666</v>
      </c>
      <c r="D991" s="4">
        <v>756</v>
      </c>
      <c r="E991" s="4">
        <v>2204</v>
      </c>
      <c r="F991" s="16" t="s">
        <v>3674</v>
      </c>
      <c r="G991" s="4" t="s">
        <v>3675</v>
      </c>
      <c r="H991" s="4" t="s">
        <v>3676</v>
      </c>
      <c r="I991" s="4" t="s">
        <v>1664</v>
      </c>
      <c r="J991" s="4" t="s">
        <v>1746</v>
      </c>
      <c r="K991" s="4">
        <v>1</v>
      </c>
      <c r="L991" s="4">
        <v>2607</v>
      </c>
      <c r="M991" s="6"/>
      <c r="AK991" s="7"/>
      <c r="AO991" s="4" t="s">
        <v>3674</v>
      </c>
      <c r="AP991" s="4">
        <v>756</v>
      </c>
      <c r="AQ991" s="4" t="s">
        <v>1716</v>
      </c>
      <c r="AR991" s="4" t="s">
        <v>1717</v>
      </c>
      <c r="AS991" s="4" t="s">
        <v>1718</v>
      </c>
      <c r="AT991" s="4" t="s">
        <v>1719</v>
      </c>
      <c r="AU991" s="4" t="s">
        <v>1703</v>
      </c>
      <c r="AV991" s="4" t="s">
        <v>1720</v>
      </c>
      <c r="AW991" s="4" t="s">
        <v>2003</v>
      </c>
      <c r="AX991" s="4" t="s">
        <v>2699</v>
      </c>
      <c r="AY991" s="4">
        <v>52</v>
      </c>
      <c r="AZ991" s="4">
        <v>-118</v>
      </c>
      <c r="BA991" s="4">
        <v>35</v>
      </c>
    </row>
    <row r="992" spans="1:53" ht="14.25" customHeight="1" x14ac:dyDescent="0.2">
      <c r="A992" s="4" t="s">
        <v>422</v>
      </c>
      <c r="B992" s="4">
        <v>12</v>
      </c>
      <c r="C992" s="4" t="s">
        <v>7666</v>
      </c>
      <c r="D992" s="4">
        <v>757</v>
      </c>
      <c r="E992" s="4">
        <v>2205</v>
      </c>
      <c r="F992" s="16" t="s">
        <v>3677</v>
      </c>
      <c r="G992" s="4" t="s">
        <v>3678</v>
      </c>
      <c r="H992" s="4" t="s">
        <v>3679</v>
      </c>
      <c r="I992" s="4" t="s">
        <v>641</v>
      </c>
      <c r="J992" s="4" t="s">
        <v>1746</v>
      </c>
      <c r="K992" s="4">
        <v>1</v>
      </c>
      <c r="L992" s="4">
        <v>2608</v>
      </c>
      <c r="M992" s="6"/>
      <c r="AK992" s="7"/>
      <c r="AO992" s="65" t="s">
        <v>3677</v>
      </c>
      <c r="AP992" s="4">
        <v>757</v>
      </c>
      <c r="AQ992" s="4" t="s">
        <v>1716</v>
      </c>
      <c r="AR992" s="4" t="s">
        <v>1717</v>
      </c>
      <c r="AS992" s="4" t="s">
        <v>1718</v>
      </c>
      <c r="AT992" s="4" t="s">
        <v>1703</v>
      </c>
      <c r="AU992" s="4" t="s">
        <v>1703</v>
      </c>
      <c r="AV992" s="4" t="s">
        <v>1720</v>
      </c>
      <c r="AW992" s="4" t="s">
        <v>2003</v>
      </c>
      <c r="AX992" s="4" t="s">
        <v>2707</v>
      </c>
      <c r="AY992" s="4">
        <v>50.658999999999999</v>
      </c>
      <c r="AZ992" s="4">
        <v>-119.496</v>
      </c>
      <c r="BA992" s="4">
        <v>1768</v>
      </c>
    </row>
    <row r="993" spans="1:53" ht="14.25" customHeight="1" x14ac:dyDescent="0.2">
      <c r="B993" s="4">
        <v>12</v>
      </c>
      <c r="C993" s="4" t="s">
        <v>7666</v>
      </c>
      <c r="D993" s="4">
        <v>758</v>
      </c>
      <c r="E993" s="4">
        <v>2206</v>
      </c>
      <c r="F993" s="16" t="s">
        <v>3680</v>
      </c>
      <c r="G993" s="4" t="s">
        <v>3681</v>
      </c>
      <c r="H993" s="4" t="s">
        <v>3682</v>
      </c>
      <c r="I993" s="4" t="s">
        <v>1664</v>
      </c>
      <c r="J993" s="4" t="s">
        <v>1746</v>
      </c>
      <c r="K993" s="4">
        <v>1</v>
      </c>
      <c r="L993" s="4">
        <v>2609</v>
      </c>
      <c r="M993" s="6"/>
      <c r="AK993" s="7"/>
      <c r="AO993" s="27" t="s">
        <v>3680</v>
      </c>
      <c r="AP993" s="4">
        <v>758</v>
      </c>
      <c r="AQ993" s="4" t="s">
        <v>1716</v>
      </c>
      <c r="AR993" s="4" t="s">
        <v>1717</v>
      </c>
      <c r="AS993" s="4" t="s">
        <v>1718</v>
      </c>
      <c r="AT993" s="4" t="s">
        <v>1719</v>
      </c>
      <c r="AU993" s="4" t="s">
        <v>1703</v>
      </c>
      <c r="AV993" s="4" t="s">
        <v>1720</v>
      </c>
      <c r="AW993" s="4" t="s">
        <v>2698</v>
      </c>
      <c r="AX993" s="4" t="s">
        <v>2699</v>
      </c>
      <c r="AY993" s="4">
        <v>51.5</v>
      </c>
      <c r="AZ993" s="4">
        <v>-117.2</v>
      </c>
      <c r="BA993" s="4">
        <v>8</v>
      </c>
    </row>
    <row r="994" spans="1:53" ht="14.25" customHeight="1" x14ac:dyDescent="0.2">
      <c r="A994" s="4" t="s">
        <v>422</v>
      </c>
      <c r="B994" s="4">
        <v>12</v>
      </c>
      <c r="C994" s="4" t="s">
        <v>7666</v>
      </c>
      <c r="D994" s="4">
        <v>759</v>
      </c>
      <c r="E994" s="4">
        <v>2207</v>
      </c>
      <c r="F994" s="16" t="s">
        <v>3683</v>
      </c>
      <c r="G994" s="4" t="s">
        <v>3684</v>
      </c>
      <c r="H994" s="4" t="s">
        <v>3685</v>
      </c>
      <c r="I994" s="4" t="s">
        <v>641</v>
      </c>
      <c r="J994" s="4" t="s">
        <v>1746</v>
      </c>
      <c r="K994" s="4">
        <v>1</v>
      </c>
      <c r="L994" s="4">
        <v>2610</v>
      </c>
      <c r="M994" s="6"/>
      <c r="AK994" s="7"/>
      <c r="AO994" s="4" t="s">
        <v>3683</v>
      </c>
      <c r="AP994" s="4">
        <v>759</v>
      </c>
      <c r="AQ994" s="4" t="s">
        <v>1716</v>
      </c>
      <c r="AR994" s="4" t="s">
        <v>1717</v>
      </c>
      <c r="AS994" s="4" t="s">
        <v>1718</v>
      </c>
      <c r="AT994" s="4" t="s">
        <v>1719</v>
      </c>
      <c r="AU994" s="4" t="s">
        <v>1703</v>
      </c>
      <c r="AV994" s="4" t="s">
        <v>1720</v>
      </c>
      <c r="AW994" s="4" t="s">
        <v>2698</v>
      </c>
      <c r="AX994" s="4" t="s">
        <v>2699</v>
      </c>
      <c r="AY994" s="4">
        <v>51</v>
      </c>
      <c r="AZ994" s="4">
        <v>-116.2</v>
      </c>
      <c r="BA994" s="4">
        <v>14</v>
      </c>
    </row>
    <row r="995" spans="1:53" ht="14.25" customHeight="1" x14ac:dyDescent="0.2">
      <c r="B995" s="4">
        <v>12</v>
      </c>
      <c r="C995" s="4" t="s">
        <v>7666</v>
      </c>
      <c r="D995" s="4">
        <v>760</v>
      </c>
      <c r="E995" s="4">
        <v>2208</v>
      </c>
      <c r="F995" s="16" t="s">
        <v>3686</v>
      </c>
      <c r="G995" s="4" t="s">
        <v>3687</v>
      </c>
      <c r="H995" s="4" t="s">
        <v>3688</v>
      </c>
      <c r="I995" s="4" t="s">
        <v>1664</v>
      </c>
      <c r="J995" s="4" t="s">
        <v>1715</v>
      </c>
      <c r="K995" s="4">
        <v>1</v>
      </c>
      <c r="L995" s="4">
        <v>2611</v>
      </c>
      <c r="M995" s="6"/>
      <c r="AK995" s="7"/>
      <c r="AO995" s="4" t="s">
        <v>3686</v>
      </c>
      <c r="AP995" s="4">
        <v>760</v>
      </c>
      <c r="AQ995" s="4" t="s">
        <v>1716</v>
      </c>
      <c r="AR995" s="4" t="s">
        <v>1717</v>
      </c>
      <c r="AS995" s="4" t="s">
        <v>1718</v>
      </c>
      <c r="AT995" s="4" t="s">
        <v>1719</v>
      </c>
      <c r="AU995" s="4" t="s">
        <v>1703</v>
      </c>
      <c r="AV995" s="4" t="s">
        <v>1720</v>
      </c>
      <c r="AW995" s="4" t="s">
        <v>2698</v>
      </c>
      <c r="AX995" s="4" t="s">
        <v>2699</v>
      </c>
      <c r="AY995" s="4">
        <v>51.2</v>
      </c>
      <c r="AZ995" s="4">
        <v>-117.3</v>
      </c>
      <c r="BA995" s="4">
        <v>13</v>
      </c>
    </row>
    <row r="996" spans="1:53" ht="14.25" customHeight="1" x14ac:dyDescent="0.2">
      <c r="B996" s="4">
        <v>12</v>
      </c>
      <c r="C996" s="4" t="s">
        <v>7666</v>
      </c>
      <c r="D996" s="4">
        <v>761</v>
      </c>
      <c r="E996" s="4">
        <v>2209</v>
      </c>
      <c r="F996" s="16" t="s">
        <v>3689</v>
      </c>
      <c r="G996" s="4" t="s">
        <v>3690</v>
      </c>
      <c r="H996" s="4" t="s">
        <v>3691</v>
      </c>
      <c r="I996" s="4" t="s">
        <v>1664</v>
      </c>
      <c r="J996" s="4" t="s">
        <v>1715</v>
      </c>
      <c r="K996" s="4">
        <v>1</v>
      </c>
      <c r="L996" s="4">
        <v>2612</v>
      </c>
      <c r="M996" s="6"/>
      <c r="AK996" s="7"/>
      <c r="AO996" s="27" t="s">
        <v>3689</v>
      </c>
      <c r="AP996" s="4">
        <v>761</v>
      </c>
      <c r="AQ996" s="4" t="s">
        <v>1716</v>
      </c>
      <c r="AR996" s="4" t="s">
        <v>1717</v>
      </c>
      <c r="AS996" s="4" t="s">
        <v>1718</v>
      </c>
      <c r="AT996" s="4" t="s">
        <v>1719</v>
      </c>
      <c r="AU996" s="4" t="s">
        <v>1703</v>
      </c>
      <c r="AV996" s="4" t="s">
        <v>1720</v>
      </c>
      <c r="AW996" s="4" t="s">
        <v>2698</v>
      </c>
      <c r="AX996" s="4" t="s">
        <v>2768</v>
      </c>
      <c r="AY996" s="4">
        <v>51.2</v>
      </c>
      <c r="AZ996" s="4">
        <v>-117.2</v>
      </c>
      <c r="BA996" s="4">
        <v>14</v>
      </c>
    </row>
    <row r="997" spans="1:53" ht="14.25" customHeight="1" x14ac:dyDescent="0.2">
      <c r="B997" s="4">
        <v>12</v>
      </c>
      <c r="C997" s="4" t="s">
        <v>7666</v>
      </c>
      <c r="D997" s="4">
        <v>762</v>
      </c>
      <c r="E997" s="4">
        <v>2210</v>
      </c>
      <c r="F997" s="16" t="s">
        <v>3692</v>
      </c>
      <c r="G997" s="4" t="s">
        <v>3693</v>
      </c>
      <c r="H997" s="4" t="s">
        <v>3694</v>
      </c>
      <c r="I997" s="4" t="s">
        <v>1664</v>
      </c>
      <c r="J997" s="4" t="s">
        <v>1715</v>
      </c>
      <c r="K997" s="4">
        <v>1</v>
      </c>
      <c r="L997" s="4">
        <v>2613</v>
      </c>
      <c r="M997" s="6"/>
      <c r="AK997" s="7"/>
      <c r="AO997" s="4" t="s">
        <v>3692</v>
      </c>
      <c r="AP997" s="4">
        <v>762</v>
      </c>
      <c r="AQ997" s="4" t="s">
        <v>1716</v>
      </c>
      <c r="AR997" s="4" t="s">
        <v>1717</v>
      </c>
      <c r="AS997" s="4" t="s">
        <v>1718</v>
      </c>
      <c r="AT997" s="4" t="s">
        <v>1719</v>
      </c>
      <c r="AU997" s="4" t="s">
        <v>1703</v>
      </c>
      <c r="AV997" s="4" t="s">
        <v>1720</v>
      </c>
      <c r="AW997" s="4" t="s">
        <v>2698</v>
      </c>
      <c r="AX997" s="4" t="s">
        <v>2699</v>
      </c>
      <c r="AY997" s="4">
        <v>51.4</v>
      </c>
      <c r="AZ997" s="4">
        <v>-117.4</v>
      </c>
      <c r="BA997" s="4">
        <v>13</v>
      </c>
    </row>
    <row r="998" spans="1:53" ht="14.25" customHeight="1" x14ac:dyDescent="0.2">
      <c r="B998" s="4">
        <v>12</v>
      </c>
      <c r="C998" s="4" t="s">
        <v>7666</v>
      </c>
      <c r="D998" s="4">
        <v>764</v>
      </c>
      <c r="E998" s="4">
        <v>2212</v>
      </c>
      <c r="F998" s="16" t="s">
        <v>3695</v>
      </c>
      <c r="G998" s="4" t="s">
        <v>3696</v>
      </c>
      <c r="H998" s="4" t="s">
        <v>3697</v>
      </c>
      <c r="I998" s="4" t="s">
        <v>1664</v>
      </c>
      <c r="J998" s="4" t="s">
        <v>1715</v>
      </c>
      <c r="K998" s="4">
        <v>1</v>
      </c>
      <c r="L998" s="4">
        <v>2615</v>
      </c>
      <c r="M998" s="6"/>
      <c r="AK998" s="7"/>
      <c r="AO998" s="4" t="s">
        <v>3695</v>
      </c>
      <c r="AP998" s="4">
        <v>764</v>
      </c>
      <c r="AQ998" s="4" t="s">
        <v>1716</v>
      </c>
      <c r="AR998" s="4" t="s">
        <v>1717</v>
      </c>
      <c r="AS998" s="4" t="s">
        <v>1718</v>
      </c>
      <c r="AT998" s="4" t="s">
        <v>1719</v>
      </c>
      <c r="AU998" s="4" t="s">
        <v>1703</v>
      </c>
      <c r="AV998" s="4" t="s">
        <v>1720</v>
      </c>
      <c r="AW998" s="4" t="s">
        <v>2698</v>
      </c>
      <c r="AX998" s="4" t="s">
        <v>2768</v>
      </c>
      <c r="AY998" s="4">
        <v>51.1</v>
      </c>
      <c r="AZ998" s="4">
        <v>-117.1</v>
      </c>
      <c r="BA998" s="4">
        <v>16</v>
      </c>
    </row>
    <row r="999" spans="1:53" ht="14.25" customHeight="1" x14ac:dyDescent="0.2">
      <c r="B999" s="4">
        <v>12</v>
      </c>
      <c r="C999" s="4" t="s">
        <v>7666</v>
      </c>
      <c r="D999" s="4">
        <v>765</v>
      </c>
      <c r="E999" s="4">
        <v>2213</v>
      </c>
      <c r="F999" s="16" t="s">
        <v>3698</v>
      </c>
      <c r="G999" s="4" t="s">
        <v>3699</v>
      </c>
      <c r="H999" s="4" t="s">
        <v>3700</v>
      </c>
      <c r="I999" s="4" t="s">
        <v>1664</v>
      </c>
      <c r="J999" s="4" t="s">
        <v>1715</v>
      </c>
      <c r="K999" s="4">
        <v>1</v>
      </c>
      <c r="L999" s="4">
        <v>2616</v>
      </c>
      <c r="M999" s="6"/>
      <c r="AK999" s="7"/>
      <c r="AO999" s="4" t="s">
        <v>3698</v>
      </c>
      <c r="AP999" s="4">
        <v>765</v>
      </c>
      <c r="AQ999" s="4" t="s">
        <v>1716</v>
      </c>
      <c r="AR999" s="4" t="s">
        <v>1717</v>
      </c>
      <c r="AS999" s="4" t="s">
        <v>1718</v>
      </c>
      <c r="AT999" s="4" t="s">
        <v>1719</v>
      </c>
      <c r="AU999" s="4" t="s">
        <v>1703</v>
      </c>
      <c r="AV999" s="4" t="s">
        <v>1720</v>
      </c>
      <c r="AW999" s="4" t="s">
        <v>2698</v>
      </c>
      <c r="AX999" s="4" t="s">
        <v>2768</v>
      </c>
      <c r="AY999" s="4">
        <v>51</v>
      </c>
      <c r="AZ999" s="4">
        <v>-117</v>
      </c>
      <c r="BA999" s="4">
        <v>13</v>
      </c>
    </row>
    <row r="1000" spans="1:53" ht="14.25" customHeight="1" x14ac:dyDescent="0.2">
      <c r="B1000" s="4">
        <v>12</v>
      </c>
      <c r="C1000" s="4" t="s">
        <v>7666</v>
      </c>
      <c r="D1000" s="4">
        <v>766</v>
      </c>
      <c r="E1000" s="4">
        <v>2214</v>
      </c>
      <c r="F1000" s="16" t="s">
        <v>3701</v>
      </c>
      <c r="G1000" s="4" t="s">
        <v>3702</v>
      </c>
      <c r="H1000" s="4" t="s">
        <v>3703</v>
      </c>
      <c r="I1000" s="4" t="s">
        <v>1664</v>
      </c>
      <c r="J1000" s="4" t="s">
        <v>1746</v>
      </c>
      <c r="K1000" s="4">
        <v>1</v>
      </c>
      <c r="L1000" s="4">
        <v>2617</v>
      </c>
      <c r="M1000" s="6"/>
      <c r="AK1000" s="7"/>
      <c r="AO1000" s="4" t="s">
        <v>3701</v>
      </c>
      <c r="AP1000" s="4">
        <v>766</v>
      </c>
      <c r="AQ1000" s="4" t="s">
        <v>1716</v>
      </c>
      <c r="AR1000" s="4" t="s">
        <v>1717</v>
      </c>
      <c r="AS1000" s="4" t="s">
        <v>1718</v>
      </c>
      <c r="AT1000" s="4" t="s">
        <v>1719</v>
      </c>
      <c r="AU1000" s="4" t="s">
        <v>1703</v>
      </c>
      <c r="AV1000" s="4" t="s">
        <v>1720</v>
      </c>
      <c r="AW1000" s="4" t="s">
        <v>2698</v>
      </c>
      <c r="AX1000" s="4" t="s">
        <v>2699</v>
      </c>
      <c r="AY1000" s="4">
        <v>51.4</v>
      </c>
      <c r="AZ1000" s="4">
        <v>-117.4</v>
      </c>
      <c r="BA1000" s="4">
        <v>15</v>
      </c>
    </row>
    <row r="1001" spans="1:53" ht="14.25" customHeight="1" x14ac:dyDescent="0.2">
      <c r="B1001" s="4">
        <v>12</v>
      </c>
      <c r="C1001" s="4" t="s">
        <v>7666</v>
      </c>
      <c r="D1001" s="4">
        <v>767</v>
      </c>
      <c r="E1001" s="4">
        <v>2215</v>
      </c>
      <c r="F1001" s="16" t="s">
        <v>3704</v>
      </c>
      <c r="G1001" s="4" t="s">
        <v>3705</v>
      </c>
      <c r="H1001" s="4" t="s">
        <v>3706</v>
      </c>
      <c r="I1001" s="4" t="s">
        <v>1664</v>
      </c>
      <c r="J1001" s="4" t="s">
        <v>1715</v>
      </c>
      <c r="K1001" s="4">
        <v>1</v>
      </c>
      <c r="L1001" s="4">
        <v>2618</v>
      </c>
      <c r="M1001" s="6"/>
      <c r="AK1001" s="7"/>
      <c r="AO1001" s="4" t="s">
        <v>3704</v>
      </c>
      <c r="AP1001" s="4">
        <v>767</v>
      </c>
      <c r="AQ1001" s="4" t="s">
        <v>1716</v>
      </c>
      <c r="AR1001" s="4" t="s">
        <v>1717</v>
      </c>
      <c r="AS1001" s="4" t="s">
        <v>1718</v>
      </c>
      <c r="AT1001" s="4" t="s">
        <v>1719</v>
      </c>
      <c r="AU1001" s="4" t="s">
        <v>1703</v>
      </c>
      <c r="AV1001" s="4" t="s">
        <v>1720</v>
      </c>
      <c r="AW1001" s="4" t="s">
        <v>2698</v>
      </c>
      <c r="AX1001" s="4" t="s">
        <v>2699</v>
      </c>
      <c r="AY1001" s="4">
        <v>51.7</v>
      </c>
      <c r="AZ1001" s="4">
        <v>-117.1</v>
      </c>
      <c r="BA1001" s="4">
        <v>8</v>
      </c>
    </row>
    <row r="1002" spans="1:53" ht="14.25" customHeight="1" x14ac:dyDescent="0.2">
      <c r="B1002" s="4">
        <v>12</v>
      </c>
      <c r="C1002" s="4" t="s">
        <v>7666</v>
      </c>
      <c r="D1002" s="4">
        <v>768</v>
      </c>
      <c r="E1002" s="4">
        <v>2216</v>
      </c>
      <c r="F1002" s="16" t="s">
        <v>3707</v>
      </c>
      <c r="G1002" s="4" t="s">
        <v>3708</v>
      </c>
      <c r="H1002" s="4" t="s">
        <v>3709</v>
      </c>
      <c r="I1002" s="4" t="s">
        <v>1664</v>
      </c>
      <c r="J1002" s="4" t="s">
        <v>1715</v>
      </c>
      <c r="K1002" s="4">
        <v>1</v>
      </c>
      <c r="L1002" s="4">
        <v>2619</v>
      </c>
      <c r="M1002" s="6"/>
      <c r="AK1002" s="7"/>
      <c r="AO1002" s="4" t="s">
        <v>3707</v>
      </c>
      <c r="AP1002" s="4">
        <v>768</v>
      </c>
      <c r="AQ1002" s="4" t="s">
        <v>1716</v>
      </c>
      <c r="AR1002" s="4" t="s">
        <v>1717</v>
      </c>
      <c r="AS1002" s="4" t="s">
        <v>1718</v>
      </c>
      <c r="AT1002" s="4" t="s">
        <v>1719</v>
      </c>
      <c r="AU1002" s="4" t="s">
        <v>1703</v>
      </c>
      <c r="AV1002" s="4" t="s">
        <v>1720</v>
      </c>
      <c r="AW1002" s="4" t="s">
        <v>2698</v>
      </c>
      <c r="AX1002" s="4" t="s">
        <v>2699</v>
      </c>
      <c r="AY1002" s="4">
        <v>52</v>
      </c>
      <c r="AZ1002" s="4">
        <v>-117.9</v>
      </c>
      <c r="BA1002" s="4">
        <v>8</v>
      </c>
    </row>
    <row r="1003" spans="1:53" ht="14.25" customHeight="1" x14ac:dyDescent="0.2">
      <c r="A1003" s="4" t="s">
        <v>422</v>
      </c>
      <c r="B1003" s="4">
        <v>12</v>
      </c>
      <c r="C1003" s="4" t="s">
        <v>7666</v>
      </c>
      <c r="D1003" s="4">
        <v>770</v>
      </c>
      <c r="E1003" s="4">
        <v>2217</v>
      </c>
      <c r="F1003" s="16" t="s">
        <v>3710</v>
      </c>
      <c r="G1003" s="4" t="s">
        <v>3711</v>
      </c>
      <c r="H1003" s="4" t="s">
        <v>3712</v>
      </c>
      <c r="I1003" s="4" t="s">
        <v>1664</v>
      </c>
      <c r="J1003" s="4" t="s">
        <v>1746</v>
      </c>
      <c r="K1003" s="4">
        <v>1</v>
      </c>
      <c r="L1003" s="4">
        <v>2620</v>
      </c>
      <c r="M1003" s="6"/>
      <c r="AK1003" s="7"/>
      <c r="AO1003" s="4" t="s">
        <v>3710</v>
      </c>
      <c r="AP1003" s="4">
        <v>770</v>
      </c>
      <c r="AQ1003" s="4" t="s">
        <v>1716</v>
      </c>
      <c r="AR1003" s="4" t="s">
        <v>1717</v>
      </c>
      <c r="AS1003" s="4" t="s">
        <v>1718</v>
      </c>
      <c r="AT1003" s="4" t="s">
        <v>1719</v>
      </c>
      <c r="AU1003" s="4" t="s">
        <v>1703</v>
      </c>
      <c r="AV1003" s="4" t="s">
        <v>1720</v>
      </c>
      <c r="AW1003" s="4" t="s">
        <v>2698</v>
      </c>
      <c r="AX1003" s="4" t="s">
        <v>2768</v>
      </c>
      <c r="AY1003" s="4">
        <v>51</v>
      </c>
      <c r="AZ1003" s="4">
        <v>-117</v>
      </c>
      <c r="BA1003" s="4">
        <v>10</v>
      </c>
    </row>
    <row r="1004" spans="1:53" ht="14.25" customHeight="1" x14ac:dyDescent="0.2">
      <c r="B1004" s="4">
        <v>12</v>
      </c>
      <c r="C1004" s="4" t="s">
        <v>7666</v>
      </c>
      <c r="D1004" s="4">
        <v>771</v>
      </c>
      <c r="E1004" s="4">
        <v>2218</v>
      </c>
      <c r="F1004" s="16" t="s">
        <v>3713</v>
      </c>
      <c r="G1004" s="4" t="s">
        <v>3714</v>
      </c>
      <c r="H1004" s="4" t="s">
        <v>3715</v>
      </c>
      <c r="I1004" s="4" t="s">
        <v>1664</v>
      </c>
      <c r="J1004" s="4" t="s">
        <v>1746</v>
      </c>
      <c r="K1004" s="4">
        <v>1</v>
      </c>
      <c r="L1004" s="4">
        <v>2621</v>
      </c>
      <c r="M1004" s="6"/>
      <c r="AK1004" s="7"/>
      <c r="AO1004" s="4" t="s">
        <v>3713</v>
      </c>
      <c r="AP1004" s="4">
        <v>771</v>
      </c>
      <c r="AQ1004" s="4" t="s">
        <v>1716</v>
      </c>
      <c r="AR1004" s="4" t="s">
        <v>1717</v>
      </c>
      <c r="AS1004" s="4" t="s">
        <v>1718</v>
      </c>
      <c r="AT1004" s="4" t="s">
        <v>1719</v>
      </c>
      <c r="AU1004" s="4" t="s">
        <v>1703</v>
      </c>
      <c r="AV1004" s="4" t="s">
        <v>1720</v>
      </c>
      <c r="AW1004" s="4" t="s">
        <v>2698</v>
      </c>
      <c r="AX1004" s="4" t="s">
        <v>2699</v>
      </c>
      <c r="AY1004" s="4">
        <v>51.5</v>
      </c>
      <c r="AZ1004" s="4">
        <v>-117.1</v>
      </c>
      <c r="BA1004" s="4">
        <v>11</v>
      </c>
    </row>
    <row r="1005" spans="1:53" ht="14.25" customHeight="1" x14ac:dyDescent="0.2">
      <c r="A1005" s="4" t="s">
        <v>422</v>
      </c>
      <c r="B1005" s="4">
        <v>12</v>
      </c>
      <c r="C1005" s="4" t="s">
        <v>7666</v>
      </c>
      <c r="D1005" s="4">
        <v>772</v>
      </c>
      <c r="E1005" s="4">
        <v>2219</v>
      </c>
      <c r="F1005" s="16" t="s">
        <v>3716</v>
      </c>
      <c r="G1005" s="4" t="s">
        <v>3717</v>
      </c>
      <c r="H1005" s="4" t="s">
        <v>3718</v>
      </c>
      <c r="I1005" s="4" t="s">
        <v>1664</v>
      </c>
      <c r="J1005" s="4" t="s">
        <v>1746</v>
      </c>
      <c r="K1005" s="4">
        <v>1</v>
      </c>
      <c r="L1005" s="4">
        <v>2622</v>
      </c>
      <c r="M1005" s="6"/>
      <c r="AK1005" s="7"/>
      <c r="AO1005" s="4" t="s">
        <v>3716</v>
      </c>
      <c r="AP1005" s="4">
        <v>772</v>
      </c>
      <c r="AQ1005" s="4" t="s">
        <v>1716</v>
      </c>
      <c r="AR1005" s="4" t="s">
        <v>1717</v>
      </c>
      <c r="AS1005" s="4" t="s">
        <v>1718</v>
      </c>
      <c r="AT1005" s="4" t="s">
        <v>1719</v>
      </c>
      <c r="AU1005" s="4" t="s">
        <v>1703</v>
      </c>
      <c r="AV1005" s="4" t="s">
        <v>1720</v>
      </c>
      <c r="AW1005" s="4" t="s">
        <v>2698</v>
      </c>
      <c r="AX1005" s="4" t="s">
        <v>2699</v>
      </c>
      <c r="AY1005" s="4">
        <v>51.8</v>
      </c>
      <c r="AZ1005" s="4">
        <v>-117.9</v>
      </c>
      <c r="BA1005" s="4">
        <v>11</v>
      </c>
    </row>
    <row r="1006" spans="1:53" ht="14.25" customHeight="1" x14ac:dyDescent="0.2">
      <c r="B1006" s="4">
        <v>12</v>
      </c>
      <c r="C1006" s="4" t="s">
        <v>7666</v>
      </c>
      <c r="D1006" s="4">
        <v>773</v>
      </c>
      <c r="E1006" s="4">
        <v>2220</v>
      </c>
      <c r="F1006" s="16" t="s">
        <v>3719</v>
      </c>
      <c r="G1006" s="4" t="s">
        <v>3720</v>
      </c>
      <c r="H1006" s="4" t="s">
        <v>3721</v>
      </c>
      <c r="I1006" s="4" t="s">
        <v>1664</v>
      </c>
      <c r="J1006" s="4" t="s">
        <v>1715</v>
      </c>
      <c r="K1006" s="4">
        <v>1</v>
      </c>
      <c r="L1006" s="4">
        <v>2623</v>
      </c>
      <c r="M1006" s="6"/>
      <c r="AK1006" s="7"/>
      <c r="AO1006" s="4" t="s">
        <v>3719</v>
      </c>
      <c r="AP1006" s="4">
        <v>773</v>
      </c>
      <c r="AQ1006" s="4" t="s">
        <v>1716</v>
      </c>
      <c r="AR1006" s="4" t="s">
        <v>1717</v>
      </c>
      <c r="AS1006" s="4" t="s">
        <v>1718</v>
      </c>
      <c r="AT1006" s="4" t="s">
        <v>1719</v>
      </c>
      <c r="AU1006" s="4" t="s">
        <v>1703</v>
      </c>
      <c r="AV1006" s="4" t="s">
        <v>1720</v>
      </c>
      <c r="AW1006" s="4" t="s">
        <v>2698</v>
      </c>
      <c r="AX1006" s="4" t="s">
        <v>2699</v>
      </c>
      <c r="AY1006" s="4">
        <v>51.5</v>
      </c>
      <c r="AZ1006" s="4">
        <v>-117.9</v>
      </c>
      <c r="BA1006" s="4">
        <v>13</v>
      </c>
    </row>
    <row r="1007" spans="1:53" ht="14.25" customHeight="1" x14ac:dyDescent="0.2">
      <c r="B1007" s="4">
        <v>12</v>
      </c>
      <c r="C1007" s="4" t="s">
        <v>7666</v>
      </c>
      <c r="D1007" s="4">
        <v>774</v>
      </c>
      <c r="E1007" s="4">
        <v>2221</v>
      </c>
      <c r="F1007" s="16" t="s">
        <v>3722</v>
      </c>
      <c r="G1007" s="4" t="s">
        <v>3723</v>
      </c>
      <c r="H1007" s="4" t="s">
        <v>3724</v>
      </c>
      <c r="I1007" s="4" t="s">
        <v>1664</v>
      </c>
      <c r="J1007" s="4" t="s">
        <v>1715</v>
      </c>
      <c r="K1007" s="4">
        <v>1</v>
      </c>
      <c r="L1007" s="4">
        <v>2624</v>
      </c>
      <c r="M1007" s="6"/>
      <c r="AK1007" s="7"/>
      <c r="AO1007" s="27" t="s">
        <v>3722</v>
      </c>
      <c r="AP1007" s="4">
        <v>774</v>
      </c>
      <c r="AQ1007" s="4" t="s">
        <v>1716</v>
      </c>
      <c r="AR1007" s="4" t="s">
        <v>1717</v>
      </c>
      <c r="AS1007" s="4" t="s">
        <v>1718</v>
      </c>
      <c r="AT1007" s="4" t="s">
        <v>1719</v>
      </c>
      <c r="AU1007" s="4" t="s">
        <v>1703</v>
      </c>
      <c r="AV1007" s="4" t="s">
        <v>1720</v>
      </c>
      <c r="AW1007" s="4" t="s">
        <v>2698</v>
      </c>
      <c r="AX1007" s="4" t="s">
        <v>2768</v>
      </c>
      <c r="AY1007" s="4">
        <v>50.9</v>
      </c>
      <c r="AZ1007" s="4">
        <v>-116.9</v>
      </c>
      <c r="BA1007" s="4">
        <v>14</v>
      </c>
    </row>
    <row r="1008" spans="1:53" ht="14.25" customHeight="1" x14ac:dyDescent="0.2">
      <c r="B1008" s="4">
        <v>12</v>
      </c>
      <c r="C1008" s="4" t="s">
        <v>7666</v>
      </c>
      <c r="D1008" s="4">
        <v>775</v>
      </c>
      <c r="E1008" s="4">
        <v>2222</v>
      </c>
      <c r="F1008" s="16" t="s">
        <v>3725</v>
      </c>
      <c r="G1008" s="4" t="s">
        <v>3726</v>
      </c>
      <c r="H1008" s="4" t="s">
        <v>3727</v>
      </c>
      <c r="I1008" s="4" t="s">
        <v>1664</v>
      </c>
      <c r="J1008" s="4" t="s">
        <v>1715</v>
      </c>
      <c r="K1008" s="4">
        <v>1</v>
      </c>
      <c r="L1008" s="4">
        <v>2625</v>
      </c>
      <c r="M1008" s="6"/>
      <c r="AK1008" s="7"/>
      <c r="AO1008" s="4" t="s">
        <v>3725</v>
      </c>
      <c r="AP1008" s="4">
        <v>775</v>
      </c>
      <c r="AQ1008" s="4" t="s">
        <v>1716</v>
      </c>
      <c r="AR1008" s="4" t="s">
        <v>1717</v>
      </c>
      <c r="AS1008" s="4" t="s">
        <v>1718</v>
      </c>
      <c r="AT1008" s="4" t="s">
        <v>1719</v>
      </c>
      <c r="AU1008" s="4" t="s">
        <v>1703</v>
      </c>
      <c r="AV1008" s="4" t="s">
        <v>1720</v>
      </c>
      <c r="AW1008" s="4" t="s">
        <v>2698</v>
      </c>
      <c r="AX1008" s="4" t="s">
        <v>2699</v>
      </c>
      <c r="AY1008" s="4">
        <v>51.5</v>
      </c>
      <c r="AZ1008" s="4">
        <v>-117.2</v>
      </c>
      <c r="BA1008" s="4">
        <v>9</v>
      </c>
    </row>
    <row r="1009" spans="1:53" ht="14.25" customHeight="1" x14ac:dyDescent="0.2">
      <c r="B1009" s="4">
        <v>12</v>
      </c>
      <c r="C1009" s="4" t="s">
        <v>7666</v>
      </c>
      <c r="D1009" s="4">
        <v>776</v>
      </c>
      <c r="E1009" s="4">
        <v>2223</v>
      </c>
      <c r="F1009" s="16" t="s">
        <v>3728</v>
      </c>
      <c r="G1009" s="4" t="s">
        <v>3729</v>
      </c>
      <c r="H1009" s="4" t="s">
        <v>3730</v>
      </c>
      <c r="I1009" s="4" t="s">
        <v>1664</v>
      </c>
      <c r="J1009" s="4" t="s">
        <v>1715</v>
      </c>
      <c r="K1009" s="4">
        <v>1</v>
      </c>
      <c r="L1009" s="4">
        <v>2626</v>
      </c>
      <c r="M1009" s="6"/>
      <c r="AK1009" s="7"/>
      <c r="AO1009" s="4" t="s">
        <v>3728</v>
      </c>
      <c r="AP1009" s="4">
        <v>776</v>
      </c>
      <c r="AQ1009" s="4" t="s">
        <v>1716</v>
      </c>
      <c r="AR1009" s="4" t="s">
        <v>1717</v>
      </c>
      <c r="AS1009" s="4" t="s">
        <v>1718</v>
      </c>
      <c r="AT1009" s="4" t="s">
        <v>1719</v>
      </c>
      <c r="AU1009" s="4" t="s">
        <v>1703</v>
      </c>
      <c r="AV1009" s="4" t="s">
        <v>1720</v>
      </c>
      <c r="AW1009" s="4" t="s">
        <v>2698</v>
      </c>
      <c r="AX1009" s="4" t="s">
        <v>2699</v>
      </c>
      <c r="AY1009" s="4">
        <v>51.4</v>
      </c>
      <c r="AZ1009" s="4">
        <v>-117.5</v>
      </c>
      <c r="BA1009" s="4">
        <v>11</v>
      </c>
    </row>
    <row r="1010" spans="1:53" ht="14.25" customHeight="1" x14ac:dyDescent="0.2">
      <c r="B1010" s="4">
        <v>12</v>
      </c>
      <c r="C1010" s="4" t="s">
        <v>7666</v>
      </c>
      <c r="D1010" s="4">
        <v>777</v>
      </c>
      <c r="E1010" s="4">
        <v>2224</v>
      </c>
      <c r="F1010" s="16" t="s">
        <v>3731</v>
      </c>
      <c r="G1010" s="4" t="s">
        <v>3732</v>
      </c>
      <c r="H1010" s="4" t="s">
        <v>3733</v>
      </c>
      <c r="I1010" s="4" t="s">
        <v>1664</v>
      </c>
      <c r="J1010" s="4" t="s">
        <v>1715</v>
      </c>
      <c r="K1010" s="4">
        <v>1</v>
      </c>
      <c r="L1010" s="4">
        <v>2627</v>
      </c>
      <c r="M1010" s="6"/>
      <c r="AK1010" s="7"/>
      <c r="AO1010" s="4" t="s">
        <v>3731</v>
      </c>
      <c r="AP1010" s="4">
        <v>777</v>
      </c>
      <c r="AQ1010" s="4" t="s">
        <v>1716</v>
      </c>
      <c r="AR1010" s="4" t="s">
        <v>1717</v>
      </c>
      <c r="AS1010" s="4" t="s">
        <v>1718</v>
      </c>
      <c r="AT1010" s="4" t="s">
        <v>1719</v>
      </c>
      <c r="AU1010" s="4" t="s">
        <v>1703</v>
      </c>
      <c r="AV1010" s="4" t="s">
        <v>1720</v>
      </c>
      <c r="AW1010" s="4" t="s">
        <v>2698</v>
      </c>
      <c r="AX1010" s="4" t="s">
        <v>2699</v>
      </c>
      <c r="AY1010" s="4">
        <v>51.5</v>
      </c>
      <c r="AZ1010" s="4">
        <v>-117.5</v>
      </c>
      <c r="BA1010" s="4">
        <v>5</v>
      </c>
    </row>
    <row r="1011" spans="1:53" ht="14.25" customHeight="1" x14ac:dyDescent="0.2">
      <c r="B1011" s="4">
        <v>12</v>
      </c>
      <c r="C1011" s="4" t="s">
        <v>7666</v>
      </c>
      <c r="D1011" s="4">
        <v>779</v>
      </c>
      <c r="E1011" s="4">
        <v>2226</v>
      </c>
      <c r="F1011" s="16" t="s">
        <v>3734</v>
      </c>
      <c r="G1011" s="4" t="s">
        <v>3735</v>
      </c>
      <c r="H1011" s="4" t="s">
        <v>3736</v>
      </c>
      <c r="I1011" s="4" t="s">
        <v>1664</v>
      </c>
      <c r="J1011" s="4" t="s">
        <v>1746</v>
      </c>
      <c r="K1011" s="4">
        <v>1</v>
      </c>
      <c r="L1011" s="4">
        <v>2629</v>
      </c>
      <c r="M1011" s="62"/>
      <c r="N1011" s="34"/>
      <c r="P1011" s="34"/>
      <c r="R1011" s="34"/>
      <c r="T1011" s="35"/>
      <c r="W1011" s="34"/>
      <c r="AK1011" s="7"/>
      <c r="AO1011" s="4" t="s">
        <v>3734</v>
      </c>
      <c r="AP1011" s="4">
        <v>779</v>
      </c>
      <c r="AQ1011" s="4" t="s">
        <v>1716</v>
      </c>
      <c r="AR1011" s="4" t="s">
        <v>1717</v>
      </c>
      <c r="AS1011" s="4" t="s">
        <v>1718</v>
      </c>
      <c r="AT1011" s="4" t="s">
        <v>1719</v>
      </c>
      <c r="AU1011" s="4" t="s">
        <v>1703</v>
      </c>
      <c r="AV1011" s="4" t="s">
        <v>1720</v>
      </c>
      <c r="AW1011" s="4" t="s">
        <v>2698</v>
      </c>
      <c r="AX1011" s="4" t="s">
        <v>2699</v>
      </c>
      <c r="AY1011" s="4">
        <v>51.4</v>
      </c>
      <c r="AZ1011" s="4">
        <v>-117.1</v>
      </c>
      <c r="BA1011" s="4">
        <v>13</v>
      </c>
    </row>
    <row r="1012" spans="1:53" ht="14.25" customHeight="1" x14ac:dyDescent="0.2">
      <c r="A1012" s="4" t="s">
        <v>422</v>
      </c>
      <c r="B1012" s="4">
        <v>12</v>
      </c>
      <c r="C1012" s="4" t="s">
        <v>7666</v>
      </c>
      <c r="D1012" s="4">
        <v>780</v>
      </c>
      <c r="E1012" s="4">
        <v>2227</v>
      </c>
      <c r="F1012" s="16" t="s">
        <v>3737</v>
      </c>
      <c r="G1012" s="4" t="s">
        <v>3738</v>
      </c>
      <c r="H1012" s="4" t="s">
        <v>3739</v>
      </c>
      <c r="I1012" s="4" t="s">
        <v>1664</v>
      </c>
      <c r="J1012" s="4" t="s">
        <v>1746</v>
      </c>
      <c r="K1012" s="4">
        <v>1</v>
      </c>
      <c r="L1012" s="4">
        <v>2630</v>
      </c>
      <c r="M1012" s="6"/>
      <c r="AK1012" s="7"/>
      <c r="AO1012" s="4" t="s">
        <v>3737</v>
      </c>
      <c r="AP1012" s="4">
        <v>780</v>
      </c>
      <c r="AQ1012" s="4" t="s">
        <v>1716</v>
      </c>
      <c r="AR1012" s="4" t="s">
        <v>1717</v>
      </c>
      <c r="AS1012" s="4" t="s">
        <v>1718</v>
      </c>
      <c r="AT1012" s="4" t="s">
        <v>1719</v>
      </c>
      <c r="AU1012" s="4" t="s">
        <v>1703</v>
      </c>
      <c r="AV1012" s="4" t="s">
        <v>1720</v>
      </c>
      <c r="AW1012" s="4" t="s">
        <v>2698</v>
      </c>
      <c r="AX1012" s="4" t="s">
        <v>2797</v>
      </c>
      <c r="AY1012" s="4">
        <v>50.8</v>
      </c>
      <c r="AZ1012" s="4">
        <v>-117.8</v>
      </c>
      <c r="BA1012" s="4">
        <v>12</v>
      </c>
    </row>
    <row r="1013" spans="1:53" ht="14.25" customHeight="1" x14ac:dyDescent="0.2">
      <c r="A1013" s="4" t="s">
        <v>422</v>
      </c>
      <c r="B1013" s="4">
        <v>12</v>
      </c>
      <c r="C1013" s="4" t="s">
        <v>7666</v>
      </c>
      <c r="D1013" s="4">
        <v>781</v>
      </c>
      <c r="E1013" s="4">
        <v>2228</v>
      </c>
      <c r="F1013" s="16" t="s">
        <v>3740</v>
      </c>
      <c r="G1013" s="4" t="s">
        <v>3741</v>
      </c>
      <c r="H1013" s="4" t="s">
        <v>3742</v>
      </c>
      <c r="I1013" s="4" t="s">
        <v>1664</v>
      </c>
      <c r="J1013" s="4" t="s">
        <v>1746</v>
      </c>
      <c r="K1013" s="4">
        <v>1</v>
      </c>
      <c r="L1013" s="4">
        <v>2631</v>
      </c>
      <c r="M1013" s="6"/>
      <c r="W1013" s="34"/>
      <c r="AK1013" s="7"/>
      <c r="AO1013" s="4" t="s">
        <v>3740</v>
      </c>
      <c r="AP1013" s="4">
        <v>781</v>
      </c>
      <c r="AQ1013" s="4" t="s">
        <v>1716</v>
      </c>
      <c r="AR1013" s="4" t="s">
        <v>1717</v>
      </c>
      <c r="AS1013" s="4" t="s">
        <v>1718</v>
      </c>
      <c r="AT1013" s="4" t="s">
        <v>1719</v>
      </c>
      <c r="AU1013" s="4" t="s">
        <v>1703</v>
      </c>
      <c r="AV1013" s="4" t="s">
        <v>1720</v>
      </c>
      <c r="AW1013" s="4" t="s">
        <v>2698</v>
      </c>
      <c r="AX1013" s="4" t="s">
        <v>2699</v>
      </c>
      <c r="AY1013" s="4">
        <v>51.5</v>
      </c>
      <c r="AZ1013" s="4">
        <v>-117.2</v>
      </c>
      <c r="BA1013" s="4">
        <v>13</v>
      </c>
    </row>
    <row r="1014" spans="1:53" ht="14.25" customHeight="1" x14ac:dyDescent="0.2">
      <c r="A1014" s="4" t="s">
        <v>422</v>
      </c>
      <c r="B1014" s="4">
        <v>12</v>
      </c>
      <c r="C1014" s="4" t="s">
        <v>7666</v>
      </c>
      <c r="D1014" s="4">
        <v>782</v>
      </c>
      <c r="E1014" s="4">
        <v>2229</v>
      </c>
      <c r="F1014" s="16" t="s">
        <v>3743</v>
      </c>
      <c r="G1014" s="4" t="s">
        <v>3744</v>
      </c>
      <c r="H1014" s="4" t="s">
        <v>3745</v>
      </c>
      <c r="I1014" s="4" t="s">
        <v>1664</v>
      </c>
      <c r="J1014" s="4" t="s">
        <v>1746</v>
      </c>
      <c r="K1014" s="4">
        <v>1</v>
      </c>
      <c r="L1014" s="4">
        <v>2632</v>
      </c>
      <c r="M1014" s="62"/>
      <c r="N1014" s="34"/>
      <c r="P1014" s="34"/>
      <c r="R1014" s="34"/>
      <c r="T1014" s="35"/>
      <c r="AK1014" s="7"/>
      <c r="AO1014" s="4" t="s">
        <v>3743</v>
      </c>
      <c r="AP1014" s="4">
        <v>782</v>
      </c>
      <c r="AQ1014" s="4" t="s">
        <v>1716</v>
      </c>
      <c r="AR1014" s="4" t="s">
        <v>1717</v>
      </c>
      <c r="AS1014" s="4" t="s">
        <v>1718</v>
      </c>
      <c r="AT1014" s="4" t="s">
        <v>1719</v>
      </c>
      <c r="AU1014" s="4" t="s">
        <v>1703</v>
      </c>
      <c r="AV1014" s="4" t="s">
        <v>1720</v>
      </c>
      <c r="AW1014" s="4" t="s">
        <v>2698</v>
      </c>
      <c r="AX1014" s="4" t="s">
        <v>2699</v>
      </c>
      <c r="AY1014" s="4">
        <v>52</v>
      </c>
      <c r="AZ1014" s="4">
        <v>-117.5</v>
      </c>
      <c r="BA1014" s="4">
        <v>10</v>
      </c>
    </row>
    <row r="1015" spans="1:53" ht="14.25" customHeight="1" x14ac:dyDescent="0.2">
      <c r="A1015" s="4" t="s">
        <v>422</v>
      </c>
      <c r="B1015" s="4">
        <v>12</v>
      </c>
      <c r="C1015" s="4" t="s">
        <v>7666</v>
      </c>
      <c r="D1015" s="4">
        <v>783</v>
      </c>
      <c r="E1015" s="4">
        <v>2230</v>
      </c>
      <c r="F1015" s="16" t="s">
        <v>3746</v>
      </c>
      <c r="G1015" s="4" t="s">
        <v>3747</v>
      </c>
      <c r="H1015" s="4" t="s">
        <v>3748</v>
      </c>
      <c r="I1015" s="4" t="s">
        <v>1664</v>
      </c>
      <c r="J1015" s="4" t="s">
        <v>1746</v>
      </c>
      <c r="K1015" s="4">
        <v>1</v>
      </c>
      <c r="L1015" s="4">
        <v>2633</v>
      </c>
      <c r="M1015" s="6"/>
      <c r="AK1015" s="7"/>
      <c r="AO1015" s="4" t="s">
        <v>3746</v>
      </c>
      <c r="AP1015" s="4">
        <v>783</v>
      </c>
      <c r="AQ1015" s="4" t="s">
        <v>1716</v>
      </c>
      <c r="AR1015" s="4" t="s">
        <v>1717</v>
      </c>
      <c r="AS1015" s="4" t="s">
        <v>1718</v>
      </c>
      <c r="AT1015" s="4" t="s">
        <v>1719</v>
      </c>
      <c r="AU1015" s="4" t="s">
        <v>1703</v>
      </c>
      <c r="AV1015" s="4" t="s">
        <v>1720</v>
      </c>
      <c r="AW1015" s="4" t="s">
        <v>2698</v>
      </c>
      <c r="AX1015" s="4" t="s">
        <v>2801</v>
      </c>
      <c r="AY1015" s="4">
        <v>50</v>
      </c>
      <c r="AZ1015" s="4">
        <v>-117</v>
      </c>
      <c r="BA1015" s="4">
        <v>11</v>
      </c>
    </row>
    <row r="1016" spans="1:53" ht="14.25" customHeight="1" x14ac:dyDescent="0.2">
      <c r="B1016" s="4">
        <v>12</v>
      </c>
      <c r="C1016" s="4" t="s">
        <v>7666</v>
      </c>
      <c r="D1016" s="4">
        <v>784</v>
      </c>
      <c r="E1016" s="4">
        <v>2231</v>
      </c>
      <c r="F1016" s="16" t="s">
        <v>3749</v>
      </c>
      <c r="G1016" s="4" t="s">
        <v>3750</v>
      </c>
      <c r="H1016" s="4" t="s">
        <v>3751</v>
      </c>
      <c r="I1016" s="4" t="s">
        <v>1664</v>
      </c>
      <c r="J1016" s="4" t="s">
        <v>1715</v>
      </c>
      <c r="K1016" s="4">
        <v>1</v>
      </c>
      <c r="L1016" s="4">
        <v>2634</v>
      </c>
      <c r="M1016" s="62"/>
      <c r="N1016" s="34"/>
      <c r="R1016" s="34"/>
      <c r="T1016" s="35"/>
      <c r="W1016" s="34"/>
      <c r="AK1016" s="7"/>
      <c r="AO1016" s="4" t="s">
        <v>3749</v>
      </c>
      <c r="AP1016" s="4">
        <v>784</v>
      </c>
      <c r="AQ1016" s="4" t="s">
        <v>1716</v>
      </c>
      <c r="AR1016" s="4" t="s">
        <v>1717</v>
      </c>
      <c r="AS1016" s="4" t="s">
        <v>1718</v>
      </c>
      <c r="AT1016" s="4" t="s">
        <v>1719</v>
      </c>
      <c r="AU1016" s="4" t="s">
        <v>1703</v>
      </c>
      <c r="AV1016" s="4" t="s">
        <v>1720</v>
      </c>
      <c r="AW1016" s="4" t="s">
        <v>2698</v>
      </c>
      <c r="AX1016" s="4" t="s">
        <v>2827</v>
      </c>
      <c r="AY1016" s="4">
        <v>49.2</v>
      </c>
      <c r="AZ1016" s="4">
        <v>-118.4</v>
      </c>
      <c r="BA1016" s="4">
        <v>10</v>
      </c>
    </row>
    <row r="1017" spans="1:53" ht="14.25" customHeight="1" x14ac:dyDescent="0.2">
      <c r="B1017" s="4">
        <v>12</v>
      </c>
      <c r="C1017" s="4" t="s">
        <v>7666</v>
      </c>
      <c r="D1017" s="4">
        <v>785</v>
      </c>
      <c r="E1017" s="4">
        <v>2232</v>
      </c>
      <c r="F1017" s="16" t="s">
        <v>3752</v>
      </c>
      <c r="G1017" s="4" t="s">
        <v>3753</v>
      </c>
      <c r="H1017" s="4" t="s">
        <v>3253</v>
      </c>
      <c r="I1017" s="4" t="s">
        <v>1664</v>
      </c>
      <c r="J1017" s="4" t="s">
        <v>1715</v>
      </c>
      <c r="K1017" s="4">
        <v>1</v>
      </c>
      <c r="L1017" s="4">
        <v>2635</v>
      </c>
      <c r="M1017" s="62"/>
      <c r="N1017" s="34"/>
      <c r="R1017" s="34"/>
      <c r="T1017" s="35"/>
      <c r="W1017" s="34"/>
      <c r="AK1017" s="7"/>
      <c r="AO1017" s="4" t="s">
        <v>3752</v>
      </c>
      <c r="AP1017" s="4">
        <v>785</v>
      </c>
      <c r="AQ1017" s="4" t="s">
        <v>1716</v>
      </c>
      <c r="AR1017" s="4" t="s">
        <v>1717</v>
      </c>
      <c r="AS1017" s="4" t="s">
        <v>1718</v>
      </c>
      <c r="AT1017" s="4" t="s">
        <v>1719</v>
      </c>
      <c r="AU1017" s="4" t="s">
        <v>1703</v>
      </c>
      <c r="AV1017" s="4" t="s">
        <v>1720</v>
      </c>
      <c r="AW1017" s="4" t="s">
        <v>2698</v>
      </c>
      <c r="AX1017" s="4" t="s">
        <v>2827</v>
      </c>
      <c r="AY1017" s="4">
        <v>49.1</v>
      </c>
      <c r="AZ1017" s="4">
        <v>-118.1</v>
      </c>
      <c r="BA1017" s="4">
        <v>11</v>
      </c>
    </row>
    <row r="1018" spans="1:53" ht="14.25" customHeight="1" x14ac:dyDescent="0.2">
      <c r="B1018" s="4">
        <v>12</v>
      </c>
      <c r="C1018" s="4" t="s">
        <v>7666</v>
      </c>
      <c r="D1018" s="4">
        <v>786</v>
      </c>
      <c r="E1018" s="4">
        <v>2233</v>
      </c>
      <c r="F1018" s="16" t="s">
        <v>3754</v>
      </c>
      <c r="G1018" s="4" t="s">
        <v>3755</v>
      </c>
      <c r="H1018" s="4" t="s">
        <v>3756</v>
      </c>
      <c r="I1018" s="4" t="s">
        <v>1664</v>
      </c>
      <c r="J1018" s="4" t="s">
        <v>1746</v>
      </c>
      <c r="K1018" s="4">
        <v>1</v>
      </c>
      <c r="L1018" s="4">
        <v>2636</v>
      </c>
      <c r="M1018" s="6"/>
      <c r="W1018" s="34"/>
      <c r="AK1018" s="7"/>
      <c r="AO1018" s="4" t="s">
        <v>3754</v>
      </c>
      <c r="AP1018" s="4">
        <v>786</v>
      </c>
      <c r="AQ1018" s="4" t="s">
        <v>1716</v>
      </c>
      <c r="AR1018" s="4" t="s">
        <v>1717</v>
      </c>
      <c r="AS1018" s="4" t="s">
        <v>1718</v>
      </c>
      <c r="AT1018" s="4" t="s">
        <v>1719</v>
      </c>
      <c r="AU1018" s="4" t="s">
        <v>1703</v>
      </c>
      <c r="AV1018" s="4" t="s">
        <v>1720</v>
      </c>
      <c r="AW1018" s="4" t="s">
        <v>2698</v>
      </c>
      <c r="AX1018" s="4" t="s">
        <v>2827</v>
      </c>
      <c r="AY1018" s="4">
        <v>49.2</v>
      </c>
      <c r="AZ1018" s="4">
        <v>-118.5</v>
      </c>
      <c r="BA1018" s="4">
        <v>8</v>
      </c>
    </row>
    <row r="1019" spans="1:53" ht="14.25" customHeight="1" x14ac:dyDescent="0.2">
      <c r="B1019" s="4">
        <v>12</v>
      </c>
      <c r="C1019" s="4" t="s">
        <v>7666</v>
      </c>
      <c r="D1019" s="4">
        <v>787</v>
      </c>
      <c r="E1019" s="4">
        <v>2234</v>
      </c>
      <c r="F1019" s="16" t="s">
        <v>3757</v>
      </c>
      <c r="G1019" s="4" t="s">
        <v>3758</v>
      </c>
      <c r="H1019" s="4" t="s">
        <v>3759</v>
      </c>
      <c r="I1019" s="4" t="s">
        <v>641</v>
      </c>
      <c r="J1019" s="4" t="s">
        <v>1715</v>
      </c>
      <c r="K1019" s="4">
        <v>1</v>
      </c>
      <c r="L1019" s="4">
        <v>2637</v>
      </c>
      <c r="M1019" s="62"/>
      <c r="N1019" s="34"/>
      <c r="R1019" s="34"/>
      <c r="T1019" s="35"/>
      <c r="W1019" s="34"/>
      <c r="AK1019" s="7"/>
      <c r="AO1019" s="4" t="s">
        <v>3757</v>
      </c>
      <c r="AP1019" s="4">
        <v>787</v>
      </c>
      <c r="AQ1019" s="4" t="s">
        <v>1716</v>
      </c>
      <c r="AR1019" s="4" t="s">
        <v>1717</v>
      </c>
      <c r="AS1019" s="4" t="s">
        <v>1718</v>
      </c>
      <c r="AT1019" s="4" t="s">
        <v>1703</v>
      </c>
      <c r="AU1019" s="4" t="s">
        <v>1703</v>
      </c>
      <c r="AV1019" s="4" t="s">
        <v>1720</v>
      </c>
      <c r="AW1019" s="4" t="s">
        <v>2698</v>
      </c>
      <c r="AX1019" s="4" t="s">
        <v>2801</v>
      </c>
      <c r="AY1019" s="4">
        <v>49.04</v>
      </c>
      <c r="AZ1019" s="4">
        <v>-116.9383</v>
      </c>
      <c r="BA1019" s="4">
        <v>1507</v>
      </c>
    </row>
    <row r="1020" spans="1:53" ht="14.25" customHeight="1" x14ac:dyDescent="0.2">
      <c r="A1020" s="4" t="s">
        <v>88</v>
      </c>
      <c r="B1020" s="4">
        <v>12</v>
      </c>
      <c r="C1020" s="4" t="s">
        <v>7666</v>
      </c>
      <c r="D1020" s="4">
        <v>788</v>
      </c>
      <c r="E1020" s="4">
        <v>2235</v>
      </c>
      <c r="F1020" s="4" t="s">
        <v>3760</v>
      </c>
      <c r="G1020" s="26" t="s">
        <v>3761</v>
      </c>
      <c r="H1020" s="4" t="s">
        <v>3762</v>
      </c>
      <c r="I1020" s="4" t="s">
        <v>641</v>
      </c>
      <c r="J1020" s="4" t="s">
        <v>1891</v>
      </c>
      <c r="K1020" s="4">
        <v>1</v>
      </c>
      <c r="L1020" s="4">
        <v>2638</v>
      </c>
      <c r="M1020" s="62">
        <v>50.0867</v>
      </c>
      <c r="N1020" s="34">
        <v>-114.8997</v>
      </c>
      <c r="O1020" s="9" t="s">
        <v>170</v>
      </c>
      <c r="P1020" s="9">
        <v>788</v>
      </c>
      <c r="Q1020" s="20">
        <v>5</v>
      </c>
      <c r="R1020" s="34" t="s">
        <v>3760</v>
      </c>
      <c r="S1020" s="9" t="s">
        <v>1737</v>
      </c>
      <c r="T1020" s="35">
        <v>1647</v>
      </c>
      <c r="U1020" s="9"/>
      <c r="V1020" s="9"/>
      <c r="W1020" s="21">
        <v>36892</v>
      </c>
      <c r="X1020" s="9" t="s">
        <v>1738</v>
      </c>
      <c r="AK1020" s="7"/>
      <c r="AO1020" s="4" t="s">
        <v>3760</v>
      </c>
      <c r="AP1020" s="4">
        <v>788</v>
      </c>
      <c r="AQ1020" s="4" t="s">
        <v>1700</v>
      </c>
      <c r="AR1020" s="4" t="s">
        <v>1739</v>
      </c>
      <c r="AS1020" s="4" t="s">
        <v>1740</v>
      </c>
      <c r="AT1020" s="4" t="s">
        <v>1741</v>
      </c>
      <c r="AU1020" s="4" t="s">
        <v>1959</v>
      </c>
      <c r="AV1020" s="4" t="s">
        <v>1720</v>
      </c>
      <c r="AW1020" s="4" t="s">
        <v>2698</v>
      </c>
      <c r="AX1020" s="4" t="s">
        <v>2902</v>
      </c>
      <c r="AY1020" s="4">
        <v>50.082000000000001</v>
      </c>
      <c r="AZ1020" s="4">
        <v>-114.9004</v>
      </c>
      <c r="BA1020" s="4">
        <v>1647</v>
      </c>
    </row>
    <row r="1021" spans="1:53" ht="14.25" customHeight="1" x14ac:dyDescent="0.2">
      <c r="A1021" s="4" t="s">
        <v>2037</v>
      </c>
      <c r="B1021" s="4">
        <v>12</v>
      </c>
      <c r="C1021" s="4" t="s">
        <v>7666</v>
      </c>
      <c r="D1021" s="4">
        <v>789</v>
      </c>
      <c r="E1021" s="4">
        <v>2236</v>
      </c>
      <c r="F1021" s="8" t="s">
        <v>3763</v>
      </c>
      <c r="G1021" s="4" t="s">
        <v>3764</v>
      </c>
      <c r="H1021" s="4" t="s">
        <v>3765</v>
      </c>
      <c r="I1021" s="4" t="s">
        <v>641</v>
      </c>
      <c r="J1021" s="4" t="s">
        <v>1891</v>
      </c>
      <c r="K1021" s="4">
        <v>1</v>
      </c>
      <c r="L1021" s="4">
        <v>2639</v>
      </c>
      <c r="M1021" s="6">
        <v>49.453899999999997</v>
      </c>
      <c r="N1021" s="9">
        <v>-115.9872</v>
      </c>
      <c r="O1021" s="9" t="s">
        <v>170</v>
      </c>
      <c r="P1021" s="9">
        <v>789</v>
      </c>
      <c r="Q1021" s="20">
        <v>5</v>
      </c>
      <c r="R1021" s="9" t="s">
        <v>3766</v>
      </c>
      <c r="S1021" s="9" t="s">
        <v>1737</v>
      </c>
      <c r="T1021" s="9">
        <v>1572</v>
      </c>
      <c r="U1021" s="9"/>
      <c r="V1021" s="9"/>
      <c r="W1021" s="66">
        <v>36892</v>
      </c>
      <c r="X1021" s="9" t="s">
        <v>1738</v>
      </c>
      <c r="AK1021" s="7"/>
      <c r="AO1021" s="4" t="s">
        <v>3767</v>
      </c>
      <c r="AP1021" s="4">
        <v>789</v>
      </c>
      <c r="AQ1021" s="4" t="s">
        <v>1716</v>
      </c>
      <c r="AR1021" s="4" t="s">
        <v>2441</v>
      </c>
      <c r="AS1021" s="4" t="s">
        <v>1740</v>
      </c>
      <c r="AT1021" s="4" t="s">
        <v>1835</v>
      </c>
      <c r="AU1021" s="4" t="s">
        <v>1959</v>
      </c>
      <c r="AV1021" s="4" t="s">
        <v>1720</v>
      </c>
      <c r="AW1021" s="4" t="s">
        <v>2698</v>
      </c>
      <c r="AX1021" s="4" t="s">
        <v>2902</v>
      </c>
      <c r="AY1021" s="4">
        <v>49.453899999999997</v>
      </c>
      <c r="AZ1021" s="4">
        <v>-115.9872</v>
      </c>
      <c r="BA1021" s="4">
        <v>1572</v>
      </c>
    </row>
    <row r="1022" spans="1:53" ht="14.25" customHeight="1" x14ac:dyDescent="0.2">
      <c r="A1022" s="4" t="s">
        <v>88</v>
      </c>
      <c r="B1022" s="4">
        <v>12</v>
      </c>
      <c r="C1022" s="4" t="s">
        <v>7666</v>
      </c>
      <c r="D1022" s="4">
        <v>790</v>
      </c>
      <c r="E1022" s="4">
        <v>2237</v>
      </c>
      <c r="F1022" s="4" t="s">
        <v>3768</v>
      </c>
      <c r="G1022" s="8" t="s">
        <v>3769</v>
      </c>
      <c r="H1022" s="4" t="s">
        <v>3770</v>
      </c>
      <c r="I1022" s="4" t="s">
        <v>641</v>
      </c>
      <c r="J1022" s="4" t="s">
        <v>1865</v>
      </c>
      <c r="K1022" s="4">
        <v>1</v>
      </c>
      <c r="L1022" s="4">
        <v>2640</v>
      </c>
      <c r="M1022" s="6">
        <v>50.185000000000002</v>
      </c>
      <c r="N1022" s="9">
        <v>-115.26600000000001</v>
      </c>
      <c r="O1022" s="9" t="s">
        <v>170</v>
      </c>
      <c r="P1022" s="9">
        <v>790</v>
      </c>
      <c r="Q1022" s="20">
        <v>4</v>
      </c>
      <c r="R1022" s="9" t="s">
        <v>3768</v>
      </c>
      <c r="S1022" s="9" t="s">
        <v>1737</v>
      </c>
      <c r="T1022" s="9">
        <v>1357</v>
      </c>
      <c r="U1022" s="9"/>
      <c r="V1022" s="9"/>
      <c r="W1022" s="21">
        <v>32509</v>
      </c>
      <c r="AK1022" s="7"/>
      <c r="AO1022" s="4" t="s">
        <v>3768</v>
      </c>
      <c r="AP1022" s="4">
        <v>790</v>
      </c>
      <c r="AQ1022" s="4" t="s">
        <v>1716</v>
      </c>
      <c r="AR1022" s="4" t="s">
        <v>1739</v>
      </c>
      <c r="AS1022" s="4" t="s">
        <v>1740</v>
      </c>
      <c r="AT1022" s="4" t="s">
        <v>1741</v>
      </c>
      <c r="AU1022" s="4" t="s">
        <v>1742</v>
      </c>
      <c r="AV1022" s="4" t="s">
        <v>1720</v>
      </c>
      <c r="AW1022" s="4" t="s">
        <v>2698</v>
      </c>
      <c r="AX1022" s="4" t="s">
        <v>2768</v>
      </c>
      <c r="AY1022" s="4">
        <v>50.185000000000002</v>
      </c>
      <c r="AZ1022" s="4">
        <v>-115.2676</v>
      </c>
      <c r="BA1022" s="4">
        <v>1357</v>
      </c>
    </row>
    <row r="1023" spans="1:53" ht="14.25" customHeight="1" x14ac:dyDescent="0.2">
      <c r="B1023" s="4">
        <v>12</v>
      </c>
      <c r="C1023" s="4" t="s">
        <v>7666</v>
      </c>
      <c r="D1023" s="4">
        <v>791</v>
      </c>
      <c r="E1023" s="4">
        <v>2238</v>
      </c>
      <c r="F1023" s="4" t="s">
        <v>3771</v>
      </c>
      <c r="G1023" s="4" t="s">
        <v>3772</v>
      </c>
      <c r="H1023" s="4" t="s">
        <v>3773</v>
      </c>
      <c r="I1023" s="4" t="s">
        <v>641</v>
      </c>
      <c r="J1023" s="4" t="s">
        <v>1865</v>
      </c>
      <c r="K1023" s="4">
        <v>1</v>
      </c>
      <c r="L1023" s="4">
        <v>2641</v>
      </c>
      <c r="M1023" s="6">
        <v>49.188000000000002</v>
      </c>
      <c r="N1023" s="9">
        <v>-115.542</v>
      </c>
      <c r="O1023" s="9" t="s">
        <v>170</v>
      </c>
      <c r="P1023" s="9">
        <v>791</v>
      </c>
      <c r="Q1023" s="20">
        <v>4</v>
      </c>
      <c r="R1023" s="9" t="s">
        <v>3771</v>
      </c>
      <c r="S1023" s="9" t="s">
        <v>1737</v>
      </c>
      <c r="T1023" s="9">
        <v>1372</v>
      </c>
      <c r="U1023" s="9"/>
      <c r="V1023" s="9"/>
      <c r="W1023" s="21">
        <v>32509</v>
      </c>
      <c r="X1023" s="9" t="s">
        <v>1738</v>
      </c>
      <c r="AK1023" s="7"/>
      <c r="AO1023" s="4" t="s">
        <v>3771</v>
      </c>
      <c r="AP1023" s="4">
        <v>791</v>
      </c>
      <c r="AQ1023" s="4" t="s">
        <v>1700</v>
      </c>
      <c r="AR1023" s="4" t="s">
        <v>1739</v>
      </c>
      <c r="AS1023" s="4" t="s">
        <v>1740</v>
      </c>
      <c r="AT1023" s="4" t="s">
        <v>1741</v>
      </c>
      <c r="AU1023" s="4" t="s">
        <v>1959</v>
      </c>
      <c r="AV1023" s="4" t="s">
        <v>1720</v>
      </c>
      <c r="AW1023" s="4" t="s">
        <v>2698</v>
      </c>
      <c r="AX1023" s="4" t="s">
        <v>2902</v>
      </c>
      <c r="AY1023" s="4">
        <v>49.187800000000003</v>
      </c>
      <c r="AZ1023" s="4">
        <v>-115.54170000000001</v>
      </c>
      <c r="BA1023" s="4">
        <v>1372</v>
      </c>
    </row>
    <row r="1024" spans="1:53" ht="14.25" customHeight="1" x14ac:dyDescent="0.2">
      <c r="B1024" s="4">
        <v>12</v>
      </c>
      <c r="C1024" s="4" t="s">
        <v>7666</v>
      </c>
      <c r="D1024" s="4">
        <v>792</v>
      </c>
      <c r="E1024" s="4">
        <v>2239</v>
      </c>
      <c r="F1024" s="16" t="s">
        <v>3774</v>
      </c>
      <c r="G1024" s="4" t="s">
        <v>3775</v>
      </c>
      <c r="H1024" s="4" t="s">
        <v>3776</v>
      </c>
      <c r="I1024" s="4" t="s">
        <v>1664</v>
      </c>
      <c r="J1024" s="4" t="s">
        <v>1715</v>
      </c>
      <c r="K1024" s="4">
        <v>1</v>
      </c>
      <c r="L1024" s="4">
        <v>2642</v>
      </c>
      <c r="M1024" s="62"/>
      <c r="N1024" s="34"/>
      <c r="R1024" s="34"/>
      <c r="T1024" s="35"/>
      <c r="AK1024" s="7"/>
      <c r="AO1024" s="4" t="s">
        <v>3774</v>
      </c>
      <c r="AP1024" s="4">
        <v>792</v>
      </c>
      <c r="AQ1024" s="4" t="s">
        <v>1716</v>
      </c>
      <c r="AR1024" s="4" t="s">
        <v>1717</v>
      </c>
      <c r="AS1024" s="4" t="s">
        <v>1718</v>
      </c>
      <c r="AT1024" s="4" t="s">
        <v>1719</v>
      </c>
      <c r="AU1024" s="4" t="s">
        <v>1703</v>
      </c>
      <c r="AV1024" s="4" t="s">
        <v>1720</v>
      </c>
      <c r="AW1024" s="4" t="s">
        <v>2698</v>
      </c>
      <c r="AX1024" s="4" t="s">
        <v>2768</v>
      </c>
      <c r="AY1024" s="4">
        <v>50.3</v>
      </c>
      <c r="AZ1024" s="4">
        <v>-115.3</v>
      </c>
      <c r="BA1024" s="4">
        <v>16</v>
      </c>
    </row>
    <row r="1025" spans="1:53" ht="14.25" customHeight="1" x14ac:dyDescent="0.2">
      <c r="A1025" s="4" t="s">
        <v>88</v>
      </c>
      <c r="B1025" s="4">
        <v>12</v>
      </c>
      <c r="C1025" s="4" t="s">
        <v>7666</v>
      </c>
      <c r="D1025" s="4">
        <v>793</v>
      </c>
      <c r="E1025" s="4">
        <v>2240</v>
      </c>
      <c r="F1025" s="4" t="s">
        <v>3777</v>
      </c>
      <c r="G1025" s="8" t="s">
        <v>3778</v>
      </c>
      <c r="H1025" s="4" t="s">
        <v>3779</v>
      </c>
      <c r="I1025" s="4" t="s">
        <v>641</v>
      </c>
      <c r="J1025" s="4" t="s">
        <v>1829</v>
      </c>
      <c r="K1025" s="4">
        <v>1</v>
      </c>
      <c r="L1025" s="4">
        <v>2643</v>
      </c>
      <c r="M1025" s="62">
        <v>51.176699999999997</v>
      </c>
      <c r="N1025" s="34">
        <v>-117.2303</v>
      </c>
      <c r="O1025" s="4" t="s">
        <v>170</v>
      </c>
      <c r="P1025" s="4">
        <v>793</v>
      </c>
      <c r="Q1025" s="4">
        <v>4</v>
      </c>
      <c r="R1025" s="34" t="s">
        <v>3780</v>
      </c>
      <c r="S1025" s="4" t="s">
        <v>1737</v>
      </c>
      <c r="T1025" s="35">
        <v>1518</v>
      </c>
      <c r="W1025" s="34">
        <v>36892</v>
      </c>
      <c r="X1025" s="4" t="s">
        <v>1738</v>
      </c>
      <c r="AK1025" s="7"/>
      <c r="AO1025" s="4" t="s">
        <v>3781</v>
      </c>
      <c r="AP1025" s="4">
        <v>793</v>
      </c>
      <c r="AQ1025" s="4" t="s">
        <v>1716</v>
      </c>
      <c r="AR1025" s="4" t="s">
        <v>1717</v>
      </c>
      <c r="AS1025" s="4" t="s">
        <v>1718</v>
      </c>
      <c r="AT1025" s="4" t="s">
        <v>1835</v>
      </c>
      <c r="AU1025" s="4" t="s">
        <v>1836</v>
      </c>
      <c r="AV1025" s="4" t="s">
        <v>1720</v>
      </c>
      <c r="AW1025" s="4" t="s">
        <v>2698</v>
      </c>
      <c r="AX1025" s="4" t="s">
        <v>2768</v>
      </c>
      <c r="AY1025" s="4">
        <v>51.176400000000001</v>
      </c>
      <c r="AZ1025" s="4">
        <v>-117.2317</v>
      </c>
      <c r="BA1025" s="4">
        <v>1518</v>
      </c>
    </row>
    <row r="1026" spans="1:53" ht="14.25" customHeight="1" x14ac:dyDescent="0.2">
      <c r="B1026" s="4">
        <v>12</v>
      </c>
      <c r="C1026" s="4" t="s">
        <v>7666</v>
      </c>
      <c r="D1026" s="4">
        <v>794</v>
      </c>
      <c r="E1026" s="4">
        <v>2241</v>
      </c>
      <c r="F1026" s="16" t="s">
        <v>3782</v>
      </c>
      <c r="G1026" s="4" t="s">
        <v>3783</v>
      </c>
      <c r="H1026" s="4" t="s">
        <v>3784</v>
      </c>
      <c r="I1026" s="4" t="s">
        <v>1664</v>
      </c>
      <c r="J1026" s="4" t="s">
        <v>1715</v>
      </c>
      <c r="K1026" s="4">
        <v>1</v>
      </c>
      <c r="L1026" s="4">
        <v>2644</v>
      </c>
      <c r="M1026" s="62"/>
      <c r="N1026" s="34"/>
      <c r="R1026" s="34"/>
      <c r="T1026" s="35"/>
      <c r="W1026" s="34"/>
      <c r="AK1026" s="7"/>
      <c r="AO1026" s="4" t="s">
        <v>3782</v>
      </c>
      <c r="AP1026" s="4">
        <v>794</v>
      </c>
      <c r="AQ1026" s="4" t="s">
        <v>1716</v>
      </c>
      <c r="AR1026" s="4" t="s">
        <v>1717</v>
      </c>
      <c r="AS1026" s="4" t="s">
        <v>1718</v>
      </c>
      <c r="AT1026" s="4" t="s">
        <v>1719</v>
      </c>
      <c r="AU1026" s="4" t="s">
        <v>1703</v>
      </c>
      <c r="AV1026" s="4" t="s">
        <v>1720</v>
      </c>
      <c r="AW1026" s="4" t="s">
        <v>2698</v>
      </c>
      <c r="AX1026" s="4" t="s">
        <v>2801</v>
      </c>
      <c r="AY1026" s="4">
        <v>49.3</v>
      </c>
      <c r="AZ1026" s="4">
        <v>-116.2</v>
      </c>
      <c r="BA1026" s="4">
        <v>15</v>
      </c>
    </row>
    <row r="1027" spans="1:53" ht="14.25" customHeight="1" x14ac:dyDescent="0.2">
      <c r="B1027" s="4">
        <v>12</v>
      </c>
      <c r="C1027" s="4" t="s">
        <v>7666</v>
      </c>
      <c r="D1027" s="4">
        <v>795</v>
      </c>
      <c r="E1027" s="4">
        <v>2242</v>
      </c>
      <c r="F1027" s="16" t="s">
        <v>3785</v>
      </c>
      <c r="G1027" s="67" t="s">
        <v>3786</v>
      </c>
      <c r="H1027" s="4" t="s">
        <v>3787</v>
      </c>
      <c r="I1027" s="4" t="s">
        <v>1664</v>
      </c>
      <c r="J1027" s="4" t="s">
        <v>1746</v>
      </c>
      <c r="K1027" s="4">
        <v>1</v>
      </c>
      <c r="L1027" s="4">
        <v>2645</v>
      </c>
      <c r="M1027" s="62"/>
      <c r="N1027" s="34"/>
      <c r="R1027" s="34"/>
      <c r="T1027" s="35"/>
      <c r="W1027" s="34"/>
      <c r="AK1027" s="7"/>
      <c r="AO1027" s="4" t="s">
        <v>3785</v>
      </c>
      <c r="AP1027" s="4">
        <v>795</v>
      </c>
      <c r="AQ1027" s="4" t="s">
        <v>1716</v>
      </c>
      <c r="AR1027" s="4" t="s">
        <v>1717</v>
      </c>
      <c r="AS1027" s="4" t="s">
        <v>1718</v>
      </c>
      <c r="AT1027" s="4" t="s">
        <v>1719</v>
      </c>
      <c r="AU1027" s="4" t="s">
        <v>1703</v>
      </c>
      <c r="AV1027" s="4" t="s">
        <v>1720</v>
      </c>
      <c r="AW1027" s="4" t="s">
        <v>2698</v>
      </c>
      <c r="AX1027" s="4" t="s">
        <v>2902</v>
      </c>
      <c r="AY1027" s="4">
        <v>49.2</v>
      </c>
      <c r="AZ1027" s="4">
        <v>-115.5</v>
      </c>
      <c r="BA1027" s="4">
        <v>15</v>
      </c>
    </row>
    <row r="1028" spans="1:53" ht="14.25" customHeight="1" x14ac:dyDescent="0.2">
      <c r="A1028" s="4" t="s">
        <v>422</v>
      </c>
      <c r="B1028" s="4">
        <v>12</v>
      </c>
      <c r="C1028" s="4" t="s">
        <v>7666</v>
      </c>
      <c r="D1028" s="4">
        <v>797</v>
      </c>
      <c r="E1028" s="4">
        <v>2244</v>
      </c>
      <c r="F1028" s="16" t="s">
        <v>3788</v>
      </c>
      <c r="G1028" s="4" t="s">
        <v>3789</v>
      </c>
      <c r="H1028" s="4" t="s">
        <v>3790</v>
      </c>
      <c r="I1028" s="4" t="s">
        <v>1664</v>
      </c>
      <c r="J1028" s="4" t="s">
        <v>1746</v>
      </c>
      <c r="K1028" s="4">
        <v>1</v>
      </c>
      <c r="L1028" s="4">
        <v>2647</v>
      </c>
      <c r="M1028" s="6"/>
      <c r="AK1028" s="7"/>
      <c r="AO1028" s="4" t="s">
        <v>3788</v>
      </c>
      <c r="AP1028" s="4">
        <v>797</v>
      </c>
      <c r="AQ1028" s="4" t="s">
        <v>1716</v>
      </c>
      <c r="AR1028" s="4" t="s">
        <v>1717</v>
      </c>
      <c r="AS1028" s="4" t="s">
        <v>1718</v>
      </c>
      <c r="AT1028" s="4" t="s">
        <v>1719</v>
      </c>
      <c r="AU1028" s="4" t="s">
        <v>1703</v>
      </c>
      <c r="AV1028" s="4" t="s">
        <v>1720</v>
      </c>
      <c r="AW1028" s="4" t="s">
        <v>2698</v>
      </c>
      <c r="AX1028" s="4" t="s">
        <v>2768</v>
      </c>
      <c r="AY1028" s="4">
        <v>50.3</v>
      </c>
      <c r="AZ1028" s="4">
        <v>-116.3</v>
      </c>
      <c r="BA1028" s="4">
        <v>18</v>
      </c>
    </row>
    <row r="1029" spans="1:53" ht="14.25" customHeight="1" x14ac:dyDescent="0.2">
      <c r="A1029" s="4" t="s">
        <v>422</v>
      </c>
      <c r="B1029" s="4">
        <v>12</v>
      </c>
      <c r="C1029" s="4" t="s">
        <v>7666</v>
      </c>
      <c r="D1029" s="4">
        <v>798</v>
      </c>
      <c r="E1029" s="4">
        <v>2245</v>
      </c>
      <c r="F1029" s="16" t="s">
        <v>3791</v>
      </c>
      <c r="G1029" s="4" t="s">
        <v>3792</v>
      </c>
      <c r="H1029" s="4" t="s">
        <v>3793</v>
      </c>
      <c r="I1029" s="4" t="s">
        <v>1664</v>
      </c>
      <c r="J1029" s="4" t="s">
        <v>1746</v>
      </c>
      <c r="K1029" s="4">
        <v>1</v>
      </c>
      <c r="L1029" s="4">
        <v>2648</v>
      </c>
      <c r="M1029" s="62"/>
      <c r="N1029" s="34"/>
      <c r="P1029" s="34"/>
      <c r="R1029" s="34"/>
      <c r="T1029" s="35"/>
      <c r="AK1029" s="7"/>
      <c r="AO1029" s="4" t="s">
        <v>3791</v>
      </c>
      <c r="AP1029" s="4">
        <v>798</v>
      </c>
      <c r="AQ1029" s="4" t="s">
        <v>1716</v>
      </c>
      <c r="AR1029" s="4" t="s">
        <v>1717</v>
      </c>
      <c r="AS1029" s="4" t="s">
        <v>1718</v>
      </c>
      <c r="AT1029" s="4" t="s">
        <v>1719</v>
      </c>
      <c r="AU1029" s="4" t="s">
        <v>1703</v>
      </c>
      <c r="AV1029" s="4" t="s">
        <v>1720</v>
      </c>
      <c r="AW1029" s="4" t="s">
        <v>2698</v>
      </c>
      <c r="AX1029" s="4" t="s">
        <v>2768</v>
      </c>
      <c r="AY1029" s="4">
        <v>50.3</v>
      </c>
      <c r="AZ1029" s="4">
        <v>-115.8</v>
      </c>
      <c r="BA1029" s="4">
        <v>16</v>
      </c>
    </row>
    <row r="1030" spans="1:53" ht="14.25" customHeight="1" x14ac:dyDescent="0.2">
      <c r="B1030" s="4">
        <v>12</v>
      </c>
      <c r="C1030" s="4" t="s">
        <v>7666</v>
      </c>
      <c r="D1030" s="4">
        <v>799</v>
      </c>
      <c r="E1030" s="4">
        <v>2246</v>
      </c>
      <c r="F1030" s="16" t="s">
        <v>3794</v>
      </c>
      <c r="G1030" s="4" t="s">
        <v>3795</v>
      </c>
      <c r="H1030" s="4" t="s">
        <v>3796</v>
      </c>
      <c r="I1030" s="4" t="s">
        <v>1664</v>
      </c>
      <c r="J1030" s="4" t="s">
        <v>1746</v>
      </c>
      <c r="K1030" s="4">
        <v>1</v>
      </c>
      <c r="L1030" s="4">
        <v>2649</v>
      </c>
      <c r="M1030" s="62"/>
      <c r="N1030" s="34"/>
      <c r="P1030" s="34"/>
      <c r="R1030" s="34"/>
      <c r="T1030" s="35"/>
      <c r="AK1030" s="7"/>
      <c r="AO1030" s="4" t="s">
        <v>3794</v>
      </c>
      <c r="AP1030" s="4">
        <v>799</v>
      </c>
      <c r="AQ1030" s="4" t="s">
        <v>1716</v>
      </c>
      <c r="AR1030" s="4" t="s">
        <v>1717</v>
      </c>
      <c r="AS1030" s="4" t="s">
        <v>1718</v>
      </c>
      <c r="AT1030" s="4" t="s">
        <v>1719</v>
      </c>
      <c r="AU1030" s="4" t="s">
        <v>1703</v>
      </c>
      <c r="AV1030" s="4" t="s">
        <v>1720</v>
      </c>
      <c r="AW1030" s="4" t="s">
        <v>2698</v>
      </c>
      <c r="AX1030" s="4" t="s">
        <v>2768</v>
      </c>
      <c r="AY1030" s="4">
        <v>50.3</v>
      </c>
      <c r="AZ1030" s="4">
        <v>-115.2</v>
      </c>
      <c r="BA1030" s="4">
        <v>15</v>
      </c>
    </row>
    <row r="1031" spans="1:53" ht="14.25" customHeight="1" x14ac:dyDescent="0.2">
      <c r="B1031" s="4">
        <v>12</v>
      </c>
      <c r="C1031" s="4" t="s">
        <v>7666</v>
      </c>
      <c r="D1031" s="4">
        <v>800</v>
      </c>
      <c r="E1031" s="4">
        <v>2247</v>
      </c>
      <c r="F1031" s="16" t="s">
        <v>3797</v>
      </c>
      <c r="G1031" s="4" t="s">
        <v>3798</v>
      </c>
      <c r="H1031" s="4" t="s">
        <v>3799</v>
      </c>
      <c r="I1031" s="4" t="s">
        <v>1664</v>
      </c>
      <c r="J1031" s="4" t="s">
        <v>1715</v>
      </c>
      <c r="K1031" s="4">
        <v>1</v>
      </c>
      <c r="L1031" s="4">
        <v>2650</v>
      </c>
      <c r="M1031" s="62"/>
      <c r="N1031" s="34"/>
      <c r="P1031" s="34"/>
      <c r="R1031" s="34"/>
      <c r="T1031" s="35"/>
      <c r="W1031" s="34"/>
      <c r="AK1031" s="7"/>
      <c r="AO1031" s="4" t="s">
        <v>3797</v>
      </c>
      <c r="AP1031" s="4">
        <v>800</v>
      </c>
      <c r="AQ1031" s="4" t="s">
        <v>1716</v>
      </c>
      <c r="AR1031" s="4" t="s">
        <v>1717</v>
      </c>
      <c r="AS1031" s="4" t="s">
        <v>1718</v>
      </c>
      <c r="AT1031" s="4" t="s">
        <v>1719</v>
      </c>
      <c r="AU1031" s="4" t="s">
        <v>1703</v>
      </c>
      <c r="AV1031" s="4" t="s">
        <v>1720</v>
      </c>
      <c r="AW1031" s="4" t="s">
        <v>2698</v>
      </c>
      <c r="AX1031" s="4" t="s">
        <v>2768</v>
      </c>
      <c r="AY1031" s="4">
        <v>50.4</v>
      </c>
      <c r="AZ1031" s="4">
        <v>-116.1</v>
      </c>
      <c r="BA1031" s="4">
        <v>16</v>
      </c>
    </row>
    <row r="1032" spans="1:53" ht="14.25" customHeight="1" x14ac:dyDescent="0.2">
      <c r="A1032" s="4" t="s">
        <v>422</v>
      </c>
      <c r="B1032" s="4">
        <v>12</v>
      </c>
      <c r="C1032" s="4" t="s">
        <v>7666</v>
      </c>
      <c r="D1032" s="4">
        <v>801</v>
      </c>
      <c r="E1032" s="4">
        <v>2248</v>
      </c>
      <c r="F1032" s="16" t="s">
        <v>3800</v>
      </c>
      <c r="G1032" s="4" t="s">
        <v>3801</v>
      </c>
      <c r="H1032" s="4" t="s">
        <v>3802</v>
      </c>
      <c r="I1032" s="4" t="s">
        <v>1664</v>
      </c>
      <c r="J1032" s="4" t="s">
        <v>1746</v>
      </c>
      <c r="K1032" s="4">
        <v>1</v>
      </c>
      <c r="L1032" s="4">
        <v>2651</v>
      </c>
      <c r="M1032" s="62"/>
      <c r="N1032" s="34"/>
      <c r="P1032" s="34"/>
      <c r="R1032" s="34"/>
      <c r="T1032" s="35"/>
      <c r="W1032" s="34"/>
      <c r="AK1032" s="7"/>
      <c r="AO1032" s="27" t="s">
        <v>3800</v>
      </c>
      <c r="AP1032" s="4">
        <v>801</v>
      </c>
      <c r="AQ1032" s="4" t="s">
        <v>1716</v>
      </c>
      <c r="AR1032" s="4" t="s">
        <v>1717</v>
      </c>
      <c r="AS1032" s="4" t="s">
        <v>1718</v>
      </c>
      <c r="AT1032" s="4" t="s">
        <v>1719</v>
      </c>
      <c r="AU1032" s="4" t="s">
        <v>1703</v>
      </c>
      <c r="AV1032" s="4" t="s">
        <v>1720</v>
      </c>
      <c r="AW1032" s="4" t="s">
        <v>2698</v>
      </c>
      <c r="AX1032" s="4" t="s">
        <v>2768</v>
      </c>
      <c r="AY1032" s="4">
        <v>49.9</v>
      </c>
      <c r="AZ1032" s="4">
        <v>-115.8</v>
      </c>
      <c r="BA1032" s="4">
        <v>9</v>
      </c>
    </row>
    <row r="1033" spans="1:53" ht="14.25" customHeight="1" x14ac:dyDescent="0.2">
      <c r="B1033" s="4">
        <v>12</v>
      </c>
      <c r="C1033" s="4" t="s">
        <v>7666</v>
      </c>
      <c r="D1033" s="4">
        <v>802</v>
      </c>
      <c r="E1033" s="4">
        <v>2249</v>
      </c>
      <c r="F1033" s="16" t="s">
        <v>3803</v>
      </c>
      <c r="G1033" s="4" t="s">
        <v>3804</v>
      </c>
      <c r="H1033" s="4" t="s">
        <v>3805</v>
      </c>
      <c r="I1033" s="4" t="s">
        <v>1664</v>
      </c>
      <c r="J1033" s="4" t="s">
        <v>1715</v>
      </c>
      <c r="K1033" s="4">
        <v>1</v>
      </c>
      <c r="L1033" s="4">
        <v>2652</v>
      </c>
      <c r="M1033" s="62"/>
      <c r="N1033" s="34"/>
      <c r="P1033" s="34"/>
      <c r="R1033" s="34"/>
      <c r="T1033" s="35"/>
      <c r="W1033" s="34"/>
      <c r="AK1033" s="7"/>
      <c r="AO1033" s="4" t="s">
        <v>3803</v>
      </c>
      <c r="AP1033" s="4">
        <v>802</v>
      </c>
      <c r="AQ1033" s="4" t="s">
        <v>1716</v>
      </c>
      <c r="AR1033" s="4" t="s">
        <v>1717</v>
      </c>
      <c r="AS1033" s="4" t="s">
        <v>1718</v>
      </c>
      <c r="AT1033" s="4" t="s">
        <v>1719</v>
      </c>
      <c r="AU1033" s="4" t="s">
        <v>1703</v>
      </c>
      <c r="AV1033" s="4" t="s">
        <v>1720</v>
      </c>
      <c r="AW1033" s="4" t="s">
        <v>2698</v>
      </c>
      <c r="AX1033" s="4" t="s">
        <v>2768</v>
      </c>
      <c r="AY1033" s="4">
        <v>50.1</v>
      </c>
      <c r="AZ1033" s="4">
        <v>-115.8</v>
      </c>
      <c r="BA1033" s="4">
        <v>9</v>
      </c>
    </row>
    <row r="1034" spans="1:53" ht="14.25" customHeight="1" x14ac:dyDescent="0.2">
      <c r="B1034" s="4">
        <v>12</v>
      </c>
      <c r="C1034" s="4" t="s">
        <v>7666</v>
      </c>
      <c r="D1034" s="4">
        <v>803</v>
      </c>
      <c r="E1034" s="4">
        <v>2250</v>
      </c>
      <c r="F1034" s="16" t="s">
        <v>3806</v>
      </c>
      <c r="G1034" s="4" t="s">
        <v>3807</v>
      </c>
      <c r="H1034" s="4" t="s">
        <v>3808</v>
      </c>
      <c r="I1034" s="4" t="s">
        <v>1664</v>
      </c>
      <c r="J1034" s="4" t="s">
        <v>1746</v>
      </c>
      <c r="K1034" s="4">
        <v>1</v>
      </c>
      <c r="L1034" s="4">
        <v>2653</v>
      </c>
      <c r="M1034" s="62"/>
      <c r="N1034" s="34"/>
      <c r="P1034" s="34"/>
      <c r="R1034" s="34"/>
      <c r="T1034" s="35"/>
      <c r="W1034" s="34"/>
      <c r="AK1034" s="7"/>
      <c r="AO1034" s="4" t="s">
        <v>3806</v>
      </c>
      <c r="AP1034" s="4">
        <v>803</v>
      </c>
      <c r="AQ1034" s="4" t="s">
        <v>1716</v>
      </c>
      <c r="AR1034" s="4" t="s">
        <v>1717</v>
      </c>
      <c r="AS1034" s="4" t="s">
        <v>1718</v>
      </c>
      <c r="AT1034" s="4" t="s">
        <v>1719</v>
      </c>
      <c r="AU1034" s="4" t="s">
        <v>1703</v>
      </c>
      <c r="AV1034" s="4" t="s">
        <v>1720</v>
      </c>
      <c r="AW1034" s="4" t="s">
        <v>2698</v>
      </c>
      <c r="AX1034" s="4" t="s">
        <v>2768</v>
      </c>
      <c r="AY1034" s="4">
        <v>50.4</v>
      </c>
      <c r="AZ1034" s="4">
        <v>-115.3</v>
      </c>
      <c r="BA1034" s="4">
        <v>17</v>
      </c>
    </row>
    <row r="1035" spans="1:53" ht="14.25" customHeight="1" x14ac:dyDescent="0.2">
      <c r="A1035" s="4" t="s">
        <v>422</v>
      </c>
      <c r="B1035" s="4">
        <v>12</v>
      </c>
      <c r="C1035" s="4" t="s">
        <v>7666</v>
      </c>
      <c r="D1035" s="4">
        <v>804</v>
      </c>
      <c r="E1035" s="4">
        <v>2251</v>
      </c>
      <c r="F1035" s="16" t="s">
        <v>3809</v>
      </c>
      <c r="G1035" s="67" t="s">
        <v>3810</v>
      </c>
      <c r="H1035" s="4" t="s">
        <v>3811</v>
      </c>
      <c r="I1035" s="4" t="s">
        <v>1664</v>
      </c>
      <c r="J1035" s="4" t="s">
        <v>1746</v>
      </c>
      <c r="K1035" s="4">
        <v>1</v>
      </c>
      <c r="L1035" s="4">
        <v>2654</v>
      </c>
      <c r="M1035" s="62"/>
      <c r="N1035" s="34"/>
      <c r="P1035" s="34"/>
      <c r="R1035" s="34"/>
      <c r="T1035" s="35"/>
      <c r="AK1035" s="7"/>
      <c r="AO1035" s="4" t="s">
        <v>3809</v>
      </c>
      <c r="AP1035" s="4">
        <v>804</v>
      </c>
      <c r="AQ1035" s="4" t="s">
        <v>1716</v>
      </c>
      <c r="AR1035" s="4" t="s">
        <v>1717</v>
      </c>
      <c r="AS1035" s="4" t="s">
        <v>1718</v>
      </c>
      <c r="AT1035" s="4" t="s">
        <v>1719</v>
      </c>
      <c r="AU1035" s="4" t="s">
        <v>1703</v>
      </c>
      <c r="AV1035" s="4" t="s">
        <v>1720</v>
      </c>
      <c r="AW1035" s="4" t="s">
        <v>2698</v>
      </c>
      <c r="AX1035" s="4" t="s">
        <v>2768</v>
      </c>
      <c r="AY1035" s="4">
        <v>50.2</v>
      </c>
      <c r="AZ1035" s="4">
        <v>-115.5</v>
      </c>
      <c r="BA1035" s="4">
        <v>13</v>
      </c>
    </row>
    <row r="1036" spans="1:53" ht="14.25" customHeight="1" x14ac:dyDescent="0.2">
      <c r="B1036" s="4">
        <v>12</v>
      </c>
      <c r="C1036" s="4" t="s">
        <v>7666</v>
      </c>
      <c r="D1036" s="4">
        <v>805</v>
      </c>
      <c r="E1036" s="4">
        <v>2252</v>
      </c>
      <c r="F1036" s="16" t="s">
        <v>3812</v>
      </c>
      <c r="G1036" s="67" t="s">
        <v>3813</v>
      </c>
      <c r="H1036" s="4" t="s">
        <v>3814</v>
      </c>
      <c r="I1036" s="4" t="s">
        <v>1664</v>
      </c>
      <c r="J1036" s="4" t="s">
        <v>1715</v>
      </c>
      <c r="K1036" s="4">
        <v>1</v>
      </c>
      <c r="L1036" s="4">
        <v>2655</v>
      </c>
      <c r="M1036" s="62"/>
      <c r="N1036" s="34"/>
      <c r="P1036" s="34"/>
      <c r="R1036" s="34"/>
      <c r="T1036" s="35"/>
      <c r="W1036" s="34"/>
      <c r="AK1036" s="7"/>
      <c r="AO1036" s="4" t="s">
        <v>3812</v>
      </c>
      <c r="AP1036" s="4">
        <v>805</v>
      </c>
      <c r="AQ1036" s="4" t="s">
        <v>1716</v>
      </c>
      <c r="AR1036" s="4" t="s">
        <v>1717</v>
      </c>
      <c r="AS1036" s="4" t="s">
        <v>1718</v>
      </c>
      <c r="AT1036" s="4" t="s">
        <v>1719</v>
      </c>
      <c r="AU1036" s="4" t="s">
        <v>1703</v>
      </c>
      <c r="AV1036" s="4" t="s">
        <v>1720</v>
      </c>
      <c r="AW1036" s="4" t="s">
        <v>2698</v>
      </c>
      <c r="AX1036" s="4" t="s">
        <v>2768</v>
      </c>
      <c r="AY1036" s="4">
        <v>50.1</v>
      </c>
      <c r="AZ1036" s="4">
        <v>-115.3</v>
      </c>
      <c r="BA1036" s="4">
        <v>17</v>
      </c>
    </row>
    <row r="1037" spans="1:53" ht="14.25" customHeight="1" x14ac:dyDescent="0.2">
      <c r="B1037" s="4">
        <v>12</v>
      </c>
      <c r="C1037" s="4" t="s">
        <v>7666</v>
      </c>
      <c r="D1037" s="4">
        <v>806</v>
      </c>
      <c r="E1037" s="4">
        <v>2253</v>
      </c>
      <c r="F1037" s="16" t="s">
        <v>3815</v>
      </c>
      <c r="G1037" s="4" t="s">
        <v>3816</v>
      </c>
      <c r="H1037" s="4" t="s">
        <v>3817</v>
      </c>
      <c r="I1037" s="4" t="s">
        <v>1664</v>
      </c>
      <c r="J1037" s="4" t="s">
        <v>1746</v>
      </c>
      <c r="K1037" s="4">
        <v>1</v>
      </c>
      <c r="L1037" s="4">
        <v>2656</v>
      </c>
      <c r="M1037" s="62"/>
      <c r="N1037" s="34"/>
      <c r="P1037" s="34"/>
      <c r="R1037" s="34"/>
      <c r="T1037" s="35"/>
      <c r="W1037" s="34"/>
      <c r="AK1037" s="7"/>
      <c r="AO1037" s="4" t="s">
        <v>3815</v>
      </c>
      <c r="AP1037" s="4">
        <v>806</v>
      </c>
      <c r="AQ1037" s="4" t="s">
        <v>1716</v>
      </c>
      <c r="AR1037" s="4" t="s">
        <v>1717</v>
      </c>
      <c r="AS1037" s="4" t="s">
        <v>1718</v>
      </c>
      <c r="AT1037" s="4" t="s">
        <v>1719</v>
      </c>
      <c r="AU1037" s="4" t="s">
        <v>1703</v>
      </c>
      <c r="AV1037" s="4" t="s">
        <v>1720</v>
      </c>
      <c r="AW1037" s="4" t="s">
        <v>2698</v>
      </c>
      <c r="AX1037" s="4" t="s">
        <v>2768</v>
      </c>
      <c r="AY1037" s="4">
        <v>50.7</v>
      </c>
      <c r="AZ1037" s="4">
        <v>-115.5</v>
      </c>
      <c r="BA1037" s="4">
        <v>16</v>
      </c>
    </row>
    <row r="1038" spans="1:53" ht="14.25" customHeight="1" x14ac:dyDescent="0.2">
      <c r="B1038" s="4">
        <v>12</v>
      </c>
      <c r="C1038" s="4" t="s">
        <v>7666</v>
      </c>
      <c r="D1038" s="4">
        <v>807</v>
      </c>
      <c r="E1038" s="4">
        <v>2254</v>
      </c>
      <c r="F1038" s="16" t="s">
        <v>3818</v>
      </c>
      <c r="G1038" s="4" t="s">
        <v>3819</v>
      </c>
      <c r="H1038" s="4" t="s">
        <v>3820</v>
      </c>
      <c r="I1038" s="4" t="s">
        <v>1664</v>
      </c>
      <c r="J1038" s="4" t="s">
        <v>1746</v>
      </c>
      <c r="K1038" s="4">
        <v>1</v>
      </c>
      <c r="L1038" s="4">
        <v>2657</v>
      </c>
      <c r="M1038" s="62"/>
      <c r="N1038" s="34"/>
      <c r="P1038" s="34"/>
      <c r="R1038" s="34"/>
      <c r="T1038" s="35"/>
      <c r="AK1038" s="7"/>
      <c r="AO1038" s="4" t="s">
        <v>3818</v>
      </c>
      <c r="AP1038" s="4">
        <v>807</v>
      </c>
      <c r="AQ1038" s="4" t="s">
        <v>1716</v>
      </c>
      <c r="AR1038" s="4" t="s">
        <v>1717</v>
      </c>
      <c r="AS1038" s="4" t="s">
        <v>1718</v>
      </c>
      <c r="AT1038" s="4" t="s">
        <v>1719</v>
      </c>
      <c r="AU1038" s="4" t="s">
        <v>1703</v>
      </c>
      <c r="AV1038" s="4" t="s">
        <v>1720</v>
      </c>
      <c r="AW1038" s="4" t="s">
        <v>2698</v>
      </c>
      <c r="AX1038" s="4" t="s">
        <v>2902</v>
      </c>
      <c r="AY1038" s="4">
        <v>49.3</v>
      </c>
      <c r="AZ1038" s="4">
        <v>-115.3</v>
      </c>
      <c r="BA1038" s="4">
        <v>10</v>
      </c>
    </row>
    <row r="1039" spans="1:53" ht="14.25" customHeight="1" x14ac:dyDescent="0.2">
      <c r="B1039" s="4">
        <v>12</v>
      </c>
      <c r="C1039" s="4" t="s">
        <v>7666</v>
      </c>
      <c r="D1039" s="4">
        <v>808</v>
      </c>
      <c r="E1039" s="4">
        <v>2255</v>
      </c>
      <c r="F1039" s="16" t="s">
        <v>3821</v>
      </c>
      <c r="G1039" s="4" t="s">
        <v>3822</v>
      </c>
      <c r="H1039" s="4" t="s">
        <v>3823</v>
      </c>
      <c r="I1039" s="4" t="s">
        <v>1664</v>
      </c>
      <c r="J1039" s="4" t="s">
        <v>1715</v>
      </c>
      <c r="K1039" s="4">
        <v>1</v>
      </c>
      <c r="L1039" s="4">
        <v>2658</v>
      </c>
      <c r="M1039" s="62"/>
      <c r="N1039" s="34"/>
      <c r="P1039" s="34"/>
      <c r="R1039" s="34"/>
      <c r="T1039" s="35"/>
      <c r="W1039" s="34"/>
      <c r="AK1039" s="7"/>
      <c r="AO1039" s="4" t="s">
        <v>3821</v>
      </c>
      <c r="AP1039" s="4">
        <v>808</v>
      </c>
      <c r="AQ1039" s="4" t="s">
        <v>1716</v>
      </c>
      <c r="AR1039" s="4" t="s">
        <v>1717</v>
      </c>
      <c r="AS1039" s="4" t="s">
        <v>1718</v>
      </c>
      <c r="AT1039" s="4" t="s">
        <v>1719</v>
      </c>
      <c r="AU1039" s="4" t="s">
        <v>1703</v>
      </c>
      <c r="AV1039" s="4" t="s">
        <v>1720</v>
      </c>
      <c r="AW1039" s="4" t="s">
        <v>2698</v>
      </c>
      <c r="AX1039" s="4" t="s">
        <v>2902</v>
      </c>
      <c r="AY1039" s="4">
        <v>49.3</v>
      </c>
      <c r="AZ1039" s="4">
        <v>-115.8</v>
      </c>
      <c r="BA1039" s="4">
        <v>11</v>
      </c>
    </row>
    <row r="1040" spans="1:53" ht="14.25" customHeight="1" x14ac:dyDescent="0.2">
      <c r="B1040" s="4">
        <v>12</v>
      </c>
      <c r="C1040" s="4" t="s">
        <v>7666</v>
      </c>
      <c r="D1040" s="4">
        <v>809</v>
      </c>
      <c r="E1040" s="4">
        <v>2256</v>
      </c>
      <c r="F1040" s="16" t="s">
        <v>3824</v>
      </c>
      <c r="G1040" s="4" t="s">
        <v>3825</v>
      </c>
      <c r="H1040" s="4" t="s">
        <v>3826</v>
      </c>
      <c r="I1040" s="4" t="s">
        <v>1664</v>
      </c>
      <c r="J1040" s="4" t="s">
        <v>1746</v>
      </c>
      <c r="K1040" s="4">
        <v>1</v>
      </c>
      <c r="L1040" s="4">
        <v>2659</v>
      </c>
      <c r="M1040" s="62"/>
      <c r="N1040" s="34"/>
      <c r="P1040" s="34"/>
      <c r="R1040" s="34"/>
      <c r="T1040" s="35"/>
      <c r="W1040" s="34"/>
      <c r="AK1040" s="7"/>
      <c r="AO1040" s="4" t="s">
        <v>3824</v>
      </c>
      <c r="AP1040" s="4">
        <v>809</v>
      </c>
      <c r="AQ1040" s="4" t="s">
        <v>1716</v>
      </c>
      <c r="AR1040" s="4" t="s">
        <v>1717</v>
      </c>
      <c r="AS1040" s="4" t="s">
        <v>1718</v>
      </c>
      <c r="AT1040" s="4" t="s">
        <v>1719</v>
      </c>
      <c r="AU1040" s="4" t="s">
        <v>1703</v>
      </c>
      <c r="AV1040" s="4" t="s">
        <v>1720</v>
      </c>
      <c r="AW1040" s="4" t="s">
        <v>2698</v>
      </c>
      <c r="AX1040" s="4" t="s">
        <v>2768</v>
      </c>
      <c r="AY1040" s="4">
        <v>50.8</v>
      </c>
      <c r="AZ1040" s="4">
        <v>-116</v>
      </c>
      <c r="BA1040" s="4">
        <v>11</v>
      </c>
    </row>
    <row r="1041" spans="1:53" ht="14.25" customHeight="1" x14ac:dyDescent="0.2">
      <c r="B1041" s="4">
        <v>12</v>
      </c>
      <c r="C1041" s="4" t="s">
        <v>7666</v>
      </c>
      <c r="D1041" s="4">
        <v>810</v>
      </c>
      <c r="E1041" s="4">
        <v>2257</v>
      </c>
      <c r="F1041" s="16" t="s">
        <v>3827</v>
      </c>
      <c r="G1041" s="4" t="s">
        <v>3828</v>
      </c>
      <c r="H1041" s="4" t="s">
        <v>3829</v>
      </c>
      <c r="I1041" s="4" t="s">
        <v>1664</v>
      </c>
      <c r="J1041" s="4" t="s">
        <v>1746</v>
      </c>
      <c r="K1041" s="4">
        <v>1</v>
      </c>
      <c r="L1041" s="4">
        <v>2660</v>
      </c>
      <c r="M1041" s="62"/>
      <c r="N1041" s="34"/>
      <c r="P1041" s="34"/>
      <c r="R1041" s="34"/>
      <c r="T1041" s="35"/>
      <c r="AK1041" s="7"/>
      <c r="AO1041" s="4" t="s">
        <v>3827</v>
      </c>
      <c r="AP1041" s="4">
        <v>810</v>
      </c>
      <c r="AQ1041" s="4" t="s">
        <v>1716</v>
      </c>
      <c r="AR1041" s="4" t="s">
        <v>1717</v>
      </c>
      <c r="AS1041" s="4" t="s">
        <v>1718</v>
      </c>
      <c r="AT1041" s="4" t="s">
        <v>1719</v>
      </c>
      <c r="AU1041" s="4" t="s">
        <v>1703</v>
      </c>
      <c r="AV1041" s="4" t="s">
        <v>1720</v>
      </c>
      <c r="AW1041" s="4" t="s">
        <v>2698</v>
      </c>
      <c r="AX1041" s="4" t="s">
        <v>2768</v>
      </c>
      <c r="AY1041" s="4">
        <v>50.7</v>
      </c>
      <c r="AZ1041" s="4">
        <v>-115.9</v>
      </c>
      <c r="BA1041" s="4">
        <v>14</v>
      </c>
    </row>
    <row r="1042" spans="1:53" ht="14.25" customHeight="1" x14ac:dyDescent="0.2">
      <c r="B1042" s="4">
        <v>12</v>
      </c>
      <c r="C1042" s="4" t="s">
        <v>7666</v>
      </c>
      <c r="D1042" s="4">
        <v>811</v>
      </c>
      <c r="E1042" s="4">
        <v>2258</v>
      </c>
      <c r="F1042" s="16" t="s">
        <v>3830</v>
      </c>
      <c r="G1042" s="4" t="s">
        <v>3831</v>
      </c>
      <c r="H1042" s="4" t="s">
        <v>3832</v>
      </c>
      <c r="I1042" s="4" t="s">
        <v>1664</v>
      </c>
      <c r="J1042" s="4" t="s">
        <v>1746</v>
      </c>
      <c r="K1042" s="4">
        <v>1</v>
      </c>
      <c r="L1042" s="4">
        <v>2661</v>
      </c>
      <c r="M1042" s="62"/>
      <c r="N1042" s="34"/>
      <c r="P1042" s="34"/>
      <c r="R1042" s="34"/>
      <c r="T1042" s="35"/>
      <c r="W1042" s="34"/>
      <c r="AK1042" s="7"/>
      <c r="AO1042" s="4" t="s">
        <v>3830</v>
      </c>
      <c r="AP1042" s="4">
        <v>811</v>
      </c>
      <c r="AQ1042" s="4" t="s">
        <v>1716</v>
      </c>
      <c r="AR1042" s="4" t="s">
        <v>1717</v>
      </c>
      <c r="AS1042" s="4" t="s">
        <v>1718</v>
      </c>
      <c r="AT1042" s="4" t="s">
        <v>1719</v>
      </c>
      <c r="AU1042" s="4" t="s">
        <v>1703</v>
      </c>
      <c r="AV1042" s="4" t="s">
        <v>1720</v>
      </c>
      <c r="AW1042" s="4" t="s">
        <v>2698</v>
      </c>
      <c r="AX1042" s="4" t="s">
        <v>2902</v>
      </c>
      <c r="AY1042" s="4">
        <v>49.2</v>
      </c>
      <c r="AZ1042" s="4">
        <v>-115.3</v>
      </c>
      <c r="BA1042" s="4">
        <v>9</v>
      </c>
    </row>
    <row r="1043" spans="1:53" ht="14.25" customHeight="1" x14ac:dyDescent="0.2">
      <c r="B1043" s="4">
        <v>12</v>
      </c>
      <c r="C1043" s="4" t="s">
        <v>7666</v>
      </c>
      <c r="D1043" s="4">
        <v>812</v>
      </c>
      <c r="E1043" s="4">
        <v>2259</v>
      </c>
      <c r="F1043" s="16" t="s">
        <v>3833</v>
      </c>
      <c r="G1043" s="4" t="s">
        <v>3834</v>
      </c>
      <c r="H1043" s="4" t="s">
        <v>3835</v>
      </c>
      <c r="I1043" s="4" t="s">
        <v>1664</v>
      </c>
      <c r="J1043" s="4" t="s">
        <v>1746</v>
      </c>
      <c r="K1043" s="4">
        <v>1</v>
      </c>
      <c r="L1043" s="4">
        <v>2662</v>
      </c>
      <c r="M1043" s="62"/>
      <c r="N1043" s="34"/>
      <c r="P1043" s="34"/>
      <c r="R1043" s="34"/>
      <c r="T1043" s="35"/>
      <c r="W1043" s="34"/>
      <c r="AK1043" s="7"/>
      <c r="AO1043" s="4" t="s">
        <v>3833</v>
      </c>
      <c r="AP1043" s="4">
        <v>812</v>
      </c>
      <c r="AQ1043" s="4" t="s">
        <v>1716</v>
      </c>
      <c r="AR1043" s="4" t="s">
        <v>1717</v>
      </c>
      <c r="AS1043" s="4" t="s">
        <v>1718</v>
      </c>
      <c r="AT1043" s="4" t="s">
        <v>1719</v>
      </c>
      <c r="AU1043" s="4" t="s">
        <v>1703</v>
      </c>
      <c r="AV1043" s="4" t="s">
        <v>1720</v>
      </c>
      <c r="AW1043" s="4" t="s">
        <v>2698</v>
      </c>
      <c r="AX1043" s="4" t="s">
        <v>2768</v>
      </c>
      <c r="AY1043" s="4">
        <v>50.5</v>
      </c>
      <c r="AZ1043" s="4">
        <v>-115.9</v>
      </c>
      <c r="BA1043" s="4">
        <v>15</v>
      </c>
    </row>
    <row r="1044" spans="1:53" ht="14.25" customHeight="1" x14ac:dyDescent="0.2">
      <c r="A1044" s="4" t="s">
        <v>422</v>
      </c>
      <c r="B1044" s="4">
        <v>12</v>
      </c>
      <c r="C1044" s="4" t="s">
        <v>7666</v>
      </c>
      <c r="D1044" s="4">
        <v>813</v>
      </c>
      <c r="E1044" s="4">
        <v>2260</v>
      </c>
      <c r="F1044" s="16" t="s">
        <v>3836</v>
      </c>
      <c r="G1044" s="4" t="s">
        <v>3837</v>
      </c>
      <c r="H1044" s="4" t="s">
        <v>3838</v>
      </c>
      <c r="I1044" s="4" t="s">
        <v>1664</v>
      </c>
      <c r="J1044" s="4" t="s">
        <v>1746</v>
      </c>
      <c r="K1044" s="4">
        <v>1</v>
      </c>
      <c r="L1044" s="4">
        <v>2663</v>
      </c>
      <c r="M1044" s="62"/>
      <c r="N1044" s="34"/>
      <c r="P1044" s="34"/>
      <c r="R1044" s="34"/>
      <c r="T1044" s="35"/>
      <c r="W1044" s="34"/>
      <c r="AK1044" s="7"/>
      <c r="AO1044" s="4" t="s">
        <v>3836</v>
      </c>
      <c r="AP1044" s="4">
        <v>813</v>
      </c>
      <c r="AQ1044" s="4" t="s">
        <v>1716</v>
      </c>
      <c r="AR1044" s="4" t="s">
        <v>1717</v>
      </c>
      <c r="AS1044" s="4" t="s">
        <v>1718</v>
      </c>
      <c r="AT1044" s="4" t="s">
        <v>1719</v>
      </c>
      <c r="AU1044" s="4" t="s">
        <v>1703</v>
      </c>
      <c r="AV1044" s="4" t="s">
        <v>1720</v>
      </c>
      <c r="AW1044" s="4" t="s">
        <v>1947</v>
      </c>
      <c r="AX1044" s="4" t="s">
        <v>2133</v>
      </c>
      <c r="AY1044" s="4">
        <v>55.1</v>
      </c>
      <c r="AZ1044" s="4">
        <v>-127.3</v>
      </c>
      <c r="BA1044" s="4">
        <v>40</v>
      </c>
    </row>
    <row r="1045" spans="1:53" ht="14.25" customHeight="1" x14ac:dyDescent="0.2">
      <c r="A1045" s="4" t="s">
        <v>422</v>
      </c>
      <c r="B1045" s="4">
        <v>12</v>
      </c>
      <c r="C1045" s="4" t="s">
        <v>7666</v>
      </c>
      <c r="D1045" s="4">
        <v>814</v>
      </c>
      <c r="E1045" s="4">
        <v>2261</v>
      </c>
      <c r="F1045" s="16" t="s">
        <v>3839</v>
      </c>
      <c r="G1045" s="4" t="s">
        <v>3840</v>
      </c>
      <c r="H1045" s="4" t="s">
        <v>3841</v>
      </c>
      <c r="I1045" s="4" t="s">
        <v>1664</v>
      </c>
      <c r="J1045" s="4" t="s">
        <v>1746</v>
      </c>
      <c r="K1045" s="4">
        <v>1</v>
      </c>
      <c r="L1045" s="4">
        <v>2664</v>
      </c>
      <c r="M1045" s="62"/>
      <c r="N1045" s="34"/>
      <c r="P1045" s="34"/>
      <c r="R1045" s="34"/>
      <c r="T1045" s="35"/>
      <c r="AK1045" s="7"/>
      <c r="AO1045" s="4" t="s">
        <v>3839</v>
      </c>
      <c r="AP1045" s="4">
        <v>814</v>
      </c>
      <c r="AQ1045" s="4" t="s">
        <v>1716</v>
      </c>
      <c r="AR1045" s="4" t="s">
        <v>1717</v>
      </c>
      <c r="AS1045" s="4" t="s">
        <v>1718</v>
      </c>
      <c r="AT1045" s="4" t="s">
        <v>1719</v>
      </c>
      <c r="AU1045" s="4" t="s">
        <v>1703</v>
      </c>
      <c r="AV1045" s="4" t="s">
        <v>1720</v>
      </c>
      <c r="AW1045" s="4" t="s">
        <v>1947</v>
      </c>
      <c r="AX1045" s="4" t="s">
        <v>2133</v>
      </c>
      <c r="AY1045" s="4">
        <v>55</v>
      </c>
      <c r="AZ1045" s="4">
        <v>-127</v>
      </c>
      <c r="BA1045" s="4">
        <v>2</v>
      </c>
    </row>
    <row r="1046" spans="1:53" ht="14.25" customHeight="1" x14ac:dyDescent="0.2">
      <c r="A1046" s="4" t="s">
        <v>422</v>
      </c>
      <c r="B1046" s="4">
        <v>12</v>
      </c>
      <c r="C1046" s="4" t="s">
        <v>7666</v>
      </c>
      <c r="D1046" s="4">
        <v>815</v>
      </c>
      <c r="E1046" s="4">
        <v>2262</v>
      </c>
      <c r="F1046" s="16" t="s">
        <v>3842</v>
      </c>
      <c r="G1046" s="4" t="s">
        <v>3843</v>
      </c>
      <c r="H1046" s="4" t="s">
        <v>3844</v>
      </c>
      <c r="I1046" s="4" t="s">
        <v>1664</v>
      </c>
      <c r="J1046" s="4" t="s">
        <v>1746</v>
      </c>
      <c r="K1046" s="4">
        <v>1</v>
      </c>
      <c r="L1046" s="4">
        <v>2665</v>
      </c>
      <c r="M1046" s="6"/>
      <c r="AK1046" s="7"/>
      <c r="AO1046" s="4" t="s">
        <v>3842</v>
      </c>
      <c r="AP1046" s="4">
        <v>815</v>
      </c>
      <c r="AQ1046" s="4" t="s">
        <v>1716</v>
      </c>
      <c r="AR1046" s="4" t="s">
        <v>1717</v>
      </c>
      <c r="AS1046" s="4" t="s">
        <v>1718</v>
      </c>
      <c r="AT1046" s="4" t="s">
        <v>1719</v>
      </c>
      <c r="AU1046" s="4" t="s">
        <v>1703</v>
      </c>
      <c r="AV1046" s="4" t="s">
        <v>1720</v>
      </c>
      <c r="AW1046" s="4" t="s">
        <v>1947</v>
      </c>
      <c r="AX1046" s="4" t="s">
        <v>2948</v>
      </c>
      <c r="AY1046" s="4">
        <v>55.6</v>
      </c>
      <c r="AZ1046" s="4">
        <v>-128.69999999999999</v>
      </c>
      <c r="BA1046" s="4">
        <v>4</v>
      </c>
    </row>
    <row r="1047" spans="1:53" ht="14.25" customHeight="1" x14ac:dyDescent="0.2">
      <c r="B1047" s="4">
        <v>12</v>
      </c>
      <c r="C1047" s="4" t="s">
        <v>7666</v>
      </c>
      <c r="D1047" s="4">
        <v>816</v>
      </c>
      <c r="E1047" s="4">
        <v>2263</v>
      </c>
      <c r="F1047" s="16" t="s">
        <v>3845</v>
      </c>
      <c r="G1047" s="4" t="s">
        <v>3846</v>
      </c>
      <c r="H1047" s="4" t="s">
        <v>3847</v>
      </c>
      <c r="I1047" s="4" t="s">
        <v>1664</v>
      </c>
      <c r="J1047" s="4" t="s">
        <v>1715</v>
      </c>
      <c r="K1047" s="4">
        <v>1</v>
      </c>
      <c r="L1047" s="4">
        <v>2666</v>
      </c>
      <c r="M1047" s="6"/>
      <c r="AK1047" s="7"/>
      <c r="AO1047" s="4" t="s">
        <v>3845</v>
      </c>
      <c r="AP1047" s="4">
        <v>816</v>
      </c>
      <c r="AQ1047" s="4" t="s">
        <v>1716</v>
      </c>
      <c r="AR1047" s="4" t="s">
        <v>1717</v>
      </c>
      <c r="AS1047" s="4" t="s">
        <v>1718</v>
      </c>
      <c r="AT1047" s="4" t="s">
        <v>1719</v>
      </c>
      <c r="AU1047" s="4" t="s">
        <v>1703</v>
      </c>
      <c r="AV1047" s="4" t="s">
        <v>1720</v>
      </c>
      <c r="AW1047" s="4" t="s">
        <v>1947</v>
      </c>
      <c r="AX1047" s="4" t="s">
        <v>2948</v>
      </c>
      <c r="AY1047" s="4">
        <v>55.6</v>
      </c>
      <c r="AZ1047" s="4">
        <v>-127.1</v>
      </c>
      <c r="BA1047" s="4">
        <v>11</v>
      </c>
    </row>
    <row r="1048" spans="1:53" ht="14.25" customHeight="1" x14ac:dyDescent="0.2">
      <c r="B1048" s="4">
        <v>12</v>
      </c>
      <c r="C1048" s="4" t="s">
        <v>7666</v>
      </c>
      <c r="D1048" s="4">
        <v>817</v>
      </c>
      <c r="E1048" s="4">
        <v>2264</v>
      </c>
      <c r="F1048" s="16" t="s">
        <v>3848</v>
      </c>
      <c r="G1048" s="4" t="s">
        <v>3849</v>
      </c>
      <c r="H1048" s="4" t="s">
        <v>3850</v>
      </c>
      <c r="I1048" s="4" t="s">
        <v>1664</v>
      </c>
      <c r="J1048" s="4" t="s">
        <v>1715</v>
      </c>
      <c r="K1048" s="4">
        <v>1</v>
      </c>
      <c r="L1048" s="4">
        <v>2667</v>
      </c>
      <c r="M1048" s="6"/>
      <c r="AK1048" s="7"/>
      <c r="AO1048" s="4" t="s">
        <v>3848</v>
      </c>
      <c r="AP1048" s="4">
        <v>817</v>
      </c>
      <c r="AQ1048" s="4" t="s">
        <v>1716</v>
      </c>
      <c r="AR1048" s="4" t="s">
        <v>1717</v>
      </c>
      <c r="AS1048" s="4" t="s">
        <v>1718</v>
      </c>
      <c r="AT1048" s="4" t="s">
        <v>1719</v>
      </c>
      <c r="AU1048" s="4" t="s">
        <v>1703</v>
      </c>
      <c r="AV1048" s="4" t="s">
        <v>1720</v>
      </c>
      <c r="AW1048" s="4" t="s">
        <v>1947</v>
      </c>
      <c r="AX1048" s="4" t="s">
        <v>1973</v>
      </c>
      <c r="AY1048" s="4">
        <v>56.4</v>
      </c>
      <c r="AZ1048" s="4">
        <v>-129.4</v>
      </c>
      <c r="BA1048" s="4">
        <v>2</v>
      </c>
    </row>
    <row r="1049" spans="1:53" ht="14.25" customHeight="1" x14ac:dyDescent="0.2">
      <c r="B1049" s="4">
        <v>12</v>
      </c>
      <c r="C1049" s="4" t="s">
        <v>7666</v>
      </c>
      <c r="D1049" s="4">
        <v>818</v>
      </c>
      <c r="E1049" s="4">
        <v>2265</v>
      </c>
      <c r="F1049" s="16" t="s">
        <v>3851</v>
      </c>
      <c r="G1049" s="4" t="s">
        <v>3852</v>
      </c>
      <c r="H1049" s="4" t="s">
        <v>3853</v>
      </c>
      <c r="I1049" s="4" t="s">
        <v>1664</v>
      </c>
      <c r="J1049" s="4" t="s">
        <v>1746</v>
      </c>
      <c r="K1049" s="4">
        <v>1</v>
      </c>
      <c r="L1049" s="4">
        <v>2668</v>
      </c>
      <c r="M1049" s="6"/>
      <c r="AK1049" s="7"/>
      <c r="AO1049" s="4" t="s">
        <v>3851</v>
      </c>
      <c r="AP1049" s="4">
        <v>818</v>
      </c>
      <c r="AQ1049" s="4" t="s">
        <v>1716</v>
      </c>
      <c r="AR1049" s="4" t="s">
        <v>1717</v>
      </c>
      <c r="AS1049" s="4" t="s">
        <v>1718</v>
      </c>
      <c r="AT1049" s="4" t="s">
        <v>1719</v>
      </c>
      <c r="AU1049" s="4" t="s">
        <v>1703</v>
      </c>
      <c r="AV1049" s="4" t="s">
        <v>1720</v>
      </c>
      <c r="AW1049" s="4" t="s">
        <v>1947</v>
      </c>
      <c r="AX1049" s="4" t="s">
        <v>2948</v>
      </c>
      <c r="AY1049" s="4">
        <v>55.5</v>
      </c>
      <c r="AZ1049" s="4">
        <v>-128.19999999999999</v>
      </c>
      <c r="BA1049" s="4">
        <v>7</v>
      </c>
    </row>
    <row r="1050" spans="1:53" ht="14.25" customHeight="1" x14ac:dyDescent="0.2">
      <c r="A1050" s="4" t="s">
        <v>422</v>
      </c>
      <c r="B1050" s="4">
        <v>12</v>
      </c>
      <c r="C1050" s="4" t="s">
        <v>7666</v>
      </c>
      <c r="D1050" s="4">
        <v>819</v>
      </c>
      <c r="E1050" s="4">
        <v>2266</v>
      </c>
      <c r="F1050" s="16" t="s">
        <v>3854</v>
      </c>
      <c r="G1050" s="4" t="s">
        <v>3855</v>
      </c>
      <c r="H1050" s="4" t="s">
        <v>3856</v>
      </c>
      <c r="I1050" s="4" t="s">
        <v>1664</v>
      </c>
      <c r="J1050" s="4" t="s">
        <v>1746</v>
      </c>
      <c r="K1050" s="4">
        <v>1</v>
      </c>
      <c r="L1050" s="4">
        <v>2669</v>
      </c>
      <c r="M1050" s="6"/>
      <c r="AK1050" s="7"/>
      <c r="AO1050" s="4" t="s">
        <v>3854</v>
      </c>
      <c r="AP1050" s="4">
        <v>819</v>
      </c>
      <c r="AQ1050" s="4" t="s">
        <v>1716</v>
      </c>
      <c r="AR1050" s="4" t="s">
        <v>1717</v>
      </c>
      <c r="AS1050" s="4" t="s">
        <v>1718</v>
      </c>
      <c r="AT1050" s="4" t="s">
        <v>1719</v>
      </c>
      <c r="AU1050" s="4" t="s">
        <v>1703</v>
      </c>
      <c r="AV1050" s="4" t="s">
        <v>1720</v>
      </c>
      <c r="AW1050" s="4" t="s">
        <v>1947</v>
      </c>
      <c r="AX1050" s="4" t="s">
        <v>1973</v>
      </c>
      <c r="AY1050" s="4">
        <v>55.2</v>
      </c>
      <c r="AZ1050" s="4">
        <v>-129.1</v>
      </c>
      <c r="BA1050" s="4">
        <v>1</v>
      </c>
    </row>
    <row r="1051" spans="1:53" ht="14.25" customHeight="1" x14ac:dyDescent="0.2">
      <c r="B1051" s="4">
        <v>12</v>
      </c>
      <c r="C1051" s="4" t="s">
        <v>7666</v>
      </c>
      <c r="D1051" s="4">
        <v>821</v>
      </c>
      <c r="E1051" s="4">
        <v>2267</v>
      </c>
      <c r="F1051" s="16" t="s">
        <v>3857</v>
      </c>
      <c r="G1051" s="4" t="s">
        <v>3858</v>
      </c>
      <c r="H1051" s="4" t="s">
        <v>3859</v>
      </c>
      <c r="I1051" s="4" t="s">
        <v>641</v>
      </c>
      <c r="J1051" s="4" t="s">
        <v>1746</v>
      </c>
      <c r="K1051" s="4">
        <v>1</v>
      </c>
      <c r="L1051" s="4">
        <v>2670</v>
      </c>
      <c r="M1051" s="6"/>
      <c r="AK1051" s="7"/>
      <c r="AO1051" s="4" t="s">
        <v>3857</v>
      </c>
      <c r="AP1051" s="4">
        <v>821</v>
      </c>
      <c r="AQ1051" s="4" t="s">
        <v>1716</v>
      </c>
      <c r="AR1051" s="4" t="s">
        <v>1717</v>
      </c>
      <c r="AS1051" s="4" t="s">
        <v>1718</v>
      </c>
      <c r="AT1051" s="4" t="s">
        <v>1719</v>
      </c>
      <c r="AU1051" s="4" t="s">
        <v>1703</v>
      </c>
      <c r="AV1051" s="4" t="s">
        <v>1720</v>
      </c>
      <c r="AW1051" s="4" t="s">
        <v>1705</v>
      </c>
      <c r="AX1051" s="4" t="s">
        <v>1883</v>
      </c>
      <c r="AY1051" s="4">
        <v>49.2</v>
      </c>
      <c r="AZ1051" s="4">
        <v>-122.9</v>
      </c>
      <c r="BA1051" s="4">
        <v>50</v>
      </c>
    </row>
    <row r="1052" spans="1:53" ht="14.25" customHeight="1" x14ac:dyDescent="0.2">
      <c r="A1052" s="4" t="s">
        <v>422</v>
      </c>
      <c r="B1052" s="4">
        <v>12</v>
      </c>
      <c r="C1052" s="4" t="s">
        <v>7666</v>
      </c>
      <c r="D1052" s="4">
        <v>823</v>
      </c>
      <c r="E1052" s="4">
        <v>2268</v>
      </c>
      <c r="F1052" s="16" t="s">
        <v>3860</v>
      </c>
      <c r="G1052" s="4" t="s">
        <v>3861</v>
      </c>
      <c r="H1052" s="4" t="s">
        <v>3862</v>
      </c>
      <c r="I1052" s="4" t="s">
        <v>641</v>
      </c>
      <c r="J1052" s="4" t="s">
        <v>1746</v>
      </c>
      <c r="K1052" s="4">
        <v>1</v>
      </c>
      <c r="L1052" s="4">
        <v>2671</v>
      </c>
      <c r="M1052" s="6"/>
      <c r="AK1052" s="7"/>
      <c r="AO1052" s="4" t="s">
        <v>3860</v>
      </c>
      <c r="AP1052" s="4">
        <v>823</v>
      </c>
      <c r="AQ1052" s="4" t="s">
        <v>1716</v>
      </c>
      <c r="AR1052" s="4" t="s">
        <v>1717</v>
      </c>
      <c r="AS1052" s="4" t="s">
        <v>1718</v>
      </c>
      <c r="AT1052" s="4" t="s">
        <v>1719</v>
      </c>
      <c r="AU1052" s="4" t="s">
        <v>1703</v>
      </c>
      <c r="AW1052" s="4" t="s">
        <v>3863</v>
      </c>
      <c r="AY1052" s="4">
        <v>49</v>
      </c>
      <c r="AZ1052" s="4">
        <v>-122</v>
      </c>
      <c r="BA1052" s="4">
        <v>0</v>
      </c>
    </row>
    <row r="1053" spans="1:53" ht="14.25" customHeight="1" x14ac:dyDescent="0.2">
      <c r="B1053" s="4">
        <v>12</v>
      </c>
      <c r="C1053" s="4" t="s">
        <v>7666</v>
      </c>
      <c r="D1053" s="4">
        <v>832</v>
      </c>
      <c r="E1053" s="4">
        <v>2269</v>
      </c>
      <c r="F1053" s="4" t="s">
        <v>3864</v>
      </c>
      <c r="G1053" s="4" t="s">
        <v>3865</v>
      </c>
      <c r="H1053" s="4" t="s">
        <v>3866</v>
      </c>
      <c r="I1053" s="4" t="s">
        <v>641</v>
      </c>
      <c r="J1053" s="4" t="s">
        <v>1829</v>
      </c>
      <c r="K1053" s="4">
        <v>1</v>
      </c>
      <c r="L1053" s="4">
        <v>2672</v>
      </c>
      <c r="M1053" s="6">
        <v>51.402720000000002</v>
      </c>
      <c r="N1053" s="9">
        <v>-122.32017</v>
      </c>
      <c r="O1053" s="9" t="s">
        <v>148</v>
      </c>
      <c r="P1053" s="9">
        <v>832</v>
      </c>
      <c r="Q1053" s="20">
        <v>4</v>
      </c>
      <c r="R1053" s="9" t="s">
        <v>3864</v>
      </c>
      <c r="S1053" s="9" t="s">
        <v>1737</v>
      </c>
      <c r="T1053" s="9">
        <v>1100</v>
      </c>
      <c r="U1053" s="9"/>
      <c r="V1053" s="9"/>
      <c r="W1053" s="21">
        <v>37722</v>
      </c>
      <c r="X1053" s="9" t="s">
        <v>1738</v>
      </c>
      <c r="AK1053" s="7"/>
      <c r="AO1053" s="4" t="s">
        <v>3864</v>
      </c>
      <c r="AP1053" s="4">
        <v>832</v>
      </c>
      <c r="AQ1053" s="4" t="s">
        <v>1716</v>
      </c>
      <c r="AR1053" s="4" t="s">
        <v>1739</v>
      </c>
      <c r="AS1053" s="4" t="s">
        <v>1740</v>
      </c>
      <c r="AT1053" s="4" t="s">
        <v>1741</v>
      </c>
      <c r="AU1053" s="4" t="s">
        <v>1742</v>
      </c>
      <c r="AV1053" s="4" t="s">
        <v>1720</v>
      </c>
      <c r="AW1053" s="4" t="s">
        <v>2193</v>
      </c>
      <c r="AX1053" s="4" t="s">
        <v>2291</v>
      </c>
      <c r="AY1053" s="4">
        <v>51.402700000000003</v>
      </c>
      <c r="AZ1053" s="4">
        <v>-122.3202</v>
      </c>
      <c r="BA1053" s="4">
        <v>1100</v>
      </c>
    </row>
    <row r="1054" spans="1:53" ht="14.25" customHeight="1" x14ac:dyDescent="0.2">
      <c r="B1054" s="4">
        <v>12</v>
      </c>
      <c r="C1054" s="4" t="s">
        <v>7666</v>
      </c>
      <c r="D1054" s="4">
        <v>836</v>
      </c>
      <c r="E1054" s="4">
        <v>2270</v>
      </c>
      <c r="F1054" s="4" t="s">
        <v>3867</v>
      </c>
      <c r="G1054" s="4" t="s">
        <v>3868</v>
      </c>
      <c r="H1054" s="4" t="s">
        <v>3869</v>
      </c>
      <c r="I1054" s="4" t="s">
        <v>641</v>
      </c>
      <c r="J1054" s="4" t="s">
        <v>1891</v>
      </c>
      <c r="K1054" s="4">
        <v>1</v>
      </c>
      <c r="L1054" s="4">
        <v>2673</v>
      </c>
      <c r="M1054" s="6">
        <v>49.433480000000003</v>
      </c>
      <c r="N1054" s="9">
        <v>-120.45712</v>
      </c>
      <c r="O1054" s="9" t="s">
        <v>142</v>
      </c>
      <c r="P1054" s="14">
        <v>836</v>
      </c>
      <c r="Q1054" s="20">
        <v>2</v>
      </c>
      <c r="R1054" s="9" t="s">
        <v>3867</v>
      </c>
      <c r="S1054" s="9" t="s">
        <v>1737</v>
      </c>
      <c r="T1054" s="9">
        <v>855</v>
      </c>
      <c r="U1054" s="9"/>
      <c r="V1054" s="9"/>
      <c r="W1054" s="21">
        <v>37769</v>
      </c>
      <c r="X1054" s="9" t="s">
        <v>1738</v>
      </c>
      <c r="AK1054" s="7"/>
      <c r="AO1054" s="4" t="s">
        <v>3867</v>
      </c>
      <c r="AP1054" s="4">
        <v>836</v>
      </c>
      <c r="AQ1054" s="4" t="s">
        <v>1716</v>
      </c>
      <c r="AR1054" s="4" t="s">
        <v>1739</v>
      </c>
      <c r="AS1054" s="4" t="s">
        <v>1740</v>
      </c>
      <c r="AT1054" s="4" t="s">
        <v>1741</v>
      </c>
      <c r="AU1054" s="4" t="s">
        <v>1772</v>
      </c>
      <c r="AV1054" s="4" t="s">
        <v>1720</v>
      </c>
      <c r="AW1054" s="4" t="s">
        <v>2368</v>
      </c>
      <c r="AX1054" s="4" t="s">
        <v>2492</v>
      </c>
      <c r="AY1054" s="4">
        <v>49.433500000000002</v>
      </c>
      <c r="AZ1054" s="4">
        <v>-120.4571</v>
      </c>
      <c r="BA1054" s="4">
        <v>855</v>
      </c>
    </row>
    <row r="1055" spans="1:53" ht="14.25" customHeight="1" x14ac:dyDescent="0.2">
      <c r="B1055" s="4">
        <v>12</v>
      </c>
      <c r="C1055" s="4" t="s">
        <v>7666</v>
      </c>
      <c r="D1055" s="4">
        <v>838</v>
      </c>
      <c r="E1055" s="4">
        <v>2271</v>
      </c>
      <c r="F1055" s="4" t="s">
        <v>3870</v>
      </c>
      <c r="G1055" s="4" t="s">
        <v>3871</v>
      </c>
      <c r="H1055" s="4" t="s">
        <v>3872</v>
      </c>
      <c r="I1055" s="4" t="s">
        <v>641</v>
      </c>
      <c r="J1055" s="4" t="s">
        <v>1891</v>
      </c>
      <c r="K1055" s="4">
        <v>1</v>
      </c>
      <c r="L1055" s="4">
        <v>2674</v>
      </c>
      <c r="M1055" s="6">
        <v>49.4358</v>
      </c>
      <c r="N1055" s="9">
        <v>-116.74639999999999</v>
      </c>
      <c r="O1055" s="9" t="s">
        <v>170</v>
      </c>
      <c r="P1055" s="9">
        <v>838</v>
      </c>
      <c r="Q1055" s="20">
        <v>1</v>
      </c>
      <c r="R1055" s="9" t="s">
        <v>3870</v>
      </c>
      <c r="S1055" s="9" t="s">
        <v>1737</v>
      </c>
      <c r="T1055" s="9">
        <v>821</v>
      </c>
      <c r="U1055" s="9" t="s">
        <v>645</v>
      </c>
      <c r="V1055" s="9"/>
      <c r="W1055" s="21">
        <v>37784</v>
      </c>
      <c r="X1055" s="9" t="s">
        <v>1738</v>
      </c>
      <c r="AK1055" s="7"/>
      <c r="AO1055" s="4" t="s">
        <v>3870</v>
      </c>
      <c r="AP1055" s="4">
        <v>838</v>
      </c>
      <c r="AQ1055" s="4" t="s">
        <v>1700</v>
      </c>
      <c r="AR1055" s="4" t="s">
        <v>1739</v>
      </c>
      <c r="AS1055" s="4" t="s">
        <v>1740</v>
      </c>
      <c r="AT1055" s="4" t="s">
        <v>1741</v>
      </c>
      <c r="AU1055" s="4" t="s">
        <v>1959</v>
      </c>
      <c r="AV1055" s="4" t="s">
        <v>1720</v>
      </c>
      <c r="AW1055" s="4" t="s">
        <v>2698</v>
      </c>
      <c r="AX1055" s="4" t="s">
        <v>2801</v>
      </c>
      <c r="AY1055" s="4">
        <v>49.4358</v>
      </c>
      <c r="AZ1055" s="4">
        <v>-116.74639999999999</v>
      </c>
      <c r="BA1055" s="4">
        <v>821</v>
      </c>
    </row>
    <row r="1056" spans="1:53" ht="14.25" customHeight="1" x14ac:dyDescent="0.2">
      <c r="B1056" s="4">
        <v>12</v>
      </c>
      <c r="C1056" s="4" t="s">
        <v>7666</v>
      </c>
      <c r="D1056" s="4">
        <v>839</v>
      </c>
      <c r="E1056" s="4">
        <v>2272</v>
      </c>
      <c r="F1056" s="16" t="s">
        <v>3873</v>
      </c>
      <c r="G1056" s="8" t="s">
        <v>3874</v>
      </c>
      <c r="H1056" s="4" t="s">
        <v>3875</v>
      </c>
      <c r="I1056" s="4" t="s">
        <v>641</v>
      </c>
      <c r="J1056" s="4" t="s">
        <v>1746</v>
      </c>
      <c r="K1056" s="4">
        <v>1</v>
      </c>
      <c r="L1056" s="4">
        <v>2675</v>
      </c>
      <c r="M1056" s="6"/>
      <c r="AK1056" s="7"/>
      <c r="AO1056" s="4" t="s">
        <v>3873</v>
      </c>
      <c r="AP1056" s="4">
        <v>839</v>
      </c>
      <c r="AQ1056" s="4" t="s">
        <v>1716</v>
      </c>
      <c r="AR1056" s="4" t="s">
        <v>1717</v>
      </c>
      <c r="AS1056" s="4" t="s">
        <v>1718</v>
      </c>
      <c r="AT1056" s="4" t="s">
        <v>1719</v>
      </c>
      <c r="AU1056" s="4" t="s">
        <v>1959</v>
      </c>
      <c r="AV1056" s="4" t="s">
        <v>1720</v>
      </c>
      <c r="AW1056" s="4" t="s">
        <v>1705</v>
      </c>
      <c r="AX1056" s="4" t="s">
        <v>1723</v>
      </c>
      <c r="AY1056" s="4">
        <v>49.887500000000003</v>
      </c>
      <c r="AZ1056" s="4">
        <v>-126.1454</v>
      </c>
      <c r="BA1056" s="4">
        <v>1125</v>
      </c>
    </row>
    <row r="1057" spans="1:53" ht="14.25" customHeight="1" x14ac:dyDescent="0.2">
      <c r="A1057" s="4" t="s">
        <v>422</v>
      </c>
      <c r="B1057" s="4">
        <v>12</v>
      </c>
      <c r="C1057" s="4" t="s">
        <v>7666</v>
      </c>
      <c r="D1057" s="4">
        <v>846</v>
      </c>
      <c r="E1057" s="4">
        <v>2273</v>
      </c>
      <c r="F1057" s="16" t="s">
        <v>3876</v>
      </c>
      <c r="G1057" s="4" t="s">
        <v>3877</v>
      </c>
      <c r="H1057" s="4" t="s">
        <v>3878</v>
      </c>
      <c r="I1057" s="4" t="s">
        <v>641</v>
      </c>
      <c r="J1057" s="4" t="s">
        <v>1746</v>
      </c>
      <c r="K1057" s="4">
        <v>1</v>
      </c>
      <c r="L1057" s="4">
        <v>2676</v>
      </c>
      <c r="M1057" s="6"/>
      <c r="AK1057" s="7"/>
      <c r="AO1057" s="65" t="s">
        <v>3876</v>
      </c>
      <c r="AP1057" s="4">
        <v>846</v>
      </c>
      <c r="AQ1057" s="4" t="s">
        <v>1716</v>
      </c>
      <c r="AR1057" s="4" t="s">
        <v>1717</v>
      </c>
      <c r="AS1057" s="4" t="s">
        <v>1718</v>
      </c>
      <c r="AT1057" s="4" t="s">
        <v>1835</v>
      </c>
      <c r="AU1057" s="4" t="s">
        <v>1836</v>
      </c>
      <c r="AX1057" s="4" t="s">
        <v>2283</v>
      </c>
      <c r="AY1057" s="4">
        <v>51.723599999999998</v>
      </c>
      <c r="AZ1057" s="4">
        <v>-124.0611</v>
      </c>
      <c r="BA1057" s="4">
        <v>1250</v>
      </c>
    </row>
    <row r="1058" spans="1:53" ht="14.25" customHeight="1" x14ac:dyDescent="0.2">
      <c r="A1058" s="4" t="s">
        <v>422</v>
      </c>
      <c r="B1058" s="4">
        <v>12</v>
      </c>
      <c r="C1058" s="4" t="s">
        <v>7666</v>
      </c>
      <c r="D1058" s="4">
        <v>847</v>
      </c>
      <c r="E1058" s="4">
        <v>2274</v>
      </c>
      <c r="F1058" s="16" t="s">
        <v>3879</v>
      </c>
      <c r="G1058" s="4" t="s">
        <v>3880</v>
      </c>
      <c r="H1058" s="4" t="s">
        <v>3881</v>
      </c>
      <c r="I1058" s="4" t="s">
        <v>641</v>
      </c>
      <c r="J1058" s="4" t="s">
        <v>1746</v>
      </c>
      <c r="K1058" s="4">
        <v>1</v>
      </c>
      <c r="L1058" s="4">
        <v>2677</v>
      </c>
      <c r="M1058" s="6"/>
      <c r="AK1058" s="7"/>
      <c r="AO1058" s="65" t="s">
        <v>3879</v>
      </c>
      <c r="AP1058" s="4">
        <v>847</v>
      </c>
      <c r="AQ1058" s="4" t="s">
        <v>1716</v>
      </c>
      <c r="AR1058" s="4" t="s">
        <v>1717</v>
      </c>
      <c r="AS1058" s="4" t="s">
        <v>1718</v>
      </c>
      <c r="AT1058" s="4" t="s">
        <v>1835</v>
      </c>
      <c r="AU1058" s="4" t="s">
        <v>1836</v>
      </c>
      <c r="AV1058" s="4" t="s">
        <v>1720</v>
      </c>
      <c r="AX1058" s="4" t="s">
        <v>2369</v>
      </c>
      <c r="AY1058" s="4">
        <v>51.1</v>
      </c>
      <c r="AZ1058" s="4">
        <v>-120.2</v>
      </c>
      <c r="BA1058" s="4">
        <v>600</v>
      </c>
    </row>
    <row r="1059" spans="1:53" ht="14.25" customHeight="1" x14ac:dyDescent="0.2">
      <c r="A1059" s="4" t="s">
        <v>422</v>
      </c>
      <c r="B1059" s="4">
        <v>12</v>
      </c>
      <c r="C1059" s="4" t="s">
        <v>7666</v>
      </c>
      <c r="D1059" s="4">
        <v>850</v>
      </c>
      <c r="E1059" s="4">
        <v>2275</v>
      </c>
      <c r="F1059" s="16" t="s">
        <v>3882</v>
      </c>
      <c r="G1059" s="4" t="s">
        <v>3883</v>
      </c>
      <c r="H1059" s="4" t="s">
        <v>3884</v>
      </c>
      <c r="I1059" s="4" t="s">
        <v>641</v>
      </c>
      <c r="J1059" s="4" t="s">
        <v>1746</v>
      </c>
      <c r="K1059" s="4">
        <v>1</v>
      </c>
      <c r="L1059" s="4">
        <v>2678</v>
      </c>
      <c r="M1059" s="6"/>
      <c r="AK1059" s="7"/>
      <c r="AO1059" s="4" t="s">
        <v>3882</v>
      </c>
      <c r="AP1059" s="4">
        <v>850</v>
      </c>
      <c r="AQ1059" s="4" t="s">
        <v>1716</v>
      </c>
      <c r="AR1059" s="4" t="s">
        <v>1717</v>
      </c>
      <c r="AS1059" s="4" t="s">
        <v>1718</v>
      </c>
      <c r="AT1059" s="4" t="s">
        <v>1835</v>
      </c>
      <c r="AU1059" s="4" t="s">
        <v>1836</v>
      </c>
      <c r="AV1059" s="4" t="s">
        <v>1720</v>
      </c>
      <c r="AX1059" s="4" t="s">
        <v>2801</v>
      </c>
      <c r="AY1059" s="4">
        <v>49.495800000000003</v>
      </c>
      <c r="AZ1059" s="4">
        <v>-117.2406</v>
      </c>
      <c r="BA1059" s="4">
        <v>2000</v>
      </c>
    </row>
    <row r="1060" spans="1:53" ht="14.25" customHeight="1" x14ac:dyDescent="0.2">
      <c r="A1060" s="4" t="s">
        <v>422</v>
      </c>
      <c r="B1060" s="4">
        <v>12</v>
      </c>
      <c r="C1060" s="4" t="s">
        <v>7666</v>
      </c>
      <c r="D1060" s="4">
        <v>851</v>
      </c>
      <c r="E1060" s="4">
        <v>2276</v>
      </c>
      <c r="F1060" s="16" t="s">
        <v>3885</v>
      </c>
      <c r="G1060" s="4" t="s">
        <v>3886</v>
      </c>
      <c r="H1060" s="4" t="s">
        <v>3887</v>
      </c>
      <c r="I1060" s="4" t="s">
        <v>641</v>
      </c>
      <c r="J1060" s="4" t="s">
        <v>1746</v>
      </c>
      <c r="K1060" s="4">
        <v>1</v>
      </c>
      <c r="L1060" s="4">
        <v>2679</v>
      </c>
      <c r="M1060" s="6"/>
      <c r="AK1060" s="7"/>
      <c r="AO1060" s="65" t="s">
        <v>3885</v>
      </c>
      <c r="AP1060" s="4">
        <v>851</v>
      </c>
      <c r="AQ1060" s="4" t="s">
        <v>1716</v>
      </c>
      <c r="AR1060" s="4" t="s">
        <v>1717</v>
      </c>
      <c r="AS1060" s="4" t="s">
        <v>1718</v>
      </c>
      <c r="AT1060" s="4" t="s">
        <v>1835</v>
      </c>
      <c r="AU1060" s="4" t="s">
        <v>1959</v>
      </c>
      <c r="AV1060" s="4" t="s">
        <v>1720</v>
      </c>
      <c r="AX1060" s="4" t="s">
        <v>2902</v>
      </c>
      <c r="AY1060" s="4">
        <v>49.366999999999997</v>
      </c>
      <c r="AZ1060" s="4">
        <v>-115.8553</v>
      </c>
      <c r="BA1060" s="4">
        <v>1060</v>
      </c>
    </row>
    <row r="1061" spans="1:53" ht="14.25" customHeight="1" x14ac:dyDescent="0.2">
      <c r="A1061" s="4" t="s">
        <v>422</v>
      </c>
      <c r="B1061" s="4">
        <v>12</v>
      </c>
      <c r="C1061" s="4" t="s">
        <v>7666</v>
      </c>
      <c r="D1061" s="4">
        <v>853</v>
      </c>
      <c r="E1061" s="4">
        <v>2277</v>
      </c>
      <c r="F1061" s="4" t="s">
        <v>3888</v>
      </c>
      <c r="G1061" s="4" t="s">
        <v>3889</v>
      </c>
      <c r="H1061" s="4" t="s">
        <v>3890</v>
      </c>
      <c r="I1061" s="4" t="s">
        <v>641</v>
      </c>
      <c r="J1061" s="4" t="s">
        <v>1746</v>
      </c>
      <c r="K1061" s="4">
        <v>1</v>
      </c>
      <c r="L1061" s="4">
        <v>2680</v>
      </c>
      <c r="M1061" s="6"/>
      <c r="AK1061" s="7"/>
      <c r="AO1061" s="4" t="s">
        <v>3891</v>
      </c>
      <c r="AP1061" s="4">
        <v>853</v>
      </c>
      <c r="AQ1061" s="4" t="s">
        <v>1716</v>
      </c>
      <c r="AR1061" s="4" t="s">
        <v>1717</v>
      </c>
      <c r="AS1061" s="4" t="s">
        <v>1718</v>
      </c>
      <c r="AT1061" s="4" t="s">
        <v>1719</v>
      </c>
      <c r="AU1061" s="4" t="s">
        <v>1959</v>
      </c>
      <c r="AV1061" s="4" t="s">
        <v>1720</v>
      </c>
      <c r="AX1061" s="4" t="s">
        <v>2797</v>
      </c>
      <c r="AY1061" s="4">
        <v>50.023699999999998</v>
      </c>
      <c r="AZ1061" s="4">
        <v>-117.9894</v>
      </c>
      <c r="BA1061" s="4">
        <v>2000</v>
      </c>
    </row>
    <row r="1062" spans="1:53" ht="14.25" customHeight="1" x14ac:dyDescent="0.2">
      <c r="A1062" s="4" t="s">
        <v>422</v>
      </c>
      <c r="B1062" s="4">
        <v>12</v>
      </c>
      <c r="C1062" s="4" t="s">
        <v>7666</v>
      </c>
      <c r="D1062" s="4">
        <v>854</v>
      </c>
      <c r="E1062" s="4">
        <v>2278</v>
      </c>
      <c r="F1062" s="16" t="s">
        <v>3892</v>
      </c>
      <c r="G1062" s="4" t="s">
        <v>3893</v>
      </c>
      <c r="H1062" s="4" t="s">
        <v>3894</v>
      </c>
      <c r="I1062" s="4" t="s">
        <v>641</v>
      </c>
      <c r="J1062" s="4" t="s">
        <v>1746</v>
      </c>
      <c r="K1062" s="4">
        <v>1</v>
      </c>
      <c r="L1062" s="4">
        <v>2681</v>
      </c>
      <c r="M1062" s="6"/>
      <c r="AK1062" s="7"/>
      <c r="AO1062" s="4" t="s">
        <v>3892</v>
      </c>
      <c r="AP1062" s="4">
        <v>854</v>
      </c>
      <c r="AQ1062" s="4" t="s">
        <v>1716</v>
      </c>
      <c r="AR1062" s="4" t="s">
        <v>1717</v>
      </c>
      <c r="AS1062" s="4" t="s">
        <v>2257</v>
      </c>
      <c r="AT1062" s="4" t="s">
        <v>3895</v>
      </c>
      <c r="AU1062" s="4" t="s">
        <v>3668</v>
      </c>
      <c r="AV1062" s="4" t="s">
        <v>1720</v>
      </c>
      <c r="AW1062" s="4" t="s">
        <v>2368</v>
      </c>
      <c r="AX1062" s="4" t="s">
        <v>2522</v>
      </c>
      <c r="AY1062" s="4">
        <v>50.392600000000002</v>
      </c>
      <c r="AZ1062" s="4">
        <v>-118.4234</v>
      </c>
      <c r="BA1062" s="4">
        <v>1200</v>
      </c>
    </row>
    <row r="1063" spans="1:53" ht="14.25" customHeight="1" x14ac:dyDescent="0.2">
      <c r="A1063" s="4" t="s">
        <v>422</v>
      </c>
      <c r="B1063" s="4">
        <v>12</v>
      </c>
      <c r="C1063" s="4" t="s">
        <v>7666</v>
      </c>
      <c r="D1063" s="4">
        <v>857</v>
      </c>
      <c r="E1063" s="4">
        <v>2279</v>
      </c>
      <c r="F1063" s="16" t="s">
        <v>3896</v>
      </c>
      <c r="G1063" s="4" t="s">
        <v>3897</v>
      </c>
      <c r="H1063" s="4" t="s">
        <v>3898</v>
      </c>
      <c r="I1063" s="4" t="s">
        <v>641</v>
      </c>
      <c r="J1063" s="4" t="s">
        <v>1746</v>
      </c>
      <c r="K1063" s="4">
        <v>1</v>
      </c>
      <c r="L1063" s="4">
        <v>2682</v>
      </c>
      <c r="M1063" s="6"/>
      <c r="AK1063" s="7"/>
      <c r="AO1063" s="4" t="s">
        <v>3896</v>
      </c>
      <c r="AP1063" s="4">
        <v>857</v>
      </c>
      <c r="AQ1063" s="4" t="s">
        <v>1716</v>
      </c>
      <c r="AR1063" s="4" t="s">
        <v>1717</v>
      </c>
      <c r="AS1063" s="4" t="s">
        <v>1718</v>
      </c>
      <c r="AT1063" s="4" t="s">
        <v>1835</v>
      </c>
      <c r="AU1063" s="4" t="s">
        <v>1836</v>
      </c>
      <c r="AV1063" s="4" t="s">
        <v>1720</v>
      </c>
      <c r="AX1063" s="4" t="s">
        <v>1883</v>
      </c>
      <c r="AY1063" s="4">
        <v>49.15</v>
      </c>
      <c r="AZ1063" s="4">
        <v>-122.55</v>
      </c>
      <c r="BA1063" s="4">
        <v>100</v>
      </c>
    </row>
    <row r="1064" spans="1:53" ht="14.25" customHeight="1" x14ac:dyDescent="0.2">
      <c r="A1064" s="4" t="s">
        <v>422</v>
      </c>
      <c r="B1064" s="4">
        <v>12</v>
      </c>
      <c r="C1064" s="4" t="s">
        <v>7666</v>
      </c>
      <c r="D1064" s="4">
        <v>861</v>
      </c>
      <c r="E1064" s="4">
        <v>2280</v>
      </c>
      <c r="F1064" s="4" t="s">
        <v>3899</v>
      </c>
      <c r="G1064" s="4" t="s">
        <v>3900</v>
      </c>
      <c r="H1064" s="4" t="s">
        <v>3901</v>
      </c>
      <c r="I1064" s="4" t="s">
        <v>641</v>
      </c>
      <c r="J1064" s="4" t="s">
        <v>1746</v>
      </c>
      <c r="K1064" s="4">
        <v>1</v>
      </c>
      <c r="L1064" s="4">
        <v>2683</v>
      </c>
      <c r="M1064" s="6"/>
      <c r="AK1064" s="7"/>
      <c r="AO1064" s="4" t="s">
        <v>3902</v>
      </c>
      <c r="AP1064" s="4">
        <v>861</v>
      </c>
      <c r="AQ1064" s="4" t="s">
        <v>1716</v>
      </c>
      <c r="AR1064" s="4" t="s">
        <v>1717</v>
      </c>
      <c r="AS1064" s="4" t="s">
        <v>1718</v>
      </c>
      <c r="AT1064" s="4" t="s">
        <v>1719</v>
      </c>
      <c r="AU1064" s="4" t="s">
        <v>1959</v>
      </c>
      <c r="AV1064" s="4" t="s">
        <v>1720</v>
      </c>
      <c r="AX1064" s="4" t="s">
        <v>2902</v>
      </c>
      <c r="AY1064" s="4">
        <v>49.388100000000001</v>
      </c>
      <c r="AZ1064" s="4">
        <v>-115.3976</v>
      </c>
      <c r="BA1064" s="4">
        <v>797</v>
      </c>
    </row>
    <row r="1065" spans="1:53" ht="14.25" customHeight="1" x14ac:dyDescent="0.2">
      <c r="B1065" s="4">
        <v>12</v>
      </c>
      <c r="C1065" s="25" t="s">
        <v>7666</v>
      </c>
      <c r="D1065" s="4">
        <v>863</v>
      </c>
      <c r="E1065" s="4">
        <v>2281</v>
      </c>
      <c r="F1065" s="16" t="s">
        <v>3903</v>
      </c>
      <c r="G1065" s="67" t="s">
        <v>3904</v>
      </c>
      <c r="H1065" s="4" t="s">
        <v>3905</v>
      </c>
      <c r="I1065" s="4" t="s">
        <v>641</v>
      </c>
      <c r="J1065" s="4" t="s">
        <v>1746</v>
      </c>
      <c r="K1065" s="4">
        <v>1</v>
      </c>
      <c r="L1065" s="4">
        <v>2684</v>
      </c>
      <c r="M1065" s="6"/>
      <c r="AK1065" s="7"/>
      <c r="AO1065" s="25" t="s">
        <v>3903</v>
      </c>
      <c r="AP1065" s="25">
        <v>863</v>
      </c>
      <c r="AQ1065" s="25" t="s">
        <v>1716</v>
      </c>
      <c r="AR1065" s="25" t="s">
        <v>1717</v>
      </c>
      <c r="AS1065" s="25" t="s">
        <v>1718</v>
      </c>
      <c r="AT1065" s="25" t="s">
        <v>1835</v>
      </c>
      <c r="AU1065" s="25" t="s">
        <v>1836</v>
      </c>
      <c r="AV1065" s="25"/>
      <c r="AW1065" s="25" t="s">
        <v>2368</v>
      </c>
      <c r="AX1065" s="25" t="s">
        <v>2369</v>
      </c>
      <c r="AY1065" s="25">
        <v>50.761099999999999</v>
      </c>
      <c r="AZ1065" s="25">
        <v>-121.56529999999999</v>
      </c>
      <c r="BA1065" s="25">
        <v>1085</v>
      </c>
    </row>
    <row r="1066" spans="1:53" ht="14.25" customHeight="1" x14ac:dyDescent="0.2">
      <c r="B1066" s="4">
        <v>12</v>
      </c>
      <c r="C1066" s="4" t="s">
        <v>7666</v>
      </c>
      <c r="D1066" s="4">
        <v>865</v>
      </c>
      <c r="E1066" s="4">
        <v>2282</v>
      </c>
      <c r="F1066" s="4" t="s">
        <v>3906</v>
      </c>
      <c r="G1066" s="4" t="s">
        <v>3907</v>
      </c>
      <c r="H1066" s="4" t="s">
        <v>3908</v>
      </c>
      <c r="I1066" s="4" t="s">
        <v>641</v>
      </c>
      <c r="J1066" s="4" t="s">
        <v>1891</v>
      </c>
      <c r="K1066" s="4">
        <v>1</v>
      </c>
      <c r="L1066" s="4">
        <v>2685</v>
      </c>
      <c r="M1066" s="6">
        <v>50.819299999999998</v>
      </c>
      <c r="N1066" s="9">
        <v>-116.2449</v>
      </c>
      <c r="O1066" s="9" t="s">
        <v>170</v>
      </c>
      <c r="P1066" s="9">
        <v>865</v>
      </c>
      <c r="Q1066" s="20">
        <v>2</v>
      </c>
      <c r="R1066" s="9" t="s">
        <v>3906</v>
      </c>
      <c r="S1066" s="9" t="s">
        <v>1737</v>
      </c>
      <c r="T1066" s="9">
        <v>930</v>
      </c>
      <c r="U1066" s="9"/>
      <c r="V1066" s="9"/>
      <c r="W1066" s="21">
        <v>38125</v>
      </c>
      <c r="X1066" s="9" t="s">
        <v>1738</v>
      </c>
      <c r="AK1066" s="7"/>
      <c r="AO1066" s="4" t="s">
        <v>3906</v>
      </c>
      <c r="AP1066" s="4">
        <v>865</v>
      </c>
      <c r="AQ1066" s="4" t="s">
        <v>1700</v>
      </c>
      <c r="AR1066" s="4" t="s">
        <v>1739</v>
      </c>
      <c r="AS1066" s="4" t="s">
        <v>1740</v>
      </c>
      <c r="AT1066" s="4" t="s">
        <v>1741</v>
      </c>
      <c r="AU1066" s="4" t="s">
        <v>1959</v>
      </c>
      <c r="AV1066" s="4" t="s">
        <v>1720</v>
      </c>
      <c r="AW1066" s="4" t="s">
        <v>2698</v>
      </c>
      <c r="AX1066" s="4" t="s">
        <v>2768</v>
      </c>
      <c r="AY1066" s="4">
        <v>50.819299999999998</v>
      </c>
      <c r="AZ1066" s="4">
        <v>-116.2449</v>
      </c>
      <c r="BA1066" s="4">
        <v>930</v>
      </c>
    </row>
    <row r="1067" spans="1:53" ht="14.25" customHeight="1" x14ac:dyDescent="0.2">
      <c r="B1067" s="4">
        <v>12</v>
      </c>
      <c r="C1067" s="4" t="s">
        <v>7666</v>
      </c>
      <c r="D1067" s="4">
        <v>866</v>
      </c>
      <c r="E1067" s="4">
        <v>2283</v>
      </c>
      <c r="F1067" s="4" t="s">
        <v>1145</v>
      </c>
      <c r="G1067" s="4" t="s">
        <v>3909</v>
      </c>
      <c r="H1067" s="4" t="s">
        <v>3910</v>
      </c>
      <c r="I1067" s="4" t="s">
        <v>641</v>
      </c>
      <c r="J1067" s="4" t="s">
        <v>1829</v>
      </c>
      <c r="K1067" s="4">
        <v>1</v>
      </c>
      <c r="L1067" s="4">
        <v>2686</v>
      </c>
      <c r="M1067" s="6">
        <v>51.435699999999997</v>
      </c>
      <c r="N1067" s="9">
        <v>-117.05710000000001</v>
      </c>
      <c r="O1067" s="9" t="s">
        <v>170</v>
      </c>
      <c r="P1067" s="9">
        <v>866</v>
      </c>
      <c r="Q1067" s="20">
        <v>1</v>
      </c>
      <c r="R1067" s="9" t="s">
        <v>1145</v>
      </c>
      <c r="S1067" s="9" t="s">
        <v>1737</v>
      </c>
      <c r="T1067" s="9">
        <v>861</v>
      </c>
      <c r="U1067" s="9" t="s">
        <v>645</v>
      </c>
      <c r="V1067" s="9"/>
      <c r="W1067" s="21">
        <v>38126</v>
      </c>
      <c r="X1067" s="9" t="s">
        <v>1738</v>
      </c>
      <c r="AK1067" s="7"/>
      <c r="AO1067" s="4" t="s">
        <v>1145</v>
      </c>
      <c r="AP1067" s="4">
        <v>866</v>
      </c>
      <c r="AQ1067" s="4" t="s">
        <v>1700</v>
      </c>
      <c r="AR1067" s="4" t="s">
        <v>1739</v>
      </c>
      <c r="AS1067" s="4" t="s">
        <v>1740</v>
      </c>
      <c r="AT1067" s="4" t="s">
        <v>1741</v>
      </c>
      <c r="AU1067" s="4" t="s">
        <v>1772</v>
      </c>
      <c r="AV1067" s="4" t="s">
        <v>1720</v>
      </c>
      <c r="AW1067" s="4" t="s">
        <v>2698</v>
      </c>
      <c r="AX1067" s="4" t="s">
        <v>2699</v>
      </c>
      <c r="AY1067" s="4">
        <v>51.435699999999997</v>
      </c>
      <c r="AZ1067" s="4">
        <v>-117.05710000000001</v>
      </c>
      <c r="BA1067" s="4">
        <v>861</v>
      </c>
    </row>
    <row r="1068" spans="1:53" ht="14.25" customHeight="1" x14ac:dyDescent="0.2">
      <c r="B1068" s="4">
        <v>12</v>
      </c>
      <c r="C1068" s="4" t="s">
        <v>7666</v>
      </c>
      <c r="D1068" s="4">
        <v>867</v>
      </c>
      <c r="E1068" s="4">
        <v>2284</v>
      </c>
      <c r="F1068" s="16" t="s">
        <v>3911</v>
      </c>
      <c r="G1068" s="67" t="s">
        <v>3912</v>
      </c>
      <c r="H1068" s="4" t="s">
        <v>3913</v>
      </c>
      <c r="I1068" s="4" t="s">
        <v>641</v>
      </c>
      <c r="J1068" s="4" t="s">
        <v>1746</v>
      </c>
      <c r="K1068" s="4">
        <v>1</v>
      </c>
      <c r="L1068" s="4">
        <v>2687</v>
      </c>
      <c r="M1068" s="6"/>
      <c r="AK1068" s="7"/>
      <c r="AO1068" s="4" t="s">
        <v>3911</v>
      </c>
      <c r="AP1068" s="4">
        <v>867</v>
      </c>
      <c r="AQ1068" s="4" t="s">
        <v>1716</v>
      </c>
      <c r="AR1068" s="4" t="s">
        <v>1717</v>
      </c>
      <c r="AS1068" s="4" t="s">
        <v>1718</v>
      </c>
      <c r="AT1068" s="4" t="s">
        <v>1719</v>
      </c>
      <c r="AU1068" s="4" t="s">
        <v>1959</v>
      </c>
      <c r="AV1068" s="4" t="s">
        <v>1720</v>
      </c>
      <c r="AW1068" s="4" t="s">
        <v>2368</v>
      </c>
      <c r="AX1068" s="4" t="s">
        <v>2258</v>
      </c>
      <c r="AY1068" s="4">
        <v>52.112499999999997</v>
      </c>
      <c r="AZ1068" s="4">
        <v>-119.12139999999999</v>
      </c>
      <c r="BA1068" s="4">
        <v>774</v>
      </c>
    </row>
    <row r="1069" spans="1:53" ht="14.25" customHeight="1" x14ac:dyDescent="0.2">
      <c r="B1069" s="4">
        <v>12</v>
      </c>
      <c r="C1069" s="4" t="s">
        <v>7666</v>
      </c>
      <c r="D1069" s="4">
        <v>868</v>
      </c>
      <c r="E1069" s="4">
        <v>2285</v>
      </c>
      <c r="F1069" s="4" t="s">
        <v>3914</v>
      </c>
      <c r="G1069" s="4" t="s">
        <v>3915</v>
      </c>
      <c r="H1069" s="4" t="s">
        <v>3916</v>
      </c>
      <c r="I1069" s="4" t="s">
        <v>641</v>
      </c>
      <c r="J1069" s="4" t="s">
        <v>1891</v>
      </c>
      <c r="K1069" s="4">
        <v>1</v>
      </c>
      <c r="L1069" s="4">
        <v>2688</v>
      </c>
      <c r="M1069" s="6">
        <v>51.85333</v>
      </c>
      <c r="N1069" s="9">
        <v>-118.59139</v>
      </c>
      <c r="O1069" s="9" t="s">
        <v>170</v>
      </c>
      <c r="P1069" s="9">
        <v>868</v>
      </c>
      <c r="Q1069" s="20">
        <v>2</v>
      </c>
      <c r="R1069" s="9" t="s">
        <v>3917</v>
      </c>
      <c r="S1069" s="9" t="s">
        <v>1737</v>
      </c>
      <c r="T1069" s="9">
        <v>1091</v>
      </c>
      <c r="U1069" s="9"/>
      <c r="V1069" s="9"/>
      <c r="W1069" s="21">
        <v>38148</v>
      </c>
      <c r="X1069" s="9" t="s">
        <v>1738</v>
      </c>
      <c r="AK1069" s="7"/>
      <c r="AO1069" s="4" t="s">
        <v>3917</v>
      </c>
      <c r="AP1069" s="4">
        <v>868</v>
      </c>
      <c r="AQ1069" s="4" t="s">
        <v>1716</v>
      </c>
      <c r="AR1069" s="4" t="s">
        <v>1739</v>
      </c>
      <c r="AS1069" s="4" t="s">
        <v>1740</v>
      </c>
      <c r="AT1069" s="4" t="s">
        <v>1741</v>
      </c>
      <c r="AU1069" s="4" t="s">
        <v>1742</v>
      </c>
      <c r="AV1069" s="4" t="s">
        <v>1720</v>
      </c>
      <c r="AW1069" s="4" t="s">
        <v>2698</v>
      </c>
      <c r="AX1069" s="4" t="s">
        <v>2699</v>
      </c>
      <c r="AY1069" s="4">
        <v>51.853299999999997</v>
      </c>
      <c r="AZ1069" s="4">
        <v>-118.59139999999999</v>
      </c>
      <c r="BA1069" s="4">
        <v>1091</v>
      </c>
    </row>
    <row r="1070" spans="1:53" ht="14.25" customHeight="1" x14ac:dyDescent="0.2">
      <c r="A1070" s="4" t="s">
        <v>422</v>
      </c>
      <c r="B1070" s="4">
        <v>12</v>
      </c>
      <c r="C1070" s="4" t="s">
        <v>7666</v>
      </c>
      <c r="D1070" s="4">
        <v>869</v>
      </c>
      <c r="E1070" s="4">
        <v>2286</v>
      </c>
      <c r="F1070" s="16" t="s">
        <v>3918</v>
      </c>
      <c r="G1070" s="4" t="s">
        <v>3919</v>
      </c>
      <c r="H1070" s="4" t="s">
        <v>3920</v>
      </c>
      <c r="I1070" s="4" t="s">
        <v>641</v>
      </c>
      <c r="J1070" s="4" t="s">
        <v>1746</v>
      </c>
      <c r="K1070" s="4">
        <v>1</v>
      </c>
      <c r="L1070" s="4">
        <v>2689</v>
      </c>
      <c r="M1070" s="6"/>
      <c r="AK1070" s="7"/>
      <c r="AO1070" s="4" t="s">
        <v>3918</v>
      </c>
      <c r="AP1070" s="4">
        <v>869</v>
      </c>
      <c r="AQ1070" s="4" t="s">
        <v>1716</v>
      </c>
      <c r="AR1070" s="4" t="s">
        <v>1717</v>
      </c>
      <c r="AS1070" s="4" t="s">
        <v>1718</v>
      </c>
      <c r="AT1070" s="4" t="s">
        <v>1835</v>
      </c>
      <c r="AU1070" s="4" t="s">
        <v>1836</v>
      </c>
      <c r="AW1070" s="4" t="s">
        <v>2368</v>
      </c>
      <c r="AX1070" s="4" t="s">
        <v>2505</v>
      </c>
      <c r="AY1070" s="4">
        <v>50.756100000000004</v>
      </c>
      <c r="AZ1070" s="4">
        <v>-122.02030000000001</v>
      </c>
      <c r="BA1070" s="4">
        <v>1640</v>
      </c>
    </row>
    <row r="1071" spans="1:53" ht="14.25" customHeight="1" x14ac:dyDescent="0.2">
      <c r="A1071" s="4" t="s">
        <v>422</v>
      </c>
      <c r="B1071" s="4">
        <v>12</v>
      </c>
      <c r="C1071" s="4" t="s">
        <v>7666</v>
      </c>
      <c r="D1071" s="4">
        <v>870</v>
      </c>
      <c r="E1071" s="4">
        <v>2287</v>
      </c>
      <c r="F1071" s="16" t="s">
        <v>3921</v>
      </c>
      <c r="G1071" s="4" t="s">
        <v>3922</v>
      </c>
      <c r="H1071" s="4" t="s">
        <v>3923</v>
      </c>
      <c r="I1071" s="4" t="s">
        <v>641</v>
      </c>
      <c r="J1071" s="4" t="s">
        <v>1746</v>
      </c>
      <c r="K1071" s="4">
        <v>1</v>
      </c>
      <c r="L1071" s="4">
        <v>2690</v>
      </c>
      <c r="M1071" s="6"/>
      <c r="AK1071" s="7"/>
      <c r="AO1071" s="4" t="s">
        <v>3921</v>
      </c>
      <c r="AP1071" s="4">
        <v>870</v>
      </c>
      <c r="AQ1071" s="4" t="s">
        <v>1716</v>
      </c>
      <c r="AR1071" s="4" t="s">
        <v>1717</v>
      </c>
      <c r="AS1071" s="4" t="s">
        <v>1718</v>
      </c>
      <c r="AT1071" s="4" t="s">
        <v>1835</v>
      </c>
      <c r="AU1071" s="4" t="s">
        <v>1836</v>
      </c>
      <c r="AW1071" s="4" t="s">
        <v>2193</v>
      </c>
      <c r="AX1071" s="4" t="s">
        <v>2283</v>
      </c>
      <c r="AY1071" s="4">
        <v>52.236899999999999</v>
      </c>
      <c r="AZ1071" s="4">
        <v>-125.2693</v>
      </c>
      <c r="BA1071" s="4">
        <v>1230</v>
      </c>
    </row>
    <row r="1072" spans="1:53" ht="14.25" customHeight="1" x14ac:dyDescent="0.2">
      <c r="B1072" s="4">
        <v>12</v>
      </c>
      <c r="C1072" s="4" t="s">
        <v>7666</v>
      </c>
      <c r="D1072" s="4">
        <v>872</v>
      </c>
      <c r="E1072" s="4">
        <v>2288</v>
      </c>
      <c r="F1072" s="16" t="s">
        <v>3924</v>
      </c>
      <c r="G1072" s="4" t="s">
        <v>3925</v>
      </c>
      <c r="H1072" s="4" t="s">
        <v>3926</v>
      </c>
      <c r="I1072" s="4" t="s">
        <v>641</v>
      </c>
      <c r="J1072" s="4" t="s">
        <v>1746</v>
      </c>
      <c r="K1072" s="4">
        <v>1</v>
      </c>
      <c r="L1072" s="4">
        <v>2691</v>
      </c>
      <c r="M1072" s="6"/>
      <c r="AK1072" s="7"/>
      <c r="AO1072" s="4" t="s">
        <v>3924</v>
      </c>
      <c r="AP1072" s="4">
        <v>872</v>
      </c>
      <c r="AQ1072" s="4" t="s">
        <v>1716</v>
      </c>
      <c r="AR1072" s="4" t="s">
        <v>1717</v>
      </c>
      <c r="AS1072" s="4" t="s">
        <v>1718</v>
      </c>
      <c r="AT1072" s="4" t="s">
        <v>1835</v>
      </c>
      <c r="AU1072" s="4" t="s">
        <v>1836</v>
      </c>
      <c r="AV1072" s="4" t="s">
        <v>1720</v>
      </c>
      <c r="AX1072" s="4" t="s">
        <v>1986</v>
      </c>
      <c r="AY1072" s="4">
        <v>59.884300000000003</v>
      </c>
      <c r="AZ1072" s="4">
        <v>-131.4556</v>
      </c>
      <c r="BA1072" s="4">
        <v>690</v>
      </c>
    </row>
    <row r="1073" spans="1:53" ht="14.25" customHeight="1" x14ac:dyDescent="0.2">
      <c r="B1073" s="4">
        <v>12</v>
      </c>
      <c r="C1073" s="4" t="s">
        <v>7666</v>
      </c>
      <c r="D1073" s="4">
        <v>873</v>
      </c>
      <c r="E1073" s="4">
        <v>2289</v>
      </c>
      <c r="F1073" s="4" t="s">
        <v>3927</v>
      </c>
      <c r="G1073" s="67" t="s">
        <v>3928</v>
      </c>
      <c r="H1073" s="4" t="s">
        <v>3929</v>
      </c>
      <c r="I1073" s="4" t="s">
        <v>641</v>
      </c>
      <c r="J1073" s="4" t="s">
        <v>1829</v>
      </c>
      <c r="K1073" s="4">
        <v>1</v>
      </c>
      <c r="L1073" s="4">
        <v>2692</v>
      </c>
      <c r="M1073" s="6">
        <v>50.765000000000001</v>
      </c>
      <c r="N1073" s="4">
        <v>-117.95778</v>
      </c>
      <c r="O1073" s="4" t="s">
        <v>170</v>
      </c>
      <c r="P1073" s="4">
        <v>873</v>
      </c>
      <c r="Q1073" s="4">
        <v>1</v>
      </c>
      <c r="R1073" s="4" t="s">
        <v>3927</v>
      </c>
      <c r="S1073" s="4" t="s">
        <v>1737</v>
      </c>
      <c r="T1073" s="4">
        <v>887</v>
      </c>
      <c r="W1073" s="4">
        <v>38196</v>
      </c>
      <c r="X1073" s="4" t="s">
        <v>1738</v>
      </c>
      <c r="AK1073" s="7"/>
      <c r="AO1073" s="4" t="s">
        <v>3927</v>
      </c>
      <c r="AP1073" s="4">
        <v>873</v>
      </c>
      <c r="AQ1073" s="4" t="s">
        <v>1716</v>
      </c>
      <c r="AR1073" s="4" t="s">
        <v>1739</v>
      </c>
      <c r="AS1073" s="4" t="s">
        <v>1740</v>
      </c>
      <c r="AT1073" s="4" t="s">
        <v>1835</v>
      </c>
      <c r="AU1073" s="4" t="s">
        <v>1742</v>
      </c>
      <c r="AV1073" s="4" t="s">
        <v>1720</v>
      </c>
      <c r="AW1073" s="4" t="s">
        <v>2698</v>
      </c>
      <c r="AX1073" s="4" t="s">
        <v>2699</v>
      </c>
      <c r="AY1073" s="4">
        <v>50.765000000000001</v>
      </c>
      <c r="AZ1073" s="4">
        <v>-117.95780000000001</v>
      </c>
      <c r="BA1073" s="4">
        <v>887</v>
      </c>
    </row>
    <row r="1074" spans="1:53" ht="14.25" customHeight="1" x14ac:dyDescent="0.2">
      <c r="A1074" s="4" t="s">
        <v>422</v>
      </c>
      <c r="B1074" s="4">
        <v>12</v>
      </c>
      <c r="C1074" s="4" t="s">
        <v>7666</v>
      </c>
      <c r="D1074" s="4">
        <v>874</v>
      </c>
      <c r="E1074" s="4">
        <v>2290</v>
      </c>
      <c r="F1074" s="4" t="s">
        <v>3930</v>
      </c>
      <c r="G1074" s="67" t="s">
        <v>3931</v>
      </c>
      <c r="H1074" s="4" t="s">
        <v>3932</v>
      </c>
      <c r="I1074" s="4" t="s">
        <v>641</v>
      </c>
      <c r="J1074" s="4" t="s">
        <v>1746</v>
      </c>
      <c r="K1074" s="4">
        <v>1</v>
      </c>
      <c r="L1074" s="4">
        <v>2693</v>
      </c>
      <c r="M1074" s="6"/>
      <c r="AK1074" s="7"/>
      <c r="AO1074" s="4" t="s">
        <v>3933</v>
      </c>
      <c r="AP1074" s="4">
        <v>874</v>
      </c>
      <c r="AQ1074" s="4" t="s">
        <v>1716</v>
      </c>
      <c r="AR1074" s="4" t="s">
        <v>1717</v>
      </c>
      <c r="AS1074" s="4" t="s">
        <v>1718</v>
      </c>
      <c r="AT1074" s="4" t="s">
        <v>1835</v>
      </c>
      <c r="AU1074" s="4" t="s">
        <v>1836</v>
      </c>
      <c r="AX1074" s="4" t="s">
        <v>2283</v>
      </c>
      <c r="AY1074" s="4">
        <v>51.8825</v>
      </c>
      <c r="AZ1074" s="4">
        <v>-124.9961</v>
      </c>
      <c r="BA1074" s="4">
        <v>1355</v>
      </c>
    </row>
    <row r="1075" spans="1:53" ht="14.25" customHeight="1" x14ac:dyDescent="0.2">
      <c r="A1075" s="4" t="s">
        <v>422</v>
      </c>
      <c r="B1075" s="4">
        <v>12</v>
      </c>
      <c r="C1075" s="4" t="s">
        <v>7666</v>
      </c>
      <c r="D1075" s="4">
        <v>875</v>
      </c>
      <c r="E1075" s="4">
        <v>2291</v>
      </c>
      <c r="F1075" s="16" t="s">
        <v>3934</v>
      </c>
      <c r="G1075" s="4" t="s">
        <v>3935</v>
      </c>
      <c r="H1075" s="4" t="s">
        <v>3936</v>
      </c>
      <c r="I1075" s="4" t="s">
        <v>641</v>
      </c>
      <c r="J1075" s="4" t="s">
        <v>1746</v>
      </c>
      <c r="K1075" s="4">
        <v>1</v>
      </c>
      <c r="L1075" s="4">
        <v>2694</v>
      </c>
      <c r="M1075" s="6"/>
      <c r="AK1075" s="7"/>
      <c r="AO1075" s="4" t="s">
        <v>3934</v>
      </c>
      <c r="AP1075" s="4">
        <v>875</v>
      </c>
      <c r="AQ1075" s="4" t="s">
        <v>1716</v>
      </c>
      <c r="AR1075" s="4" t="s">
        <v>1717</v>
      </c>
      <c r="AS1075" s="4" t="s">
        <v>1718</v>
      </c>
      <c r="AT1075" s="4" t="s">
        <v>1719</v>
      </c>
      <c r="AU1075" s="4" t="s">
        <v>1959</v>
      </c>
      <c r="AV1075" s="4" t="s">
        <v>1720</v>
      </c>
      <c r="AW1075" s="4" t="s">
        <v>2368</v>
      </c>
      <c r="AX1075" s="4" t="s">
        <v>2516</v>
      </c>
      <c r="AY1075" s="4">
        <v>49.767200000000003</v>
      </c>
      <c r="AZ1075" s="4">
        <v>-119.1242</v>
      </c>
      <c r="BA1075" s="4">
        <v>1300</v>
      </c>
    </row>
    <row r="1076" spans="1:53" ht="14.25" customHeight="1" x14ac:dyDescent="0.2">
      <c r="A1076" s="4" t="s">
        <v>1908</v>
      </c>
      <c r="B1076" s="4">
        <v>12</v>
      </c>
      <c r="C1076" s="4" t="s">
        <v>7666</v>
      </c>
      <c r="D1076" s="4">
        <v>876</v>
      </c>
      <c r="E1076" s="4">
        <v>2292</v>
      </c>
      <c r="F1076" s="8" t="s">
        <v>3937</v>
      </c>
      <c r="G1076" s="8" t="s">
        <v>3938</v>
      </c>
      <c r="H1076" s="4" t="s">
        <v>3939</v>
      </c>
      <c r="I1076" s="4" t="s">
        <v>641</v>
      </c>
      <c r="J1076" s="4" t="s">
        <v>1829</v>
      </c>
      <c r="K1076" s="4">
        <v>1</v>
      </c>
      <c r="L1076" s="4">
        <v>2695</v>
      </c>
      <c r="M1076" s="6">
        <v>49.767220000000002</v>
      </c>
      <c r="N1076" s="4">
        <v>-119.12407</v>
      </c>
      <c r="O1076" s="4" t="s">
        <v>142</v>
      </c>
      <c r="P1076" s="4">
        <v>876</v>
      </c>
      <c r="Q1076" s="4">
        <v>4</v>
      </c>
      <c r="R1076" s="4" t="s">
        <v>3940</v>
      </c>
      <c r="S1076" s="4" t="s">
        <v>1737</v>
      </c>
      <c r="T1076" s="4">
        <v>1261</v>
      </c>
      <c r="U1076" s="4" t="s">
        <v>645</v>
      </c>
      <c r="W1076" s="4">
        <v>38146</v>
      </c>
      <c r="X1076" s="4" t="s">
        <v>1738</v>
      </c>
      <c r="AK1076" s="7"/>
      <c r="AO1076" s="4" t="s">
        <v>3941</v>
      </c>
      <c r="AP1076" s="4">
        <v>876</v>
      </c>
      <c r="AQ1076" s="4" t="s">
        <v>1716</v>
      </c>
      <c r="AR1076" s="4" t="s">
        <v>1739</v>
      </c>
      <c r="AS1076" s="4" t="s">
        <v>1740</v>
      </c>
      <c r="AT1076" s="4" t="s">
        <v>1741</v>
      </c>
      <c r="AU1076" s="4" t="s">
        <v>1742</v>
      </c>
      <c r="AV1076" s="4" t="s">
        <v>1720</v>
      </c>
      <c r="AW1076" s="4" t="s">
        <v>2368</v>
      </c>
      <c r="AX1076" s="4" t="s">
        <v>2516</v>
      </c>
      <c r="AY1076" s="4">
        <v>49.767200000000003</v>
      </c>
      <c r="AZ1076" s="4">
        <v>-119.1241</v>
      </c>
      <c r="BA1076" s="4">
        <v>1246</v>
      </c>
    </row>
    <row r="1077" spans="1:53" ht="14.25" customHeight="1" x14ac:dyDescent="0.2">
      <c r="A1077" s="4" t="s">
        <v>422</v>
      </c>
      <c r="B1077" s="4">
        <v>12</v>
      </c>
      <c r="C1077" s="4" t="s">
        <v>7666</v>
      </c>
      <c r="D1077" s="4">
        <v>879</v>
      </c>
      <c r="E1077" s="4">
        <v>2293</v>
      </c>
      <c r="F1077" s="16" t="s">
        <v>3942</v>
      </c>
      <c r="G1077" s="4" t="s">
        <v>3943</v>
      </c>
      <c r="H1077" s="4" t="s">
        <v>3944</v>
      </c>
      <c r="I1077" s="4" t="s">
        <v>641</v>
      </c>
      <c r="J1077" s="4" t="s">
        <v>1746</v>
      </c>
      <c r="K1077" s="4">
        <v>1</v>
      </c>
      <c r="L1077" s="4">
        <v>2696</v>
      </c>
      <c r="M1077" s="6"/>
      <c r="AK1077" s="7"/>
      <c r="AO1077" s="4" t="s">
        <v>3942</v>
      </c>
      <c r="AP1077" s="4">
        <v>879</v>
      </c>
      <c r="AQ1077" s="4" t="s">
        <v>1716</v>
      </c>
      <c r="AR1077" s="4" t="s">
        <v>1717</v>
      </c>
      <c r="AS1077" s="4" t="s">
        <v>1718</v>
      </c>
      <c r="AT1077" s="4" t="s">
        <v>1835</v>
      </c>
      <c r="AU1077" s="4" t="s">
        <v>1836</v>
      </c>
      <c r="AV1077" s="4" t="s">
        <v>1720</v>
      </c>
      <c r="AW1077" s="4" t="s">
        <v>2368</v>
      </c>
      <c r="AX1077" s="4" t="s">
        <v>2505</v>
      </c>
      <c r="AY1077" s="4">
        <v>50.746899999999997</v>
      </c>
      <c r="AZ1077" s="4">
        <v>-122.4281</v>
      </c>
      <c r="BA1077" s="4">
        <v>2165</v>
      </c>
    </row>
    <row r="1078" spans="1:53" ht="14.25" customHeight="1" x14ac:dyDescent="0.2">
      <c r="A1078" s="4" t="s">
        <v>88</v>
      </c>
      <c r="B1078" s="4">
        <v>12</v>
      </c>
      <c r="C1078" s="4" t="s">
        <v>7666</v>
      </c>
      <c r="D1078" s="4">
        <v>882</v>
      </c>
      <c r="E1078" s="4">
        <v>2294</v>
      </c>
      <c r="F1078" s="4" t="s">
        <v>3945</v>
      </c>
      <c r="G1078" s="8" t="s">
        <v>3946</v>
      </c>
      <c r="H1078" s="4" t="s">
        <v>3947</v>
      </c>
      <c r="I1078" s="4" t="s">
        <v>641</v>
      </c>
      <c r="J1078" s="4" t="s">
        <v>1891</v>
      </c>
      <c r="K1078" s="4">
        <v>1</v>
      </c>
      <c r="L1078" s="4">
        <v>2697</v>
      </c>
      <c r="M1078" s="6">
        <v>50.86347</v>
      </c>
      <c r="N1078" s="4">
        <v>-119.00285</v>
      </c>
      <c r="O1078" s="4" t="s">
        <v>170</v>
      </c>
      <c r="P1078" s="4">
        <v>882</v>
      </c>
      <c r="Q1078" s="4">
        <v>2</v>
      </c>
      <c r="R1078" s="4" t="s">
        <v>3945</v>
      </c>
      <c r="S1078" s="4" t="s">
        <v>1737</v>
      </c>
      <c r="T1078" s="4">
        <v>1115</v>
      </c>
      <c r="U1078" s="4" t="s">
        <v>645</v>
      </c>
      <c r="W1078" s="4">
        <v>38253</v>
      </c>
      <c r="X1078" s="4" t="s">
        <v>1738</v>
      </c>
      <c r="AK1078" s="7"/>
      <c r="AO1078" s="4" t="s">
        <v>3945</v>
      </c>
      <c r="AP1078" s="4">
        <v>882</v>
      </c>
      <c r="AQ1078" s="4" t="s">
        <v>1700</v>
      </c>
      <c r="AR1078" s="4" t="s">
        <v>1739</v>
      </c>
      <c r="AS1078" s="4" t="s">
        <v>1740</v>
      </c>
      <c r="AT1078" s="4" t="s">
        <v>1741</v>
      </c>
      <c r="AU1078" s="4" t="s">
        <v>1959</v>
      </c>
      <c r="AV1078" s="4" t="s">
        <v>1720</v>
      </c>
      <c r="AW1078" s="4" t="s">
        <v>2368</v>
      </c>
      <c r="AX1078" s="4" t="s">
        <v>2522</v>
      </c>
      <c r="AY1078" s="4">
        <v>50.863500000000002</v>
      </c>
      <c r="AZ1078" s="4">
        <v>-119.00279999999999</v>
      </c>
      <c r="BA1078" s="4">
        <v>1115</v>
      </c>
    </row>
    <row r="1079" spans="1:53" ht="14.25" customHeight="1" x14ac:dyDescent="0.2">
      <c r="A1079" s="4" t="s">
        <v>88</v>
      </c>
      <c r="B1079" s="4">
        <v>12</v>
      </c>
      <c r="C1079" s="4" t="s">
        <v>7666</v>
      </c>
      <c r="D1079" s="4">
        <v>886</v>
      </c>
      <c r="E1079" s="4">
        <v>2295</v>
      </c>
      <c r="F1079" s="4" t="s">
        <v>3948</v>
      </c>
      <c r="G1079" s="68" t="s">
        <v>3949</v>
      </c>
      <c r="H1079" s="4" t="s">
        <v>3950</v>
      </c>
      <c r="I1079" s="4" t="s">
        <v>641</v>
      </c>
      <c r="J1079" s="4" t="s">
        <v>1891</v>
      </c>
      <c r="K1079" s="4">
        <v>1</v>
      </c>
      <c r="L1079" s="4">
        <v>2698</v>
      </c>
      <c r="M1079" s="6">
        <v>49.667299999999997</v>
      </c>
      <c r="N1079" s="4">
        <v>-115.2144</v>
      </c>
      <c r="O1079" s="4" t="s">
        <v>170</v>
      </c>
      <c r="P1079" s="4">
        <v>886</v>
      </c>
      <c r="Q1079" s="4">
        <v>2</v>
      </c>
      <c r="R1079" s="4" t="s">
        <v>3948</v>
      </c>
      <c r="S1079" s="4" t="s">
        <v>1737</v>
      </c>
      <c r="T1079" s="4">
        <v>1051</v>
      </c>
      <c r="W1079" s="4">
        <v>38288</v>
      </c>
      <c r="X1079" s="4" t="s">
        <v>1738</v>
      </c>
      <c r="AK1079" s="7"/>
      <c r="AO1079" s="4" t="s">
        <v>3948</v>
      </c>
      <c r="AP1079" s="4">
        <v>886</v>
      </c>
      <c r="AQ1079" s="4" t="s">
        <v>1716</v>
      </c>
      <c r="AR1079" s="4" t="s">
        <v>1739</v>
      </c>
      <c r="AS1079" s="4" t="s">
        <v>1740</v>
      </c>
      <c r="AT1079" s="4" t="s">
        <v>1741</v>
      </c>
      <c r="AU1079" s="4" t="s">
        <v>1742</v>
      </c>
      <c r="AV1079" s="4" t="s">
        <v>1720</v>
      </c>
      <c r="AW1079" s="4" t="s">
        <v>2698</v>
      </c>
      <c r="AX1079" s="4" t="s">
        <v>2902</v>
      </c>
      <c r="AY1079" s="4">
        <v>49.667299999999997</v>
      </c>
      <c r="AZ1079" s="4">
        <v>-115.2144</v>
      </c>
      <c r="BA1079" s="4">
        <v>1063</v>
      </c>
    </row>
    <row r="1080" spans="1:53" ht="14.25" customHeight="1" x14ac:dyDescent="0.2">
      <c r="A1080" s="4" t="s">
        <v>422</v>
      </c>
      <c r="B1080" s="4">
        <v>12</v>
      </c>
      <c r="C1080" s="4" t="s">
        <v>7666</v>
      </c>
      <c r="D1080" s="4">
        <v>892</v>
      </c>
      <c r="E1080" s="4">
        <v>2296</v>
      </c>
      <c r="F1080" s="16" t="s">
        <v>3951</v>
      </c>
      <c r="G1080" s="67" t="s">
        <v>3952</v>
      </c>
      <c r="H1080" s="4" t="s">
        <v>3953</v>
      </c>
      <c r="I1080" s="4" t="s">
        <v>641</v>
      </c>
      <c r="J1080" s="4" t="s">
        <v>1746</v>
      </c>
      <c r="K1080" s="4">
        <v>1</v>
      </c>
      <c r="L1080" s="4">
        <v>2699</v>
      </c>
      <c r="M1080" s="6"/>
      <c r="AK1080" s="7"/>
      <c r="AO1080" s="4" t="s">
        <v>3951</v>
      </c>
      <c r="AP1080" s="4">
        <v>892</v>
      </c>
      <c r="AQ1080" s="4" t="s">
        <v>1716</v>
      </c>
      <c r="AR1080" s="4" t="s">
        <v>1717</v>
      </c>
      <c r="AS1080" s="4" t="s">
        <v>1718</v>
      </c>
      <c r="AT1080" s="4" t="s">
        <v>1841</v>
      </c>
      <c r="AU1080" s="4" t="s">
        <v>1959</v>
      </c>
      <c r="AV1080" s="4" t="s">
        <v>1720</v>
      </c>
      <c r="AW1080" s="4" t="s">
        <v>2368</v>
      </c>
      <c r="AX1080" s="4" t="s">
        <v>2401</v>
      </c>
      <c r="AY1080" s="4">
        <v>51.581400000000002</v>
      </c>
      <c r="AZ1080" s="4">
        <v>-120.0433</v>
      </c>
      <c r="BA1080" s="4">
        <v>1200</v>
      </c>
    </row>
    <row r="1081" spans="1:53" ht="14.25" customHeight="1" x14ac:dyDescent="0.2">
      <c r="A1081" s="4" t="s">
        <v>422</v>
      </c>
      <c r="B1081" s="4">
        <v>12</v>
      </c>
      <c r="C1081" s="4" t="s">
        <v>7665</v>
      </c>
      <c r="D1081" s="4">
        <v>896</v>
      </c>
      <c r="E1081" s="4">
        <v>12976</v>
      </c>
      <c r="G1081" s="67" t="s">
        <v>127</v>
      </c>
      <c r="H1081" s="4" t="s">
        <v>1697</v>
      </c>
      <c r="I1081" s="4" t="s">
        <v>49</v>
      </c>
      <c r="J1081" s="4" t="s">
        <v>1746</v>
      </c>
      <c r="K1081" s="4">
        <v>1</v>
      </c>
      <c r="L1081" s="4">
        <v>14908</v>
      </c>
      <c r="M1081" s="6"/>
      <c r="AK1081" s="7"/>
      <c r="AO1081" s="48" t="s">
        <v>3954</v>
      </c>
      <c r="AP1081" s="48">
        <v>896</v>
      </c>
      <c r="AQ1081" s="48" t="s">
        <v>1700</v>
      </c>
      <c r="AR1081" s="48" t="s">
        <v>1739</v>
      </c>
      <c r="AS1081" s="48" t="s">
        <v>1702</v>
      </c>
      <c r="AT1081" s="48" t="s">
        <v>1703</v>
      </c>
      <c r="AU1081" s="48" t="s">
        <v>1704</v>
      </c>
      <c r="AV1081" s="48" t="s">
        <v>1702</v>
      </c>
      <c r="AW1081" s="48" t="s">
        <v>1705</v>
      </c>
      <c r="AX1081" s="48" t="s">
        <v>1879</v>
      </c>
      <c r="AY1081" s="48">
        <v>50.144300000000001</v>
      </c>
      <c r="AZ1081" s="48">
        <v>-123.1093</v>
      </c>
      <c r="BA1081" s="48">
        <v>869</v>
      </c>
    </row>
    <row r="1082" spans="1:53" ht="14.25" customHeight="1" x14ac:dyDescent="0.2">
      <c r="A1082" s="4" t="s">
        <v>422</v>
      </c>
      <c r="B1082" s="4">
        <v>12</v>
      </c>
      <c r="C1082" s="4" t="s">
        <v>7666</v>
      </c>
      <c r="D1082" s="4">
        <v>900</v>
      </c>
      <c r="E1082" s="4">
        <v>2297</v>
      </c>
      <c r="F1082" s="16" t="s">
        <v>3955</v>
      </c>
      <c r="G1082" s="4" t="s">
        <v>3956</v>
      </c>
      <c r="H1082" s="4" t="s">
        <v>3957</v>
      </c>
      <c r="I1082" s="4" t="s">
        <v>641</v>
      </c>
      <c r="J1082" s="4" t="s">
        <v>1746</v>
      </c>
      <c r="K1082" s="4">
        <v>1</v>
      </c>
      <c r="L1082" s="4">
        <v>2700</v>
      </c>
      <c r="M1082" s="6"/>
      <c r="AK1082" s="7"/>
      <c r="AO1082" s="4" t="s">
        <v>3955</v>
      </c>
      <c r="AP1082" s="4">
        <v>900</v>
      </c>
      <c r="AQ1082" s="4" t="s">
        <v>1716</v>
      </c>
      <c r="AR1082" s="4" t="s">
        <v>1717</v>
      </c>
      <c r="AS1082" s="4" t="s">
        <v>1718</v>
      </c>
      <c r="AT1082" s="4" t="s">
        <v>1841</v>
      </c>
      <c r="AU1082" s="4" t="s">
        <v>1959</v>
      </c>
      <c r="AV1082" s="4" t="s">
        <v>1720</v>
      </c>
      <c r="AW1082" s="4" t="s">
        <v>2368</v>
      </c>
      <c r="AX1082" s="4" t="s">
        <v>2369</v>
      </c>
      <c r="AY1082" s="4">
        <v>51.439700000000002</v>
      </c>
      <c r="AZ1082" s="4">
        <v>-119.7136</v>
      </c>
      <c r="BA1082" s="4">
        <v>900</v>
      </c>
    </row>
    <row r="1083" spans="1:53" ht="14.25" customHeight="1" x14ac:dyDescent="0.2">
      <c r="B1083" s="4">
        <v>12</v>
      </c>
      <c r="C1083" s="4" t="s">
        <v>7666</v>
      </c>
      <c r="D1083" s="4">
        <v>903</v>
      </c>
      <c r="E1083" s="4">
        <v>2298</v>
      </c>
      <c r="F1083" s="4" t="s">
        <v>3958</v>
      </c>
      <c r="G1083" s="68" t="s">
        <v>3959</v>
      </c>
      <c r="H1083" s="4" t="s">
        <v>3960</v>
      </c>
      <c r="I1083" s="4" t="s">
        <v>641</v>
      </c>
      <c r="J1083" s="4" t="s">
        <v>1746</v>
      </c>
      <c r="K1083" s="4">
        <v>1</v>
      </c>
      <c r="L1083" s="4">
        <v>2701</v>
      </c>
      <c r="M1083" s="6"/>
      <c r="AK1083" s="7"/>
      <c r="AO1083" s="4" t="s">
        <v>3961</v>
      </c>
      <c r="AP1083" s="4">
        <v>903</v>
      </c>
      <c r="AQ1083" s="4" t="s">
        <v>1716</v>
      </c>
      <c r="AR1083" s="4" t="s">
        <v>1717</v>
      </c>
      <c r="AS1083" s="4" t="s">
        <v>1718</v>
      </c>
      <c r="AT1083" s="4" t="s">
        <v>1835</v>
      </c>
      <c r="AU1083" s="4" t="s">
        <v>1959</v>
      </c>
      <c r="AV1083" s="4" t="s">
        <v>1720</v>
      </c>
      <c r="AW1083" s="4" t="s">
        <v>2003</v>
      </c>
      <c r="AX1083" s="4" t="s">
        <v>2139</v>
      </c>
      <c r="AY1083" s="4">
        <v>53.400799999999997</v>
      </c>
      <c r="AZ1083" s="4">
        <v>-124.4389</v>
      </c>
      <c r="BA1083" s="4">
        <v>1000</v>
      </c>
    </row>
    <row r="1084" spans="1:53" ht="14.25" customHeight="1" x14ac:dyDescent="0.2">
      <c r="A1084" s="4" t="s">
        <v>2037</v>
      </c>
      <c r="B1084" s="4">
        <v>12</v>
      </c>
      <c r="C1084" s="25" t="s">
        <v>7666</v>
      </c>
      <c r="D1084" s="4">
        <v>904</v>
      </c>
      <c r="E1084" s="4">
        <v>2299</v>
      </c>
      <c r="F1084" s="8" t="s">
        <v>3962</v>
      </c>
      <c r="G1084" s="68" t="s">
        <v>3963</v>
      </c>
      <c r="H1084" s="4" t="s">
        <v>3964</v>
      </c>
      <c r="I1084" s="4" t="s">
        <v>641</v>
      </c>
      <c r="J1084" s="4" t="s">
        <v>1829</v>
      </c>
      <c r="K1084" s="4">
        <v>1</v>
      </c>
      <c r="L1084" s="4">
        <v>2702</v>
      </c>
      <c r="M1084" s="6">
        <v>52.387250000000002</v>
      </c>
      <c r="N1084" s="4">
        <v>-126.58972</v>
      </c>
      <c r="O1084" s="4" t="s">
        <v>51</v>
      </c>
      <c r="P1084" s="4">
        <v>904</v>
      </c>
      <c r="Q1084" s="4">
        <v>1</v>
      </c>
      <c r="R1084" s="4" t="s">
        <v>3965</v>
      </c>
      <c r="S1084" s="4" t="s">
        <v>1737</v>
      </c>
      <c r="T1084" s="4">
        <v>47</v>
      </c>
      <c r="W1084" s="4">
        <v>38546</v>
      </c>
      <c r="X1084" s="4" t="s">
        <v>1738</v>
      </c>
      <c r="AK1084" s="7"/>
      <c r="AO1084" s="25" t="s">
        <v>3965</v>
      </c>
      <c r="AP1084" s="25">
        <v>904</v>
      </c>
      <c r="AQ1084" s="25" t="s">
        <v>1700</v>
      </c>
      <c r="AR1084" s="25" t="s">
        <v>1739</v>
      </c>
      <c r="AS1084" s="25" t="s">
        <v>1740</v>
      </c>
      <c r="AT1084" s="25" t="s">
        <v>1741</v>
      </c>
      <c r="AU1084" s="25" t="s">
        <v>1772</v>
      </c>
      <c r="AV1084" s="25" t="s">
        <v>1720</v>
      </c>
      <c r="AW1084" s="25" t="s">
        <v>1705</v>
      </c>
      <c r="AX1084" s="25" t="s">
        <v>1965</v>
      </c>
      <c r="AY1084" s="25">
        <v>52.387300000000003</v>
      </c>
      <c r="AZ1084" s="25">
        <v>-126.58969999999999</v>
      </c>
      <c r="BA1084" s="25">
        <v>47</v>
      </c>
    </row>
    <row r="1085" spans="1:53" ht="14.25" customHeight="1" x14ac:dyDescent="0.2">
      <c r="B1085" s="4">
        <v>12</v>
      </c>
      <c r="C1085" s="4" t="s">
        <v>7666</v>
      </c>
      <c r="D1085" s="4">
        <v>905</v>
      </c>
      <c r="E1085" s="4">
        <v>2300</v>
      </c>
      <c r="F1085" s="4" t="s">
        <v>3966</v>
      </c>
      <c r="G1085" s="4" t="s">
        <v>3967</v>
      </c>
      <c r="H1085" s="4" t="s">
        <v>3968</v>
      </c>
      <c r="I1085" s="4" t="s">
        <v>641</v>
      </c>
      <c r="J1085" s="4" t="s">
        <v>1891</v>
      </c>
      <c r="K1085" s="4">
        <v>1</v>
      </c>
      <c r="L1085" s="4">
        <v>2703</v>
      </c>
      <c r="M1085" s="6">
        <v>51.5154</v>
      </c>
      <c r="N1085" s="4">
        <v>-118.27207</v>
      </c>
      <c r="O1085" s="4" t="s">
        <v>170</v>
      </c>
      <c r="P1085" s="4">
        <v>905</v>
      </c>
      <c r="Q1085" s="4">
        <v>1</v>
      </c>
      <c r="R1085" s="4" t="s">
        <v>3966</v>
      </c>
      <c r="S1085" s="4" t="s">
        <v>1737</v>
      </c>
      <c r="T1085" s="4">
        <v>757</v>
      </c>
      <c r="W1085" s="4">
        <v>38547</v>
      </c>
      <c r="X1085" s="4" t="s">
        <v>1738</v>
      </c>
      <c r="AK1085" s="7"/>
      <c r="AO1085" s="4" t="s">
        <v>3966</v>
      </c>
      <c r="AP1085" s="4">
        <v>905</v>
      </c>
      <c r="AQ1085" s="4" t="s">
        <v>1716</v>
      </c>
      <c r="AR1085" s="4" t="s">
        <v>1739</v>
      </c>
      <c r="AS1085" s="4" t="s">
        <v>1740</v>
      </c>
      <c r="AT1085" s="4" t="s">
        <v>1741</v>
      </c>
      <c r="AU1085" s="4" t="s">
        <v>1742</v>
      </c>
      <c r="AV1085" s="4" t="s">
        <v>1720</v>
      </c>
      <c r="AW1085" s="4" t="s">
        <v>2698</v>
      </c>
      <c r="AX1085" s="4" t="s">
        <v>2699</v>
      </c>
      <c r="AY1085" s="4">
        <v>51.5154</v>
      </c>
      <c r="AZ1085" s="4">
        <v>-118.27209999999999</v>
      </c>
      <c r="BA1085" s="4">
        <v>757</v>
      </c>
    </row>
    <row r="1086" spans="1:53" ht="14.25" customHeight="1" x14ac:dyDescent="0.2">
      <c r="A1086" s="4" t="s">
        <v>88</v>
      </c>
      <c r="B1086" s="4">
        <v>12</v>
      </c>
      <c r="C1086" s="4" t="s">
        <v>7666</v>
      </c>
      <c r="D1086" s="4">
        <v>910</v>
      </c>
      <c r="E1086" s="4">
        <v>2301</v>
      </c>
      <c r="F1086" s="4" t="s">
        <v>3969</v>
      </c>
      <c r="G1086" s="8" t="s">
        <v>3970</v>
      </c>
      <c r="H1086" s="4" t="s">
        <v>3971</v>
      </c>
      <c r="I1086" s="4" t="s">
        <v>641</v>
      </c>
      <c r="J1086" s="4" t="s">
        <v>1746</v>
      </c>
      <c r="K1086" s="4">
        <v>1</v>
      </c>
      <c r="L1086" s="4">
        <v>2704</v>
      </c>
      <c r="M1086" s="6"/>
      <c r="AK1086" s="7"/>
      <c r="AO1086" s="4" t="s">
        <v>3972</v>
      </c>
      <c r="AP1086" s="4">
        <v>910</v>
      </c>
      <c r="AQ1086" s="4" t="s">
        <v>1716</v>
      </c>
      <c r="AR1086" s="4" t="s">
        <v>1717</v>
      </c>
      <c r="AS1086" s="4" t="s">
        <v>1718</v>
      </c>
      <c r="AT1086" s="4" t="s">
        <v>1719</v>
      </c>
      <c r="AU1086" s="4" t="s">
        <v>1959</v>
      </c>
      <c r="AV1086" s="4" t="s">
        <v>1720</v>
      </c>
      <c r="AW1086" s="4" t="s">
        <v>2368</v>
      </c>
      <c r="AX1086" s="4" t="s">
        <v>2505</v>
      </c>
      <c r="AY1086" s="4">
        <v>50.827300000000001</v>
      </c>
      <c r="AZ1086" s="4">
        <v>-122.3369</v>
      </c>
      <c r="BA1086" s="4">
        <v>2017</v>
      </c>
    </row>
    <row r="1087" spans="1:53" ht="14.25" customHeight="1" x14ac:dyDescent="0.2">
      <c r="A1087" s="4" t="s">
        <v>2037</v>
      </c>
      <c r="B1087" s="4">
        <v>12</v>
      </c>
      <c r="C1087" s="4" t="s">
        <v>7666</v>
      </c>
      <c r="D1087" s="4">
        <v>913</v>
      </c>
      <c r="E1087" s="4">
        <v>2302</v>
      </c>
      <c r="F1087" s="4" t="s">
        <v>3973</v>
      </c>
      <c r="G1087" s="4" t="s">
        <v>3974</v>
      </c>
      <c r="H1087" s="4" t="s">
        <v>3975</v>
      </c>
      <c r="I1087" s="4" t="s">
        <v>1664</v>
      </c>
      <c r="J1087" s="4" t="s">
        <v>1746</v>
      </c>
      <c r="K1087" s="4">
        <v>1</v>
      </c>
      <c r="L1087" s="4">
        <v>2705</v>
      </c>
      <c r="M1087" s="6"/>
      <c r="AK1087" s="7"/>
      <c r="AO1087" s="4" t="s">
        <v>3976</v>
      </c>
      <c r="AP1087" s="4">
        <v>913</v>
      </c>
      <c r="AQ1087" s="4" t="s">
        <v>1716</v>
      </c>
      <c r="AR1087" s="4" t="s">
        <v>1717</v>
      </c>
      <c r="AS1087" s="4" t="s">
        <v>2257</v>
      </c>
      <c r="AT1087" s="4" t="s">
        <v>1703</v>
      </c>
      <c r="AU1087" s="4" t="s">
        <v>3668</v>
      </c>
      <c r="AV1087" s="4" t="s">
        <v>1720</v>
      </c>
      <c r="AW1087" s="4" t="s">
        <v>2698</v>
      </c>
      <c r="AX1087" s="4" t="s">
        <v>1965</v>
      </c>
      <c r="AY1087" s="4">
        <v>52.269199999999998</v>
      </c>
      <c r="AZ1087" s="4">
        <v>-125.78270000000001</v>
      </c>
      <c r="BA1087" s="4">
        <v>1098</v>
      </c>
    </row>
    <row r="1088" spans="1:53" ht="14.25" customHeight="1" x14ac:dyDescent="0.2">
      <c r="A1088" s="4" t="s">
        <v>422</v>
      </c>
      <c r="B1088" s="4">
        <v>12</v>
      </c>
      <c r="C1088" s="4" t="s">
        <v>7666</v>
      </c>
      <c r="D1088" s="4">
        <v>914</v>
      </c>
      <c r="E1088" s="4">
        <v>2303</v>
      </c>
      <c r="F1088" s="16" t="s">
        <v>3977</v>
      </c>
      <c r="G1088" s="4" t="s">
        <v>3978</v>
      </c>
      <c r="H1088" s="4" t="s">
        <v>3979</v>
      </c>
      <c r="I1088" s="4" t="s">
        <v>641</v>
      </c>
      <c r="J1088" s="4" t="s">
        <v>1746</v>
      </c>
      <c r="K1088" s="4">
        <v>1</v>
      </c>
      <c r="L1088" s="4">
        <v>2706</v>
      </c>
      <c r="M1088" s="6"/>
      <c r="AK1088" s="7"/>
      <c r="AO1088" s="27" t="s">
        <v>3977</v>
      </c>
      <c r="AP1088" s="4">
        <v>914</v>
      </c>
      <c r="AQ1088" s="4" t="s">
        <v>1716</v>
      </c>
      <c r="AR1088" s="4" t="s">
        <v>1717</v>
      </c>
      <c r="AS1088" s="4" t="s">
        <v>1718</v>
      </c>
      <c r="AT1088" s="4" t="s">
        <v>1835</v>
      </c>
      <c r="AU1088" s="4" t="s">
        <v>1836</v>
      </c>
      <c r="AV1088" s="4" t="s">
        <v>1720</v>
      </c>
      <c r="AW1088" s="4" t="s">
        <v>1705</v>
      </c>
      <c r="AX1088" s="4" t="s">
        <v>1879</v>
      </c>
      <c r="AY1088" s="4">
        <v>50.324199999999998</v>
      </c>
      <c r="AZ1088" s="4">
        <v>-123.55889999999999</v>
      </c>
      <c r="BA1088" s="4">
        <v>650</v>
      </c>
    </row>
    <row r="1089" spans="1:53" ht="14.25" customHeight="1" x14ac:dyDescent="0.2">
      <c r="A1089" s="4" t="s">
        <v>422</v>
      </c>
      <c r="B1089" s="4">
        <v>12</v>
      </c>
      <c r="C1089" s="4" t="s">
        <v>7665</v>
      </c>
      <c r="D1089" s="4">
        <v>915</v>
      </c>
      <c r="E1089" s="4">
        <v>12977</v>
      </c>
      <c r="G1089" s="4" t="s">
        <v>127</v>
      </c>
      <c r="H1089" s="4" t="s">
        <v>1697</v>
      </c>
      <c r="I1089" s="4" t="s">
        <v>49</v>
      </c>
      <c r="J1089" s="4" t="s">
        <v>1746</v>
      </c>
      <c r="K1089" s="4">
        <v>1</v>
      </c>
      <c r="L1089" s="4">
        <v>14909</v>
      </c>
      <c r="M1089" s="6"/>
      <c r="AK1089" s="7"/>
      <c r="AO1089" s="69" t="s">
        <v>3980</v>
      </c>
      <c r="AP1089" s="48">
        <v>915</v>
      </c>
      <c r="AQ1089" s="48" t="s">
        <v>1700</v>
      </c>
      <c r="AR1089" s="48" t="s">
        <v>1701</v>
      </c>
      <c r="AS1089" s="48" t="s">
        <v>1702</v>
      </c>
      <c r="AT1089" s="48" t="s">
        <v>1703</v>
      </c>
      <c r="AU1089" s="48" t="s">
        <v>1704</v>
      </c>
      <c r="AV1089" s="48" t="s">
        <v>1702</v>
      </c>
      <c r="AW1089" s="48" t="s">
        <v>1705</v>
      </c>
      <c r="AX1089" s="48" t="s">
        <v>1747</v>
      </c>
      <c r="AY1089" s="48">
        <v>48.783299999999997</v>
      </c>
      <c r="AZ1089" s="48">
        <v>-123.05</v>
      </c>
      <c r="BA1089" s="48">
        <v>24</v>
      </c>
    </row>
    <row r="1090" spans="1:53" ht="14.25" customHeight="1" x14ac:dyDescent="0.2">
      <c r="A1090" s="4" t="s">
        <v>2037</v>
      </c>
      <c r="B1090" s="4">
        <v>12</v>
      </c>
      <c r="C1090" s="4" t="s">
        <v>7666</v>
      </c>
      <c r="D1090" s="4">
        <v>919</v>
      </c>
      <c r="E1090" s="4">
        <v>2304</v>
      </c>
      <c r="F1090" s="8" t="s">
        <v>3981</v>
      </c>
      <c r="G1090" s="4" t="s">
        <v>3982</v>
      </c>
      <c r="H1090" s="4" t="s">
        <v>3983</v>
      </c>
      <c r="I1090" s="4" t="s">
        <v>641</v>
      </c>
      <c r="J1090" s="4" t="s">
        <v>1891</v>
      </c>
      <c r="K1090" s="4">
        <v>1</v>
      </c>
      <c r="L1090" s="4">
        <v>2707</v>
      </c>
      <c r="M1090" s="6">
        <v>51.669429999999998</v>
      </c>
      <c r="N1090" s="9">
        <v>-118.48707</v>
      </c>
      <c r="O1090" s="9" t="s">
        <v>170</v>
      </c>
      <c r="P1090" s="9">
        <v>919</v>
      </c>
      <c r="Q1090" s="20">
        <v>3</v>
      </c>
      <c r="R1090" s="9" t="s">
        <v>3984</v>
      </c>
      <c r="S1090" s="9" t="s">
        <v>1737</v>
      </c>
      <c r="T1090" s="9">
        <v>1333</v>
      </c>
      <c r="U1090" s="9"/>
      <c r="V1090" s="9"/>
      <c r="W1090" s="21">
        <v>38610</v>
      </c>
      <c r="X1090" s="9" t="s">
        <v>1738</v>
      </c>
      <c r="AK1090" s="7"/>
      <c r="AO1090" s="4" t="s">
        <v>3984</v>
      </c>
      <c r="AP1090" s="4">
        <v>919</v>
      </c>
      <c r="AQ1090" s="4" t="s">
        <v>1716</v>
      </c>
      <c r="AR1090" s="4" t="s">
        <v>1739</v>
      </c>
      <c r="AS1090" s="4" t="s">
        <v>1740</v>
      </c>
      <c r="AT1090" s="4" t="s">
        <v>1741</v>
      </c>
      <c r="AU1090" s="4" t="s">
        <v>1742</v>
      </c>
      <c r="AV1090" s="4" t="s">
        <v>1720</v>
      </c>
      <c r="AW1090" s="4" t="s">
        <v>2698</v>
      </c>
      <c r="AX1090" s="4" t="s">
        <v>2699</v>
      </c>
      <c r="AY1090" s="4">
        <v>51.669400000000003</v>
      </c>
      <c r="AZ1090" s="4">
        <v>-118.4871</v>
      </c>
      <c r="BA1090" s="4">
        <v>1333</v>
      </c>
    </row>
    <row r="1091" spans="1:53" ht="14.25" customHeight="1" x14ac:dyDescent="0.2">
      <c r="A1091" s="4" t="s">
        <v>422</v>
      </c>
      <c r="B1091" s="4">
        <v>12</v>
      </c>
      <c r="C1091" s="4" t="s">
        <v>7666</v>
      </c>
      <c r="D1091" s="4">
        <v>920</v>
      </c>
      <c r="E1091" s="4">
        <v>2305</v>
      </c>
      <c r="F1091" s="4" t="s">
        <v>3985</v>
      </c>
      <c r="G1091" s="4" t="s">
        <v>3986</v>
      </c>
      <c r="H1091" s="4" t="s">
        <v>3987</v>
      </c>
      <c r="I1091" s="4" t="s">
        <v>641</v>
      </c>
      <c r="J1091" s="4" t="s">
        <v>1746</v>
      </c>
      <c r="K1091" s="4">
        <v>1</v>
      </c>
      <c r="L1091" s="4">
        <v>2708</v>
      </c>
      <c r="M1091" s="6"/>
      <c r="N1091" s="9"/>
      <c r="O1091" s="9"/>
      <c r="P1091" s="9"/>
      <c r="Q1091" s="20"/>
      <c r="R1091" s="9"/>
      <c r="S1091" s="9"/>
      <c r="T1091" s="9"/>
      <c r="U1091" s="9"/>
      <c r="V1091" s="9"/>
      <c r="W1091" s="21"/>
      <c r="X1091" s="9"/>
      <c r="AK1091" s="7"/>
      <c r="AO1091" s="4" t="s">
        <v>3988</v>
      </c>
      <c r="AP1091" s="4">
        <v>920</v>
      </c>
      <c r="AQ1091" s="4" t="s">
        <v>1716</v>
      </c>
      <c r="AR1091" s="4" t="s">
        <v>1717</v>
      </c>
      <c r="AS1091" s="4" t="s">
        <v>1718</v>
      </c>
      <c r="AT1091" s="4" t="s">
        <v>1835</v>
      </c>
      <c r="AU1091" s="4" t="s">
        <v>1836</v>
      </c>
      <c r="AV1091" s="4" t="s">
        <v>1720</v>
      </c>
      <c r="AW1091" s="4" t="s">
        <v>2698</v>
      </c>
      <c r="AX1091" s="4" t="s">
        <v>2801</v>
      </c>
      <c r="AY1091" s="4">
        <v>49.627800000000001</v>
      </c>
      <c r="AZ1091" s="4">
        <v>-117.1258</v>
      </c>
      <c r="BA1091" s="4">
        <v>1376</v>
      </c>
    </row>
    <row r="1092" spans="1:53" ht="14.25" customHeight="1" x14ac:dyDescent="0.2">
      <c r="A1092" s="4" t="s">
        <v>422</v>
      </c>
      <c r="B1092" s="4">
        <v>12</v>
      </c>
      <c r="C1092" s="4" t="s">
        <v>7666</v>
      </c>
      <c r="D1092" s="4">
        <v>925</v>
      </c>
      <c r="E1092" s="4">
        <v>2306</v>
      </c>
      <c r="F1092" s="16" t="s">
        <v>3989</v>
      </c>
      <c r="G1092" s="4" t="s">
        <v>3990</v>
      </c>
      <c r="H1092" s="4" t="s">
        <v>3991</v>
      </c>
      <c r="I1092" s="4" t="s">
        <v>641</v>
      </c>
      <c r="J1092" s="4" t="s">
        <v>1746</v>
      </c>
      <c r="K1092" s="4">
        <v>1</v>
      </c>
      <c r="L1092" s="4">
        <v>2709</v>
      </c>
      <c r="M1092" s="6"/>
      <c r="AK1092" s="7"/>
      <c r="AO1092" s="4" t="s">
        <v>3989</v>
      </c>
      <c r="AP1092" s="4">
        <v>925</v>
      </c>
      <c r="AQ1092" s="4" t="s">
        <v>1716</v>
      </c>
      <c r="AR1092" s="4" t="s">
        <v>1717</v>
      </c>
      <c r="AS1092" s="4" t="s">
        <v>1718</v>
      </c>
      <c r="AT1092" s="4" t="s">
        <v>1835</v>
      </c>
      <c r="AU1092" s="4" t="s">
        <v>1836</v>
      </c>
      <c r="AV1092" s="4" t="s">
        <v>1720</v>
      </c>
      <c r="AW1092" s="4" t="s">
        <v>1705</v>
      </c>
      <c r="AX1092" s="4" t="s">
        <v>1879</v>
      </c>
      <c r="AY1092" s="4">
        <v>50.116900000000001</v>
      </c>
      <c r="AZ1092" s="4">
        <v>-122.95310000000001</v>
      </c>
      <c r="BA1092" s="4">
        <v>678</v>
      </c>
    </row>
    <row r="1093" spans="1:53" ht="14.25" customHeight="1" x14ac:dyDescent="0.2">
      <c r="A1093" s="4" t="s">
        <v>422</v>
      </c>
      <c r="B1093" s="4">
        <v>12</v>
      </c>
      <c r="C1093" s="4" t="s">
        <v>7666</v>
      </c>
      <c r="D1093" s="4">
        <v>926</v>
      </c>
      <c r="E1093" s="4">
        <v>2307</v>
      </c>
      <c r="F1093" s="16" t="s">
        <v>3992</v>
      </c>
      <c r="G1093" s="67" t="s">
        <v>3993</v>
      </c>
      <c r="H1093" s="4" t="s">
        <v>3991</v>
      </c>
      <c r="I1093" s="4" t="s">
        <v>641</v>
      </c>
      <c r="J1093" s="4" t="s">
        <v>1746</v>
      </c>
      <c r="K1093" s="4">
        <v>1</v>
      </c>
      <c r="L1093" s="4">
        <v>2710</v>
      </c>
      <c r="M1093" s="6"/>
      <c r="AK1093" s="7"/>
      <c r="AO1093" s="4" t="s">
        <v>3992</v>
      </c>
      <c r="AP1093" s="4">
        <v>926</v>
      </c>
      <c r="AQ1093" s="4" t="s">
        <v>1716</v>
      </c>
      <c r="AR1093" s="4" t="s">
        <v>1717</v>
      </c>
      <c r="AS1093" s="4" t="s">
        <v>1718</v>
      </c>
      <c r="AT1093" s="4" t="s">
        <v>1835</v>
      </c>
      <c r="AU1093" s="4" t="s">
        <v>1836</v>
      </c>
      <c r="AV1093" s="4" t="s">
        <v>1720</v>
      </c>
      <c r="AW1093" s="4" t="s">
        <v>1705</v>
      </c>
      <c r="AX1093" s="4" t="s">
        <v>1879</v>
      </c>
      <c r="AY1093" s="4">
        <v>50.305799999999998</v>
      </c>
      <c r="AZ1093" s="4">
        <v>-122.72920000000001</v>
      </c>
      <c r="BA1093" s="4">
        <v>206</v>
      </c>
    </row>
    <row r="1094" spans="1:53" ht="14.25" customHeight="1" x14ac:dyDescent="0.2">
      <c r="A1094" s="4" t="s">
        <v>422</v>
      </c>
      <c r="B1094" s="4">
        <v>12</v>
      </c>
      <c r="C1094" s="4" t="s">
        <v>7666</v>
      </c>
      <c r="D1094" s="4">
        <v>927</v>
      </c>
      <c r="E1094" s="4">
        <v>2308</v>
      </c>
      <c r="F1094" s="4" t="s">
        <v>3994</v>
      </c>
      <c r="G1094" s="4" t="s">
        <v>3995</v>
      </c>
      <c r="H1094" s="4" t="s">
        <v>3996</v>
      </c>
      <c r="I1094" s="4" t="s">
        <v>1664</v>
      </c>
      <c r="J1094" s="4" t="s">
        <v>1746</v>
      </c>
      <c r="K1094" s="4">
        <v>1</v>
      </c>
      <c r="L1094" s="4">
        <v>2711</v>
      </c>
      <c r="M1094" s="6"/>
      <c r="N1094" s="9"/>
      <c r="O1094" s="9"/>
      <c r="P1094" s="9"/>
      <c r="Q1094" s="20"/>
      <c r="R1094" s="9"/>
      <c r="S1094" s="9"/>
      <c r="T1094" s="9"/>
      <c r="U1094" s="9"/>
      <c r="V1094" s="9"/>
      <c r="W1094" s="21"/>
      <c r="X1094" s="9"/>
      <c r="AK1094" s="7"/>
      <c r="AO1094" s="4" t="s">
        <v>3997</v>
      </c>
      <c r="AP1094" s="4">
        <v>927</v>
      </c>
      <c r="AQ1094" s="4" t="s">
        <v>1716</v>
      </c>
      <c r="AR1094" s="4" t="s">
        <v>1717</v>
      </c>
      <c r="AS1094" s="4" t="s">
        <v>2257</v>
      </c>
      <c r="AT1094" s="4" t="s">
        <v>1719</v>
      </c>
      <c r="AU1094" s="4" t="s">
        <v>3668</v>
      </c>
      <c r="AW1094" s="4" t="s">
        <v>2003</v>
      </c>
      <c r="AX1094" s="4" t="s">
        <v>2258</v>
      </c>
      <c r="AY1094" s="4">
        <v>52.2502</v>
      </c>
      <c r="AZ1094" s="4">
        <v>-119.0256</v>
      </c>
      <c r="BA1094" s="4">
        <v>1109</v>
      </c>
    </row>
    <row r="1095" spans="1:53" ht="14.25" customHeight="1" x14ac:dyDescent="0.2">
      <c r="A1095" s="4" t="s">
        <v>422</v>
      </c>
      <c r="B1095" s="4">
        <v>12</v>
      </c>
      <c r="C1095" s="4" t="s">
        <v>7666</v>
      </c>
      <c r="D1095" s="4">
        <v>928</v>
      </c>
      <c r="E1095" s="4">
        <v>2309</v>
      </c>
      <c r="F1095" s="4" t="s">
        <v>3998</v>
      </c>
      <c r="G1095" s="4" t="s">
        <v>3999</v>
      </c>
      <c r="H1095" s="4" t="s">
        <v>4000</v>
      </c>
      <c r="I1095" s="4" t="s">
        <v>1664</v>
      </c>
      <c r="J1095" s="4" t="s">
        <v>1746</v>
      </c>
      <c r="K1095" s="4">
        <v>1</v>
      </c>
      <c r="L1095" s="4">
        <v>2712</v>
      </c>
      <c r="M1095" s="6"/>
      <c r="N1095" s="9"/>
      <c r="O1095" s="9"/>
      <c r="P1095" s="9"/>
      <c r="Q1095" s="70"/>
      <c r="R1095" s="9"/>
      <c r="S1095" s="9"/>
      <c r="T1095" s="9"/>
      <c r="U1095" s="9"/>
      <c r="V1095" s="9"/>
      <c r="W1095" s="58"/>
      <c r="X1095" s="9"/>
      <c r="AK1095" s="7"/>
      <c r="AO1095" s="4" t="s">
        <v>4001</v>
      </c>
      <c r="AP1095" s="4">
        <v>928</v>
      </c>
      <c r="AQ1095" s="4" t="s">
        <v>1716</v>
      </c>
      <c r="AR1095" s="4" t="s">
        <v>1717</v>
      </c>
      <c r="AS1095" s="4" t="s">
        <v>2257</v>
      </c>
      <c r="AT1095" s="4" t="s">
        <v>1719</v>
      </c>
      <c r="AU1095" s="4" t="s">
        <v>3668</v>
      </c>
      <c r="AW1095" s="4" t="s">
        <v>2003</v>
      </c>
      <c r="AX1095" s="4" t="s">
        <v>2258</v>
      </c>
      <c r="AY1095" s="4">
        <v>52.469700000000003</v>
      </c>
      <c r="AZ1095" s="4">
        <v>-119.2868</v>
      </c>
      <c r="BA1095" s="4">
        <v>1160</v>
      </c>
    </row>
    <row r="1096" spans="1:53" ht="14.25" customHeight="1" x14ac:dyDescent="0.2">
      <c r="A1096" s="4" t="s">
        <v>422</v>
      </c>
      <c r="B1096" s="4">
        <v>12</v>
      </c>
      <c r="C1096" s="4" t="s">
        <v>7666</v>
      </c>
      <c r="D1096" s="4">
        <v>929</v>
      </c>
      <c r="E1096" s="4">
        <v>2310</v>
      </c>
      <c r="F1096" s="4" t="s">
        <v>4002</v>
      </c>
      <c r="G1096" s="4" t="s">
        <v>4003</v>
      </c>
      <c r="H1096" s="4" t="s">
        <v>4004</v>
      </c>
      <c r="I1096" s="4" t="s">
        <v>1664</v>
      </c>
      <c r="J1096" s="4" t="s">
        <v>1746</v>
      </c>
      <c r="K1096" s="4">
        <v>1</v>
      </c>
      <c r="L1096" s="4">
        <v>2713</v>
      </c>
      <c r="M1096" s="6"/>
      <c r="N1096" s="9"/>
      <c r="O1096" s="9"/>
      <c r="P1096" s="9"/>
      <c r="Q1096" s="20"/>
      <c r="R1096" s="9"/>
      <c r="S1096" s="9"/>
      <c r="T1096" s="9"/>
      <c r="U1096" s="9"/>
      <c r="V1096" s="9"/>
      <c r="W1096" s="21"/>
      <c r="X1096" s="9"/>
      <c r="AK1096" s="7"/>
      <c r="AO1096" s="4" t="s">
        <v>4005</v>
      </c>
      <c r="AP1096" s="4">
        <v>929</v>
      </c>
      <c r="AQ1096" s="4" t="s">
        <v>1716</v>
      </c>
      <c r="AR1096" s="4" t="s">
        <v>1717</v>
      </c>
      <c r="AS1096" s="4" t="s">
        <v>2257</v>
      </c>
      <c r="AT1096" s="4" t="s">
        <v>1719</v>
      </c>
      <c r="AU1096" s="4" t="s">
        <v>3668</v>
      </c>
      <c r="AW1096" s="4" t="s">
        <v>2003</v>
      </c>
      <c r="AX1096" s="4" t="s">
        <v>2258</v>
      </c>
      <c r="AY1096" s="4">
        <v>52.841500000000003</v>
      </c>
      <c r="AZ1096" s="4">
        <v>-119.77079999999999</v>
      </c>
      <c r="BA1096" s="4">
        <v>1070</v>
      </c>
    </row>
    <row r="1097" spans="1:53" ht="14.25" customHeight="1" x14ac:dyDescent="0.2">
      <c r="A1097" s="4" t="s">
        <v>2037</v>
      </c>
      <c r="B1097" s="4">
        <v>12</v>
      </c>
      <c r="C1097" s="4" t="s">
        <v>7666</v>
      </c>
      <c r="D1097" s="4">
        <v>930</v>
      </c>
      <c r="E1097" s="4">
        <v>2311</v>
      </c>
      <c r="F1097" s="4" t="s">
        <v>4006</v>
      </c>
      <c r="G1097" s="4" t="s">
        <v>4007</v>
      </c>
      <c r="H1097" s="4" t="s">
        <v>4008</v>
      </c>
      <c r="I1097" s="4" t="s">
        <v>641</v>
      </c>
      <c r="J1097" s="4" t="s">
        <v>1746</v>
      </c>
      <c r="K1097" s="4">
        <v>1</v>
      </c>
      <c r="L1097" s="4">
        <v>2714</v>
      </c>
      <c r="M1097" s="6">
        <v>49.655099999999997</v>
      </c>
      <c r="N1097" s="9">
        <v>-121.35807</v>
      </c>
      <c r="O1097" s="9" t="s">
        <v>51</v>
      </c>
      <c r="P1097" s="14">
        <v>977</v>
      </c>
      <c r="Q1097" s="20">
        <v>4</v>
      </c>
      <c r="R1097" s="9" t="s">
        <v>4009</v>
      </c>
      <c r="S1097" s="9" t="s">
        <v>1737</v>
      </c>
      <c r="T1097" s="9">
        <v>630</v>
      </c>
      <c r="U1097" s="9"/>
      <c r="V1097" s="9"/>
      <c r="W1097" s="21">
        <v>39219</v>
      </c>
      <c r="X1097" s="9" t="s">
        <v>1738</v>
      </c>
      <c r="AK1097" s="7"/>
      <c r="AO1097" s="4" t="s">
        <v>4010</v>
      </c>
      <c r="AP1097" s="4">
        <v>930</v>
      </c>
      <c r="AQ1097" s="4" t="s">
        <v>1716</v>
      </c>
      <c r="AR1097" s="4" t="s">
        <v>1717</v>
      </c>
      <c r="AS1097" s="4" t="s">
        <v>1718</v>
      </c>
      <c r="AT1097" s="4" t="s">
        <v>1719</v>
      </c>
      <c r="AU1097" s="4" t="s">
        <v>1959</v>
      </c>
      <c r="AV1097" s="4" t="s">
        <v>1720</v>
      </c>
      <c r="AW1097" s="4" t="s">
        <v>2193</v>
      </c>
      <c r="AX1097" s="4" t="s">
        <v>2291</v>
      </c>
      <c r="AY1097" s="4">
        <v>52.076000000000001</v>
      </c>
      <c r="AZ1097" s="4">
        <v>-122.08199999999999</v>
      </c>
      <c r="BA1097" s="4">
        <v>920</v>
      </c>
    </row>
    <row r="1098" spans="1:53" ht="14.25" customHeight="1" x14ac:dyDescent="0.2">
      <c r="A1098" s="4" t="s">
        <v>422</v>
      </c>
      <c r="B1098" s="4">
        <v>12</v>
      </c>
      <c r="C1098" s="4" t="s">
        <v>7666</v>
      </c>
      <c r="D1098" s="4">
        <v>931</v>
      </c>
      <c r="E1098" s="4">
        <v>2312</v>
      </c>
      <c r="F1098" s="16" t="s">
        <v>4011</v>
      </c>
      <c r="G1098" s="4" t="s">
        <v>4012</v>
      </c>
      <c r="H1098" s="4" t="s">
        <v>4013</v>
      </c>
      <c r="I1098" s="4" t="s">
        <v>641</v>
      </c>
      <c r="J1098" s="4" t="s">
        <v>1746</v>
      </c>
      <c r="K1098" s="4">
        <v>1</v>
      </c>
      <c r="L1098" s="4">
        <v>2715</v>
      </c>
      <c r="M1098" s="6"/>
      <c r="AK1098" s="7"/>
      <c r="AO1098" s="4" t="s">
        <v>4011</v>
      </c>
      <c r="AP1098" s="4">
        <v>931</v>
      </c>
      <c r="AQ1098" s="4" t="s">
        <v>1716</v>
      </c>
      <c r="AR1098" s="4" t="s">
        <v>1717</v>
      </c>
      <c r="AS1098" s="4" t="s">
        <v>1718</v>
      </c>
      <c r="AT1098" s="4" t="s">
        <v>1835</v>
      </c>
      <c r="AU1098" s="4" t="s">
        <v>1836</v>
      </c>
      <c r="AV1098" s="4" t="s">
        <v>1720</v>
      </c>
      <c r="AX1098" s="4" t="s">
        <v>1706</v>
      </c>
      <c r="AY1098" s="4">
        <v>49.2119</v>
      </c>
      <c r="AZ1098" s="4">
        <v>-124.4106</v>
      </c>
      <c r="BA1098" s="4">
        <v>309</v>
      </c>
    </row>
    <row r="1099" spans="1:53" ht="14.25" customHeight="1" x14ac:dyDescent="0.2">
      <c r="A1099" s="4" t="s">
        <v>422</v>
      </c>
      <c r="B1099" s="4">
        <v>12</v>
      </c>
      <c r="C1099" s="4" t="s">
        <v>7666</v>
      </c>
      <c r="D1099" s="4">
        <v>932</v>
      </c>
      <c r="E1099" s="4">
        <v>2313</v>
      </c>
      <c r="F1099" s="16" t="s">
        <v>4014</v>
      </c>
      <c r="G1099" s="4" t="s">
        <v>4015</v>
      </c>
      <c r="H1099" s="4" t="s">
        <v>4016</v>
      </c>
      <c r="I1099" s="4" t="s">
        <v>641</v>
      </c>
      <c r="J1099" s="4" t="s">
        <v>1746</v>
      </c>
      <c r="K1099" s="4">
        <v>1</v>
      </c>
      <c r="L1099" s="4">
        <v>2716</v>
      </c>
      <c r="M1099" s="6"/>
      <c r="AK1099" s="7"/>
      <c r="AO1099" s="4" t="s">
        <v>4014</v>
      </c>
      <c r="AP1099" s="4">
        <v>932</v>
      </c>
      <c r="AQ1099" s="4" t="s">
        <v>1716</v>
      </c>
      <c r="AR1099" s="4" t="s">
        <v>1717</v>
      </c>
      <c r="AS1099" s="4" t="s">
        <v>1718</v>
      </c>
      <c r="AT1099" s="4" t="s">
        <v>1835</v>
      </c>
      <c r="AU1099" s="4" t="s">
        <v>1836</v>
      </c>
      <c r="AV1099" s="4" t="s">
        <v>1720</v>
      </c>
      <c r="AX1099" s="4" t="s">
        <v>1706</v>
      </c>
      <c r="AY1099" s="4">
        <v>49.228299999999997</v>
      </c>
      <c r="AZ1099" s="4">
        <v>-124.0147</v>
      </c>
      <c r="BA1099" s="4">
        <v>156</v>
      </c>
    </row>
    <row r="1100" spans="1:53" ht="14.25" customHeight="1" x14ac:dyDescent="0.2">
      <c r="A1100" s="4" t="s">
        <v>422</v>
      </c>
      <c r="B1100" s="4">
        <v>12</v>
      </c>
      <c r="C1100" s="4" t="s">
        <v>7666</v>
      </c>
      <c r="D1100" s="4">
        <v>933</v>
      </c>
      <c r="E1100" s="4">
        <v>2314</v>
      </c>
      <c r="F1100" s="4" t="s">
        <v>4017</v>
      </c>
      <c r="G1100" s="4" t="s">
        <v>4018</v>
      </c>
      <c r="H1100" s="4" t="s">
        <v>4019</v>
      </c>
      <c r="I1100" s="4" t="s">
        <v>641</v>
      </c>
      <c r="J1100" s="4" t="s">
        <v>1746</v>
      </c>
      <c r="K1100" s="4">
        <v>1</v>
      </c>
      <c r="L1100" s="4">
        <v>2717</v>
      </c>
      <c r="M1100" s="6"/>
      <c r="AK1100" s="7"/>
      <c r="AO1100" s="4" t="s">
        <v>4020</v>
      </c>
      <c r="AP1100" s="4">
        <v>933</v>
      </c>
      <c r="AQ1100" s="4" t="s">
        <v>1716</v>
      </c>
      <c r="AR1100" s="4" t="s">
        <v>1717</v>
      </c>
      <c r="AS1100" s="4" t="s">
        <v>1718</v>
      </c>
      <c r="AT1100" s="4" t="s">
        <v>1719</v>
      </c>
      <c r="AU1100" s="4" t="s">
        <v>1959</v>
      </c>
      <c r="AV1100" s="4" t="s">
        <v>1720</v>
      </c>
      <c r="AW1100" s="4" t="s">
        <v>2698</v>
      </c>
      <c r="AX1100" s="4" t="s">
        <v>2902</v>
      </c>
      <c r="AY1100" s="4">
        <v>49.031700000000001</v>
      </c>
      <c r="AZ1100" s="4">
        <v>-115.2127</v>
      </c>
      <c r="BA1100" s="4">
        <v>794</v>
      </c>
    </row>
    <row r="1101" spans="1:53" ht="14.25" customHeight="1" x14ac:dyDescent="0.2">
      <c r="A1101" s="4" t="s">
        <v>1908</v>
      </c>
      <c r="B1101" s="4">
        <v>12</v>
      </c>
      <c r="C1101" s="4" t="s">
        <v>7666</v>
      </c>
      <c r="D1101" s="4">
        <v>934</v>
      </c>
      <c r="E1101" s="4">
        <v>2315</v>
      </c>
      <c r="F1101" s="4" t="s">
        <v>4021</v>
      </c>
      <c r="G1101" s="8" t="s">
        <v>4022</v>
      </c>
      <c r="H1101" s="4" t="s">
        <v>4023</v>
      </c>
      <c r="I1101" s="4" t="s">
        <v>641</v>
      </c>
      <c r="J1101" s="4" t="s">
        <v>1891</v>
      </c>
      <c r="K1101" s="4">
        <v>1</v>
      </c>
      <c r="L1101" s="4">
        <v>2718</v>
      </c>
      <c r="M1101" s="6">
        <v>48.822879999999998</v>
      </c>
      <c r="N1101" s="4">
        <v>-124.13708</v>
      </c>
      <c r="O1101" s="4" t="s">
        <v>183</v>
      </c>
      <c r="P1101" s="4">
        <v>934</v>
      </c>
      <c r="Q1101" s="4">
        <v>4</v>
      </c>
      <c r="R1101" s="4" t="s">
        <v>4021</v>
      </c>
      <c r="S1101" s="4" t="s">
        <v>1737</v>
      </c>
      <c r="T1101" s="4">
        <v>183</v>
      </c>
      <c r="U1101" s="4" t="s">
        <v>645</v>
      </c>
      <c r="W1101" s="4">
        <v>38840</v>
      </c>
      <c r="X1101" s="4" t="s">
        <v>1738</v>
      </c>
      <c r="AK1101" s="7"/>
      <c r="AO1101" s="4" t="s">
        <v>4021</v>
      </c>
      <c r="AP1101" s="4">
        <v>934</v>
      </c>
      <c r="AQ1101" s="4" t="s">
        <v>1700</v>
      </c>
      <c r="AR1101" s="4" t="s">
        <v>1739</v>
      </c>
      <c r="AS1101" s="4" t="s">
        <v>1740</v>
      </c>
      <c r="AT1101" s="4" t="s">
        <v>1835</v>
      </c>
      <c r="AU1101" s="4" t="s">
        <v>1772</v>
      </c>
      <c r="AV1101" s="4" t="s">
        <v>1720</v>
      </c>
      <c r="AW1101" s="4" t="s">
        <v>1705</v>
      </c>
      <c r="AX1101" s="4" t="s">
        <v>1747</v>
      </c>
      <c r="AY1101" s="4">
        <v>48.822800000000001</v>
      </c>
      <c r="AZ1101" s="4">
        <v>-124.1371</v>
      </c>
      <c r="BA1101" s="4">
        <v>185</v>
      </c>
    </row>
    <row r="1102" spans="1:53" ht="14.25" customHeight="1" x14ac:dyDescent="0.2">
      <c r="A1102" s="4" t="s">
        <v>422</v>
      </c>
      <c r="B1102" s="4">
        <v>12</v>
      </c>
      <c r="C1102" s="4" t="s">
        <v>7666</v>
      </c>
      <c r="D1102" s="4">
        <v>936</v>
      </c>
      <c r="E1102" s="4">
        <v>2316</v>
      </c>
      <c r="F1102" s="4" t="s">
        <v>4024</v>
      </c>
      <c r="G1102" s="4" t="s">
        <v>4025</v>
      </c>
      <c r="H1102" s="4" t="s">
        <v>4026</v>
      </c>
      <c r="I1102" s="4" t="s">
        <v>641</v>
      </c>
      <c r="J1102" s="4" t="s">
        <v>1746</v>
      </c>
      <c r="K1102" s="4">
        <v>1</v>
      </c>
      <c r="L1102" s="4">
        <v>2719</v>
      </c>
      <c r="M1102" s="6"/>
      <c r="AK1102" s="7"/>
      <c r="AO1102" s="4" t="s">
        <v>4027</v>
      </c>
      <c r="AP1102" s="4">
        <v>936</v>
      </c>
      <c r="AQ1102" s="4" t="s">
        <v>1716</v>
      </c>
      <c r="AR1102" s="4" t="s">
        <v>1717</v>
      </c>
      <c r="AS1102" s="4" t="s">
        <v>1718</v>
      </c>
      <c r="AT1102" s="4" t="s">
        <v>1835</v>
      </c>
      <c r="AU1102" s="4" t="s">
        <v>1836</v>
      </c>
      <c r="AV1102" s="4" t="s">
        <v>1720</v>
      </c>
      <c r="AW1102" s="4" t="s">
        <v>2698</v>
      </c>
      <c r="AX1102" s="4" t="s">
        <v>2797</v>
      </c>
      <c r="AY1102" s="4">
        <v>49.984000000000002</v>
      </c>
      <c r="AZ1102" s="4">
        <v>-117.3749</v>
      </c>
      <c r="BA1102" s="4">
        <v>549</v>
      </c>
    </row>
    <row r="1103" spans="1:53" ht="14.25" customHeight="1" x14ac:dyDescent="0.2">
      <c r="A1103" s="4" t="s">
        <v>1908</v>
      </c>
      <c r="B1103" s="4">
        <v>12</v>
      </c>
      <c r="C1103" s="4" t="s">
        <v>7666</v>
      </c>
      <c r="D1103" s="4">
        <v>938</v>
      </c>
      <c r="E1103" s="4">
        <v>2317</v>
      </c>
      <c r="F1103" s="4" t="s">
        <v>4028</v>
      </c>
      <c r="G1103" s="8" t="s">
        <v>4029</v>
      </c>
      <c r="H1103" s="4" t="s">
        <v>4030</v>
      </c>
      <c r="I1103" s="4" t="s">
        <v>641</v>
      </c>
      <c r="J1103" s="4" t="s">
        <v>1891</v>
      </c>
      <c r="K1103" s="4">
        <v>1</v>
      </c>
      <c r="L1103" s="4">
        <v>2720</v>
      </c>
      <c r="M1103" s="6">
        <v>54.683770000000003</v>
      </c>
      <c r="N1103" s="4">
        <v>-127.32581999999999</v>
      </c>
      <c r="O1103" s="4" t="s">
        <v>148</v>
      </c>
      <c r="P1103" s="4">
        <v>938</v>
      </c>
      <c r="Q1103" s="4">
        <v>7</v>
      </c>
      <c r="R1103" s="4" t="s">
        <v>4028</v>
      </c>
      <c r="S1103" s="4" t="s">
        <v>1737</v>
      </c>
      <c r="T1103" s="4">
        <v>1320</v>
      </c>
      <c r="W1103" s="4">
        <v>38867</v>
      </c>
      <c r="X1103" s="4" t="s">
        <v>1738</v>
      </c>
      <c r="AK1103" s="7"/>
      <c r="AO1103" s="4" t="s">
        <v>4028</v>
      </c>
      <c r="AP1103" s="4">
        <v>938</v>
      </c>
      <c r="AQ1103" s="4" t="s">
        <v>1716</v>
      </c>
      <c r="AR1103" s="4" t="s">
        <v>1739</v>
      </c>
      <c r="AS1103" s="4" t="s">
        <v>1740</v>
      </c>
      <c r="AT1103" s="4" t="s">
        <v>1741</v>
      </c>
      <c r="AU1103" s="4" t="s">
        <v>1742</v>
      </c>
      <c r="AV1103" s="4" t="s">
        <v>1720</v>
      </c>
      <c r="AW1103" s="4" t="s">
        <v>1947</v>
      </c>
      <c r="AX1103" s="4" t="s">
        <v>2133</v>
      </c>
      <c r="AY1103" s="4">
        <v>54.683</v>
      </c>
      <c r="AZ1103" s="4">
        <v>-127.32340000000001</v>
      </c>
      <c r="BA1103" s="4">
        <v>1300</v>
      </c>
    </row>
    <row r="1104" spans="1:53" ht="14.25" customHeight="1" x14ac:dyDescent="0.2">
      <c r="A1104" s="4" t="s">
        <v>422</v>
      </c>
      <c r="B1104" s="4">
        <v>12</v>
      </c>
      <c r="C1104" s="4" t="s">
        <v>7666</v>
      </c>
      <c r="D1104" s="4">
        <v>939</v>
      </c>
      <c r="E1104" s="4">
        <v>2318</v>
      </c>
      <c r="F1104" s="16" t="s">
        <v>4031</v>
      </c>
      <c r="G1104" s="4" t="s">
        <v>4032</v>
      </c>
      <c r="H1104" s="4" t="s">
        <v>4033</v>
      </c>
      <c r="I1104" s="4" t="s">
        <v>641</v>
      </c>
      <c r="J1104" s="4" t="s">
        <v>1746</v>
      </c>
      <c r="K1104" s="4">
        <v>1</v>
      </c>
      <c r="L1104" s="4">
        <v>2721</v>
      </c>
      <c r="M1104" s="6"/>
      <c r="AK1104" s="7"/>
      <c r="AO1104" s="4" t="s">
        <v>4031</v>
      </c>
      <c r="AP1104" s="4">
        <v>939</v>
      </c>
      <c r="AQ1104" s="4" t="s">
        <v>1716</v>
      </c>
      <c r="AR1104" s="4" t="s">
        <v>1717</v>
      </c>
      <c r="AS1104" s="4" t="s">
        <v>1718</v>
      </c>
      <c r="AT1104" s="4" t="s">
        <v>1835</v>
      </c>
      <c r="AU1104" s="4" t="s">
        <v>1836</v>
      </c>
      <c r="AW1104" s="4" t="s">
        <v>2003</v>
      </c>
      <c r="AX1104" s="4" t="s">
        <v>2024</v>
      </c>
      <c r="AY1104" s="4">
        <v>54.632199999999997</v>
      </c>
      <c r="AZ1104" s="4">
        <v>-120.6306</v>
      </c>
      <c r="BA1104" s="4">
        <v>1241</v>
      </c>
    </row>
    <row r="1105" spans="1:53" ht="14.25" customHeight="1" x14ac:dyDescent="0.2">
      <c r="A1105" s="4" t="s">
        <v>422</v>
      </c>
      <c r="B1105" s="4">
        <v>12</v>
      </c>
      <c r="C1105" s="4" t="s">
        <v>7666</v>
      </c>
      <c r="D1105" s="4">
        <v>942</v>
      </c>
      <c r="E1105" s="4">
        <v>2319</v>
      </c>
      <c r="F1105" s="4" t="s">
        <v>4034</v>
      </c>
      <c r="G1105" s="4" t="s">
        <v>4035</v>
      </c>
      <c r="H1105" s="4" t="s">
        <v>4036</v>
      </c>
      <c r="I1105" s="4" t="s">
        <v>641</v>
      </c>
      <c r="J1105" s="4" t="s">
        <v>1746</v>
      </c>
      <c r="K1105" s="4">
        <v>1</v>
      </c>
      <c r="L1105" s="4">
        <v>2722</v>
      </c>
      <c r="M1105" s="6"/>
      <c r="AK1105" s="7"/>
      <c r="AO1105" s="4" t="s">
        <v>4037</v>
      </c>
      <c r="AP1105" s="4">
        <v>942</v>
      </c>
      <c r="AQ1105" s="4" t="s">
        <v>1716</v>
      </c>
      <c r="AR1105" s="4" t="s">
        <v>1717</v>
      </c>
      <c r="AS1105" s="4" t="s">
        <v>1718</v>
      </c>
      <c r="AT1105" s="4" t="s">
        <v>1835</v>
      </c>
      <c r="AU1105" s="4" t="s">
        <v>1836</v>
      </c>
      <c r="AW1105" s="4" t="s">
        <v>1947</v>
      </c>
      <c r="AX1105" s="4" t="s">
        <v>2091</v>
      </c>
      <c r="AY1105" s="4">
        <v>53.287300000000002</v>
      </c>
      <c r="AZ1105" s="4">
        <v>-123.4456</v>
      </c>
      <c r="BA1105" s="4">
        <v>1039</v>
      </c>
    </row>
    <row r="1106" spans="1:53" ht="14.25" customHeight="1" x14ac:dyDescent="0.2">
      <c r="A1106" s="4" t="s">
        <v>422</v>
      </c>
      <c r="B1106" s="4">
        <v>12</v>
      </c>
      <c r="C1106" s="4" t="s">
        <v>7666</v>
      </c>
      <c r="D1106" s="4">
        <v>943</v>
      </c>
      <c r="E1106" s="4">
        <v>2320</v>
      </c>
      <c r="F1106" s="4" t="s">
        <v>4038</v>
      </c>
      <c r="G1106" s="4" t="s">
        <v>4039</v>
      </c>
      <c r="H1106" s="4" t="s">
        <v>4040</v>
      </c>
      <c r="I1106" s="4" t="s">
        <v>641</v>
      </c>
      <c r="J1106" s="4" t="s">
        <v>1746</v>
      </c>
      <c r="K1106" s="4">
        <v>1</v>
      </c>
      <c r="L1106" s="4">
        <v>2723</v>
      </c>
      <c r="M1106" s="6"/>
      <c r="N1106" s="9"/>
      <c r="O1106" s="9"/>
      <c r="P1106" s="9"/>
      <c r="Q1106" s="20"/>
      <c r="R1106" s="9"/>
      <c r="S1106" s="9"/>
      <c r="T1106" s="9"/>
      <c r="U1106" s="9"/>
      <c r="V1106" s="9"/>
      <c r="W1106" s="21"/>
      <c r="X1106" s="9"/>
      <c r="AK1106" s="7"/>
      <c r="AO1106" s="4" t="s">
        <v>4041</v>
      </c>
      <c r="AP1106" s="4">
        <v>943</v>
      </c>
      <c r="AQ1106" s="4" t="s">
        <v>1716</v>
      </c>
      <c r="AR1106" s="4" t="s">
        <v>1717</v>
      </c>
      <c r="AS1106" s="4" t="s">
        <v>1718</v>
      </c>
      <c r="AT1106" s="4" t="s">
        <v>1835</v>
      </c>
      <c r="AU1106" s="4" t="s">
        <v>1836</v>
      </c>
      <c r="AV1106" s="4" t="s">
        <v>1720</v>
      </c>
      <c r="AW1106" s="4" t="s">
        <v>2368</v>
      </c>
      <c r="AX1106" s="4" t="s">
        <v>2522</v>
      </c>
      <c r="AY1106" s="4">
        <v>50.472499999999997</v>
      </c>
      <c r="AZ1106" s="4">
        <v>-119.56059999999999</v>
      </c>
      <c r="BA1106" s="4">
        <v>1281</v>
      </c>
    </row>
    <row r="1107" spans="1:53" ht="14.25" customHeight="1" x14ac:dyDescent="0.2">
      <c r="A1107" s="4" t="s">
        <v>88</v>
      </c>
      <c r="B1107" s="4">
        <v>12</v>
      </c>
      <c r="C1107" s="4" t="s">
        <v>7666</v>
      </c>
      <c r="D1107" s="4">
        <v>944</v>
      </c>
      <c r="E1107" s="4">
        <v>2321</v>
      </c>
      <c r="F1107" s="4" t="s">
        <v>4042</v>
      </c>
      <c r="G1107" s="68" t="s">
        <v>4043</v>
      </c>
      <c r="H1107" s="4" t="s">
        <v>4044</v>
      </c>
      <c r="I1107" s="4" t="s">
        <v>641</v>
      </c>
      <c r="J1107" s="4" t="s">
        <v>1829</v>
      </c>
      <c r="K1107" s="4">
        <v>1</v>
      </c>
      <c r="L1107" s="4">
        <v>2724</v>
      </c>
      <c r="M1107" s="6">
        <v>48.571109999999997</v>
      </c>
      <c r="N1107" s="9">
        <v>-124.20056</v>
      </c>
      <c r="O1107" s="9" t="s">
        <v>51</v>
      </c>
      <c r="P1107" s="9">
        <v>944</v>
      </c>
      <c r="Q1107" s="20">
        <v>2</v>
      </c>
      <c r="R1107" s="9" t="s">
        <v>4042</v>
      </c>
      <c r="S1107" s="9" t="s">
        <v>4045</v>
      </c>
      <c r="T1107" s="9">
        <v>296</v>
      </c>
      <c r="U1107" s="9"/>
      <c r="V1107" s="9"/>
      <c r="W1107" s="21">
        <v>38923</v>
      </c>
      <c r="X1107" s="9" t="s">
        <v>1738</v>
      </c>
      <c r="AK1107" s="7"/>
      <c r="AO1107" s="4" t="s">
        <v>4042</v>
      </c>
      <c r="AP1107" s="4">
        <v>944</v>
      </c>
      <c r="AQ1107" s="4" t="s">
        <v>1716</v>
      </c>
      <c r="AR1107" s="4" t="s">
        <v>1739</v>
      </c>
      <c r="AS1107" s="4" t="s">
        <v>1740</v>
      </c>
      <c r="AT1107" s="4" t="s">
        <v>1741</v>
      </c>
      <c r="AU1107" s="4" t="s">
        <v>1742</v>
      </c>
      <c r="AV1107" s="4" t="s">
        <v>1720</v>
      </c>
      <c r="AW1107" s="4" t="s">
        <v>1705</v>
      </c>
      <c r="AX1107" s="4" t="s">
        <v>1747</v>
      </c>
      <c r="AY1107" s="4">
        <v>48.571300000000001</v>
      </c>
      <c r="AZ1107" s="4">
        <v>-124.2</v>
      </c>
      <c r="BA1107" s="4">
        <v>294</v>
      </c>
    </row>
    <row r="1108" spans="1:53" ht="14.25" customHeight="1" x14ac:dyDescent="0.2">
      <c r="A1108" s="4" t="s">
        <v>88</v>
      </c>
      <c r="B1108" s="4">
        <v>12</v>
      </c>
      <c r="C1108" s="4" t="s">
        <v>7666</v>
      </c>
      <c r="D1108" s="4">
        <v>945</v>
      </c>
      <c r="E1108" s="4">
        <v>2322</v>
      </c>
      <c r="F1108" s="4" t="s">
        <v>4046</v>
      </c>
      <c r="G1108" s="8" t="s">
        <v>4047</v>
      </c>
      <c r="H1108" s="4" t="s">
        <v>4048</v>
      </c>
      <c r="I1108" s="4" t="s">
        <v>641</v>
      </c>
      <c r="J1108" s="4" t="s">
        <v>1829</v>
      </c>
      <c r="K1108" s="4">
        <v>1</v>
      </c>
      <c r="L1108" s="4">
        <v>2725</v>
      </c>
      <c r="M1108" s="6">
        <v>50.370130000000003</v>
      </c>
      <c r="N1108" s="9">
        <v>-126.43393</v>
      </c>
      <c r="O1108" s="9" t="s">
        <v>51</v>
      </c>
      <c r="P1108" s="9">
        <v>945</v>
      </c>
      <c r="Q1108" s="20">
        <v>3</v>
      </c>
      <c r="R1108" s="9" t="s">
        <v>4046</v>
      </c>
      <c r="S1108" s="9" t="s">
        <v>4045</v>
      </c>
      <c r="T1108" s="9">
        <v>515</v>
      </c>
      <c r="U1108" s="9"/>
      <c r="V1108" s="9"/>
      <c r="W1108" s="21">
        <v>38938</v>
      </c>
      <c r="X1108" s="9" t="s">
        <v>1738</v>
      </c>
      <c r="AK1108" s="7"/>
      <c r="AO1108" s="4" t="s">
        <v>4046</v>
      </c>
      <c r="AP1108" s="4">
        <v>945</v>
      </c>
      <c r="AQ1108" s="4" t="s">
        <v>1716</v>
      </c>
      <c r="AR1108" s="4" t="s">
        <v>1739</v>
      </c>
      <c r="AS1108" s="4" t="s">
        <v>1740</v>
      </c>
      <c r="AT1108" s="4" t="s">
        <v>1741</v>
      </c>
      <c r="AU1108" s="4" t="s">
        <v>1742</v>
      </c>
      <c r="AV1108" s="4" t="s">
        <v>1720</v>
      </c>
      <c r="AW1108" s="4" t="s">
        <v>1705</v>
      </c>
      <c r="AX1108" s="4" t="s">
        <v>1723</v>
      </c>
      <c r="AY1108" s="4">
        <v>50.370100000000001</v>
      </c>
      <c r="AZ1108" s="4">
        <v>-126.43389999999999</v>
      </c>
      <c r="BA1108" s="4">
        <v>515</v>
      </c>
    </row>
    <row r="1109" spans="1:53" ht="14.25" customHeight="1" x14ac:dyDescent="0.2">
      <c r="A1109" s="4" t="s">
        <v>422</v>
      </c>
      <c r="B1109" s="4">
        <v>12</v>
      </c>
      <c r="C1109" s="4" t="s">
        <v>7666</v>
      </c>
      <c r="D1109" s="4">
        <v>946</v>
      </c>
      <c r="E1109" s="4">
        <v>2323</v>
      </c>
      <c r="F1109" s="16" t="s">
        <v>4049</v>
      </c>
      <c r="G1109" s="4" t="s">
        <v>4050</v>
      </c>
      <c r="H1109" s="4" t="s">
        <v>4051</v>
      </c>
      <c r="I1109" s="4" t="s">
        <v>641</v>
      </c>
      <c r="J1109" s="4" t="s">
        <v>1746</v>
      </c>
      <c r="K1109" s="4">
        <v>1</v>
      </c>
      <c r="L1109" s="4">
        <v>2726</v>
      </c>
      <c r="M1109" s="6"/>
      <c r="AK1109" s="7"/>
      <c r="AO1109" s="4" t="s">
        <v>4049</v>
      </c>
      <c r="AP1109" s="4">
        <v>946</v>
      </c>
      <c r="AQ1109" s="4" t="s">
        <v>1716</v>
      </c>
      <c r="AR1109" s="4" t="s">
        <v>1717</v>
      </c>
      <c r="AS1109" s="4" t="s">
        <v>1718</v>
      </c>
      <c r="AT1109" s="4" t="s">
        <v>1835</v>
      </c>
      <c r="AU1109" s="4" t="s">
        <v>1836</v>
      </c>
      <c r="AV1109" s="4" t="s">
        <v>1720</v>
      </c>
      <c r="AW1109" s="4" t="s">
        <v>2368</v>
      </c>
      <c r="AX1109" s="4" t="s">
        <v>2492</v>
      </c>
      <c r="AY1109" s="4">
        <v>49.0625</v>
      </c>
      <c r="AZ1109" s="4">
        <v>-120.5569</v>
      </c>
      <c r="BA1109" s="4">
        <v>1103</v>
      </c>
    </row>
    <row r="1110" spans="1:53" ht="14.25" customHeight="1" x14ac:dyDescent="0.2">
      <c r="A1110" s="4" t="s">
        <v>422</v>
      </c>
      <c r="B1110" s="4">
        <v>12</v>
      </c>
      <c r="C1110" s="4" t="s">
        <v>7666</v>
      </c>
      <c r="D1110" s="4">
        <v>952</v>
      </c>
      <c r="E1110" s="4">
        <v>2324</v>
      </c>
      <c r="F1110" s="16" t="s">
        <v>4052</v>
      </c>
      <c r="G1110" s="4" t="s">
        <v>4053</v>
      </c>
      <c r="H1110" s="4" t="s">
        <v>4054</v>
      </c>
      <c r="I1110" s="4" t="s">
        <v>641</v>
      </c>
      <c r="J1110" s="4" t="s">
        <v>1746</v>
      </c>
      <c r="K1110" s="4">
        <v>1</v>
      </c>
      <c r="L1110" s="4">
        <v>2727</v>
      </c>
      <c r="M1110" s="6"/>
      <c r="AK1110" s="7"/>
      <c r="AO1110" s="4" t="s">
        <v>4052</v>
      </c>
      <c r="AP1110" s="4">
        <v>952</v>
      </c>
      <c r="AQ1110" s="4" t="s">
        <v>1716</v>
      </c>
      <c r="AR1110" s="4" t="s">
        <v>1717</v>
      </c>
      <c r="AS1110" s="4" t="s">
        <v>1718</v>
      </c>
      <c r="AT1110" s="4" t="s">
        <v>1835</v>
      </c>
      <c r="AU1110" s="4" t="s">
        <v>1836</v>
      </c>
      <c r="AV1110" s="4" t="s">
        <v>1720</v>
      </c>
      <c r="AW1110" s="4" t="s">
        <v>2368</v>
      </c>
      <c r="AX1110" s="4" t="s">
        <v>2492</v>
      </c>
      <c r="AY1110" s="4">
        <v>49.124400000000001</v>
      </c>
      <c r="AZ1110" s="4">
        <v>-120.50190000000001</v>
      </c>
      <c r="BA1110" s="4">
        <v>1553</v>
      </c>
    </row>
    <row r="1111" spans="1:53" ht="14.25" customHeight="1" x14ac:dyDescent="0.2">
      <c r="B1111" s="4">
        <v>12</v>
      </c>
      <c r="C1111" s="4" t="s">
        <v>7666</v>
      </c>
      <c r="D1111" s="4">
        <v>956</v>
      </c>
      <c r="E1111" s="4">
        <v>2325</v>
      </c>
      <c r="F1111" s="4" t="s">
        <v>4055</v>
      </c>
      <c r="G1111" s="4" t="s">
        <v>4056</v>
      </c>
      <c r="H1111" s="4" t="s">
        <v>4057</v>
      </c>
      <c r="I1111" s="4" t="s">
        <v>641</v>
      </c>
      <c r="J1111" s="4" t="s">
        <v>1829</v>
      </c>
      <c r="K1111" s="4">
        <v>1</v>
      </c>
      <c r="L1111" s="4">
        <v>2728</v>
      </c>
      <c r="M1111" s="6">
        <v>49.17</v>
      </c>
      <c r="N1111" s="9">
        <v>-125.2825</v>
      </c>
      <c r="O1111" s="9" t="s">
        <v>51</v>
      </c>
      <c r="P1111" s="9">
        <v>956</v>
      </c>
      <c r="Q1111" s="20">
        <v>4</v>
      </c>
      <c r="R1111" s="9" t="s">
        <v>4055</v>
      </c>
      <c r="S1111" s="9" t="s">
        <v>4045</v>
      </c>
      <c r="T1111" s="9">
        <v>632</v>
      </c>
      <c r="U1111" s="9"/>
      <c r="V1111" s="9"/>
      <c r="W1111" s="21">
        <v>39020</v>
      </c>
      <c r="X1111" s="9" t="s">
        <v>1738</v>
      </c>
      <c r="AK1111" s="7"/>
      <c r="AO1111" s="4" t="s">
        <v>4055</v>
      </c>
      <c r="AP1111" s="4">
        <v>956</v>
      </c>
      <c r="AQ1111" s="4" t="s">
        <v>1716</v>
      </c>
      <c r="AR1111" s="4" t="s">
        <v>1739</v>
      </c>
      <c r="AS1111" s="4" t="s">
        <v>1740</v>
      </c>
      <c r="AT1111" s="4" t="s">
        <v>1835</v>
      </c>
      <c r="AU1111" s="4" t="s">
        <v>1742</v>
      </c>
      <c r="AV1111" s="4" t="s">
        <v>1720</v>
      </c>
      <c r="AW1111" s="4" t="s">
        <v>1705</v>
      </c>
      <c r="AX1111" s="4" t="s">
        <v>1706</v>
      </c>
      <c r="AY1111" s="4">
        <v>49.17</v>
      </c>
      <c r="AZ1111" s="4">
        <v>-125.2825</v>
      </c>
      <c r="BA1111" s="4">
        <v>632</v>
      </c>
    </row>
    <row r="1112" spans="1:53" ht="14.25" customHeight="1" x14ac:dyDescent="0.2">
      <c r="A1112" s="4" t="s">
        <v>422</v>
      </c>
      <c r="B1112" s="4">
        <v>12</v>
      </c>
      <c r="C1112" s="4" t="s">
        <v>7666</v>
      </c>
      <c r="D1112" s="4">
        <v>960</v>
      </c>
      <c r="E1112" s="4">
        <v>2326</v>
      </c>
      <c r="F1112" s="4" t="s">
        <v>4058</v>
      </c>
      <c r="G1112" s="4" t="s">
        <v>4059</v>
      </c>
      <c r="H1112" s="4" t="s">
        <v>4060</v>
      </c>
      <c r="I1112" s="4" t="s">
        <v>641</v>
      </c>
      <c r="J1112" s="4" t="s">
        <v>1746</v>
      </c>
      <c r="K1112" s="4">
        <v>1</v>
      </c>
      <c r="L1112" s="4">
        <v>2729</v>
      </c>
      <c r="M1112" s="6"/>
      <c r="N1112" s="9"/>
      <c r="O1112" s="9"/>
      <c r="P1112" s="9"/>
      <c r="Q1112" s="20"/>
      <c r="R1112" s="9"/>
      <c r="S1112" s="9"/>
      <c r="T1112" s="9"/>
      <c r="U1112" s="9"/>
      <c r="V1112" s="9"/>
      <c r="W1112" s="21"/>
      <c r="X1112" s="9"/>
      <c r="AK1112" s="7"/>
      <c r="AO1112" s="4" t="s">
        <v>4061</v>
      </c>
      <c r="AP1112" s="4">
        <v>960</v>
      </c>
      <c r="AQ1112" s="4" t="s">
        <v>1716</v>
      </c>
      <c r="AR1112" s="4" t="s">
        <v>1717</v>
      </c>
      <c r="AS1112" s="4" t="s">
        <v>1718</v>
      </c>
      <c r="AT1112" s="4" t="s">
        <v>1835</v>
      </c>
      <c r="AU1112" s="4" t="s">
        <v>1836</v>
      </c>
      <c r="AV1112" s="4" t="s">
        <v>1720</v>
      </c>
      <c r="AW1112" s="4" t="s">
        <v>3863</v>
      </c>
      <c r="AX1112" s="4" t="s">
        <v>1723</v>
      </c>
      <c r="AY1112" s="4">
        <v>49.7104</v>
      </c>
      <c r="AZ1112" s="4">
        <v>-124.9971</v>
      </c>
      <c r="BA1112" s="4">
        <v>37</v>
      </c>
    </row>
    <row r="1113" spans="1:53" ht="14.25" customHeight="1" x14ac:dyDescent="0.2">
      <c r="A1113" s="4" t="s">
        <v>422</v>
      </c>
      <c r="B1113" s="4">
        <v>12</v>
      </c>
      <c r="C1113" s="4" t="s">
        <v>7666</v>
      </c>
      <c r="D1113" s="4">
        <v>962</v>
      </c>
      <c r="E1113" s="4">
        <v>2327</v>
      </c>
      <c r="F1113" s="4" t="s">
        <v>4062</v>
      </c>
      <c r="G1113" s="4" t="s">
        <v>4063</v>
      </c>
      <c r="H1113" s="4" t="s">
        <v>4064</v>
      </c>
      <c r="I1113" s="4" t="s">
        <v>641</v>
      </c>
      <c r="J1113" s="4" t="s">
        <v>1746</v>
      </c>
      <c r="K1113" s="4">
        <v>1</v>
      </c>
      <c r="L1113" s="4">
        <v>2730</v>
      </c>
      <c r="M1113" s="6"/>
      <c r="N1113" s="9"/>
      <c r="O1113" s="9"/>
      <c r="P1113" s="9"/>
      <c r="Q1113" s="20"/>
      <c r="R1113" s="9"/>
      <c r="S1113" s="9"/>
      <c r="T1113" s="9"/>
      <c r="U1113" s="9"/>
      <c r="V1113" s="9"/>
      <c r="W1113" s="21"/>
      <c r="X1113" s="9"/>
      <c r="AK1113" s="7"/>
      <c r="AO1113" s="4" t="s">
        <v>4065</v>
      </c>
      <c r="AP1113" s="4">
        <v>962</v>
      </c>
      <c r="AQ1113" s="4" t="s">
        <v>1716</v>
      </c>
      <c r="AR1113" s="4" t="s">
        <v>1717</v>
      </c>
      <c r="AS1113" s="4" t="s">
        <v>1718</v>
      </c>
      <c r="AT1113" s="4" t="s">
        <v>1835</v>
      </c>
      <c r="AU1113" s="4" t="s">
        <v>1836</v>
      </c>
      <c r="AV1113" s="4" t="s">
        <v>1720</v>
      </c>
      <c r="AW1113" s="4" t="s">
        <v>1705</v>
      </c>
      <c r="AX1113" s="4" t="s">
        <v>1710</v>
      </c>
      <c r="AY1113" s="4">
        <v>50.092599999999997</v>
      </c>
      <c r="AZ1113" s="4">
        <v>-126.5145</v>
      </c>
      <c r="BA1113" s="4">
        <v>455</v>
      </c>
    </row>
    <row r="1114" spans="1:53" ht="14.25" customHeight="1" x14ac:dyDescent="0.2">
      <c r="A1114" s="4" t="s">
        <v>1908</v>
      </c>
      <c r="B1114" s="4">
        <v>12</v>
      </c>
      <c r="C1114" s="4" t="s">
        <v>7666</v>
      </c>
      <c r="D1114" s="4">
        <v>965</v>
      </c>
      <c r="E1114" s="4">
        <v>13038</v>
      </c>
      <c r="F1114" s="10" t="s">
        <v>4066</v>
      </c>
      <c r="G1114" s="8" t="s">
        <v>4067</v>
      </c>
      <c r="H1114" s="4" t="s">
        <v>4068</v>
      </c>
      <c r="I1114" s="4" t="s">
        <v>49</v>
      </c>
      <c r="J1114" s="4" t="s">
        <v>1746</v>
      </c>
      <c r="K1114" s="4">
        <v>1</v>
      </c>
      <c r="L1114" s="4">
        <v>14970</v>
      </c>
      <c r="M1114" s="6"/>
      <c r="AK1114" s="7"/>
      <c r="AO1114" s="48" t="s">
        <v>4069</v>
      </c>
      <c r="AP1114" s="48">
        <v>965</v>
      </c>
      <c r="AQ1114" s="48" t="s">
        <v>1716</v>
      </c>
      <c r="AR1114" s="48" t="s">
        <v>1701</v>
      </c>
      <c r="AS1114" s="48" t="s">
        <v>1740</v>
      </c>
      <c r="AT1114" s="48" t="s">
        <v>1741</v>
      </c>
      <c r="AU1114" s="48" t="s">
        <v>1742</v>
      </c>
      <c r="AV1114" s="48" t="s">
        <v>4070</v>
      </c>
      <c r="AW1114" s="48" t="s">
        <v>1947</v>
      </c>
      <c r="AX1114" s="48" t="s">
        <v>1986</v>
      </c>
      <c r="AY1114" s="48">
        <v>60.006900000000002</v>
      </c>
      <c r="AZ1114" s="48">
        <v>-127.9276</v>
      </c>
      <c r="BA1114" s="48">
        <v>674</v>
      </c>
    </row>
    <row r="1115" spans="1:53" ht="14.25" customHeight="1" x14ac:dyDescent="0.2">
      <c r="A1115" s="4" t="s">
        <v>2037</v>
      </c>
      <c r="B1115" s="4">
        <v>12</v>
      </c>
      <c r="C1115" s="4" t="s">
        <v>7666</v>
      </c>
      <c r="D1115" s="4">
        <v>969</v>
      </c>
      <c r="E1115" s="4">
        <v>2328</v>
      </c>
      <c r="F1115" s="4" t="s">
        <v>4071</v>
      </c>
      <c r="G1115" s="4" t="s">
        <v>4072</v>
      </c>
      <c r="H1115" s="4" t="s">
        <v>4073</v>
      </c>
      <c r="I1115" s="4" t="s">
        <v>641</v>
      </c>
      <c r="J1115" s="4" t="s">
        <v>1746</v>
      </c>
      <c r="K1115" s="4">
        <v>1</v>
      </c>
      <c r="L1115" s="4">
        <v>2731</v>
      </c>
      <c r="M1115" s="6"/>
      <c r="N1115" s="9"/>
      <c r="O1115" s="9"/>
      <c r="P1115" s="9"/>
      <c r="Q1115" s="20"/>
      <c r="R1115" s="9"/>
      <c r="S1115" s="9"/>
      <c r="T1115" s="9"/>
      <c r="U1115" s="9"/>
      <c r="V1115" s="9"/>
      <c r="W1115" s="9"/>
      <c r="X1115" s="9"/>
      <c r="AK1115" s="7"/>
      <c r="AO1115" s="4" t="s">
        <v>4074</v>
      </c>
      <c r="AP1115" s="4">
        <v>969</v>
      </c>
      <c r="AQ1115" s="4" t="s">
        <v>1716</v>
      </c>
      <c r="AR1115" s="4" t="s">
        <v>1717</v>
      </c>
      <c r="AS1115" s="4" t="s">
        <v>1718</v>
      </c>
      <c r="AT1115" s="4" t="s">
        <v>1841</v>
      </c>
      <c r="AU1115" s="4" t="s">
        <v>2489</v>
      </c>
      <c r="AV1115" s="4" t="s">
        <v>1720</v>
      </c>
      <c r="AW1115" s="4" t="s">
        <v>2368</v>
      </c>
      <c r="AX1115" s="4" t="s">
        <v>2492</v>
      </c>
      <c r="AY1115" s="4">
        <v>49.663600000000002</v>
      </c>
      <c r="AZ1115" s="4">
        <v>-120.54389999999999</v>
      </c>
      <c r="BA1115" s="4">
        <v>1449</v>
      </c>
    </row>
    <row r="1116" spans="1:53" ht="14.25" customHeight="1" x14ac:dyDescent="0.2">
      <c r="A1116" s="4" t="s">
        <v>422</v>
      </c>
      <c r="B1116" s="4">
        <v>12</v>
      </c>
      <c r="C1116" s="4" t="s">
        <v>7666</v>
      </c>
      <c r="D1116" s="4">
        <v>976</v>
      </c>
      <c r="E1116" s="4">
        <v>2329</v>
      </c>
      <c r="F1116" s="4" t="s">
        <v>4075</v>
      </c>
      <c r="G1116" s="4" t="s">
        <v>4076</v>
      </c>
      <c r="H1116" s="4" t="s">
        <v>4077</v>
      </c>
      <c r="I1116" s="4" t="s">
        <v>641</v>
      </c>
      <c r="J1116" s="4" t="s">
        <v>1746</v>
      </c>
      <c r="K1116" s="4">
        <v>1</v>
      </c>
      <c r="L1116" s="4">
        <v>2732</v>
      </c>
      <c r="M1116" s="6"/>
      <c r="N1116" s="9"/>
      <c r="O1116" s="9"/>
      <c r="P1116" s="9"/>
      <c r="Q1116" s="20"/>
      <c r="R1116" s="9"/>
      <c r="S1116" s="9"/>
      <c r="T1116" s="9"/>
      <c r="U1116" s="9"/>
      <c r="V1116" s="9"/>
      <c r="W1116" s="21"/>
      <c r="X1116" s="9"/>
      <c r="AK1116" s="7"/>
      <c r="AO1116" s="4" t="s">
        <v>4078</v>
      </c>
      <c r="AP1116" s="4">
        <v>976</v>
      </c>
      <c r="AQ1116" s="4" t="s">
        <v>1716</v>
      </c>
      <c r="AR1116" s="4" t="s">
        <v>1717</v>
      </c>
      <c r="AS1116" s="4" t="s">
        <v>1718</v>
      </c>
      <c r="AT1116" s="4" t="s">
        <v>1841</v>
      </c>
      <c r="AU1116" s="4" t="s">
        <v>1959</v>
      </c>
      <c r="AV1116" s="4" t="s">
        <v>1720</v>
      </c>
      <c r="AW1116" s="4" t="s">
        <v>2368</v>
      </c>
      <c r="AX1116" s="4" t="s">
        <v>2369</v>
      </c>
      <c r="AY1116" s="4">
        <v>51.372500000000002</v>
      </c>
      <c r="AZ1116" s="4">
        <v>-120.49079999999999</v>
      </c>
      <c r="BA1116" s="4">
        <v>1467</v>
      </c>
    </row>
    <row r="1117" spans="1:53" ht="14.25" customHeight="1" x14ac:dyDescent="0.2">
      <c r="A1117" s="4" t="s">
        <v>88</v>
      </c>
      <c r="B1117" s="4">
        <v>12</v>
      </c>
      <c r="C1117" s="4" t="s">
        <v>7666</v>
      </c>
      <c r="D1117" s="4">
        <v>977</v>
      </c>
      <c r="E1117" s="4">
        <v>2330</v>
      </c>
      <c r="F1117" s="4" t="s">
        <v>4009</v>
      </c>
      <c r="G1117" s="8" t="s">
        <v>4079</v>
      </c>
      <c r="H1117" s="4" t="s">
        <v>4080</v>
      </c>
      <c r="I1117" s="4" t="s">
        <v>641</v>
      </c>
      <c r="J1117" s="4" t="s">
        <v>1829</v>
      </c>
      <c r="K1117" s="4">
        <v>1</v>
      </c>
      <c r="L1117" s="4">
        <v>2733</v>
      </c>
      <c r="M1117" s="6">
        <v>49.655099999999997</v>
      </c>
      <c r="N1117" s="9">
        <v>-121.35807</v>
      </c>
      <c r="O1117" s="9" t="s">
        <v>51</v>
      </c>
      <c r="P1117" s="14">
        <v>977</v>
      </c>
      <c r="Q1117" s="20">
        <v>4</v>
      </c>
      <c r="R1117" s="9" t="s">
        <v>4009</v>
      </c>
      <c r="S1117" s="9" t="s">
        <v>1737</v>
      </c>
      <c r="T1117" s="9">
        <v>630</v>
      </c>
      <c r="U1117" s="9"/>
      <c r="V1117" s="9"/>
      <c r="W1117" s="21">
        <v>39219</v>
      </c>
      <c r="X1117" s="9" t="s">
        <v>1738</v>
      </c>
      <c r="AK1117" s="7"/>
      <c r="AO1117" s="4" t="s">
        <v>4009</v>
      </c>
      <c r="AP1117" s="4">
        <v>977</v>
      </c>
      <c r="AQ1117" s="4" t="s">
        <v>1716</v>
      </c>
      <c r="AR1117" s="4" t="s">
        <v>1739</v>
      </c>
      <c r="AS1117" s="4" t="s">
        <v>1740</v>
      </c>
      <c r="AT1117" s="4" t="s">
        <v>1741</v>
      </c>
      <c r="AU1117" s="4" t="s">
        <v>1742</v>
      </c>
      <c r="AV1117" s="4" t="s">
        <v>1720</v>
      </c>
      <c r="AW1117" s="4" t="s">
        <v>1705</v>
      </c>
      <c r="AX1117" s="4" t="s">
        <v>1883</v>
      </c>
      <c r="AY1117" s="4">
        <v>49.655099999999997</v>
      </c>
      <c r="AZ1117" s="4">
        <v>-121.35760000000001</v>
      </c>
      <c r="BA1117" s="4">
        <v>655</v>
      </c>
    </row>
    <row r="1118" spans="1:53" ht="14.25" customHeight="1" x14ac:dyDescent="0.2">
      <c r="A1118" s="4" t="s">
        <v>422</v>
      </c>
      <c r="B1118" s="4">
        <v>12</v>
      </c>
      <c r="C1118" s="4" t="s">
        <v>7666</v>
      </c>
      <c r="D1118" s="4">
        <v>979</v>
      </c>
      <c r="E1118" s="4">
        <v>2331</v>
      </c>
      <c r="F1118" s="4" t="s">
        <v>4081</v>
      </c>
      <c r="G1118" s="4" t="s">
        <v>4082</v>
      </c>
      <c r="H1118" s="4" t="s">
        <v>4083</v>
      </c>
      <c r="I1118" s="4" t="s">
        <v>641</v>
      </c>
      <c r="J1118" s="4" t="s">
        <v>1746</v>
      </c>
      <c r="K1118" s="4">
        <v>1</v>
      </c>
      <c r="L1118" s="4">
        <v>2734</v>
      </c>
      <c r="M1118" s="6"/>
      <c r="AK1118" s="7"/>
      <c r="AO1118" s="4" t="s">
        <v>4084</v>
      </c>
      <c r="AP1118" s="4">
        <v>979</v>
      </c>
      <c r="AQ1118" s="4" t="s">
        <v>1716</v>
      </c>
      <c r="AR1118" s="4" t="s">
        <v>1717</v>
      </c>
      <c r="AS1118" s="4" t="s">
        <v>1718</v>
      </c>
      <c r="AT1118" s="4" t="s">
        <v>1841</v>
      </c>
      <c r="AU1118" s="4" t="s">
        <v>1959</v>
      </c>
      <c r="AV1118" s="4" t="s">
        <v>1720</v>
      </c>
      <c r="AW1118" s="4" t="s">
        <v>2368</v>
      </c>
      <c r="AX1118" s="4" t="s">
        <v>2492</v>
      </c>
      <c r="AY1118" s="4">
        <v>49.178899999999999</v>
      </c>
      <c r="AZ1118" s="4">
        <v>-120.4558</v>
      </c>
      <c r="BA1118" s="4">
        <v>1674</v>
      </c>
    </row>
    <row r="1119" spans="1:53" ht="14.25" customHeight="1" x14ac:dyDescent="0.2">
      <c r="A1119" s="4" t="s">
        <v>2037</v>
      </c>
      <c r="B1119" s="4">
        <v>12</v>
      </c>
      <c r="C1119" s="4" t="s">
        <v>7666</v>
      </c>
      <c r="D1119" s="4">
        <v>980</v>
      </c>
      <c r="E1119" s="4">
        <v>2332</v>
      </c>
      <c r="F1119" s="4" t="s">
        <v>4085</v>
      </c>
      <c r="G1119" s="4" t="s">
        <v>4086</v>
      </c>
      <c r="H1119" s="4" t="s">
        <v>4087</v>
      </c>
      <c r="I1119" s="4" t="s">
        <v>641</v>
      </c>
      <c r="J1119" s="4" t="s">
        <v>1746</v>
      </c>
      <c r="K1119" s="4">
        <v>1</v>
      </c>
      <c r="L1119" s="4">
        <v>2735</v>
      </c>
      <c r="M1119" s="6"/>
      <c r="N1119" s="9"/>
      <c r="O1119" s="9"/>
      <c r="P1119" s="9"/>
      <c r="Q1119" s="20"/>
      <c r="R1119" s="9"/>
      <c r="S1119" s="9"/>
      <c r="T1119" s="9"/>
      <c r="U1119" s="9"/>
      <c r="V1119" s="9"/>
      <c r="W1119" s="21"/>
      <c r="X1119" s="9"/>
      <c r="AK1119" s="7"/>
      <c r="AO1119" s="4" t="s">
        <v>4088</v>
      </c>
      <c r="AP1119" s="4">
        <v>980</v>
      </c>
      <c r="AQ1119" s="4" t="s">
        <v>1716</v>
      </c>
      <c r="AR1119" s="4" t="s">
        <v>1717</v>
      </c>
      <c r="AS1119" s="4" t="s">
        <v>1718</v>
      </c>
      <c r="AT1119" s="4" t="s">
        <v>1835</v>
      </c>
      <c r="AU1119" s="4" t="s">
        <v>1959</v>
      </c>
      <c r="AV1119" s="4" t="s">
        <v>1720</v>
      </c>
      <c r="AW1119" s="4" t="s">
        <v>2368</v>
      </c>
      <c r="AX1119" s="4" t="s">
        <v>2369</v>
      </c>
      <c r="AY1119" s="4">
        <v>51.436700000000002</v>
      </c>
      <c r="AZ1119" s="4">
        <v>-119.6908</v>
      </c>
      <c r="BA1119" s="4">
        <v>1369</v>
      </c>
    </row>
    <row r="1120" spans="1:53" ht="14.25" customHeight="1" x14ac:dyDescent="0.2">
      <c r="A1120" s="4" t="s">
        <v>422</v>
      </c>
      <c r="B1120" s="4">
        <v>12</v>
      </c>
      <c r="C1120" s="4" t="s">
        <v>7666</v>
      </c>
      <c r="D1120" s="4">
        <v>981</v>
      </c>
      <c r="E1120" s="4">
        <v>2333</v>
      </c>
      <c r="F1120" s="16" t="s">
        <v>4089</v>
      </c>
      <c r="G1120" s="4" t="s">
        <v>4090</v>
      </c>
      <c r="H1120" s="4" t="s">
        <v>4091</v>
      </c>
      <c r="I1120" s="4" t="s">
        <v>641</v>
      </c>
      <c r="J1120" s="4" t="s">
        <v>1746</v>
      </c>
      <c r="K1120" s="4">
        <v>1</v>
      </c>
      <c r="L1120" s="4">
        <v>2736</v>
      </c>
      <c r="M1120" s="6"/>
      <c r="AK1120" s="7"/>
      <c r="AO1120" s="4" t="s">
        <v>4089</v>
      </c>
      <c r="AP1120" s="4">
        <v>981</v>
      </c>
      <c r="AQ1120" s="4" t="s">
        <v>1716</v>
      </c>
      <c r="AR1120" s="4" t="s">
        <v>1717</v>
      </c>
      <c r="AS1120" s="4" t="s">
        <v>1718</v>
      </c>
      <c r="AT1120" s="4" t="s">
        <v>1835</v>
      </c>
      <c r="AU1120" s="4" t="s">
        <v>1836</v>
      </c>
      <c r="AV1120" s="4" t="s">
        <v>1720</v>
      </c>
      <c r="AW1120" s="4" t="s">
        <v>1705</v>
      </c>
      <c r="AX1120" s="4" t="s">
        <v>1883</v>
      </c>
      <c r="AY1120" s="4">
        <v>49.295499999999997</v>
      </c>
      <c r="AZ1120" s="4">
        <v>-123.122</v>
      </c>
      <c r="BA1120" s="4">
        <v>10</v>
      </c>
    </row>
    <row r="1121" spans="1:53" ht="14.25" customHeight="1" x14ac:dyDescent="0.2">
      <c r="A1121" s="4" t="s">
        <v>422</v>
      </c>
      <c r="B1121" s="4">
        <v>12</v>
      </c>
      <c r="C1121" s="4" t="s">
        <v>7666</v>
      </c>
      <c r="D1121" s="4">
        <v>982</v>
      </c>
      <c r="E1121" s="4">
        <v>2334</v>
      </c>
      <c r="F1121" s="16" t="s">
        <v>4092</v>
      </c>
      <c r="G1121" s="4" t="s">
        <v>4093</v>
      </c>
      <c r="H1121" s="4" t="s">
        <v>4094</v>
      </c>
      <c r="I1121" s="4" t="s">
        <v>641</v>
      </c>
      <c r="J1121" s="4" t="s">
        <v>1746</v>
      </c>
      <c r="K1121" s="4">
        <v>1</v>
      </c>
      <c r="L1121" s="4">
        <v>2737</v>
      </c>
      <c r="M1121" s="6"/>
      <c r="AK1121" s="7"/>
      <c r="AO1121" s="4" t="s">
        <v>4092</v>
      </c>
      <c r="AP1121" s="4">
        <v>982</v>
      </c>
      <c r="AQ1121" s="4" t="s">
        <v>1716</v>
      </c>
      <c r="AR1121" s="4" t="s">
        <v>1717</v>
      </c>
      <c r="AS1121" s="4" t="s">
        <v>1718</v>
      </c>
      <c r="AT1121" s="4" t="s">
        <v>1835</v>
      </c>
      <c r="AU1121" s="4" t="s">
        <v>1836</v>
      </c>
      <c r="AW1121" s="4" t="s">
        <v>2698</v>
      </c>
      <c r="AX1121" s="4" t="s">
        <v>2797</v>
      </c>
      <c r="AY1121" s="4">
        <v>49.758600000000001</v>
      </c>
      <c r="AZ1121" s="4">
        <v>-117.4178</v>
      </c>
      <c r="BA1121" s="4">
        <v>1790</v>
      </c>
    </row>
    <row r="1122" spans="1:53" ht="14.25" customHeight="1" x14ac:dyDescent="0.2">
      <c r="A1122" s="4" t="s">
        <v>422</v>
      </c>
      <c r="B1122" s="4">
        <v>12</v>
      </c>
      <c r="C1122" s="4" t="s">
        <v>7666</v>
      </c>
      <c r="D1122" s="4">
        <v>989</v>
      </c>
      <c r="E1122" s="4">
        <v>2335</v>
      </c>
      <c r="F1122" s="16" t="s">
        <v>4095</v>
      </c>
      <c r="G1122" s="4" t="s">
        <v>4096</v>
      </c>
      <c r="H1122" s="4" t="s">
        <v>4097</v>
      </c>
      <c r="I1122" s="4" t="s">
        <v>641</v>
      </c>
      <c r="J1122" s="4" t="s">
        <v>1746</v>
      </c>
      <c r="K1122" s="4">
        <v>1</v>
      </c>
      <c r="L1122" s="4">
        <v>2738</v>
      </c>
      <c r="M1122" s="6"/>
      <c r="AK1122" s="7"/>
      <c r="AO1122" s="4" t="s">
        <v>4095</v>
      </c>
      <c r="AP1122" s="4">
        <v>989</v>
      </c>
      <c r="AQ1122" s="4" t="s">
        <v>1716</v>
      </c>
      <c r="AR1122" s="4" t="s">
        <v>1717</v>
      </c>
      <c r="AS1122" s="4" t="s">
        <v>1718</v>
      </c>
      <c r="AT1122" s="4" t="s">
        <v>1835</v>
      </c>
      <c r="AU1122" s="4" t="s">
        <v>1836</v>
      </c>
      <c r="AV1122" s="4" t="s">
        <v>1720</v>
      </c>
      <c r="AW1122" s="4" t="s">
        <v>2698</v>
      </c>
      <c r="AX1122" s="4" t="s">
        <v>2797</v>
      </c>
      <c r="AY1122" s="4">
        <v>49.942900000000002</v>
      </c>
      <c r="AZ1122" s="4">
        <v>-118.0505</v>
      </c>
      <c r="BA1122" s="4">
        <v>746</v>
      </c>
    </row>
    <row r="1123" spans="1:53" ht="14.25" customHeight="1" x14ac:dyDescent="0.2">
      <c r="A1123" s="4" t="s">
        <v>422</v>
      </c>
      <c r="B1123" s="4">
        <v>12</v>
      </c>
      <c r="C1123" s="4" t="s">
        <v>7666</v>
      </c>
      <c r="D1123" s="4">
        <v>990</v>
      </c>
      <c r="E1123" s="4">
        <v>2336</v>
      </c>
      <c r="F1123" s="16" t="s">
        <v>4098</v>
      </c>
      <c r="G1123" s="4" t="s">
        <v>4099</v>
      </c>
      <c r="H1123" s="4" t="s">
        <v>4100</v>
      </c>
      <c r="I1123" s="4" t="s">
        <v>641</v>
      </c>
      <c r="J1123" s="4" t="s">
        <v>1746</v>
      </c>
      <c r="K1123" s="4">
        <v>1</v>
      </c>
      <c r="L1123" s="4">
        <v>2739</v>
      </c>
      <c r="M1123" s="6"/>
      <c r="AK1123" s="7"/>
      <c r="AO1123" s="4" t="s">
        <v>4098</v>
      </c>
      <c r="AP1123" s="4">
        <v>990</v>
      </c>
      <c r="AQ1123" s="4" t="s">
        <v>1716</v>
      </c>
      <c r="AR1123" s="4" t="s">
        <v>1717</v>
      </c>
      <c r="AS1123" s="4" t="s">
        <v>2257</v>
      </c>
      <c r="AT1123" s="4" t="s">
        <v>1719</v>
      </c>
      <c r="AU1123" s="4" t="s">
        <v>3668</v>
      </c>
      <c r="AW1123" s="4" t="s">
        <v>2698</v>
      </c>
      <c r="AX1123" s="4" t="s">
        <v>2902</v>
      </c>
      <c r="AY1123" s="4">
        <v>49.414999999999999</v>
      </c>
      <c r="AZ1123" s="4">
        <v>-115.61499999999999</v>
      </c>
      <c r="BA1123" s="4">
        <v>1335</v>
      </c>
    </row>
    <row r="1124" spans="1:53" ht="14.25" customHeight="1" x14ac:dyDescent="0.2">
      <c r="A1124" s="4" t="s">
        <v>88</v>
      </c>
      <c r="B1124" s="4">
        <v>12</v>
      </c>
      <c r="C1124" s="4" t="s">
        <v>7666</v>
      </c>
      <c r="D1124" s="4">
        <v>994</v>
      </c>
      <c r="E1124" s="4">
        <v>2337</v>
      </c>
      <c r="F1124" s="16" t="s">
        <v>4101</v>
      </c>
      <c r="G1124" s="8" t="s">
        <v>4102</v>
      </c>
      <c r="H1124" s="4" t="s">
        <v>4103</v>
      </c>
      <c r="I1124" s="4" t="s">
        <v>641</v>
      </c>
      <c r="J1124" s="4" t="s">
        <v>1746</v>
      </c>
      <c r="K1124" s="4">
        <v>1</v>
      </c>
      <c r="L1124" s="4">
        <v>2740</v>
      </c>
      <c r="M1124" s="6"/>
      <c r="AK1124" s="7"/>
      <c r="AO1124" s="4" t="s">
        <v>4101</v>
      </c>
      <c r="AP1124" s="4">
        <v>994</v>
      </c>
      <c r="AQ1124" s="4" t="s">
        <v>1716</v>
      </c>
      <c r="AR1124" s="4" t="s">
        <v>1717</v>
      </c>
      <c r="AS1124" s="4" t="s">
        <v>1718</v>
      </c>
      <c r="AT1124" s="4" t="s">
        <v>1835</v>
      </c>
      <c r="AU1124" s="4" t="s">
        <v>1836</v>
      </c>
      <c r="AV1124" s="4" t="s">
        <v>1720</v>
      </c>
      <c r="AW1124" s="4" t="s">
        <v>2698</v>
      </c>
      <c r="AX1124" s="4" t="s">
        <v>2797</v>
      </c>
      <c r="AY1124" s="4">
        <v>50.545400000000001</v>
      </c>
      <c r="AZ1124" s="4">
        <v>-117.854</v>
      </c>
      <c r="BA1124" s="4">
        <v>1619</v>
      </c>
    </row>
    <row r="1125" spans="1:53" ht="14.25" customHeight="1" x14ac:dyDescent="0.2">
      <c r="A1125" s="4" t="s">
        <v>88</v>
      </c>
      <c r="B1125" s="4">
        <v>12</v>
      </c>
      <c r="C1125" s="4" t="s">
        <v>7666</v>
      </c>
      <c r="D1125" s="4">
        <v>995</v>
      </c>
      <c r="E1125" s="4">
        <v>2338</v>
      </c>
      <c r="F1125" s="4" t="s">
        <v>4104</v>
      </c>
      <c r="G1125" s="8" t="s">
        <v>4105</v>
      </c>
      <c r="H1125" s="4" t="s">
        <v>4106</v>
      </c>
      <c r="I1125" s="4" t="s">
        <v>641</v>
      </c>
      <c r="J1125" s="4" t="s">
        <v>1829</v>
      </c>
      <c r="K1125" s="4">
        <v>1</v>
      </c>
      <c r="L1125" s="4">
        <v>2741</v>
      </c>
      <c r="M1125" s="6">
        <v>50.132420000000003</v>
      </c>
      <c r="N1125" s="9">
        <v>-126.92823</v>
      </c>
      <c r="O1125" s="9" t="s">
        <v>51</v>
      </c>
      <c r="P1125" s="9">
        <v>995</v>
      </c>
      <c r="Q1125" s="20">
        <v>2</v>
      </c>
      <c r="R1125" s="9" t="s">
        <v>4104</v>
      </c>
      <c r="S1125" s="9" t="s">
        <v>4045</v>
      </c>
      <c r="T1125" s="9">
        <v>130</v>
      </c>
      <c r="U1125" s="9" t="s">
        <v>645</v>
      </c>
      <c r="V1125" s="9" t="s">
        <v>1771</v>
      </c>
      <c r="W1125" s="21">
        <v>39316</v>
      </c>
      <c r="X1125" s="9" t="s">
        <v>1738</v>
      </c>
      <c r="AK1125" s="7"/>
      <c r="AO1125" s="4" t="s">
        <v>4104</v>
      </c>
      <c r="AP1125" s="4">
        <v>995</v>
      </c>
      <c r="AQ1125" s="4" t="s">
        <v>1716</v>
      </c>
      <c r="AR1125" s="4" t="s">
        <v>1739</v>
      </c>
      <c r="AS1125" s="4" t="s">
        <v>1740</v>
      </c>
      <c r="AT1125" s="4" t="s">
        <v>1741</v>
      </c>
      <c r="AU1125" s="4" t="s">
        <v>1742</v>
      </c>
      <c r="AV1125" s="4" t="s">
        <v>1720</v>
      </c>
      <c r="AW1125" s="4" t="s">
        <v>1705</v>
      </c>
      <c r="AX1125" s="4" t="s">
        <v>1723</v>
      </c>
      <c r="AY1125" s="4">
        <v>50.132399999999997</v>
      </c>
      <c r="AZ1125" s="4">
        <v>-126.9282</v>
      </c>
      <c r="BA1125" s="4">
        <v>120</v>
      </c>
    </row>
    <row r="1126" spans="1:53" ht="14.25" customHeight="1" x14ac:dyDescent="0.2">
      <c r="A1126" s="4" t="s">
        <v>88</v>
      </c>
      <c r="B1126" s="4">
        <v>12</v>
      </c>
      <c r="C1126" s="4" t="s">
        <v>7666</v>
      </c>
      <c r="D1126" s="4">
        <v>1002</v>
      </c>
      <c r="E1126" s="4">
        <v>2339</v>
      </c>
      <c r="F1126" s="4" t="s">
        <v>4107</v>
      </c>
      <c r="G1126" s="8" t="s">
        <v>4108</v>
      </c>
      <c r="H1126" s="4" t="s">
        <v>4109</v>
      </c>
      <c r="I1126" s="4" t="s">
        <v>641</v>
      </c>
      <c r="J1126" s="4" t="s">
        <v>1829</v>
      </c>
      <c r="K1126" s="4">
        <v>1</v>
      </c>
      <c r="L1126" s="4">
        <v>2742</v>
      </c>
      <c r="M1126" s="6">
        <v>49.428049999999999</v>
      </c>
      <c r="N1126" s="9">
        <v>-123.56484</v>
      </c>
      <c r="O1126" s="9" t="s">
        <v>183</v>
      </c>
      <c r="P1126" s="9">
        <v>1002</v>
      </c>
      <c r="Q1126" s="20">
        <v>6</v>
      </c>
      <c r="R1126" s="9" t="s">
        <v>4107</v>
      </c>
      <c r="S1126" s="9" t="s">
        <v>4045</v>
      </c>
      <c r="T1126" s="9">
        <v>593</v>
      </c>
      <c r="U1126" s="9" t="s">
        <v>645</v>
      </c>
      <c r="V1126" s="9"/>
      <c r="W1126" s="21">
        <v>39359</v>
      </c>
      <c r="X1126" s="9" t="s">
        <v>1738</v>
      </c>
      <c r="AK1126" s="7"/>
      <c r="AO1126" s="4" t="s">
        <v>4107</v>
      </c>
      <c r="AP1126" s="4">
        <v>1002</v>
      </c>
      <c r="AQ1126" s="4" t="s">
        <v>1716</v>
      </c>
      <c r="AR1126" s="4" t="s">
        <v>1739</v>
      </c>
      <c r="AS1126" s="4" t="s">
        <v>1740</v>
      </c>
      <c r="AT1126" s="4" t="s">
        <v>1741</v>
      </c>
      <c r="AU1126" s="4" t="s">
        <v>1742</v>
      </c>
      <c r="AV1126" s="4" t="s">
        <v>1720</v>
      </c>
      <c r="AW1126" s="4" t="s">
        <v>1705</v>
      </c>
      <c r="AX1126" s="4" t="s">
        <v>1837</v>
      </c>
      <c r="AY1126" s="4">
        <v>49.427999999999997</v>
      </c>
      <c r="AZ1126" s="4">
        <v>-123.56489999999999</v>
      </c>
      <c r="BA1126" s="4">
        <v>615</v>
      </c>
    </row>
    <row r="1127" spans="1:53" ht="14.25" customHeight="1" x14ac:dyDescent="0.2">
      <c r="B1127" s="4">
        <v>12</v>
      </c>
      <c r="C1127" s="4" t="s">
        <v>7666</v>
      </c>
      <c r="D1127" s="4">
        <v>1003</v>
      </c>
      <c r="E1127" s="4">
        <v>10992</v>
      </c>
      <c r="F1127" s="16" t="s">
        <v>4110</v>
      </c>
      <c r="G1127" s="8" t="s">
        <v>4111</v>
      </c>
      <c r="H1127" s="4" t="s">
        <v>4112</v>
      </c>
      <c r="I1127" s="4" t="s">
        <v>49</v>
      </c>
      <c r="J1127" s="4" t="s">
        <v>1746</v>
      </c>
      <c r="K1127" s="4">
        <v>1</v>
      </c>
      <c r="L1127" s="4">
        <v>13157</v>
      </c>
      <c r="M1127" s="71"/>
      <c r="N1127" s="72"/>
      <c r="O1127" s="72"/>
      <c r="P1127" s="72"/>
      <c r="Q1127" s="73"/>
      <c r="R1127" s="72"/>
      <c r="S1127" s="72"/>
      <c r="T1127" s="72"/>
      <c r="U1127" s="72"/>
      <c r="V1127" s="72"/>
      <c r="W1127" s="74"/>
      <c r="X1127" s="72"/>
      <c r="AK1127" s="7"/>
      <c r="AO1127" s="65" t="s">
        <v>4110</v>
      </c>
      <c r="AP1127" s="4">
        <v>1003</v>
      </c>
      <c r="AQ1127" s="4" t="s">
        <v>1716</v>
      </c>
      <c r="AR1127" s="4" t="s">
        <v>1717</v>
      </c>
      <c r="AS1127" s="4" t="s">
        <v>1718</v>
      </c>
      <c r="AT1127" s="4" t="s">
        <v>1835</v>
      </c>
      <c r="AU1127" s="4" t="s">
        <v>1836</v>
      </c>
      <c r="AV1127" s="4" t="s">
        <v>1720</v>
      </c>
      <c r="AW1127" s="4" t="s">
        <v>3863</v>
      </c>
      <c r="AY1127" s="4">
        <v>48.434800000000003</v>
      </c>
      <c r="AZ1127" s="4">
        <v>-123.3749</v>
      </c>
      <c r="BA1127" s="4">
        <v>50</v>
      </c>
    </row>
    <row r="1128" spans="1:53" ht="14.25" customHeight="1" x14ac:dyDescent="0.2">
      <c r="A1128" s="4" t="s">
        <v>422</v>
      </c>
      <c r="B1128" s="4">
        <v>12</v>
      </c>
      <c r="C1128" s="4" t="s">
        <v>7666</v>
      </c>
      <c r="D1128" s="4">
        <v>1004</v>
      </c>
      <c r="E1128" s="4">
        <v>2340</v>
      </c>
      <c r="F1128" s="16" t="s">
        <v>4113</v>
      </c>
      <c r="G1128" s="4" t="s">
        <v>4114</v>
      </c>
      <c r="H1128" s="4" t="s">
        <v>4115</v>
      </c>
      <c r="I1128" s="4" t="s">
        <v>641</v>
      </c>
      <c r="J1128" s="4" t="s">
        <v>1746</v>
      </c>
      <c r="K1128" s="4">
        <v>1</v>
      </c>
      <c r="L1128" s="4">
        <v>2743</v>
      </c>
      <c r="M1128" s="6"/>
      <c r="AK1128" s="7"/>
      <c r="AO1128" s="4" t="s">
        <v>4113</v>
      </c>
      <c r="AP1128" s="4">
        <v>1004</v>
      </c>
      <c r="AQ1128" s="4" t="s">
        <v>1716</v>
      </c>
      <c r="AR1128" s="4" t="s">
        <v>1717</v>
      </c>
      <c r="AS1128" s="4" t="s">
        <v>1718</v>
      </c>
      <c r="AT1128" s="4" t="s">
        <v>1835</v>
      </c>
      <c r="AU1128" s="4" t="s">
        <v>1836</v>
      </c>
      <c r="AV1128" s="4" t="s">
        <v>1720</v>
      </c>
      <c r="AW1128" s="4" t="s">
        <v>1705</v>
      </c>
      <c r="AX1128" s="4" t="s">
        <v>1747</v>
      </c>
      <c r="AY1128" s="4">
        <v>48.963700000000003</v>
      </c>
      <c r="AZ1128" s="4">
        <v>-123.77200000000001</v>
      </c>
      <c r="BA1128" s="4">
        <v>18</v>
      </c>
    </row>
    <row r="1129" spans="1:53" ht="14.25" customHeight="1" x14ac:dyDescent="0.2">
      <c r="A1129" s="4" t="s">
        <v>422</v>
      </c>
      <c r="B1129" s="4">
        <v>12</v>
      </c>
      <c r="C1129" s="4" t="s">
        <v>7666</v>
      </c>
      <c r="D1129" s="4">
        <v>1005</v>
      </c>
      <c r="E1129" s="4">
        <v>2341</v>
      </c>
      <c r="F1129" s="16" t="s">
        <v>4116</v>
      </c>
      <c r="G1129" s="4" t="s">
        <v>4117</v>
      </c>
      <c r="H1129" s="4" t="s">
        <v>4118</v>
      </c>
      <c r="I1129" s="4" t="s">
        <v>641</v>
      </c>
      <c r="J1129" s="4" t="s">
        <v>1746</v>
      </c>
      <c r="K1129" s="4">
        <v>1</v>
      </c>
      <c r="L1129" s="4">
        <v>2744</v>
      </c>
      <c r="M1129" s="6"/>
      <c r="AK1129" s="7"/>
      <c r="AO1129" s="4" t="s">
        <v>4116</v>
      </c>
      <c r="AP1129" s="4">
        <v>1005</v>
      </c>
      <c r="AQ1129" s="4" t="s">
        <v>1716</v>
      </c>
      <c r="AR1129" s="4" t="s">
        <v>1717</v>
      </c>
      <c r="AS1129" s="4" t="s">
        <v>1718</v>
      </c>
      <c r="AT1129" s="4" t="s">
        <v>1835</v>
      </c>
      <c r="AU1129" s="4" t="s">
        <v>1836</v>
      </c>
      <c r="AV1129" s="4" t="s">
        <v>1720</v>
      </c>
      <c r="AW1129" s="4" t="s">
        <v>1705</v>
      </c>
      <c r="AY1129" s="4">
        <v>49.000300000000003</v>
      </c>
      <c r="AZ1129" s="4">
        <v>-122.0309</v>
      </c>
      <c r="BA1129" s="4">
        <v>235</v>
      </c>
    </row>
    <row r="1130" spans="1:53" ht="14.25" customHeight="1" x14ac:dyDescent="0.2">
      <c r="A1130" s="4" t="s">
        <v>422</v>
      </c>
      <c r="B1130" s="4">
        <v>12</v>
      </c>
      <c r="C1130" s="4" t="s">
        <v>7666</v>
      </c>
      <c r="D1130" s="4">
        <v>1008</v>
      </c>
      <c r="E1130" s="4">
        <v>2342</v>
      </c>
      <c r="F1130" s="16" t="s">
        <v>4119</v>
      </c>
      <c r="G1130" s="4" t="s">
        <v>4120</v>
      </c>
      <c r="H1130" s="4" t="s">
        <v>4121</v>
      </c>
      <c r="I1130" s="4" t="s">
        <v>641</v>
      </c>
      <c r="J1130" s="4" t="s">
        <v>1746</v>
      </c>
      <c r="K1130" s="4">
        <v>1</v>
      </c>
      <c r="L1130" s="4">
        <v>2745</v>
      </c>
      <c r="M1130" s="6"/>
      <c r="AK1130" s="7"/>
      <c r="AO1130" s="4" t="s">
        <v>4119</v>
      </c>
      <c r="AP1130" s="4">
        <v>1008</v>
      </c>
      <c r="AQ1130" s="4" t="s">
        <v>1716</v>
      </c>
      <c r="AR1130" s="4" t="s">
        <v>1717</v>
      </c>
      <c r="AS1130" s="4" t="s">
        <v>1718</v>
      </c>
      <c r="AT1130" s="4" t="s">
        <v>1835</v>
      </c>
      <c r="AU1130" s="4" t="s">
        <v>1836</v>
      </c>
      <c r="AV1130" s="4" t="s">
        <v>1720</v>
      </c>
      <c r="AW1130" s="4" t="s">
        <v>2368</v>
      </c>
      <c r="AX1130" s="4" t="s">
        <v>2369</v>
      </c>
      <c r="AY1130" s="4">
        <v>50.500999999999998</v>
      </c>
      <c r="AZ1130" s="4">
        <v>-120.8111</v>
      </c>
      <c r="BA1130" s="4">
        <v>1163</v>
      </c>
    </row>
    <row r="1131" spans="1:53" ht="14.25" customHeight="1" x14ac:dyDescent="0.2">
      <c r="A1131" s="4" t="s">
        <v>422</v>
      </c>
      <c r="B1131" s="4">
        <v>12</v>
      </c>
      <c r="C1131" s="4" t="s">
        <v>7665</v>
      </c>
      <c r="D1131" s="4">
        <v>1013</v>
      </c>
      <c r="E1131" s="4">
        <v>12978</v>
      </c>
      <c r="G1131" s="4" t="s">
        <v>127</v>
      </c>
      <c r="H1131" s="4" t="s">
        <v>1697</v>
      </c>
      <c r="I1131" s="4" t="s">
        <v>49</v>
      </c>
      <c r="J1131" s="4" t="s">
        <v>1746</v>
      </c>
      <c r="K1131" s="4">
        <v>1</v>
      </c>
      <c r="L1131" s="4">
        <v>14910</v>
      </c>
      <c r="M1131" s="6"/>
      <c r="AK1131" s="7"/>
      <c r="AO1131" s="48" t="s">
        <v>4122</v>
      </c>
      <c r="AP1131" s="48">
        <v>1013</v>
      </c>
      <c r="AQ1131" s="48" t="s">
        <v>1700</v>
      </c>
      <c r="AR1131" s="48" t="s">
        <v>1739</v>
      </c>
      <c r="AS1131" s="48" t="s">
        <v>1702</v>
      </c>
      <c r="AT1131" s="48" t="s">
        <v>1703</v>
      </c>
      <c r="AU1131" s="48" t="s">
        <v>1704</v>
      </c>
      <c r="AV1131" s="48" t="s">
        <v>1702</v>
      </c>
      <c r="AW1131" s="48" t="s">
        <v>1705</v>
      </c>
      <c r="AX1131" s="48" t="s">
        <v>1747</v>
      </c>
      <c r="AY1131" s="48">
        <v>48.824199999999998</v>
      </c>
      <c r="AZ1131" s="48">
        <v>-123.7189</v>
      </c>
      <c r="BA1131" s="48">
        <v>60</v>
      </c>
    </row>
    <row r="1132" spans="1:53" ht="14.25" customHeight="1" x14ac:dyDescent="0.2">
      <c r="A1132" s="4" t="s">
        <v>422</v>
      </c>
      <c r="B1132" s="4">
        <v>12</v>
      </c>
      <c r="C1132" s="4" t="s">
        <v>7665</v>
      </c>
      <c r="D1132" s="4">
        <v>1015</v>
      </c>
      <c r="E1132" s="4">
        <v>12979</v>
      </c>
      <c r="G1132" s="4" t="s">
        <v>127</v>
      </c>
      <c r="H1132" s="4" t="s">
        <v>1697</v>
      </c>
      <c r="I1132" s="4" t="s">
        <v>49</v>
      </c>
      <c r="J1132" s="4" t="s">
        <v>1746</v>
      </c>
      <c r="K1132" s="4">
        <v>1</v>
      </c>
      <c r="L1132" s="4">
        <v>14911</v>
      </c>
      <c r="M1132" s="6"/>
      <c r="AK1132" s="7"/>
      <c r="AO1132" s="48" t="s">
        <v>4123</v>
      </c>
      <c r="AP1132" s="48">
        <v>1015</v>
      </c>
      <c r="AQ1132" s="48" t="s">
        <v>1700</v>
      </c>
      <c r="AR1132" s="48" t="s">
        <v>1701</v>
      </c>
      <c r="AS1132" s="48" t="s">
        <v>1702</v>
      </c>
      <c r="AT1132" s="48" t="s">
        <v>1703</v>
      </c>
      <c r="AU1132" s="48" t="s">
        <v>1704</v>
      </c>
      <c r="AV1132" s="48" t="s">
        <v>1702</v>
      </c>
      <c r="AW1132" s="48" t="s">
        <v>1705</v>
      </c>
      <c r="AX1132" s="48" t="s">
        <v>1706</v>
      </c>
      <c r="AY1132" s="48">
        <v>49.333300000000001</v>
      </c>
      <c r="AZ1132" s="48">
        <v>-124.38330000000001</v>
      </c>
      <c r="BA1132" s="48">
        <v>58</v>
      </c>
    </row>
    <row r="1133" spans="1:53" ht="14.25" customHeight="1" x14ac:dyDescent="0.2">
      <c r="A1133" s="4" t="s">
        <v>422</v>
      </c>
      <c r="B1133" s="4">
        <v>12</v>
      </c>
      <c r="C1133" s="4" t="s">
        <v>7665</v>
      </c>
      <c r="D1133" s="4">
        <v>1016</v>
      </c>
      <c r="E1133" s="4">
        <v>12980</v>
      </c>
      <c r="G1133" s="4" t="s">
        <v>127</v>
      </c>
      <c r="H1133" s="4" t="s">
        <v>1697</v>
      </c>
      <c r="I1133" s="4" t="s">
        <v>49</v>
      </c>
      <c r="J1133" s="4" t="s">
        <v>1746</v>
      </c>
      <c r="K1133" s="4">
        <v>1</v>
      </c>
      <c r="L1133" s="4">
        <v>14912</v>
      </c>
      <c r="M1133" s="6"/>
      <c r="AK1133" s="7"/>
      <c r="AO1133" s="48" t="s">
        <v>4124</v>
      </c>
      <c r="AP1133" s="48">
        <v>1016</v>
      </c>
      <c r="AQ1133" s="48" t="s">
        <v>1700</v>
      </c>
      <c r="AR1133" s="48" t="s">
        <v>1739</v>
      </c>
      <c r="AS1133" s="48" t="s">
        <v>1702</v>
      </c>
      <c r="AT1133" s="48" t="s">
        <v>1703</v>
      </c>
      <c r="AU1133" s="48" t="s">
        <v>1704</v>
      </c>
      <c r="AV1133" s="48" t="s">
        <v>1702</v>
      </c>
      <c r="AW1133" s="48" t="s">
        <v>1705</v>
      </c>
      <c r="AX1133" s="48" t="s">
        <v>1837</v>
      </c>
      <c r="AY1133" s="48">
        <v>49.460500000000003</v>
      </c>
      <c r="AZ1133" s="48">
        <v>-123.7</v>
      </c>
      <c r="BA1133" s="48">
        <v>86</v>
      </c>
    </row>
    <row r="1134" spans="1:53" ht="14.25" customHeight="1" x14ac:dyDescent="0.2">
      <c r="A1134" s="4" t="s">
        <v>422</v>
      </c>
      <c r="B1134" s="4">
        <v>12</v>
      </c>
      <c r="C1134" s="4" t="s">
        <v>7666</v>
      </c>
      <c r="D1134" s="4">
        <v>1017</v>
      </c>
      <c r="E1134" s="4">
        <v>2343</v>
      </c>
      <c r="F1134" s="16" t="s">
        <v>4125</v>
      </c>
      <c r="G1134" s="4" t="s">
        <v>4126</v>
      </c>
      <c r="H1134" s="4" t="s">
        <v>4127</v>
      </c>
      <c r="I1134" s="4" t="s">
        <v>641</v>
      </c>
      <c r="J1134" s="4" t="s">
        <v>1746</v>
      </c>
      <c r="K1134" s="4">
        <v>1</v>
      </c>
      <c r="L1134" s="4">
        <v>2746</v>
      </c>
      <c r="M1134" s="6"/>
      <c r="AK1134" s="7"/>
      <c r="AO1134" s="4" t="s">
        <v>4125</v>
      </c>
      <c r="AP1134" s="4">
        <v>1017</v>
      </c>
      <c r="AQ1134" s="4" t="s">
        <v>1716</v>
      </c>
      <c r="AR1134" s="4" t="s">
        <v>1717</v>
      </c>
      <c r="AS1134" s="4" t="s">
        <v>1718</v>
      </c>
      <c r="AT1134" s="4" t="s">
        <v>1835</v>
      </c>
      <c r="AU1134" s="4" t="s">
        <v>1836</v>
      </c>
      <c r="AV1134" s="4" t="s">
        <v>1720</v>
      </c>
      <c r="AW1134" s="4" t="s">
        <v>1947</v>
      </c>
      <c r="AX1134" s="4" t="s">
        <v>1986</v>
      </c>
      <c r="AY1134" s="4">
        <v>57.646700000000003</v>
      </c>
      <c r="AZ1134" s="4">
        <v>-128.1669</v>
      </c>
      <c r="BA1134" s="4">
        <v>1077</v>
      </c>
    </row>
    <row r="1135" spans="1:53" ht="14.25" customHeight="1" x14ac:dyDescent="0.2">
      <c r="A1135" s="4" t="s">
        <v>422</v>
      </c>
      <c r="B1135" s="4">
        <v>12</v>
      </c>
      <c r="C1135" s="4" t="s">
        <v>7666</v>
      </c>
      <c r="D1135" s="4">
        <v>1018</v>
      </c>
      <c r="E1135" s="4">
        <v>2344</v>
      </c>
      <c r="F1135" s="16" t="s">
        <v>4128</v>
      </c>
      <c r="G1135" s="4" t="s">
        <v>4129</v>
      </c>
      <c r="H1135" s="4" t="s">
        <v>4130</v>
      </c>
      <c r="I1135" s="4" t="s">
        <v>641</v>
      </c>
      <c r="J1135" s="4" t="s">
        <v>1746</v>
      </c>
      <c r="K1135" s="4">
        <v>1</v>
      </c>
      <c r="L1135" s="4">
        <v>2747</v>
      </c>
      <c r="M1135" s="6"/>
      <c r="AK1135" s="7"/>
      <c r="AO1135" s="4" t="s">
        <v>4128</v>
      </c>
      <c r="AP1135" s="4">
        <v>1018</v>
      </c>
      <c r="AQ1135" s="4" t="s">
        <v>1716</v>
      </c>
      <c r="AR1135" s="4" t="s">
        <v>1717</v>
      </c>
      <c r="AS1135" s="4" t="s">
        <v>1718</v>
      </c>
      <c r="AT1135" s="4" t="s">
        <v>1841</v>
      </c>
      <c r="AU1135" s="4" t="s">
        <v>1959</v>
      </c>
      <c r="AV1135" s="4" t="s">
        <v>1720</v>
      </c>
      <c r="AW1135" s="4" t="s">
        <v>2368</v>
      </c>
      <c r="AX1135" s="4" t="s">
        <v>2492</v>
      </c>
      <c r="AY1135" s="4">
        <v>49.181600000000003</v>
      </c>
      <c r="AZ1135" s="4">
        <v>-120.4757</v>
      </c>
      <c r="BA1135" s="4">
        <v>1722</v>
      </c>
    </row>
    <row r="1136" spans="1:53" ht="14.25" customHeight="1" x14ac:dyDescent="0.2">
      <c r="A1136" s="4" t="s">
        <v>422</v>
      </c>
      <c r="B1136" s="4">
        <v>12</v>
      </c>
      <c r="C1136" s="4" t="s">
        <v>7666</v>
      </c>
      <c r="D1136" s="4">
        <v>1019</v>
      </c>
      <c r="E1136" s="4">
        <v>2345</v>
      </c>
      <c r="F1136" s="16" t="s">
        <v>4131</v>
      </c>
      <c r="G1136" s="4" t="s">
        <v>4132</v>
      </c>
      <c r="H1136" s="4" t="s">
        <v>4133</v>
      </c>
      <c r="I1136" s="4" t="s">
        <v>641</v>
      </c>
      <c r="J1136" s="4" t="s">
        <v>1746</v>
      </c>
      <c r="K1136" s="4">
        <v>1</v>
      </c>
      <c r="L1136" s="4">
        <v>2748</v>
      </c>
      <c r="M1136" s="6"/>
      <c r="AK1136" s="7"/>
      <c r="AO1136" s="4" t="s">
        <v>4131</v>
      </c>
      <c r="AP1136" s="4">
        <v>1019</v>
      </c>
      <c r="AQ1136" s="4" t="s">
        <v>1716</v>
      </c>
      <c r="AR1136" s="4" t="s">
        <v>1717</v>
      </c>
      <c r="AS1136" s="4" t="s">
        <v>1718</v>
      </c>
      <c r="AT1136" s="4" t="s">
        <v>1841</v>
      </c>
      <c r="AU1136" s="4" t="s">
        <v>1959</v>
      </c>
      <c r="AV1136" s="4" t="s">
        <v>1720</v>
      </c>
      <c r="AW1136" s="4" t="s">
        <v>2368</v>
      </c>
      <c r="AX1136" s="4" t="s">
        <v>2492</v>
      </c>
      <c r="AY1136" s="4">
        <v>49.7759</v>
      </c>
      <c r="AZ1136" s="4">
        <v>-120.4213</v>
      </c>
      <c r="BA1136" s="4">
        <v>1483</v>
      </c>
    </row>
    <row r="1137" spans="1:53" ht="14.25" customHeight="1" x14ac:dyDescent="0.2">
      <c r="A1137" s="4" t="s">
        <v>422</v>
      </c>
      <c r="B1137" s="4">
        <v>12</v>
      </c>
      <c r="C1137" s="4" t="s">
        <v>7666</v>
      </c>
      <c r="D1137" s="4">
        <v>1020</v>
      </c>
      <c r="E1137" s="4">
        <v>2346</v>
      </c>
      <c r="F1137" s="16" t="s">
        <v>4134</v>
      </c>
      <c r="G1137" s="4" t="s">
        <v>4135</v>
      </c>
      <c r="H1137" s="4" t="s">
        <v>4136</v>
      </c>
      <c r="I1137" s="4" t="s">
        <v>641</v>
      </c>
      <c r="J1137" s="4" t="s">
        <v>1746</v>
      </c>
      <c r="K1137" s="4">
        <v>1</v>
      </c>
      <c r="L1137" s="4">
        <v>2749</v>
      </c>
      <c r="M1137" s="6"/>
      <c r="AK1137" s="7"/>
      <c r="AO1137" s="4" t="s">
        <v>4134</v>
      </c>
      <c r="AP1137" s="4">
        <v>1020</v>
      </c>
      <c r="AQ1137" s="4" t="s">
        <v>1716</v>
      </c>
      <c r="AR1137" s="4" t="s">
        <v>1717</v>
      </c>
      <c r="AS1137" s="4" t="s">
        <v>1718</v>
      </c>
      <c r="AT1137" s="4" t="s">
        <v>1841</v>
      </c>
      <c r="AU1137" s="4" t="s">
        <v>1959</v>
      </c>
      <c r="AV1137" s="4" t="s">
        <v>1720</v>
      </c>
      <c r="AW1137" s="4" t="s">
        <v>2368</v>
      </c>
      <c r="AX1137" s="4" t="s">
        <v>2516</v>
      </c>
      <c r="AY1137" s="4">
        <v>50.179699999999997</v>
      </c>
      <c r="AZ1137" s="4">
        <v>-119.6605</v>
      </c>
      <c r="BA1137" s="4">
        <v>1601</v>
      </c>
    </row>
    <row r="1138" spans="1:53" ht="14.25" customHeight="1" x14ac:dyDescent="0.2">
      <c r="A1138" s="4" t="s">
        <v>422</v>
      </c>
      <c r="B1138" s="4">
        <v>12</v>
      </c>
      <c r="C1138" s="4" t="s">
        <v>7666</v>
      </c>
      <c r="D1138" s="4">
        <v>1022</v>
      </c>
      <c r="E1138" s="4">
        <v>2347</v>
      </c>
      <c r="F1138" s="4" t="s">
        <v>4137</v>
      </c>
      <c r="G1138" s="4" t="s">
        <v>4138</v>
      </c>
      <c r="H1138" s="4" t="s">
        <v>4139</v>
      </c>
      <c r="I1138" s="4" t="s">
        <v>641</v>
      </c>
      <c r="J1138" s="4" t="s">
        <v>1746</v>
      </c>
      <c r="K1138" s="4">
        <v>1</v>
      </c>
      <c r="L1138" s="4">
        <v>2750</v>
      </c>
      <c r="M1138" s="6"/>
      <c r="AK1138" s="7"/>
      <c r="AO1138" s="4" t="s">
        <v>4140</v>
      </c>
      <c r="AP1138" s="4">
        <v>1022</v>
      </c>
      <c r="AQ1138" s="4" t="s">
        <v>1716</v>
      </c>
      <c r="AR1138" s="4" t="s">
        <v>1717</v>
      </c>
      <c r="AS1138" s="4" t="s">
        <v>1740</v>
      </c>
      <c r="AT1138" s="4" t="s">
        <v>1835</v>
      </c>
      <c r="AU1138" s="4" t="s">
        <v>1742</v>
      </c>
      <c r="AV1138" s="4" t="s">
        <v>1720</v>
      </c>
      <c r="AW1138" s="4" t="s">
        <v>2003</v>
      </c>
      <c r="AX1138" s="4" t="s">
        <v>2258</v>
      </c>
      <c r="AY1138" s="4">
        <v>53.032299999999999</v>
      </c>
      <c r="AZ1138" s="4">
        <v>-119.21129999999999</v>
      </c>
      <c r="BA1138" s="4">
        <v>872</v>
      </c>
    </row>
    <row r="1139" spans="1:53" ht="14.25" customHeight="1" x14ac:dyDescent="0.2">
      <c r="A1139" s="4" t="s">
        <v>422</v>
      </c>
      <c r="B1139" s="4">
        <v>12</v>
      </c>
      <c r="C1139" s="4" t="s">
        <v>7666</v>
      </c>
      <c r="D1139" s="4">
        <v>1023</v>
      </c>
      <c r="E1139" s="4">
        <v>2348</v>
      </c>
      <c r="F1139" s="16" t="s">
        <v>4141</v>
      </c>
      <c r="G1139" s="4" t="s">
        <v>4142</v>
      </c>
      <c r="H1139" s="4" t="s">
        <v>4143</v>
      </c>
      <c r="I1139" s="4" t="s">
        <v>641</v>
      </c>
      <c r="J1139" s="4" t="s">
        <v>1746</v>
      </c>
      <c r="K1139" s="4">
        <v>1</v>
      </c>
      <c r="L1139" s="4">
        <v>2751</v>
      </c>
      <c r="M1139" s="6"/>
      <c r="AK1139" s="7"/>
      <c r="AO1139" s="27" t="s">
        <v>4141</v>
      </c>
      <c r="AP1139" s="4">
        <v>1023</v>
      </c>
      <c r="AQ1139" s="4" t="s">
        <v>1716</v>
      </c>
      <c r="AR1139" s="4" t="s">
        <v>1717</v>
      </c>
      <c r="AS1139" s="4" t="s">
        <v>1740</v>
      </c>
      <c r="AT1139" s="4" t="s">
        <v>1835</v>
      </c>
      <c r="AU1139" s="4" t="s">
        <v>1742</v>
      </c>
      <c r="AV1139" s="4" t="s">
        <v>1720</v>
      </c>
      <c r="AW1139" s="4" t="s">
        <v>2003</v>
      </c>
      <c r="AX1139" s="4" t="s">
        <v>2258</v>
      </c>
      <c r="AY1139" s="4">
        <v>52.907499999999999</v>
      </c>
      <c r="AZ1139" s="4">
        <v>-118.77889999999999</v>
      </c>
      <c r="BA1139" s="4">
        <v>1080</v>
      </c>
    </row>
    <row r="1140" spans="1:53" ht="14.25" customHeight="1" x14ac:dyDescent="0.2">
      <c r="A1140" s="4" t="s">
        <v>88</v>
      </c>
      <c r="B1140" s="4">
        <v>12</v>
      </c>
      <c r="C1140" s="4" t="s">
        <v>7666</v>
      </c>
      <c r="D1140" s="4">
        <v>1024</v>
      </c>
      <c r="E1140" s="4">
        <v>2349</v>
      </c>
      <c r="F1140" s="4" t="s">
        <v>4144</v>
      </c>
      <c r="G1140" s="8" t="s">
        <v>4145</v>
      </c>
      <c r="H1140" s="4" t="s">
        <v>4146</v>
      </c>
      <c r="I1140" s="4" t="s">
        <v>641</v>
      </c>
      <c r="J1140" s="4" t="s">
        <v>1891</v>
      </c>
      <c r="K1140" s="4">
        <v>1</v>
      </c>
      <c r="L1140" s="4">
        <v>2752</v>
      </c>
      <c r="M1140" s="6">
        <v>50.438690000000001</v>
      </c>
      <c r="N1140" s="4">
        <v>-121.5515</v>
      </c>
      <c r="O1140" s="4" t="s">
        <v>142</v>
      </c>
      <c r="P1140" s="4">
        <v>1024</v>
      </c>
      <c r="Q1140" s="4">
        <v>6</v>
      </c>
      <c r="R1140" s="4" t="s">
        <v>4144</v>
      </c>
      <c r="S1140" s="4" t="s">
        <v>1737</v>
      </c>
      <c r="T1140" s="4">
        <v>1557</v>
      </c>
      <c r="W1140" s="4">
        <v>39640</v>
      </c>
      <c r="X1140" s="4" t="s">
        <v>1738</v>
      </c>
      <c r="AK1140" s="7"/>
      <c r="AO1140" s="4" t="s">
        <v>4144</v>
      </c>
      <c r="AP1140" s="4">
        <v>1024</v>
      </c>
      <c r="AQ1140" s="4" t="s">
        <v>1716</v>
      </c>
      <c r="AR1140" s="4" t="s">
        <v>1739</v>
      </c>
      <c r="AS1140" s="4" t="s">
        <v>1740</v>
      </c>
      <c r="AT1140" s="4" t="s">
        <v>1741</v>
      </c>
      <c r="AU1140" s="4" t="s">
        <v>1742</v>
      </c>
      <c r="AV1140" s="4" t="s">
        <v>1720</v>
      </c>
      <c r="AW1140" s="4" t="s">
        <v>2368</v>
      </c>
      <c r="AX1140" s="4" t="s">
        <v>2505</v>
      </c>
      <c r="AY1140" s="4">
        <v>50.438699999999997</v>
      </c>
      <c r="AZ1140" s="4">
        <v>-121.5515</v>
      </c>
      <c r="BA1140" s="4">
        <v>1557</v>
      </c>
    </row>
    <row r="1141" spans="1:53" ht="14.25" customHeight="1" x14ac:dyDescent="0.2">
      <c r="A1141" s="4" t="s">
        <v>88</v>
      </c>
      <c r="B1141" s="4">
        <v>12</v>
      </c>
      <c r="C1141" s="4" t="s">
        <v>7666</v>
      </c>
      <c r="D1141" s="4">
        <v>1025</v>
      </c>
      <c r="E1141" s="4">
        <v>2350</v>
      </c>
      <c r="F1141" s="4" t="s">
        <v>4147</v>
      </c>
      <c r="G1141" s="8" t="s">
        <v>4148</v>
      </c>
      <c r="H1141" s="4" t="s">
        <v>4149</v>
      </c>
      <c r="I1141" s="4" t="s">
        <v>641</v>
      </c>
      <c r="J1141" s="4" t="s">
        <v>1829</v>
      </c>
      <c r="K1141" s="4">
        <v>1</v>
      </c>
      <c r="L1141" s="4">
        <v>2753</v>
      </c>
      <c r="M1141" s="6">
        <v>50.103479999999998</v>
      </c>
      <c r="N1141" s="4">
        <v>-124.61373</v>
      </c>
      <c r="O1141" s="4" t="s">
        <v>51</v>
      </c>
      <c r="P1141" s="4">
        <v>1025</v>
      </c>
      <c r="Q1141" s="4">
        <v>1</v>
      </c>
      <c r="R1141" s="4" t="s">
        <v>4147</v>
      </c>
      <c r="S1141" s="4" t="s">
        <v>4045</v>
      </c>
      <c r="T1141" s="4">
        <v>91</v>
      </c>
      <c r="W1141" s="4">
        <v>39646</v>
      </c>
      <c r="X1141" s="4" t="s">
        <v>1738</v>
      </c>
      <c r="AK1141" s="7"/>
      <c r="AO1141" s="4" t="s">
        <v>4147</v>
      </c>
      <c r="AP1141" s="4">
        <v>1025</v>
      </c>
      <c r="AQ1141" s="4" t="s">
        <v>1716</v>
      </c>
      <c r="AR1141" s="4" t="s">
        <v>1739</v>
      </c>
      <c r="AS1141" s="4" t="s">
        <v>1740</v>
      </c>
      <c r="AT1141" s="4" t="s">
        <v>1741</v>
      </c>
      <c r="AU1141" s="4" t="s">
        <v>1742</v>
      </c>
      <c r="AV1141" s="4" t="s">
        <v>1720</v>
      </c>
      <c r="AW1141" s="4" t="s">
        <v>1705</v>
      </c>
      <c r="AX1141" s="4" t="s">
        <v>1837</v>
      </c>
      <c r="AY1141" s="4">
        <v>50.103499999999997</v>
      </c>
      <c r="AZ1141" s="4">
        <v>-124.6146</v>
      </c>
      <c r="BA1141" s="4">
        <v>103</v>
      </c>
    </row>
    <row r="1142" spans="1:53" ht="14.25" customHeight="1" x14ac:dyDescent="0.2">
      <c r="A1142" s="4" t="s">
        <v>88</v>
      </c>
      <c r="B1142" s="4">
        <v>12</v>
      </c>
      <c r="C1142" s="4" t="s">
        <v>7666</v>
      </c>
      <c r="D1142" s="4">
        <v>1027</v>
      </c>
      <c r="E1142" s="4">
        <v>2351</v>
      </c>
      <c r="F1142" s="16" t="s">
        <v>4150</v>
      </c>
      <c r="G1142" s="8" t="s">
        <v>4151</v>
      </c>
      <c r="H1142" s="4" t="s">
        <v>4152</v>
      </c>
      <c r="I1142" s="4" t="s">
        <v>641</v>
      </c>
      <c r="J1142" s="4" t="s">
        <v>1746</v>
      </c>
      <c r="K1142" s="4">
        <v>1</v>
      </c>
      <c r="L1142" s="4">
        <v>2754</v>
      </c>
      <c r="M1142" s="6"/>
      <c r="AK1142" s="7"/>
      <c r="AO1142" s="4" t="s">
        <v>4150</v>
      </c>
      <c r="AP1142" s="4">
        <v>1027</v>
      </c>
      <c r="AQ1142" s="4" t="s">
        <v>1716</v>
      </c>
      <c r="AR1142" s="4" t="s">
        <v>1717</v>
      </c>
      <c r="AS1142" s="4" t="s">
        <v>1718</v>
      </c>
      <c r="AT1142" s="4" t="s">
        <v>2161</v>
      </c>
      <c r="AU1142" s="4" t="s">
        <v>2162</v>
      </c>
      <c r="AV1142" s="4" t="s">
        <v>1720</v>
      </c>
      <c r="AW1142" s="4" t="s">
        <v>1705</v>
      </c>
      <c r="AX1142" s="4" t="s">
        <v>1837</v>
      </c>
      <c r="AY1142" s="4">
        <v>50.4026</v>
      </c>
      <c r="AZ1142" s="4">
        <v>-124.4122</v>
      </c>
      <c r="BA1142" s="4">
        <v>856</v>
      </c>
    </row>
    <row r="1143" spans="1:53" ht="14.25" customHeight="1" x14ac:dyDescent="0.2">
      <c r="A1143" s="4" t="s">
        <v>88</v>
      </c>
      <c r="B1143" s="4">
        <v>12</v>
      </c>
      <c r="C1143" s="4" t="s">
        <v>7666</v>
      </c>
      <c r="D1143" s="4">
        <v>1028</v>
      </c>
      <c r="E1143" s="4">
        <v>2352</v>
      </c>
      <c r="F1143" s="16" t="s">
        <v>4153</v>
      </c>
      <c r="G1143" s="8" t="s">
        <v>4154</v>
      </c>
      <c r="H1143" s="4" t="s">
        <v>4155</v>
      </c>
      <c r="I1143" s="4" t="s">
        <v>641</v>
      </c>
      <c r="J1143" s="4" t="s">
        <v>1746</v>
      </c>
      <c r="K1143" s="4">
        <v>1</v>
      </c>
      <c r="L1143" s="4">
        <v>2755</v>
      </c>
      <c r="M1143" s="6"/>
      <c r="AK1143" s="7"/>
      <c r="AO1143" s="4" t="s">
        <v>4153</v>
      </c>
      <c r="AP1143" s="4">
        <v>1028</v>
      </c>
      <c r="AQ1143" s="4" t="s">
        <v>1716</v>
      </c>
      <c r="AR1143" s="4" t="s">
        <v>1717</v>
      </c>
      <c r="AS1143" s="4" t="s">
        <v>1718</v>
      </c>
      <c r="AT1143" s="4" t="s">
        <v>2161</v>
      </c>
      <c r="AU1143" s="4" t="s">
        <v>2162</v>
      </c>
      <c r="AV1143" s="4" t="s">
        <v>1720</v>
      </c>
      <c r="AW1143" s="4" t="s">
        <v>1705</v>
      </c>
      <c r="AX1143" s="4" t="s">
        <v>1837</v>
      </c>
      <c r="AY1143" s="4">
        <v>50.657200000000003</v>
      </c>
      <c r="AZ1143" s="4">
        <v>-124.1143</v>
      </c>
      <c r="BA1143" s="4">
        <v>644</v>
      </c>
    </row>
    <row r="1144" spans="1:53" ht="14.25" customHeight="1" x14ac:dyDescent="0.2">
      <c r="A1144" s="4" t="s">
        <v>88</v>
      </c>
      <c r="B1144" s="4">
        <v>12</v>
      </c>
      <c r="C1144" s="4" t="s">
        <v>7666</v>
      </c>
      <c r="D1144" s="4">
        <v>1029</v>
      </c>
      <c r="E1144" s="4">
        <v>2353</v>
      </c>
      <c r="F1144" s="4" t="s">
        <v>4156</v>
      </c>
      <c r="G1144" s="68" t="s">
        <v>4157</v>
      </c>
      <c r="H1144" s="4" t="s">
        <v>4158</v>
      </c>
      <c r="I1144" s="4" t="s">
        <v>641</v>
      </c>
      <c r="J1144" s="4" t="s">
        <v>1891</v>
      </c>
      <c r="K1144" s="4">
        <v>1</v>
      </c>
      <c r="L1144" s="4">
        <v>2756</v>
      </c>
      <c r="M1144" s="6">
        <v>50.910890000000002</v>
      </c>
      <c r="N1144" s="4">
        <v>-122.68889</v>
      </c>
      <c r="O1144" s="4" t="s">
        <v>142</v>
      </c>
      <c r="P1144" s="4">
        <v>1029</v>
      </c>
      <c r="Q1144" s="4">
        <v>2</v>
      </c>
      <c r="R1144" s="4" t="s">
        <v>4156</v>
      </c>
      <c r="S1144" s="4" t="s">
        <v>1737</v>
      </c>
      <c r="T1144" s="4">
        <v>865</v>
      </c>
      <c r="U1144" s="4" t="s">
        <v>645</v>
      </c>
      <c r="W1144" s="4">
        <v>39667</v>
      </c>
      <c r="X1144" s="4" t="s">
        <v>1738</v>
      </c>
      <c r="AK1144" s="7"/>
      <c r="AO1144" s="4" t="s">
        <v>4156</v>
      </c>
      <c r="AP1144" s="4">
        <v>1029</v>
      </c>
      <c r="AQ1144" s="4" t="s">
        <v>1716</v>
      </c>
      <c r="AR1144" s="4" t="s">
        <v>1739</v>
      </c>
      <c r="AS1144" s="4" t="s">
        <v>1740</v>
      </c>
      <c r="AT1144" s="4" t="s">
        <v>1741</v>
      </c>
      <c r="AU1144" s="4" t="s">
        <v>1742</v>
      </c>
      <c r="AV1144" s="4" t="s">
        <v>1720</v>
      </c>
      <c r="AW1144" s="4" t="s">
        <v>2368</v>
      </c>
      <c r="AX1144" s="4" t="s">
        <v>2505</v>
      </c>
      <c r="AY1144" s="4">
        <v>50.910899999999998</v>
      </c>
      <c r="AZ1144" s="4">
        <v>-122.6889</v>
      </c>
      <c r="BA1144" s="4">
        <v>875</v>
      </c>
    </row>
    <row r="1145" spans="1:53" ht="14.25" customHeight="1" x14ac:dyDescent="0.2">
      <c r="A1145" s="4" t="s">
        <v>422</v>
      </c>
      <c r="B1145" s="4">
        <v>12</v>
      </c>
      <c r="C1145" s="4" t="s">
        <v>7666</v>
      </c>
      <c r="D1145" s="4">
        <v>1030</v>
      </c>
      <c r="E1145" s="4">
        <v>2354</v>
      </c>
      <c r="F1145" s="4" t="s">
        <v>4159</v>
      </c>
      <c r="G1145" s="4" t="s">
        <v>4160</v>
      </c>
      <c r="H1145" s="4" t="s">
        <v>4161</v>
      </c>
      <c r="I1145" s="4" t="s">
        <v>641</v>
      </c>
      <c r="J1145" s="4" t="s">
        <v>1746</v>
      </c>
      <c r="K1145" s="4">
        <v>1</v>
      </c>
      <c r="L1145" s="4">
        <v>2757</v>
      </c>
      <c r="M1145" s="6"/>
      <c r="AK1145" s="7"/>
      <c r="AO1145" s="4" t="s">
        <v>4162</v>
      </c>
      <c r="AP1145" s="4">
        <v>1030</v>
      </c>
      <c r="AQ1145" s="4" t="s">
        <v>1716</v>
      </c>
      <c r="AR1145" s="4" t="s">
        <v>1717</v>
      </c>
      <c r="AS1145" s="4" t="s">
        <v>1740</v>
      </c>
      <c r="AT1145" s="4" t="s">
        <v>1835</v>
      </c>
      <c r="AU1145" s="4" t="s">
        <v>1742</v>
      </c>
      <c r="AV1145" s="4" t="s">
        <v>1720</v>
      </c>
      <c r="AW1145" s="4" t="s">
        <v>2003</v>
      </c>
      <c r="AX1145" s="4" t="s">
        <v>2024</v>
      </c>
      <c r="AY1145" s="4">
        <v>55.295499999999997</v>
      </c>
      <c r="AZ1145" s="4">
        <v>-121.5639</v>
      </c>
      <c r="BA1145" s="4">
        <v>1100</v>
      </c>
    </row>
    <row r="1146" spans="1:53" ht="14.25" customHeight="1" x14ac:dyDescent="0.2">
      <c r="A1146" s="4" t="s">
        <v>88</v>
      </c>
      <c r="B1146" s="4">
        <v>12</v>
      </c>
      <c r="C1146" s="4" t="s">
        <v>7666</v>
      </c>
      <c r="D1146" s="4">
        <v>1032</v>
      </c>
      <c r="E1146" s="4">
        <v>2355</v>
      </c>
      <c r="F1146" s="16" t="s">
        <v>4163</v>
      </c>
      <c r="G1146" s="8" t="s">
        <v>4164</v>
      </c>
      <c r="H1146" s="4" t="s">
        <v>4165</v>
      </c>
      <c r="I1146" s="4" t="s">
        <v>641</v>
      </c>
      <c r="J1146" s="4" t="s">
        <v>1746</v>
      </c>
      <c r="K1146" s="4">
        <v>1</v>
      </c>
      <c r="L1146" s="4">
        <v>2758</v>
      </c>
      <c r="M1146" s="6"/>
      <c r="AK1146" s="7"/>
      <c r="AO1146" s="4" t="s">
        <v>4163</v>
      </c>
      <c r="AP1146" s="4">
        <v>1032</v>
      </c>
      <c r="AQ1146" s="4" t="s">
        <v>1716</v>
      </c>
      <c r="AR1146" s="4" t="s">
        <v>1717</v>
      </c>
      <c r="AS1146" s="4" t="s">
        <v>1740</v>
      </c>
      <c r="AT1146" s="4" t="s">
        <v>1835</v>
      </c>
      <c r="AU1146" s="4" t="s">
        <v>1742</v>
      </c>
      <c r="AV1146" s="4" t="s">
        <v>1720</v>
      </c>
      <c r="AW1146" s="4" t="s">
        <v>1705</v>
      </c>
      <c r="AX1146" s="4" t="s">
        <v>1837</v>
      </c>
      <c r="AY1146" s="4">
        <v>50.6479</v>
      </c>
      <c r="AZ1146" s="4">
        <v>-123.8832</v>
      </c>
      <c r="BA1146" s="4">
        <v>731</v>
      </c>
    </row>
    <row r="1147" spans="1:53" ht="14.25" customHeight="1" x14ac:dyDescent="0.2">
      <c r="A1147" s="4" t="s">
        <v>88</v>
      </c>
      <c r="B1147" s="4">
        <v>12</v>
      </c>
      <c r="C1147" s="4" t="s">
        <v>7666</v>
      </c>
      <c r="D1147" s="4">
        <v>1037</v>
      </c>
      <c r="E1147" s="4">
        <v>2356</v>
      </c>
      <c r="F1147" s="16" t="s">
        <v>4166</v>
      </c>
      <c r="G1147" s="8" t="s">
        <v>4167</v>
      </c>
      <c r="H1147" s="4" t="s">
        <v>4168</v>
      </c>
      <c r="I1147" s="4" t="s">
        <v>641</v>
      </c>
      <c r="J1147" s="4" t="s">
        <v>1746</v>
      </c>
      <c r="K1147" s="4">
        <v>1</v>
      </c>
      <c r="L1147" s="4">
        <v>2759</v>
      </c>
      <c r="M1147" s="6"/>
      <c r="AK1147" s="7"/>
      <c r="AO1147" s="4" t="s">
        <v>4166</v>
      </c>
      <c r="AP1147" s="4">
        <v>1037</v>
      </c>
      <c r="AQ1147" s="4" t="s">
        <v>1716</v>
      </c>
      <c r="AR1147" s="4" t="s">
        <v>1717</v>
      </c>
      <c r="AS1147" s="4" t="s">
        <v>1718</v>
      </c>
      <c r="AT1147" s="4" t="s">
        <v>1835</v>
      </c>
      <c r="AU1147" s="4" t="s">
        <v>1836</v>
      </c>
      <c r="AV1147" s="4" t="s">
        <v>1720</v>
      </c>
      <c r="AW1147" s="4" t="s">
        <v>1705</v>
      </c>
      <c r="AX1147" s="4" t="s">
        <v>1883</v>
      </c>
      <c r="AY1147" s="4">
        <v>49.271299999999997</v>
      </c>
      <c r="AZ1147" s="4">
        <v>-121.7808</v>
      </c>
      <c r="BA1147" s="4">
        <v>19</v>
      </c>
    </row>
    <row r="1148" spans="1:53" ht="14.25" customHeight="1" x14ac:dyDescent="0.2">
      <c r="A1148" s="4" t="s">
        <v>422</v>
      </c>
      <c r="B1148" s="4">
        <v>12</v>
      </c>
      <c r="C1148" s="4" t="s">
        <v>7666</v>
      </c>
      <c r="D1148" s="4">
        <v>1038</v>
      </c>
      <c r="E1148" s="4">
        <v>2357</v>
      </c>
      <c r="F1148" s="16" t="s">
        <v>4169</v>
      </c>
      <c r="G1148" s="4" t="s">
        <v>4170</v>
      </c>
      <c r="H1148" s="4" t="s">
        <v>4171</v>
      </c>
      <c r="I1148" s="4" t="s">
        <v>641</v>
      </c>
      <c r="J1148" s="4" t="s">
        <v>1746</v>
      </c>
      <c r="K1148" s="4">
        <v>1</v>
      </c>
      <c r="L1148" s="4">
        <v>2760</v>
      </c>
      <c r="M1148" s="6"/>
      <c r="AK1148" s="7"/>
      <c r="AO1148" s="4" t="s">
        <v>4169</v>
      </c>
      <c r="AP1148" s="4">
        <v>1038</v>
      </c>
      <c r="AQ1148" s="4" t="s">
        <v>1716</v>
      </c>
      <c r="AR1148" s="4" t="s">
        <v>1717</v>
      </c>
      <c r="AS1148" s="4" t="s">
        <v>1718</v>
      </c>
      <c r="AT1148" s="4" t="s">
        <v>1835</v>
      </c>
      <c r="AU1148" s="4" t="s">
        <v>1836</v>
      </c>
      <c r="AV1148" s="4" t="s">
        <v>1720</v>
      </c>
      <c r="AW1148" s="4" t="s">
        <v>2193</v>
      </c>
      <c r="AX1148" s="4" t="s">
        <v>2283</v>
      </c>
      <c r="AY1148" s="4">
        <v>52.0715</v>
      </c>
      <c r="AZ1148" s="4">
        <v>-123.5284</v>
      </c>
      <c r="BA1148" s="4">
        <v>798</v>
      </c>
    </row>
    <row r="1149" spans="1:53" ht="14.25" customHeight="1" x14ac:dyDescent="0.2">
      <c r="A1149" s="4" t="s">
        <v>422</v>
      </c>
      <c r="B1149" s="4">
        <v>12</v>
      </c>
      <c r="C1149" s="4" t="s">
        <v>7666</v>
      </c>
      <c r="D1149" s="4">
        <v>1039</v>
      </c>
      <c r="E1149" s="4">
        <v>2358</v>
      </c>
      <c r="F1149" s="16" t="s">
        <v>4172</v>
      </c>
      <c r="G1149" s="4" t="s">
        <v>4173</v>
      </c>
      <c r="H1149" s="4" t="s">
        <v>4174</v>
      </c>
      <c r="I1149" s="4" t="s">
        <v>641</v>
      </c>
      <c r="J1149" s="4" t="s">
        <v>1746</v>
      </c>
      <c r="K1149" s="4">
        <v>1</v>
      </c>
      <c r="L1149" s="4">
        <v>2761</v>
      </c>
      <c r="M1149" s="6"/>
      <c r="AK1149" s="7"/>
      <c r="AO1149" s="4" t="s">
        <v>4172</v>
      </c>
      <c r="AP1149" s="4">
        <v>1039</v>
      </c>
      <c r="AQ1149" s="4" t="s">
        <v>1716</v>
      </c>
      <c r="AR1149" s="4" t="s">
        <v>1717</v>
      </c>
      <c r="AS1149" s="4" t="s">
        <v>1718</v>
      </c>
      <c r="AT1149" s="4" t="s">
        <v>1835</v>
      </c>
      <c r="AU1149" s="4" t="s">
        <v>1836</v>
      </c>
      <c r="AV1149" s="4" t="s">
        <v>1720</v>
      </c>
      <c r="AW1149" s="4" t="s">
        <v>1705</v>
      </c>
      <c r="AX1149" s="4" t="s">
        <v>1883</v>
      </c>
      <c r="AY1149" s="4">
        <v>49.232700000000001</v>
      </c>
      <c r="AZ1149" s="4">
        <v>-121.6503</v>
      </c>
      <c r="BA1149" s="4">
        <v>657</v>
      </c>
    </row>
    <row r="1150" spans="1:53" ht="14.25" customHeight="1" x14ac:dyDescent="0.2">
      <c r="A1150" s="4" t="s">
        <v>88</v>
      </c>
      <c r="B1150" s="4">
        <v>12</v>
      </c>
      <c r="C1150" s="4" t="s">
        <v>7666</v>
      </c>
      <c r="D1150" s="4">
        <v>1040</v>
      </c>
      <c r="E1150" s="4">
        <v>2359</v>
      </c>
      <c r="F1150" s="4" t="s">
        <v>4175</v>
      </c>
      <c r="G1150" s="8" t="s">
        <v>4176</v>
      </c>
      <c r="H1150" s="4" t="s">
        <v>4177</v>
      </c>
      <c r="I1150" s="4" t="s">
        <v>641</v>
      </c>
      <c r="J1150" s="4" t="s">
        <v>1829</v>
      </c>
      <c r="K1150" s="4">
        <v>1</v>
      </c>
      <c r="L1150" s="4">
        <v>2762</v>
      </c>
      <c r="M1150" s="6">
        <v>49.691000000000003</v>
      </c>
      <c r="N1150" s="4">
        <v>-121.85962000000001</v>
      </c>
      <c r="O1150" s="4" t="s">
        <v>51</v>
      </c>
      <c r="P1150" s="4">
        <v>1040</v>
      </c>
      <c r="Q1150" s="4">
        <v>4</v>
      </c>
      <c r="R1150" s="4" t="s">
        <v>4175</v>
      </c>
      <c r="S1150" s="4" t="s">
        <v>1737</v>
      </c>
      <c r="T1150" s="4">
        <v>561</v>
      </c>
      <c r="U1150" s="4" t="s">
        <v>645</v>
      </c>
      <c r="W1150" s="4">
        <v>39959</v>
      </c>
      <c r="X1150" s="4" t="s">
        <v>1738</v>
      </c>
      <c r="AK1150" s="7"/>
      <c r="AO1150" s="4" t="s">
        <v>4175</v>
      </c>
      <c r="AP1150" s="4">
        <v>1040</v>
      </c>
      <c r="AQ1150" s="4" t="s">
        <v>1716</v>
      </c>
      <c r="AR1150" s="4" t="s">
        <v>1739</v>
      </c>
      <c r="AS1150" s="4" t="s">
        <v>1740</v>
      </c>
      <c r="AT1150" s="4" t="s">
        <v>1741</v>
      </c>
      <c r="AU1150" s="4" t="s">
        <v>1742</v>
      </c>
      <c r="AV1150" s="4" t="s">
        <v>1720</v>
      </c>
      <c r="AW1150" s="4" t="s">
        <v>1705</v>
      </c>
      <c r="AX1150" s="4" t="s">
        <v>1883</v>
      </c>
      <c r="AY1150" s="4">
        <v>49.723399999999998</v>
      </c>
      <c r="AZ1150" s="4">
        <v>-121.8366</v>
      </c>
      <c r="BA1150" s="4">
        <v>570</v>
      </c>
    </row>
    <row r="1151" spans="1:53" ht="14.25" customHeight="1" x14ac:dyDescent="0.2">
      <c r="A1151" s="4" t="s">
        <v>422</v>
      </c>
      <c r="B1151" s="4">
        <v>12</v>
      </c>
      <c r="C1151" s="4" t="s">
        <v>7666</v>
      </c>
      <c r="D1151" s="4">
        <v>1041</v>
      </c>
      <c r="E1151" s="4">
        <v>2360</v>
      </c>
      <c r="F1151" s="16" t="s">
        <v>4178</v>
      </c>
      <c r="G1151" s="4" t="s">
        <v>4179</v>
      </c>
      <c r="H1151" s="4" t="s">
        <v>4180</v>
      </c>
      <c r="I1151" s="4" t="s">
        <v>641</v>
      </c>
      <c r="J1151" s="4" t="s">
        <v>1746</v>
      </c>
      <c r="K1151" s="4">
        <v>1</v>
      </c>
      <c r="L1151" s="4">
        <v>2763</v>
      </c>
      <c r="M1151" s="6"/>
      <c r="AK1151" s="7"/>
      <c r="AO1151" s="4" t="s">
        <v>4178</v>
      </c>
      <c r="AP1151" s="4">
        <v>1041</v>
      </c>
      <c r="AQ1151" s="4" t="s">
        <v>1716</v>
      </c>
      <c r="AR1151" s="4" t="s">
        <v>1717</v>
      </c>
      <c r="AS1151" s="4" t="s">
        <v>1718</v>
      </c>
      <c r="AT1151" s="4" t="s">
        <v>1835</v>
      </c>
      <c r="AU1151" s="4" t="s">
        <v>1836</v>
      </c>
      <c r="AV1151" s="4" t="s">
        <v>1720</v>
      </c>
      <c r="AW1151" s="4" t="s">
        <v>2368</v>
      </c>
      <c r="AX1151" s="4" t="s">
        <v>2505</v>
      </c>
      <c r="AY1151" s="4">
        <v>50.894599999999997</v>
      </c>
      <c r="AZ1151" s="4">
        <v>-122.7668</v>
      </c>
      <c r="BA1151" s="4">
        <v>657</v>
      </c>
    </row>
    <row r="1152" spans="1:53" ht="14.25" customHeight="1" x14ac:dyDescent="0.2">
      <c r="A1152" s="4" t="s">
        <v>422</v>
      </c>
      <c r="B1152" s="4">
        <v>12</v>
      </c>
      <c r="C1152" s="4" t="s">
        <v>7666</v>
      </c>
      <c r="D1152" s="4">
        <v>1043</v>
      </c>
      <c r="E1152" s="4">
        <v>2361</v>
      </c>
      <c r="F1152" s="16" t="s">
        <v>4181</v>
      </c>
      <c r="G1152" s="4" t="s">
        <v>4182</v>
      </c>
      <c r="H1152" s="4" t="s">
        <v>4183</v>
      </c>
      <c r="I1152" s="4" t="s">
        <v>641</v>
      </c>
      <c r="J1152" s="4" t="s">
        <v>1746</v>
      </c>
      <c r="K1152" s="4">
        <v>1</v>
      </c>
      <c r="L1152" s="4">
        <v>2764</v>
      </c>
      <c r="M1152" s="6"/>
      <c r="AK1152" s="7"/>
      <c r="AO1152" s="4" t="s">
        <v>4181</v>
      </c>
      <c r="AP1152" s="4">
        <v>1043</v>
      </c>
      <c r="AQ1152" s="4" t="s">
        <v>1716</v>
      </c>
      <c r="AR1152" s="4" t="s">
        <v>1717</v>
      </c>
      <c r="AS1152" s="4" t="s">
        <v>1740</v>
      </c>
      <c r="AT1152" s="4" t="s">
        <v>1835</v>
      </c>
      <c r="AU1152" s="4" t="s">
        <v>1742</v>
      </c>
      <c r="AV1152" s="4" t="s">
        <v>1720</v>
      </c>
      <c r="AX1152" s="4" t="s">
        <v>2009</v>
      </c>
      <c r="AY1152" s="4">
        <v>59.65</v>
      </c>
      <c r="AZ1152" s="4">
        <v>-126.91670000000001</v>
      </c>
      <c r="BA1152" s="4">
        <v>500</v>
      </c>
    </row>
    <row r="1153" spans="1:53" ht="14.25" customHeight="1" x14ac:dyDescent="0.2">
      <c r="A1153" s="4" t="s">
        <v>88</v>
      </c>
      <c r="B1153" s="4">
        <v>12</v>
      </c>
      <c r="C1153" s="4" t="s">
        <v>7666</v>
      </c>
      <c r="D1153" s="4">
        <v>1045</v>
      </c>
      <c r="E1153" s="4">
        <v>2362</v>
      </c>
      <c r="F1153" s="4" t="s">
        <v>4184</v>
      </c>
      <c r="G1153" s="68" t="s">
        <v>4185</v>
      </c>
      <c r="H1153" s="4" t="s">
        <v>4186</v>
      </c>
      <c r="I1153" s="4" t="s">
        <v>641</v>
      </c>
      <c r="J1153" s="4" t="s">
        <v>1891</v>
      </c>
      <c r="K1153" s="4">
        <v>1</v>
      </c>
      <c r="L1153" s="4">
        <v>2765</v>
      </c>
      <c r="M1153" s="6">
        <v>56.558329999999998</v>
      </c>
      <c r="N1153" s="4">
        <v>-120.38194</v>
      </c>
      <c r="O1153" s="4" t="s">
        <v>153</v>
      </c>
      <c r="P1153" s="4">
        <v>1045</v>
      </c>
      <c r="Q1153" s="4">
        <v>2</v>
      </c>
      <c r="R1153" s="4" t="s">
        <v>4184</v>
      </c>
      <c r="S1153" s="4" t="s">
        <v>1737</v>
      </c>
      <c r="T1153" s="4">
        <v>700</v>
      </c>
      <c r="W1153" s="4">
        <v>39993</v>
      </c>
      <c r="X1153" s="4" t="s">
        <v>1738</v>
      </c>
      <c r="AK1153" s="7"/>
      <c r="AO1153" s="4" t="s">
        <v>4184</v>
      </c>
      <c r="AP1153" s="4">
        <v>1045</v>
      </c>
      <c r="AQ1153" s="4" t="s">
        <v>1716</v>
      </c>
      <c r="AR1153" s="4" t="s">
        <v>1739</v>
      </c>
      <c r="AS1153" s="4" t="s">
        <v>1740</v>
      </c>
      <c r="AT1153" s="4" t="s">
        <v>1741</v>
      </c>
      <c r="AU1153" s="4" t="s">
        <v>1742</v>
      </c>
      <c r="AV1153" s="4" t="s">
        <v>1720</v>
      </c>
      <c r="AW1153" s="4" t="s">
        <v>2003</v>
      </c>
      <c r="AX1153" s="4" t="s">
        <v>2004</v>
      </c>
      <c r="AY1153" s="4">
        <v>56.555300000000003</v>
      </c>
      <c r="AZ1153" s="4">
        <v>-120.3952</v>
      </c>
      <c r="BA1153" s="4">
        <v>700</v>
      </c>
    </row>
    <row r="1154" spans="1:53" ht="14.25" customHeight="1" x14ac:dyDescent="0.2">
      <c r="A1154" s="4" t="s">
        <v>422</v>
      </c>
      <c r="B1154" s="4">
        <v>12</v>
      </c>
      <c r="C1154" s="4" t="s">
        <v>7666</v>
      </c>
      <c r="D1154" s="4">
        <v>1046</v>
      </c>
      <c r="E1154" s="4">
        <v>2363</v>
      </c>
      <c r="F1154" s="16" t="s">
        <v>4187</v>
      </c>
      <c r="G1154" s="4" t="s">
        <v>4188</v>
      </c>
      <c r="H1154" s="4" t="s">
        <v>4189</v>
      </c>
      <c r="I1154" s="4" t="s">
        <v>641</v>
      </c>
      <c r="J1154" s="4" t="s">
        <v>1746</v>
      </c>
      <c r="K1154" s="4">
        <v>1</v>
      </c>
      <c r="L1154" s="4">
        <v>2766</v>
      </c>
      <c r="M1154" s="6"/>
      <c r="AK1154" s="7"/>
      <c r="AO1154" s="4" t="s">
        <v>4187</v>
      </c>
      <c r="AP1154" s="4">
        <v>1046</v>
      </c>
      <c r="AQ1154" s="4" t="s">
        <v>1716</v>
      </c>
      <c r="AR1154" s="4" t="s">
        <v>1717</v>
      </c>
      <c r="AS1154" s="4" t="s">
        <v>1718</v>
      </c>
      <c r="AT1154" s="4" t="s">
        <v>1835</v>
      </c>
      <c r="AU1154" s="4" t="s">
        <v>1836</v>
      </c>
      <c r="AV1154" s="4" t="s">
        <v>1720</v>
      </c>
      <c r="AW1154" s="4" t="s">
        <v>2003</v>
      </c>
      <c r="AX1154" s="4" t="s">
        <v>2516</v>
      </c>
      <c r="AY1154" s="4">
        <v>50.197899999999997</v>
      </c>
      <c r="AZ1154" s="4">
        <v>-119.7957</v>
      </c>
      <c r="BA1154" s="4">
        <v>1814</v>
      </c>
    </row>
    <row r="1155" spans="1:53" ht="14.25" customHeight="1" x14ac:dyDescent="0.2">
      <c r="A1155" s="4" t="s">
        <v>422</v>
      </c>
      <c r="B1155" s="4">
        <v>12</v>
      </c>
      <c r="C1155" s="4" t="s">
        <v>7666</v>
      </c>
      <c r="D1155" s="4">
        <v>1048</v>
      </c>
      <c r="E1155" s="4">
        <v>2364</v>
      </c>
      <c r="F1155" s="16" t="s">
        <v>4190</v>
      </c>
      <c r="G1155" s="4" t="s">
        <v>4191</v>
      </c>
      <c r="H1155" s="4" t="s">
        <v>4192</v>
      </c>
      <c r="I1155" s="4" t="s">
        <v>641</v>
      </c>
      <c r="J1155" s="4" t="s">
        <v>1746</v>
      </c>
      <c r="K1155" s="4">
        <v>1</v>
      </c>
      <c r="L1155" s="4">
        <v>2767</v>
      </c>
      <c r="M1155" s="6"/>
      <c r="AK1155" s="7"/>
      <c r="AO1155" s="4" t="s">
        <v>4190</v>
      </c>
      <c r="AP1155" s="4">
        <v>1048</v>
      </c>
      <c r="AQ1155" s="4" t="s">
        <v>1716</v>
      </c>
      <c r="AR1155" s="4" t="s">
        <v>1717</v>
      </c>
      <c r="AS1155" s="4" t="s">
        <v>1718</v>
      </c>
      <c r="AT1155" s="4" t="s">
        <v>1835</v>
      </c>
      <c r="AU1155" s="4" t="s">
        <v>1836</v>
      </c>
      <c r="AV1155" s="4" t="s">
        <v>1720</v>
      </c>
      <c r="AW1155" s="4" t="s">
        <v>2368</v>
      </c>
      <c r="AX1155" s="4" t="s">
        <v>2505</v>
      </c>
      <c r="AY1155" s="4">
        <v>50.685600000000001</v>
      </c>
      <c r="AZ1155" s="4">
        <v>-122.1742</v>
      </c>
      <c r="BA1155" s="4">
        <v>1523</v>
      </c>
    </row>
    <row r="1156" spans="1:53" ht="14.25" customHeight="1" x14ac:dyDescent="0.2">
      <c r="A1156" s="4" t="s">
        <v>422</v>
      </c>
      <c r="B1156" s="4">
        <v>12</v>
      </c>
      <c r="C1156" s="4" t="s">
        <v>7666</v>
      </c>
      <c r="D1156" s="4">
        <v>1049</v>
      </c>
      <c r="E1156" s="4">
        <v>2365</v>
      </c>
      <c r="F1156" s="16" t="s">
        <v>4193</v>
      </c>
      <c r="G1156" s="4" t="s">
        <v>4194</v>
      </c>
      <c r="H1156" s="4" t="s">
        <v>4195</v>
      </c>
      <c r="I1156" s="4" t="s">
        <v>641</v>
      </c>
      <c r="J1156" s="4" t="s">
        <v>1746</v>
      </c>
      <c r="K1156" s="4">
        <v>1</v>
      </c>
      <c r="L1156" s="4">
        <v>2768</v>
      </c>
      <c r="M1156" s="6"/>
      <c r="AK1156" s="7"/>
      <c r="AO1156" s="65" t="s">
        <v>4193</v>
      </c>
      <c r="AP1156" s="4">
        <v>1049</v>
      </c>
      <c r="AQ1156" s="4" t="s">
        <v>1716</v>
      </c>
      <c r="AR1156" s="4" t="s">
        <v>1717</v>
      </c>
      <c r="AS1156" s="4" t="s">
        <v>1718</v>
      </c>
      <c r="AT1156" s="4" t="s">
        <v>1835</v>
      </c>
      <c r="AU1156" s="4" t="s">
        <v>1836</v>
      </c>
      <c r="AV1156" s="4" t="s">
        <v>1720</v>
      </c>
      <c r="AW1156" s="4" t="s">
        <v>2368</v>
      </c>
      <c r="AX1156" s="4" t="s">
        <v>2505</v>
      </c>
      <c r="AY1156" s="4">
        <v>50.963099999999997</v>
      </c>
      <c r="AZ1156" s="4">
        <v>-122.30070000000001</v>
      </c>
      <c r="BA1156" s="4">
        <v>938</v>
      </c>
    </row>
    <row r="1157" spans="1:53" ht="14.25" customHeight="1" x14ac:dyDescent="0.2">
      <c r="A1157" s="4" t="s">
        <v>422</v>
      </c>
      <c r="B1157" s="4">
        <v>12</v>
      </c>
      <c r="C1157" s="4" t="s">
        <v>7666</v>
      </c>
      <c r="D1157" s="4">
        <v>1050</v>
      </c>
      <c r="E1157" s="4">
        <v>2366</v>
      </c>
      <c r="F1157" s="16" t="s">
        <v>4196</v>
      </c>
      <c r="G1157" s="4" t="s">
        <v>4197</v>
      </c>
      <c r="H1157" s="4" t="s">
        <v>4198</v>
      </c>
      <c r="I1157" s="4" t="s">
        <v>641</v>
      </c>
      <c r="J1157" s="4" t="s">
        <v>1746</v>
      </c>
      <c r="K1157" s="4">
        <v>1</v>
      </c>
      <c r="L1157" s="4">
        <v>2769</v>
      </c>
      <c r="M1157" s="6"/>
      <c r="AK1157" s="7"/>
      <c r="AO1157" s="4" t="s">
        <v>4196</v>
      </c>
      <c r="AP1157" s="4">
        <v>1050</v>
      </c>
      <c r="AQ1157" s="4" t="s">
        <v>1716</v>
      </c>
      <c r="AR1157" s="4" t="s">
        <v>1717</v>
      </c>
      <c r="AS1157" s="4" t="s">
        <v>1718</v>
      </c>
      <c r="AT1157" s="4" t="s">
        <v>1835</v>
      </c>
      <c r="AU1157" s="4" t="s">
        <v>1836</v>
      </c>
      <c r="AV1157" s="4" t="s">
        <v>1720</v>
      </c>
      <c r="AW1157" s="4" t="s">
        <v>2368</v>
      </c>
      <c r="AX1157" s="4" t="s">
        <v>2401</v>
      </c>
      <c r="AY1157" s="4">
        <v>51.295499999999997</v>
      </c>
      <c r="AZ1157" s="4">
        <v>-119.32259999999999</v>
      </c>
      <c r="BA1157" s="4">
        <v>1409</v>
      </c>
    </row>
    <row r="1158" spans="1:53" ht="14.25" customHeight="1" x14ac:dyDescent="0.2">
      <c r="A1158" s="4" t="s">
        <v>422</v>
      </c>
      <c r="B1158" s="4">
        <v>12</v>
      </c>
      <c r="C1158" s="4" t="s">
        <v>7666</v>
      </c>
      <c r="D1158" s="4">
        <v>1051</v>
      </c>
      <c r="E1158" s="4">
        <v>2367</v>
      </c>
      <c r="F1158" s="16" t="s">
        <v>4199</v>
      </c>
      <c r="G1158" s="4" t="s">
        <v>4200</v>
      </c>
      <c r="H1158" s="4" t="s">
        <v>4201</v>
      </c>
      <c r="I1158" s="4" t="s">
        <v>641</v>
      </c>
      <c r="J1158" s="4" t="s">
        <v>1746</v>
      </c>
      <c r="K1158" s="4">
        <v>1</v>
      </c>
      <c r="L1158" s="4">
        <v>2770</v>
      </c>
      <c r="M1158" s="6"/>
      <c r="AK1158" s="7"/>
      <c r="AO1158" s="65" t="s">
        <v>4199</v>
      </c>
      <c r="AP1158" s="4">
        <v>1051</v>
      </c>
      <c r="AQ1158" s="4" t="s">
        <v>1716</v>
      </c>
      <c r="AR1158" s="4" t="s">
        <v>1717</v>
      </c>
      <c r="AS1158" s="4" t="s">
        <v>1718</v>
      </c>
      <c r="AT1158" s="4" t="s">
        <v>1835</v>
      </c>
      <c r="AU1158" s="4" t="s">
        <v>1836</v>
      </c>
      <c r="AV1158" s="4" t="s">
        <v>1720</v>
      </c>
      <c r="AW1158" s="4" t="s">
        <v>2368</v>
      </c>
      <c r="AX1158" s="4" t="s">
        <v>2707</v>
      </c>
      <c r="AY1158" s="4">
        <v>50.745899999999999</v>
      </c>
      <c r="AZ1158" s="4">
        <v>-119.4524</v>
      </c>
      <c r="BA1158" s="4">
        <v>1407</v>
      </c>
    </row>
    <row r="1159" spans="1:53" ht="14.25" customHeight="1" x14ac:dyDescent="0.2">
      <c r="A1159" s="4" t="s">
        <v>422</v>
      </c>
      <c r="B1159" s="4">
        <v>12</v>
      </c>
      <c r="C1159" s="4" t="s">
        <v>7666</v>
      </c>
      <c r="D1159" s="4">
        <v>1053</v>
      </c>
      <c r="E1159" s="4">
        <v>2368</v>
      </c>
      <c r="F1159" s="16" t="s">
        <v>4202</v>
      </c>
      <c r="G1159" s="4" t="s">
        <v>4203</v>
      </c>
      <c r="H1159" s="4" t="s">
        <v>4204</v>
      </c>
      <c r="I1159" s="4" t="s">
        <v>641</v>
      </c>
      <c r="J1159" s="4" t="s">
        <v>1746</v>
      </c>
      <c r="K1159" s="4">
        <v>1</v>
      </c>
      <c r="L1159" s="4">
        <v>2771</v>
      </c>
      <c r="M1159" s="6"/>
      <c r="AK1159" s="7"/>
      <c r="AO1159" s="65" t="s">
        <v>4202</v>
      </c>
      <c r="AP1159" s="4">
        <v>1053</v>
      </c>
      <c r="AQ1159" s="4" t="s">
        <v>1716</v>
      </c>
      <c r="AR1159" s="4" t="s">
        <v>1717</v>
      </c>
      <c r="AS1159" s="4" t="s">
        <v>1718</v>
      </c>
      <c r="AT1159" s="4" t="s">
        <v>1835</v>
      </c>
      <c r="AU1159" s="4" t="s">
        <v>1836</v>
      </c>
      <c r="AV1159" s="4" t="s">
        <v>1720</v>
      </c>
      <c r="AW1159" s="4" t="s">
        <v>2193</v>
      </c>
      <c r="AX1159" s="4" t="s">
        <v>2283</v>
      </c>
      <c r="AY1159" s="4">
        <v>52.073399999999999</v>
      </c>
      <c r="AZ1159" s="4">
        <v>-123.89100000000001</v>
      </c>
      <c r="BA1159" s="4">
        <v>1055</v>
      </c>
    </row>
    <row r="1160" spans="1:53" ht="14.25" customHeight="1" x14ac:dyDescent="0.2">
      <c r="A1160" s="4" t="s">
        <v>88</v>
      </c>
      <c r="B1160" s="4">
        <v>12</v>
      </c>
      <c r="C1160" s="4" t="s">
        <v>7666</v>
      </c>
      <c r="D1160" s="4">
        <v>1055</v>
      </c>
      <c r="E1160" s="4">
        <v>2369</v>
      </c>
      <c r="F1160" s="4" t="s">
        <v>4205</v>
      </c>
      <c r="G1160" s="8" t="s">
        <v>4206</v>
      </c>
      <c r="H1160" s="4" t="s">
        <v>4207</v>
      </c>
      <c r="I1160" s="4" t="s">
        <v>641</v>
      </c>
      <c r="J1160" s="4" t="s">
        <v>1829</v>
      </c>
      <c r="K1160" s="4">
        <v>1</v>
      </c>
      <c r="L1160" s="4">
        <v>2772</v>
      </c>
      <c r="M1160" s="6">
        <v>50.351300000000002</v>
      </c>
      <c r="N1160" s="4">
        <v>-121.65495</v>
      </c>
      <c r="O1160" s="4" t="s">
        <v>142</v>
      </c>
      <c r="P1160" s="4">
        <v>1055</v>
      </c>
      <c r="Q1160" s="4">
        <v>1</v>
      </c>
      <c r="R1160" s="4" t="s">
        <v>4205</v>
      </c>
      <c r="S1160" s="4" t="s">
        <v>1737</v>
      </c>
      <c r="T1160" s="4">
        <v>424</v>
      </c>
      <c r="W1160" s="4">
        <v>40107</v>
      </c>
      <c r="X1160" s="4" t="s">
        <v>1738</v>
      </c>
      <c r="AK1160" s="7"/>
      <c r="AO1160" s="4" t="s">
        <v>4205</v>
      </c>
      <c r="AP1160" s="4">
        <v>1055</v>
      </c>
      <c r="AQ1160" s="4" t="s">
        <v>1716</v>
      </c>
      <c r="AR1160" s="4" t="s">
        <v>1739</v>
      </c>
      <c r="AS1160" s="4" t="s">
        <v>1740</v>
      </c>
      <c r="AT1160" s="4" t="s">
        <v>1741</v>
      </c>
      <c r="AU1160" s="4" t="s">
        <v>1742</v>
      </c>
      <c r="AV1160" s="4" t="s">
        <v>1720</v>
      </c>
      <c r="AW1160" s="4" t="s">
        <v>2368</v>
      </c>
      <c r="AX1160" s="4" t="s">
        <v>2505</v>
      </c>
      <c r="AY1160" s="4">
        <v>50.351100000000002</v>
      </c>
      <c r="AZ1160" s="4">
        <v>-121.6549</v>
      </c>
      <c r="BA1160" s="4">
        <v>424</v>
      </c>
    </row>
    <row r="1161" spans="1:53" ht="14.25" customHeight="1" x14ac:dyDescent="0.2">
      <c r="A1161" s="4" t="s">
        <v>88</v>
      </c>
      <c r="B1161" s="4">
        <v>12</v>
      </c>
      <c r="C1161" s="4" t="s">
        <v>7666</v>
      </c>
      <c r="D1161" s="4">
        <v>1056</v>
      </c>
      <c r="E1161" s="4">
        <v>3300</v>
      </c>
      <c r="F1161" s="4" t="s">
        <v>4208</v>
      </c>
      <c r="G1161" s="8" t="s">
        <v>4209</v>
      </c>
      <c r="H1161" s="4" t="s">
        <v>4210</v>
      </c>
      <c r="I1161" s="4" t="s">
        <v>49</v>
      </c>
      <c r="J1161" s="4" t="s">
        <v>1829</v>
      </c>
      <c r="K1161" s="4">
        <v>1</v>
      </c>
      <c r="L1161" s="4">
        <v>4139</v>
      </c>
      <c r="M1161" s="6">
        <v>50.270919999999997</v>
      </c>
      <c r="N1161" s="4">
        <v>-125.1309</v>
      </c>
      <c r="O1161" s="4" t="s">
        <v>51</v>
      </c>
      <c r="P1161" s="4">
        <v>1056</v>
      </c>
      <c r="Q1161" s="4">
        <v>2</v>
      </c>
      <c r="R1161" s="4" t="s">
        <v>4208</v>
      </c>
      <c r="S1161" s="4" t="s">
        <v>4045</v>
      </c>
      <c r="T1161" s="4">
        <v>132</v>
      </c>
      <c r="W1161" s="4">
        <v>40247</v>
      </c>
      <c r="X1161" s="4" t="s">
        <v>1738</v>
      </c>
      <c r="AK1161" s="7"/>
      <c r="AO1161" s="4" t="s">
        <v>4208</v>
      </c>
      <c r="AP1161" s="4">
        <v>1056</v>
      </c>
      <c r="AQ1161" s="4" t="s">
        <v>1716</v>
      </c>
      <c r="AR1161" s="4" t="s">
        <v>1739</v>
      </c>
      <c r="AS1161" s="4" t="s">
        <v>1740</v>
      </c>
      <c r="AT1161" s="4" t="s">
        <v>1741</v>
      </c>
      <c r="AU1161" s="4" t="s">
        <v>1742</v>
      </c>
      <c r="AV1161" s="4" t="s">
        <v>1720</v>
      </c>
      <c r="AW1161" s="4" t="s">
        <v>1705</v>
      </c>
      <c r="AX1161" s="4" t="s">
        <v>1837</v>
      </c>
      <c r="AY1161" s="4">
        <v>50.270899999999997</v>
      </c>
      <c r="AZ1161" s="4">
        <v>-125.1309</v>
      </c>
      <c r="BA1161" s="4">
        <v>140</v>
      </c>
    </row>
    <row r="1162" spans="1:53" ht="14.25" customHeight="1" x14ac:dyDescent="0.2">
      <c r="A1162" s="4" t="s">
        <v>88</v>
      </c>
      <c r="B1162" s="4">
        <v>12</v>
      </c>
      <c r="C1162" s="4" t="s">
        <v>7666</v>
      </c>
      <c r="D1162" s="4">
        <v>1066</v>
      </c>
      <c r="E1162" s="4">
        <v>3301</v>
      </c>
      <c r="F1162" s="4" t="s">
        <v>4211</v>
      </c>
      <c r="G1162" s="8" t="s">
        <v>4212</v>
      </c>
      <c r="H1162" s="4" t="s">
        <v>4213</v>
      </c>
      <c r="I1162" s="4" t="s">
        <v>49</v>
      </c>
      <c r="J1162" s="4" t="s">
        <v>1829</v>
      </c>
      <c r="K1162" s="4">
        <v>1</v>
      </c>
      <c r="L1162" s="4">
        <v>4140</v>
      </c>
      <c r="M1162" s="6">
        <v>49.585500000000003</v>
      </c>
      <c r="N1162" s="4">
        <v>-123.38722</v>
      </c>
      <c r="O1162" s="4" t="s">
        <v>51</v>
      </c>
      <c r="P1162" s="4">
        <v>1066</v>
      </c>
      <c r="Q1162" s="4">
        <v>2</v>
      </c>
      <c r="R1162" s="4" t="s">
        <v>4211</v>
      </c>
      <c r="S1162" s="4" t="s">
        <v>4045</v>
      </c>
      <c r="T1162" s="4">
        <v>154</v>
      </c>
      <c r="W1162" s="4">
        <v>40284</v>
      </c>
      <c r="X1162" s="4" t="s">
        <v>1738</v>
      </c>
      <c r="AK1162" s="7"/>
      <c r="AO1162" s="4" t="s">
        <v>4211</v>
      </c>
      <c r="AP1162" s="4">
        <v>1066</v>
      </c>
      <c r="AQ1162" s="4" t="s">
        <v>1716</v>
      </c>
      <c r="AR1162" s="4" t="s">
        <v>1739</v>
      </c>
      <c r="AS1162" s="4" t="s">
        <v>1740</v>
      </c>
      <c r="AT1162" s="4" t="s">
        <v>1741</v>
      </c>
      <c r="AU1162" s="4" t="s">
        <v>1742</v>
      </c>
      <c r="AV1162" s="4" t="s">
        <v>1720</v>
      </c>
      <c r="AW1162" s="4" t="s">
        <v>1705</v>
      </c>
      <c r="AX1162" s="4" t="s">
        <v>1837</v>
      </c>
      <c r="AY1162" s="4">
        <v>49.585500000000003</v>
      </c>
      <c r="AZ1162" s="4">
        <v>-123.3873</v>
      </c>
      <c r="BA1162" s="4">
        <v>140</v>
      </c>
    </row>
    <row r="1163" spans="1:53" ht="14.25" customHeight="1" x14ac:dyDescent="0.2">
      <c r="A1163" s="4" t="s">
        <v>88</v>
      </c>
      <c r="B1163" s="4">
        <v>12</v>
      </c>
      <c r="C1163" s="4" t="s">
        <v>7666</v>
      </c>
      <c r="D1163" s="4">
        <v>1075</v>
      </c>
      <c r="E1163" s="4">
        <v>10983</v>
      </c>
      <c r="F1163" s="4" t="s">
        <v>4214</v>
      </c>
      <c r="G1163" s="8" t="s">
        <v>4215</v>
      </c>
      <c r="H1163" s="4" t="s">
        <v>4216</v>
      </c>
      <c r="I1163" s="4" t="s">
        <v>49</v>
      </c>
      <c r="J1163" s="4" t="s">
        <v>1891</v>
      </c>
      <c r="K1163" s="4">
        <v>1</v>
      </c>
      <c r="L1163" s="4">
        <v>13141</v>
      </c>
      <c r="M1163" s="6">
        <v>49.046939999999999</v>
      </c>
      <c r="N1163" s="4">
        <v>-115.22528</v>
      </c>
      <c r="O1163" s="4" t="s">
        <v>170</v>
      </c>
      <c r="P1163" s="4">
        <v>1075</v>
      </c>
      <c r="Q1163" s="4">
        <v>1</v>
      </c>
      <c r="R1163" s="4" t="s">
        <v>4214</v>
      </c>
      <c r="S1163" s="4" t="s">
        <v>1737</v>
      </c>
      <c r="T1163" s="4">
        <v>804</v>
      </c>
      <c r="W1163" s="4">
        <v>40339</v>
      </c>
      <c r="X1163" s="4" t="s">
        <v>1738</v>
      </c>
      <c r="AK1163" s="7"/>
      <c r="AO1163" s="4" t="s">
        <v>4214</v>
      </c>
      <c r="AP1163" s="4">
        <v>1075</v>
      </c>
      <c r="AQ1163" s="4" t="s">
        <v>1700</v>
      </c>
      <c r="AR1163" s="4" t="s">
        <v>1739</v>
      </c>
      <c r="AS1163" s="4" t="s">
        <v>1740</v>
      </c>
      <c r="AT1163" s="4" t="s">
        <v>1741</v>
      </c>
      <c r="AU1163" s="4" t="s">
        <v>1959</v>
      </c>
      <c r="AV1163" s="4" t="s">
        <v>1720</v>
      </c>
      <c r="AW1163" s="4" t="s">
        <v>2698</v>
      </c>
      <c r="AX1163" s="4" t="s">
        <v>2902</v>
      </c>
      <c r="AY1163" s="4">
        <v>49.046900000000001</v>
      </c>
      <c r="AZ1163" s="4">
        <v>-115.2253</v>
      </c>
      <c r="BA1163" s="4">
        <v>804</v>
      </c>
    </row>
    <row r="1164" spans="1:53" ht="14.25" customHeight="1" x14ac:dyDescent="0.2">
      <c r="A1164" s="4" t="s">
        <v>88</v>
      </c>
      <c r="B1164" s="4">
        <v>12</v>
      </c>
      <c r="C1164" s="4" t="s">
        <v>7666</v>
      </c>
      <c r="D1164" s="4">
        <v>1082</v>
      </c>
      <c r="E1164" s="4">
        <v>10978</v>
      </c>
      <c r="F1164" s="4" t="s">
        <v>4217</v>
      </c>
      <c r="G1164" s="8" t="s">
        <v>4218</v>
      </c>
      <c r="H1164" s="4" t="s">
        <v>4219</v>
      </c>
      <c r="I1164" s="4" t="s">
        <v>49</v>
      </c>
      <c r="J1164" s="4" t="s">
        <v>1829</v>
      </c>
      <c r="K1164" s="4">
        <v>1</v>
      </c>
      <c r="L1164" s="4">
        <v>13142</v>
      </c>
      <c r="M1164" s="6">
        <v>51.211109999999998</v>
      </c>
      <c r="N1164" s="4">
        <v>-120.41197</v>
      </c>
      <c r="O1164" s="4" t="s">
        <v>142</v>
      </c>
      <c r="P1164" s="4">
        <v>1082</v>
      </c>
      <c r="Q1164" s="4">
        <v>5</v>
      </c>
      <c r="R1164" s="4" t="s">
        <v>4217</v>
      </c>
      <c r="S1164" s="4" t="s">
        <v>1737</v>
      </c>
      <c r="T1164" s="4">
        <v>1315</v>
      </c>
      <c r="W1164" s="4">
        <v>40367</v>
      </c>
      <c r="X1164" s="4" t="s">
        <v>1738</v>
      </c>
      <c r="AK1164" s="7"/>
      <c r="AO1164" s="4" t="s">
        <v>4217</v>
      </c>
      <c r="AP1164" s="4">
        <v>1082</v>
      </c>
      <c r="AQ1164" s="4" t="s">
        <v>1700</v>
      </c>
      <c r="AR1164" s="4" t="s">
        <v>1739</v>
      </c>
      <c r="AS1164" s="4" t="s">
        <v>1740</v>
      </c>
      <c r="AT1164" s="4" t="s">
        <v>1835</v>
      </c>
      <c r="AU1164" s="4" t="s">
        <v>1959</v>
      </c>
      <c r="AV1164" s="4" t="s">
        <v>1720</v>
      </c>
      <c r="AW1164" s="4" t="s">
        <v>2368</v>
      </c>
      <c r="AX1164" s="4" t="s">
        <v>2369</v>
      </c>
      <c r="AY1164" s="4">
        <v>51.211199999999998</v>
      </c>
      <c r="AZ1164" s="4">
        <v>-120.41200000000001</v>
      </c>
      <c r="BA1164" s="4">
        <v>1311</v>
      </c>
    </row>
    <row r="1165" spans="1:53" ht="14.25" customHeight="1" x14ac:dyDescent="0.2">
      <c r="A1165" s="4" t="s">
        <v>88</v>
      </c>
      <c r="B1165" s="4">
        <v>12</v>
      </c>
      <c r="C1165" s="4" t="s">
        <v>7666</v>
      </c>
      <c r="D1165" s="4">
        <v>1083</v>
      </c>
      <c r="E1165" s="4">
        <v>3302</v>
      </c>
      <c r="F1165" s="4" t="s">
        <v>4220</v>
      </c>
      <c r="G1165" s="8" t="s">
        <v>4221</v>
      </c>
      <c r="H1165" s="4" t="s">
        <v>4222</v>
      </c>
      <c r="I1165" s="4" t="s">
        <v>49</v>
      </c>
      <c r="J1165" s="4" t="s">
        <v>1891</v>
      </c>
      <c r="K1165" s="4">
        <v>1</v>
      </c>
      <c r="L1165" s="4">
        <v>4141</v>
      </c>
      <c r="M1165" s="6">
        <v>50.619720000000001</v>
      </c>
      <c r="N1165" s="4">
        <v>-123.41</v>
      </c>
      <c r="O1165" s="4" t="s">
        <v>51</v>
      </c>
      <c r="P1165" s="4">
        <v>1083</v>
      </c>
      <c r="Q1165" s="4">
        <v>4</v>
      </c>
      <c r="R1165" s="4" t="s">
        <v>4220</v>
      </c>
      <c r="S1165" s="4" t="s">
        <v>1737</v>
      </c>
      <c r="T1165" s="4">
        <v>545</v>
      </c>
      <c r="U1165" s="4" t="s">
        <v>645</v>
      </c>
      <c r="W1165" s="4">
        <v>40373</v>
      </c>
      <c r="X1165" s="4" t="s">
        <v>1738</v>
      </c>
      <c r="AK1165" s="7"/>
      <c r="AO1165" s="4" t="s">
        <v>4220</v>
      </c>
      <c r="AP1165" s="4">
        <v>1083</v>
      </c>
      <c r="AQ1165" s="4" t="s">
        <v>1716</v>
      </c>
      <c r="AR1165" s="4" t="s">
        <v>1739</v>
      </c>
      <c r="AS1165" s="4" t="s">
        <v>1740</v>
      </c>
      <c r="AT1165" s="4" t="s">
        <v>1741</v>
      </c>
      <c r="AU1165" s="4" t="s">
        <v>1742</v>
      </c>
      <c r="AV1165" s="4" t="s">
        <v>1720</v>
      </c>
      <c r="AW1165" s="4" t="s">
        <v>1705</v>
      </c>
      <c r="AX1165" s="4" t="s">
        <v>1879</v>
      </c>
      <c r="AY1165" s="4">
        <v>50.62</v>
      </c>
      <c r="AZ1165" s="4">
        <v>-123.4101</v>
      </c>
      <c r="BA1165" s="4">
        <v>549</v>
      </c>
    </row>
    <row r="1166" spans="1:53" ht="14.25" customHeight="1" x14ac:dyDescent="0.2">
      <c r="B1166" s="4">
        <v>12</v>
      </c>
      <c r="C1166" s="4" t="s">
        <v>7666</v>
      </c>
      <c r="D1166" s="4">
        <v>1092</v>
      </c>
      <c r="E1166" s="4">
        <v>10979</v>
      </c>
      <c r="F1166" s="4" t="s">
        <v>4223</v>
      </c>
      <c r="G1166" s="4" t="s">
        <v>4224</v>
      </c>
      <c r="H1166" s="4" t="s">
        <v>4225</v>
      </c>
      <c r="I1166" s="4" t="s">
        <v>49</v>
      </c>
      <c r="J1166" s="4" t="s">
        <v>1829</v>
      </c>
      <c r="K1166" s="4">
        <v>1</v>
      </c>
      <c r="L1166" s="4">
        <v>13143</v>
      </c>
      <c r="M1166" s="6">
        <v>50.61262</v>
      </c>
      <c r="N1166" s="4">
        <v>-116.79331999999999</v>
      </c>
      <c r="O1166" s="4" t="s">
        <v>170</v>
      </c>
      <c r="P1166" s="4">
        <v>1092</v>
      </c>
      <c r="Q1166" s="4">
        <v>5</v>
      </c>
      <c r="R1166" s="4" t="s">
        <v>4223</v>
      </c>
      <c r="S1166" s="4" t="s">
        <v>1737</v>
      </c>
      <c r="T1166" s="4">
        <v>1580</v>
      </c>
      <c r="W1166" s="4">
        <v>40458</v>
      </c>
      <c r="X1166" s="4" t="s">
        <v>1738</v>
      </c>
      <c r="AK1166" s="7"/>
      <c r="AO1166" s="4" t="s">
        <v>4223</v>
      </c>
      <c r="AP1166" s="4">
        <v>1092</v>
      </c>
      <c r="AQ1166" s="4" t="s">
        <v>1716</v>
      </c>
      <c r="AR1166" s="4" t="s">
        <v>1739</v>
      </c>
      <c r="AS1166" s="4" t="s">
        <v>1740</v>
      </c>
      <c r="AT1166" s="4" t="s">
        <v>1741</v>
      </c>
      <c r="AU1166" s="4" t="s">
        <v>1742</v>
      </c>
      <c r="AV1166" s="4" t="s">
        <v>1720</v>
      </c>
      <c r="AW1166" s="4" t="s">
        <v>2698</v>
      </c>
      <c r="AX1166" s="4" t="s">
        <v>2801</v>
      </c>
      <c r="AY1166" s="4">
        <v>50.6126</v>
      </c>
      <c r="AZ1166" s="4">
        <v>-116.7933</v>
      </c>
      <c r="BA1166" s="4">
        <v>1580</v>
      </c>
    </row>
    <row r="1167" spans="1:53" ht="14.25" customHeight="1" x14ac:dyDescent="0.2">
      <c r="A1167" s="4" t="s">
        <v>88</v>
      </c>
      <c r="B1167" s="4">
        <v>12</v>
      </c>
      <c r="C1167" s="4" t="s">
        <v>7666</v>
      </c>
      <c r="D1167" s="4">
        <v>1093</v>
      </c>
      <c r="E1167" s="4">
        <v>10980</v>
      </c>
      <c r="F1167" s="4" t="s">
        <v>4226</v>
      </c>
      <c r="G1167" s="8" t="s">
        <v>4227</v>
      </c>
      <c r="H1167" s="4" t="s">
        <v>4228</v>
      </c>
      <c r="I1167" s="4" t="s">
        <v>49</v>
      </c>
      <c r="J1167" s="4" t="s">
        <v>1891</v>
      </c>
      <c r="K1167" s="4">
        <v>1</v>
      </c>
      <c r="L1167" s="4">
        <v>13144</v>
      </c>
      <c r="M1167" s="6">
        <v>50.027230000000003</v>
      </c>
      <c r="N1167" s="4">
        <v>-125.29401</v>
      </c>
      <c r="O1167" s="4" t="s">
        <v>183</v>
      </c>
      <c r="P1167" s="4">
        <v>1093</v>
      </c>
      <c r="Q1167" s="4">
        <v>3</v>
      </c>
      <c r="R1167" s="4" t="s">
        <v>4226</v>
      </c>
      <c r="S1167" s="4" t="s">
        <v>1737</v>
      </c>
      <c r="T1167" s="4">
        <v>100</v>
      </c>
      <c r="W1167" s="4">
        <v>40457</v>
      </c>
      <c r="X1167" s="4" t="s">
        <v>1738</v>
      </c>
      <c r="AK1167" s="7"/>
      <c r="AO1167" s="4" t="s">
        <v>4229</v>
      </c>
      <c r="AP1167" s="4">
        <v>1093</v>
      </c>
      <c r="AQ1167" s="4" t="s">
        <v>1700</v>
      </c>
      <c r="AR1167" s="4" t="s">
        <v>1739</v>
      </c>
      <c r="AS1167" s="4" t="s">
        <v>1740</v>
      </c>
      <c r="AT1167" s="4" t="s">
        <v>1741</v>
      </c>
      <c r="AU1167" s="4" t="s">
        <v>1772</v>
      </c>
      <c r="AV1167" s="4" t="s">
        <v>1720</v>
      </c>
      <c r="AW1167" s="4" t="s">
        <v>1705</v>
      </c>
      <c r="AX1167" s="4" t="s">
        <v>1723</v>
      </c>
      <c r="AY1167" s="4">
        <v>50.026699999999998</v>
      </c>
      <c r="AZ1167" s="4">
        <v>-125.2929</v>
      </c>
      <c r="BA1167" s="4">
        <v>68</v>
      </c>
    </row>
    <row r="1168" spans="1:53" ht="14.25" customHeight="1" x14ac:dyDescent="0.2">
      <c r="B1168" s="4">
        <v>12</v>
      </c>
      <c r="C1168" s="4" t="s">
        <v>7666</v>
      </c>
      <c r="D1168" s="4">
        <v>1099</v>
      </c>
      <c r="E1168" s="4">
        <v>11408</v>
      </c>
      <c r="F1168" s="4" t="s">
        <v>4230</v>
      </c>
      <c r="G1168" s="4" t="s">
        <v>4231</v>
      </c>
      <c r="H1168" s="4" t="s">
        <v>4232</v>
      </c>
      <c r="I1168" s="4" t="s">
        <v>49</v>
      </c>
      <c r="J1168" s="4" t="s">
        <v>1746</v>
      </c>
      <c r="K1168" s="4">
        <v>1</v>
      </c>
      <c r="L1168" s="4">
        <v>13469</v>
      </c>
      <c r="M1168" s="6"/>
      <c r="AK1168" s="7"/>
      <c r="AO1168" s="4" t="s">
        <v>4230</v>
      </c>
      <c r="AP1168" s="4">
        <v>1099</v>
      </c>
      <c r="AQ1168" s="4" t="s">
        <v>1716</v>
      </c>
      <c r="AR1168" s="4" t="s">
        <v>1717</v>
      </c>
      <c r="AS1168" s="4" t="s">
        <v>2257</v>
      </c>
      <c r="AT1168" s="4" t="s">
        <v>1835</v>
      </c>
      <c r="AU1168" s="4" t="s">
        <v>2443</v>
      </c>
      <c r="AW1168" s="4" t="s">
        <v>1705</v>
      </c>
      <c r="AX1168" s="4" t="s">
        <v>1747</v>
      </c>
      <c r="AY1168" s="4">
        <v>48.6447</v>
      </c>
      <c r="AZ1168" s="4">
        <v>-123.4365</v>
      </c>
      <c r="BA1168" s="4">
        <v>32</v>
      </c>
    </row>
    <row r="1169" spans="1:53" ht="14.25" customHeight="1" x14ac:dyDescent="0.2">
      <c r="A1169" s="4" t="s">
        <v>422</v>
      </c>
      <c r="B1169" s="4">
        <v>12</v>
      </c>
      <c r="C1169" s="4" t="s">
        <v>7666</v>
      </c>
      <c r="D1169" s="4">
        <v>1100</v>
      </c>
      <c r="E1169" s="4">
        <v>12019</v>
      </c>
      <c r="F1169" s="16" t="s">
        <v>4233</v>
      </c>
      <c r="G1169" s="4" t="s">
        <v>4234</v>
      </c>
      <c r="H1169" s="4" t="s">
        <v>4235</v>
      </c>
      <c r="I1169" s="4" t="s">
        <v>49</v>
      </c>
      <c r="J1169" s="4" t="s">
        <v>1746</v>
      </c>
      <c r="K1169" s="4">
        <v>1</v>
      </c>
      <c r="L1169" s="4">
        <v>14076</v>
      </c>
      <c r="M1169" s="6"/>
      <c r="AK1169" s="7"/>
      <c r="AO1169" s="4" t="s">
        <v>4233</v>
      </c>
      <c r="AP1169" s="4">
        <v>1100</v>
      </c>
      <c r="AQ1169" s="4" t="s">
        <v>1716</v>
      </c>
      <c r="AR1169" s="4" t="s">
        <v>1717</v>
      </c>
      <c r="AS1169" s="4" t="s">
        <v>1718</v>
      </c>
      <c r="AT1169" s="4" t="s">
        <v>1841</v>
      </c>
      <c r="AU1169" s="4" t="s">
        <v>1959</v>
      </c>
      <c r="AW1169" s="4" t="s">
        <v>2368</v>
      </c>
      <c r="AX1169" s="4" t="s">
        <v>2707</v>
      </c>
      <c r="AY1169" s="4">
        <v>50.569899999999997</v>
      </c>
      <c r="AZ1169" s="4">
        <v>-119.283</v>
      </c>
      <c r="BA1169" s="4">
        <v>1118</v>
      </c>
    </row>
    <row r="1170" spans="1:53" ht="14.25" customHeight="1" x14ac:dyDescent="0.2">
      <c r="A1170" s="4" t="s">
        <v>88</v>
      </c>
      <c r="B1170" s="4">
        <v>12</v>
      </c>
      <c r="C1170" s="4" t="s">
        <v>7666</v>
      </c>
      <c r="D1170" s="4">
        <v>1108</v>
      </c>
      <c r="E1170" s="4">
        <v>10986</v>
      </c>
      <c r="F1170" s="4" t="s">
        <v>4236</v>
      </c>
      <c r="G1170" s="68" t="s">
        <v>4237</v>
      </c>
      <c r="H1170" s="4" t="s">
        <v>4238</v>
      </c>
      <c r="I1170" s="4" t="s">
        <v>49</v>
      </c>
      <c r="J1170" s="4" t="s">
        <v>1891</v>
      </c>
      <c r="K1170" s="4">
        <v>1</v>
      </c>
      <c r="L1170" s="4">
        <v>13145</v>
      </c>
      <c r="M1170" s="6">
        <v>52.122250000000001</v>
      </c>
      <c r="N1170" s="4">
        <v>-119.29349999999999</v>
      </c>
      <c r="O1170" s="4" t="s">
        <v>170</v>
      </c>
      <c r="P1170" s="4">
        <v>1108</v>
      </c>
      <c r="Q1170" s="4">
        <v>1</v>
      </c>
      <c r="R1170" s="4" t="s">
        <v>4236</v>
      </c>
      <c r="S1170" s="4" t="s">
        <v>1737</v>
      </c>
      <c r="T1170" s="4">
        <v>695</v>
      </c>
      <c r="U1170" s="4" t="s">
        <v>645</v>
      </c>
      <c r="W1170" s="4">
        <v>33970</v>
      </c>
      <c r="X1170" s="4" t="s">
        <v>1738</v>
      </c>
      <c r="AK1170" s="7"/>
      <c r="AO1170" s="4" t="s">
        <v>4236</v>
      </c>
      <c r="AP1170" s="4">
        <v>1108</v>
      </c>
      <c r="AQ1170" s="4" t="s">
        <v>1700</v>
      </c>
      <c r="AR1170" s="4" t="s">
        <v>1739</v>
      </c>
      <c r="AS1170" s="4" t="s">
        <v>1740</v>
      </c>
      <c r="AT1170" s="4" t="s">
        <v>1741</v>
      </c>
      <c r="AU1170" s="4" t="s">
        <v>1959</v>
      </c>
      <c r="AV1170" s="4" t="s">
        <v>1720</v>
      </c>
      <c r="AW1170" s="4" t="s">
        <v>2003</v>
      </c>
      <c r="AX1170" s="4" t="s">
        <v>2258</v>
      </c>
      <c r="AY1170" s="4">
        <v>52.122300000000003</v>
      </c>
      <c r="AZ1170" s="4">
        <v>-119.2936</v>
      </c>
      <c r="BA1170" s="4">
        <v>684</v>
      </c>
    </row>
    <row r="1171" spans="1:53" ht="14.25" customHeight="1" x14ac:dyDescent="0.2">
      <c r="A1171" s="4" t="s">
        <v>422</v>
      </c>
      <c r="B1171" s="4">
        <v>12</v>
      </c>
      <c r="C1171" s="4" t="s">
        <v>7665</v>
      </c>
      <c r="D1171" s="4">
        <v>1109</v>
      </c>
      <c r="E1171" s="4">
        <v>12981</v>
      </c>
      <c r="G1171" s="4" t="s">
        <v>127</v>
      </c>
      <c r="H1171" s="4" t="s">
        <v>1697</v>
      </c>
      <c r="I1171" s="4" t="s">
        <v>49</v>
      </c>
      <c r="J1171" s="4" t="s">
        <v>1746</v>
      </c>
      <c r="K1171" s="4">
        <v>1</v>
      </c>
      <c r="L1171" s="4">
        <v>14913</v>
      </c>
      <c r="M1171" s="6"/>
      <c r="AK1171" s="7"/>
      <c r="AO1171" s="48" t="s">
        <v>4239</v>
      </c>
      <c r="AP1171" s="48">
        <v>1109</v>
      </c>
      <c r="AQ1171" s="48" t="s">
        <v>1716</v>
      </c>
      <c r="AR1171" s="48" t="s">
        <v>2441</v>
      </c>
      <c r="AS1171" s="48" t="s">
        <v>1702</v>
      </c>
      <c r="AT1171" s="48" t="s">
        <v>1703</v>
      </c>
      <c r="AU1171" s="48" t="s">
        <v>1704</v>
      </c>
      <c r="AV1171" s="48" t="s">
        <v>1702</v>
      </c>
      <c r="AW1171" s="48" t="s">
        <v>2193</v>
      </c>
      <c r="AX1171" s="48" t="s">
        <v>2283</v>
      </c>
      <c r="AY1171" s="48">
        <v>51.674599999999998</v>
      </c>
      <c r="AZ1171" s="48">
        <v>-124.40309999999999</v>
      </c>
      <c r="BA1171" s="48">
        <v>875</v>
      </c>
    </row>
    <row r="1172" spans="1:53" ht="14.25" customHeight="1" x14ac:dyDescent="0.2">
      <c r="A1172" s="4" t="s">
        <v>422</v>
      </c>
      <c r="B1172" s="4">
        <v>12</v>
      </c>
      <c r="C1172" s="4" t="s">
        <v>7665</v>
      </c>
      <c r="D1172" s="4">
        <v>1110</v>
      </c>
      <c r="E1172" s="4">
        <v>12982</v>
      </c>
      <c r="G1172" s="4" t="s">
        <v>127</v>
      </c>
      <c r="H1172" s="4" t="s">
        <v>1697</v>
      </c>
      <c r="I1172" s="4" t="s">
        <v>49</v>
      </c>
      <c r="J1172" s="4" t="s">
        <v>1746</v>
      </c>
      <c r="K1172" s="4">
        <v>1</v>
      </c>
      <c r="L1172" s="4">
        <v>14914</v>
      </c>
      <c r="M1172" s="6"/>
      <c r="AK1172" s="7"/>
      <c r="AO1172" s="48" t="s">
        <v>4240</v>
      </c>
      <c r="AP1172" s="48">
        <v>1110</v>
      </c>
      <c r="AQ1172" s="48" t="s">
        <v>1716</v>
      </c>
      <c r="AR1172" s="48" t="s">
        <v>2441</v>
      </c>
      <c r="AS1172" s="48" t="s">
        <v>1702</v>
      </c>
      <c r="AT1172" s="48" t="s">
        <v>1703</v>
      </c>
      <c r="AU1172" s="48" t="s">
        <v>1704</v>
      </c>
      <c r="AV1172" s="48" t="s">
        <v>1702</v>
      </c>
      <c r="AW1172" s="48" t="s">
        <v>2698</v>
      </c>
      <c r="AX1172" s="48" t="s">
        <v>2797</v>
      </c>
      <c r="AY1172" s="48">
        <v>49.111899999999999</v>
      </c>
      <c r="AZ1172" s="48">
        <v>-117.7389</v>
      </c>
      <c r="BA1172" s="48">
        <v>567</v>
      </c>
    </row>
    <row r="1173" spans="1:53" ht="14.25" customHeight="1" x14ac:dyDescent="0.2">
      <c r="A1173" s="4" t="s">
        <v>1908</v>
      </c>
      <c r="B1173" s="4">
        <v>12</v>
      </c>
      <c r="C1173" s="4" t="s">
        <v>7666</v>
      </c>
      <c r="D1173" s="4">
        <v>1132</v>
      </c>
      <c r="E1173" s="4">
        <v>10982</v>
      </c>
      <c r="F1173" s="4" t="s">
        <v>4241</v>
      </c>
      <c r="G1173" s="68" t="s">
        <v>4242</v>
      </c>
      <c r="H1173" s="4" t="s">
        <v>4243</v>
      </c>
      <c r="I1173" s="4" t="s">
        <v>49</v>
      </c>
      <c r="J1173" s="4" t="s">
        <v>1746</v>
      </c>
      <c r="K1173" s="4">
        <v>1</v>
      </c>
      <c r="L1173" s="4">
        <v>13146</v>
      </c>
      <c r="M1173" s="6"/>
      <c r="AK1173" s="7"/>
      <c r="AO1173" s="4" t="s">
        <v>4244</v>
      </c>
      <c r="AP1173" s="4">
        <v>1132</v>
      </c>
      <c r="AQ1173" s="4" t="s">
        <v>1716</v>
      </c>
      <c r="AR1173" s="4" t="s">
        <v>1717</v>
      </c>
      <c r="AS1173" s="4" t="s">
        <v>1740</v>
      </c>
      <c r="AT1173" s="4" t="s">
        <v>1835</v>
      </c>
      <c r="AU1173" s="4" t="s">
        <v>1742</v>
      </c>
      <c r="AV1173" s="4" t="s">
        <v>1720</v>
      </c>
      <c r="AW1173" s="4" t="s">
        <v>2368</v>
      </c>
      <c r="AX1173" s="4" t="s">
        <v>2522</v>
      </c>
      <c r="AY1173" s="4">
        <v>50.5</v>
      </c>
      <c r="AZ1173" s="4">
        <v>-119.7008</v>
      </c>
      <c r="BA1173" s="4">
        <v>1089</v>
      </c>
    </row>
    <row r="1174" spans="1:53" ht="14.25" customHeight="1" x14ac:dyDescent="0.2">
      <c r="B1174" s="4">
        <v>12</v>
      </c>
      <c r="C1174" s="4" t="s">
        <v>7666</v>
      </c>
      <c r="D1174" s="4">
        <v>1133</v>
      </c>
      <c r="E1174" s="4">
        <v>10981</v>
      </c>
      <c r="F1174" s="16" t="s">
        <v>4245</v>
      </c>
      <c r="G1174" s="4" t="s">
        <v>4246</v>
      </c>
      <c r="H1174" s="4" t="s">
        <v>4247</v>
      </c>
      <c r="I1174" s="4" t="s">
        <v>49</v>
      </c>
      <c r="J1174" s="4" t="s">
        <v>1746</v>
      </c>
      <c r="K1174" s="4">
        <v>1</v>
      </c>
      <c r="L1174" s="4">
        <v>13147</v>
      </c>
      <c r="M1174" s="6"/>
      <c r="AK1174" s="7"/>
      <c r="AO1174" s="4" t="s">
        <v>4245</v>
      </c>
      <c r="AP1174" s="4">
        <v>1133</v>
      </c>
      <c r="AQ1174" s="4" t="s">
        <v>1716</v>
      </c>
      <c r="AR1174" s="4" t="s">
        <v>1717</v>
      </c>
      <c r="AS1174" s="4" t="s">
        <v>1740</v>
      </c>
      <c r="AT1174" s="4" t="s">
        <v>1835</v>
      </c>
      <c r="AU1174" s="4" t="s">
        <v>1742</v>
      </c>
      <c r="AV1174" s="4" t="s">
        <v>1720</v>
      </c>
      <c r="AW1174" s="4" t="s">
        <v>2368</v>
      </c>
      <c r="AX1174" s="4" t="s">
        <v>2401</v>
      </c>
      <c r="AY1174" s="4">
        <v>51.202800000000003</v>
      </c>
      <c r="AZ1174" s="4">
        <v>-119.5136</v>
      </c>
      <c r="BA1174" s="4">
        <v>591</v>
      </c>
    </row>
    <row r="1175" spans="1:53" ht="14.25" customHeight="1" x14ac:dyDescent="0.2">
      <c r="A1175" s="4" t="s">
        <v>422</v>
      </c>
      <c r="B1175" s="4">
        <v>12</v>
      </c>
      <c r="C1175" s="4" t="s">
        <v>7666</v>
      </c>
      <c r="D1175" s="4">
        <v>1135</v>
      </c>
      <c r="E1175" s="4">
        <v>12068</v>
      </c>
      <c r="F1175" s="16" t="s">
        <v>4248</v>
      </c>
      <c r="G1175" s="4" t="s">
        <v>4249</v>
      </c>
      <c r="H1175" s="4" t="s">
        <v>4250</v>
      </c>
      <c r="I1175" s="4" t="s">
        <v>49</v>
      </c>
      <c r="J1175" s="4" t="s">
        <v>1746</v>
      </c>
      <c r="K1175" s="4">
        <v>1</v>
      </c>
      <c r="L1175" s="4">
        <v>14124</v>
      </c>
      <c r="M1175" s="6"/>
      <c r="AK1175" s="7"/>
      <c r="AO1175" s="4" t="s">
        <v>4248</v>
      </c>
      <c r="AP1175" s="4">
        <v>1135</v>
      </c>
      <c r="AQ1175" s="4" t="s">
        <v>1716</v>
      </c>
      <c r="AR1175" s="4" t="s">
        <v>1717</v>
      </c>
      <c r="AS1175" s="4" t="s">
        <v>1740</v>
      </c>
      <c r="AT1175" s="4" t="s">
        <v>1835</v>
      </c>
      <c r="AU1175" s="4" t="s">
        <v>1742</v>
      </c>
      <c r="AV1175" s="4" t="s">
        <v>1720</v>
      </c>
      <c r="AW1175" s="4" t="s">
        <v>2368</v>
      </c>
      <c r="AX1175" s="4" t="s">
        <v>2516</v>
      </c>
      <c r="AY1175" s="4">
        <v>49.234499999999997</v>
      </c>
      <c r="AZ1175" s="4">
        <v>-119.8142</v>
      </c>
      <c r="BA1175" s="4">
        <v>557</v>
      </c>
    </row>
    <row r="1176" spans="1:53" ht="14.25" customHeight="1" x14ac:dyDescent="0.2">
      <c r="A1176" s="4" t="s">
        <v>422</v>
      </c>
      <c r="B1176" s="4">
        <v>12</v>
      </c>
      <c r="C1176" s="4" t="s">
        <v>7672</v>
      </c>
      <c r="D1176" s="4">
        <v>1141</v>
      </c>
      <c r="E1176" s="4">
        <v>10977</v>
      </c>
      <c r="F1176" s="4" t="s">
        <v>4251</v>
      </c>
      <c r="G1176" s="4" t="s">
        <v>4252</v>
      </c>
      <c r="H1176" s="4" t="s">
        <v>4253</v>
      </c>
      <c r="I1176" s="4" t="s">
        <v>49</v>
      </c>
      <c r="J1176" s="4" t="s">
        <v>1891</v>
      </c>
      <c r="K1176" s="4">
        <v>1</v>
      </c>
      <c r="L1176" s="4">
        <v>13148</v>
      </c>
      <c r="M1176" s="6">
        <v>48.516159999999999</v>
      </c>
      <c r="N1176" s="4">
        <v>-123.764438</v>
      </c>
      <c r="O1176" s="4" t="s">
        <v>51</v>
      </c>
      <c r="P1176" s="4" t="s">
        <v>89</v>
      </c>
      <c r="Q1176" s="4">
        <v>3</v>
      </c>
      <c r="R1176" s="4" t="s">
        <v>90</v>
      </c>
      <c r="S1176" s="4" t="s">
        <v>44</v>
      </c>
      <c r="T1176" s="4">
        <v>512</v>
      </c>
      <c r="V1176" s="4" t="s">
        <v>93</v>
      </c>
      <c r="W1176" s="4">
        <v>43048</v>
      </c>
      <c r="X1176" s="4" t="s">
        <v>53</v>
      </c>
      <c r="AK1176" s="7"/>
      <c r="AO1176" s="48" t="s">
        <v>4254</v>
      </c>
      <c r="AP1176" s="48">
        <v>1141</v>
      </c>
      <c r="AQ1176" s="48" t="s">
        <v>1700</v>
      </c>
      <c r="AR1176" s="48" t="s">
        <v>1739</v>
      </c>
      <c r="AS1176" s="48" t="s">
        <v>3077</v>
      </c>
      <c r="AT1176" s="48" t="s">
        <v>1835</v>
      </c>
      <c r="AU1176" s="48" t="s">
        <v>1704</v>
      </c>
      <c r="AV1176" s="48" t="s">
        <v>3077</v>
      </c>
      <c r="AW1176" s="48" t="s">
        <v>1705</v>
      </c>
      <c r="AX1176" s="48" t="s">
        <v>1747</v>
      </c>
      <c r="AY1176" s="48">
        <v>48.516100000000002</v>
      </c>
      <c r="AZ1176" s="48">
        <v>-123.76439999999999</v>
      </c>
      <c r="BA1176" s="48">
        <v>512</v>
      </c>
    </row>
    <row r="1177" spans="1:53" ht="14.25" customHeight="1" x14ac:dyDescent="0.2">
      <c r="A1177" s="4" t="s">
        <v>422</v>
      </c>
      <c r="B1177" s="4">
        <v>12</v>
      </c>
      <c r="C1177" s="4" t="s">
        <v>7672</v>
      </c>
      <c r="D1177" s="4">
        <v>1142</v>
      </c>
      <c r="E1177" s="4">
        <v>12445</v>
      </c>
      <c r="F1177" s="4" t="s">
        <v>4255</v>
      </c>
      <c r="G1177" s="4" t="s">
        <v>4256</v>
      </c>
      <c r="H1177" s="4" t="s">
        <v>3075</v>
      </c>
      <c r="I1177" s="4" t="s">
        <v>49</v>
      </c>
      <c r="J1177" s="4" t="s">
        <v>1746</v>
      </c>
      <c r="K1177" s="4">
        <v>1</v>
      </c>
      <c r="L1177" s="4">
        <v>14467</v>
      </c>
      <c r="M1177" s="6">
        <v>48.494166999999997</v>
      </c>
      <c r="N1177" s="4">
        <v>-123.614722</v>
      </c>
      <c r="O1177" s="4" t="s">
        <v>51</v>
      </c>
      <c r="P1177" s="4" t="s">
        <v>45</v>
      </c>
      <c r="Q1177" s="4">
        <v>3</v>
      </c>
      <c r="R1177" s="4" t="s">
        <v>46</v>
      </c>
      <c r="S1177" s="4" t="s">
        <v>44</v>
      </c>
      <c r="T1177" s="4">
        <v>493</v>
      </c>
      <c r="V1177" s="4" t="s">
        <v>52</v>
      </c>
      <c r="W1177" s="4">
        <v>35886</v>
      </c>
      <c r="AK1177" s="7"/>
      <c r="AO1177" s="48" t="s">
        <v>4257</v>
      </c>
      <c r="AP1177" s="48">
        <v>1142</v>
      </c>
      <c r="AQ1177" s="48" t="s">
        <v>1700</v>
      </c>
      <c r="AR1177" s="48" t="s">
        <v>1739</v>
      </c>
      <c r="AS1177" s="48" t="s">
        <v>3077</v>
      </c>
      <c r="AT1177" s="48" t="s">
        <v>1835</v>
      </c>
      <c r="AU1177" s="48" t="s">
        <v>1704</v>
      </c>
      <c r="AV1177" s="48" t="s">
        <v>3077</v>
      </c>
      <c r="AW1177" s="48" t="s">
        <v>1705</v>
      </c>
      <c r="AX1177" s="48" t="s">
        <v>1747</v>
      </c>
      <c r="AY1177" s="48">
        <v>48.494399999999999</v>
      </c>
      <c r="AZ1177" s="48">
        <v>-123.6139</v>
      </c>
      <c r="BA1177" s="48">
        <v>485</v>
      </c>
    </row>
    <row r="1178" spans="1:53" ht="14.25" customHeight="1" x14ac:dyDescent="0.2">
      <c r="A1178" s="4" t="s">
        <v>422</v>
      </c>
      <c r="B1178" s="4">
        <v>12</v>
      </c>
      <c r="C1178" s="4" t="s">
        <v>7672</v>
      </c>
      <c r="D1178" s="4">
        <v>1143</v>
      </c>
      <c r="E1178" s="4">
        <v>12446</v>
      </c>
      <c r="F1178" s="4" t="s">
        <v>4258</v>
      </c>
      <c r="G1178" s="4" t="s">
        <v>4259</v>
      </c>
      <c r="H1178" s="4" t="s">
        <v>3075</v>
      </c>
      <c r="I1178" s="4" t="s">
        <v>49</v>
      </c>
      <c r="J1178" s="4" t="s">
        <v>1746</v>
      </c>
      <c r="K1178" s="4">
        <v>1</v>
      </c>
      <c r="L1178" s="4">
        <v>14468</v>
      </c>
      <c r="M1178" s="6">
        <v>48.585833000000001</v>
      </c>
      <c r="N1178" s="4">
        <v>-123.75111099999999</v>
      </c>
      <c r="O1178" s="4" t="s">
        <v>51</v>
      </c>
      <c r="P1178" s="4" t="s">
        <v>67</v>
      </c>
      <c r="Q1178" s="4">
        <v>4</v>
      </c>
      <c r="R1178" s="4" t="s">
        <v>68</v>
      </c>
      <c r="S1178" s="4" t="s">
        <v>44</v>
      </c>
      <c r="T1178" s="4">
        <v>675</v>
      </c>
      <c r="V1178" s="4" t="s">
        <v>72</v>
      </c>
      <c r="W1178" s="4">
        <v>35125</v>
      </c>
      <c r="AK1178" s="7"/>
      <c r="AO1178" s="48" t="s">
        <v>4260</v>
      </c>
      <c r="AP1178" s="48">
        <v>1143</v>
      </c>
      <c r="AQ1178" s="48" t="s">
        <v>1700</v>
      </c>
      <c r="AR1178" s="48" t="s">
        <v>1739</v>
      </c>
      <c r="AS1178" s="48" t="s">
        <v>3077</v>
      </c>
      <c r="AT1178" s="48" t="s">
        <v>1835</v>
      </c>
      <c r="AU1178" s="48" t="s">
        <v>1704</v>
      </c>
      <c r="AV1178" s="48" t="s">
        <v>3077</v>
      </c>
      <c r="AW1178" s="48" t="s">
        <v>1705</v>
      </c>
      <c r="AX1178" s="48" t="s">
        <v>1747</v>
      </c>
      <c r="AY1178" s="48">
        <v>48.586100000000002</v>
      </c>
      <c r="AZ1178" s="48">
        <v>-123.74939999999999</v>
      </c>
      <c r="BA1178" s="48">
        <v>665</v>
      </c>
    </row>
    <row r="1179" spans="1:53" ht="14.25" customHeight="1" x14ac:dyDescent="0.2">
      <c r="A1179" s="4" t="s">
        <v>88</v>
      </c>
      <c r="B1179" s="4">
        <v>12</v>
      </c>
      <c r="C1179" s="4" t="s">
        <v>7666</v>
      </c>
      <c r="D1179" s="4">
        <v>1144</v>
      </c>
      <c r="E1179" s="4">
        <v>10985</v>
      </c>
      <c r="F1179" s="4" t="s">
        <v>4261</v>
      </c>
      <c r="G1179" s="8" t="s">
        <v>4262</v>
      </c>
      <c r="H1179" s="4" t="s">
        <v>4263</v>
      </c>
      <c r="I1179" s="4" t="s">
        <v>49</v>
      </c>
      <c r="J1179" s="4" t="s">
        <v>1829</v>
      </c>
      <c r="K1179" s="4">
        <v>1</v>
      </c>
      <c r="L1179" s="4">
        <v>13149</v>
      </c>
      <c r="M1179" s="6">
        <v>49.104027799999997</v>
      </c>
      <c r="N1179" s="4">
        <v>-121.6375278</v>
      </c>
      <c r="O1179" s="4" t="s">
        <v>51</v>
      </c>
      <c r="P1179" s="4">
        <v>1144</v>
      </c>
      <c r="Q1179" s="4">
        <v>2</v>
      </c>
      <c r="R1179" s="4" t="s">
        <v>4261</v>
      </c>
      <c r="S1179" s="4" t="s">
        <v>1737</v>
      </c>
      <c r="T1179" s="4">
        <v>247</v>
      </c>
      <c r="U1179" s="4" t="s">
        <v>645</v>
      </c>
      <c r="V1179" s="4" t="s">
        <v>1830</v>
      </c>
      <c r="W1179" s="4">
        <v>41143</v>
      </c>
      <c r="X1179" s="4" t="s">
        <v>1738</v>
      </c>
      <c r="AK1179" s="7"/>
      <c r="AO1179" s="4" t="s">
        <v>4261</v>
      </c>
      <c r="AP1179" s="4">
        <v>1144</v>
      </c>
      <c r="AQ1179" s="4" t="s">
        <v>1716</v>
      </c>
      <c r="AR1179" s="4" t="s">
        <v>1739</v>
      </c>
      <c r="AS1179" s="4" t="s">
        <v>1740</v>
      </c>
      <c r="AT1179" s="4" t="s">
        <v>1741</v>
      </c>
      <c r="AU1179" s="4" t="s">
        <v>1742</v>
      </c>
      <c r="AV1179" s="4" t="s">
        <v>1720</v>
      </c>
      <c r="AW1179" s="4" t="s">
        <v>1705</v>
      </c>
      <c r="AX1179" s="4" t="s">
        <v>1883</v>
      </c>
      <c r="AY1179" s="4">
        <v>49.103900000000003</v>
      </c>
      <c r="AZ1179" s="4">
        <v>-121.63760000000001</v>
      </c>
      <c r="BA1179" s="4">
        <v>372</v>
      </c>
    </row>
    <row r="1180" spans="1:53" ht="14.25" customHeight="1" x14ac:dyDescent="0.2">
      <c r="B1180" s="4">
        <v>12</v>
      </c>
      <c r="C1180" s="4" t="s">
        <v>7666</v>
      </c>
      <c r="D1180" s="4">
        <v>1148</v>
      </c>
      <c r="E1180" s="4">
        <v>11010</v>
      </c>
      <c r="F1180" s="16" t="s">
        <v>4264</v>
      </c>
      <c r="G1180" s="4" t="s">
        <v>4265</v>
      </c>
      <c r="H1180" s="4" t="s">
        <v>4266</v>
      </c>
      <c r="I1180" s="4" t="s">
        <v>49</v>
      </c>
      <c r="J1180" s="4" t="s">
        <v>1746</v>
      </c>
      <c r="K1180" s="4">
        <v>1</v>
      </c>
      <c r="L1180" s="4">
        <v>13178</v>
      </c>
      <c r="M1180" s="6"/>
      <c r="AK1180" s="7"/>
      <c r="AO1180" s="65" t="s">
        <v>4264</v>
      </c>
      <c r="AP1180" s="4">
        <v>1148</v>
      </c>
      <c r="AQ1180" s="4" t="s">
        <v>1716</v>
      </c>
      <c r="AR1180" s="4" t="s">
        <v>1717</v>
      </c>
      <c r="AS1180" s="4" t="s">
        <v>1718</v>
      </c>
      <c r="AT1180" s="4" t="s">
        <v>1835</v>
      </c>
      <c r="AU1180" s="4" t="s">
        <v>1836</v>
      </c>
      <c r="AV1180" s="4" t="s">
        <v>1720</v>
      </c>
      <c r="AW1180" s="4" t="s">
        <v>2698</v>
      </c>
      <c r="AX1180" s="4" t="s">
        <v>2797</v>
      </c>
      <c r="AY1180" s="4">
        <v>49.294199999999996</v>
      </c>
      <c r="AZ1180" s="4">
        <v>-117.2593</v>
      </c>
      <c r="BA1180" s="4">
        <v>1250</v>
      </c>
    </row>
    <row r="1181" spans="1:53" ht="14.25" customHeight="1" x14ac:dyDescent="0.2">
      <c r="B1181" s="4">
        <v>12</v>
      </c>
      <c r="C1181" s="4" t="s">
        <v>7666</v>
      </c>
      <c r="D1181" s="4">
        <v>1149</v>
      </c>
      <c r="E1181" s="4">
        <v>10993</v>
      </c>
      <c r="F1181" s="16" t="s">
        <v>4267</v>
      </c>
      <c r="G1181" s="4" t="s">
        <v>4268</v>
      </c>
      <c r="H1181" s="4" t="s">
        <v>4269</v>
      </c>
      <c r="I1181" s="4" t="s">
        <v>49</v>
      </c>
      <c r="J1181" s="4" t="s">
        <v>1746</v>
      </c>
      <c r="K1181" s="4">
        <v>1</v>
      </c>
      <c r="L1181" s="4">
        <v>13159</v>
      </c>
      <c r="M1181" s="6"/>
      <c r="AK1181" s="7"/>
      <c r="AO1181" s="4" t="s">
        <v>4267</v>
      </c>
      <c r="AP1181" s="4">
        <v>1149</v>
      </c>
      <c r="AQ1181" s="4" t="s">
        <v>1716</v>
      </c>
      <c r="AR1181" s="4" t="s">
        <v>2441</v>
      </c>
      <c r="AS1181" s="4" t="s">
        <v>1718</v>
      </c>
      <c r="AT1181" s="4" t="s">
        <v>1835</v>
      </c>
      <c r="AU1181" s="4" t="s">
        <v>1836</v>
      </c>
      <c r="AV1181" s="4" t="s">
        <v>1720</v>
      </c>
      <c r="AW1181" s="4" t="s">
        <v>1705</v>
      </c>
      <c r="AX1181" s="4" t="s">
        <v>1879</v>
      </c>
      <c r="AY1181" s="4">
        <v>49.715400000000002</v>
      </c>
      <c r="AZ1181" s="4">
        <v>-122.3652</v>
      </c>
      <c r="BA1181" s="4">
        <v>330</v>
      </c>
    </row>
    <row r="1182" spans="1:53" ht="14.25" customHeight="1" x14ac:dyDescent="0.2">
      <c r="B1182" s="4">
        <v>12</v>
      </c>
      <c r="C1182" s="4" t="s">
        <v>7666</v>
      </c>
      <c r="D1182" s="4">
        <v>1151</v>
      </c>
      <c r="E1182" s="4">
        <v>10996</v>
      </c>
      <c r="F1182" s="16" t="s">
        <v>4270</v>
      </c>
      <c r="G1182" s="4" t="s">
        <v>4271</v>
      </c>
      <c r="H1182" s="4" t="s">
        <v>4272</v>
      </c>
      <c r="I1182" s="4" t="s">
        <v>49</v>
      </c>
      <c r="J1182" s="4" t="s">
        <v>1746</v>
      </c>
      <c r="K1182" s="4">
        <v>1</v>
      </c>
      <c r="L1182" s="4">
        <v>13162</v>
      </c>
      <c r="M1182" s="6"/>
      <c r="AK1182" s="7"/>
      <c r="AO1182" s="4" t="s">
        <v>4270</v>
      </c>
      <c r="AP1182" s="4">
        <v>1151</v>
      </c>
      <c r="AQ1182" s="4" t="s">
        <v>1716</v>
      </c>
      <c r="AR1182" s="4" t="s">
        <v>1717</v>
      </c>
      <c r="AS1182" s="4" t="s">
        <v>1718</v>
      </c>
      <c r="AT1182" s="4" t="s">
        <v>1841</v>
      </c>
      <c r="AU1182" s="4" t="s">
        <v>1959</v>
      </c>
      <c r="AW1182" s="4" t="s">
        <v>2368</v>
      </c>
      <c r="AX1182" s="4" t="s">
        <v>2516</v>
      </c>
      <c r="AY1182" s="4">
        <v>49.594700000000003</v>
      </c>
      <c r="AZ1182" s="4">
        <v>-119.9747</v>
      </c>
      <c r="BA1182" s="4">
        <v>1407</v>
      </c>
    </row>
    <row r="1183" spans="1:53" ht="14.25" customHeight="1" x14ac:dyDescent="0.2">
      <c r="A1183" s="4" t="s">
        <v>88</v>
      </c>
      <c r="B1183" s="4">
        <v>12</v>
      </c>
      <c r="C1183" s="4" t="s">
        <v>7666</v>
      </c>
      <c r="D1183" s="4">
        <v>1165</v>
      </c>
      <c r="E1183" s="4">
        <v>10989</v>
      </c>
      <c r="F1183" s="4" t="s">
        <v>4273</v>
      </c>
      <c r="G1183" s="8" t="s">
        <v>4274</v>
      </c>
      <c r="H1183" s="4" t="s">
        <v>4275</v>
      </c>
      <c r="I1183" s="4" t="s">
        <v>49</v>
      </c>
      <c r="J1183" s="4" t="s">
        <v>1829</v>
      </c>
      <c r="K1183" s="4">
        <v>1</v>
      </c>
      <c r="L1183" s="4">
        <v>13154</v>
      </c>
      <c r="M1183" s="6">
        <v>54.16957</v>
      </c>
      <c r="N1183" s="4">
        <v>-121.65168</v>
      </c>
      <c r="O1183" s="4" t="s">
        <v>1290</v>
      </c>
      <c r="P1183" s="4">
        <v>1165</v>
      </c>
      <c r="Q1183" s="4">
        <v>2</v>
      </c>
      <c r="R1183" s="4" t="s">
        <v>4273</v>
      </c>
      <c r="S1183" s="4" t="s">
        <v>1737</v>
      </c>
      <c r="T1183" s="4">
        <v>798</v>
      </c>
      <c r="W1183" s="4">
        <v>41582</v>
      </c>
      <c r="X1183" s="4" t="s">
        <v>1738</v>
      </c>
      <c r="AK1183" s="7"/>
      <c r="AO1183" s="4" t="s">
        <v>4273</v>
      </c>
      <c r="AP1183" s="4">
        <v>1165</v>
      </c>
      <c r="AQ1183" s="4" t="s">
        <v>1700</v>
      </c>
      <c r="AR1183" s="4" t="s">
        <v>1739</v>
      </c>
      <c r="AS1183" s="4" t="s">
        <v>1740</v>
      </c>
      <c r="AT1183" s="4" t="s">
        <v>1741</v>
      </c>
      <c r="AU1183" s="4" t="s">
        <v>1959</v>
      </c>
      <c r="AV1183" s="4" t="s">
        <v>1720</v>
      </c>
      <c r="AW1183" s="4" t="s">
        <v>2003</v>
      </c>
      <c r="AX1183" s="4" t="s">
        <v>2091</v>
      </c>
      <c r="AY1183" s="4">
        <v>54.1693</v>
      </c>
      <c r="AZ1183" s="4">
        <v>-121.6519</v>
      </c>
      <c r="BA1183" s="4">
        <v>799</v>
      </c>
    </row>
    <row r="1184" spans="1:53" ht="14.25" customHeight="1" x14ac:dyDescent="0.2">
      <c r="A1184" s="4" t="s">
        <v>422</v>
      </c>
      <c r="B1184" s="4">
        <v>12</v>
      </c>
      <c r="C1184" s="4" t="s">
        <v>7672</v>
      </c>
      <c r="D1184" s="4">
        <v>1166</v>
      </c>
      <c r="E1184" s="4">
        <v>12447</v>
      </c>
      <c r="F1184" s="4" t="s">
        <v>4276</v>
      </c>
      <c r="G1184" s="4" t="s">
        <v>4277</v>
      </c>
      <c r="H1184" s="4" t="s">
        <v>3075</v>
      </c>
      <c r="I1184" s="4" t="s">
        <v>49</v>
      </c>
      <c r="J1184" s="4" t="s">
        <v>1746</v>
      </c>
      <c r="K1184" s="4">
        <v>1</v>
      </c>
      <c r="L1184" s="4">
        <v>14469</v>
      </c>
      <c r="M1184" s="6"/>
      <c r="AK1184" s="7"/>
      <c r="AO1184" s="48" t="s">
        <v>4278</v>
      </c>
      <c r="AP1184" s="48">
        <v>1166</v>
      </c>
      <c r="AQ1184" s="48" t="s">
        <v>1700</v>
      </c>
      <c r="AR1184" s="48" t="s">
        <v>1739</v>
      </c>
      <c r="AS1184" s="48" t="s">
        <v>3077</v>
      </c>
      <c r="AT1184" s="48" t="s">
        <v>1703</v>
      </c>
      <c r="AU1184" s="48" t="s">
        <v>1704</v>
      </c>
      <c r="AV1184" s="48" t="s">
        <v>3077</v>
      </c>
      <c r="AW1184" s="48" t="s">
        <v>1705</v>
      </c>
      <c r="AX1184" s="48" t="s">
        <v>1747</v>
      </c>
      <c r="AY1184" s="48">
        <v>48.572200000000002</v>
      </c>
      <c r="AZ1184" s="48">
        <v>-123.7068</v>
      </c>
      <c r="BA1184" s="48">
        <v>180</v>
      </c>
    </row>
    <row r="1185" spans="1:53" ht="14.25" customHeight="1" x14ac:dyDescent="0.2">
      <c r="A1185" s="4" t="s">
        <v>422</v>
      </c>
      <c r="B1185" s="4">
        <v>12</v>
      </c>
      <c r="C1185" s="4" t="s">
        <v>7666</v>
      </c>
      <c r="D1185" s="4">
        <v>1168</v>
      </c>
      <c r="E1185" s="4">
        <v>10984</v>
      </c>
      <c r="F1185" s="16" t="s">
        <v>4279</v>
      </c>
      <c r="G1185" s="4" t="s">
        <v>4280</v>
      </c>
      <c r="H1185" s="4" t="s">
        <v>4281</v>
      </c>
      <c r="I1185" s="4" t="s">
        <v>49</v>
      </c>
      <c r="J1185" s="4" t="s">
        <v>1746</v>
      </c>
      <c r="K1185" s="4">
        <v>1</v>
      </c>
      <c r="L1185" s="4">
        <v>13150</v>
      </c>
      <c r="M1185" s="6"/>
      <c r="AK1185" s="7"/>
      <c r="AO1185" s="65" t="s">
        <v>4279</v>
      </c>
      <c r="AP1185" s="4">
        <v>1168</v>
      </c>
      <c r="AQ1185" s="4" t="s">
        <v>1716</v>
      </c>
      <c r="AR1185" s="4" t="s">
        <v>2441</v>
      </c>
      <c r="AS1185" s="4" t="s">
        <v>1718</v>
      </c>
      <c r="AT1185" s="4" t="s">
        <v>1835</v>
      </c>
      <c r="AU1185" s="4" t="s">
        <v>1836</v>
      </c>
      <c r="AV1185" s="4" t="s">
        <v>1720</v>
      </c>
      <c r="AX1185" s="4" t="s">
        <v>1879</v>
      </c>
      <c r="AY1185" s="4">
        <v>50.5291</v>
      </c>
      <c r="AZ1185" s="4">
        <v>-122.44580000000001</v>
      </c>
      <c r="BA1185" s="4">
        <v>765</v>
      </c>
    </row>
    <row r="1186" spans="1:53" ht="14.25" customHeight="1" x14ac:dyDescent="0.2">
      <c r="B1186" s="4">
        <v>12</v>
      </c>
      <c r="C1186" s="4" t="s">
        <v>7666</v>
      </c>
      <c r="D1186" s="4">
        <v>1171</v>
      </c>
      <c r="E1186" s="4">
        <v>10976</v>
      </c>
      <c r="F1186" s="16" t="s">
        <v>4282</v>
      </c>
      <c r="G1186" s="4" t="s">
        <v>4283</v>
      </c>
      <c r="H1186" s="4" t="s">
        <v>4284</v>
      </c>
      <c r="I1186" s="4" t="s">
        <v>49</v>
      </c>
      <c r="J1186" s="4" t="s">
        <v>1746</v>
      </c>
      <c r="K1186" s="4">
        <v>1</v>
      </c>
      <c r="L1186" s="4">
        <v>13151</v>
      </c>
      <c r="M1186" s="6"/>
      <c r="AK1186" s="7"/>
      <c r="AO1186" s="65" t="s">
        <v>4282</v>
      </c>
      <c r="AP1186" s="4">
        <v>1171</v>
      </c>
      <c r="AQ1186" s="4" t="s">
        <v>1716</v>
      </c>
      <c r="AR1186" s="4" t="s">
        <v>1717</v>
      </c>
      <c r="AS1186" s="4" t="s">
        <v>1718</v>
      </c>
      <c r="AT1186" s="4" t="s">
        <v>1835</v>
      </c>
      <c r="AU1186" s="4" t="s">
        <v>1836</v>
      </c>
      <c r="AV1186" s="4" t="s">
        <v>1720</v>
      </c>
      <c r="AX1186" s="4" t="s">
        <v>2827</v>
      </c>
      <c r="AY1186" s="4">
        <v>49.0505</v>
      </c>
      <c r="AZ1186" s="4">
        <v>-119.06100000000001</v>
      </c>
      <c r="BA1186" s="4">
        <v>930</v>
      </c>
    </row>
    <row r="1187" spans="1:53" ht="14.25" customHeight="1" x14ac:dyDescent="0.2">
      <c r="A1187" s="4" t="s">
        <v>422</v>
      </c>
      <c r="B1187" s="4">
        <v>12</v>
      </c>
      <c r="C1187" s="4" t="s">
        <v>7666</v>
      </c>
      <c r="D1187" s="4">
        <v>1172</v>
      </c>
      <c r="E1187" s="4">
        <v>10991</v>
      </c>
      <c r="F1187" s="16" t="s">
        <v>4285</v>
      </c>
      <c r="G1187" s="4" t="s">
        <v>4286</v>
      </c>
      <c r="H1187" s="4" t="s">
        <v>4287</v>
      </c>
      <c r="I1187" s="4" t="s">
        <v>49</v>
      </c>
      <c r="J1187" s="4" t="s">
        <v>1746</v>
      </c>
      <c r="K1187" s="4">
        <v>1</v>
      </c>
      <c r="L1187" s="4">
        <v>13156</v>
      </c>
      <c r="M1187" s="6"/>
      <c r="AK1187" s="7"/>
      <c r="AO1187" s="65" t="s">
        <v>4285</v>
      </c>
      <c r="AP1187" s="4">
        <v>1172</v>
      </c>
      <c r="AQ1187" s="4" t="s">
        <v>1716</v>
      </c>
      <c r="AR1187" s="4" t="s">
        <v>1717</v>
      </c>
      <c r="AS1187" s="4" t="s">
        <v>1718</v>
      </c>
      <c r="AT1187" s="4" t="s">
        <v>1835</v>
      </c>
      <c r="AU1187" s="4" t="s">
        <v>1836</v>
      </c>
      <c r="AV1187" s="4" t="s">
        <v>1720</v>
      </c>
      <c r="AW1187" s="4" t="s">
        <v>2698</v>
      </c>
      <c r="AX1187" s="4" t="s">
        <v>2801</v>
      </c>
      <c r="AY1187" s="4">
        <v>50.11</v>
      </c>
      <c r="AZ1187" s="4">
        <v>-117.05</v>
      </c>
      <c r="BA1187" s="4">
        <v>1020</v>
      </c>
    </row>
    <row r="1188" spans="1:53" ht="14.25" customHeight="1" x14ac:dyDescent="0.2">
      <c r="A1188" s="4" t="s">
        <v>422</v>
      </c>
      <c r="B1188" s="4">
        <v>12</v>
      </c>
      <c r="C1188" s="4" t="s">
        <v>7665</v>
      </c>
      <c r="D1188" s="4">
        <v>1173</v>
      </c>
      <c r="E1188" s="4">
        <v>12983</v>
      </c>
      <c r="G1188" s="4" t="s">
        <v>127</v>
      </c>
      <c r="H1188" s="4" t="s">
        <v>1697</v>
      </c>
      <c r="I1188" s="4" t="s">
        <v>49</v>
      </c>
      <c r="J1188" s="4" t="s">
        <v>1746</v>
      </c>
      <c r="K1188" s="4">
        <v>1</v>
      </c>
      <c r="L1188" s="4">
        <v>14915</v>
      </c>
      <c r="M1188" s="6"/>
      <c r="AK1188" s="7"/>
      <c r="AO1188" s="48" t="s">
        <v>4288</v>
      </c>
      <c r="AP1188" s="48">
        <v>1173</v>
      </c>
      <c r="AQ1188" s="48" t="s">
        <v>1700</v>
      </c>
      <c r="AR1188" s="48" t="s">
        <v>1701</v>
      </c>
      <c r="AS1188" s="48" t="s">
        <v>1702</v>
      </c>
      <c r="AT1188" s="48" t="s">
        <v>1703</v>
      </c>
      <c r="AU1188" s="48" t="s">
        <v>1704</v>
      </c>
      <c r="AV1188" s="48" t="s">
        <v>1702</v>
      </c>
      <c r="AW1188" s="48" t="s">
        <v>2368</v>
      </c>
      <c r="AX1188" s="48" t="s">
        <v>2369</v>
      </c>
      <c r="AY1188" s="48">
        <v>50.708399999999997</v>
      </c>
      <c r="AZ1188" s="48">
        <v>-121.2812</v>
      </c>
      <c r="BA1188" s="48">
        <v>327</v>
      </c>
    </row>
    <row r="1189" spans="1:53" ht="14.25" customHeight="1" x14ac:dyDescent="0.2">
      <c r="B1189" s="4">
        <v>12</v>
      </c>
      <c r="C1189" s="4" t="s">
        <v>7666</v>
      </c>
      <c r="D1189" s="4">
        <v>1174</v>
      </c>
      <c r="E1189" s="4">
        <v>10994</v>
      </c>
      <c r="F1189" s="16" t="s">
        <v>4289</v>
      </c>
      <c r="G1189" s="4" t="s">
        <v>4290</v>
      </c>
      <c r="H1189" s="4" t="s">
        <v>4291</v>
      </c>
      <c r="I1189" s="4" t="s">
        <v>49</v>
      </c>
      <c r="J1189" s="4" t="s">
        <v>1746</v>
      </c>
      <c r="K1189" s="4">
        <v>1</v>
      </c>
      <c r="L1189" s="4">
        <v>13160</v>
      </c>
      <c r="M1189" s="6"/>
      <c r="AK1189" s="7"/>
      <c r="AO1189" s="4" t="s">
        <v>4289</v>
      </c>
      <c r="AP1189" s="4">
        <v>1174</v>
      </c>
      <c r="AQ1189" s="4" t="s">
        <v>1716</v>
      </c>
      <c r="AR1189" s="4" t="s">
        <v>1717</v>
      </c>
      <c r="AS1189" s="4" t="s">
        <v>1718</v>
      </c>
      <c r="AT1189" s="4" t="s">
        <v>1841</v>
      </c>
      <c r="AU1189" s="4" t="s">
        <v>1959</v>
      </c>
      <c r="AW1189" s="4" t="s">
        <v>2368</v>
      </c>
      <c r="AX1189" s="4" t="s">
        <v>2707</v>
      </c>
      <c r="AY1189" s="4">
        <v>50.6828</v>
      </c>
      <c r="AZ1189" s="4">
        <v>-118.7758</v>
      </c>
      <c r="BA1189" s="4">
        <v>751</v>
      </c>
    </row>
    <row r="1190" spans="1:53" ht="14.25" customHeight="1" x14ac:dyDescent="0.2">
      <c r="A1190" s="4" t="s">
        <v>422</v>
      </c>
      <c r="B1190" s="4">
        <v>12</v>
      </c>
      <c r="C1190" s="4" t="s">
        <v>7666</v>
      </c>
      <c r="D1190" s="4">
        <v>1175</v>
      </c>
      <c r="E1190" s="4">
        <v>10995</v>
      </c>
      <c r="F1190" s="16" t="s">
        <v>4292</v>
      </c>
      <c r="G1190" s="4" t="s">
        <v>4293</v>
      </c>
      <c r="H1190" s="4" t="s">
        <v>4294</v>
      </c>
      <c r="I1190" s="4" t="s">
        <v>49</v>
      </c>
      <c r="J1190" s="4" t="s">
        <v>1746</v>
      </c>
      <c r="K1190" s="4">
        <v>1</v>
      </c>
      <c r="L1190" s="4">
        <v>13161</v>
      </c>
      <c r="M1190" s="6"/>
      <c r="AK1190" s="7"/>
      <c r="AO1190" s="65" t="s">
        <v>4292</v>
      </c>
      <c r="AP1190" s="4">
        <v>1175</v>
      </c>
      <c r="AQ1190" s="4" t="s">
        <v>1716</v>
      </c>
      <c r="AR1190" s="4" t="s">
        <v>1717</v>
      </c>
      <c r="AS1190" s="4" t="s">
        <v>1718</v>
      </c>
      <c r="AT1190" s="4" t="s">
        <v>1835</v>
      </c>
      <c r="AU1190" s="4" t="s">
        <v>1836</v>
      </c>
      <c r="AV1190" s="4" t="s">
        <v>1720</v>
      </c>
      <c r="AW1190" s="4" t="s">
        <v>2698</v>
      </c>
      <c r="AX1190" s="4" t="s">
        <v>2801</v>
      </c>
      <c r="AY1190" s="4">
        <v>49.4</v>
      </c>
      <c r="AZ1190" s="4">
        <v>-117.11</v>
      </c>
      <c r="BA1190" s="4">
        <v>1455</v>
      </c>
    </row>
    <row r="1191" spans="1:53" ht="14.25" customHeight="1" x14ac:dyDescent="0.2">
      <c r="A1191" s="4" t="s">
        <v>88</v>
      </c>
      <c r="B1191" s="4">
        <v>12</v>
      </c>
      <c r="C1191" s="4" t="s">
        <v>7666</v>
      </c>
      <c r="D1191" s="4">
        <v>1176</v>
      </c>
      <c r="E1191" s="4">
        <v>10997</v>
      </c>
      <c r="F1191" s="4" t="s">
        <v>4295</v>
      </c>
      <c r="G1191" s="8" t="s">
        <v>4296</v>
      </c>
      <c r="H1191" s="4" t="s">
        <v>4297</v>
      </c>
      <c r="I1191" s="4" t="s">
        <v>49</v>
      </c>
      <c r="J1191" s="4" t="s">
        <v>1891</v>
      </c>
      <c r="K1191" s="4">
        <v>1</v>
      </c>
      <c r="L1191" s="4">
        <v>13163</v>
      </c>
      <c r="M1191" s="6">
        <v>51.313079999999999</v>
      </c>
      <c r="N1191" s="4">
        <v>-119.3925</v>
      </c>
      <c r="O1191" s="4" t="s">
        <v>142</v>
      </c>
      <c r="P1191" s="4">
        <v>1176</v>
      </c>
      <c r="Q1191" s="4">
        <v>2</v>
      </c>
      <c r="R1191" s="4" t="s">
        <v>4295</v>
      </c>
      <c r="S1191" s="4" t="s">
        <v>1737</v>
      </c>
      <c r="T1191" s="4">
        <v>884</v>
      </c>
      <c r="X1191" s="4" t="s">
        <v>1738</v>
      </c>
      <c r="AK1191" s="7"/>
      <c r="AO1191" s="4" t="s">
        <v>4295</v>
      </c>
      <c r="AP1191" s="4">
        <v>1176</v>
      </c>
      <c r="AQ1191" s="4" t="s">
        <v>1716</v>
      </c>
      <c r="AR1191" s="4" t="s">
        <v>1739</v>
      </c>
      <c r="AS1191" s="4" t="s">
        <v>1740</v>
      </c>
      <c r="AT1191" s="4" t="s">
        <v>1741</v>
      </c>
      <c r="AU1191" s="4" t="s">
        <v>1742</v>
      </c>
      <c r="AV1191" s="4" t="s">
        <v>1720</v>
      </c>
      <c r="AW1191" s="4" t="s">
        <v>2368</v>
      </c>
      <c r="AX1191" s="4" t="s">
        <v>2369</v>
      </c>
      <c r="AY1191" s="4">
        <v>51.3127</v>
      </c>
      <c r="AZ1191" s="4">
        <v>-119.3926</v>
      </c>
      <c r="BA1191" s="4">
        <v>884</v>
      </c>
    </row>
    <row r="1192" spans="1:53" ht="14.25" customHeight="1" x14ac:dyDescent="0.2">
      <c r="A1192" s="4" t="s">
        <v>422</v>
      </c>
      <c r="B1192" s="4">
        <v>12</v>
      </c>
      <c r="C1192" s="4" t="s">
        <v>7666</v>
      </c>
      <c r="D1192" s="4">
        <v>1178</v>
      </c>
      <c r="E1192" s="4">
        <v>10998</v>
      </c>
      <c r="F1192" s="16" t="s">
        <v>4298</v>
      </c>
      <c r="G1192" s="4" t="s">
        <v>4299</v>
      </c>
      <c r="H1192" s="4" t="s">
        <v>4300</v>
      </c>
      <c r="I1192" s="4" t="s">
        <v>49</v>
      </c>
      <c r="J1192" s="4" t="s">
        <v>1746</v>
      </c>
      <c r="K1192" s="4">
        <v>1</v>
      </c>
      <c r="L1192" s="4">
        <v>13164</v>
      </c>
      <c r="M1192" s="6"/>
      <c r="AK1192" s="7"/>
      <c r="AO1192" s="4" t="s">
        <v>4298</v>
      </c>
      <c r="AP1192" s="4">
        <v>1178</v>
      </c>
      <c r="AQ1192" s="4" t="s">
        <v>1716</v>
      </c>
      <c r="AR1192" s="4" t="s">
        <v>1717</v>
      </c>
      <c r="AS1192" s="4" t="s">
        <v>1718</v>
      </c>
      <c r="AT1192" s="4" t="s">
        <v>1841</v>
      </c>
      <c r="AU1192" s="4" t="s">
        <v>1959</v>
      </c>
      <c r="AV1192" s="4" t="s">
        <v>1720</v>
      </c>
      <c r="AW1192" s="4" t="s">
        <v>2368</v>
      </c>
      <c r="AX1192" s="4" t="s">
        <v>2827</v>
      </c>
      <c r="AY1192" s="4">
        <v>49.713900000000002</v>
      </c>
      <c r="AZ1192" s="4">
        <v>-118.74</v>
      </c>
      <c r="BA1192" s="4">
        <v>1393</v>
      </c>
    </row>
    <row r="1193" spans="1:53" ht="14.25" customHeight="1" x14ac:dyDescent="0.2">
      <c r="B1193" s="4">
        <v>12</v>
      </c>
      <c r="C1193" s="4" t="s">
        <v>7666</v>
      </c>
      <c r="D1193" s="4">
        <v>1179</v>
      </c>
      <c r="E1193" s="4">
        <v>10999</v>
      </c>
      <c r="F1193" s="16" t="s">
        <v>4301</v>
      </c>
      <c r="G1193" s="4" t="s">
        <v>4302</v>
      </c>
      <c r="H1193" s="4" t="s">
        <v>4303</v>
      </c>
      <c r="I1193" s="4" t="s">
        <v>49</v>
      </c>
      <c r="J1193" s="4" t="s">
        <v>1746</v>
      </c>
      <c r="K1193" s="4">
        <v>1</v>
      </c>
      <c r="L1193" s="4">
        <v>13165</v>
      </c>
      <c r="M1193" s="6"/>
      <c r="AK1193" s="7"/>
      <c r="AO1193" s="4" t="s">
        <v>4301</v>
      </c>
      <c r="AP1193" s="4">
        <v>1179</v>
      </c>
      <c r="AQ1193" s="4" t="s">
        <v>1716</v>
      </c>
      <c r="AR1193" s="4" t="s">
        <v>1717</v>
      </c>
      <c r="AS1193" s="4" t="s">
        <v>1718</v>
      </c>
      <c r="AT1193" s="4" t="s">
        <v>1835</v>
      </c>
      <c r="AU1193" s="4" t="s">
        <v>1836</v>
      </c>
      <c r="AV1193" s="4" t="s">
        <v>1720</v>
      </c>
      <c r="AW1193" s="4" t="s">
        <v>1705</v>
      </c>
      <c r="AX1193" s="4" t="s">
        <v>1879</v>
      </c>
      <c r="AY1193" s="4">
        <v>49.754399999999997</v>
      </c>
      <c r="AZ1193" s="4">
        <v>-122.22880000000001</v>
      </c>
      <c r="BA1193" s="4">
        <v>111</v>
      </c>
    </row>
    <row r="1194" spans="1:53" ht="14.25" customHeight="1" x14ac:dyDescent="0.2">
      <c r="B1194" s="4">
        <v>12</v>
      </c>
      <c r="C1194" s="4" t="s">
        <v>7666</v>
      </c>
      <c r="D1194" s="4">
        <v>1180</v>
      </c>
      <c r="E1194" s="4">
        <v>11000</v>
      </c>
      <c r="F1194" s="16" t="s">
        <v>4304</v>
      </c>
      <c r="G1194" s="4" t="s">
        <v>4305</v>
      </c>
      <c r="H1194" s="4" t="s">
        <v>4306</v>
      </c>
      <c r="I1194" s="4" t="s">
        <v>49</v>
      </c>
      <c r="J1194" s="4" t="s">
        <v>1746</v>
      </c>
      <c r="K1194" s="4">
        <v>1</v>
      </c>
      <c r="L1194" s="4">
        <v>13168</v>
      </c>
      <c r="M1194" s="6"/>
      <c r="AK1194" s="7"/>
      <c r="AO1194" s="4" t="s">
        <v>4304</v>
      </c>
      <c r="AP1194" s="4">
        <v>1180</v>
      </c>
      <c r="AQ1194" s="4" t="s">
        <v>1716</v>
      </c>
      <c r="AR1194" s="4" t="s">
        <v>1717</v>
      </c>
      <c r="AS1194" s="4" t="s">
        <v>1718</v>
      </c>
      <c r="AT1194" s="4" t="s">
        <v>1835</v>
      </c>
      <c r="AU1194" s="4" t="s">
        <v>1959</v>
      </c>
      <c r="AV1194" s="4" t="s">
        <v>1720</v>
      </c>
      <c r="AW1194" s="4" t="s">
        <v>2368</v>
      </c>
      <c r="AX1194" s="4" t="s">
        <v>2492</v>
      </c>
      <c r="AY1194" s="4">
        <v>49.529200000000003</v>
      </c>
      <c r="AZ1194" s="4">
        <v>-120.2208</v>
      </c>
      <c r="BA1194" s="4">
        <v>1400</v>
      </c>
    </row>
    <row r="1195" spans="1:53" ht="14.25" customHeight="1" x14ac:dyDescent="0.2">
      <c r="A1195" s="4" t="s">
        <v>2037</v>
      </c>
      <c r="B1195" s="4">
        <v>12</v>
      </c>
      <c r="C1195" s="4" t="s">
        <v>7666</v>
      </c>
      <c r="D1195" s="4">
        <v>1181</v>
      </c>
      <c r="E1195" s="4">
        <v>11001</v>
      </c>
      <c r="F1195" s="4" t="s">
        <v>4307</v>
      </c>
      <c r="G1195" s="4" t="s">
        <v>4308</v>
      </c>
      <c r="H1195" s="4" t="s">
        <v>4309</v>
      </c>
      <c r="I1195" s="4" t="s">
        <v>49</v>
      </c>
      <c r="J1195" s="4" t="s">
        <v>1746</v>
      </c>
      <c r="K1195" s="4">
        <v>1</v>
      </c>
      <c r="L1195" s="4">
        <v>13169</v>
      </c>
      <c r="M1195" s="6"/>
      <c r="AK1195" s="7"/>
      <c r="AO1195" s="4" t="s">
        <v>4310</v>
      </c>
      <c r="AP1195" s="4">
        <v>1181</v>
      </c>
      <c r="AQ1195" s="4" t="s">
        <v>1716</v>
      </c>
      <c r="AR1195" s="4" t="s">
        <v>1717</v>
      </c>
      <c r="AS1195" s="4" t="s">
        <v>1718</v>
      </c>
      <c r="AT1195" s="4" t="s">
        <v>1835</v>
      </c>
      <c r="AU1195" s="4" t="s">
        <v>1836</v>
      </c>
      <c r="AV1195" s="4" t="s">
        <v>1720</v>
      </c>
      <c r="AW1195" s="4" t="s">
        <v>1705</v>
      </c>
      <c r="AX1195" s="4" t="s">
        <v>1879</v>
      </c>
      <c r="AY1195" s="4">
        <v>49.7483</v>
      </c>
      <c r="AZ1195" s="4">
        <v>-122.2864</v>
      </c>
      <c r="BA1195" s="4">
        <v>223</v>
      </c>
    </row>
    <row r="1196" spans="1:53" ht="14.25" customHeight="1" x14ac:dyDescent="0.2">
      <c r="A1196" s="4" t="s">
        <v>422</v>
      </c>
      <c r="B1196" s="4">
        <v>12</v>
      </c>
      <c r="C1196" s="4" t="s">
        <v>7666</v>
      </c>
      <c r="D1196" s="4">
        <v>1183</v>
      </c>
      <c r="E1196" s="4">
        <v>11003</v>
      </c>
      <c r="F1196" s="16" t="s">
        <v>4311</v>
      </c>
      <c r="G1196" s="4" t="s">
        <v>4312</v>
      </c>
      <c r="H1196" s="4" t="s">
        <v>4313</v>
      </c>
      <c r="I1196" s="4" t="s">
        <v>49</v>
      </c>
      <c r="J1196" s="4" t="s">
        <v>1746</v>
      </c>
      <c r="K1196" s="4">
        <v>1</v>
      </c>
      <c r="L1196" s="4">
        <v>13171</v>
      </c>
      <c r="M1196" s="6"/>
      <c r="AK1196" s="7"/>
      <c r="AO1196" s="65" t="s">
        <v>4311</v>
      </c>
      <c r="AP1196" s="4">
        <v>1183</v>
      </c>
      <c r="AQ1196" s="4" t="s">
        <v>1716</v>
      </c>
      <c r="AR1196" s="4" t="s">
        <v>1717</v>
      </c>
      <c r="AS1196" s="4" t="s">
        <v>1718</v>
      </c>
      <c r="AT1196" s="4" t="s">
        <v>1835</v>
      </c>
      <c r="AU1196" s="4" t="s">
        <v>1836</v>
      </c>
      <c r="AV1196" s="4" t="s">
        <v>1720</v>
      </c>
      <c r="AW1196" s="4" t="s">
        <v>2698</v>
      </c>
      <c r="AX1196" s="4" t="s">
        <v>2797</v>
      </c>
      <c r="AY1196" s="4">
        <v>49.7971</v>
      </c>
      <c r="AZ1196" s="4">
        <v>-117.3969</v>
      </c>
      <c r="BA1196" s="4">
        <v>1826</v>
      </c>
    </row>
    <row r="1197" spans="1:53" ht="14.25" customHeight="1" x14ac:dyDescent="0.2">
      <c r="A1197" s="4" t="s">
        <v>422</v>
      </c>
      <c r="B1197" s="4">
        <v>12</v>
      </c>
      <c r="C1197" s="4" t="s">
        <v>7666</v>
      </c>
      <c r="D1197" s="4">
        <v>1184</v>
      </c>
      <c r="E1197" s="4">
        <v>11004</v>
      </c>
      <c r="F1197" s="16" t="s">
        <v>4314</v>
      </c>
      <c r="G1197" s="4" t="s">
        <v>4315</v>
      </c>
      <c r="H1197" s="4" t="s">
        <v>4316</v>
      </c>
      <c r="I1197" s="4" t="s">
        <v>49</v>
      </c>
      <c r="J1197" s="4" t="s">
        <v>1746</v>
      </c>
      <c r="K1197" s="4">
        <v>1</v>
      </c>
      <c r="L1197" s="4">
        <v>13172</v>
      </c>
      <c r="M1197" s="6"/>
      <c r="AK1197" s="7"/>
      <c r="AO1197" s="65" t="s">
        <v>4314</v>
      </c>
      <c r="AP1197" s="4">
        <v>1184</v>
      </c>
      <c r="AQ1197" s="4" t="s">
        <v>1716</v>
      </c>
      <c r="AR1197" s="4" t="s">
        <v>1717</v>
      </c>
      <c r="AS1197" s="4" t="s">
        <v>2257</v>
      </c>
      <c r="AT1197" s="4" t="s">
        <v>1835</v>
      </c>
      <c r="AU1197" s="4" t="s">
        <v>1836</v>
      </c>
      <c r="AW1197" s="4" t="s">
        <v>1705</v>
      </c>
      <c r="AX1197" s="4" t="s">
        <v>1879</v>
      </c>
      <c r="AY1197" s="4">
        <v>50.316800000000001</v>
      </c>
      <c r="AZ1197" s="4">
        <v>-123.54949999999999</v>
      </c>
      <c r="BA1197" s="4">
        <v>800</v>
      </c>
    </row>
    <row r="1198" spans="1:53" ht="14.25" customHeight="1" x14ac:dyDescent="0.2">
      <c r="A1198" s="4" t="s">
        <v>422</v>
      </c>
      <c r="B1198" s="4">
        <v>12</v>
      </c>
      <c r="C1198" s="4" t="s">
        <v>7666</v>
      </c>
      <c r="D1198" s="4">
        <v>1185</v>
      </c>
      <c r="E1198" s="4">
        <v>11005</v>
      </c>
      <c r="F1198" s="16" t="s">
        <v>4317</v>
      </c>
      <c r="G1198" s="4" t="s">
        <v>4318</v>
      </c>
      <c r="H1198" s="4" t="s">
        <v>4319</v>
      </c>
      <c r="I1198" s="4" t="s">
        <v>49</v>
      </c>
      <c r="J1198" s="4" t="s">
        <v>1746</v>
      </c>
      <c r="K1198" s="4">
        <v>1</v>
      </c>
      <c r="L1198" s="4">
        <v>13173</v>
      </c>
      <c r="M1198" s="6"/>
      <c r="AK1198" s="7"/>
      <c r="AO1198" s="65" t="s">
        <v>4317</v>
      </c>
      <c r="AP1198" s="4">
        <v>1185</v>
      </c>
      <c r="AQ1198" s="4" t="s">
        <v>1716</v>
      </c>
      <c r="AR1198" s="4" t="s">
        <v>1717</v>
      </c>
      <c r="AS1198" s="4" t="s">
        <v>1718</v>
      </c>
      <c r="AT1198" s="4" t="s">
        <v>1835</v>
      </c>
      <c r="AU1198" s="4" t="s">
        <v>1836</v>
      </c>
      <c r="AV1198" s="4" t="s">
        <v>1720</v>
      </c>
      <c r="AW1198" s="4" t="s">
        <v>2003</v>
      </c>
      <c r="AX1198" s="4" t="s">
        <v>2024</v>
      </c>
      <c r="AY1198" s="4">
        <v>55.912599999999998</v>
      </c>
      <c r="AZ1198" s="4">
        <v>-122.2514</v>
      </c>
      <c r="BA1198" s="4">
        <v>986</v>
      </c>
    </row>
    <row r="1199" spans="1:53" ht="14.25" customHeight="1" x14ac:dyDescent="0.2">
      <c r="A1199" s="4" t="s">
        <v>422</v>
      </c>
      <c r="B1199" s="4">
        <v>12</v>
      </c>
      <c r="C1199" s="4" t="s">
        <v>7666</v>
      </c>
      <c r="D1199" s="4">
        <v>1188</v>
      </c>
      <c r="E1199" s="4">
        <v>11006</v>
      </c>
      <c r="F1199" s="16" t="s">
        <v>4320</v>
      </c>
      <c r="G1199" s="4" t="s">
        <v>4321</v>
      </c>
      <c r="H1199" s="4" t="s">
        <v>4322</v>
      </c>
      <c r="I1199" s="4" t="s">
        <v>49</v>
      </c>
      <c r="J1199" s="4" t="s">
        <v>1746</v>
      </c>
      <c r="K1199" s="4">
        <v>1</v>
      </c>
      <c r="L1199" s="4">
        <v>13174</v>
      </c>
      <c r="M1199" s="6"/>
      <c r="AK1199" s="7"/>
      <c r="AO1199" s="4" t="s">
        <v>4320</v>
      </c>
      <c r="AP1199" s="4">
        <v>1188</v>
      </c>
      <c r="AQ1199" s="4" t="s">
        <v>1716</v>
      </c>
      <c r="AR1199" s="4" t="s">
        <v>1717</v>
      </c>
      <c r="AS1199" s="4" t="s">
        <v>1718</v>
      </c>
      <c r="AT1199" s="4" t="s">
        <v>1841</v>
      </c>
      <c r="AU1199" s="4" t="s">
        <v>1959</v>
      </c>
      <c r="AV1199" s="4" t="s">
        <v>1720</v>
      </c>
      <c r="AW1199" s="4" t="s">
        <v>2368</v>
      </c>
      <c r="AX1199" s="4" t="s">
        <v>2522</v>
      </c>
      <c r="AY1199" s="4">
        <v>50.555</v>
      </c>
      <c r="AZ1199" s="4">
        <v>-119.5419</v>
      </c>
      <c r="BA1199" s="4">
        <v>1598</v>
      </c>
    </row>
    <row r="1200" spans="1:53" ht="14.25" customHeight="1" x14ac:dyDescent="0.2">
      <c r="A1200" s="4" t="s">
        <v>422</v>
      </c>
      <c r="B1200" s="4">
        <v>12</v>
      </c>
      <c r="C1200" s="4" t="s">
        <v>7666</v>
      </c>
      <c r="D1200" s="4">
        <v>1189</v>
      </c>
      <c r="E1200" s="4">
        <v>11007</v>
      </c>
      <c r="F1200" s="16" t="s">
        <v>4323</v>
      </c>
      <c r="G1200" s="4" t="s">
        <v>4324</v>
      </c>
      <c r="H1200" s="4" t="s">
        <v>4325</v>
      </c>
      <c r="I1200" s="4" t="s">
        <v>49</v>
      </c>
      <c r="J1200" s="4" t="s">
        <v>1746</v>
      </c>
      <c r="K1200" s="4">
        <v>1</v>
      </c>
      <c r="L1200" s="4">
        <v>13175</v>
      </c>
      <c r="M1200" s="6"/>
      <c r="AK1200" s="7"/>
      <c r="AO1200" s="65" t="s">
        <v>4323</v>
      </c>
      <c r="AP1200" s="4">
        <v>1189</v>
      </c>
      <c r="AQ1200" s="4" t="s">
        <v>1716</v>
      </c>
      <c r="AR1200" s="4" t="s">
        <v>1717</v>
      </c>
      <c r="AS1200" s="4" t="s">
        <v>1718</v>
      </c>
      <c r="AT1200" s="4" t="s">
        <v>1835</v>
      </c>
      <c r="AU1200" s="4" t="s">
        <v>1836</v>
      </c>
      <c r="AV1200" s="4" t="s">
        <v>1720</v>
      </c>
      <c r="AW1200" s="4" t="s">
        <v>2193</v>
      </c>
      <c r="AX1200" s="4" t="s">
        <v>2139</v>
      </c>
      <c r="AY1200" s="4">
        <v>53.293599999999998</v>
      </c>
      <c r="AZ1200" s="4">
        <v>-124.9092</v>
      </c>
      <c r="BA1200" s="4">
        <v>1171</v>
      </c>
    </row>
    <row r="1201" spans="1:53" ht="14.25" customHeight="1" x14ac:dyDescent="0.2">
      <c r="A1201" s="4" t="s">
        <v>422</v>
      </c>
      <c r="B1201" s="4">
        <v>12</v>
      </c>
      <c r="C1201" s="4" t="s">
        <v>7666</v>
      </c>
      <c r="D1201" s="4">
        <v>1190</v>
      </c>
      <c r="E1201" s="4">
        <v>11008</v>
      </c>
      <c r="F1201" s="16" t="s">
        <v>4326</v>
      </c>
      <c r="G1201" s="4" t="s">
        <v>4327</v>
      </c>
      <c r="H1201" s="4" t="s">
        <v>4328</v>
      </c>
      <c r="I1201" s="4" t="s">
        <v>49</v>
      </c>
      <c r="J1201" s="4" t="s">
        <v>1746</v>
      </c>
      <c r="K1201" s="4">
        <v>1</v>
      </c>
      <c r="L1201" s="4">
        <v>13176</v>
      </c>
      <c r="M1201" s="6"/>
      <c r="AK1201" s="7"/>
      <c r="AO1201" s="65" t="s">
        <v>4326</v>
      </c>
      <c r="AP1201" s="4">
        <v>1190</v>
      </c>
      <c r="AQ1201" s="4" t="s">
        <v>1716</v>
      </c>
      <c r="AR1201" s="4" t="s">
        <v>1717</v>
      </c>
      <c r="AS1201" s="4" t="s">
        <v>1718</v>
      </c>
      <c r="AT1201" s="4" t="s">
        <v>1835</v>
      </c>
      <c r="AU1201" s="4" t="s">
        <v>1836</v>
      </c>
      <c r="AW1201" s="4" t="s">
        <v>2003</v>
      </c>
      <c r="AX1201" s="4" t="s">
        <v>2087</v>
      </c>
      <c r="AY1201" s="4">
        <v>56.256300000000003</v>
      </c>
      <c r="AZ1201" s="4">
        <v>-125.0624</v>
      </c>
      <c r="BA1201" s="4">
        <v>1707</v>
      </c>
    </row>
    <row r="1202" spans="1:53" ht="14.25" customHeight="1" x14ac:dyDescent="0.2">
      <c r="A1202" s="4" t="s">
        <v>422</v>
      </c>
      <c r="B1202" s="4">
        <v>12</v>
      </c>
      <c r="C1202" s="4" t="s">
        <v>7666</v>
      </c>
      <c r="D1202" s="4">
        <v>1191</v>
      </c>
      <c r="E1202" s="4">
        <v>11011</v>
      </c>
      <c r="F1202" s="16" t="s">
        <v>4329</v>
      </c>
      <c r="G1202" s="4" t="s">
        <v>4330</v>
      </c>
      <c r="H1202" s="4" t="s">
        <v>4331</v>
      </c>
      <c r="I1202" s="4" t="s">
        <v>49</v>
      </c>
      <c r="J1202" s="4" t="s">
        <v>1746</v>
      </c>
      <c r="K1202" s="4">
        <v>1</v>
      </c>
      <c r="L1202" s="4">
        <v>13179</v>
      </c>
      <c r="M1202" s="6"/>
      <c r="AK1202" s="7"/>
      <c r="AO1202" s="65" t="s">
        <v>4329</v>
      </c>
      <c r="AP1202" s="4">
        <v>1191</v>
      </c>
      <c r="AQ1202" s="4" t="s">
        <v>1716</v>
      </c>
      <c r="AR1202" s="4" t="s">
        <v>1717</v>
      </c>
      <c r="AS1202" s="4" t="s">
        <v>1718</v>
      </c>
      <c r="AT1202" s="4" t="s">
        <v>1835</v>
      </c>
      <c r="AU1202" s="4" t="s">
        <v>1836</v>
      </c>
      <c r="AV1202" s="4" t="s">
        <v>1720</v>
      </c>
      <c r="AW1202" s="4" t="s">
        <v>2698</v>
      </c>
      <c r="AX1202" s="4" t="s">
        <v>2768</v>
      </c>
      <c r="AY1202" s="4">
        <v>50.233899999999998</v>
      </c>
      <c r="AZ1202" s="4">
        <v>-115.4353</v>
      </c>
      <c r="BA1202" s="4">
        <v>1596</v>
      </c>
    </row>
    <row r="1203" spans="1:53" ht="14.25" customHeight="1" x14ac:dyDescent="0.2">
      <c r="A1203" s="4" t="s">
        <v>422</v>
      </c>
      <c r="B1203" s="4">
        <v>12</v>
      </c>
      <c r="C1203" s="4" t="s">
        <v>7666</v>
      </c>
      <c r="D1203" s="4">
        <v>1192</v>
      </c>
      <c r="E1203" s="4">
        <v>11013</v>
      </c>
      <c r="F1203" s="16" t="s">
        <v>4332</v>
      </c>
      <c r="G1203" s="4" t="s">
        <v>4333</v>
      </c>
      <c r="H1203" s="4" t="s">
        <v>4334</v>
      </c>
      <c r="I1203" s="4" t="s">
        <v>49</v>
      </c>
      <c r="J1203" s="4" t="s">
        <v>1746</v>
      </c>
      <c r="K1203" s="4">
        <v>1</v>
      </c>
      <c r="L1203" s="4">
        <v>13181</v>
      </c>
      <c r="M1203" s="6"/>
      <c r="AK1203" s="7"/>
      <c r="AO1203" s="65" t="s">
        <v>4332</v>
      </c>
      <c r="AP1203" s="4">
        <v>1192</v>
      </c>
      <c r="AQ1203" s="4" t="s">
        <v>1716</v>
      </c>
      <c r="AR1203" s="4" t="s">
        <v>1717</v>
      </c>
      <c r="AS1203" s="4" t="s">
        <v>1718</v>
      </c>
      <c r="AT1203" s="4" t="s">
        <v>1835</v>
      </c>
      <c r="AU1203" s="4" t="s">
        <v>1836</v>
      </c>
      <c r="AW1203" s="4" t="s">
        <v>2698</v>
      </c>
      <c r="AX1203" s="4" t="s">
        <v>2797</v>
      </c>
      <c r="AY1203" s="4">
        <v>49.486699999999999</v>
      </c>
      <c r="AZ1203" s="4">
        <v>-117.54649999999999</v>
      </c>
      <c r="BA1203" s="4">
        <v>1550</v>
      </c>
    </row>
    <row r="1204" spans="1:53" ht="14.25" customHeight="1" x14ac:dyDescent="0.2">
      <c r="A1204" s="4" t="s">
        <v>422</v>
      </c>
      <c r="B1204" s="4">
        <v>12</v>
      </c>
      <c r="C1204" s="4" t="s">
        <v>7666</v>
      </c>
      <c r="D1204" s="4">
        <v>1193</v>
      </c>
      <c r="E1204" s="4">
        <v>11014</v>
      </c>
      <c r="F1204" s="16" t="s">
        <v>4335</v>
      </c>
      <c r="G1204" s="4" t="s">
        <v>4336</v>
      </c>
      <c r="H1204" s="4" t="s">
        <v>4337</v>
      </c>
      <c r="I1204" s="4" t="s">
        <v>49</v>
      </c>
      <c r="J1204" s="4" t="s">
        <v>1746</v>
      </c>
      <c r="K1204" s="4">
        <v>1</v>
      </c>
      <c r="L1204" s="4">
        <v>13182</v>
      </c>
      <c r="M1204" s="6"/>
      <c r="AK1204" s="7"/>
      <c r="AO1204" s="65" t="s">
        <v>4335</v>
      </c>
      <c r="AP1204" s="4">
        <v>1193</v>
      </c>
      <c r="AQ1204" s="4" t="s">
        <v>1716</v>
      </c>
      <c r="AR1204" s="4" t="s">
        <v>1717</v>
      </c>
      <c r="AS1204" s="4" t="s">
        <v>1718</v>
      </c>
      <c r="AT1204" s="4" t="s">
        <v>1835</v>
      </c>
      <c r="AU1204" s="4" t="s">
        <v>1836</v>
      </c>
      <c r="AV1204" s="4" t="s">
        <v>1720</v>
      </c>
      <c r="AW1204" s="4" t="s">
        <v>2193</v>
      </c>
      <c r="AX1204" s="4" t="s">
        <v>2194</v>
      </c>
      <c r="AY1204" s="4">
        <v>52.905000000000001</v>
      </c>
      <c r="AZ1204" s="4">
        <v>-124.18989999999999</v>
      </c>
      <c r="BA1204" s="4">
        <v>1215</v>
      </c>
    </row>
    <row r="1205" spans="1:53" ht="14.25" customHeight="1" x14ac:dyDescent="0.2">
      <c r="A1205" s="8" t="s">
        <v>4338</v>
      </c>
      <c r="B1205" s="4">
        <v>12</v>
      </c>
      <c r="C1205" s="8" t="s">
        <v>7674</v>
      </c>
      <c r="D1205" s="4">
        <v>1199</v>
      </c>
      <c r="E1205" s="4">
        <v>11017</v>
      </c>
      <c r="F1205" s="4" t="s">
        <v>4340</v>
      </c>
      <c r="G1205" s="8" t="s">
        <v>4341</v>
      </c>
      <c r="H1205" s="8" t="s">
        <v>4342</v>
      </c>
      <c r="I1205" s="4" t="s">
        <v>49</v>
      </c>
      <c r="J1205" s="4" t="s">
        <v>1746</v>
      </c>
      <c r="K1205" s="4">
        <v>1</v>
      </c>
      <c r="L1205" s="4">
        <v>13185</v>
      </c>
      <c r="M1205" s="6">
        <v>52.279578999999998</v>
      </c>
      <c r="N1205" s="4">
        <v>-126.89054299999999</v>
      </c>
      <c r="O1205" s="4" t="s">
        <v>51</v>
      </c>
      <c r="P1205" s="4" t="s">
        <v>4343</v>
      </c>
      <c r="Q1205" s="4">
        <v>6</v>
      </c>
      <c r="R1205" s="4" t="s">
        <v>4340</v>
      </c>
      <c r="S1205" s="4" t="s">
        <v>4344</v>
      </c>
      <c r="T1205" s="4">
        <v>1260</v>
      </c>
      <c r="V1205" s="4" t="s">
        <v>4345</v>
      </c>
      <c r="W1205" s="4" t="s">
        <v>4346</v>
      </c>
      <c r="X1205" s="4" t="s">
        <v>4347</v>
      </c>
      <c r="AK1205" s="7"/>
      <c r="AO1205" s="4" t="s">
        <v>4340</v>
      </c>
      <c r="AP1205" s="4">
        <v>1199</v>
      </c>
      <c r="AQ1205" s="4" t="s">
        <v>1716</v>
      </c>
      <c r="AR1205" s="4" t="s">
        <v>1701</v>
      </c>
      <c r="AS1205" s="4" t="s">
        <v>1740</v>
      </c>
      <c r="AT1205" s="4" t="s">
        <v>1835</v>
      </c>
      <c r="AU1205" s="4" t="s">
        <v>1742</v>
      </c>
      <c r="AV1205" s="4" t="s">
        <v>1720</v>
      </c>
      <c r="AW1205" s="4" t="s">
        <v>1705</v>
      </c>
      <c r="AX1205" s="4" t="s">
        <v>1965</v>
      </c>
      <c r="AY1205" s="4">
        <v>52.279899999999998</v>
      </c>
      <c r="AZ1205" s="4">
        <v>-126.89019999999999</v>
      </c>
      <c r="BA1205" s="4">
        <v>1275</v>
      </c>
    </row>
    <row r="1206" spans="1:53" ht="14.25" customHeight="1" x14ac:dyDescent="0.2">
      <c r="A1206" s="4" t="s">
        <v>422</v>
      </c>
      <c r="B1206" s="4">
        <v>12</v>
      </c>
      <c r="C1206" s="4" t="s">
        <v>7666</v>
      </c>
      <c r="D1206" s="4">
        <v>1201</v>
      </c>
      <c r="E1206" s="4">
        <v>11018</v>
      </c>
      <c r="F1206" s="16" t="s">
        <v>4348</v>
      </c>
      <c r="G1206" s="4" t="s">
        <v>4349</v>
      </c>
      <c r="H1206" s="4" t="s">
        <v>4350</v>
      </c>
      <c r="I1206" s="4" t="s">
        <v>49</v>
      </c>
      <c r="J1206" s="4" t="s">
        <v>1746</v>
      </c>
      <c r="K1206" s="4">
        <v>1</v>
      </c>
      <c r="L1206" s="4">
        <v>13186</v>
      </c>
      <c r="M1206" s="6"/>
      <c r="AK1206" s="7"/>
      <c r="AO1206" s="65" t="s">
        <v>4348</v>
      </c>
      <c r="AP1206" s="4">
        <v>1201</v>
      </c>
      <c r="AQ1206" s="4" t="s">
        <v>1716</v>
      </c>
      <c r="AR1206" s="4" t="s">
        <v>1717</v>
      </c>
      <c r="AS1206" s="4" t="s">
        <v>1718</v>
      </c>
      <c r="AT1206" s="4" t="s">
        <v>1835</v>
      </c>
      <c r="AU1206" s="4" t="s">
        <v>1836</v>
      </c>
      <c r="AV1206" s="4" t="s">
        <v>1720</v>
      </c>
      <c r="AW1206" s="4" t="s">
        <v>2698</v>
      </c>
      <c r="AX1206" s="4" t="s">
        <v>2801</v>
      </c>
      <c r="AY1206" s="4">
        <v>49.976100000000002</v>
      </c>
      <c r="AZ1206" s="4">
        <v>-117.0108</v>
      </c>
      <c r="BA1206" s="4">
        <v>877</v>
      </c>
    </row>
    <row r="1207" spans="1:53" ht="14.25" customHeight="1" x14ac:dyDescent="0.2">
      <c r="B1207" s="4">
        <v>12</v>
      </c>
      <c r="C1207" s="4" t="s">
        <v>7666</v>
      </c>
      <c r="D1207" s="4">
        <v>1203</v>
      </c>
      <c r="E1207" s="4">
        <v>11019</v>
      </c>
      <c r="F1207" s="4" t="s">
        <v>4351</v>
      </c>
      <c r="G1207" s="4" t="s">
        <v>4352</v>
      </c>
      <c r="H1207" s="4" t="s">
        <v>4353</v>
      </c>
      <c r="I1207" s="4" t="s">
        <v>49</v>
      </c>
      <c r="J1207" s="4" t="s">
        <v>1829</v>
      </c>
      <c r="K1207" s="4">
        <v>1</v>
      </c>
      <c r="L1207" s="4">
        <v>13187</v>
      </c>
      <c r="M1207" s="6">
        <v>49.3576111</v>
      </c>
      <c r="N1207" s="4">
        <v>-116.95025</v>
      </c>
      <c r="O1207" s="4" t="s">
        <v>170</v>
      </c>
      <c r="P1207" s="4">
        <v>1203</v>
      </c>
      <c r="Q1207" s="4">
        <v>5</v>
      </c>
      <c r="R1207" s="4" t="s">
        <v>4351</v>
      </c>
      <c r="S1207" s="4" t="s">
        <v>1737</v>
      </c>
      <c r="T1207" s="4">
        <v>1657</v>
      </c>
      <c r="X1207" s="4" t="s">
        <v>1738</v>
      </c>
      <c r="AK1207" s="7"/>
      <c r="AO1207" s="4" t="s">
        <v>4351</v>
      </c>
      <c r="AP1207" s="4">
        <v>1203</v>
      </c>
      <c r="AQ1207" s="4" t="s">
        <v>1716</v>
      </c>
      <c r="AR1207" s="4" t="s">
        <v>1739</v>
      </c>
      <c r="AS1207" s="4" t="s">
        <v>1740</v>
      </c>
      <c r="AT1207" s="4" t="s">
        <v>1741</v>
      </c>
      <c r="AU1207" s="4" t="s">
        <v>1742</v>
      </c>
      <c r="AV1207" s="4" t="s">
        <v>1720</v>
      </c>
      <c r="AW1207" s="4" t="s">
        <v>2698</v>
      </c>
      <c r="AX1207" s="4" t="s">
        <v>2801</v>
      </c>
      <c r="AY1207" s="4">
        <v>49.357599999999998</v>
      </c>
      <c r="AZ1207" s="4">
        <v>-116.9502</v>
      </c>
      <c r="BA1207" s="4">
        <v>1657</v>
      </c>
    </row>
    <row r="1208" spans="1:53" ht="14.25" customHeight="1" x14ac:dyDescent="0.2">
      <c r="A1208" s="4" t="s">
        <v>422</v>
      </c>
      <c r="B1208" s="4">
        <v>12</v>
      </c>
      <c r="C1208" s="4" t="s">
        <v>7666</v>
      </c>
      <c r="D1208" s="4">
        <v>1204</v>
      </c>
      <c r="E1208" s="4">
        <v>11033</v>
      </c>
      <c r="F1208" s="16" t="s">
        <v>4354</v>
      </c>
      <c r="G1208" s="4" t="s">
        <v>4355</v>
      </c>
      <c r="H1208" s="4" t="s">
        <v>4356</v>
      </c>
      <c r="I1208" s="4" t="s">
        <v>49</v>
      </c>
      <c r="J1208" s="4" t="s">
        <v>1746</v>
      </c>
      <c r="K1208" s="4">
        <v>1</v>
      </c>
      <c r="L1208" s="4">
        <v>13201</v>
      </c>
      <c r="M1208" s="6"/>
      <c r="AK1208" s="7"/>
      <c r="AO1208" s="4" t="s">
        <v>4354</v>
      </c>
      <c r="AP1208" s="4">
        <v>1204</v>
      </c>
      <c r="AQ1208" s="4" t="s">
        <v>1716</v>
      </c>
      <c r="AR1208" s="4" t="s">
        <v>1717</v>
      </c>
      <c r="AS1208" s="4" t="s">
        <v>1718</v>
      </c>
      <c r="AT1208" s="4" t="s">
        <v>1835</v>
      </c>
      <c r="AU1208" s="4" t="s">
        <v>1836</v>
      </c>
      <c r="AV1208" s="4" t="s">
        <v>1720</v>
      </c>
      <c r="AW1208" s="4" t="s">
        <v>1705</v>
      </c>
      <c r="AX1208" s="4" t="s">
        <v>1883</v>
      </c>
      <c r="AY1208" s="4">
        <v>49.115499999999997</v>
      </c>
      <c r="AZ1208" s="4">
        <v>-122.7343</v>
      </c>
      <c r="BA1208" s="4">
        <v>15</v>
      </c>
    </row>
    <row r="1209" spans="1:53" ht="14.25" customHeight="1" x14ac:dyDescent="0.2">
      <c r="A1209" s="4" t="s">
        <v>422</v>
      </c>
      <c r="B1209" s="4">
        <v>12</v>
      </c>
      <c r="C1209" s="4" t="s">
        <v>7666</v>
      </c>
      <c r="D1209" s="4">
        <v>1206</v>
      </c>
      <c r="E1209" s="4">
        <v>11409</v>
      </c>
      <c r="F1209" s="16" t="s">
        <v>4357</v>
      </c>
      <c r="G1209" s="4" t="s">
        <v>4358</v>
      </c>
      <c r="H1209" s="4" t="s">
        <v>4359</v>
      </c>
      <c r="I1209" s="4" t="s">
        <v>49</v>
      </c>
      <c r="J1209" s="4" t="s">
        <v>1746</v>
      </c>
      <c r="K1209" s="4">
        <v>1</v>
      </c>
      <c r="L1209" s="4">
        <v>13470</v>
      </c>
      <c r="M1209" s="6"/>
      <c r="AK1209" s="7"/>
      <c r="AO1209" s="65" t="s">
        <v>4357</v>
      </c>
      <c r="AP1209" s="4">
        <v>1206</v>
      </c>
      <c r="AQ1209" s="4" t="s">
        <v>1716</v>
      </c>
      <c r="AR1209" s="4" t="s">
        <v>1717</v>
      </c>
      <c r="AS1209" s="4" t="s">
        <v>1718</v>
      </c>
      <c r="AT1209" s="4" t="s">
        <v>1835</v>
      </c>
      <c r="AU1209" s="4" t="s">
        <v>1836</v>
      </c>
      <c r="AV1209" s="4" t="s">
        <v>1720</v>
      </c>
      <c r="AX1209" s="4" t="s">
        <v>2801</v>
      </c>
      <c r="AY1209" s="4">
        <v>49.9846</v>
      </c>
      <c r="AZ1209" s="4">
        <v>-117.0256</v>
      </c>
      <c r="BA1209" s="4">
        <v>911</v>
      </c>
    </row>
    <row r="1210" spans="1:53" ht="14.25" customHeight="1" x14ac:dyDescent="0.2">
      <c r="A1210" s="4" t="s">
        <v>422</v>
      </c>
      <c r="B1210" s="4">
        <v>12</v>
      </c>
      <c r="C1210" s="4" t="s">
        <v>7666</v>
      </c>
      <c r="D1210" s="4">
        <v>1207</v>
      </c>
      <c r="E1210" s="4">
        <v>11410</v>
      </c>
      <c r="F1210" s="16" t="s">
        <v>4360</v>
      </c>
      <c r="G1210" s="4" t="s">
        <v>4361</v>
      </c>
      <c r="H1210" s="4" t="s">
        <v>4362</v>
      </c>
      <c r="I1210" s="4" t="s">
        <v>49</v>
      </c>
      <c r="J1210" s="4" t="s">
        <v>1746</v>
      </c>
      <c r="K1210" s="4">
        <v>1</v>
      </c>
      <c r="L1210" s="4">
        <v>13471</v>
      </c>
      <c r="M1210" s="6"/>
      <c r="AK1210" s="7"/>
      <c r="AO1210" s="65" t="s">
        <v>4360</v>
      </c>
      <c r="AP1210" s="4">
        <v>1207</v>
      </c>
      <c r="AQ1210" s="4" t="s">
        <v>1716</v>
      </c>
      <c r="AR1210" s="4" t="s">
        <v>1717</v>
      </c>
      <c r="AS1210" s="4" t="s">
        <v>1718</v>
      </c>
      <c r="AT1210" s="4" t="s">
        <v>1835</v>
      </c>
      <c r="AU1210" s="4" t="s">
        <v>1836</v>
      </c>
      <c r="AV1210" s="4" t="s">
        <v>1720</v>
      </c>
      <c r="AW1210" s="4" t="s">
        <v>1947</v>
      </c>
      <c r="AX1210" s="4" t="s">
        <v>2148</v>
      </c>
      <c r="AY1210" s="4">
        <v>53.775199999999998</v>
      </c>
      <c r="AZ1210" s="4">
        <v>-125.4413</v>
      </c>
      <c r="BA1210" s="4">
        <v>903</v>
      </c>
    </row>
    <row r="1211" spans="1:53" ht="14.25" customHeight="1" x14ac:dyDescent="0.2">
      <c r="A1211" s="4" t="s">
        <v>422</v>
      </c>
      <c r="B1211" s="4">
        <v>12</v>
      </c>
      <c r="C1211" s="4" t="s">
        <v>7666</v>
      </c>
      <c r="D1211" s="4">
        <v>1208</v>
      </c>
      <c r="E1211" s="4">
        <v>11411</v>
      </c>
      <c r="F1211" s="16" t="s">
        <v>4363</v>
      </c>
      <c r="G1211" s="4" t="s">
        <v>4364</v>
      </c>
      <c r="H1211" s="4" t="s">
        <v>4365</v>
      </c>
      <c r="I1211" s="4" t="s">
        <v>49</v>
      </c>
      <c r="J1211" s="4" t="s">
        <v>1746</v>
      </c>
      <c r="K1211" s="4">
        <v>1</v>
      </c>
      <c r="L1211" s="4">
        <v>13472</v>
      </c>
      <c r="M1211" s="6"/>
      <c r="AK1211" s="7"/>
      <c r="AO1211" s="65" t="s">
        <v>4363</v>
      </c>
      <c r="AP1211" s="4">
        <v>1208</v>
      </c>
      <c r="AQ1211" s="4" t="s">
        <v>1716</v>
      </c>
      <c r="AR1211" s="4" t="s">
        <v>1717</v>
      </c>
      <c r="AS1211" s="4" t="s">
        <v>1718</v>
      </c>
      <c r="AT1211" s="4" t="s">
        <v>1835</v>
      </c>
      <c r="AU1211" s="4" t="s">
        <v>1836</v>
      </c>
      <c r="AV1211" s="4" t="s">
        <v>1720</v>
      </c>
      <c r="AW1211" s="4" t="s">
        <v>2003</v>
      </c>
      <c r="AX1211" s="4" t="s">
        <v>2004</v>
      </c>
      <c r="AY1211" s="4">
        <v>58.0443</v>
      </c>
      <c r="AZ1211" s="4">
        <v>-121.65430000000001</v>
      </c>
      <c r="BA1211" s="4">
        <v>853</v>
      </c>
    </row>
    <row r="1212" spans="1:53" ht="14.25" customHeight="1" x14ac:dyDescent="0.2">
      <c r="A1212" s="4" t="s">
        <v>422</v>
      </c>
      <c r="B1212" s="4">
        <v>12</v>
      </c>
      <c r="C1212" s="4" t="s">
        <v>7666</v>
      </c>
      <c r="D1212" s="4">
        <v>1212</v>
      </c>
      <c r="E1212" s="4">
        <v>11412</v>
      </c>
      <c r="F1212" s="16" t="s">
        <v>4366</v>
      </c>
      <c r="G1212" s="4" t="s">
        <v>4367</v>
      </c>
      <c r="H1212" s="4" t="s">
        <v>4368</v>
      </c>
      <c r="I1212" s="4" t="s">
        <v>49</v>
      </c>
      <c r="J1212" s="4" t="s">
        <v>1746</v>
      </c>
      <c r="K1212" s="4">
        <v>1</v>
      </c>
      <c r="L1212" s="4">
        <v>13473</v>
      </c>
      <c r="M1212" s="6"/>
      <c r="AK1212" s="7"/>
      <c r="AO1212" s="4" t="s">
        <v>4366</v>
      </c>
      <c r="AP1212" s="4">
        <v>1212</v>
      </c>
      <c r="AQ1212" s="4" t="s">
        <v>1716</v>
      </c>
      <c r="AR1212" s="4" t="s">
        <v>1717</v>
      </c>
      <c r="AS1212" s="4" t="s">
        <v>1718</v>
      </c>
      <c r="AT1212" s="4" t="s">
        <v>1841</v>
      </c>
      <c r="AU1212" s="4" t="s">
        <v>1959</v>
      </c>
      <c r="AV1212" s="4" t="s">
        <v>1720</v>
      </c>
      <c r="AW1212" s="4" t="s">
        <v>2368</v>
      </c>
      <c r="AX1212" s="4" t="s">
        <v>2516</v>
      </c>
      <c r="AY1212" s="4">
        <v>49.637799999999999</v>
      </c>
      <c r="AZ1212" s="4">
        <v>-120.02330000000001</v>
      </c>
      <c r="BA1212" s="4">
        <v>1491</v>
      </c>
    </row>
    <row r="1213" spans="1:53" ht="14.25" customHeight="1" x14ac:dyDescent="0.2">
      <c r="A1213" s="4" t="s">
        <v>422</v>
      </c>
      <c r="B1213" s="4">
        <v>12</v>
      </c>
      <c r="C1213" s="4" t="s">
        <v>7666</v>
      </c>
      <c r="D1213" s="4">
        <v>1213</v>
      </c>
      <c r="E1213" s="4">
        <v>11414</v>
      </c>
      <c r="F1213" s="16" t="s">
        <v>4369</v>
      </c>
      <c r="G1213" s="4" t="s">
        <v>4370</v>
      </c>
      <c r="H1213" s="4" t="s">
        <v>4371</v>
      </c>
      <c r="I1213" s="4" t="s">
        <v>49</v>
      </c>
      <c r="J1213" s="4" t="s">
        <v>1746</v>
      </c>
      <c r="K1213" s="4">
        <v>1</v>
      </c>
      <c r="L1213" s="4">
        <v>13475</v>
      </c>
      <c r="M1213" s="6"/>
      <c r="AK1213" s="7"/>
      <c r="AO1213" s="4" t="s">
        <v>4369</v>
      </c>
      <c r="AP1213" s="4">
        <v>1213</v>
      </c>
      <c r="AQ1213" s="4" t="s">
        <v>1716</v>
      </c>
      <c r="AR1213" s="4" t="s">
        <v>1717</v>
      </c>
      <c r="AS1213" s="4" t="s">
        <v>1718</v>
      </c>
      <c r="AT1213" s="4" t="s">
        <v>1841</v>
      </c>
      <c r="AU1213" s="4" t="s">
        <v>1959</v>
      </c>
      <c r="AW1213" s="4" t="s">
        <v>2368</v>
      </c>
      <c r="AX1213" s="4" t="s">
        <v>2707</v>
      </c>
      <c r="AY1213" s="4">
        <v>50.634399999999999</v>
      </c>
      <c r="AZ1213" s="4">
        <v>-118.7794</v>
      </c>
      <c r="BA1213" s="4">
        <v>912</v>
      </c>
    </row>
    <row r="1214" spans="1:53" ht="14.25" customHeight="1" x14ac:dyDescent="0.2">
      <c r="A1214" s="4" t="s">
        <v>422</v>
      </c>
      <c r="B1214" s="4">
        <v>12</v>
      </c>
      <c r="C1214" s="4" t="s">
        <v>7666</v>
      </c>
      <c r="D1214" s="4">
        <v>1214</v>
      </c>
      <c r="E1214" s="4">
        <v>11413</v>
      </c>
      <c r="F1214" s="16" t="s">
        <v>4372</v>
      </c>
      <c r="G1214" s="4" t="s">
        <v>4373</v>
      </c>
      <c r="H1214" s="4" t="s">
        <v>4374</v>
      </c>
      <c r="I1214" s="4" t="s">
        <v>49</v>
      </c>
      <c r="J1214" s="4" t="s">
        <v>1746</v>
      </c>
      <c r="K1214" s="4">
        <v>1</v>
      </c>
      <c r="L1214" s="4">
        <v>13474</v>
      </c>
      <c r="M1214" s="6"/>
      <c r="AK1214" s="7"/>
      <c r="AO1214" s="4" t="s">
        <v>4372</v>
      </c>
      <c r="AP1214" s="4">
        <v>1214</v>
      </c>
      <c r="AQ1214" s="4" t="s">
        <v>1716</v>
      </c>
      <c r="AR1214" s="4" t="s">
        <v>1717</v>
      </c>
      <c r="AS1214" s="4" t="s">
        <v>1718</v>
      </c>
      <c r="AT1214" s="4" t="s">
        <v>1841</v>
      </c>
      <c r="AU1214" s="4" t="s">
        <v>1959</v>
      </c>
      <c r="AW1214" s="4" t="s">
        <v>2368</v>
      </c>
      <c r="AX1214" s="4" t="s">
        <v>2522</v>
      </c>
      <c r="AY1214" s="4">
        <v>50.408799999999999</v>
      </c>
      <c r="AZ1214" s="4">
        <v>-118.4453</v>
      </c>
      <c r="BA1214" s="4">
        <v>1223</v>
      </c>
    </row>
    <row r="1215" spans="1:53" ht="14.25" customHeight="1" x14ac:dyDescent="0.2">
      <c r="B1215" s="4">
        <v>12</v>
      </c>
      <c r="C1215" s="4" t="s">
        <v>7666</v>
      </c>
      <c r="D1215" s="4">
        <v>1215</v>
      </c>
      <c r="E1215" s="4">
        <v>11416</v>
      </c>
      <c r="F1215" s="16" t="s">
        <v>4375</v>
      </c>
      <c r="G1215" s="4" t="s">
        <v>4376</v>
      </c>
      <c r="H1215" s="4" t="s">
        <v>4377</v>
      </c>
      <c r="I1215" s="4" t="s">
        <v>49</v>
      </c>
      <c r="J1215" s="4" t="s">
        <v>1746</v>
      </c>
      <c r="K1215" s="4">
        <v>1</v>
      </c>
      <c r="L1215" s="4">
        <v>13477</v>
      </c>
      <c r="M1215" s="6"/>
      <c r="AK1215" s="7"/>
      <c r="AO1215" s="4" t="s">
        <v>4375</v>
      </c>
      <c r="AP1215" s="4">
        <v>1215</v>
      </c>
      <c r="AQ1215" s="4" t="s">
        <v>1716</v>
      </c>
      <c r="AR1215" s="4" t="s">
        <v>1717</v>
      </c>
      <c r="AS1215" s="4" t="s">
        <v>1718</v>
      </c>
      <c r="AT1215" s="4" t="s">
        <v>1841</v>
      </c>
      <c r="AU1215" s="4" t="s">
        <v>1959</v>
      </c>
      <c r="AW1215" s="4" t="s">
        <v>2368</v>
      </c>
      <c r="AX1215" s="4" t="s">
        <v>2516</v>
      </c>
      <c r="AY1215" s="4">
        <v>49.985300000000002</v>
      </c>
      <c r="AZ1215" s="4">
        <v>-119.2294</v>
      </c>
      <c r="BA1215" s="4">
        <v>1395</v>
      </c>
    </row>
    <row r="1216" spans="1:53" ht="14.25" customHeight="1" x14ac:dyDescent="0.2">
      <c r="A1216" s="4" t="s">
        <v>422</v>
      </c>
      <c r="B1216" s="4">
        <v>12</v>
      </c>
      <c r="C1216" s="4" t="s">
        <v>7666</v>
      </c>
      <c r="D1216" s="4">
        <v>1216</v>
      </c>
      <c r="E1216" s="4">
        <v>11415</v>
      </c>
      <c r="F1216" s="16" t="s">
        <v>4378</v>
      </c>
      <c r="G1216" s="4" t="s">
        <v>4379</v>
      </c>
      <c r="H1216" s="4" t="s">
        <v>4380</v>
      </c>
      <c r="I1216" s="4" t="s">
        <v>49</v>
      </c>
      <c r="J1216" s="4" t="s">
        <v>1746</v>
      </c>
      <c r="K1216" s="4">
        <v>1</v>
      </c>
      <c r="L1216" s="4">
        <v>13476</v>
      </c>
      <c r="M1216" s="6"/>
      <c r="AK1216" s="7"/>
      <c r="AO1216" s="4" t="s">
        <v>4378</v>
      </c>
      <c r="AP1216" s="4">
        <v>1216</v>
      </c>
      <c r="AQ1216" s="4" t="s">
        <v>1716</v>
      </c>
      <c r="AR1216" s="4" t="s">
        <v>1717</v>
      </c>
      <c r="AS1216" s="4" t="s">
        <v>1718</v>
      </c>
      <c r="AT1216" s="4" t="s">
        <v>1841</v>
      </c>
      <c r="AU1216" s="4" t="s">
        <v>1959</v>
      </c>
      <c r="AW1216" s="4" t="s">
        <v>2368</v>
      </c>
      <c r="AX1216" s="4" t="s">
        <v>2516</v>
      </c>
      <c r="AY1216" s="4">
        <v>50.070599999999999</v>
      </c>
      <c r="AZ1216" s="4">
        <v>-119.69110000000001</v>
      </c>
      <c r="BA1216" s="4">
        <v>1429</v>
      </c>
    </row>
    <row r="1217" spans="1:53" ht="14.25" customHeight="1" x14ac:dyDescent="0.2">
      <c r="A1217" s="4" t="s">
        <v>422</v>
      </c>
      <c r="B1217" s="4">
        <v>12</v>
      </c>
      <c r="C1217" s="4" t="s">
        <v>7666</v>
      </c>
      <c r="D1217" s="4">
        <v>1217</v>
      </c>
      <c r="E1217" s="4">
        <v>11417</v>
      </c>
      <c r="F1217" s="16" t="s">
        <v>4381</v>
      </c>
      <c r="G1217" s="4" t="s">
        <v>4382</v>
      </c>
      <c r="H1217" s="4" t="s">
        <v>4383</v>
      </c>
      <c r="I1217" s="4" t="s">
        <v>49</v>
      </c>
      <c r="J1217" s="4" t="s">
        <v>1746</v>
      </c>
      <c r="K1217" s="4">
        <v>1</v>
      </c>
      <c r="L1217" s="4">
        <v>13478</v>
      </c>
      <c r="M1217" s="6"/>
      <c r="AK1217" s="7"/>
      <c r="AO1217" s="65" t="s">
        <v>4381</v>
      </c>
      <c r="AP1217" s="4">
        <v>1217</v>
      </c>
      <c r="AQ1217" s="4" t="s">
        <v>1716</v>
      </c>
      <c r="AR1217" s="4" t="s">
        <v>1717</v>
      </c>
      <c r="AS1217" s="4" t="s">
        <v>1718</v>
      </c>
      <c r="AT1217" s="4" t="s">
        <v>1835</v>
      </c>
      <c r="AU1217" s="4" t="s">
        <v>1836</v>
      </c>
      <c r="AV1217" s="4" t="s">
        <v>1720</v>
      </c>
      <c r="AW1217" s="4" t="s">
        <v>1705</v>
      </c>
      <c r="AX1217" s="4" t="s">
        <v>1879</v>
      </c>
      <c r="AY1217" s="4">
        <v>50.118400000000001</v>
      </c>
      <c r="AZ1217" s="4">
        <v>-123.44289999999999</v>
      </c>
      <c r="BA1217" s="4">
        <v>317</v>
      </c>
    </row>
    <row r="1218" spans="1:53" ht="14.25" customHeight="1" x14ac:dyDescent="0.2">
      <c r="A1218" s="4" t="s">
        <v>88</v>
      </c>
      <c r="B1218" s="4">
        <v>12</v>
      </c>
      <c r="C1218" s="4" t="s">
        <v>7666</v>
      </c>
      <c r="D1218" s="4">
        <v>1218</v>
      </c>
      <c r="E1218" s="4">
        <v>11419</v>
      </c>
      <c r="F1218" s="4" t="s">
        <v>4384</v>
      </c>
      <c r="G1218" s="8" t="s">
        <v>4385</v>
      </c>
      <c r="H1218" s="4" t="s">
        <v>4386</v>
      </c>
      <c r="I1218" s="4" t="s">
        <v>49</v>
      </c>
      <c r="J1218" s="4" t="s">
        <v>1829</v>
      </c>
      <c r="K1218" s="4">
        <v>1</v>
      </c>
      <c r="L1218" s="4">
        <v>13480</v>
      </c>
      <c r="M1218" s="6">
        <v>49.818060000000003</v>
      </c>
      <c r="N1218" s="4">
        <v>-124.44944</v>
      </c>
      <c r="O1218" s="4" t="s">
        <v>183</v>
      </c>
      <c r="P1218" s="4">
        <v>1218</v>
      </c>
      <c r="Q1218" s="4">
        <v>3</v>
      </c>
      <c r="R1218" s="4" t="s">
        <v>4384</v>
      </c>
      <c r="S1218" s="4" t="s">
        <v>1737</v>
      </c>
      <c r="T1218" s="4">
        <v>100</v>
      </c>
      <c r="W1218" s="4">
        <v>42178</v>
      </c>
      <c r="X1218" s="4" t="s">
        <v>1738</v>
      </c>
      <c r="AK1218" s="7"/>
      <c r="AO1218" s="4" t="s">
        <v>4384</v>
      </c>
      <c r="AP1218" s="4">
        <v>1218</v>
      </c>
      <c r="AQ1218" s="4" t="s">
        <v>1716</v>
      </c>
      <c r="AR1218" s="4" t="s">
        <v>1739</v>
      </c>
      <c r="AS1218" s="4" t="s">
        <v>1740</v>
      </c>
      <c r="AT1218" s="4" t="s">
        <v>1741</v>
      </c>
      <c r="AU1218" s="4" t="s">
        <v>1742</v>
      </c>
      <c r="AV1218" s="4" t="s">
        <v>1720</v>
      </c>
      <c r="AW1218" s="4" t="s">
        <v>1705</v>
      </c>
      <c r="AX1218" s="4" t="s">
        <v>1837</v>
      </c>
      <c r="AY1218" s="4">
        <v>49.817999999999998</v>
      </c>
      <c r="AZ1218" s="4">
        <v>-124.4499</v>
      </c>
      <c r="BA1218" s="4">
        <v>160</v>
      </c>
    </row>
    <row r="1219" spans="1:53" ht="14.25" customHeight="1" x14ac:dyDescent="0.2">
      <c r="A1219" s="4" t="s">
        <v>422</v>
      </c>
      <c r="B1219" s="4">
        <v>12</v>
      </c>
      <c r="C1219" s="4" t="s">
        <v>7666</v>
      </c>
      <c r="D1219" s="4">
        <v>1219</v>
      </c>
      <c r="E1219" s="4">
        <v>11418</v>
      </c>
      <c r="F1219" s="16" t="s">
        <v>4387</v>
      </c>
      <c r="G1219" s="4" t="s">
        <v>4388</v>
      </c>
      <c r="H1219" s="4" t="s">
        <v>4389</v>
      </c>
      <c r="I1219" s="4" t="s">
        <v>49</v>
      </c>
      <c r="J1219" s="4" t="s">
        <v>1746</v>
      </c>
      <c r="K1219" s="4">
        <v>1</v>
      </c>
      <c r="L1219" s="4">
        <v>13479</v>
      </c>
      <c r="M1219" s="6"/>
      <c r="AK1219" s="7"/>
      <c r="AO1219" s="65" t="s">
        <v>4387</v>
      </c>
      <c r="AP1219" s="4">
        <v>1219</v>
      </c>
      <c r="AQ1219" s="4" t="s">
        <v>1716</v>
      </c>
      <c r="AR1219" s="4" t="s">
        <v>1717</v>
      </c>
      <c r="AS1219" s="4" t="s">
        <v>1718</v>
      </c>
      <c r="AT1219" s="4" t="s">
        <v>1835</v>
      </c>
      <c r="AU1219" s="4" t="s">
        <v>1836</v>
      </c>
      <c r="AV1219" s="4" t="s">
        <v>1720</v>
      </c>
      <c r="AW1219" s="4" t="s">
        <v>1947</v>
      </c>
      <c r="AX1219" s="4" t="s">
        <v>1986</v>
      </c>
      <c r="AY1219" s="4">
        <v>58.709499999999998</v>
      </c>
      <c r="AZ1219" s="4">
        <v>-132.96350000000001</v>
      </c>
      <c r="BA1219" s="4">
        <v>627</v>
      </c>
    </row>
    <row r="1220" spans="1:53" ht="14.25" customHeight="1" x14ac:dyDescent="0.2">
      <c r="A1220" s="4" t="s">
        <v>422</v>
      </c>
      <c r="B1220" s="4">
        <v>12</v>
      </c>
      <c r="C1220" s="4" t="s">
        <v>7666</v>
      </c>
      <c r="D1220" s="4">
        <v>1220</v>
      </c>
      <c r="E1220" s="4">
        <v>11420</v>
      </c>
      <c r="F1220" s="16" t="s">
        <v>4390</v>
      </c>
      <c r="G1220" s="4" t="s">
        <v>4391</v>
      </c>
      <c r="H1220" s="4" t="s">
        <v>4392</v>
      </c>
      <c r="I1220" s="4" t="s">
        <v>49</v>
      </c>
      <c r="J1220" s="4" t="s">
        <v>1746</v>
      </c>
      <c r="K1220" s="4">
        <v>1</v>
      </c>
      <c r="L1220" s="4">
        <v>13481</v>
      </c>
      <c r="M1220" s="6"/>
      <c r="AK1220" s="7"/>
      <c r="AO1220" s="65" t="s">
        <v>4390</v>
      </c>
      <c r="AP1220" s="4">
        <v>1220</v>
      </c>
      <c r="AQ1220" s="4" t="s">
        <v>1716</v>
      </c>
      <c r="AR1220" s="4" t="s">
        <v>1717</v>
      </c>
      <c r="AS1220" s="4" t="s">
        <v>1718</v>
      </c>
      <c r="AT1220" s="4" t="s">
        <v>1835</v>
      </c>
      <c r="AU1220" s="4" t="s">
        <v>1836</v>
      </c>
      <c r="AV1220" s="4" t="s">
        <v>1720</v>
      </c>
      <c r="AW1220" s="4" t="s">
        <v>2698</v>
      </c>
      <c r="AX1220" s="4" t="s">
        <v>2801</v>
      </c>
      <c r="AY1220" s="4">
        <v>49.582500000000003</v>
      </c>
      <c r="AZ1220" s="4">
        <v>-117.2529</v>
      </c>
      <c r="BA1220" s="4">
        <v>1204</v>
      </c>
    </row>
    <row r="1221" spans="1:53" ht="14.25" customHeight="1" x14ac:dyDescent="0.2">
      <c r="B1221" s="4">
        <v>12</v>
      </c>
      <c r="C1221" s="4" t="s">
        <v>7666</v>
      </c>
      <c r="D1221" s="4">
        <v>1221</v>
      </c>
      <c r="E1221" s="4">
        <v>11421</v>
      </c>
      <c r="F1221" s="4" t="s">
        <v>4393</v>
      </c>
      <c r="G1221" s="4" t="s">
        <v>4394</v>
      </c>
      <c r="H1221" s="4" t="s">
        <v>4395</v>
      </c>
      <c r="I1221" s="4" t="s">
        <v>49</v>
      </c>
      <c r="J1221" s="4" t="s">
        <v>1829</v>
      </c>
      <c r="K1221" s="4">
        <v>1</v>
      </c>
      <c r="L1221" s="4">
        <v>13482</v>
      </c>
      <c r="M1221" s="6"/>
      <c r="AK1221" s="7"/>
      <c r="AO1221" s="4" t="s">
        <v>4393</v>
      </c>
      <c r="AP1221" s="4">
        <v>1221</v>
      </c>
      <c r="AQ1221" s="4" t="s">
        <v>1716</v>
      </c>
      <c r="AR1221" s="4" t="s">
        <v>1739</v>
      </c>
      <c r="AS1221" s="4" t="s">
        <v>1740</v>
      </c>
      <c r="AT1221" s="4" t="s">
        <v>1741</v>
      </c>
      <c r="AU1221" s="4" t="s">
        <v>1742</v>
      </c>
      <c r="AV1221" s="4" t="s">
        <v>1720</v>
      </c>
      <c r="AW1221" s="4" t="s">
        <v>1705</v>
      </c>
      <c r="AX1221" s="4" t="s">
        <v>1879</v>
      </c>
      <c r="AY1221" s="4">
        <v>50.070799999999998</v>
      </c>
      <c r="AZ1221" s="4">
        <v>-123.2771</v>
      </c>
      <c r="BA1221" s="4">
        <v>1592</v>
      </c>
    </row>
    <row r="1222" spans="1:53" ht="14.25" customHeight="1" x14ac:dyDescent="0.2">
      <c r="A1222" s="4" t="s">
        <v>422</v>
      </c>
      <c r="B1222" s="4">
        <v>12</v>
      </c>
      <c r="C1222" s="4" t="s">
        <v>7666</v>
      </c>
      <c r="D1222" s="4">
        <v>1224</v>
      </c>
      <c r="E1222" s="4">
        <v>11422</v>
      </c>
      <c r="F1222" s="16" t="s">
        <v>4396</v>
      </c>
      <c r="G1222" s="4" t="s">
        <v>4397</v>
      </c>
      <c r="H1222" s="4" t="s">
        <v>4398</v>
      </c>
      <c r="I1222" s="4" t="s">
        <v>49</v>
      </c>
      <c r="J1222" s="4" t="s">
        <v>1746</v>
      </c>
      <c r="K1222" s="4">
        <v>1</v>
      </c>
      <c r="L1222" s="4">
        <v>13483</v>
      </c>
      <c r="M1222" s="6"/>
      <c r="AK1222" s="7"/>
      <c r="AO1222" s="65" t="s">
        <v>4396</v>
      </c>
      <c r="AP1222" s="4">
        <v>1224</v>
      </c>
      <c r="AQ1222" s="4" t="s">
        <v>1716</v>
      </c>
      <c r="AR1222" s="4" t="s">
        <v>1717</v>
      </c>
      <c r="AS1222" s="4" t="s">
        <v>1740</v>
      </c>
      <c r="AT1222" s="4" t="s">
        <v>1835</v>
      </c>
      <c r="AU1222" s="4" t="s">
        <v>1742</v>
      </c>
      <c r="AV1222" s="4" t="s">
        <v>1720</v>
      </c>
      <c r="AW1222" s="4" t="s">
        <v>1705</v>
      </c>
      <c r="AX1222" s="4" t="s">
        <v>1879</v>
      </c>
      <c r="AY1222" s="4">
        <v>50.619900000000001</v>
      </c>
      <c r="AZ1222" s="4">
        <v>-123.3967</v>
      </c>
      <c r="BA1222" s="4">
        <v>413</v>
      </c>
    </row>
    <row r="1223" spans="1:53" ht="14.25" customHeight="1" x14ac:dyDescent="0.2">
      <c r="A1223" s="4" t="s">
        <v>422</v>
      </c>
      <c r="B1223" s="4">
        <v>12</v>
      </c>
      <c r="C1223" s="4" t="s">
        <v>7666</v>
      </c>
      <c r="D1223" s="4">
        <v>1230</v>
      </c>
      <c r="E1223" s="4">
        <v>11424</v>
      </c>
      <c r="F1223" s="16" t="s">
        <v>4399</v>
      </c>
      <c r="G1223" s="4" t="s">
        <v>4400</v>
      </c>
      <c r="H1223" s="4" t="s">
        <v>4401</v>
      </c>
      <c r="I1223" s="4" t="s">
        <v>49</v>
      </c>
      <c r="J1223" s="4" t="s">
        <v>1746</v>
      </c>
      <c r="K1223" s="4">
        <v>1</v>
      </c>
      <c r="L1223" s="4">
        <v>13486</v>
      </c>
      <c r="M1223" s="6"/>
      <c r="AK1223" s="7"/>
      <c r="AO1223" s="4" t="s">
        <v>4399</v>
      </c>
      <c r="AP1223" s="4">
        <v>1230</v>
      </c>
      <c r="AQ1223" s="4" t="s">
        <v>1716</v>
      </c>
      <c r="AR1223" s="4" t="s">
        <v>1717</v>
      </c>
      <c r="AS1223" s="4" t="s">
        <v>1718</v>
      </c>
      <c r="AT1223" s="4" t="s">
        <v>1835</v>
      </c>
      <c r="AU1223" s="4" t="s">
        <v>1959</v>
      </c>
      <c r="AV1223" s="4" t="s">
        <v>1720</v>
      </c>
      <c r="AW1223" s="4" t="s">
        <v>2003</v>
      </c>
      <c r="AX1223" s="4" t="s">
        <v>2087</v>
      </c>
      <c r="AY1223" s="4">
        <v>55.2393</v>
      </c>
      <c r="AZ1223" s="4">
        <v>-123.63030000000001</v>
      </c>
      <c r="BA1223" s="4">
        <v>1000</v>
      </c>
    </row>
    <row r="1224" spans="1:53" ht="14.25" customHeight="1" x14ac:dyDescent="0.2">
      <c r="A1224" s="4" t="s">
        <v>422</v>
      </c>
      <c r="B1224" s="4">
        <v>12</v>
      </c>
      <c r="C1224" s="4" t="s">
        <v>7666</v>
      </c>
      <c r="D1224" s="4">
        <v>1234</v>
      </c>
      <c r="E1224" s="4">
        <v>11423</v>
      </c>
      <c r="F1224" s="16" t="s">
        <v>4402</v>
      </c>
      <c r="G1224" s="4" t="s">
        <v>4403</v>
      </c>
      <c r="H1224" s="4" t="s">
        <v>4404</v>
      </c>
      <c r="I1224" s="4" t="s">
        <v>49</v>
      </c>
      <c r="J1224" s="4" t="s">
        <v>1746</v>
      </c>
      <c r="K1224" s="4">
        <v>1</v>
      </c>
      <c r="L1224" s="4">
        <v>13485</v>
      </c>
      <c r="M1224" s="6"/>
      <c r="AK1224" s="7"/>
      <c r="AO1224" s="65" t="s">
        <v>4402</v>
      </c>
      <c r="AP1224" s="4">
        <v>1234</v>
      </c>
      <c r="AQ1224" s="4" t="s">
        <v>1716</v>
      </c>
      <c r="AR1224" s="4" t="s">
        <v>1717</v>
      </c>
      <c r="AS1224" s="4" t="s">
        <v>1718</v>
      </c>
      <c r="AT1224" s="4" t="s">
        <v>1835</v>
      </c>
      <c r="AU1224" s="4" t="s">
        <v>1836</v>
      </c>
      <c r="AV1224" s="4" t="s">
        <v>1720</v>
      </c>
      <c r="AW1224" s="4" t="s">
        <v>2698</v>
      </c>
      <c r="AX1224" s="4" t="s">
        <v>2827</v>
      </c>
      <c r="AY1224" s="4">
        <v>49.154699999999998</v>
      </c>
      <c r="AZ1224" s="4">
        <v>-119.0446</v>
      </c>
      <c r="BA1224" s="4">
        <v>1126</v>
      </c>
    </row>
    <row r="1225" spans="1:53" ht="14.25" customHeight="1" x14ac:dyDescent="0.2">
      <c r="A1225" s="4" t="s">
        <v>422</v>
      </c>
      <c r="B1225" s="4">
        <v>12</v>
      </c>
      <c r="C1225" s="4" t="s">
        <v>7666</v>
      </c>
      <c r="D1225" s="4">
        <v>1235</v>
      </c>
      <c r="E1225" s="4">
        <v>11425</v>
      </c>
      <c r="F1225" s="16" t="s">
        <v>4405</v>
      </c>
      <c r="G1225" s="4" t="s">
        <v>4406</v>
      </c>
      <c r="H1225" s="4" t="s">
        <v>4407</v>
      </c>
      <c r="I1225" s="4" t="s">
        <v>49</v>
      </c>
      <c r="J1225" s="4" t="s">
        <v>1746</v>
      </c>
      <c r="K1225" s="4">
        <v>1</v>
      </c>
      <c r="L1225" s="4">
        <v>13487</v>
      </c>
      <c r="M1225" s="6"/>
      <c r="AK1225" s="7"/>
      <c r="AO1225" s="65" t="s">
        <v>4405</v>
      </c>
      <c r="AP1225" s="4">
        <v>1235</v>
      </c>
      <c r="AQ1225" s="4" t="s">
        <v>1716</v>
      </c>
      <c r="AR1225" s="4" t="s">
        <v>1717</v>
      </c>
      <c r="AS1225" s="4" t="s">
        <v>1718</v>
      </c>
      <c r="AT1225" s="4" t="s">
        <v>1835</v>
      </c>
      <c r="AU1225" s="4" t="s">
        <v>1836</v>
      </c>
      <c r="AV1225" s="4" t="s">
        <v>1720</v>
      </c>
      <c r="AW1225" s="4" t="s">
        <v>1705</v>
      </c>
      <c r="AX1225" s="4" t="s">
        <v>1879</v>
      </c>
      <c r="AY1225" s="4">
        <v>50.0839</v>
      </c>
      <c r="AZ1225" s="4">
        <v>-123.0475</v>
      </c>
      <c r="BA1225" s="4">
        <v>593</v>
      </c>
    </row>
    <row r="1226" spans="1:53" ht="14.25" customHeight="1" x14ac:dyDescent="0.2">
      <c r="A1226" s="4" t="s">
        <v>422</v>
      </c>
      <c r="B1226" s="4">
        <v>12</v>
      </c>
      <c r="C1226" s="4" t="s">
        <v>7666</v>
      </c>
      <c r="D1226" s="4">
        <v>1236</v>
      </c>
      <c r="E1226" s="4">
        <v>11426</v>
      </c>
      <c r="F1226" s="16" t="s">
        <v>4408</v>
      </c>
      <c r="G1226" s="4" t="s">
        <v>4409</v>
      </c>
      <c r="H1226" s="4" t="s">
        <v>4410</v>
      </c>
      <c r="I1226" s="4" t="s">
        <v>49</v>
      </c>
      <c r="J1226" s="4" t="s">
        <v>1746</v>
      </c>
      <c r="K1226" s="4">
        <v>1</v>
      </c>
      <c r="L1226" s="4">
        <v>13488</v>
      </c>
      <c r="M1226" s="6"/>
      <c r="AK1226" s="7"/>
      <c r="AO1226" s="65" t="s">
        <v>4408</v>
      </c>
      <c r="AP1226" s="4">
        <v>1236</v>
      </c>
      <c r="AQ1226" s="4" t="s">
        <v>1716</v>
      </c>
      <c r="AR1226" s="4" t="s">
        <v>1717</v>
      </c>
      <c r="AS1226" s="4" t="s">
        <v>1740</v>
      </c>
      <c r="AT1226" s="4" t="s">
        <v>1835</v>
      </c>
      <c r="AU1226" s="4" t="s">
        <v>1742</v>
      </c>
      <c r="AV1226" s="4" t="s">
        <v>1720</v>
      </c>
      <c r="AW1226" s="4" t="s">
        <v>2368</v>
      </c>
      <c r="AX1226" s="4" t="s">
        <v>2516</v>
      </c>
      <c r="AY1226" s="4">
        <v>49.161900000000003</v>
      </c>
      <c r="AZ1226" s="4">
        <v>-119.6536</v>
      </c>
      <c r="BA1226" s="4">
        <v>1717</v>
      </c>
    </row>
    <row r="1227" spans="1:53" ht="14.25" customHeight="1" x14ac:dyDescent="0.2">
      <c r="A1227" s="4" t="s">
        <v>1692</v>
      </c>
      <c r="B1227" s="4">
        <v>12</v>
      </c>
      <c r="C1227" s="8" t="s">
        <v>7664</v>
      </c>
      <c r="D1227" s="8" t="s">
        <v>4411</v>
      </c>
      <c r="E1227" s="4">
        <v>11433</v>
      </c>
      <c r="F1227" s="4" t="s">
        <v>4412</v>
      </c>
      <c r="G1227" s="8" t="s">
        <v>4413</v>
      </c>
      <c r="H1227" s="4" t="s">
        <v>4414</v>
      </c>
      <c r="I1227" s="4" t="s">
        <v>49</v>
      </c>
      <c r="J1227" s="4" t="s">
        <v>1746</v>
      </c>
      <c r="K1227" s="4">
        <v>1</v>
      </c>
      <c r="L1227" s="4">
        <v>13492</v>
      </c>
      <c r="M1227" s="6"/>
      <c r="AK1227" s="7"/>
      <c r="AO1227" s="48" t="s">
        <v>4412</v>
      </c>
      <c r="AP1227" s="48">
        <v>1239</v>
      </c>
      <c r="AQ1227" s="48" t="s">
        <v>1716</v>
      </c>
      <c r="AR1227" s="48" t="s">
        <v>1701</v>
      </c>
      <c r="AS1227" s="48" t="s">
        <v>1740</v>
      </c>
      <c r="AT1227" s="48" t="s">
        <v>1741</v>
      </c>
      <c r="AU1227" s="48" t="s">
        <v>1742</v>
      </c>
      <c r="AV1227" s="48" t="s">
        <v>4415</v>
      </c>
      <c r="AW1227" s="48" t="s">
        <v>2698</v>
      </c>
      <c r="AX1227" s="48"/>
      <c r="AY1227" s="48">
        <v>51.968000000000004</v>
      </c>
      <c r="AZ1227" s="48">
        <v>-116.7148</v>
      </c>
      <c r="BA1227" s="48">
        <v>1442</v>
      </c>
    </row>
    <row r="1228" spans="1:53" ht="14.25" customHeight="1" x14ac:dyDescent="0.2">
      <c r="A1228" s="4" t="s">
        <v>1692</v>
      </c>
      <c r="B1228" s="4">
        <v>12</v>
      </c>
      <c r="C1228" s="8" t="s">
        <v>7664</v>
      </c>
      <c r="D1228" s="8" t="s">
        <v>4416</v>
      </c>
      <c r="E1228" s="4">
        <v>11431</v>
      </c>
      <c r="F1228" s="4" t="s">
        <v>4417</v>
      </c>
      <c r="G1228" s="8" t="s">
        <v>4418</v>
      </c>
      <c r="H1228" s="4" t="s">
        <v>4419</v>
      </c>
      <c r="I1228" s="4" t="s">
        <v>49</v>
      </c>
      <c r="J1228" s="4" t="s">
        <v>1746</v>
      </c>
      <c r="K1228" s="4">
        <v>1</v>
      </c>
      <c r="L1228" s="4">
        <v>13493</v>
      </c>
      <c r="M1228" s="6"/>
      <c r="AK1228" s="7"/>
      <c r="AO1228" s="48" t="s">
        <v>4417</v>
      </c>
      <c r="AP1228" s="48">
        <v>1240</v>
      </c>
      <c r="AQ1228" s="48" t="s">
        <v>1716</v>
      </c>
      <c r="AR1228" s="48" t="s">
        <v>1701</v>
      </c>
      <c r="AS1228" s="48" t="s">
        <v>1740</v>
      </c>
      <c r="AT1228" s="48" t="s">
        <v>1741</v>
      </c>
      <c r="AU1228" s="48" t="s">
        <v>1742</v>
      </c>
      <c r="AV1228" s="48" t="s">
        <v>4415</v>
      </c>
      <c r="AW1228" s="48" t="s">
        <v>2698</v>
      </c>
      <c r="AX1228" s="48" t="s">
        <v>2699</v>
      </c>
      <c r="AY1228" s="48">
        <v>51.366399999999999</v>
      </c>
      <c r="AZ1228" s="48">
        <v>-116.5264</v>
      </c>
      <c r="BA1228" s="48">
        <v>1275</v>
      </c>
    </row>
    <row r="1229" spans="1:53" ht="14.25" customHeight="1" x14ac:dyDescent="0.2">
      <c r="A1229" s="4" t="s">
        <v>1692</v>
      </c>
      <c r="B1229" s="4">
        <v>12</v>
      </c>
      <c r="C1229" s="8" t="s">
        <v>7664</v>
      </c>
      <c r="D1229" s="8" t="s">
        <v>4420</v>
      </c>
      <c r="E1229" s="4">
        <v>11430</v>
      </c>
      <c r="F1229" s="4" t="s">
        <v>4421</v>
      </c>
      <c r="G1229" s="8" t="s">
        <v>4422</v>
      </c>
      <c r="H1229" s="4" t="s">
        <v>4414</v>
      </c>
      <c r="I1229" s="4" t="s">
        <v>49</v>
      </c>
      <c r="J1229" s="4" t="s">
        <v>1746</v>
      </c>
      <c r="K1229" s="4">
        <v>1</v>
      </c>
      <c r="L1229" s="4">
        <v>13494</v>
      </c>
      <c r="M1229" s="6"/>
      <c r="AK1229" s="7"/>
      <c r="AO1229" s="48" t="s">
        <v>4421</v>
      </c>
      <c r="AP1229" s="48">
        <v>1241</v>
      </c>
      <c r="AQ1229" s="48" t="s">
        <v>1716</v>
      </c>
      <c r="AR1229" s="48" t="s">
        <v>1701</v>
      </c>
      <c r="AS1229" s="48" t="s">
        <v>1740</v>
      </c>
      <c r="AT1229" s="48" t="s">
        <v>1741</v>
      </c>
      <c r="AU1229" s="48" t="s">
        <v>1742</v>
      </c>
      <c r="AV1229" s="48" t="s">
        <v>4415</v>
      </c>
      <c r="AW1229" s="48" t="s">
        <v>2698</v>
      </c>
      <c r="AX1229" s="48" t="s">
        <v>2699</v>
      </c>
      <c r="AY1229" s="48">
        <v>51.023400000000002</v>
      </c>
      <c r="AZ1229" s="48">
        <v>-115.9789</v>
      </c>
      <c r="BA1229" s="48">
        <v>1277</v>
      </c>
    </row>
    <row r="1230" spans="1:53" ht="14.25" customHeight="1" x14ac:dyDescent="0.2">
      <c r="A1230" s="4" t="s">
        <v>1692</v>
      </c>
      <c r="B1230" s="4">
        <v>12</v>
      </c>
      <c r="C1230" s="8" t="s">
        <v>7664</v>
      </c>
      <c r="D1230" s="8" t="s">
        <v>4423</v>
      </c>
      <c r="E1230" s="4">
        <v>11432</v>
      </c>
      <c r="F1230" s="4" t="s">
        <v>4424</v>
      </c>
      <c r="G1230" s="8" t="s">
        <v>4425</v>
      </c>
      <c r="H1230" s="4" t="s">
        <v>4419</v>
      </c>
      <c r="I1230" s="4" t="s">
        <v>49</v>
      </c>
      <c r="J1230" s="4" t="s">
        <v>1746</v>
      </c>
      <c r="K1230" s="4">
        <v>1</v>
      </c>
      <c r="L1230" s="4">
        <v>13495</v>
      </c>
      <c r="M1230" s="6"/>
      <c r="AK1230" s="7"/>
      <c r="AO1230" s="48" t="s">
        <v>4424</v>
      </c>
      <c r="AP1230" s="48">
        <v>1242</v>
      </c>
      <c r="AQ1230" s="48" t="s">
        <v>1716</v>
      </c>
      <c r="AR1230" s="48" t="s">
        <v>1701</v>
      </c>
      <c r="AS1230" s="48" t="s">
        <v>1740</v>
      </c>
      <c r="AT1230" s="48" t="s">
        <v>1741</v>
      </c>
      <c r="AU1230" s="48" t="s">
        <v>1742</v>
      </c>
      <c r="AV1230" s="48" t="s">
        <v>4415</v>
      </c>
      <c r="AW1230" s="48" t="s">
        <v>2698</v>
      </c>
      <c r="AX1230" s="48" t="s">
        <v>2768</v>
      </c>
      <c r="AY1230" s="48">
        <v>50.769100000000002</v>
      </c>
      <c r="AZ1230" s="48">
        <v>-115.9508</v>
      </c>
      <c r="BA1230" s="48">
        <v>1132</v>
      </c>
    </row>
    <row r="1231" spans="1:53" ht="14.25" customHeight="1" x14ac:dyDescent="0.2">
      <c r="A1231" s="4" t="s">
        <v>422</v>
      </c>
      <c r="B1231" s="4">
        <v>12</v>
      </c>
      <c r="C1231" s="4" t="s">
        <v>7675</v>
      </c>
      <c r="D1231" s="4">
        <v>1243</v>
      </c>
      <c r="E1231" s="4">
        <v>11427</v>
      </c>
      <c r="F1231" s="4" t="s">
        <v>4427</v>
      </c>
      <c r="G1231" s="4" t="s">
        <v>4428</v>
      </c>
      <c r="H1231" s="4" t="s">
        <v>4429</v>
      </c>
      <c r="I1231" s="4" t="s">
        <v>49</v>
      </c>
      <c r="J1231" s="4" t="s">
        <v>1746</v>
      </c>
      <c r="K1231" s="4">
        <v>1</v>
      </c>
      <c r="L1231" s="4">
        <v>13489</v>
      </c>
      <c r="M1231" s="6"/>
      <c r="AK1231" s="7"/>
      <c r="AO1231" s="4" t="s">
        <v>4427</v>
      </c>
      <c r="AP1231" s="4">
        <v>1243</v>
      </c>
      <c r="AQ1231" s="4" t="s">
        <v>1716</v>
      </c>
      <c r="AR1231" s="4" t="s">
        <v>2441</v>
      </c>
      <c r="AS1231" s="4" t="s">
        <v>2257</v>
      </c>
      <c r="AT1231" s="4" t="s">
        <v>1703</v>
      </c>
      <c r="AU1231" s="4" t="s">
        <v>1704</v>
      </c>
      <c r="AW1231" s="4" t="s">
        <v>2003</v>
      </c>
      <c r="AX1231" s="4" t="s">
        <v>2004</v>
      </c>
      <c r="AY1231" s="4">
        <v>56.232700000000001</v>
      </c>
      <c r="AZ1231" s="4">
        <v>-121.46639999999999</v>
      </c>
      <c r="BA1231" s="4">
        <v>646</v>
      </c>
    </row>
    <row r="1232" spans="1:53" ht="14.25" customHeight="1" x14ac:dyDescent="0.2">
      <c r="A1232" s="4" t="s">
        <v>422</v>
      </c>
      <c r="B1232" s="4">
        <v>12</v>
      </c>
      <c r="C1232" s="4" t="s">
        <v>7666</v>
      </c>
      <c r="D1232" s="4">
        <v>1244</v>
      </c>
      <c r="E1232" s="4">
        <v>11429</v>
      </c>
      <c r="F1232" s="4" t="s">
        <v>4430</v>
      </c>
      <c r="G1232" s="4" t="s">
        <v>4431</v>
      </c>
      <c r="H1232" s="4" t="s">
        <v>4432</v>
      </c>
      <c r="I1232" s="4" t="s">
        <v>49</v>
      </c>
      <c r="J1232" s="4" t="s">
        <v>1746</v>
      </c>
      <c r="K1232" s="4">
        <v>1</v>
      </c>
      <c r="L1232" s="4">
        <v>13490</v>
      </c>
      <c r="M1232" s="6"/>
      <c r="AK1232" s="7"/>
      <c r="AO1232" s="4" t="s">
        <v>4430</v>
      </c>
      <c r="AP1232" s="4">
        <v>1244</v>
      </c>
      <c r="AQ1232" s="4" t="s">
        <v>1716</v>
      </c>
      <c r="AR1232" s="4" t="s">
        <v>2441</v>
      </c>
      <c r="AS1232" s="4" t="s">
        <v>2257</v>
      </c>
      <c r="AT1232" s="4" t="s">
        <v>1703</v>
      </c>
      <c r="AU1232" s="4" t="s">
        <v>1704</v>
      </c>
      <c r="AW1232" s="4" t="s">
        <v>2003</v>
      </c>
      <c r="AX1232" s="4" t="s">
        <v>2004</v>
      </c>
      <c r="AY1232" s="4">
        <v>56.275100000000002</v>
      </c>
      <c r="AZ1232" s="4">
        <v>-121.2127</v>
      </c>
      <c r="BA1232" s="4">
        <v>474</v>
      </c>
    </row>
    <row r="1233" spans="1:53" ht="14.25" customHeight="1" x14ac:dyDescent="0.2">
      <c r="A1233" s="4" t="s">
        <v>422</v>
      </c>
      <c r="B1233" s="4">
        <v>12</v>
      </c>
      <c r="C1233" s="4" t="s">
        <v>7676</v>
      </c>
      <c r="D1233" s="4">
        <v>1245</v>
      </c>
      <c r="E1233" s="4">
        <v>11428</v>
      </c>
      <c r="F1233" s="16" t="s">
        <v>4433</v>
      </c>
      <c r="G1233" s="4" t="s">
        <v>4434</v>
      </c>
      <c r="H1233" s="4" t="s">
        <v>4429</v>
      </c>
      <c r="I1233" s="4" t="s">
        <v>49</v>
      </c>
      <c r="J1233" s="4" t="s">
        <v>1746</v>
      </c>
      <c r="K1233" s="4">
        <v>1</v>
      </c>
      <c r="L1233" s="4">
        <v>13491</v>
      </c>
      <c r="M1233" s="6"/>
      <c r="AK1233" s="7"/>
      <c r="AO1233" s="4" t="s">
        <v>4433</v>
      </c>
      <c r="AP1233" s="4">
        <v>1245</v>
      </c>
      <c r="AQ1233" s="4" t="s">
        <v>1716</v>
      </c>
      <c r="AR1233" s="4" t="s">
        <v>1717</v>
      </c>
      <c r="AS1233" s="4" t="s">
        <v>2257</v>
      </c>
      <c r="AT1233" s="4" t="s">
        <v>1703</v>
      </c>
      <c r="AU1233" s="4" t="s">
        <v>1704</v>
      </c>
      <c r="AW1233" s="4" t="s">
        <v>2003</v>
      </c>
      <c r="AX1233" s="4" t="s">
        <v>2004</v>
      </c>
      <c r="AY1233" s="4">
        <v>56.205199999999998</v>
      </c>
      <c r="AZ1233" s="4">
        <v>-120.9121</v>
      </c>
      <c r="BA1233" s="4">
        <v>606</v>
      </c>
    </row>
    <row r="1234" spans="1:53" ht="14.25" customHeight="1" x14ac:dyDescent="0.2">
      <c r="A1234" s="4" t="s">
        <v>422</v>
      </c>
      <c r="B1234" s="4">
        <v>12</v>
      </c>
      <c r="C1234" s="4" t="s">
        <v>7666</v>
      </c>
      <c r="D1234" s="4">
        <v>1246</v>
      </c>
      <c r="E1234" s="4">
        <v>12010</v>
      </c>
      <c r="F1234" s="16" t="s">
        <v>4435</v>
      </c>
      <c r="G1234" s="4" t="s">
        <v>4436</v>
      </c>
      <c r="H1234" s="4" t="s">
        <v>4437</v>
      </c>
      <c r="I1234" s="4" t="s">
        <v>49</v>
      </c>
      <c r="J1234" s="4" t="s">
        <v>1746</v>
      </c>
      <c r="K1234" s="4">
        <v>1</v>
      </c>
      <c r="L1234" s="4">
        <v>14065</v>
      </c>
      <c r="M1234" s="6"/>
      <c r="AK1234" s="7"/>
      <c r="AO1234" s="65" t="s">
        <v>4435</v>
      </c>
      <c r="AP1234" s="4">
        <v>1246</v>
      </c>
      <c r="AQ1234" s="4" t="s">
        <v>1716</v>
      </c>
      <c r="AR1234" s="4" t="s">
        <v>1717</v>
      </c>
      <c r="AS1234" s="4" t="s">
        <v>1718</v>
      </c>
      <c r="AT1234" s="4" t="s">
        <v>1835</v>
      </c>
      <c r="AU1234" s="4" t="s">
        <v>1836</v>
      </c>
      <c r="AV1234" s="4" t="s">
        <v>1720</v>
      </c>
      <c r="AW1234" s="4" t="s">
        <v>2698</v>
      </c>
      <c r="AX1234" s="4" t="s">
        <v>2801</v>
      </c>
      <c r="AY1234" s="4">
        <v>49.917299999999997</v>
      </c>
      <c r="AZ1234" s="4">
        <v>-116.9999</v>
      </c>
      <c r="BA1234" s="4">
        <v>1020</v>
      </c>
    </row>
    <row r="1235" spans="1:53" ht="14.25" customHeight="1" x14ac:dyDescent="0.2">
      <c r="A1235" s="4" t="s">
        <v>422</v>
      </c>
      <c r="B1235" s="4">
        <v>12</v>
      </c>
      <c r="C1235" s="4" t="s">
        <v>7666</v>
      </c>
      <c r="D1235" s="4">
        <v>1247</v>
      </c>
      <c r="E1235" s="4">
        <v>12011</v>
      </c>
      <c r="F1235" s="16" t="s">
        <v>4438</v>
      </c>
      <c r="G1235" s="4" t="s">
        <v>4439</v>
      </c>
      <c r="H1235" s="4" t="s">
        <v>4440</v>
      </c>
      <c r="I1235" s="4" t="s">
        <v>49</v>
      </c>
      <c r="J1235" s="4" t="s">
        <v>1746</v>
      </c>
      <c r="K1235" s="4">
        <v>1</v>
      </c>
      <c r="L1235" s="4">
        <v>14067</v>
      </c>
      <c r="M1235" s="6"/>
      <c r="AK1235" s="7"/>
      <c r="AO1235" s="4" t="s">
        <v>4438</v>
      </c>
      <c r="AP1235" s="4">
        <v>1247</v>
      </c>
      <c r="AQ1235" s="4" t="s">
        <v>1716</v>
      </c>
      <c r="AR1235" s="4" t="s">
        <v>1717</v>
      </c>
      <c r="AS1235" s="4" t="s">
        <v>1718</v>
      </c>
      <c r="AT1235" s="4" t="s">
        <v>1835</v>
      </c>
      <c r="AU1235" s="4" t="s">
        <v>1836</v>
      </c>
      <c r="AV1235" s="4" t="s">
        <v>1720</v>
      </c>
      <c r="AW1235" s="4" t="s">
        <v>1705</v>
      </c>
      <c r="AX1235" s="4" t="s">
        <v>1747</v>
      </c>
      <c r="AY1235" s="4">
        <v>48.700299999999999</v>
      </c>
      <c r="AZ1235" s="4">
        <v>-123.592</v>
      </c>
      <c r="BA1235" s="4">
        <v>375</v>
      </c>
    </row>
    <row r="1236" spans="1:53" ht="14.25" customHeight="1" x14ac:dyDescent="0.2">
      <c r="A1236" s="4" t="s">
        <v>422</v>
      </c>
      <c r="B1236" s="4">
        <v>12</v>
      </c>
      <c r="C1236" s="4" t="s">
        <v>7666</v>
      </c>
      <c r="D1236" s="4">
        <v>1250</v>
      </c>
      <c r="E1236" s="4">
        <v>12015</v>
      </c>
      <c r="F1236" s="16" t="s">
        <v>4441</v>
      </c>
      <c r="G1236" s="4" t="s">
        <v>4442</v>
      </c>
      <c r="H1236" s="4" t="s">
        <v>4443</v>
      </c>
      <c r="I1236" s="4" t="s">
        <v>49</v>
      </c>
      <c r="J1236" s="4" t="s">
        <v>1746</v>
      </c>
      <c r="K1236" s="4">
        <v>1</v>
      </c>
      <c r="L1236" s="4">
        <v>14072</v>
      </c>
      <c r="M1236" s="6"/>
      <c r="AK1236" s="7"/>
      <c r="AO1236" s="4" t="s">
        <v>4441</v>
      </c>
      <c r="AP1236" s="4">
        <v>1250</v>
      </c>
      <c r="AQ1236" s="4" t="s">
        <v>1716</v>
      </c>
      <c r="AR1236" s="4" t="s">
        <v>1717</v>
      </c>
      <c r="AS1236" s="4" t="s">
        <v>1718</v>
      </c>
      <c r="AT1236" s="4" t="s">
        <v>1835</v>
      </c>
      <c r="AU1236" s="4" t="s">
        <v>1836</v>
      </c>
      <c r="AV1236" s="4" t="s">
        <v>1720</v>
      </c>
      <c r="AW1236" s="4" t="s">
        <v>1705</v>
      </c>
      <c r="AX1236" s="4" t="s">
        <v>1879</v>
      </c>
      <c r="AY1236" s="4">
        <v>50.082500000000003</v>
      </c>
      <c r="AZ1236" s="4">
        <v>-123.04130000000001</v>
      </c>
      <c r="BA1236" s="4">
        <v>595</v>
      </c>
    </row>
    <row r="1237" spans="1:53" ht="14.25" customHeight="1" x14ac:dyDescent="0.2">
      <c r="A1237" s="4" t="s">
        <v>2037</v>
      </c>
      <c r="B1237" s="4">
        <v>12</v>
      </c>
      <c r="C1237" s="4" t="s">
        <v>7666</v>
      </c>
      <c r="D1237" s="4">
        <v>1251</v>
      </c>
      <c r="E1237" s="4">
        <v>12018</v>
      </c>
      <c r="F1237" s="4" t="s">
        <v>4444</v>
      </c>
      <c r="G1237" s="4" t="s">
        <v>4445</v>
      </c>
      <c r="H1237" s="4" t="s">
        <v>4446</v>
      </c>
      <c r="I1237" s="4" t="s">
        <v>49</v>
      </c>
      <c r="J1237" s="4" t="s">
        <v>4447</v>
      </c>
      <c r="K1237" s="4">
        <v>1</v>
      </c>
      <c r="L1237" s="4">
        <v>14075</v>
      </c>
      <c r="M1237" s="6"/>
      <c r="AK1237" s="7"/>
      <c r="AO1237" s="4" t="s">
        <v>4448</v>
      </c>
      <c r="AP1237" s="4">
        <v>1251</v>
      </c>
      <c r="AQ1237" s="4" t="s">
        <v>1716</v>
      </c>
      <c r="AR1237" s="4" t="s">
        <v>1717</v>
      </c>
      <c r="AS1237" s="4" t="s">
        <v>1740</v>
      </c>
      <c r="AT1237" s="4" t="s">
        <v>1835</v>
      </c>
      <c r="AU1237" s="4" t="s">
        <v>1742</v>
      </c>
      <c r="AV1237" s="4" t="s">
        <v>1720</v>
      </c>
      <c r="AW1237" s="4" t="s">
        <v>1705</v>
      </c>
      <c r="AX1237" s="4" t="s">
        <v>1837</v>
      </c>
      <c r="AY1237" s="4">
        <v>49.751800000000003</v>
      </c>
      <c r="AZ1237" s="4">
        <v>-123.7051</v>
      </c>
      <c r="BA1237" s="4">
        <v>1</v>
      </c>
    </row>
    <row r="1238" spans="1:53" ht="14.25" customHeight="1" x14ac:dyDescent="0.2">
      <c r="A1238" s="4" t="s">
        <v>422</v>
      </c>
      <c r="B1238" s="4">
        <v>12</v>
      </c>
      <c r="C1238" s="4" t="s">
        <v>7666</v>
      </c>
      <c r="D1238" s="4">
        <v>1252</v>
      </c>
      <c r="E1238" s="4">
        <v>12016</v>
      </c>
      <c r="F1238" s="16" t="s">
        <v>4449</v>
      </c>
      <c r="G1238" s="4" t="s">
        <v>4450</v>
      </c>
      <c r="H1238" s="4" t="s">
        <v>4451</v>
      </c>
      <c r="I1238" s="4" t="s">
        <v>49</v>
      </c>
      <c r="J1238" s="4" t="s">
        <v>1746</v>
      </c>
      <c r="K1238" s="4">
        <v>1</v>
      </c>
      <c r="L1238" s="4">
        <v>14073</v>
      </c>
      <c r="M1238" s="6"/>
      <c r="AK1238" s="7"/>
      <c r="AO1238" s="65" t="s">
        <v>4452</v>
      </c>
      <c r="AP1238" s="4">
        <v>1252</v>
      </c>
      <c r="AQ1238" s="4" t="s">
        <v>1716</v>
      </c>
      <c r="AR1238" s="4" t="s">
        <v>1717</v>
      </c>
      <c r="AS1238" s="4" t="s">
        <v>1718</v>
      </c>
      <c r="AT1238" s="4" t="s">
        <v>1835</v>
      </c>
      <c r="AU1238" s="4" t="s">
        <v>1836</v>
      </c>
      <c r="AV1238" s="4" t="s">
        <v>1720</v>
      </c>
      <c r="AW1238" s="4" t="s">
        <v>2698</v>
      </c>
      <c r="AX1238" s="4" t="s">
        <v>2801</v>
      </c>
      <c r="AY1238" s="4">
        <v>49.7273</v>
      </c>
      <c r="AZ1238" s="4">
        <v>-116.6615</v>
      </c>
      <c r="BA1238" s="4">
        <v>1400</v>
      </c>
    </row>
    <row r="1239" spans="1:53" ht="14.25" customHeight="1" x14ac:dyDescent="0.2">
      <c r="A1239" s="4" t="s">
        <v>422</v>
      </c>
      <c r="B1239" s="4">
        <v>12</v>
      </c>
      <c r="C1239" s="4" t="s">
        <v>7666</v>
      </c>
      <c r="D1239" s="4">
        <v>1254</v>
      </c>
      <c r="E1239" s="4">
        <v>12017</v>
      </c>
      <c r="F1239" s="16" t="s">
        <v>4453</v>
      </c>
      <c r="G1239" s="4" t="s">
        <v>4454</v>
      </c>
      <c r="H1239" s="4" t="s">
        <v>4455</v>
      </c>
      <c r="I1239" s="4" t="s">
        <v>49</v>
      </c>
      <c r="J1239" s="4" t="s">
        <v>1746</v>
      </c>
      <c r="K1239" s="4">
        <v>1</v>
      </c>
      <c r="L1239" s="4">
        <v>14074</v>
      </c>
      <c r="M1239" s="6"/>
      <c r="AK1239" s="7"/>
      <c r="AO1239" s="4" t="s">
        <v>4453</v>
      </c>
      <c r="AP1239" s="4">
        <v>1254</v>
      </c>
      <c r="AQ1239" s="4" t="s">
        <v>1716</v>
      </c>
      <c r="AR1239" s="4" t="s">
        <v>1717</v>
      </c>
      <c r="AS1239" s="4" t="s">
        <v>1718</v>
      </c>
      <c r="AT1239" s="4" t="s">
        <v>1841</v>
      </c>
      <c r="AU1239" s="4" t="s">
        <v>1959</v>
      </c>
      <c r="AV1239" s="4" t="s">
        <v>1720</v>
      </c>
      <c r="AW1239" s="4" t="s">
        <v>2368</v>
      </c>
      <c r="AX1239" s="4" t="s">
        <v>2516</v>
      </c>
      <c r="AY1239" s="4">
        <v>49.648600000000002</v>
      </c>
      <c r="AZ1239" s="4">
        <v>-120.0667</v>
      </c>
      <c r="BA1239" s="4">
        <v>1633</v>
      </c>
    </row>
    <row r="1240" spans="1:53" ht="14.25" customHeight="1" x14ac:dyDescent="0.2">
      <c r="A1240" s="4" t="s">
        <v>422</v>
      </c>
      <c r="B1240" s="4">
        <v>12</v>
      </c>
      <c r="C1240" s="4" t="s">
        <v>7666</v>
      </c>
      <c r="D1240" s="4">
        <v>1255</v>
      </c>
      <c r="E1240" s="4">
        <v>12020</v>
      </c>
      <c r="F1240" s="16" t="s">
        <v>4456</v>
      </c>
      <c r="G1240" s="4" t="s">
        <v>4457</v>
      </c>
      <c r="H1240" s="4" t="s">
        <v>4458</v>
      </c>
      <c r="I1240" s="4" t="s">
        <v>49</v>
      </c>
      <c r="J1240" s="4" t="s">
        <v>1746</v>
      </c>
      <c r="K1240" s="4">
        <v>1</v>
      </c>
      <c r="L1240" s="4">
        <v>14077</v>
      </c>
      <c r="M1240" s="6"/>
      <c r="AK1240" s="7"/>
      <c r="AO1240" s="4" t="s">
        <v>4456</v>
      </c>
      <c r="AP1240" s="4">
        <v>1255</v>
      </c>
      <c r="AQ1240" s="4" t="s">
        <v>1716</v>
      </c>
      <c r="AR1240" s="4" t="s">
        <v>1717</v>
      </c>
      <c r="AS1240" s="4" t="s">
        <v>1718</v>
      </c>
      <c r="AT1240" s="4" t="s">
        <v>1841</v>
      </c>
      <c r="AU1240" s="4" t="s">
        <v>1959</v>
      </c>
      <c r="AV1240" s="4" t="s">
        <v>1720</v>
      </c>
      <c r="AW1240" s="4" t="s">
        <v>2368</v>
      </c>
      <c r="AX1240" s="4" t="s">
        <v>2522</v>
      </c>
      <c r="AY1240" s="4">
        <v>50.691899999999997</v>
      </c>
      <c r="AZ1240" s="4">
        <v>-118.6408</v>
      </c>
      <c r="BA1240" s="4">
        <v>756</v>
      </c>
    </row>
    <row r="1241" spans="1:53" ht="14.25" customHeight="1" x14ac:dyDescent="0.2">
      <c r="A1241" s="4" t="s">
        <v>422</v>
      </c>
      <c r="B1241" s="4">
        <v>12</v>
      </c>
      <c r="C1241" s="4" t="s">
        <v>7666</v>
      </c>
      <c r="D1241" s="4">
        <v>1256</v>
      </c>
      <c r="E1241" s="4">
        <v>12021</v>
      </c>
      <c r="F1241" s="16" t="s">
        <v>4459</v>
      </c>
      <c r="G1241" s="4" t="s">
        <v>4460</v>
      </c>
      <c r="H1241" s="4" t="s">
        <v>4461</v>
      </c>
      <c r="I1241" s="4" t="s">
        <v>49</v>
      </c>
      <c r="J1241" s="4" t="s">
        <v>1746</v>
      </c>
      <c r="K1241" s="4">
        <v>1</v>
      </c>
      <c r="L1241" s="4">
        <v>14078</v>
      </c>
      <c r="M1241" s="6"/>
      <c r="AK1241" s="7"/>
      <c r="AO1241" s="4" t="s">
        <v>4459</v>
      </c>
      <c r="AP1241" s="4">
        <v>1256</v>
      </c>
      <c r="AQ1241" s="4" t="s">
        <v>1716</v>
      </c>
      <c r="AR1241" s="4" t="s">
        <v>1717</v>
      </c>
      <c r="AS1241" s="4" t="s">
        <v>1718</v>
      </c>
      <c r="AT1241" s="4" t="s">
        <v>1841</v>
      </c>
      <c r="AU1241" s="4" t="s">
        <v>1959</v>
      </c>
      <c r="AV1241" s="4" t="s">
        <v>1720</v>
      </c>
      <c r="AW1241" s="4" t="s">
        <v>2368</v>
      </c>
      <c r="AX1241" s="4" t="s">
        <v>2516</v>
      </c>
      <c r="AY1241" s="4">
        <v>49.8947</v>
      </c>
      <c r="AZ1241" s="4">
        <v>-119.12390000000001</v>
      </c>
      <c r="BA1241" s="4">
        <v>1250</v>
      </c>
    </row>
    <row r="1242" spans="1:53" ht="14.25" customHeight="1" x14ac:dyDescent="0.2">
      <c r="A1242" s="4" t="s">
        <v>422</v>
      </c>
      <c r="B1242" s="4">
        <v>12</v>
      </c>
      <c r="C1242" s="4" t="s">
        <v>7666</v>
      </c>
      <c r="D1242" s="4">
        <v>1257</v>
      </c>
      <c r="E1242" s="4">
        <v>12022</v>
      </c>
      <c r="F1242" s="16" t="s">
        <v>4462</v>
      </c>
      <c r="G1242" s="4" t="s">
        <v>4463</v>
      </c>
      <c r="H1242" s="4" t="s">
        <v>4464</v>
      </c>
      <c r="I1242" s="4" t="s">
        <v>49</v>
      </c>
      <c r="J1242" s="4" t="s">
        <v>1746</v>
      </c>
      <c r="K1242" s="4">
        <v>1</v>
      </c>
      <c r="L1242" s="4">
        <v>14079</v>
      </c>
      <c r="M1242" s="6"/>
      <c r="AK1242" s="7"/>
      <c r="AO1242" s="65" t="s">
        <v>4462</v>
      </c>
      <c r="AP1242" s="4">
        <v>1257</v>
      </c>
      <c r="AQ1242" s="4" t="s">
        <v>1716</v>
      </c>
      <c r="AR1242" s="4" t="s">
        <v>1717</v>
      </c>
      <c r="AS1242" s="4" t="s">
        <v>1718</v>
      </c>
      <c r="AT1242" s="4" t="s">
        <v>1835</v>
      </c>
      <c r="AU1242" s="4" t="s">
        <v>1836</v>
      </c>
      <c r="AV1242" s="4" t="s">
        <v>1720</v>
      </c>
      <c r="AW1242" s="4" t="s">
        <v>2698</v>
      </c>
      <c r="AX1242" s="4" t="s">
        <v>2801</v>
      </c>
      <c r="AY1242" s="4">
        <v>50.477699999999999</v>
      </c>
      <c r="AZ1242" s="4">
        <v>-117.2013</v>
      </c>
      <c r="BA1242" s="4">
        <v>820</v>
      </c>
    </row>
    <row r="1243" spans="1:53" ht="14.25" customHeight="1" x14ac:dyDescent="0.2">
      <c r="A1243" s="4" t="s">
        <v>422</v>
      </c>
      <c r="B1243" s="4">
        <v>12</v>
      </c>
      <c r="C1243" s="4" t="s">
        <v>7666</v>
      </c>
      <c r="D1243" s="4">
        <v>1258</v>
      </c>
      <c r="E1243" s="4">
        <v>12023</v>
      </c>
      <c r="F1243" s="16" t="s">
        <v>4465</v>
      </c>
      <c r="G1243" s="4" t="s">
        <v>4466</v>
      </c>
      <c r="H1243" s="4" t="s">
        <v>4467</v>
      </c>
      <c r="I1243" s="4" t="s">
        <v>49</v>
      </c>
      <c r="J1243" s="4" t="s">
        <v>1746</v>
      </c>
      <c r="K1243" s="4">
        <v>1</v>
      </c>
      <c r="L1243" s="4">
        <v>14080</v>
      </c>
      <c r="M1243" s="6"/>
      <c r="AK1243" s="7"/>
      <c r="AO1243" s="4" t="s">
        <v>4465</v>
      </c>
      <c r="AP1243" s="4">
        <v>1258</v>
      </c>
      <c r="AQ1243" s="4" t="s">
        <v>1716</v>
      </c>
      <c r="AR1243" s="4" t="s">
        <v>1717</v>
      </c>
      <c r="AS1243" s="4" t="s">
        <v>1718</v>
      </c>
      <c r="AT1243" s="4" t="s">
        <v>1835</v>
      </c>
      <c r="AU1243" s="4" t="s">
        <v>1959</v>
      </c>
      <c r="AV1243" s="4" t="s">
        <v>1720</v>
      </c>
      <c r="AW1243" s="4" t="s">
        <v>2368</v>
      </c>
      <c r="AX1243" s="4" t="s">
        <v>2492</v>
      </c>
      <c r="AY1243" s="4">
        <v>50.083300000000001</v>
      </c>
      <c r="AZ1243" s="4">
        <v>-121.1889</v>
      </c>
      <c r="BA1243" s="4">
        <v>1345</v>
      </c>
    </row>
    <row r="1244" spans="1:53" ht="14.25" customHeight="1" x14ac:dyDescent="0.2">
      <c r="A1244" s="4" t="s">
        <v>422</v>
      </c>
      <c r="B1244" s="4">
        <v>12</v>
      </c>
      <c r="C1244" s="4" t="s">
        <v>7666</v>
      </c>
      <c r="D1244" s="4">
        <v>1259</v>
      </c>
      <c r="E1244" s="4">
        <v>12024</v>
      </c>
      <c r="F1244" s="16" t="s">
        <v>4468</v>
      </c>
      <c r="G1244" s="4" t="s">
        <v>4469</v>
      </c>
      <c r="H1244" s="4" t="s">
        <v>4470</v>
      </c>
      <c r="I1244" s="4" t="s">
        <v>49</v>
      </c>
      <c r="J1244" s="4" t="s">
        <v>1746</v>
      </c>
      <c r="K1244" s="4">
        <v>1</v>
      </c>
      <c r="L1244" s="4">
        <v>14081</v>
      </c>
      <c r="M1244" s="6"/>
      <c r="AK1244" s="7"/>
      <c r="AO1244" s="65" t="s">
        <v>4468</v>
      </c>
      <c r="AP1244" s="4">
        <v>1259</v>
      </c>
      <c r="AQ1244" s="4" t="s">
        <v>1716</v>
      </c>
      <c r="AR1244" s="4" t="s">
        <v>1717</v>
      </c>
      <c r="AS1244" s="4" t="s">
        <v>1718</v>
      </c>
      <c r="AT1244" s="4" t="s">
        <v>1835</v>
      </c>
      <c r="AU1244" s="4" t="s">
        <v>1836</v>
      </c>
      <c r="AV1244" s="4" t="s">
        <v>1720</v>
      </c>
      <c r="AW1244" s="4" t="s">
        <v>2698</v>
      </c>
      <c r="AX1244" s="4" t="s">
        <v>2902</v>
      </c>
      <c r="AY1244" s="4">
        <v>49.1648</v>
      </c>
      <c r="AZ1244" s="4">
        <v>-115.0027</v>
      </c>
      <c r="BA1244" s="4">
        <v>2174</v>
      </c>
    </row>
    <row r="1245" spans="1:53" ht="14.25" customHeight="1" x14ac:dyDescent="0.2">
      <c r="A1245" s="4" t="s">
        <v>1692</v>
      </c>
      <c r="B1245" s="4">
        <v>12</v>
      </c>
      <c r="C1245" s="8" t="s">
        <v>7664</v>
      </c>
      <c r="D1245" s="8" t="s">
        <v>4471</v>
      </c>
      <c r="E1245" s="4">
        <v>12037</v>
      </c>
      <c r="F1245" s="4" t="s">
        <v>4472</v>
      </c>
      <c r="G1245" s="4" t="s">
        <v>4473</v>
      </c>
      <c r="H1245" s="4" t="s">
        <v>4474</v>
      </c>
      <c r="I1245" s="4" t="s">
        <v>49</v>
      </c>
      <c r="J1245" s="4" t="s">
        <v>1746</v>
      </c>
      <c r="K1245" s="4">
        <v>1</v>
      </c>
      <c r="L1245" s="4">
        <v>14093</v>
      </c>
      <c r="M1245" s="6"/>
      <c r="N1245" s="9"/>
      <c r="O1245" s="9"/>
      <c r="P1245" s="9"/>
      <c r="Q1245" s="20"/>
      <c r="R1245" s="9"/>
      <c r="S1245" s="9"/>
      <c r="T1245" s="9"/>
      <c r="U1245" s="9"/>
      <c r="V1245" s="9"/>
      <c r="W1245" s="21"/>
      <c r="X1245" s="9"/>
      <c r="AK1245" s="7"/>
      <c r="AO1245" s="48" t="s">
        <v>4472</v>
      </c>
      <c r="AP1245" s="48">
        <v>1260</v>
      </c>
      <c r="AQ1245" s="48" t="s">
        <v>1716</v>
      </c>
      <c r="AR1245" s="48" t="s">
        <v>1701</v>
      </c>
      <c r="AS1245" s="48" t="s">
        <v>1740</v>
      </c>
      <c r="AT1245" s="48" t="s">
        <v>1741</v>
      </c>
      <c r="AU1245" s="48" t="s">
        <v>1742</v>
      </c>
      <c r="AV1245" s="48" t="s">
        <v>4415</v>
      </c>
      <c r="AW1245" s="48" t="s">
        <v>2698</v>
      </c>
      <c r="AX1245" s="48" t="s">
        <v>2768</v>
      </c>
      <c r="AY1245" s="48">
        <v>50.622900000000001</v>
      </c>
      <c r="AZ1245" s="48">
        <v>-116.0628</v>
      </c>
      <c r="BA1245" s="48">
        <v>1009</v>
      </c>
    </row>
    <row r="1246" spans="1:53" ht="14.25" customHeight="1" x14ac:dyDescent="0.2">
      <c r="A1246" s="4" t="s">
        <v>1692</v>
      </c>
      <c r="B1246" s="4">
        <v>12</v>
      </c>
      <c r="C1246" s="8" t="s">
        <v>7664</v>
      </c>
      <c r="D1246" s="8" t="s">
        <v>4475</v>
      </c>
      <c r="E1246" s="4">
        <v>12036</v>
      </c>
      <c r="F1246" s="4" t="s">
        <v>4476</v>
      </c>
      <c r="G1246" s="8" t="s">
        <v>4477</v>
      </c>
      <c r="H1246" s="4" t="s">
        <v>4474</v>
      </c>
      <c r="I1246" s="4" t="s">
        <v>49</v>
      </c>
      <c r="J1246" s="4" t="s">
        <v>1746</v>
      </c>
      <c r="K1246" s="4">
        <v>1</v>
      </c>
      <c r="L1246" s="4">
        <v>14094</v>
      </c>
      <c r="M1246" s="6"/>
      <c r="N1246" s="9"/>
      <c r="O1246" s="9"/>
      <c r="P1246" s="9"/>
      <c r="Q1246" s="20"/>
      <c r="R1246" s="9"/>
      <c r="S1246" s="9"/>
      <c r="T1246" s="9"/>
      <c r="U1246" s="9"/>
      <c r="V1246" s="9"/>
      <c r="W1246" s="21"/>
      <c r="X1246" s="9"/>
      <c r="AK1246" s="7"/>
      <c r="AO1246" s="48" t="s">
        <v>4476</v>
      </c>
      <c r="AP1246" s="48">
        <v>1261</v>
      </c>
      <c r="AQ1246" s="48" t="s">
        <v>1716</v>
      </c>
      <c r="AR1246" s="48" t="s">
        <v>1701</v>
      </c>
      <c r="AS1246" s="48" t="s">
        <v>1740</v>
      </c>
      <c r="AT1246" s="48" t="s">
        <v>1741</v>
      </c>
      <c r="AU1246" s="48" t="s">
        <v>1742</v>
      </c>
      <c r="AV1246" s="48" t="s">
        <v>4415</v>
      </c>
      <c r="AW1246" s="48" t="s">
        <v>2698</v>
      </c>
      <c r="AX1246" s="48" t="s">
        <v>2699</v>
      </c>
      <c r="AY1246" s="48">
        <v>51.021999999999998</v>
      </c>
      <c r="AZ1246" s="48">
        <v>-118.2072</v>
      </c>
      <c r="BA1246" s="48">
        <v>527</v>
      </c>
    </row>
    <row r="1247" spans="1:53" ht="14.25" customHeight="1" x14ac:dyDescent="0.2">
      <c r="A1247" s="4" t="s">
        <v>1692</v>
      </c>
      <c r="B1247" s="4">
        <v>12</v>
      </c>
      <c r="C1247" s="8" t="s">
        <v>7664</v>
      </c>
      <c r="D1247" s="8" t="s">
        <v>4478</v>
      </c>
      <c r="E1247" s="4">
        <v>12051</v>
      </c>
      <c r="F1247" s="4" t="s">
        <v>4479</v>
      </c>
      <c r="G1247" s="4" t="s">
        <v>4480</v>
      </c>
      <c r="H1247" s="4" t="s">
        <v>4481</v>
      </c>
      <c r="I1247" s="4" t="s">
        <v>49</v>
      </c>
      <c r="J1247" s="4" t="s">
        <v>1746</v>
      </c>
      <c r="K1247" s="4">
        <v>1</v>
      </c>
      <c r="L1247" s="4">
        <v>14108</v>
      </c>
      <c r="M1247" s="6"/>
      <c r="N1247" s="9"/>
      <c r="O1247" s="9"/>
      <c r="P1247" s="9"/>
      <c r="Q1247" s="20"/>
      <c r="R1247" s="9"/>
      <c r="S1247" s="9"/>
      <c r="T1247" s="9"/>
      <c r="U1247" s="9"/>
      <c r="V1247" s="9"/>
      <c r="W1247" s="21"/>
      <c r="X1247" s="9"/>
      <c r="AK1247" s="7"/>
      <c r="AO1247" s="48" t="s">
        <v>4479</v>
      </c>
      <c r="AP1247" s="48">
        <v>1262</v>
      </c>
      <c r="AQ1247" s="48" t="s">
        <v>1716</v>
      </c>
      <c r="AR1247" s="48" t="s">
        <v>1701</v>
      </c>
      <c r="AS1247" s="48" t="s">
        <v>1740</v>
      </c>
      <c r="AT1247" s="48" t="s">
        <v>1741</v>
      </c>
      <c r="AU1247" s="48" t="s">
        <v>1742</v>
      </c>
      <c r="AV1247" s="48" t="s">
        <v>4415</v>
      </c>
      <c r="AW1247" s="48" t="s">
        <v>2698</v>
      </c>
      <c r="AX1247" s="48" t="s">
        <v>2699</v>
      </c>
      <c r="AY1247" s="48">
        <v>51.025300000000001</v>
      </c>
      <c r="AZ1247" s="48">
        <v>-118.1514</v>
      </c>
      <c r="BA1247" s="48">
        <v>1561</v>
      </c>
    </row>
    <row r="1248" spans="1:53" ht="14.25" customHeight="1" x14ac:dyDescent="0.2">
      <c r="A1248" s="4" t="s">
        <v>1692</v>
      </c>
      <c r="B1248" s="4">
        <v>12</v>
      </c>
      <c r="C1248" s="8" t="s">
        <v>7664</v>
      </c>
      <c r="D1248" s="8" t="s">
        <v>4482</v>
      </c>
      <c r="E1248" s="4">
        <v>12038</v>
      </c>
      <c r="F1248" s="4" t="s">
        <v>4483</v>
      </c>
      <c r="G1248" s="8" t="s">
        <v>4484</v>
      </c>
      <c r="H1248" s="4" t="s">
        <v>4474</v>
      </c>
      <c r="I1248" s="4" t="s">
        <v>49</v>
      </c>
      <c r="J1248" s="4" t="s">
        <v>1746</v>
      </c>
      <c r="K1248" s="4">
        <v>1</v>
      </c>
      <c r="L1248" s="4">
        <v>14095</v>
      </c>
      <c r="M1248" s="6"/>
      <c r="N1248" s="9"/>
      <c r="O1248" s="9"/>
      <c r="P1248" s="9"/>
      <c r="Q1248" s="20"/>
      <c r="R1248" s="9"/>
      <c r="S1248" s="9"/>
      <c r="T1248" s="9"/>
      <c r="U1248" s="9"/>
      <c r="V1248" s="9"/>
      <c r="W1248" s="21"/>
      <c r="X1248" s="9"/>
      <c r="AK1248" s="7"/>
      <c r="AO1248" s="48" t="s">
        <v>4483</v>
      </c>
      <c r="AP1248" s="48">
        <v>1263</v>
      </c>
      <c r="AQ1248" s="48" t="s">
        <v>1716</v>
      </c>
      <c r="AR1248" s="48" t="s">
        <v>1701</v>
      </c>
      <c r="AS1248" s="48" t="s">
        <v>1740</v>
      </c>
      <c r="AT1248" s="48" t="s">
        <v>1741</v>
      </c>
      <c r="AU1248" s="48" t="s">
        <v>1742</v>
      </c>
      <c r="AV1248" s="48" t="s">
        <v>4415</v>
      </c>
      <c r="AW1248" s="48" t="s">
        <v>2698</v>
      </c>
      <c r="AX1248" s="48" t="s">
        <v>2699</v>
      </c>
      <c r="AY1248" s="48">
        <v>51.234400000000001</v>
      </c>
      <c r="AZ1248" s="48">
        <v>-117.681</v>
      </c>
      <c r="BA1248" s="48">
        <v>1308</v>
      </c>
    </row>
    <row r="1249" spans="1:53" ht="14.25" customHeight="1" x14ac:dyDescent="0.2">
      <c r="A1249" s="4" t="s">
        <v>1692</v>
      </c>
      <c r="B1249" s="4">
        <v>12</v>
      </c>
      <c r="C1249" s="8" t="s">
        <v>7664</v>
      </c>
      <c r="D1249" s="8" t="s">
        <v>4485</v>
      </c>
      <c r="E1249" s="4">
        <v>12039</v>
      </c>
      <c r="F1249" s="4" t="s">
        <v>4486</v>
      </c>
      <c r="G1249" s="8" t="s">
        <v>4487</v>
      </c>
      <c r="H1249" s="4" t="s">
        <v>4474</v>
      </c>
      <c r="I1249" s="4" t="s">
        <v>49</v>
      </c>
      <c r="J1249" s="4" t="s">
        <v>1746</v>
      </c>
      <c r="K1249" s="4">
        <v>1</v>
      </c>
      <c r="L1249" s="4">
        <v>14096</v>
      </c>
      <c r="M1249" s="6"/>
      <c r="AK1249" s="7"/>
      <c r="AO1249" s="48" t="s">
        <v>4486</v>
      </c>
      <c r="AP1249" s="48">
        <v>1264</v>
      </c>
      <c r="AQ1249" s="48" t="s">
        <v>1716</v>
      </c>
      <c r="AR1249" s="48" t="s">
        <v>1701</v>
      </c>
      <c r="AS1249" s="48" t="s">
        <v>1740</v>
      </c>
      <c r="AT1249" s="48" t="s">
        <v>1741</v>
      </c>
      <c r="AU1249" s="48" t="s">
        <v>1742</v>
      </c>
      <c r="AV1249" s="48" t="s">
        <v>4415</v>
      </c>
      <c r="AW1249" s="48" t="s">
        <v>2698</v>
      </c>
      <c r="AX1249" s="48" t="s">
        <v>2699</v>
      </c>
      <c r="AY1249" s="48">
        <v>51.414900000000003</v>
      </c>
      <c r="AZ1249" s="48">
        <v>-117.47410000000001</v>
      </c>
      <c r="BA1249" s="48">
        <v>835</v>
      </c>
    </row>
    <row r="1250" spans="1:53" ht="14.25" customHeight="1" x14ac:dyDescent="0.2">
      <c r="A1250" s="4" t="s">
        <v>1692</v>
      </c>
      <c r="B1250" s="4">
        <v>12</v>
      </c>
      <c r="C1250" s="8" t="s">
        <v>7664</v>
      </c>
      <c r="D1250" s="8" t="s">
        <v>4488</v>
      </c>
      <c r="E1250" s="4">
        <v>12042</v>
      </c>
      <c r="F1250" s="4" t="s">
        <v>4489</v>
      </c>
      <c r="G1250" s="8" t="s">
        <v>4490</v>
      </c>
      <c r="H1250" s="4" t="s">
        <v>4491</v>
      </c>
      <c r="I1250" s="4" t="s">
        <v>49</v>
      </c>
      <c r="J1250" s="4" t="s">
        <v>1746</v>
      </c>
      <c r="K1250" s="4">
        <v>1</v>
      </c>
      <c r="L1250" s="4">
        <v>14099</v>
      </c>
      <c r="M1250" s="6"/>
      <c r="AK1250" s="7"/>
      <c r="AO1250" s="48" t="s">
        <v>4489</v>
      </c>
      <c r="AP1250" s="48">
        <v>1265</v>
      </c>
      <c r="AQ1250" s="48" t="s">
        <v>1716</v>
      </c>
      <c r="AR1250" s="48" t="s">
        <v>1701</v>
      </c>
      <c r="AS1250" s="48" t="s">
        <v>1740</v>
      </c>
      <c r="AT1250" s="48" t="s">
        <v>1741</v>
      </c>
      <c r="AU1250" s="48" t="s">
        <v>1742</v>
      </c>
      <c r="AV1250" s="48" t="s">
        <v>4415</v>
      </c>
      <c r="AW1250" s="48" t="s">
        <v>2698</v>
      </c>
      <c r="AX1250" s="48" t="s">
        <v>2699</v>
      </c>
      <c r="AY1250" s="48">
        <v>51.314500000000002</v>
      </c>
      <c r="AZ1250" s="48">
        <v>-117.3741</v>
      </c>
      <c r="BA1250" s="48">
        <v>1638</v>
      </c>
    </row>
    <row r="1251" spans="1:53" ht="14.25" customHeight="1" x14ac:dyDescent="0.2">
      <c r="A1251" s="4" t="s">
        <v>422</v>
      </c>
      <c r="B1251" s="4">
        <v>12</v>
      </c>
      <c r="C1251" s="4" t="s">
        <v>7666</v>
      </c>
      <c r="D1251" s="4">
        <v>1266</v>
      </c>
      <c r="E1251" s="4">
        <v>12025</v>
      </c>
      <c r="F1251" s="16" t="s">
        <v>4492</v>
      </c>
      <c r="G1251" s="4" t="s">
        <v>4493</v>
      </c>
      <c r="H1251" s="4" t="s">
        <v>4494</v>
      </c>
      <c r="I1251" s="4" t="s">
        <v>49</v>
      </c>
      <c r="J1251" s="4" t="s">
        <v>1746</v>
      </c>
      <c r="K1251" s="4">
        <v>1</v>
      </c>
      <c r="L1251" s="4">
        <v>14082</v>
      </c>
      <c r="M1251" s="6"/>
      <c r="AK1251" s="7"/>
      <c r="AO1251" s="4" t="s">
        <v>4492</v>
      </c>
      <c r="AP1251" s="4">
        <v>1266</v>
      </c>
      <c r="AQ1251" s="4" t="s">
        <v>1716</v>
      </c>
      <c r="AR1251" s="4" t="s">
        <v>1717</v>
      </c>
      <c r="AS1251" s="4" t="s">
        <v>1740</v>
      </c>
      <c r="AT1251" s="4" t="s">
        <v>1835</v>
      </c>
      <c r="AU1251" s="4" t="s">
        <v>1742</v>
      </c>
      <c r="AV1251" s="4" t="s">
        <v>1720</v>
      </c>
      <c r="AW1251" s="4" t="s">
        <v>2368</v>
      </c>
      <c r="AX1251" s="4" t="s">
        <v>2401</v>
      </c>
      <c r="AY1251" s="4">
        <v>51.540100000000002</v>
      </c>
      <c r="AZ1251" s="4">
        <v>-119.3947</v>
      </c>
      <c r="BA1251" s="4">
        <v>1518</v>
      </c>
    </row>
    <row r="1252" spans="1:53" ht="14.25" customHeight="1" x14ac:dyDescent="0.2">
      <c r="A1252" s="4" t="s">
        <v>422</v>
      </c>
      <c r="B1252" s="4">
        <v>12</v>
      </c>
      <c r="C1252" s="4" t="s">
        <v>7666</v>
      </c>
      <c r="D1252" s="4">
        <v>1267</v>
      </c>
      <c r="E1252" s="4">
        <v>12026</v>
      </c>
      <c r="F1252" s="16" t="s">
        <v>4495</v>
      </c>
      <c r="G1252" s="4" t="s">
        <v>4496</v>
      </c>
      <c r="H1252" s="4" t="s">
        <v>4497</v>
      </c>
      <c r="I1252" s="4" t="s">
        <v>49</v>
      </c>
      <c r="J1252" s="4" t="s">
        <v>1746</v>
      </c>
      <c r="K1252" s="4">
        <v>1</v>
      </c>
      <c r="L1252" s="4">
        <v>14083</v>
      </c>
      <c r="M1252" s="6"/>
      <c r="AK1252" s="7"/>
      <c r="AO1252" s="65" t="s">
        <v>4495</v>
      </c>
      <c r="AP1252" s="4">
        <v>1267</v>
      </c>
      <c r="AQ1252" s="4" t="s">
        <v>1716</v>
      </c>
      <c r="AR1252" s="4" t="s">
        <v>1717</v>
      </c>
      <c r="AS1252" s="4" t="s">
        <v>1718</v>
      </c>
      <c r="AT1252" s="4" t="s">
        <v>1835</v>
      </c>
      <c r="AU1252" s="4" t="s">
        <v>1836</v>
      </c>
      <c r="AV1252" s="4" t="s">
        <v>1720</v>
      </c>
      <c r="AW1252" s="4" t="s">
        <v>1947</v>
      </c>
      <c r="AX1252" s="4" t="s">
        <v>1986</v>
      </c>
      <c r="AY1252" s="4">
        <v>59.892800000000001</v>
      </c>
      <c r="AZ1252" s="4">
        <v>-129.09389999999999</v>
      </c>
      <c r="BA1252" s="4">
        <v>866</v>
      </c>
    </row>
    <row r="1253" spans="1:53" ht="14.25" customHeight="1" x14ac:dyDescent="0.2">
      <c r="B1253" s="4">
        <v>12</v>
      </c>
      <c r="C1253" s="4" t="s">
        <v>7666</v>
      </c>
      <c r="D1253" s="4">
        <v>1268</v>
      </c>
      <c r="E1253" s="4">
        <v>12027</v>
      </c>
      <c r="F1253" s="4" t="s">
        <v>4498</v>
      </c>
      <c r="G1253" s="4" t="s">
        <v>4499</v>
      </c>
      <c r="H1253" s="4" t="s">
        <v>4500</v>
      </c>
      <c r="I1253" s="4" t="s">
        <v>49</v>
      </c>
      <c r="J1253" s="4" t="s">
        <v>1829</v>
      </c>
      <c r="K1253" s="4">
        <v>1</v>
      </c>
      <c r="L1253" s="4">
        <v>14084</v>
      </c>
      <c r="M1253" s="71"/>
      <c r="N1253" s="72"/>
      <c r="O1253" s="72"/>
      <c r="P1253" s="72"/>
      <c r="Q1253" s="73"/>
      <c r="R1253" s="72"/>
      <c r="S1253" s="72"/>
      <c r="T1253" s="72"/>
      <c r="U1253" s="72"/>
      <c r="V1253" s="72"/>
      <c r="W1253" s="74"/>
      <c r="X1253" s="72"/>
      <c r="AK1253" s="7"/>
      <c r="AO1253" s="4" t="s">
        <v>4498</v>
      </c>
      <c r="AP1253" s="4">
        <v>1268</v>
      </c>
      <c r="AQ1253" s="4" t="s">
        <v>1700</v>
      </c>
      <c r="AR1253" s="4" t="s">
        <v>1739</v>
      </c>
      <c r="AS1253" s="4" t="s">
        <v>1740</v>
      </c>
      <c r="AT1253" s="4" t="s">
        <v>1741</v>
      </c>
      <c r="AU1253" s="4" t="s">
        <v>1959</v>
      </c>
      <c r="AV1253" s="4" t="s">
        <v>1720</v>
      </c>
      <c r="AW1253" s="4" t="s">
        <v>2003</v>
      </c>
      <c r="AX1253" s="4" t="s">
        <v>2258</v>
      </c>
      <c r="AY1253" s="4">
        <v>52.859699999999997</v>
      </c>
      <c r="AZ1253" s="4">
        <v>-119.3386</v>
      </c>
      <c r="BA1253" s="4">
        <v>788</v>
      </c>
    </row>
    <row r="1254" spans="1:53" ht="14.25" customHeight="1" x14ac:dyDescent="0.2">
      <c r="A1254" s="4" t="s">
        <v>422</v>
      </c>
      <c r="B1254" s="4">
        <v>12</v>
      </c>
      <c r="C1254" s="4" t="s">
        <v>7666</v>
      </c>
      <c r="D1254" s="4">
        <v>1269</v>
      </c>
      <c r="E1254" s="4">
        <v>12028</v>
      </c>
      <c r="F1254" s="16" t="s">
        <v>4501</v>
      </c>
      <c r="G1254" s="4" t="s">
        <v>4502</v>
      </c>
      <c r="H1254" s="4" t="s">
        <v>4503</v>
      </c>
      <c r="I1254" s="4" t="s">
        <v>49</v>
      </c>
      <c r="J1254" s="4" t="s">
        <v>1746</v>
      </c>
      <c r="K1254" s="4">
        <v>1</v>
      </c>
      <c r="L1254" s="4">
        <v>14085</v>
      </c>
      <c r="M1254" s="6"/>
      <c r="AK1254" s="7"/>
      <c r="AO1254" s="65" t="s">
        <v>4501</v>
      </c>
      <c r="AP1254" s="4">
        <v>1269</v>
      </c>
      <c r="AQ1254" s="4" t="s">
        <v>1716</v>
      </c>
      <c r="AR1254" s="4" t="s">
        <v>1717</v>
      </c>
      <c r="AS1254" s="4" t="s">
        <v>1718</v>
      </c>
      <c r="AT1254" s="4" t="s">
        <v>1835</v>
      </c>
      <c r="AU1254" s="4" t="s">
        <v>1836</v>
      </c>
      <c r="AV1254" s="4" t="s">
        <v>1720</v>
      </c>
      <c r="AW1254" s="4" t="s">
        <v>2368</v>
      </c>
      <c r="AX1254" s="4" t="s">
        <v>2505</v>
      </c>
      <c r="AY1254" s="4">
        <v>50.188899999999997</v>
      </c>
      <c r="AZ1254" s="4">
        <v>-121.6</v>
      </c>
      <c r="BA1254" s="4">
        <v>636</v>
      </c>
    </row>
    <row r="1255" spans="1:53" ht="14.25" customHeight="1" x14ac:dyDescent="0.2">
      <c r="A1255" s="4" t="s">
        <v>88</v>
      </c>
      <c r="B1255" s="4">
        <v>12</v>
      </c>
      <c r="C1255" s="4" t="s">
        <v>7666</v>
      </c>
      <c r="D1255" s="4">
        <v>1270</v>
      </c>
      <c r="E1255" s="4">
        <v>12029</v>
      </c>
      <c r="F1255" s="4" t="s">
        <v>4504</v>
      </c>
      <c r="G1255" s="8" t="s">
        <v>4505</v>
      </c>
      <c r="H1255" s="4" t="s">
        <v>4506</v>
      </c>
      <c r="I1255" s="4" t="s">
        <v>49</v>
      </c>
      <c r="J1255" s="4" t="s">
        <v>1891</v>
      </c>
      <c r="K1255" s="4">
        <v>1</v>
      </c>
      <c r="L1255" s="4">
        <v>14086</v>
      </c>
      <c r="M1255" s="6">
        <v>59.892800000000001</v>
      </c>
      <c r="N1255" s="9">
        <v>-129.09333000000001</v>
      </c>
      <c r="O1255" s="9" t="s">
        <v>1577</v>
      </c>
      <c r="P1255" s="9">
        <v>1270</v>
      </c>
      <c r="Q1255" s="20">
        <v>2</v>
      </c>
      <c r="R1255" s="9" t="s">
        <v>4504</v>
      </c>
      <c r="S1255" s="9" t="s">
        <v>1737</v>
      </c>
      <c r="T1255" s="9">
        <v>866</v>
      </c>
      <c r="U1255" s="9"/>
      <c r="V1255" s="9"/>
      <c r="W1255" s="9"/>
      <c r="X1255" s="9" t="s">
        <v>1738</v>
      </c>
      <c r="AK1255" s="7"/>
      <c r="AO1255" s="4" t="s">
        <v>4504</v>
      </c>
      <c r="AP1255" s="4">
        <v>1270</v>
      </c>
      <c r="AQ1255" s="4" t="s">
        <v>1716</v>
      </c>
      <c r="AR1255" s="4" t="s">
        <v>1739</v>
      </c>
      <c r="AS1255" s="4" t="s">
        <v>1740</v>
      </c>
      <c r="AT1255" s="4" t="s">
        <v>1741</v>
      </c>
      <c r="AU1255" s="4" t="s">
        <v>1742</v>
      </c>
      <c r="AV1255" s="4" t="s">
        <v>1720</v>
      </c>
      <c r="AW1255" s="4" t="s">
        <v>1947</v>
      </c>
      <c r="AX1255" s="4" t="s">
        <v>1986</v>
      </c>
      <c r="AY1255" s="4">
        <v>59.892899999999997</v>
      </c>
      <c r="AZ1255" s="4">
        <v>-129.09389999999999</v>
      </c>
      <c r="BA1255" s="4">
        <v>866</v>
      </c>
    </row>
    <row r="1256" spans="1:53" ht="14.25" customHeight="1" x14ac:dyDescent="0.2">
      <c r="A1256" s="4" t="s">
        <v>422</v>
      </c>
      <c r="B1256" s="4">
        <v>12</v>
      </c>
      <c r="C1256" s="4" t="s">
        <v>7666</v>
      </c>
      <c r="D1256" s="4">
        <v>1272</v>
      </c>
      <c r="E1256" s="4">
        <v>12030</v>
      </c>
      <c r="F1256" s="16" t="s">
        <v>4507</v>
      </c>
      <c r="G1256" s="4" t="s">
        <v>4508</v>
      </c>
      <c r="H1256" s="4" t="s">
        <v>4509</v>
      </c>
      <c r="I1256" s="4" t="s">
        <v>49</v>
      </c>
      <c r="J1256" s="4" t="s">
        <v>1746</v>
      </c>
      <c r="K1256" s="4">
        <v>1</v>
      </c>
      <c r="L1256" s="4">
        <v>14087</v>
      </c>
      <c r="M1256" s="6"/>
      <c r="AK1256" s="7"/>
      <c r="AO1256" s="65" t="s">
        <v>4507</v>
      </c>
      <c r="AP1256" s="4">
        <v>1272</v>
      </c>
      <c r="AQ1256" s="4" t="s">
        <v>1716</v>
      </c>
      <c r="AR1256" s="4" t="s">
        <v>1717</v>
      </c>
      <c r="AS1256" s="4" t="s">
        <v>1718</v>
      </c>
      <c r="AT1256" s="4" t="s">
        <v>1835</v>
      </c>
      <c r="AU1256" s="4" t="s">
        <v>1836</v>
      </c>
      <c r="AV1256" s="4" t="s">
        <v>1720</v>
      </c>
      <c r="AW1256" s="4" t="s">
        <v>2368</v>
      </c>
      <c r="AX1256" s="4" t="s">
        <v>2505</v>
      </c>
      <c r="AY1256" s="4">
        <v>50.961599999999997</v>
      </c>
      <c r="AZ1256" s="4">
        <v>-122.2504</v>
      </c>
      <c r="BA1256" s="4">
        <v>1347</v>
      </c>
    </row>
    <row r="1257" spans="1:53" ht="14.25" customHeight="1" x14ac:dyDescent="0.2">
      <c r="A1257" s="4" t="s">
        <v>422</v>
      </c>
      <c r="B1257" s="4">
        <v>12</v>
      </c>
      <c r="C1257" s="4" t="s">
        <v>7666</v>
      </c>
      <c r="D1257" s="4">
        <v>1273</v>
      </c>
      <c r="E1257" s="4">
        <v>12031</v>
      </c>
      <c r="F1257" s="16" t="s">
        <v>4510</v>
      </c>
      <c r="G1257" s="4" t="s">
        <v>4511</v>
      </c>
      <c r="H1257" s="4" t="s">
        <v>4512</v>
      </c>
      <c r="I1257" s="4" t="s">
        <v>49</v>
      </c>
      <c r="J1257" s="4" t="s">
        <v>1746</v>
      </c>
      <c r="K1257" s="4">
        <v>1</v>
      </c>
      <c r="L1257" s="4">
        <v>14088</v>
      </c>
      <c r="M1257" s="6"/>
      <c r="AK1257" s="7"/>
      <c r="AO1257" s="65" t="s">
        <v>4510</v>
      </c>
      <c r="AP1257" s="4">
        <v>1273</v>
      </c>
      <c r="AQ1257" s="4" t="s">
        <v>1716</v>
      </c>
      <c r="AR1257" s="4" t="s">
        <v>1717</v>
      </c>
      <c r="AS1257" s="4" t="s">
        <v>1718</v>
      </c>
      <c r="AT1257" s="4" t="s">
        <v>1835</v>
      </c>
      <c r="AU1257" s="4" t="s">
        <v>1836</v>
      </c>
      <c r="AV1257" s="4" t="s">
        <v>1720</v>
      </c>
      <c r="AW1257" s="4" t="s">
        <v>2698</v>
      </c>
      <c r="AX1257" s="4" t="s">
        <v>2801</v>
      </c>
      <c r="AY1257" s="4">
        <v>49.898000000000003</v>
      </c>
      <c r="AZ1257" s="4">
        <v>-117.0887</v>
      </c>
      <c r="BA1257" s="4">
        <v>1250</v>
      </c>
    </row>
    <row r="1258" spans="1:53" ht="14.25" customHeight="1" x14ac:dyDescent="0.2">
      <c r="A1258" s="4" t="s">
        <v>422</v>
      </c>
      <c r="B1258" s="4">
        <v>12</v>
      </c>
      <c r="C1258" s="4" t="s">
        <v>7666</v>
      </c>
      <c r="D1258" s="4">
        <v>1274</v>
      </c>
      <c r="E1258" s="4">
        <v>12032</v>
      </c>
      <c r="F1258" s="4" t="s">
        <v>4513</v>
      </c>
      <c r="G1258" s="4" t="s">
        <v>4514</v>
      </c>
      <c r="H1258" s="4" t="s">
        <v>4515</v>
      </c>
      <c r="I1258" s="4" t="s">
        <v>49</v>
      </c>
      <c r="J1258" s="4" t="s">
        <v>1746</v>
      </c>
      <c r="K1258" s="4">
        <v>1</v>
      </c>
      <c r="L1258" s="4">
        <v>14089</v>
      </c>
      <c r="M1258" s="6"/>
      <c r="N1258" s="9"/>
      <c r="O1258" s="9"/>
      <c r="P1258" s="9"/>
      <c r="Q1258" s="20"/>
      <c r="R1258" s="9"/>
      <c r="S1258" s="9"/>
      <c r="T1258" s="9"/>
      <c r="U1258" s="9"/>
      <c r="V1258" s="9"/>
      <c r="W1258" s="21"/>
      <c r="X1258" s="9"/>
      <c r="AK1258" s="7"/>
      <c r="AO1258" s="4" t="s">
        <v>4513</v>
      </c>
      <c r="AP1258" s="4">
        <v>1274</v>
      </c>
      <c r="AQ1258" s="4" t="s">
        <v>1716</v>
      </c>
      <c r="AR1258" s="4" t="s">
        <v>2441</v>
      </c>
      <c r="AS1258" s="4" t="s">
        <v>1740</v>
      </c>
      <c r="AT1258" s="4" t="s">
        <v>1703</v>
      </c>
      <c r="AU1258" s="4" t="s">
        <v>1742</v>
      </c>
      <c r="AV1258" s="4" t="s">
        <v>1720</v>
      </c>
      <c r="AW1258" s="4" t="s">
        <v>1705</v>
      </c>
      <c r="AX1258" s="4" t="s">
        <v>1706</v>
      </c>
      <c r="AY1258" s="4">
        <v>49.207000000000001</v>
      </c>
      <c r="AZ1258" s="4">
        <v>-124.5668</v>
      </c>
      <c r="BA1258" s="4">
        <v>1459</v>
      </c>
    </row>
    <row r="1259" spans="1:53" ht="14.25" customHeight="1" x14ac:dyDescent="0.2">
      <c r="A1259" s="4" t="s">
        <v>422</v>
      </c>
      <c r="B1259" s="4">
        <v>12</v>
      </c>
      <c r="C1259" s="4" t="s">
        <v>7674</v>
      </c>
      <c r="D1259" s="4">
        <v>1275</v>
      </c>
      <c r="E1259" s="4">
        <v>12033</v>
      </c>
      <c r="F1259" s="4" t="s">
        <v>4516</v>
      </c>
      <c r="G1259" s="4" t="s">
        <v>4517</v>
      </c>
      <c r="H1259" s="4" t="s">
        <v>4518</v>
      </c>
      <c r="I1259" s="4" t="s">
        <v>49</v>
      </c>
      <c r="J1259" s="4" t="s">
        <v>1829</v>
      </c>
      <c r="K1259" s="4">
        <v>1</v>
      </c>
      <c r="L1259" s="4">
        <v>14090</v>
      </c>
      <c r="M1259" s="6">
        <v>52.134569399999997</v>
      </c>
      <c r="N1259" s="9">
        <v>-126.2626806</v>
      </c>
      <c r="O1259" s="9" t="s">
        <v>51</v>
      </c>
      <c r="P1259" s="14" t="s">
        <v>4519</v>
      </c>
      <c r="Q1259" s="70">
        <v>7</v>
      </c>
      <c r="R1259" s="9" t="s">
        <v>4520</v>
      </c>
      <c r="S1259" s="9" t="s">
        <v>4344</v>
      </c>
      <c r="T1259" s="9">
        <v>1423</v>
      </c>
      <c r="U1259" s="9"/>
      <c r="V1259" s="9" t="s">
        <v>4345</v>
      </c>
      <c r="W1259" s="58" t="s">
        <v>4521</v>
      </c>
      <c r="X1259" s="9" t="s">
        <v>4347</v>
      </c>
      <c r="AE1259" s="4" t="s">
        <v>4522</v>
      </c>
      <c r="AK1259" s="7"/>
      <c r="AO1259" s="4" t="s">
        <v>4516</v>
      </c>
      <c r="AP1259" s="4">
        <v>1275</v>
      </c>
      <c r="AQ1259" s="4" t="s">
        <v>1716</v>
      </c>
      <c r="AR1259" s="4" t="s">
        <v>1739</v>
      </c>
      <c r="AS1259" s="4" t="s">
        <v>1740</v>
      </c>
      <c r="AT1259" s="4" t="s">
        <v>1703</v>
      </c>
      <c r="AU1259" s="4" t="s">
        <v>1742</v>
      </c>
      <c r="AV1259" s="4" t="s">
        <v>1720</v>
      </c>
      <c r="AW1259" s="4" t="s">
        <v>1705</v>
      </c>
      <c r="AX1259" s="4" t="s">
        <v>1965</v>
      </c>
      <c r="AY1259" s="4">
        <v>52.134599999999999</v>
      </c>
      <c r="AZ1259" s="4">
        <v>-126.2627</v>
      </c>
      <c r="BA1259" s="4">
        <v>1414</v>
      </c>
    </row>
    <row r="1260" spans="1:53" ht="14.25" customHeight="1" x14ac:dyDescent="0.2">
      <c r="B1260" s="4">
        <v>12</v>
      </c>
      <c r="C1260" s="4" t="s">
        <v>7666</v>
      </c>
      <c r="D1260" s="4">
        <v>1276</v>
      </c>
      <c r="E1260" s="4">
        <v>12034</v>
      </c>
      <c r="F1260" s="4" t="s">
        <v>4523</v>
      </c>
      <c r="G1260" s="4" t="s">
        <v>4524</v>
      </c>
      <c r="H1260" s="4" t="s">
        <v>4525</v>
      </c>
      <c r="I1260" s="4" t="s">
        <v>49</v>
      </c>
      <c r="J1260" s="4" t="s">
        <v>1829</v>
      </c>
      <c r="K1260" s="4">
        <v>1</v>
      </c>
      <c r="L1260" s="4">
        <v>14091</v>
      </c>
      <c r="M1260" s="6"/>
      <c r="AK1260" s="7"/>
      <c r="AO1260" s="4" t="s">
        <v>4523</v>
      </c>
      <c r="AP1260" s="4">
        <v>1276</v>
      </c>
      <c r="AQ1260" s="4" t="s">
        <v>1716</v>
      </c>
      <c r="AR1260" s="4" t="s">
        <v>1739</v>
      </c>
      <c r="AS1260" s="4" t="s">
        <v>1740</v>
      </c>
      <c r="AT1260" s="4" t="s">
        <v>1703</v>
      </c>
      <c r="AU1260" s="4" t="s">
        <v>1742</v>
      </c>
      <c r="AV1260" s="4" t="s">
        <v>1720</v>
      </c>
      <c r="AW1260" s="4" t="s">
        <v>1705</v>
      </c>
      <c r="AX1260" s="4" t="s">
        <v>1965</v>
      </c>
      <c r="AY1260" s="4">
        <v>51.6556</v>
      </c>
      <c r="AZ1260" s="4">
        <v>-126.1407</v>
      </c>
      <c r="BA1260" s="4">
        <v>1609</v>
      </c>
    </row>
    <row r="1261" spans="1:53" ht="14.25" customHeight="1" x14ac:dyDescent="0.2">
      <c r="B1261" s="4">
        <v>12</v>
      </c>
      <c r="C1261" s="4" t="s">
        <v>7666</v>
      </c>
      <c r="D1261" s="4">
        <v>1277</v>
      </c>
      <c r="E1261" s="4">
        <v>12035</v>
      </c>
      <c r="F1261" s="4" t="s">
        <v>4526</v>
      </c>
      <c r="G1261" s="4" t="s">
        <v>4527</v>
      </c>
      <c r="H1261" s="4" t="s">
        <v>4525</v>
      </c>
      <c r="I1261" s="4" t="s">
        <v>49</v>
      </c>
      <c r="J1261" s="4" t="s">
        <v>1891</v>
      </c>
      <c r="K1261" s="4">
        <v>1</v>
      </c>
      <c r="L1261" s="4">
        <v>14092</v>
      </c>
      <c r="M1261" s="6"/>
      <c r="AK1261" s="7"/>
      <c r="AO1261" s="4" t="s">
        <v>4526</v>
      </c>
      <c r="AP1261" s="4">
        <v>1277</v>
      </c>
      <c r="AQ1261" s="4" t="s">
        <v>1716</v>
      </c>
      <c r="AR1261" s="4" t="s">
        <v>1739</v>
      </c>
      <c r="AS1261" s="4" t="s">
        <v>1740</v>
      </c>
      <c r="AT1261" s="4" t="s">
        <v>1835</v>
      </c>
      <c r="AU1261" s="4" t="s">
        <v>1704</v>
      </c>
      <c r="AV1261" s="4" t="s">
        <v>1720</v>
      </c>
      <c r="AW1261" s="4" t="s">
        <v>2368</v>
      </c>
      <c r="AX1261" s="4" t="s">
        <v>2516</v>
      </c>
      <c r="AY1261" s="4">
        <v>49.883200000000002</v>
      </c>
      <c r="AZ1261" s="4">
        <v>-119.56950000000001</v>
      </c>
      <c r="BA1261" s="4">
        <v>650</v>
      </c>
    </row>
    <row r="1262" spans="1:53" ht="14.25" customHeight="1" x14ac:dyDescent="0.2">
      <c r="A1262" s="4" t="s">
        <v>422</v>
      </c>
      <c r="B1262" s="4">
        <v>12</v>
      </c>
      <c r="C1262" s="4" t="s">
        <v>7666</v>
      </c>
      <c r="D1262" s="4">
        <v>1279</v>
      </c>
      <c r="E1262" s="4">
        <v>12040</v>
      </c>
      <c r="F1262" s="16" t="s">
        <v>4528</v>
      </c>
      <c r="G1262" s="4" t="s">
        <v>4529</v>
      </c>
      <c r="H1262" s="4" t="s">
        <v>4530</v>
      </c>
      <c r="I1262" s="4" t="s">
        <v>49</v>
      </c>
      <c r="J1262" s="4" t="s">
        <v>1746</v>
      </c>
      <c r="K1262" s="4">
        <v>1</v>
      </c>
      <c r="L1262" s="4">
        <v>14097</v>
      </c>
      <c r="M1262" s="6"/>
      <c r="AK1262" s="7"/>
      <c r="AO1262" s="65" t="s">
        <v>4528</v>
      </c>
      <c r="AP1262" s="4">
        <v>1279</v>
      </c>
      <c r="AQ1262" s="4" t="s">
        <v>1716</v>
      </c>
      <c r="AR1262" s="4" t="s">
        <v>1717</v>
      </c>
      <c r="AS1262" s="4" t="s">
        <v>1718</v>
      </c>
      <c r="AT1262" s="4" t="s">
        <v>1835</v>
      </c>
      <c r="AU1262" s="4" t="s">
        <v>1836</v>
      </c>
      <c r="AV1262" s="4" t="s">
        <v>1720</v>
      </c>
      <c r="AW1262" s="4" t="s">
        <v>1947</v>
      </c>
      <c r="AX1262" s="4" t="s">
        <v>2148</v>
      </c>
      <c r="AY1262" s="4">
        <v>54.041699999999999</v>
      </c>
      <c r="AZ1262" s="4">
        <v>-125.6</v>
      </c>
      <c r="BA1262" s="4">
        <v>800</v>
      </c>
    </row>
    <row r="1263" spans="1:53" ht="14.25" customHeight="1" x14ac:dyDescent="0.2">
      <c r="A1263" s="4" t="s">
        <v>422</v>
      </c>
      <c r="B1263" s="4">
        <v>12</v>
      </c>
      <c r="C1263" s="4" t="s">
        <v>7666</v>
      </c>
      <c r="D1263" s="4">
        <v>1280</v>
      </c>
      <c r="E1263" s="4">
        <v>12041</v>
      </c>
      <c r="F1263" s="16" t="s">
        <v>4531</v>
      </c>
      <c r="G1263" s="4" t="s">
        <v>4532</v>
      </c>
      <c r="H1263" s="4" t="s">
        <v>4533</v>
      </c>
      <c r="I1263" s="4" t="s">
        <v>49</v>
      </c>
      <c r="J1263" s="4" t="s">
        <v>1746</v>
      </c>
      <c r="K1263" s="4">
        <v>1</v>
      </c>
      <c r="L1263" s="4">
        <v>14098</v>
      </c>
      <c r="M1263" s="6"/>
      <c r="AK1263" s="7"/>
      <c r="AO1263" s="65" t="s">
        <v>4531</v>
      </c>
      <c r="AP1263" s="4">
        <v>1280</v>
      </c>
      <c r="AQ1263" s="4" t="s">
        <v>1716</v>
      </c>
      <c r="AR1263" s="4" t="s">
        <v>1717</v>
      </c>
      <c r="AS1263" s="4" t="s">
        <v>1718</v>
      </c>
      <c r="AT1263" s="4" t="s">
        <v>1835</v>
      </c>
      <c r="AU1263" s="4" t="s">
        <v>1836</v>
      </c>
      <c r="AV1263" s="4" t="s">
        <v>1720</v>
      </c>
      <c r="AW1263" s="4" t="s">
        <v>2698</v>
      </c>
      <c r="AX1263" s="4" t="s">
        <v>2801</v>
      </c>
      <c r="AY1263" s="4">
        <v>50.474699999999999</v>
      </c>
      <c r="AZ1263" s="4">
        <v>-117.1998</v>
      </c>
      <c r="BA1263" s="4">
        <v>773</v>
      </c>
    </row>
    <row r="1264" spans="1:53" ht="14.25" customHeight="1" x14ac:dyDescent="0.2">
      <c r="B1264" s="4">
        <v>12</v>
      </c>
      <c r="C1264" s="4" t="s">
        <v>7666</v>
      </c>
      <c r="D1264" s="4">
        <v>1281</v>
      </c>
      <c r="E1264" s="4">
        <v>12429</v>
      </c>
      <c r="F1264" s="16" t="s">
        <v>4534</v>
      </c>
      <c r="G1264" s="4" t="s">
        <v>4535</v>
      </c>
      <c r="H1264" s="4" t="s">
        <v>4536</v>
      </c>
      <c r="I1264" s="4" t="s">
        <v>49</v>
      </c>
      <c r="J1264" s="4" t="s">
        <v>1746</v>
      </c>
      <c r="K1264" s="4">
        <v>1</v>
      </c>
      <c r="L1264" s="4">
        <v>14451</v>
      </c>
      <c r="M1264" s="6"/>
      <c r="AK1264" s="7"/>
      <c r="AO1264" s="65" t="s">
        <v>4534</v>
      </c>
      <c r="AP1264" s="4">
        <v>1281</v>
      </c>
      <c r="AQ1264" s="4" t="s">
        <v>1716</v>
      </c>
      <c r="AR1264" s="4" t="s">
        <v>1717</v>
      </c>
      <c r="AS1264" s="4" t="s">
        <v>2257</v>
      </c>
      <c r="AT1264" s="4" t="s">
        <v>1835</v>
      </c>
      <c r="AU1264" s="4" t="s">
        <v>1836</v>
      </c>
      <c r="AV1264" s="4" t="s">
        <v>1720</v>
      </c>
      <c r="AW1264" s="4" t="s">
        <v>2698</v>
      </c>
      <c r="AX1264" s="4" t="s">
        <v>2801</v>
      </c>
      <c r="AY1264" s="4">
        <v>50.290999999999997</v>
      </c>
      <c r="AZ1264" s="4">
        <v>-116.899</v>
      </c>
      <c r="BA1264" s="4">
        <v>795</v>
      </c>
    </row>
    <row r="1265" spans="1:53" ht="14.25" customHeight="1" x14ac:dyDescent="0.2">
      <c r="B1265" s="4">
        <v>12</v>
      </c>
      <c r="C1265" s="4" t="s">
        <v>7666</v>
      </c>
      <c r="D1265" s="4">
        <v>1282</v>
      </c>
      <c r="E1265" s="4">
        <v>12043</v>
      </c>
      <c r="F1265" s="16" t="s">
        <v>4537</v>
      </c>
      <c r="G1265" s="4" t="s">
        <v>4538</v>
      </c>
      <c r="H1265" s="4" t="s">
        <v>4539</v>
      </c>
      <c r="I1265" s="4" t="s">
        <v>49</v>
      </c>
      <c r="J1265" s="4" t="s">
        <v>1746</v>
      </c>
      <c r="K1265" s="4">
        <v>1</v>
      </c>
      <c r="L1265" s="4">
        <v>14100</v>
      </c>
      <c r="M1265" s="6"/>
      <c r="AK1265" s="7"/>
      <c r="AO1265" s="27" t="s">
        <v>4537</v>
      </c>
      <c r="AP1265" s="4">
        <v>1282</v>
      </c>
      <c r="AQ1265" s="4" t="s">
        <v>1716</v>
      </c>
      <c r="AR1265" s="4" t="s">
        <v>2441</v>
      </c>
      <c r="AS1265" s="4" t="s">
        <v>1740</v>
      </c>
      <c r="AT1265" s="4" t="s">
        <v>1835</v>
      </c>
      <c r="AU1265" s="4" t="s">
        <v>1742</v>
      </c>
      <c r="AV1265" s="4" t="s">
        <v>1720</v>
      </c>
      <c r="AW1265" s="4" t="s">
        <v>1705</v>
      </c>
      <c r="AX1265" s="4" t="s">
        <v>1747</v>
      </c>
      <c r="AY1265" s="4">
        <v>48.772799999999997</v>
      </c>
      <c r="AZ1265" s="4">
        <v>-123.4747</v>
      </c>
      <c r="BA1265" s="4">
        <v>18</v>
      </c>
    </row>
    <row r="1266" spans="1:53" ht="14.25" customHeight="1" x14ac:dyDescent="0.2">
      <c r="A1266" s="4" t="s">
        <v>88</v>
      </c>
      <c r="B1266" s="4">
        <v>12</v>
      </c>
      <c r="C1266" s="4" t="s">
        <v>7666</v>
      </c>
      <c r="D1266" s="4">
        <v>1283</v>
      </c>
      <c r="E1266" s="4">
        <v>12044</v>
      </c>
      <c r="F1266" s="4" t="s">
        <v>4540</v>
      </c>
      <c r="G1266" s="8" t="s">
        <v>4541</v>
      </c>
      <c r="H1266" s="4" t="s">
        <v>4542</v>
      </c>
      <c r="I1266" s="4" t="s">
        <v>49</v>
      </c>
      <c r="J1266" s="4" t="s">
        <v>1891</v>
      </c>
      <c r="K1266" s="4">
        <v>1</v>
      </c>
      <c r="L1266" s="4">
        <v>14101</v>
      </c>
      <c r="M1266" s="6">
        <v>50.082505599999998</v>
      </c>
      <c r="N1266" s="4">
        <v>-123.04127219999999</v>
      </c>
      <c r="O1266" s="4" t="s">
        <v>51</v>
      </c>
      <c r="P1266" s="4">
        <v>1283</v>
      </c>
      <c r="Q1266" s="4">
        <v>4</v>
      </c>
      <c r="R1266" s="4" t="s">
        <v>4540</v>
      </c>
      <c r="S1266" s="4" t="s">
        <v>1737</v>
      </c>
      <c r="T1266" s="4">
        <v>595</v>
      </c>
      <c r="X1266" s="4" t="s">
        <v>1738</v>
      </c>
      <c r="AK1266" s="7"/>
      <c r="AO1266" s="4" t="s">
        <v>4540</v>
      </c>
      <c r="AP1266" s="4">
        <v>1283</v>
      </c>
      <c r="AQ1266" s="4" t="s">
        <v>1700</v>
      </c>
      <c r="AR1266" s="4" t="s">
        <v>1739</v>
      </c>
      <c r="AS1266" s="4" t="s">
        <v>1740</v>
      </c>
      <c r="AT1266" s="4" t="s">
        <v>1741</v>
      </c>
      <c r="AU1266" s="4" t="s">
        <v>1742</v>
      </c>
      <c r="AV1266" s="4" t="s">
        <v>1720</v>
      </c>
      <c r="AW1266" s="4" t="s">
        <v>1705</v>
      </c>
      <c r="AX1266" s="4" t="s">
        <v>1879</v>
      </c>
      <c r="AY1266" s="4">
        <v>50.083500000000001</v>
      </c>
      <c r="AZ1266" s="4">
        <v>-123.0475</v>
      </c>
      <c r="BA1266" s="4">
        <v>592</v>
      </c>
    </row>
    <row r="1267" spans="1:53" ht="14.25" customHeight="1" x14ac:dyDescent="0.2">
      <c r="A1267" s="4" t="s">
        <v>422</v>
      </c>
      <c r="B1267" s="4">
        <v>12</v>
      </c>
      <c r="C1267" s="4" t="s">
        <v>7666</v>
      </c>
      <c r="D1267" s="4">
        <v>1285</v>
      </c>
      <c r="E1267" s="4">
        <v>12046</v>
      </c>
      <c r="F1267" s="16" t="s">
        <v>4543</v>
      </c>
      <c r="G1267" s="4" t="s">
        <v>4544</v>
      </c>
      <c r="H1267" s="4" t="s">
        <v>4545</v>
      </c>
      <c r="I1267" s="4" t="s">
        <v>49</v>
      </c>
      <c r="J1267" s="4" t="s">
        <v>1746</v>
      </c>
      <c r="K1267" s="4">
        <v>1</v>
      </c>
      <c r="L1267" s="4">
        <v>14103</v>
      </c>
      <c r="M1267" s="6"/>
      <c r="AK1267" s="7"/>
      <c r="AO1267" s="4" t="s">
        <v>4543</v>
      </c>
      <c r="AP1267" s="4">
        <v>1285</v>
      </c>
      <c r="AQ1267" s="4" t="s">
        <v>1716</v>
      </c>
      <c r="AR1267" s="4" t="s">
        <v>1717</v>
      </c>
      <c r="AS1267" s="4" t="s">
        <v>1718</v>
      </c>
      <c r="AT1267" s="4" t="s">
        <v>1841</v>
      </c>
      <c r="AU1267" s="4" t="s">
        <v>1836</v>
      </c>
      <c r="AW1267" s="4" t="s">
        <v>2368</v>
      </c>
      <c r="AX1267" s="4" t="s">
        <v>2516</v>
      </c>
      <c r="AY1267" s="4">
        <v>49.738300000000002</v>
      </c>
      <c r="AZ1267" s="4">
        <v>-120.0669</v>
      </c>
      <c r="BA1267" s="4">
        <v>1397</v>
      </c>
    </row>
    <row r="1268" spans="1:53" ht="14.25" customHeight="1" x14ac:dyDescent="0.2">
      <c r="A1268" s="4" t="s">
        <v>422</v>
      </c>
      <c r="B1268" s="4">
        <v>12</v>
      </c>
      <c r="C1268" s="4" t="s">
        <v>7666</v>
      </c>
      <c r="D1268" s="4">
        <v>1288</v>
      </c>
      <c r="E1268" s="4">
        <v>12045</v>
      </c>
      <c r="F1268" s="16" t="s">
        <v>4546</v>
      </c>
      <c r="G1268" s="4" t="s">
        <v>4547</v>
      </c>
      <c r="H1268" s="4" t="s">
        <v>4548</v>
      </c>
      <c r="I1268" s="4" t="s">
        <v>49</v>
      </c>
      <c r="J1268" s="4" t="s">
        <v>1746</v>
      </c>
      <c r="K1268" s="4">
        <v>1</v>
      </c>
      <c r="L1268" s="4">
        <v>14102</v>
      </c>
      <c r="M1268" s="6"/>
      <c r="AK1268" s="7"/>
      <c r="AO1268" s="65" t="s">
        <v>4546</v>
      </c>
      <c r="AP1268" s="4">
        <v>1288</v>
      </c>
      <c r="AQ1268" s="4" t="s">
        <v>1716</v>
      </c>
      <c r="AR1268" s="4" t="s">
        <v>1717</v>
      </c>
      <c r="AS1268" s="4" t="s">
        <v>1718</v>
      </c>
      <c r="AT1268" s="4" t="s">
        <v>1835</v>
      </c>
      <c r="AU1268" s="4" t="s">
        <v>1836</v>
      </c>
      <c r="AV1268" s="4" t="s">
        <v>1720</v>
      </c>
      <c r="AW1268" s="4" t="s">
        <v>2193</v>
      </c>
      <c r="AX1268" s="4" t="s">
        <v>2291</v>
      </c>
      <c r="AY1268" s="4">
        <v>52.015900000000002</v>
      </c>
      <c r="AZ1268" s="4">
        <v>-122.91370000000001</v>
      </c>
      <c r="BA1268" s="4">
        <v>1252</v>
      </c>
    </row>
    <row r="1269" spans="1:53" ht="14.25" customHeight="1" x14ac:dyDescent="0.2">
      <c r="A1269" s="4" t="s">
        <v>88</v>
      </c>
      <c r="B1269" s="4">
        <v>12</v>
      </c>
      <c r="C1269" s="4" t="s">
        <v>7666</v>
      </c>
      <c r="D1269" s="4">
        <v>1289</v>
      </c>
      <c r="E1269" s="4">
        <v>12048</v>
      </c>
      <c r="F1269" s="16" t="s">
        <v>4549</v>
      </c>
      <c r="G1269" s="8" t="s">
        <v>4550</v>
      </c>
      <c r="H1269" s="4" t="s">
        <v>4551</v>
      </c>
      <c r="I1269" s="4" t="s">
        <v>49</v>
      </c>
      <c r="J1269" s="4" t="s">
        <v>1746</v>
      </c>
      <c r="K1269" s="4">
        <v>1</v>
      </c>
      <c r="L1269" s="4">
        <v>14105</v>
      </c>
      <c r="M1269" s="6"/>
      <c r="AK1269" s="7"/>
      <c r="AO1269" s="65" t="s">
        <v>4549</v>
      </c>
      <c r="AP1269" s="4">
        <v>1289</v>
      </c>
      <c r="AQ1269" s="4" t="s">
        <v>1716</v>
      </c>
      <c r="AR1269" s="4" t="s">
        <v>1717</v>
      </c>
      <c r="AS1269" s="4" t="s">
        <v>1718</v>
      </c>
      <c r="AT1269" s="4" t="s">
        <v>1835</v>
      </c>
      <c r="AU1269" s="4" t="s">
        <v>1836</v>
      </c>
      <c r="AV1269" s="4" t="s">
        <v>1720</v>
      </c>
      <c r="AW1269" s="4" t="s">
        <v>2698</v>
      </c>
      <c r="AX1269" s="4" t="s">
        <v>2801</v>
      </c>
      <c r="AY1269" s="4">
        <v>49.694600000000001</v>
      </c>
      <c r="AZ1269" s="4">
        <v>-116.6974</v>
      </c>
      <c r="BA1269" s="4">
        <v>1170</v>
      </c>
    </row>
    <row r="1270" spans="1:53" ht="14.25" customHeight="1" x14ac:dyDescent="0.2">
      <c r="A1270" s="4" t="s">
        <v>422</v>
      </c>
      <c r="B1270" s="4">
        <v>12</v>
      </c>
      <c r="C1270" s="4" t="s">
        <v>7666</v>
      </c>
      <c r="D1270" s="4">
        <v>1291</v>
      </c>
      <c r="E1270" s="4">
        <v>12047</v>
      </c>
      <c r="F1270" s="16" t="s">
        <v>4552</v>
      </c>
      <c r="G1270" s="4" t="s">
        <v>4553</v>
      </c>
      <c r="H1270" s="4" t="s">
        <v>4554</v>
      </c>
      <c r="I1270" s="4" t="s">
        <v>49</v>
      </c>
      <c r="J1270" s="4" t="s">
        <v>1746</v>
      </c>
      <c r="K1270" s="4">
        <v>1</v>
      </c>
      <c r="L1270" s="4">
        <v>14104</v>
      </c>
      <c r="M1270" s="6"/>
      <c r="AK1270" s="7"/>
      <c r="AO1270" s="4" t="s">
        <v>4552</v>
      </c>
      <c r="AP1270" s="4">
        <v>1291</v>
      </c>
      <c r="AQ1270" s="4" t="s">
        <v>1716</v>
      </c>
      <c r="AR1270" s="4" t="s">
        <v>1717</v>
      </c>
      <c r="AS1270" s="4" t="s">
        <v>1740</v>
      </c>
      <c r="AT1270" s="4" t="s">
        <v>1835</v>
      </c>
      <c r="AU1270" s="4" t="s">
        <v>1742</v>
      </c>
      <c r="AV1270" s="4" t="s">
        <v>1720</v>
      </c>
      <c r="AW1270" s="4" t="s">
        <v>2368</v>
      </c>
      <c r="AX1270" s="4" t="s">
        <v>2369</v>
      </c>
      <c r="AY1270" s="4">
        <v>51.412799999999997</v>
      </c>
      <c r="AZ1270" s="4">
        <v>-120.2239</v>
      </c>
      <c r="BA1270" s="4">
        <v>680</v>
      </c>
    </row>
    <row r="1271" spans="1:53" ht="14.25" customHeight="1" x14ac:dyDescent="0.2">
      <c r="B1271" s="4">
        <v>12</v>
      </c>
      <c r="C1271" s="4" t="s">
        <v>7666</v>
      </c>
      <c r="D1271" s="4">
        <v>1292</v>
      </c>
      <c r="E1271" s="4">
        <v>12049</v>
      </c>
      <c r="F1271" s="16" t="s">
        <v>4555</v>
      </c>
      <c r="G1271" s="4" t="s">
        <v>4556</v>
      </c>
      <c r="H1271" s="4" t="s">
        <v>4557</v>
      </c>
      <c r="I1271" s="4" t="s">
        <v>49</v>
      </c>
      <c r="J1271" s="4" t="s">
        <v>1746</v>
      </c>
      <c r="K1271" s="4">
        <v>1</v>
      </c>
      <c r="L1271" s="4">
        <v>14106</v>
      </c>
      <c r="M1271" s="6"/>
      <c r="AK1271" s="7"/>
      <c r="AO1271" s="4" t="s">
        <v>4555</v>
      </c>
      <c r="AP1271" s="4">
        <v>1292</v>
      </c>
      <c r="AQ1271" s="4" t="s">
        <v>1716</v>
      </c>
      <c r="AR1271" s="4" t="s">
        <v>1717</v>
      </c>
      <c r="AS1271" s="4" t="s">
        <v>1718</v>
      </c>
      <c r="AT1271" s="4" t="s">
        <v>1835</v>
      </c>
      <c r="AU1271" s="4" t="s">
        <v>1959</v>
      </c>
      <c r="AV1271" s="4" t="s">
        <v>1720</v>
      </c>
      <c r="AW1271" s="4" t="s">
        <v>2368</v>
      </c>
      <c r="AX1271" s="4" t="s">
        <v>2492</v>
      </c>
      <c r="AY1271" s="4">
        <v>49.523899999999998</v>
      </c>
      <c r="AZ1271" s="4">
        <v>-120.92310000000001</v>
      </c>
      <c r="BA1271" s="4">
        <v>1292</v>
      </c>
    </row>
    <row r="1272" spans="1:53" ht="14.25" customHeight="1" x14ac:dyDescent="0.2">
      <c r="A1272" s="4" t="s">
        <v>422</v>
      </c>
      <c r="B1272" s="4">
        <v>12</v>
      </c>
      <c r="C1272" s="4" t="s">
        <v>7666</v>
      </c>
      <c r="D1272" s="4">
        <v>1293</v>
      </c>
      <c r="E1272" s="4">
        <v>12050</v>
      </c>
      <c r="F1272" s="16" t="s">
        <v>4558</v>
      </c>
      <c r="G1272" s="4" t="s">
        <v>4559</v>
      </c>
      <c r="H1272" s="4" t="s">
        <v>4560</v>
      </c>
      <c r="I1272" s="4" t="s">
        <v>49</v>
      </c>
      <c r="J1272" s="4" t="s">
        <v>1746</v>
      </c>
      <c r="K1272" s="4">
        <v>1</v>
      </c>
      <c r="L1272" s="4">
        <v>14107</v>
      </c>
      <c r="M1272" s="6"/>
      <c r="AK1272" s="7"/>
      <c r="AO1272" s="4" t="s">
        <v>4558</v>
      </c>
      <c r="AP1272" s="4">
        <v>1293</v>
      </c>
      <c r="AQ1272" s="4" t="s">
        <v>1716</v>
      </c>
      <c r="AR1272" s="4" t="s">
        <v>1717</v>
      </c>
      <c r="AS1272" s="4" t="s">
        <v>1718</v>
      </c>
      <c r="AT1272" s="4" t="s">
        <v>1835</v>
      </c>
      <c r="AU1272" s="4" t="s">
        <v>1836</v>
      </c>
      <c r="AW1272" s="4" t="s">
        <v>2368</v>
      </c>
      <c r="AX1272" s="4" t="s">
        <v>2522</v>
      </c>
      <c r="AY1272" s="4">
        <v>50.597200000000001</v>
      </c>
      <c r="AZ1272" s="4">
        <v>-118.4781</v>
      </c>
      <c r="BA1272" s="4">
        <v>1570</v>
      </c>
    </row>
    <row r="1273" spans="1:53" ht="14.25" customHeight="1" x14ac:dyDescent="0.2">
      <c r="B1273" s="4">
        <v>12</v>
      </c>
      <c r="C1273" s="4" t="s">
        <v>7666</v>
      </c>
      <c r="D1273" s="4">
        <v>1294</v>
      </c>
      <c r="E1273" s="4">
        <v>12052</v>
      </c>
      <c r="F1273" s="4" t="s">
        <v>4561</v>
      </c>
      <c r="G1273" s="4" t="s">
        <v>4562</v>
      </c>
      <c r="H1273" s="4" t="s">
        <v>4563</v>
      </c>
      <c r="I1273" s="4" t="s">
        <v>49</v>
      </c>
      <c r="J1273" s="4" t="s">
        <v>1746</v>
      </c>
      <c r="K1273" s="4">
        <v>1</v>
      </c>
      <c r="L1273" s="4">
        <v>14109</v>
      </c>
      <c r="M1273" s="6"/>
      <c r="AK1273" s="7"/>
      <c r="AO1273" s="4" t="s">
        <v>4561</v>
      </c>
      <c r="AP1273" s="4">
        <v>1294</v>
      </c>
      <c r="AQ1273" s="4" t="s">
        <v>1716</v>
      </c>
      <c r="AR1273" s="4" t="s">
        <v>1717</v>
      </c>
      <c r="AS1273" s="4" t="s">
        <v>2257</v>
      </c>
      <c r="AT1273" s="4" t="s">
        <v>1835</v>
      </c>
      <c r="AU1273" s="4" t="s">
        <v>2443</v>
      </c>
      <c r="AV1273" s="4" t="s">
        <v>1720</v>
      </c>
      <c r="AW1273" s="4" t="s">
        <v>1705</v>
      </c>
      <c r="AX1273" s="4" t="s">
        <v>1747</v>
      </c>
      <c r="AY1273" s="4">
        <v>48.434699999999999</v>
      </c>
      <c r="AZ1273" s="4">
        <v>-123.3746</v>
      </c>
      <c r="BA1273" s="4">
        <v>10</v>
      </c>
    </row>
    <row r="1274" spans="1:53" ht="14.25" customHeight="1" x14ac:dyDescent="0.2">
      <c r="A1274" s="4" t="s">
        <v>422</v>
      </c>
      <c r="B1274" s="4">
        <v>12</v>
      </c>
      <c r="C1274" s="4" t="s">
        <v>7666</v>
      </c>
      <c r="D1274" s="4">
        <v>1299</v>
      </c>
      <c r="E1274" s="4">
        <v>12064</v>
      </c>
      <c r="F1274" s="16" t="s">
        <v>4564</v>
      </c>
      <c r="G1274" s="4" t="s">
        <v>4565</v>
      </c>
      <c r="H1274" s="4" t="s">
        <v>4566</v>
      </c>
      <c r="I1274" s="4" t="s">
        <v>49</v>
      </c>
      <c r="J1274" s="4" t="s">
        <v>1746</v>
      </c>
      <c r="K1274" s="4">
        <v>1</v>
      </c>
      <c r="L1274" s="4">
        <v>14120</v>
      </c>
      <c r="M1274" s="6"/>
      <c r="AK1274" s="7"/>
      <c r="AO1274" s="65" t="s">
        <v>4564</v>
      </c>
      <c r="AP1274" s="4">
        <v>1299</v>
      </c>
      <c r="AQ1274" s="4" t="s">
        <v>1716</v>
      </c>
      <c r="AR1274" s="4" t="s">
        <v>1717</v>
      </c>
      <c r="AS1274" s="4" t="s">
        <v>1718</v>
      </c>
      <c r="AT1274" s="4" t="s">
        <v>1835</v>
      </c>
      <c r="AU1274" s="4" t="s">
        <v>1836</v>
      </c>
      <c r="AV1274" s="4" t="s">
        <v>1720</v>
      </c>
      <c r="AW1274" s="4" t="s">
        <v>2368</v>
      </c>
      <c r="AX1274" s="4" t="s">
        <v>2492</v>
      </c>
      <c r="AY1274" s="4">
        <v>50.469900000000003</v>
      </c>
      <c r="AZ1274" s="4">
        <v>-121.1948</v>
      </c>
      <c r="BA1274" s="4">
        <v>632</v>
      </c>
    </row>
    <row r="1275" spans="1:53" ht="14.25" customHeight="1" x14ac:dyDescent="0.2">
      <c r="A1275" s="4" t="s">
        <v>422</v>
      </c>
      <c r="B1275" s="4">
        <v>12</v>
      </c>
      <c r="C1275" s="4" t="s">
        <v>7666</v>
      </c>
      <c r="D1275" s="4">
        <v>1300</v>
      </c>
      <c r="E1275" s="4">
        <v>12065</v>
      </c>
      <c r="F1275" s="16" t="s">
        <v>4567</v>
      </c>
      <c r="G1275" s="4" t="s">
        <v>4568</v>
      </c>
      <c r="H1275" s="4" t="s">
        <v>4569</v>
      </c>
      <c r="I1275" s="4" t="s">
        <v>49</v>
      </c>
      <c r="J1275" s="4" t="s">
        <v>1746</v>
      </c>
      <c r="K1275" s="4">
        <v>1</v>
      </c>
      <c r="L1275" s="4">
        <v>14121</v>
      </c>
      <c r="M1275" s="6"/>
      <c r="AK1275" s="7"/>
      <c r="AO1275" s="65" t="s">
        <v>4567</v>
      </c>
      <c r="AP1275" s="4">
        <v>1300</v>
      </c>
      <c r="AQ1275" s="4" t="s">
        <v>1716</v>
      </c>
      <c r="AR1275" s="4" t="s">
        <v>1717</v>
      </c>
      <c r="AS1275" s="4" t="s">
        <v>1718</v>
      </c>
      <c r="AT1275" s="4" t="s">
        <v>1835</v>
      </c>
      <c r="AU1275" s="4" t="s">
        <v>1836</v>
      </c>
      <c r="AV1275" s="4" t="s">
        <v>1720</v>
      </c>
      <c r="AW1275" s="4" t="s">
        <v>2368</v>
      </c>
      <c r="AX1275" s="4" t="s">
        <v>2492</v>
      </c>
      <c r="AY1275" s="4">
        <v>50.475299999999997</v>
      </c>
      <c r="AZ1275" s="4">
        <v>-121.2149</v>
      </c>
      <c r="BA1275" s="4">
        <v>1110</v>
      </c>
    </row>
    <row r="1276" spans="1:53" ht="14.25" customHeight="1" x14ac:dyDescent="0.2">
      <c r="A1276" s="4" t="s">
        <v>422</v>
      </c>
      <c r="B1276" s="4">
        <v>12</v>
      </c>
      <c r="C1276" s="4" t="s">
        <v>7666</v>
      </c>
      <c r="D1276" s="4">
        <v>1301</v>
      </c>
      <c r="E1276" s="4">
        <v>12067</v>
      </c>
      <c r="F1276" s="16" t="s">
        <v>4570</v>
      </c>
      <c r="G1276" s="4" t="s">
        <v>4571</v>
      </c>
      <c r="H1276" s="4" t="s">
        <v>4572</v>
      </c>
      <c r="I1276" s="4" t="s">
        <v>49</v>
      </c>
      <c r="J1276" s="4" t="s">
        <v>1746</v>
      </c>
      <c r="K1276" s="4">
        <v>1</v>
      </c>
      <c r="L1276" s="4">
        <v>14123</v>
      </c>
      <c r="M1276" s="6"/>
      <c r="AK1276" s="7"/>
      <c r="AO1276" s="65" t="s">
        <v>4570</v>
      </c>
      <c r="AP1276" s="4">
        <v>1301</v>
      </c>
      <c r="AQ1276" s="4" t="s">
        <v>1716</v>
      </c>
      <c r="AR1276" s="4" t="s">
        <v>1717</v>
      </c>
      <c r="AS1276" s="4" t="s">
        <v>1718</v>
      </c>
      <c r="AT1276" s="4" t="s">
        <v>1835</v>
      </c>
      <c r="AU1276" s="4" t="s">
        <v>1836</v>
      </c>
      <c r="AW1276" s="4" t="s">
        <v>2193</v>
      </c>
      <c r="AX1276" s="4" t="s">
        <v>2283</v>
      </c>
      <c r="AY1276" s="4">
        <v>51.871000000000002</v>
      </c>
      <c r="AZ1276" s="4">
        <v>-124.792</v>
      </c>
      <c r="BA1276" s="4">
        <v>1511</v>
      </c>
    </row>
    <row r="1277" spans="1:53" ht="14.25" customHeight="1" x14ac:dyDescent="0.2">
      <c r="A1277" s="4" t="s">
        <v>422</v>
      </c>
      <c r="B1277" s="4">
        <v>12</v>
      </c>
      <c r="C1277" s="4" t="s">
        <v>7666</v>
      </c>
      <c r="D1277" s="4">
        <v>1302</v>
      </c>
      <c r="E1277" s="4">
        <v>12066</v>
      </c>
      <c r="F1277" s="16" t="s">
        <v>4573</v>
      </c>
      <c r="G1277" s="4" t="s">
        <v>4574</v>
      </c>
      <c r="H1277" s="4" t="s">
        <v>4575</v>
      </c>
      <c r="I1277" s="4" t="s">
        <v>49</v>
      </c>
      <c r="J1277" s="4" t="s">
        <v>1746</v>
      </c>
      <c r="K1277" s="4">
        <v>1</v>
      </c>
      <c r="L1277" s="4">
        <v>14122</v>
      </c>
      <c r="M1277" s="6"/>
      <c r="AK1277" s="7"/>
      <c r="AO1277" s="65" t="s">
        <v>4573</v>
      </c>
      <c r="AP1277" s="4">
        <v>1302</v>
      </c>
      <c r="AQ1277" s="4" t="s">
        <v>1716</v>
      </c>
      <c r="AR1277" s="4" t="s">
        <v>1717</v>
      </c>
      <c r="AS1277" s="4" t="s">
        <v>1718</v>
      </c>
      <c r="AT1277" s="4" t="s">
        <v>1835</v>
      </c>
      <c r="AU1277" s="4" t="s">
        <v>1836</v>
      </c>
      <c r="AW1277" s="4" t="s">
        <v>2193</v>
      </c>
      <c r="AX1277" s="4" t="s">
        <v>2291</v>
      </c>
      <c r="AY1277" s="4">
        <v>52.1843</v>
      </c>
      <c r="AZ1277" s="4">
        <v>-122.0638</v>
      </c>
      <c r="BA1277" s="4">
        <v>940</v>
      </c>
    </row>
    <row r="1278" spans="1:53" ht="14.25" customHeight="1" x14ac:dyDescent="0.2">
      <c r="A1278" s="4" t="s">
        <v>422</v>
      </c>
      <c r="B1278" s="4">
        <v>12</v>
      </c>
      <c r="C1278" s="4" t="s">
        <v>7666</v>
      </c>
      <c r="D1278" s="4">
        <v>1303</v>
      </c>
      <c r="E1278" s="4">
        <v>12069</v>
      </c>
      <c r="F1278" s="16" t="s">
        <v>4576</v>
      </c>
      <c r="G1278" s="4" t="s">
        <v>4577</v>
      </c>
      <c r="H1278" s="4" t="s">
        <v>4578</v>
      </c>
      <c r="I1278" s="4" t="s">
        <v>49</v>
      </c>
      <c r="J1278" s="4" t="s">
        <v>1746</v>
      </c>
      <c r="K1278" s="4">
        <v>1</v>
      </c>
      <c r="L1278" s="4">
        <v>14125</v>
      </c>
      <c r="M1278" s="6"/>
      <c r="AK1278" s="7"/>
      <c r="AO1278" s="65" t="s">
        <v>4576</v>
      </c>
      <c r="AP1278" s="4">
        <v>1303</v>
      </c>
      <c r="AQ1278" s="4" t="s">
        <v>1716</v>
      </c>
      <c r="AR1278" s="4" t="s">
        <v>1717</v>
      </c>
      <c r="AS1278" s="4" t="s">
        <v>1718</v>
      </c>
      <c r="AT1278" s="4" t="s">
        <v>1835</v>
      </c>
      <c r="AU1278" s="4" t="s">
        <v>1836</v>
      </c>
      <c r="AV1278" s="4" t="s">
        <v>1720</v>
      </c>
      <c r="AW1278" s="4" t="s">
        <v>2193</v>
      </c>
      <c r="AX1278" s="4" t="s">
        <v>2194</v>
      </c>
      <c r="AY1278" s="4">
        <v>52.917999999999999</v>
      </c>
      <c r="AZ1278" s="4">
        <v>-123.91800000000001</v>
      </c>
      <c r="BA1278" s="4">
        <v>1114</v>
      </c>
    </row>
    <row r="1279" spans="1:53" ht="14.25" customHeight="1" x14ac:dyDescent="0.2">
      <c r="A1279" s="4" t="s">
        <v>422</v>
      </c>
      <c r="B1279" s="4">
        <v>12</v>
      </c>
      <c r="C1279" s="4" t="s">
        <v>7666</v>
      </c>
      <c r="D1279" s="4">
        <v>1304</v>
      </c>
      <c r="E1279" s="4">
        <v>12070</v>
      </c>
      <c r="F1279" s="16" t="s">
        <v>4579</v>
      </c>
      <c r="G1279" s="4" t="s">
        <v>4580</v>
      </c>
      <c r="H1279" s="4" t="s">
        <v>4581</v>
      </c>
      <c r="I1279" s="4" t="s">
        <v>49</v>
      </c>
      <c r="J1279" s="4" t="s">
        <v>1746</v>
      </c>
      <c r="K1279" s="4">
        <v>1</v>
      </c>
      <c r="L1279" s="4">
        <v>14126</v>
      </c>
      <c r="M1279" s="6"/>
      <c r="AK1279" s="7"/>
      <c r="AO1279" s="65" t="s">
        <v>4579</v>
      </c>
      <c r="AP1279" s="4">
        <v>1304</v>
      </c>
      <c r="AQ1279" s="4" t="s">
        <v>1716</v>
      </c>
      <c r="AR1279" s="4" t="s">
        <v>1717</v>
      </c>
      <c r="AS1279" s="4" t="s">
        <v>1718</v>
      </c>
      <c r="AT1279" s="4" t="s">
        <v>1835</v>
      </c>
      <c r="AU1279" s="4" t="s">
        <v>1836</v>
      </c>
      <c r="AW1279" s="4" t="s">
        <v>2193</v>
      </c>
      <c r="AX1279" s="4" t="s">
        <v>2194</v>
      </c>
      <c r="AY1279" s="4">
        <v>52.6785</v>
      </c>
      <c r="AZ1279" s="4">
        <v>-122.8884</v>
      </c>
      <c r="BA1279" s="4">
        <v>1200</v>
      </c>
    </row>
    <row r="1280" spans="1:53" ht="14.25" customHeight="1" x14ac:dyDescent="0.2">
      <c r="A1280" s="4" t="s">
        <v>422</v>
      </c>
      <c r="B1280" s="4">
        <v>12</v>
      </c>
      <c r="C1280" s="4" t="s">
        <v>7666</v>
      </c>
      <c r="D1280" s="4">
        <v>1305</v>
      </c>
      <c r="E1280" s="4">
        <v>12071</v>
      </c>
      <c r="F1280" s="16" t="s">
        <v>4582</v>
      </c>
      <c r="G1280" s="4" t="s">
        <v>4583</v>
      </c>
      <c r="H1280" s="4" t="s">
        <v>4584</v>
      </c>
      <c r="I1280" s="4" t="s">
        <v>49</v>
      </c>
      <c r="J1280" s="4" t="s">
        <v>1746</v>
      </c>
      <c r="K1280" s="4">
        <v>1</v>
      </c>
      <c r="L1280" s="4">
        <v>14127</v>
      </c>
      <c r="M1280" s="6"/>
      <c r="AK1280" s="7"/>
      <c r="AO1280" s="65" t="s">
        <v>4582</v>
      </c>
      <c r="AP1280" s="4">
        <v>1305</v>
      </c>
      <c r="AQ1280" s="4" t="s">
        <v>1716</v>
      </c>
      <c r="AR1280" s="4" t="s">
        <v>2441</v>
      </c>
      <c r="AS1280" s="4" t="s">
        <v>1718</v>
      </c>
      <c r="AT1280" s="4" t="s">
        <v>1835</v>
      </c>
      <c r="AU1280" s="4" t="s">
        <v>1836</v>
      </c>
      <c r="AV1280" s="4" t="s">
        <v>1720</v>
      </c>
      <c r="AW1280" s="4" t="s">
        <v>2698</v>
      </c>
      <c r="AX1280" s="4" t="s">
        <v>2801</v>
      </c>
      <c r="AY1280" s="4">
        <v>49.569099999999999</v>
      </c>
      <c r="AZ1280" s="4">
        <v>-117.0309</v>
      </c>
      <c r="BA1280" s="4">
        <v>1681</v>
      </c>
    </row>
    <row r="1281" spans="1:53" ht="14.25" customHeight="1" x14ac:dyDescent="0.2">
      <c r="A1281" s="4" t="s">
        <v>422</v>
      </c>
      <c r="B1281" s="4">
        <v>12</v>
      </c>
      <c r="C1281" s="4" t="s">
        <v>7666</v>
      </c>
      <c r="D1281" s="4">
        <v>1306</v>
      </c>
      <c r="E1281" s="4">
        <v>12072</v>
      </c>
      <c r="F1281" s="16" t="s">
        <v>4585</v>
      </c>
      <c r="G1281" s="4" t="s">
        <v>4586</v>
      </c>
      <c r="H1281" s="4" t="s">
        <v>4587</v>
      </c>
      <c r="I1281" s="4" t="s">
        <v>49</v>
      </c>
      <c r="J1281" s="4" t="s">
        <v>1746</v>
      </c>
      <c r="K1281" s="4">
        <v>1</v>
      </c>
      <c r="L1281" s="4">
        <v>14128</v>
      </c>
      <c r="M1281" s="6"/>
      <c r="AK1281" s="7"/>
      <c r="AO1281" s="65" t="s">
        <v>4585</v>
      </c>
      <c r="AP1281" s="4">
        <v>1306</v>
      </c>
      <c r="AQ1281" s="4" t="s">
        <v>1716</v>
      </c>
      <c r="AR1281" s="4" t="s">
        <v>1717</v>
      </c>
      <c r="AS1281" s="4" t="s">
        <v>1718</v>
      </c>
      <c r="AT1281" s="4" t="s">
        <v>1835</v>
      </c>
      <c r="AU1281" s="4" t="s">
        <v>1836</v>
      </c>
      <c r="AV1281" s="4" t="s">
        <v>1720</v>
      </c>
      <c r="AW1281" s="4" t="s">
        <v>2698</v>
      </c>
      <c r="AX1281" s="4" t="s">
        <v>2768</v>
      </c>
      <c r="AY1281" s="4">
        <v>50.182499999999997</v>
      </c>
      <c r="AZ1281" s="4">
        <v>-115.3049</v>
      </c>
      <c r="BA1281" s="4">
        <v>1465</v>
      </c>
    </row>
    <row r="1282" spans="1:53" ht="14.25" customHeight="1" x14ac:dyDescent="0.2">
      <c r="B1282" s="4">
        <v>12</v>
      </c>
      <c r="C1282" s="4" t="s">
        <v>7666</v>
      </c>
      <c r="D1282" s="4">
        <v>1310</v>
      </c>
      <c r="E1282" s="4">
        <v>12327</v>
      </c>
      <c r="F1282" s="16" t="s">
        <v>4588</v>
      </c>
      <c r="G1282" s="8" t="s">
        <v>4589</v>
      </c>
      <c r="H1282" s="4" t="s">
        <v>4590</v>
      </c>
      <c r="I1282" s="4" t="s">
        <v>49</v>
      </c>
      <c r="J1282" s="4" t="s">
        <v>1746</v>
      </c>
      <c r="K1282" s="4">
        <v>1</v>
      </c>
      <c r="L1282" s="4">
        <v>14382</v>
      </c>
      <c r="M1282" s="6"/>
      <c r="AK1282" s="7"/>
      <c r="AO1282" s="65" t="s">
        <v>4591</v>
      </c>
      <c r="AP1282" s="16">
        <v>1307</v>
      </c>
      <c r="AQ1282" s="16" t="s">
        <v>1716</v>
      </c>
      <c r="AR1282" s="16" t="s">
        <v>1717</v>
      </c>
      <c r="AS1282" s="16" t="s">
        <v>1718</v>
      </c>
      <c r="AT1282" s="16" t="s">
        <v>1835</v>
      </c>
      <c r="AU1282" s="16" t="s">
        <v>1836</v>
      </c>
      <c r="AV1282" s="16" t="s">
        <v>1720</v>
      </c>
      <c r="AW1282" s="16"/>
      <c r="AX1282" s="16" t="s">
        <v>2801</v>
      </c>
      <c r="AY1282" s="16">
        <v>50.049399999999999</v>
      </c>
      <c r="AZ1282" s="16">
        <v>-117.0886</v>
      </c>
      <c r="BA1282" s="16">
        <v>1784</v>
      </c>
    </row>
    <row r="1283" spans="1:53" ht="14.25" customHeight="1" x14ac:dyDescent="0.2">
      <c r="B1283" s="4">
        <v>12</v>
      </c>
      <c r="C1283" s="4" t="s">
        <v>7666</v>
      </c>
      <c r="D1283" s="4">
        <v>1313</v>
      </c>
      <c r="E1283" s="4">
        <v>12328</v>
      </c>
      <c r="F1283" s="4" t="s">
        <v>4592</v>
      </c>
      <c r="G1283" s="4" t="s">
        <v>4593</v>
      </c>
      <c r="H1283" s="4" t="s">
        <v>4594</v>
      </c>
      <c r="I1283" s="4" t="s">
        <v>49</v>
      </c>
      <c r="J1283" s="4" t="s">
        <v>1746</v>
      </c>
      <c r="K1283" s="4">
        <v>1</v>
      </c>
      <c r="L1283" s="4">
        <v>14383</v>
      </c>
      <c r="M1283" s="6"/>
      <c r="AK1283" s="7"/>
      <c r="AO1283" s="4" t="s">
        <v>4592</v>
      </c>
      <c r="AP1283" s="4">
        <v>1313</v>
      </c>
      <c r="AQ1283" s="4" t="s">
        <v>1716</v>
      </c>
      <c r="AR1283" s="4" t="s">
        <v>1701</v>
      </c>
      <c r="AS1283" s="4" t="s">
        <v>1740</v>
      </c>
      <c r="AT1283" s="4" t="s">
        <v>1703</v>
      </c>
      <c r="AU1283" s="4" t="s">
        <v>1742</v>
      </c>
      <c r="AV1283" s="4" t="s">
        <v>1720</v>
      </c>
      <c r="AW1283" s="4" t="s">
        <v>1705</v>
      </c>
      <c r="AX1283" s="4" t="s">
        <v>1837</v>
      </c>
      <c r="AY1283" s="4">
        <v>49.597900000000003</v>
      </c>
      <c r="AZ1283" s="4">
        <v>-123.60509999999999</v>
      </c>
      <c r="BA1283" s="4">
        <v>1422</v>
      </c>
    </row>
    <row r="1284" spans="1:53" ht="14.25" customHeight="1" x14ac:dyDescent="0.2">
      <c r="A1284" s="4" t="s">
        <v>422</v>
      </c>
      <c r="B1284" s="4">
        <v>12</v>
      </c>
      <c r="C1284" s="4" t="s">
        <v>7666</v>
      </c>
      <c r="D1284" s="4">
        <v>1316</v>
      </c>
      <c r="E1284" s="4">
        <v>12329</v>
      </c>
      <c r="F1284" s="16" t="s">
        <v>4595</v>
      </c>
      <c r="G1284" s="4" t="s">
        <v>4596</v>
      </c>
      <c r="H1284" s="4" t="s">
        <v>4597</v>
      </c>
      <c r="I1284" s="4" t="s">
        <v>49</v>
      </c>
      <c r="J1284" s="4" t="s">
        <v>1746</v>
      </c>
      <c r="K1284" s="4">
        <v>1</v>
      </c>
      <c r="L1284" s="4">
        <v>14384</v>
      </c>
      <c r="M1284" s="6"/>
      <c r="AK1284" s="7"/>
      <c r="AO1284" s="65" t="s">
        <v>4595</v>
      </c>
      <c r="AP1284" s="4">
        <v>1316</v>
      </c>
      <c r="AQ1284" s="4" t="s">
        <v>1716</v>
      </c>
      <c r="AR1284" s="4" t="s">
        <v>1717</v>
      </c>
      <c r="AS1284" s="4" t="s">
        <v>2257</v>
      </c>
      <c r="AT1284" s="4" t="s">
        <v>1835</v>
      </c>
      <c r="AU1284" s="4" t="s">
        <v>1836</v>
      </c>
      <c r="AV1284" s="4" t="s">
        <v>1720</v>
      </c>
      <c r="AW1284" s="4" t="s">
        <v>2368</v>
      </c>
      <c r="AX1284" s="4" t="s">
        <v>2505</v>
      </c>
      <c r="AY1284" s="4">
        <v>50.417200000000001</v>
      </c>
      <c r="AZ1284" s="4">
        <v>-121.375</v>
      </c>
      <c r="BA1284" s="4">
        <v>383</v>
      </c>
    </row>
    <row r="1285" spans="1:53" ht="14.25" customHeight="1" x14ac:dyDescent="0.2">
      <c r="A1285" s="4" t="s">
        <v>422</v>
      </c>
      <c r="B1285" s="4">
        <v>12</v>
      </c>
      <c r="C1285" s="4" t="s">
        <v>7666</v>
      </c>
      <c r="D1285" s="4">
        <v>1317</v>
      </c>
      <c r="E1285" s="4">
        <v>12330</v>
      </c>
      <c r="F1285" s="16" t="s">
        <v>4598</v>
      </c>
      <c r="G1285" s="4" t="s">
        <v>4599</v>
      </c>
      <c r="H1285" s="4" t="s">
        <v>4600</v>
      </c>
      <c r="I1285" s="4" t="s">
        <v>49</v>
      </c>
      <c r="J1285" s="4" t="s">
        <v>1746</v>
      </c>
      <c r="K1285" s="4">
        <v>1</v>
      </c>
      <c r="L1285" s="4">
        <v>14385</v>
      </c>
      <c r="M1285" s="6"/>
      <c r="AK1285" s="7"/>
      <c r="AO1285" s="65" t="s">
        <v>4598</v>
      </c>
      <c r="AP1285" s="4">
        <v>1317</v>
      </c>
      <c r="AQ1285" s="4" t="s">
        <v>1716</v>
      </c>
      <c r="AR1285" s="4" t="s">
        <v>1717</v>
      </c>
      <c r="AS1285" s="4" t="s">
        <v>1718</v>
      </c>
      <c r="AT1285" s="4" t="s">
        <v>1835</v>
      </c>
      <c r="AU1285" s="4" t="s">
        <v>1836</v>
      </c>
      <c r="AV1285" s="4" t="s">
        <v>1720</v>
      </c>
      <c r="AW1285" s="4" t="s">
        <v>2698</v>
      </c>
      <c r="AX1285" s="4" t="s">
        <v>2801</v>
      </c>
      <c r="AY1285" s="4">
        <v>50.44</v>
      </c>
      <c r="AZ1285" s="4">
        <v>-117.1422</v>
      </c>
      <c r="BA1285" s="4">
        <v>1068</v>
      </c>
    </row>
    <row r="1286" spans="1:53" ht="14.25" customHeight="1" x14ac:dyDescent="0.2">
      <c r="B1286" s="4">
        <v>12</v>
      </c>
      <c r="C1286" s="4" t="s">
        <v>7666</v>
      </c>
      <c r="D1286" s="4">
        <v>1318</v>
      </c>
      <c r="E1286" s="4">
        <v>12331</v>
      </c>
      <c r="F1286" s="16" t="s">
        <v>4601</v>
      </c>
      <c r="G1286" s="4" t="s">
        <v>4602</v>
      </c>
      <c r="H1286" s="4" t="s">
        <v>4603</v>
      </c>
      <c r="I1286" s="4" t="s">
        <v>49</v>
      </c>
      <c r="J1286" s="4" t="s">
        <v>1746</v>
      </c>
      <c r="K1286" s="4">
        <v>1</v>
      </c>
      <c r="L1286" s="4">
        <v>14387</v>
      </c>
      <c r="M1286" s="6"/>
      <c r="AK1286" s="7"/>
      <c r="AO1286" s="65" t="s">
        <v>4601</v>
      </c>
      <c r="AP1286" s="4">
        <v>1318</v>
      </c>
      <c r="AQ1286" s="4" t="s">
        <v>1716</v>
      </c>
      <c r="AR1286" s="4" t="s">
        <v>1717</v>
      </c>
      <c r="AS1286" s="4" t="s">
        <v>1718</v>
      </c>
      <c r="AT1286" s="4" t="s">
        <v>1835</v>
      </c>
      <c r="AU1286" s="4" t="s">
        <v>1836</v>
      </c>
      <c r="AV1286" s="4" t="s">
        <v>1720</v>
      </c>
      <c r="AY1286" s="4">
        <v>52.864699999999999</v>
      </c>
      <c r="AZ1286" s="4">
        <v>-118.51860000000001</v>
      </c>
      <c r="BA1286" s="4">
        <v>1120</v>
      </c>
    </row>
    <row r="1287" spans="1:53" ht="14.25" customHeight="1" x14ac:dyDescent="0.2">
      <c r="A1287" s="4" t="s">
        <v>422</v>
      </c>
      <c r="B1287" s="4">
        <v>12</v>
      </c>
      <c r="C1287" s="4" t="s">
        <v>7666</v>
      </c>
      <c r="D1287" s="4">
        <v>1319</v>
      </c>
      <c r="E1287" s="4">
        <v>12332</v>
      </c>
      <c r="F1287" s="16" t="s">
        <v>4604</v>
      </c>
      <c r="G1287" s="4" t="s">
        <v>4605</v>
      </c>
      <c r="H1287" s="4" t="s">
        <v>4606</v>
      </c>
      <c r="I1287" s="4" t="s">
        <v>49</v>
      </c>
      <c r="J1287" s="4" t="s">
        <v>1746</v>
      </c>
      <c r="K1287" s="4">
        <v>1</v>
      </c>
      <c r="L1287" s="4">
        <v>14388</v>
      </c>
      <c r="M1287" s="6"/>
      <c r="AK1287" s="7"/>
      <c r="AO1287" s="65" t="s">
        <v>4604</v>
      </c>
      <c r="AP1287" s="4">
        <v>1319</v>
      </c>
      <c r="AQ1287" s="4" t="s">
        <v>1716</v>
      </c>
      <c r="AR1287" s="4" t="s">
        <v>1717</v>
      </c>
      <c r="AS1287" s="4" t="s">
        <v>1718</v>
      </c>
      <c r="AT1287" s="4" t="s">
        <v>1835</v>
      </c>
      <c r="AU1287" s="4" t="s">
        <v>1836</v>
      </c>
      <c r="AV1287" s="4" t="s">
        <v>1720</v>
      </c>
      <c r="AW1287" s="4" t="s">
        <v>2368</v>
      </c>
      <c r="AX1287" s="4" t="s">
        <v>2369</v>
      </c>
      <c r="AY1287" s="4">
        <v>51.150799999999997</v>
      </c>
      <c r="AZ1287" s="4">
        <v>-120.8506</v>
      </c>
      <c r="BA1287" s="4">
        <v>1065</v>
      </c>
    </row>
    <row r="1288" spans="1:53" ht="14.25" customHeight="1" x14ac:dyDescent="0.2">
      <c r="A1288" s="4" t="s">
        <v>422</v>
      </c>
      <c r="B1288" s="4">
        <v>12</v>
      </c>
      <c r="C1288" s="4" t="s">
        <v>7666</v>
      </c>
      <c r="D1288" s="4">
        <v>1320</v>
      </c>
      <c r="E1288" s="4">
        <v>12333</v>
      </c>
      <c r="F1288" s="16" t="s">
        <v>4607</v>
      </c>
      <c r="G1288" s="4" t="s">
        <v>4608</v>
      </c>
      <c r="H1288" s="4" t="s">
        <v>4609</v>
      </c>
      <c r="I1288" s="4" t="s">
        <v>49</v>
      </c>
      <c r="J1288" s="4" t="s">
        <v>1746</v>
      </c>
      <c r="K1288" s="4">
        <v>1</v>
      </c>
      <c r="L1288" s="4">
        <v>14389</v>
      </c>
      <c r="M1288" s="6"/>
      <c r="AK1288" s="7"/>
      <c r="AO1288" s="65" t="s">
        <v>4607</v>
      </c>
      <c r="AP1288" s="4">
        <v>1320</v>
      </c>
      <c r="AQ1288" s="4" t="s">
        <v>1716</v>
      </c>
      <c r="AR1288" s="4" t="s">
        <v>1717</v>
      </c>
      <c r="AS1288" s="4" t="s">
        <v>1718</v>
      </c>
      <c r="AT1288" s="4" t="s">
        <v>1835</v>
      </c>
      <c r="AU1288" s="4" t="s">
        <v>1836</v>
      </c>
      <c r="AV1288" s="4" t="s">
        <v>1720</v>
      </c>
      <c r="AW1288" s="4" t="s">
        <v>2368</v>
      </c>
      <c r="AX1288" s="4" t="s">
        <v>2505</v>
      </c>
      <c r="AY1288" s="4">
        <v>50.636400000000002</v>
      </c>
      <c r="AZ1288" s="4">
        <v>-122.43470000000001</v>
      </c>
      <c r="BA1288" s="4">
        <v>603</v>
      </c>
    </row>
    <row r="1289" spans="1:53" ht="14.25" customHeight="1" x14ac:dyDescent="0.2">
      <c r="A1289" s="4" t="s">
        <v>422</v>
      </c>
      <c r="B1289" s="4">
        <v>12</v>
      </c>
      <c r="C1289" s="4" t="s">
        <v>7666</v>
      </c>
      <c r="D1289" s="4">
        <v>1321</v>
      </c>
      <c r="E1289" s="4">
        <v>12334</v>
      </c>
      <c r="F1289" s="16" t="s">
        <v>4610</v>
      </c>
      <c r="G1289" s="4" t="s">
        <v>4611</v>
      </c>
      <c r="H1289" s="4" t="s">
        <v>4612</v>
      </c>
      <c r="I1289" s="4" t="s">
        <v>49</v>
      </c>
      <c r="J1289" s="4" t="s">
        <v>1746</v>
      </c>
      <c r="K1289" s="4">
        <v>1</v>
      </c>
      <c r="L1289" s="4">
        <v>14390</v>
      </c>
      <c r="M1289" s="6"/>
      <c r="AK1289" s="7"/>
      <c r="AO1289" s="65" t="s">
        <v>4610</v>
      </c>
      <c r="AP1289" s="4">
        <v>1321</v>
      </c>
      <c r="AQ1289" s="4" t="s">
        <v>1716</v>
      </c>
      <c r="AR1289" s="4" t="s">
        <v>1717</v>
      </c>
      <c r="AS1289" s="4" t="s">
        <v>1718</v>
      </c>
      <c r="AT1289" s="4" t="s">
        <v>1835</v>
      </c>
      <c r="AU1289" s="4" t="s">
        <v>1836</v>
      </c>
      <c r="AV1289" s="4" t="s">
        <v>1720</v>
      </c>
      <c r="AW1289" s="4" t="s">
        <v>2698</v>
      </c>
      <c r="AX1289" s="4" t="s">
        <v>2801</v>
      </c>
      <c r="AY1289" s="4">
        <v>49.898699999999998</v>
      </c>
      <c r="AZ1289" s="4">
        <v>-117.0879</v>
      </c>
      <c r="BA1289" s="4">
        <v>1227</v>
      </c>
    </row>
    <row r="1290" spans="1:53" ht="14.25" customHeight="1" x14ac:dyDescent="0.2">
      <c r="A1290" s="4" t="s">
        <v>88</v>
      </c>
      <c r="B1290" s="4">
        <v>12</v>
      </c>
      <c r="C1290" s="4" t="s">
        <v>7666</v>
      </c>
      <c r="D1290" s="4">
        <v>1323</v>
      </c>
      <c r="E1290" s="4">
        <v>12336</v>
      </c>
      <c r="F1290" s="4" t="s">
        <v>4613</v>
      </c>
      <c r="G1290" s="8" t="s">
        <v>4614</v>
      </c>
      <c r="H1290" s="4" t="s">
        <v>4615</v>
      </c>
      <c r="I1290" s="4" t="s">
        <v>49</v>
      </c>
      <c r="J1290" s="4" t="s">
        <v>1891</v>
      </c>
      <c r="K1290" s="4">
        <v>1</v>
      </c>
      <c r="L1290" s="4">
        <v>14392</v>
      </c>
      <c r="M1290" s="6">
        <v>50.690555600000003</v>
      </c>
      <c r="N1290" s="4">
        <v>-119.1761111</v>
      </c>
      <c r="O1290" s="4" t="s">
        <v>142</v>
      </c>
      <c r="P1290" s="4">
        <v>1323</v>
      </c>
      <c r="Q1290" s="4">
        <v>2</v>
      </c>
      <c r="R1290" s="4" t="s">
        <v>4613</v>
      </c>
      <c r="S1290" s="4" t="s">
        <v>1737</v>
      </c>
      <c r="T1290" s="4">
        <v>892</v>
      </c>
      <c r="W1290" s="4">
        <v>43831</v>
      </c>
      <c r="X1290" s="4" t="s">
        <v>1738</v>
      </c>
      <c r="AK1290" s="7"/>
      <c r="AO1290" s="4" t="s">
        <v>4613</v>
      </c>
      <c r="AP1290" s="4">
        <v>1323</v>
      </c>
      <c r="AQ1290" s="4" t="s">
        <v>1700</v>
      </c>
      <c r="AR1290" s="4" t="s">
        <v>1739</v>
      </c>
      <c r="AS1290" s="4" t="s">
        <v>1740</v>
      </c>
      <c r="AT1290" s="4" t="s">
        <v>1741</v>
      </c>
      <c r="AU1290" s="4" t="s">
        <v>1959</v>
      </c>
      <c r="AV1290" s="4" t="s">
        <v>1720</v>
      </c>
      <c r="AW1290" s="4" t="s">
        <v>2368</v>
      </c>
      <c r="AX1290" s="4" t="s">
        <v>2522</v>
      </c>
      <c r="AY1290" s="4">
        <v>50.690600000000003</v>
      </c>
      <c r="AZ1290" s="4">
        <v>-119.17610000000001</v>
      </c>
      <c r="BA1290" s="4">
        <v>904</v>
      </c>
    </row>
    <row r="1291" spans="1:53" ht="14.25" customHeight="1" x14ac:dyDescent="0.2">
      <c r="B1291" s="4">
        <v>12</v>
      </c>
      <c r="C1291" s="4" t="s">
        <v>7666</v>
      </c>
      <c r="D1291" s="4">
        <v>1326</v>
      </c>
      <c r="E1291" s="4">
        <v>12340</v>
      </c>
      <c r="F1291" s="16" t="s">
        <v>4616</v>
      </c>
      <c r="G1291" s="4" t="s">
        <v>4617</v>
      </c>
      <c r="H1291" s="4" t="s">
        <v>4618</v>
      </c>
      <c r="I1291" s="4" t="s">
        <v>49</v>
      </c>
      <c r="J1291" s="4" t="s">
        <v>1746</v>
      </c>
      <c r="K1291" s="4">
        <v>1</v>
      </c>
      <c r="L1291" s="4">
        <v>14396</v>
      </c>
      <c r="M1291" s="6"/>
      <c r="AK1291" s="7"/>
      <c r="AO1291" s="4" t="s">
        <v>4616</v>
      </c>
      <c r="AP1291" s="4">
        <v>1326</v>
      </c>
      <c r="AQ1291" s="4" t="s">
        <v>1716</v>
      </c>
      <c r="AR1291" s="4" t="s">
        <v>1717</v>
      </c>
      <c r="AS1291" s="4" t="s">
        <v>1740</v>
      </c>
      <c r="AT1291" s="4" t="s">
        <v>1703</v>
      </c>
      <c r="AU1291" s="4" t="s">
        <v>1742</v>
      </c>
      <c r="AV1291" s="4" t="s">
        <v>1720</v>
      </c>
      <c r="AW1291" s="4" t="s">
        <v>2368</v>
      </c>
      <c r="AX1291" s="4" t="s">
        <v>2492</v>
      </c>
      <c r="AY1291" s="4">
        <v>49.339300000000001</v>
      </c>
      <c r="AZ1291" s="4">
        <v>-120.4071</v>
      </c>
      <c r="BA1291" s="4">
        <v>1464</v>
      </c>
    </row>
    <row r="1292" spans="1:53" ht="14.25" customHeight="1" x14ac:dyDescent="0.2">
      <c r="B1292" s="4">
        <v>12</v>
      </c>
      <c r="C1292" s="4" t="s">
        <v>7666</v>
      </c>
      <c r="D1292" s="4">
        <v>1330</v>
      </c>
      <c r="E1292" s="4">
        <v>12339</v>
      </c>
      <c r="F1292" s="4" t="s">
        <v>4619</v>
      </c>
      <c r="G1292" s="4" t="s">
        <v>4620</v>
      </c>
      <c r="H1292" s="4" t="s">
        <v>4621</v>
      </c>
      <c r="I1292" s="4" t="s">
        <v>49</v>
      </c>
      <c r="J1292" s="4" t="s">
        <v>1891</v>
      </c>
      <c r="K1292" s="4">
        <v>1</v>
      </c>
      <c r="L1292" s="4">
        <v>14394</v>
      </c>
      <c r="M1292" s="6">
        <v>49.469694400000002</v>
      </c>
      <c r="N1292" s="4">
        <v>-120.7925</v>
      </c>
      <c r="O1292" s="4" t="s">
        <v>142</v>
      </c>
      <c r="P1292" s="4">
        <v>1330</v>
      </c>
      <c r="Q1292" s="4">
        <v>6</v>
      </c>
      <c r="R1292" s="4" t="s">
        <v>4619</v>
      </c>
      <c r="S1292" s="4" t="s">
        <v>1737</v>
      </c>
      <c r="T1292" s="4">
        <v>1543</v>
      </c>
      <c r="W1292" s="4">
        <v>43831</v>
      </c>
      <c r="X1292" s="4" t="s">
        <v>1738</v>
      </c>
      <c r="AK1292" s="7"/>
      <c r="AO1292" s="4" t="s">
        <v>4619</v>
      </c>
      <c r="AP1292" s="4">
        <v>1330</v>
      </c>
      <c r="AQ1292" s="4" t="s">
        <v>1716</v>
      </c>
      <c r="AR1292" s="4" t="s">
        <v>1739</v>
      </c>
      <c r="AS1292" s="4" t="s">
        <v>1740</v>
      </c>
      <c r="AT1292" s="4" t="s">
        <v>1741</v>
      </c>
      <c r="AU1292" s="4" t="s">
        <v>1704</v>
      </c>
      <c r="AV1292" s="4" t="s">
        <v>1720</v>
      </c>
      <c r="AW1292" s="4" t="s">
        <v>2368</v>
      </c>
      <c r="AX1292" s="4" t="s">
        <v>2492</v>
      </c>
      <c r="AY1292" s="4">
        <v>49.469700000000003</v>
      </c>
      <c r="AZ1292" s="4">
        <v>-120.7925</v>
      </c>
      <c r="BA1292" s="4">
        <v>1543</v>
      </c>
    </row>
    <row r="1293" spans="1:53" ht="14.25" customHeight="1" x14ac:dyDescent="0.2">
      <c r="A1293" s="4" t="s">
        <v>2037</v>
      </c>
      <c r="B1293" s="4">
        <v>12</v>
      </c>
      <c r="C1293" s="4" t="s">
        <v>7666</v>
      </c>
      <c r="D1293" s="4">
        <v>1331</v>
      </c>
      <c r="E1293" s="4">
        <v>12337</v>
      </c>
      <c r="F1293" s="4" t="s">
        <v>4622</v>
      </c>
      <c r="G1293" s="4" t="s">
        <v>4623</v>
      </c>
      <c r="H1293" s="4" t="s">
        <v>4624</v>
      </c>
      <c r="I1293" s="4" t="s">
        <v>49</v>
      </c>
      <c r="J1293" s="4" t="s">
        <v>1746</v>
      </c>
      <c r="K1293" s="4">
        <v>1</v>
      </c>
      <c r="L1293" s="4">
        <v>14393</v>
      </c>
      <c r="M1293" s="6">
        <v>49.116700000000002</v>
      </c>
      <c r="N1293" s="4">
        <v>-119.3</v>
      </c>
      <c r="O1293" s="4" t="s">
        <v>142</v>
      </c>
      <c r="P1293" s="4">
        <v>2170</v>
      </c>
      <c r="Q1293" s="4">
        <v>3</v>
      </c>
      <c r="R1293" s="4" t="s">
        <v>4625</v>
      </c>
      <c r="S1293" s="4" t="s">
        <v>1737</v>
      </c>
      <c r="T1293" s="4">
        <v>1384</v>
      </c>
      <c r="W1293" s="4">
        <v>44735</v>
      </c>
      <c r="X1293" s="4" t="s">
        <v>1738</v>
      </c>
      <c r="AK1293" s="7"/>
      <c r="AO1293" s="4" t="s">
        <v>4626</v>
      </c>
      <c r="AP1293" s="4">
        <v>1331</v>
      </c>
      <c r="AQ1293" s="4" t="s">
        <v>1716</v>
      </c>
      <c r="AR1293" s="4" t="s">
        <v>1717</v>
      </c>
      <c r="AS1293" s="4" t="s">
        <v>1740</v>
      </c>
      <c r="AT1293" s="4" t="s">
        <v>1703</v>
      </c>
      <c r="AU1293" s="4" t="s">
        <v>1742</v>
      </c>
      <c r="AV1293" s="4" t="s">
        <v>1720</v>
      </c>
      <c r="AW1293" s="4" t="s">
        <v>2368</v>
      </c>
      <c r="AX1293" s="4" t="s">
        <v>2516</v>
      </c>
      <c r="AY1293" s="4">
        <v>49.104599999999998</v>
      </c>
      <c r="AZ1293" s="4">
        <v>-119.3914</v>
      </c>
      <c r="BA1293" s="4">
        <v>1127</v>
      </c>
    </row>
    <row r="1294" spans="1:53" ht="14.25" customHeight="1" x14ac:dyDescent="0.2">
      <c r="A1294" s="4" t="s">
        <v>88</v>
      </c>
      <c r="B1294" s="4">
        <v>12</v>
      </c>
      <c r="C1294" s="4" t="s">
        <v>7666</v>
      </c>
      <c r="D1294" s="4">
        <v>1332</v>
      </c>
      <c r="E1294" s="4">
        <v>12338</v>
      </c>
      <c r="F1294" s="4" t="s">
        <v>4627</v>
      </c>
      <c r="G1294" s="8" t="s">
        <v>4628</v>
      </c>
      <c r="H1294" s="4" t="s">
        <v>4621</v>
      </c>
      <c r="I1294" s="4" t="s">
        <v>49</v>
      </c>
      <c r="J1294" s="4" t="s">
        <v>1891</v>
      </c>
      <c r="K1294" s="4">
        <v>1</v>
      </c>
      <c r="L1294" s="4">
        <v>14395</v>
      </c>
      <c r="M1294" s="6">
        <v>49.27</v>
      </c>
      <c r="N1294" s="4">
        <v>-119.22027780000001</v>
      </c>
      <c r="O1294" s="4" t="s">
        <v>142</v>
      </c>
      <c r="P1294" s="4">
        <v>1332</v>
      </c>
      <c r="Q1294" s="4">
        <v>6</v>
      </c>
      <c r="R1294" s="4" t="s">
        <v>4627</v>
      </c>
      <c r="S1294" s="4" t="s">
        <v>1737</v>
      </c>
      <c r="T1294" s="4">
        <v>1520</v>
      </c>
      <c r="W1294" s="4">
        <v>43831</v>
      </c>
      <c r="X1294" s="4" t="s">
        <v>1738</v>
      </c>
      <c r="AK1294" s="7"/>
      <c r="AO1294" s="4" t="s">
        <v>4627</v>
      </c>
      <c r="AP1294" s="4">
        <v>1332</v>
      </c>
      <c r="AQ1294" s="4" t="s">
        <v>1716</v>
      </c>
      <c r="AR1294" s="4" t="s">
        <v>1739</v>
      </c>
      <c r="AS1294" s="4" t="s">
        <v>1740</v>
      </c>
      <c r="AT1294" s="4" t="s">
        <v>1835</v>
      </c>
      <c r="AU1294" s="4" t="s">
        <v>1704</v>
      </c>
      <c r="AV1294" s="4" t="s">
        <v>1720</v>
      </c>
      <c r="AW1294" s="4" t="s">
        <v>2368</v>
      </c>
      <c r="AX1294" s="4" t="s">
        <v>2516</v>
      </c>
      <c r="AY1294" s="4">
        <v>49.27</v>
      </c>
      <c r="AZ1294" s="4">
        <v>-119.22029999999999</v>
      </c>
      <c r="BA1294" s="4">
        <v>1534</v>
      </c>
    </row>
    <row r="1295" spans="1:53" ht="14.25" customHeight="1" x14ac:dyDescent="0.2">
      <c r="B1295" s="4">
        <v>12</v>
      </c>
      <c r="C1295" s="4" t="s">
        <v>7666</v>
      </c>
      <c r="D1295" s="4">
        <v>1333</v>
      </c>
      <c r="E1295" s="4">
        <v>12341</v>
      </c>
      <c r="F1295" s="16" t="s">
        <v>4629</v>
      </c>
      <c r="G1295" s="4" t="s">
        <v>4630</v>
      </c>
      <c r="H1295" s="4" t="s">
        <v>4631</v>
      </c>
      <c r="I1295" s="4" t="s">
        <v>49</v>
      </c>
      <c r="J1295" s="4" t="s">
        <v>1746</v>
      </c>
      <c r="K1295" s="4">
        <v>1</v>
      </c>
      <c r="L1295" s="4">
        <v>14397</v>
      </c>
      <c r="M1295" s="6"/>
      <c r="AK1295" s="7"/>
      <c r="AO1295" s="65" t="s">
        <v>4629</v>
      </c>
      <c r="AP1295" s="4">
        <v>1333</v>
      </c>
      <c r="AQ1295" s="4" t="s">
        <v>1716</v>
      </c>
      <c r="AR1295" s="4" t="s">
        <v>2441</v>
      </c>
      <c r="AS1295" s="4" t="s">
        <v>1718</v>
      </c>
      <c r="AT1295" s="4" t="s">
        <v>1835</v>
      </c>
      <c r="AU1295" s="4" t="s">
        <v>1836</v>
      </c>
      <c r="AV1295" s="4" t="s">
        <v>1720</v>
      </c>
      <c r="AW1295" s="4" t="s">
        <v>2698</v>
      </c>
      <c r="AX1295" s="4" t="s">
        <v>2902</v>
      </c>
      <c r="AY1295" s="4">
        <v>49.718699999999998</v>
      </c>
      <c r="AZ1295" s="4">
        <v>-115.02460000000001</v>
      </c>
      <c r="BA1295" s="4">
        <v>1770</v>
      </c>
    </row>
    <row r="1296" spans="1:53" ht="14.25" customHeight="1" x14ac:dyDescent="0.2">
      <c r="A1296" s="4" t="s">
        <v>422</v>
      </c>
      <c r="B1296" s="4">
        <v>12</v>
      </c>
      <c r="C1296" s="4" t="s">
        <v>7666</v>
      </c>
      <c r="D1296" s="4">
        <v>1335</v>
      </c>
      <c r="E1296" s="4">
        <v>12417</v>
      </c>
      <c r="F1296" s="16" t="s">
        <v>4632</v>
      </c>
      <c r="G1296" s="4" t="s">
        <v>4633</v>
      </c>
      <c r="H1296" s="4" t="s">
        <v>4634</v>
      </c>
      <c r="I1296" s="4" t="s">
        <v>49</v>
      </c>
      <c r="J1296" s="4" t="s">
        <v>1746</v>
      </c>
      <c r="K1296" s="4">
        <v>1</v>
      </c>
      <c r="L1296" s="4">
        <v>14439</v>
      </c>
      <c r="M1296" s="6"/>
      <c r="AK1296" s="7"/>
      <c r="AO1296" s="65" t="s">
        <v>4632</v>
      </c>
      <c r="AP1296" s="4">
        <v>1335</v>
      </c>
      <c r="AQ1296" s="4" t="s">
        <v>1716</v>
      </c>
      <c r="AR1296" s="4" t="s">
        <v>1717</v>
      </c>
      <c r="AS1296" s="4" t="s">
        <v>1718</v>
      </c>
      <c r="AT1296" s="4" t="s">
        <v>1835</v>
      </c>
      <c r="AU1296" s="4" t="s">
        <v>1836</v>
      </c>
      <c r="AV1296" s="4" t="s">
        <v>1720</v>
      </c>
      <c r="AW1296" s="4" t="s">
        <v>1947</v>
      </c>
      <c r="AX1296" s="4" t="s">
        <v>1973</v>
      </c>
      <c r="AY1296" s="4">
        <v>54.673299999999998</v>
      </c>
      <c r="AZ1296" s="4">
        <v>-127.97</v>
      </c>
      <c r="BA1296" s="4">
        <v>500</v>
      </c>
    </row>
    <row r="1297" spans="1:53" ht="14.25" customHeight="1" x14ac:dyDescent="0.2">
      <c r="A1297" s="4" t="s">
        <v>422</v>
      </c>
      <c r="B1297" s="4">
        <v>12</v>
      </c>
      <c r="C1297" s="4" t="s">
        <v>7666</v>
      </c>
      <c r="D1297" s="4">
        <v>1336</v>
      </c>
      <c r="E1297" s="4">
        <v>12418</v>
      </c>
      <c r="F1297" s="16" t="s">
        <v>4635</v>
      </c>
      <c r="G1297" s="4" t="s">
        <v>4636</v>
      </c>
      <c r="H1297" s="4" t="s">
        <v>4637</v>
      </c>
      <c r="I1297" s="4" t="s">
        <v>49</v>
      </c>
      <c r="J1297" s="4" t="s">
        <v>1746</v>
      </c>
      <c r="K1297" s="4">
        <v>1</v>
      </c>
      <c r="L1297" s="4">
        <v>14440</v>
      </c>
      <c r="M1297" s="6"/>
      <c r="AK1297" s="7"/>
      <c r="AO1297" s="65" t="s">
        <v>4635</v>
      </c>
      <c r="AP1297" s="4">
        <v>1336</v>
      </c>
      <c r="AQ1297" s="4" t="s">
        <v>1716</v>
      </c>
      <c r="AR1297" s="4" t="s">
        <v>1717</v>
      </c>
      <c r="AS1297" s="4" t="s">
        <v>2257</v>
      </c>
      <c r="AT1297" s="4" t="s">
        <v>1835</v>
      </c>
      <c r="AU1297" s="4" t="s">
        <v>1836</v>
      </c>
      <c r="AV1297" s="4" t="s">
        <v>1720</v>
      </c>
      <c r="AW1297" s="4" t="s">
        <v>2368</v>
      </c>
      <c r="AX1297" s="4" t="s">
        <v>2516</v>
      </c>
      <c r="AY1297" s="4">
        <v>49.0822</v>
      </c>
      <c r="AZ1297" s="4">
        <v>-119.7294</v>
      </c>
      <c r="BA1297" s="4">
        <v>392</v>
      </c>
    </row>
    <row r="1298" spans="1:53" ht="14.25" customHeight="1" x14ac:dyDescent="0.2">
      <c r="A1298" s="4" t="s">
        <v>422</v>
      </c>
      <c r="B1298" s="4">
        <v>12</v>
      </c>
      <c r="C1298" s="4" t="s">
        <v>7666</v>
      </c>
      <c r="D1298" s="4">
        <v>1337</v>
      </c>
      <c r="E1298" s="4">
        <v>12419</v>
      </c>
      <c r="F1298" s="16" t="s">
        <v>4638</v>
      </c>
      <c r="G1298" s="4" t="s">
        <v>4639</v>
      </c>
      <c r="H1298" s="4" t="s">
        <v>4640</v>
      </c>
      <c r="I1298" s="4" t="s">
        <v>49</v>
      </c>
      <c r="J1298" s="4" t="s">
        <v>1746</v>
      </c>
      <c r="K1298" s="4">
        <v>1</v>
      </c>
      <c r="L1298" s="4">
        <v>14441</v>
      </c>
      <c r="M1298" s="6"/>
      <c r="AK1298" s="7"/>
      <c r="AO1298" s="65" t="s">
        <v>4638</v>
      </c>
      <c r="AP1298" s="4">
        <v>1337</v>
      </c>
      <c r="AQ1298" s="4" t="s">
        <v>1716</v>
      </c>
      <c r="AR1298" s="4" t="s">
        <v>1717</v>
      </c>
      <c r="AS1298" s="4" t="s">
        <v>1718</v>
      </c>
      <c r="AT1298" s="4" t="s">
        <v>1835</v>
      </c>
      <c r="AU1298" s="4" t="s">
        <v>1836</v>
      </c>
      <c r="AV1298" s="4" t="s">
        <v>1720</v>
      </c>
      <c r="AW1298" s="4" t="s">
        <v>1947</v>
      </c>
      <c r="AX1298" s="4" t="s">
        <v>1986</v>
      </c>
      <c r="AY1298" s="4">
        <v>57.8613</v>
      </c>
      <c r="AZ1298" s="4">
        <v>-131.38339999999999</v>
      </c>
      <c r="BA1298" s="4">
        <v>855</v>
      </c>
    </row>
    <row r="1299" spans="1:53" ht="14.25" customHeight="1" x14ac:dyDescent="0.2">
      <c r="A1299" s="4" t="s">
        <v>422</v>
      </c>
      <c r="B1299" s="4">
        <v>12</v>
      </c>
      <c r="C1299" s="4" t="s">
        <v>7666</v>
      </c>
      <c r="D1299" s="4">
        <v>1338</v>
      </c>
      <c r="E1299" s="4">
        <v>12420</v>
      </c>
      <c r="F1299" s="16" t="s">
        <v>4641</v>
      </c>
      <c r="G1299" s="4" t="s">
        <v>4642</v>
      </c>
      <c r="H1299" s="4" t="s">
        <v>4643</v>
      </c>
      <c r="I1299" s="4" t="s">
        <v>49</v>
      </c>
      <c r="J1299" s="4" t="s">
        <v>1746</v>
      </c>
      <c r="K1299" s="4">
        <v>1</v>
      </c>
      <c r="L1299" s="4">
        <v>14442</v>
      </c>
      <c r="M1299" s="6"/>
      <c r="AK1299" s="7"/>
      <c r="AO1299" s="65" t="s">
        <v>4641</v>
      </c>
      <c r="AP1299" s="4">
        <v>1338</v>
      </c>
      <c r="AQ1299" s="4" t="s">
        <v>1716</v>
      </c>
      <c r="AR1299" s="4" t="s">
        <v>1717</v>
      </c>
      <c r="AS1299" s="4" t="s">
        <v>2257</v>
      </c>
      <c r="AT1299" s="4" t="s">
        <v>1835</v>
      </c>
      <c r="AW1299" s="4" t="s">
        <v>2368</v>
      </c>
      <c r="AX1299" s="4" t="s">
        <v>2492</v>
      </c>
      <c r="AY1299" s="4">
        <v>49.7988</v>
      </c>
      <c r="AZ1299" s="4">
        <v>-121.0778</v>
      </c>
      <c r="BA1299" s="4">
        <v>100</v>
      </c>
    </row>
    <row r="1300" spans="1:53" ht="14.25" customHeight="1" x14ac:dyDescent="0.2">
      <c r="A1300" s="4" t="s">
        <v>1908</v>
      </c>
      <c r="B1300" s="4">
        <v>12</v>
      </c>
      <c r="C1300" s="4" t="s">
        <v>7666</v>
      </c>
      <c r="D1300" s="4">
        <v>1339</v>
      </c>
      <c r="E1300" s="4">
        <v>12423</v>
      </c>
      <c r="F1300" s="8" t="s">
        <v>4644</v>
      </c>
      <c r="G1300" s="8" t="s">
        <v>4645</v>
      </c>
      <c r="H1300" s="4" t="s">
        <v>4646</v>
      </c>
      <c r="I1300" s="4" t="s">
        <v>49</v>
      </c>
      <c r="J1300" s="4" t="s">
        <v>1891</v>
      </c>
      <c r="K1300" s="4">
        <v>1</v>
      </c>
      <c r="L1300" s="4">
        <v>14445</v>
      </c>
      <c r="M1300" s="6">
        <v>49.973599999999998</v>
      </c>
      <c r="N1300" s="4">
        <v>-121.4902</v>
      </c>
      <c r="O1300" s="4" t="s">
        <v>51</v>
      </c>
      <c r="P1300" s="4">
        <v>1339</v>
      </c>
      <c r="Q1300" s="4">
        <v>1</v>
      </c>
      <c r="R1300" s="4" t="s">
        <v>4647</v>
      </c>
      <c r="S1300" s="4" t="s">
        <v>1737</v>
      </c>
      <c r="T1300" s="4">
        <v>19</v>
      </c>
      <c r="W1300" s="4">
        <v>43331</v>
      </c>
      <c r="X1300" s="4" t="s">
        <v>1738</v>
      </c>
      <c r="AK1300" s="7"/>
      <c r="AO1300" s="4" t="s">
        <v>4647</v>
      </c>
      <c r="AP1300" s="4">
        <v>1339</v>
      </c>
      <c r="AQ1300" s="4" t="s">
        <v>1716</v>
      </c>
      <c r="AR1300" s="4" t="s">
        <v>1739</v>
      </c>
      <c r="AS1300" s="4" t="s">
        <v>1740</v>
      </c>
      <c r="AT1300" s="4" t="s">
        <v>1741</v>
      </c>
      <c r="AU1300" s="4" t="s">
        <v>1742</v>
      </c>
      <c r="AV1300" s="4" t="s">
        <v>1720</v>
      </c>
      <c r="AW1300" s="4" t="s">
        <v>1705</v>
      </c>
      <c r="AX1300" s="4" t="s">
        <v>1883</v>
      </c>
      <c r="AY1300" s="4">
        <v>49.9754</v>
      </c>
      <c r="AZ1300" s="4">
        <v>-121.4892</v>
      </c>
      <c r="BA1300" s="4">
        <v>361</v>
      </c>
    </row>
    <row r="1301" spans="1:53" ht="14.25" customHeight="1" x14ac:dyDescent="0.2">
      <c r="A1301" s="4" t="s">
        <v>422</v>
      </c>
      <c r="B1301" s="4">
        <v>12</v>
      </c>
      <c r="C1301" s="4" t="s">
        <v>7666</v>
      </c>
      <c r="D1301" s="4">
        <v>1340</v>
      </c>
      <c r="E1301" s="4">
        <v>12421</v>
      </c>
      <c r="F1301" s="16" t="s">
        <v>4648</v>
      </c>
      <c r="G1301" s="4" t="s">
        <v>4649</v>
      </c>
      <c r="H1301" s="4" t="s">
        <v>4650</v>
      </c>
      <c r="I1301" s="4" t="s">
        <v>49</v>
      </c>
      <c r="J1301" s="4" t="s">
        <v>1746</v>
      </c>
      <c r="K1301" s="4">
        <v>1</v>
      </c>
      <c r="L1301" s="4">
        <v>14443</v>
      </c>
      <c r="M1301" s="6"/>
      <c r="AK1301" s="7"/>
      <c r="AO1301" s="65" t="s">
        <v>4648</v>
      </c>
      <c r="AP1301" s="4">
        <v>1340</v>
      </c>
      <c r="AQ1301" s="4" t="s">
        <v>1716</v>
      </c>
      <c r="AR1301" s="4" t="s">
        <v>1717</v>
      </c>
      <c r="AS1301" s="4" t="s">
        <v>1718</v>
      </c>
      <c r="AT1301" s="4" t="s">
        <v>1835</v>
      </c>
      <c r="AU1301" s="4" t="s">
        <v>1836</v>
      </c>
      <c r="AV1301" s="4" t="s">
        <v>1720</v>
      </c>
      <c r="AW1301" s="4" t="s">
        <v>2698</v>
      </c>
      <c r="AX1301" s="4" t="s">
        <v>2902</v>
      </c>
      <c r="AY1301" s="4">
        <v>49.598500000000001</v>
      </c>
      <c r="AZ1301" s="4">
        <v>-116.26909999999999</v>
      </c>
      <c r="BA1301" s="4">
        <v>1116</v>
      </c>
    </row>
    <row r="1302" spans="1:53" ht="14.25" customHeight="1" x14ac:dyDescent="0.2">
      <c r="A1302" s="4" t="s">
        <v>422</v>
      </c>
      <c r="B1302" s="4">
        <v>12</v>
      </c>
      <c r="C1302" s="4" t="s">
        <v>7666</v>
      </c>
      <c r="D1302" s="4">
        <v>1341</v>
      </c>
      <c r="E1302" s="4">
        <v>12422</v>
      </c>
      <c r="F1302" s="16" t="s">
        <v>4651</v>
      </c>
      <c r="G1302" s="4" t="s">
        <v>4652</v>
      </c>
      <c r="H1302" s="4" t="s">
        <v>4653</v>
      </c>
      <c r="I1302" s="4" t="s">
        <v>49</v>
      </c>
      <c r="J1302" s="4" t="s">
        <v>1746</v>
      </c>
      <c r="K1302" s="4">
        <v>1</v>
      </c>
      <c r="L1302" s="4">
        <v>14444</v>
      </c>
      <c r="M1302" s="6"/>
      <c r="AK1302" s="7"/>
      <c r="AO1302" s="65" t="s">
        <v>4651</v>
      </c>
      <c r="AP1302" s="4">
        <v>1341</v>
      </c>
      <c r="AQ1302" s="4" t="s">
        <v>1716</v>
      </c>
      <c r="AR1302" s="4" t="s">
        <v>1717</v>
      </c>
      <c r="AS1302" s="4" t="s">
        <v>1718</v>
      </c>
      <c r="AT1302" s="4" t="s">
        <v>1835</v>
      </c>
      <c r="AU1302" s="4" t="s">
        <v>1836</v>
      </c>
      <c r="AV1302" s="4" t="s">
        <v>1720</v>
      </c>
      <c r="AW1302" s="4" t="s">
        <v>2698</v>
      </c>
      <c r="AX1302" s="4" t="s">
        <v>2797</v>
      </c>
      <c r="AY1302" s="4">
        <v>49.408799999999999</v>
      </c>
      <c r="AZ1302" s="4">
        <v>-117.96040000000001</v>
      </c>
      <c r="BA1302" s="4">
        <v>863</v>
      </c>
    </row>
    <row r="1303" spans="1:53" ht="14.25" customHeight="1" x14ac:dyDescent="0.2">
      <c r="A1303" s="4" t="s">
        <v>422</v>
      </c>
      <c r="B1303" s="4">
        <v>12</v>
      </c>
      <c r="C1303" s="4" t="s">
        <v>7666</v>
      </c>
      <c r="D1303" s="4">
        <v>1342</v>
      </c>
      <c r="E1303" s="4">
        <v>12424</v>
      </c>
      <c r="F1303" s="16" t="s">
        <v>4654</v>
      </c>
      <c r="G1303" s="4" t="s">
        <v>4655</v>
      </c>
      <c r="H1303" s="4" t="s">
        <v>4656</v>
      </c>
      <c r="I1303" s="4" t="s">
        <v>49</v>
      </c>
      <c r="J1303" s="4" t="s">
        <v>1746</v>
      </c>
      <c r="K1303" s="4">
        <v>1</v>
      </c>
      <c r="L1303" s="4">
        <v>14446</v>
      </c>
      <c r="M1303" s="6"/>
      <c r="AK1303" s="7"/>
      <c r="AO1303" s="65" t="s">
        <v>4654</v>
      </c>
      <c r="AP1303" s="4">
        <v>1342</v>
      </c>
      <c r="AQ1303" s="4" t="s">
        <v>1716</v>
      </c>
      <c r="AR1303" s="4" t="s">
        <v>1717</v>
      </c>
      <c r="AS1303" s="4" t="s">
        <v>1718</v>
      </c>
      <c r="AT1303" s="4" t="s">
        <v>1835</v>
      </c>
      <c r="AU1303" s="4" t="s">
        <v>1836</v>
      </c>
      <c r="AV1303" s="4" t="s">
        <v>1720</v>
      </c>
      <c r="AW1303" s="4" t="s">
        <v>2368</v>
      </c>
      <c r="AX1303" s="4" t="s">
        <v>2492</v>
      </c>
      <c r="AY1303" s="4">
        <v>49.181899999999999</v>
      </c>
      <c r="AZ1303" s="4">
        <v>-120.41670000000001</v>
      </c>
      <c r="BA1303" s="4">
        <v>1925</v>
      </c>
    </row>
    <row r="1304" spans="1:53" ht="14.25" customHeight="1" x14ac:dyDescent="0.2">
      <c r="A1304" s="4" t="s">
        <v>422</v>
      </c>
      <c r="B1304" s="4">
        <v>12</v>
      </c>
      <c r="C1304" s="4" t="s">
        <v>7666</v>
      </c>
      <c r="D1304" s="4">
        <v>1343</v>
      </c>
      <c r="E1304" s="4">
        <v>12425</v>
      </c>
      <c r="F1304" s="16" t="s">
        <v>4657</v>
      </c>
      <c r="G1304" s="4" t="s">
        <v>4658</v>
      </c>
      <c r="H1304" s="4" t="s">
        <v>4659</v>
      </c>
      <c r="I1304" s="4" t="s">
        <v>49</v>
      </c>
      <c r="J1304" s="4" t="s">
        <v>1746</v>
      </c>
      <c r="K1304" s="4">
        <v>1</v>
      </c>
      <c r="L1304" s="4">
        <v>14447</v>
      </c>
      <c r="M1304" s="6"/>
      <c r="AK1304" s="7"/>
      <c r="AO1304" s="65" t="s">
        <v>4657</v>
      </c>
      <c r="AP1304" s="4">
        <v>1343</v>
      </c>
      <c r="AQ1304" s="4" t="s">
        <v>1716</v>
      </c>
      <c r="AR1304" s="4" t="s">
        <v>1717</v>
      </c>
      <c r="AS1304" s="4" t="s">
        <v>1718</v>
      </c>
      <c r="AT1304" s="4" t="s">
        <v>1835</v>
      </c>
      <c r="AU1304" s="4" t="s">
        <v>1836</v>
      </c>
      <c r="AV1304" s="4" t="s">
        <v>1720</v>
      </c>
      <c r="AW1304" s="4" t="s">
        <v>2368</v>
      </c>
      <c r="AX1304" s="4" t="s">
        <v>2516</v>
      </c>
      <c r="AY1304" s="4">
        <v>49.266100000000002</v>
      </c>
      <c r="AZ1304" s="4">
        <v>-119.9158</v>
      </c>
      <c r="BA1304" s="4">
        <v>1929</v>
      </c>
    </row>
    <row r="1305" spans="1:53" ht="14.25" customHeight="1" x14ac:dyDescent="0.2">
      <c r="A1305" s="4" t="s">
        <v>88</v>
      </c>
      <c r="B1305" s="4">
        <v>12</v>
      </c>
      <c r="C1305" s="4" t="s">
        <v>7666</v>
      </c>
      <c r="D1305" s="4">
        <v>1345</v>
      </c>
      <c r="E1305" s="4">
        <v>12455</v>
      </c>
      <c r="F1305" s="4" t="s">
        <v>4660</v>
      </c>
      <c r="G1305" s="26" t="s">
        <v>4661</v>
      </c>
      <c r="H1305" s="4" t="s">
        <v>4662</v>
      </c>
      <c r="I1305" s="4" t="s">
        <v>49</v>
      </c>
      <c r="J1305" s="4" t="s">
        <v>1829</v>
      </c>
      <c r="K1305" s="4">
        <v>1</v>
      </c>
      <c r="L1305" s="4">
        <v>14477</v>
      </c>
      <c r="M1305" s="6">
        <v>55.307222199999998</v>
      </c>
      <c r="N1305" s="4">
        <v>-125.3666667</v>
      </c>
      <c r="O1305" s="4" t="s">
        <v>1290</v>
      </c>
      <c r="P1305" s="4">
        <v>1345</v>
      </c>
      <c r="Q1305" s="4">
        <v>1</v>
      </c>
      <c r="R1305" s="4" t="s">
        <v>4660</v>
      </c>
      <c r="S1305" s="4" t="s">
        <v>1737</v>
      </c>
      <c r="T1305" s="4">
        <v>600</v>
      </c>
      <c r="W1305" s="4">
        <v>43831</v>
      </c>
      <c r="X1305" s="4" t="s">
        <v>1738</v>
      </c>
      <c r="AK1305" s="7"/>
      <c r="AO1305" s="4" t="s">
        <v>4660</v>
      </c>
      <c r="AP1305" s="4">
        <v>1345</v>
      </c>
      <c r="AQ1305" s="4" t="s">
        <v>1716</v>
      </c>
      <c r="AR1305" s="4" t="s">
        <v>1739</v>
      </c>
      <c r="AS1305" s="4" t="s">
        <v>1740</v>
      </c>
      <c r="AT1305" s="4" t="s">
        <v>1741</v>
      </c>
      <c r="AU1305" s="4" t="s">
        <v>1742</v>
      </c>
      <c r="AV1305" s="4" t="s">
        <v>1720</v>
      </c>
      <c r="AW1305" s="4" t="s">
        <v>2003</v>
      </c>
      <c r="AX1305" s="4" t="s">
        <v>2099</v>
      </c>
      <c r="AY1305" s="4">
        <v>55.314399999999999</v>
      </c>
      <c r="AZ1305" s="4">
        <v>-125.3484</v>
      </c>
      <c r="BA1305" s="4">
        <v>996</v>
      </c>
    </row>
    <row r="1306" spans="1:53" ht="14.25" customHeight="1" x14ac:dyDescent="0.2">
      <c r="B1306" s="4">
        <v>12</v>
      </c>
      <c r="C1306" s="4" t="s">
        <v>7666</v>
      </c>
      <c r="D1306" s="4">
        <v>1347</v>
      </c>
      <c r="E1306" s="4">
        <v>12430</v>
      </c>
      <c r="F1306" s="4" t="s">
        <v>4663</v>
      </c>
      <c r="G1306" s="4" t="s">
        <v>4664</v>
      </c>
      <c r="H1306" s="4" t="s">
        <v>4665</v>
      </c>
      <c r="I1306" s="4" t="s">
        <v>49</v>
      </c>
      <c r="J1306" s="4" t="s">
        <v>1746</v>
      </c>
      <c r="K1306" s="4">
        <v>1</v>
      </c>
      <c r="L1306" s="4">
        <v>14452</v>
      </c>
      <c r="M1306" s="6"/>
      <c r="AK1306" s="7"/>
      <c r="AO1306" s="4" t="s">
        <v>4663</v>
      </c>
      <c r="AP1306" s="4">
        <v>1347</v>
      </c>
      <c r="AQ1306" s="4" t="s">
        <v>1716</v>
      </c>
      <c r="AR1306" s="4" t="s">
        <v>4666</v>
      </c>
      <c r="AS1306" s="4" t="s">
        <v>1740</v>
      </c>
      <c r="AT1306" s="4" t="s">
        <v>1835</v>
      </c>
      <c r="AU1306" s="4" t="s">
        <v>1742</v>
      </c>
      <c r="AV1306" s="4" t="s">
        <v>1720</v>
      </c>
      <c r="AW1306" s="4" t="s">
        <v>1705</v>
      </c>
      <c r="AX1306" s="4" t="s">
        <v>1723</v>
      </c>
      <c r="AY1306" s="4">
        <v>49.593600000000002</v>
      </c>
      <c r="AZ1306" s="4">
        <v>-125.1313</v>
      </c>
      <c r="BA1306" s="4">
        <v>970</v>
      </c>
    </row>
    <row r="1307" spans="1:53" ht="14.25" customHeight="1" x14ac:dyDescent="0.2">
      <c r="B1307" s="4">
        <v>12</v>
      </c>
      <c r="C1307" s="4" t="s">
        <v>7666</v>
      </c>
      <c r="D1307" s="4">
        <v>1348</v>
      </c>
      <c r="E1307" s="4">
        <v>12440</v>
      </c>
      <c r="F1307" s="4" t="s">
        <v>4667</v>
      </c>
      <c r="G1307" s="4" t="s">
        <v>4668</v>
      </c>
      <c r="H1307" s="4" t="s">
        <v>4669</v>
      </c>
      <c r="I1307" s="4" t="s">
        <v>49</v>
      </c>
      <c r="J1307" s="4" t="s">
        <v>1829</v>
      </c>
      <c r="K1307" s="4">
        <v>1</v>
      </c>
      <c r="L1307" s="4">
        <v>14462</v>
      </c>
      <c r="M1307" s="6"/>
      <c r="AK1307" s="7"/>
      <c r="AO1307" s="4" t="s">
        <v>4667</v>
      </c>
      <c r="AP1307" s="4">
        <v>1348</v>
      </c>
      <c r="AQ1307" s="4" t="s">
        <v>1716</v>
      </c>
      <c r="AR1307" s="4" t="s">
        <v>1739</v>
      </c>
      <c r="AS1307" s="4" t="s">
        <v>1740</v>
      </c>
      <c r="AT1307" s="4" t="s">
        <v>1835</v>
      </c>
      <c r="AU1307" s="4" t="s">
        <v>1742</v>
      </c>
      <c r="AV1307" s="4" t="s">
        <v>1720</v>
      </c>
      <c r="AW1307" s="4" t="s">
        <v>1705</v>
      </c>
      <c r="AX1307" s="4" t="s">
        <v>1710</v>
      </c>
      <c r="AY1307" s="4">
        <v>51.38</v>
      </c>
      <c r="AZ1307" s="4">
        <v>-125.76949999999999</v>
      </c>
      <c r="BA1307" s="4">
        <v>1532</v>
      </c>
    </row>
    <row r="1308" spans="1:53" ht="14.25" customHeight="1" x14ac:dyDescent="0.2">
      <c r="B1308" s="4">
        <v>12</v>
      </c>
      <c r="C1308" s="4" t="s">
        <v>7666</v>
      </c>
      <c r="D1308" s="4">
        <v>1349</v>
      </c>
      <c r="E1308" s="4">
        <v>12431</v>
      </c>
      <c r="F1308" s="4" t="s">
        <v>4670</v>
      </c>
      <c r="G1308" s="4" t="s">
        <v>4671</v>
      </c>
      <c r="H1308" s="4" t="s">
        <v>4672</v>
      </c>
      <c r="I1308" s="4" t="s">
        <v>49</v>
      </c>
      <c r="J1308" s="4" t="s">
        <v>1829</v>
      </c>
      <c r="K1308" s="4">
        <v>1</v>
      </c>
      <c r="L1308" s="4">
        <v>14453</v>
      </c>
      <c r="M1308" s="6"/>
      <c r="AK1308" s="7"/>
      <c r="AO1308" s="4" t="s">
        <v>4670</v>
      </c>
      <c r="AP1308" s="4">
        <v>1349</v>
      </c>
      <c r="AQ1308" s="4" t="s">
        <v>1716</v>
      </c>
      <c r="AR1308" s="4" t="s">
        <v>1739</v>
      </c>
      <c r="AS1308" s="4" t="s">
        <v>1740</v>
      </c>
      <c r="AT1308" s="4" t="s">
        <v>1835</v>
      </c>
      <c r="AU1308" s="4" t="s">
        <v>1742</v>
      </c>
      <c r="AV1308" s="4" t="s">
        <v>1720</v>
      </c>
      <c r="AW1308" s="4" t="s">
        <v>1705</v>
      </c>
      <c r="AX1308" s="4" t="s">
        <v>1837</v>
      </c>
      <c r="AY1308" s="4">
        <v>51.101900000000001</v>
      </c>
      <c r="AZ1308" s="4">
        <v>-124.9502</v>
      </c>
      <c r="BA1308" s="4">
        <v>1481</v>
      </c>
    </row>
    <row r="1309" spans="1:53" ht="14.25" customHeight="1" x14ac:dyDescent="0.2">
      <c r="B1309" s="4">
        <v>12</v>
      </c>
      <c r="C1309" s="4" t="s">
        <v>7666</v>
      </c>
      <c r="D1309" s="4">
        <v>1350</v>
      </c>
      <c r="E1309" s="4">
        <v>12432</v>
      </c>
      <c r="F1309" s="4" t="s">
        <v>4673</v>
      </c>
      <c r="G1309" s="4" t="s">
        <v>4674</v>
      </c>
      <c r="H1309" s="4" t="s">
        <v>4675</v>
      </c>
      <c r="I1309" s="4" t="s">
        <v>49</v>
      </c>
      <c r="J1309" s="4" t="s">
        <v>4676</v>
      </c>
      <c r="K1309" s="4">
        <v>1</v>
      </c>
      <c r="L1309" s="4">
        <v>14454</v>
      </c>
      <c r="M1309" s="6"/>
      <c r="AK1309" s="7"/>
      <c r="AO1309" s="4" t="s">
        <v>4673</v>
      </c>
      <c r="AP1309" s="4">
        <v>1350</v>
      </c>
      <c r="AQ1309" s="4" t="s">
        <v>1716</v>
      </c>
      <c r="AR1309" s="4" t="s">
        <v>1701</v>
      </c>
      <c r="AS1309" s="4" t="s">
        <v>1740</v>
      </c>
      <c r="AT1309" s="4" t="s">
        <v>1835</v>
      </c>
      <c r="AU1309" s="4" t="s">
        <v>1742</v>
      </c>
      <c r="AV1309" s="4" t="s">
        <v>1720</v>
      </c>
      <c r="AW1309" s="4" t="s">
        <v>1705</v>
      </c>
      <c r="AX1309" s="4" t="s">
        <v>1710</v>
      </c>
      <c r="AY1309" s="4">
        <v>50.2258</v>
      </c>
      <c r="AZ1309" s="4">
        <v>-126.3563</v>
      </c>
      <c r="BA1309" s="4">
        <v>1295</v>
      </c>
    </row>
    <row r="1310" spans="1:53" ht="14.25" customHeight="1" x14ac:dyDescent="0.2">
      <c r="A1310" s="4" t="s">
        <v>422</v>
      </c>
      <c r="B1310" s="4">
        <v>12</v>
      </c>
      <c r="C1310" s="4" t="s">
        <v>7666</v>
      </c>
      <c r="D1310" s="4">
        <v>1351</v>
      </c>
      <c r="E1310" s="4">
        <v>12443</v>
      </c>
      <c r="F1310" s="16" t="s">
        <v>4677</v>
      </c>
      <c r="G1310" s="4" t="s">
        <v>4678</v>
      </c>
      <c r="H1310" s="4" t="s">
        <v>4679</v>
      </c>
      <c r="I1310" s="4" t="s">
        <v>49</v>
      </c>
      <c r="J1310" s="4" t="s">
        <v>1746</v>
      </c>
      <c r="K1310" s="4">
        <v>1</v>
      </c>
      <c r="L1310" s="4">
        <v>14465</v>
      </c>
      <c r="M1310" s="6"/>
      <c r="AK1310" s="7"/>
      <c r="AO1310" s="65" t="s">
        <v>4677</v>
      </c>
      <c r="AP1310" s="4">
        <v>1351</v>
      </c>
      <c r="AQ1310" s="4" t="s">
        <v>1716</v>
      </c>
      <c r="AR1310" s="4" t="s">
        <v>1717</v>
      </c>
      <c r="AS1310" s="4" t="s">
        <v>1718</v>
      </c>
      <c r="AT1310" s="4" t="s">
        <v>1835</v>
      </c>
      <c r="AU1310" s="4" t="s">
        <v>1836</v>
      </c>
      <c r="AV1310" s="4" t="s">
        <v>1720</v>
      </c>
      <c r="AW1310" s="4" t="s">
        <v>2368</v>
      </c>
      <c r="AX1310" s="4" t="s">
        <v>2516</v>
      </c>
      <c r="AY1310" s="4">
        <v>49.19</v>
      </c>
      <c r="AZ1310" s="4">
        <v>-120.0042</v>
      </c>
      <c r="BA1310" s="4">
        <v>570</v>
      </c>
    </row>
    <row r="1311" spans="1:53" ht="14.25" customHeight="1" x14ac:dyDescent="0.2">
      <c r="B1311" s="4">
        <v>12</v>
      </c>
      <c r="C1311" s="4" t="s">
        <v>7666</v>
      </c>
      <c r="D1311" s="4">
        <v>1352</v>
      </c>
      <c r="E1311" s="4">
        <v>12448</v>
      </c>
      <c r="F1311" s="16" t="s">
        <v>4680</v>
      </c>
      <c r="G1311" s="4" t="s">
        <v>4681</v>
      </c>
      <c r="H1311" s="4" t="s">
        <v>4682</v>
      </c>
      <c r="I1311" s="4" t="s">
        <v>49</v>
      </c>
      <c r="J1311" s="4" t="s">
        <v>1746</v>
      </c>
      <c r="K1311" s="4">
        <v>1</v>
      </c>
      <c r="L1311" s="4">
        <v>14470</v>
      </c>
      <c r="M1311" s="6"/>
      <c r="AK1311" s="7"/>
      <c r="AO1311" s="65" t="s">
        <v>4680</v>
      </c>
      <c r="AP1311" s="4">
        <v>1352</v>
      </c>
      <c r="AQ1311" s="4" t="s">
        <v>1716</v>
      </c>
      <c r="AR1311" s="4" t="s">
        <v>1717</v>
      </c>
      <c r="AS1311" s="4" t="s">
        <v>1718</v>
      </c>
      <c r="AT1311" s="4" t="s">
        <v>1835</v>
      </c>
      <c r="AU1311" s="4" t="s">
        <v>1836</v>
      </c>
      <c r="AV1311" s="4" t="s">
        <v>1720</v>
      </c>
      <c r="AW1311" s="4" t="s">
        <v>2698</v>
      </c>
      <c r="AX1311" s="4" t="s">
        <v>2797</v>
      </c>
      <c r="AY1311" s="4">
        <v>49.695599999999999</v>
      </c>
      <c r="AZ1311" s="4">
        <v>-118.11969999999999</v>
      </c>
      <c r="BA1311" s="4">
        <v>720</v>
      </c>
    </row>
    <row r="1312" spans="1:53" ht="14.25" customHeight="1" x14ac:dyDescent="0.2">
      <c r="A1312" s="4" t="s">
        <v>422</v>
      </c>
      <c r="B1312" s="4">
        <v>12</v>
      </c>
      <c r="C1312" s="4" t="s">
        <v>7666</v>
      </c>
      <c r="D1312" s="4">
        <v>1355</v>
      </c>
      <c r="E1312" s="4">
        <v>12449</v>
      </c>
      <c r="F1312" s="16" t="s">
        <v>4683</v>
      </c>
      <c r="G1312" s="4" t="s">
        <v>4684</v>
      </c>
      <c r="H1312" s="4" t="s">
        <v>4685</v>
      </c>
      <c r="I1312" s="4" t="s">
        <v>49</v>
      </c>
      <c r="J1312" s="4" t="s">
        <v>1746</v>
      </c>
      <c r="K1312" s="4">
        <v>1</v>
      </c>
      <c r="L1312" s="4">
        <v>14471</v>
      </c>
      <c r="M1312" s="6"/>
      <c r="AK1312" s="7"/>
      <c r="AO1312" s="65" t="s">
        <v>4683</v>
      </c>
      <c r="AP1312" s="4">
        <v>1355</v>
      </c>
      <c r="AQ1312" s="4" t="s">
        <v>1716</v>
      </c>
      <c r="AR1312" s="4" t="s">
        <v>1717</v>
      </c>
      <c r="AS1312" s="4" t="s">
        <v>1718</v>
      </c>
      <c r="AT1312" s="4" t="s">
        <v>1835</v>
      </c>
      <c r="AU1312" s="4" t="s">
        <v>1836</v>
      </c>
      <c r="AV1312" s="4" t="s">
        <v>1720</v>
      </c>
      <c r="AW1312" s="4" t="s">
        <v>2698</v>
      </c>
      <c r="AX1312" s="4" t="s">
        <v>2801</v>
      </c>
      <c r="AY1312" s="4">
        <v>49.2761</v>
      </c>
      <c r="AZ1312" s="4">
        <v>-116.3724</v>
      </c>
      <c r="BA1312" s="4">
        <v>1330</v>
      </c>
    </row>
    <row r="1313" spans="1:53" ht="14.25" customHeight="1" x14ac:dyDescent="0.2">
      <c r="A1313" s="4" t="s">
        <v>88</v>
      </c>
      <c r="B1313" s="4">
        <v>12</v>
      </c>
      <c r="C1313" s="4" t="s">
        <v>7666</v>
      </c>
      <c r="D1313" s="4">
        <v>1358</v>
      </c>
      <c r="E1313" s="4">
        <v>12450</v>
      </c>
      <c r="F1313" s="16" t="s">
        <v>4686</v>
      </c>
      <c r="G1313" s="8" t="s">
        <v>4687</v>
      </c>
      <c r="H1313" s="4" t="s">
        <v>4688</v>
      </c>
      <c r="I1313" s="4" t="s">
        <v>49</v>
      </c>
      <c r="J1313" s="4" t="s">
        <v>1746</v>
      </c>
      <c r="K1313" s="4">
        <v>1</v>
      </c>
      <c r="L1313" s="4">
        <v>14472</v>
      </c>
      <c r="M1313" s="6"/>
      <c r="AK1313" s="7"/>
      <c r="AO1313" s="4" t="s">
        <v>4686</v>
      </c>
      <c r="AP1313" s="4">
        <v>1358</v>
      </c>
      <c r="AQ1313" s="4" t="s">
        <v>1716</v>
      </c>
      <c r="AR1313" s="4" t="s">
        <v>1717</v>
      </c>
      <c r="AS1313" s="4" t="s">
        <v>1718</v>
      </c>
      <c r="AT1313" s="4" t="s">
        <v>1835</v>
      </c>
      <c r="AU1313" s="4" t="s">
        <v>1836</v>
      </c>
      <c r="AV1313" s="4" t="s">
        <v>1720</v>
      </c>
      <c r="AW1313" s="4" t="s">
        <v>1947</v>
      </c>
      <c r="AX1313" s="4" t="s">
        <v>2948</v>
      </c>
      <c r="AY1313" s="4">
        <v>55.374699999999997</v>
      </c>
      <c r="AZ1313" s="4">
        <v>-127.7889</v>
      </c>
      <c r="BA1313" s="4">
        <v>680</v>
      </c>
    </row>
    <row r="1314" spans="1:53" ht="14.25" customHeight="1" x14ac:dyDescent="0.2">
      <c r="B1314" s="4">
        <v>12</v>
      </c>
      <c r="C1314" s="4" t="s">
        <v>7666</v>
      </c>
      <c r="D1314" s="4">
        <v>1359</v>
      </c>
      <c r="E1314" s="4">
        <v>12451</v>
      </c>
      <c r="F1314" s="4" t="s">
        <v>2646</v>
      </c>
      <c r="G1314" s="4" t="s">
        <v>4689</v>
      </c>
      <c r="H1314" s="4" t="s">
        <v>4690</v>
      </c>
      <c r="I1314" s="4" t="s">
        <v>49</v>
      </c>
      <c r="J1314" s="4" t="s">
        <v>1891</v>
      </c>
      <c r="K1314" s="4">
        <v>1</v>
      </c>
      <c r="L1314" s="4">
        <v>14473</v>
      </c>
      <c r="M1314" s="75">
        <v>50.500250000000001</v>
      </c>
      <c r="N1314" s="76">
        <v>-119.7013889</v>
      </c>
      <c r="O1314" s="76" t="s">
        <v>142</v>
      </c>
      <c r="P1314" s="76">
        <v>1132</v>
      </c>
      <c r="Q1314" s="77">
        <v>3</v>
      </c>
      <c r="R1314" s="76" t="s">
        <v>4241</v>
      </c>
      <c r="S1314" s="76" t="s">
        <v>1737</v>
      </c>
      <c r="T1314" s="76">
        <v>1153</v>
      </c>
      <c r="U1314" s="76"/>
      <c r="V1314" s="76"/>
      <c r="W1314" s="76"/>
      <c r="X1314" s="76" t="s">
        <v>1738</v>
      </c>
      <c r="Y1314" s="76"/>
      <c r="AK1314" s="7"/>
      <c r="AO1314" s="4" t="s">
        <v>2646</v>
      </c>
      <c r="AP1314" s="4">
        <v>1359</v>
      </c>
      <c r="AQ1314" s="4" t="s">
        <v>1700</v>
      </c>
      <c r="AR1314" s="4" t="s">
        <v>1739</v>
      </c>
      <c r="AS1314" s="4" t="s">
        <v>1740</v>
      </c>
      <c r="AT1314" s="4" t="s">
        <v>1741</v>
      </c>
      <c r="AU1314" s="4" t="s">
        <v>1959</v>
      </c>
      <c r="AV1314" s="4" t="s">
        <v>1720</v>
      </c>
      <c r="AW1314" s="4" t="s">
        <v>2368</v>
      </c>
      <c r="AX1314" s="4" t="s">
        <v>2522</v>
      </c>
      <c r="AY1314" s="4">
        <v>50.497199999999999</v>
      </c>
      <c r="AZ1314" s="4">
        <v>-119.7269</v>
      </c>
      <c r="BA1314" s="4">
        <v>1100</v>
      </c>
    </row>
    <row r="1315" spans="1:53" ht="14.25" customHeight="1" x14ac:dyDescent="0.2">
      <c r="A1315" s="4" t="s">
        <v>88</v>
      </c>
      <c r="B1315" s="4">
        <v>12</v>
      </c>
      <c r="C1315" s="4" t="s">
        <v>7666</v>
      </c>
      <c r="D1315" s="4">
        <v>1362</v>
      </c>
      <c r="E1315" s="4">
        <v>12453</v>
      </c>
      <c r="F1315" s="4" t="s">
        <v>4691</v>
      </c>
      <c r="G1315" s="8" t="s">
        <v>4692</v>
      </c>
      <c r="H1315" s="4" t="s">
        <v>4693</v>
      </c>
      <c r="I1315" s="4" t="s">
        <v>49</v>
      </c>
      <c r="J1315" s="4" t="s">
        <v>1746</v>
      </c>
      <c r="K1315" s="4">
        <v>1</v>
      </c>
      <c r="L1315" s="4">
        <v>14475</v>
      </c>
      <c r="M1315" s="6">
        <v>49.610199999999999</v>
      </c>
      <c r="N1315" s="9">
        <v>-126.03270000000001</v>
      </c>
      <c r="O1315" s="9" t="s">
        <v>51</v>
      </c>
      <c r="P1315" s="9">
        <v>1362</v>
      </c>
      <c r="Q1315" s="20">
        <v>1</v>
      </c>
      <c r="R1315" s="9" t="s">
        <v>4691</v>
      </c>
      <c r="S1315" s="9" t="s">
        <v>4045</v>
      </c>
      <c r="T1315" s="9">
        <v>71</v>
      </c>
      <c r="U1315" s="9"/>
      <c r="V1315" s="9"/>
      <c r="W1315" s="21">
        <v>43648</v>
      </c>
      <c r="X1315" s="9" t="s">
        <v>1738</v>
      </c>
      <c r="AK1315" s="7"/>
      <c r="AO1315" s="4" t="s">
        <v>4691</v>
      </c>
      <c r="AP1315" s="4">
        <v>1362</v>
      </c>
      <c r="AQ1315" s="4" t="s">
        <v>1716</v>
      </c>
      <c r="AR1315" s="4" t="s">
        <v>1739</v>
      </c>
      <c r="AS1315" s="4" t="s">
        <v>1740</v>
      </c>
      <c r="AT1315" s="4" t="s">
        <v>1741</v>
      </c>
      <c r="AU1315" s="4" t="s">
        <v>1742</v>
      </c>
      <c r="AV1315" s="4" t="s">
        <v>1720</v>
      </c>
      <c r="AW1315" s="4" t="s">
        <v>1705</v>
      </c>
      <c r="AX1315" s="4" t="s">
        <v>1723</v>
      </c>
      <c r="AY1315" s="4">
        <v>49.610199999999999</v>
      </c>
      <c r="AZ1315" s="4">
        <v>-126.03270000000001</v>
      </c>
      <c r="BA1315" s="4">
        <v>71</v>
      </c>
    </row>
    <row r="1316" spans="1:53" ht="14.25" customHeight="1" x14ac:dyDescent="0.2">
      <c r="A1316" s="4" t="s">
        <v>88</v>
      </c>
      <c r="B1316" s="4">
        <v>12</v>
      </c>
      <c r="C1316" s="4" t="s">
        <v>7666</v>
      </c>
      <c r="D1316" s="4">
        <v>1375</v>
      </c>
      <c r="E1316" s="4">
        <v>12452</v>
      </c>
      <c r="F1316" s="4" t="s">
        <v>4694</v>
      </c>
      <c r="G1316" s="8" t="s">
        <v>4695</v>
      </c>
      <c r="H1316" s="4" t="s">
        <v>4696</v>
      </c>
      <c r="I1316" s="4" t="s">
        <v>49</v>
      </c>
      <c r="J1316" s="4" t="s">
        <v>1891</v>
      </c>
      <c r="K1316" s="4">
        <v>1</v>
      </c>
      <c r="L1316" s="4">
        <v>14474</v>
      </c>
      <c r="M1316" s="6">
        <v>49.874444400000002</v>
      </c>
      <c r="N1316" s="9">
        <v>-122.2811111</v>
      </c>
      <c r="O1316" s="9" t="s">
        <v>51</v>
      </c>
      <c r="P1316" s="9">
        <v>1375</v>
      </c>
      <c r="Q1316" s="20">
        <v>2</v>
      </c>
      <c r="R1316" s="9" t="s">
        <v>4694</v>
      </c>
      <c r="S1316" s="9" t="s">
        <v>1737</v>
      </c>
      <c r="T1316" s="9">
        <v>305</v>
      </c>
      <c r="U1316" s="9"/>
      <c r="V1316" s="9"/>
      <c r="W1316" s="21">
        <v>43831</v>
      </c>
      <c r="X1316" s="9" t="s">
        <v>1738</v>
      </c>
      <c r="AK1316" s="7"/>
      <c r="AO1316" s="4" t="s">
        <v>4694</v>
      </c>
      <c r="AP1316" s="4">
        <v>1375</v>
      </c>
      <c r="AQ1316" s="4" t="s">
        <v>1716</v>
      </c>
      <c r="AR1316" s="4" t="s">
        <v>1739</v>
      </c>
      <c r="AS1316" s="4" t="s">
        <v>1740</v>
      </c>
      <c r="AT1316" s="4" t="s">
        <v>1741</v>
      </c>
      <c r="AU1316" s="4" t="s">
        <v>1742</v>
      </c>
      <c r="AV1316" s="4" t="s">
        <v>1720</v>
      </c>
      <c r="AW1316" s="4" t="s">
        <v>1705</v>
      </c>
      <c r="AX1316" s="4" t="s">
        <v>1883</v>
      </c>
      <c r="AY1316" s="4">
        <v>49.874699999999997</v>
      </c>
      <c r="AZ1316" s="4">
        <v>-122.2816</v>
      </c>
      <c r="BA1316" s="4">
        <v>308</v>
      </c>
    </row>
    <row r="1317" spans="1:53" ht="14.25" customHeight="1" x14ac:dyDescent="0.2">
      <c r="B1317" s="4">
        <v>12</v>
      </c>
      <c r="C1317" s="4" t="s">
        <v>7666</v>
      </c>
      <c r="D1317" s="4">
        <v>1377</v>
      </c>
      <c r="E1317" s="4">
        <v>12456</v>
      </c>
      <c r="F1317" s="4" t="s">
        <v>4697</v>
      </c>
      <c r="G1317" s="4" t="s">
        <v>4698</v>
      </c>
      <c r="H1317" s="4" t="s">
        <v>4699</v>
      </c>
      <c r="I1317" s="4" t="s">
        <v>49</v>
      </c>
      <c r="J1317" s="4" t="s">
        <v>1891</v>
      </c>
      <c r="K1317" s="4">
        <v>1</v>
      </c>
      <c r="L1317" s="4">
        <v>14478</v>
      </c>
      <c r="M1317" s="6">
        <v>56.711638899999997</v>
      </c>
      <c r="N1317" s="9">
        <v>-130.67836109999999</v>
      </c>
      <c r="O1317" s="9" t="s">
        <v>1290</v>
      </c>
      <c r="P1317" s="9">
        <v>1377</v>
      </c>
      <c r="Q1317" s="20">
        <v>1</v>
      </c>
      <c r="R1317" s="9" t="s">
        <v>4697</v>
      </c>
      <c r="S1317" s="9" t="s">
        <v>1737</v>
      </c>
      <c r="T1317" s="9">
        <v>276</v>
      </c>
      <c r="U1317" s="9"/>
      <c r="V1317" s="9"/>
      <c r="W1317" s="21">
        <v>43831</v>
      </c>
      <c r="X1317" s="9" t="s">
        <v>1738</v>
      </c>
      <c r="AK1317" s="7"/>
      <c r="AO1317" s="4" t="s">
        <v>4697</v>
      </c>
      <c r="AP1317" s="4">
        <v>1377</v>
      </c>
      <c r="AQ1317" s="4" t="s">
        <v>1716</v>
      </c>
      <c r="AR1317" s="4" t="s">
        <v>1739</v>
      </c>
      <c r="AS1317" s="4" t="s">
        <v>1740</v>
      </c>
      <c r="AT1317" s="4" t="s">
        <v>1835</v>
      </c>
      <c r="AU1317" s="4" t="s">
        <v>1742</v>
      </c>
      <c r="AV1317" s="4" t="s">
        <v>1720</v>
      </c>
      <c r="AW1317" s="4" t="s">
        <v>1947</v>
      </c>
      <c r="AX1317" s="4" t="s">
        <v>1986</v>
      </c>
      <c r="AY1317" s="4">
        <v>56.711599999999997</v>
      </c>
      <c r="AZ1317" s="4">
        <v>-130.67840000000001</v>
      </c>
      <c r="BA1317" s="4">
        <v>276</v>
      </c>
    </row>
    <row r="1318" spans="1:53" ht="14.25" customHeight="1" x14ac:dyDescent="0.2">
      <c r="A1318" s="4" t="s">
        <v>1908</v>
      </c>
      <c r="B1318" s="4">
        <v>12</v>
      </c>
      <c r="C1318" s="4" t="s">
        <v>7666</v>
      </c>
      <c r="D1318" s="4">
        <v>1378</v>
      </c>
      <c r="E1318" s="4">
        <v>12458</v>
      </c>
      <c r="F1318" s="4" t="s">
        <v>4700</v>
      </c>
      <c r="G1318" s="8" t="s">
        <v>4701</v>
      </c>
      <c r="H1318" s="4" t="s">
        <v>4702</v>
      </c>
      <c r="I1318" s="4" t="s">
        <v>49</v>
      </c>
      <c r="J1318" s="4" t="s">
        <v>1891</v>
      </c>
      <c r="K1318" s="4">
        <v>1</v>
      </c>
      <c r="L1318" s="4">
        <v>14480</v>
      </c>
      <c r="M1318" s="6">
        <v>50.267805600000003</v>
      </c>
      <c r="N1318" s="9">
        <v>-127.07961109999999</v>
      </c>
      <c r="O1318" s="9" t="s">
        <v>142</v>
      </c>
      <c r="P1318" s="9">
        <v>1378</v>
      </c>
      <c r="Q1318" s="20">
        <v>1</v>
      </c>
      <c r="R1318" s="9" t="s">
        <v>4700</v>
      </c>
      <c r="S1318" s="9" t="s">
        <v>4045</v>
      </c>
      <c r="T1318" s="9">
        <v>462</v>
      </c>
      <c r="U1318" s="9"/>
      <c r="V1318" s="9"/>
      <c r="W1318" s="21">
        <v>43831</v>
      </c>
      <c r="X1318" s="9" t="s">
        <v>1738</v>
      </c>
      <c r="AK1318" s="7"/>
      <c r="AO1318" s="4" t="s">
        <v>4700</v>
      </c>
      <c r="AP1318" s="4">
        <v>1378</v>
      </c>
      <c r="AQ1318" s="4" t="s">
        <v>1716</v>
      </c>
      <c r="AR1318" s="4" t="s">
        <v>1739</v>
      </c>
      <c r="AS1318" s="4" t="s">
        <v>1740</v>
      </c>
      <c r="AT1318" s="4" t="s">
        <v>1741</v>
      </c>
      <c r="AU1318" s="4" t="s">
        <v>1742</v>
      </c>
      <c r="AV1318" s="4" t="s">
        <v>1720</v>
      </c>
      <c r="AW1318" s="4" t="s">
        <v>1705</v>
      </c>
      <c r="AX1318" s="4" t="s">
        <v>1723</v>
      </c>
      <c r="AY1318" s="4">
        <v>50.265099999999997</v>
      </c>
      <c r="AZ1318" s="4">
        <v>-127.0835</v>
      </c>
      <c r="BA1318" s="4">
        <v>384</v>
      </c>
    </row>
    <row r="1319" spans="1:53" ht="14.25" customHeight="1" x14ac:dyDescent="0.2">
      <c r="A1319" s="4" t="s">
        <v>422</v>
      </c>
      <c r="B1319" s="4">
        <v>12</v>
      </c>
      <c r="C1319" s="4" t="s">
        <v>7666</v>
      </c>
      <c r="D1319" s="4">
        <v>1382</v>
      </c>
      <c r="E1319" s="4">
        <v>12457</v>
      </c>
      <c r="F1319" s="16" t="s">
        <v>4703</v>
      </c>
      <c r="G1319" s="4" t="s">
        <v>4704</v>
      </c>
      <c r="H1319" s="4" t="s">
        <v>4705</v>
      </c>
      <c r="I1319" s="4" t="s">
        <v>49</v>
      </c>
      <c r="J1319" s="4" t="s">
        <v>1746</v>
      </c>
      <c r="K1319" s="4">
        <v>1</v>
      </c>
      <c r="L1319" s="4">
        <v>14479</v>
      </c>
      <c r="M1319" s="6"/>
      <c r="AK1319" s="7"/>
      <c r="AO1319" s="65" t="s">
        <v>4703</v>
      </c>
      <c r="AP1319" s="4">
        <v>1382</v>
      </c>
      <c r="AQ1319" s="4" t="s">
        <v>1716</v>
      </c>
      <c r="AR1319" s="4" t="s">
        <v>1717</v>
      </c>
      <c r="AS1319" s="4" t="s">
        <v>1718</v>
      </c>
      <c r="AT1319" s="4" t="s">
        <v>1835</v>
      </c>
      <c r="AU1319" s="4" t="s">
        <v>1836</v>
      </c>
      <c r="AW1319" s="4" t="s">
        <v>2368</v>
      </c>
      <c r="AX1319" s="4" t="s">
        <v>2516</v>
      </c>
      <c r="AY1319" s="4">
        <v>49.115600000000001</v>
      </c>
      <c r="AZ1319" s="4">
        <v>-119.6758</v>
      </c>
      <c r="BA1319" s="4">
        <v>1865</v>
      </c>
    </row>
    <row r="1320" spans="1:53" ht="14.25" customHeight="1" x14ac:dyDescent="0.2">
      <c r="A1320" s="4" t="s">
        <v>1908</v>
      </c>
      <c r="B1320" s="4">
        <v>12</v>
      </c>
      <c r="C1320" s="4" t="s">
        <v>7666</v>
      </c>
      <c r="D1320" s="4">
        <v>1383</v>
      </c>
      <c r="E1320" s="4">
        <v>12460</v>
      </c>
      <c r="F1320" s="4" t="s">
        <v>4706</v>
      </c>
      <c r="G1320" s="8" t="s">
        <v>4707</v>
      </c>
      <c r="H1320" s="4" t="s">
        <v>4708</v>
      </c>
      <c r="I1320" s="4" t="s">
        <v>49</v>
      </c>
      <c r="J1320" s="4" t="s">
        <v>1891</v>
      </c>
      <c r="K1320" s="4">
        <v>1</v>
      </c>
      <c r="L1320" s="4">
        <v>14482</v>
      </c>
      <c r="M1320" s="6">
        <v>50.082500000000003</v>
      </c>
      <c r="N1320" s="9">
        <v>-123.04130000000001</v>
      </c>
      <c r="O1320" s="9" t="s">
        <v>183</v>
      </c>
      <c r="P1320" s="9">
        <v>1383</v>
      </c>
      <c r="Q1320" s="20">
        <v>6</v>
      </c>
      <c r="R1320" s="9" t="s">
        <v>4706</v>
      </c>
      <c r="S1320" s="9" t="s">
        <v>1737</v>
      </c>
      <c r="T1320" s="9">
        <v>456</v>
      </c>
      <c r="U1320" s="9"/>
      <c r="V1320" s="9"/>
      <c r="W1320" s="21">
        <v>43691</v>
      </c>
      <c r="X1320" s="9" t="s">
        <v>1738</v>
      </c>
      <c r="AK1320" s="7"/>
      <c r="AO1320" s="4" t="s">
        <v>4706</v>
      </c>
      <c r="AP1320" s="4">
        <v>1383</v>
      </c>
      <c r="AQ1320" s="4" t="s">
        <v>1716</v>
      </c>
      <c r="AR1320" s="4" t="s">
        <v>1739</v>
      </c>
      <c r="AS1320" s="4" t="s">
        <v>1740</v>
      </c>
      <c r="AT1320" s="4" t="s">
        <v>1741</v>
      </c>
      <c r="AU1320" s="4" t="s">
        <v>1772</v>
      </c>
      <c r="AV1320" s="4" t="s">
        <v>1720</v>
      </c>
      <c r="AW1320" s="4" t="s">
        <v>1705</v>
      </c>
      <c r="AX1320" s="4" t="s">
        <v>1706</v>
      </c>
      <c r="AY1320" s="4">
        <v>49.4041</v>
      </c>
      <c r="AZ1320" s="4">
        <v>-124.75839999999999</v>
      </c>
      <c r="BA1320" s="4">
        <v>669</v>
      </c>
    </row>
    <row r="1321" spans="1:53" ht="14.25" customHeight="1" x14ac:dyDescent="0.2">
      <c r="A1321" s="4" t="s">
        <v>422</v>
      </c>
      <c r="B1321" s="4">
        <v>12</v>
      </c>
      <c r="C1321" s="4" t="s">
        <v>7666</v>
      </c>
      <c r="D1321" s="4">
        <v>1384</v>
      </c>
      <c r="E1321" s="4">
        <v>12459</v>
      </c>
      <c r="F1321" s="16" t="s">
        <v>4709</v>
      </c>
      <c r="G1321" s="4" t="s">
        <v>4710</v>
      </c>
      <c r="H1321" s="4" t="s">
        <v>4711</v>
      </c>
      <c r="I1321" s="4" t="s">
        <v>49</v>
      </c>
      <c r="J1321" s="4" t="s">
        <v>1746</v>
      </c>
      <c r="K1321" s="4">
        <v>1</v>
      </c>
      <c r="L1321" s="4">
        <v>14481</v>
      </c>
      <c r="M1321" s="6"/>
      <c r="AK1321" s="7"/>
      <c r="AO1321" s="65" t="s">
        <v>4709</v>
      </c>
      <c r="AP1321" s="4">
        <v>1384</v>
      </c>
      <c r="AQ1321" s="4" t="s">
        <v>1716</v>
      </c>
      <c r="AR1321" s="4" t="s">
        <v>1717</v>
      </c>
      <c r="AS1321" s="4" t="s">
        <v>1718</v>
      </c>
      <c r="AT1321" s="4" t="s">
        <v>1835</v>
      </c>
      <c r="AU1321" s="4" t="s">
        <v>1836</v>
      </c>
      <c r="AV1321" s="4" t="s">
        <v>1720</v>
      </c>
      <c r="AW1321" s="4" t="s">
        <v>2368</v>
      </c>
      <c r="AX1321" s="4" t="s">
        <v>2516</v>
      </c>
      <c r="AY1321" s="4">
        <v>49.238100000000003</v>
      </c>
      <c r="AZ1321" s="4">
        <v>-119.43219999999999</v>
      </c>
      <c r="BA1321" s="4">
        <v>1457</v>
      </c>
    </row>
    <row r="1322" spans="1:53" ht="14.25" customHeight="1" x14ac:dyDescent="0.2">
      <c r="A1322" s="4" t="s">
        <v>422</v>
      </c>
      <c r="B1322" s="4">
        <v>12</v>
      </c>
      <c r="C1322" s="4" t="s">
        <v>7666</v>
      </c>
      <c r="D1322" s="4">
        <v>1385</v>
      </c>
      <c r="E1322" s="4">
        <v>12461</v>
      </c>
      <c r="F1322" s="16" t="s">
        <v>4712</v>
      </c>
      <c r="G1322" s="4" t="s">
        <v>4713</v>
      </c>
      <c r="H1322" s="4" t="s">
        <v>4714</v>
      </c>
      <c r="I1322" s="4" t="s">
        <v>49</v>
      </c>
      <c r="J1322" s="4" t="s">
        <v>1746</v>
      </c>
      <c r="K1322" s="4">
        <v>1</v>
      </c>
      <c r="L1322" s="4">
        <v>14483</v>
      </c>
      <c r="M1322" s="6"/>
      <c r="AK1322" s="7"/>
      <c r="AO1322" s="65" t="s">
        <v>4712</v>
      </c>
      <c r="AP1322" s="4">
        <v>1385</v>
      </c>
      <c r="AQ1322" s="4" t="s">
        <v>1716</v>
      </c>
      <c r="AR1322" s="4" t="s">
        <v>1717</v>
      </c>
      <c r="AS1322" s="4" t="s">
        <v>1718</v>
      </c>
      <c r="AT1322" s="4" t="s">
        <v>1835</v>
      </c>
      <c r="AU1322" s="4" t="s">
        <v>1836</v>
      </c>
      <c r="AW1322" s="4" t="s">
        <v>2368</v>
      </c>
      <c r="AX1322" s="4" t="s">
        <v>2505</v>
      </c>
      <c r="AY1322" s="4">
        <v>51.178100000000001</v>
      </c>
      <c r="AZ1322" s="4">
        <v>-122.0783</v>
      </c>
      <c r="BA1322" s="4">
        <v>500</v>
      </c>
    </row>
    <row r="1323" spans="1:53" ht="14.25" customHeight="1" x14ac:dyDescent="0.2">
      <c r="B1323" s="4">
        <v>12</v>
      </c>
      <c r="C1323" s="4" t="s">
        <v>7666</v>
      </c>
      <c r="D1323" s="4">
        <v>1386</v>
      </c>
      <c r="E1323" s="4">
        <v>12463</v>
      </c>
      <c r="F1323" s="16" t="s">
        <v>4715</v>
      </c>
      <c r="G1323" s="4" t="s">
        <v>4716</v>
      </c>
      <c r="H1323" s="4" t="s">
        <v>4717</v>
      </c>
      <c r="I1323" s="4" t="s">
        <v>49</v>
      </c>
      <c r="J1323" s="4" t="s">
        <v>1746</v>
      </c>
      <c r="K1323" s="4">
        <v>1</v>
      </c>
      <c r="L1323" s="4">
        <v>14485</v>
      </c>
      <c r="M1323" s="6"/>
      <c r="AK1323" s="7"/>
      <c r="AO1323" s="65" t="s">
        <v>4715</v>
      </c>
      <c r="AP1323" s="4">
        <v>1386</v>
      </c>
      <c r="AQ1323" s="4" t="s">
        <v>1716</v>
      </c>
      <c r="AR1323" s="4" t="s">
        <v>1717</v>
      </c>
      <c r="AS1323" s="4" t="s">
        <v>2257</v>
      </c>
      <c r="AT1323" s="4" t="s">
        <v>1835</v>
      </c>
      <c r="AU1323" s="4" t="s">
        <v>1742</v>
      </c>
      <c r="AW1323" s="4" t="s">
        <v>2368</v>
      </c>
      <c r="AX1323" s="4" t="s">
        <v>2522</v>
      </c>
      <c r="AY1323" s="4">
        <v>50.602200000000003</v>
      </c>
      <c r="AZ1323" s="4">
        <v>-118.4229</v>
      </c>
      <c r="BA1323" s="4">
        <v>1200</v>
      </c>
    </row>
    <row r="1324" spans="1:53" ht="14.25" customHeight="1" x14ac:dyDescent="0.2">
      <c r="A1324" s="4" t="s">
        <v>4338</v>
      </c>
      <c r="B1324" s="4">
        <v>12</v>
      </c>
      <c r="C1324" s="8" t="s">
        <v>7674</v>
      </c>
      <c r="D1324" s="4">
        <v>1387</v>
      </c>
      <c r="E1324" s="4">
        <v>12464</v>
      </c>
      <c r="F1324" s="4" t="s">
        <v>4718</v>
      </c>
      <c r="G1324" s="8" t="s">
        <v>4719</v>
      </c>
      <c r="H1324" s="4" t="s">
        <v>4720</v>
      </c>
      <c r="I1324" s="4" t="s">
        <v>49</v>
      </c>
      <c r="J1324" s="4" t="s">
        <v>1829</v>
      </c>
      <c r="K1324" s="4">
        <v>1</v>
      </c>
      <c r="L1324" s="4">
        <v>14486</v>
      </c>
      <c r="M1324" s="6"/>
      <c r="AK1324" s="7"/>
      <c r="AO1324" s="4" t="s">
        <v>4718</v>
      </c>
      <c r="AP1324" s="4">
        <v>1387</v>
      </c>
      <c r="AQ1324" s="4" t="s">
        <v>3003</v>
      </c>
      <c r="AR1324" s="4" t="s">
        <v>1739</v>
      </c>
      <c r="AS1324" s="4" t="s">
        <v>1740</v>
      </c>
      <c r="AT1324" s="4" t="s">
        <v>1835</v>
      </c>
      <c r="AU1324" s="4" t="s">
        <v>1742</v>
      </c>
      <c r="AV1324" s="4" t="s">
        <v>1720</v>
      </c>
      <c r="AW1324" s="4" t="s">
        <v>2193</v>
      </c>
      <c r="AX1324" s="4" t="s">
        <v>2283</v>
      </c>
      <c r="AY1324" s="4">
        <v>51.3735</v>
      </c>
      <c r="AZ1324" s="4">
        <v>-125.1645</v>
      </c>
      <c r="BA1324" s="4">
        <v>2712</v>
      </c>
    </row>
    <row r="1325" spans="1:53" ht="14.25" customHeight="1" x14ac:dyDescent="0.2">
      <c r="A1325" s="4" t="s">
        <v>422</v>
      </c>
      <c r="B1325" s="4">
        <v>12</v>
      </c>
      <c r="C1325" s="4" t="s">
        <v>7666</v>
      </c>
      <c r="D1325" s="4">
        <v>1389</v>
      </c>
      <c r="E1325" s="4">
        <v>13021</v>
      </c>
      <c r="F1325" s="49" t="s">
        <v>4721</v>
      </c>
      <c r="G1325" s="4" t="s">
        <v>127</v>
      </c>
      <c r="H1325" s="4" t="s">
        <v>4722</v>
      </c>
      <c r="I1325" s="4" t="s">
        <v>49</v>
      </c>
      <c r="J1325" s="4" t="s">
        <v>1746</v>
      </c>
      <c r="K1325" s="4">
        <v>1</v>
      </c>
      <c r="L1325" s="4">
        <v>14953</v>
      </c>
      <c r="M1325" s="6"/>
      <c r="AK1325" s="7"/>
      <c r="AO1325" s="4" t="s">
        <v>4723</v>
      </c>
      <c r="AP1325" s="4">
        <v>1389</v>
      </c>
      <c r="AQ1325" s="4" t="s">
        <v>1716</v>
      </c>
      <c r="AR1325" s="4" t="s">
        <v>1717</v>
      </c>
      <c r="AS1325" s="4" t="s">
        <v>1740</v>
      </c>
      <c r="AT1325" s="4" t="s">
        <v>1835</v>
      </c>
      <c r="AU1325" s="4" t="s">
        <v>1742</v>
      </c>
      <c r="AV1325" s="4" t="s">
        <v>1720</v>
      </c>
      <c r="AW1325" s="4" t="s">
        <v>2698</v>
      </c>
      <c r="AX1325" s="4" t="s">
        <v>2902</v>
      </c>
      <c r="AY1325" s="4">
        <v>49.833100000000002</v>
      </c>
      <c r="AZ1325" s="4">
        <v>-114.8823</v>
      </c>
      <c r="BA1325" s="4">
        <v>1172</v>
      </c>
    </row>
    <row r="1326" spans="1:53" ht="14.25" customHeight="1" x14ac:dyDescent="0.2">
      <c r="B1326" s="4">
        <v>12</v>
      </c>
      <c r="C1326" s="4" t="s">
        <v>7666</v>
      </c>
      <c r="D1326" s="4">
        <v>1390</v>
      </c>
      <c r="E1326" s="4">
        <v>12522</v>
      </c>
      <c r="F1326" s="16" t="s">
        <v>4724</v>
      </c>
      <c r="G1326" s="4" t="s">
        <v>4725</v>
      </c>
      <c r="H1326" s="4" t="s">
        <v>4726</v>
      </c>
      <c r="I1326" s="4" t="s">
        <v>49</v>
      </c>
      <c r="J1326" s="4" t="s">
        <v>1746</v>
      </c>
      <c r="K1326" s="4">
        <v>1</v>
      </c>
      <c r="L1326" s="4">
        <v>14544</v>
      </c>
      <c r="M1326" s="6"/>
      <c r="AK1326" s="7"/>
      <c r="AO1326" s="65" t="s">
        <v>4724</v>
      </c>
      <c r="AP1326" s="4">
        <v>1390</v>
      </c>
      <c r="AQ1326" s="4" t="s">
        <v>1716</v>
      </c>
      <c r="AR1326" s="4" t="s">
        <v>1717</v>
      </c>
      <c r="AS1326" s="4" t="s">
        <v>1718</v>
      </c>
      <c r="AT1326" s="4" t="s">
        <v>1835</v>
      </c>
      <c r="AU1326" s="4" t="s">
        <v>1836</v>
      </c>
      <c r="AW1326" s="4" t="s">
        <v>2698</v>
      </c>
      <c r="AX1326" s="4" t="s">
        <v>2902</v>
      </c>
      <c r="AY1326" s="4">
        <v>49.833100000000002</v>
      </c>
      <c r="AZ1326" s="4">
        <v>-114.8823</v>
      </c>
      <c r="BA1326" s="4">
        <v>1172</v>
      </c>
    </row>
    <row r="1327" spans="1:53" ht="14.25" customHeight="1" x14ac:dyDescent="0.2">
      <c r="B1327" s="4">
        <v>12</v>
      </c>
      <c r="C1327" s="4" t="s">
        <v>7666</v>
      </c>
      <c r="D1327" s="4">
        <v>1392</v>
      </c>
      <c r="E1327" s="4">
        <v>12523</v>
      </c>
      <c r="F1327" s="4" t="s">
        <v>4727</v>
      </c>
      <c r="G1327" s="4" t="s">
        <v>4728</v>
      </c>
      <c r="H1327" s="4" t="s">
        <v>4729</v>
      </c>
      <c r="I1327" s="4" t="s">
        <v>49</v>
      </c>
      <c r="J1327" s="4" t="s">
        <v>1746</v>
      </c>
      <c r="K1327" s="4">
        <v>1</v>
      </c>
      <c r="L1327" s="4">
        <v>14545</v>
      </c>
      <c r="M1327" s="6"/>
      <c r="AK1327" s="7"/>
      <c r="AO1327" s="4" t="s">
        <v>4727</v>
      </c>
      <c r="AP1327" s="4">
        <v>1392</v>
      </c>
      <c r="AQ1327" s="4" t="s">
        <v>1716</v>
      </c>
      <c r="AR1327" s="4" t="s">
        <v>1739</v>
      </c>
      <c r="AS1327" s="4" t="s">
        <v>1740</v>
      </c>
      <c r="AT1327" s="4" t="s">
        <v>1835</v>
      </c>
      <c r="AU1327" s="4" t="s">
        <v>1742</v>
      </c>
      <c r="AV1327" s="4" t="s">
        <v>1720</v>
      </c>
      <c r="AW1327" s="4" t="s">
        <v>2368</v>
      </c>
      <c r="AX1327" s="4" t="s">
        <v>2492</v>
      </c>
      <c r="AY1327" s="4">
        <v>49.555700000000002</v>
      </c>
      <c r="AZ1327" s="4">
        <v>-120.17319999999999</v>
      </c>
      <c r="BA1327" s="4">
        <v>1595</v>
      </c>
    </row>
    <row r="1328" spans="1:53" ht="14.25" customHeight="1" x14ac:dyDescent="0.2">
      <c r="A1328" s="4" t="s">
        <v>2037</v>
      </c>
      <c r="B1328" s="4">
        <v>12</v>
      </c>
      <c r="C1328" s="4" t="s">
        <v>7666</v>
      </c>
      <c r="D1328" s="4">
        <v>1396</v>
      </c>
      <c r="E1328" s="4">
        <v>12524</v>
      </c>
      <c r="F1328" s="4" t="s">
        <v>4730</v>
      </c>
      <c r="G1328" s="4" t="s">
        <v>4731</v>
      </c>
      <c r="H1328" s="4" t="s">
        <v>4732</v>
      </c>
      <c r="I1328" s="4" t="s">
        <v>49</v>
      </c>
      <c r="J1328" s="4" t="s">
        <v>1746</v>
      </c>
      <c r="K1328" s="4">
        <v>1</v>
      </c>
      <c r="L1328" s="4">
        <v>14546</v>
      </c>
      <c r="M1328" s="6"/>
      <c r="AE1328" s="4" t="s">
        <v>4733</v>
      </c>
      <c r="AK1328" s="7"/>
      <c r="AO1328" s="4" t="s">
        <v>4734</v>
      </c>
      <c r="AP1328" s="4">
        <v>1396</v>
      </c>
      <c r="AQ1328" s="4" t="s">
        <v>1716</v>
      </c>
      <c r="AR1328" s="4" t="s">
        <v>1717</v>
      </c>
      <c r="AS1328" s="4" t="s">
        <v>1740</v>
      </c>
      <c r="AT1328" s="4" t="s">
        <v>1835</v>
      </c>
      <c r="AU1328" s="4" t="s">
        <v>1742</v>
      </c>
      <c r="AV1328" s="4" t="s">
        <v>1720</v>
      </c>
      <c r="AW1328" s="4" t="s">
        <v>2368</v>
      </c>
      <c r="AX1328" s="4" t="s">
        <v>2516</v>
      </c>
      <c r="AY1328" s="4">
        <v>49.435200000000002</v>
      </c>
      <c r="AZ1328" s="4">
        <v>-119.99760000000001</v>
      </c>
      <c r="BA1328" s="4">
        <v>1716</v>
      </c>
    </row>
    <row r="1329" spans="1:53" ht="14.25" customHeight="1" x14ac:dyDescent="0.2">
      <c r="A1329" s="4" t="s">
        <v>422</v>
      </c>
      <c r="B1329" s="4">
        <v>12</v>
      </c>
      <c r="C1329" s="4" t="s">
        <v>7666</v>
      </c>
      <c r="D1329" s="4">
        <v>1397</v>
      </c>
      <c r="E1329" s="4">
        <v>12525</v>
      </c>
      <c r="F1329" s="16" t="s">
        <v>4735</v>
      </c>
      <c r="G1329" s="4" t="s">
        <v>4736</v>
      </c>
      <c r="H1329" s="4" t="s">
        <v>4737</v>
      </c>
      <c r="I1329" s="4" t="s">
        <v>49</v>
      </c>
      <c r="J1329" s="4" t="s">
        <v>1746</v>
      </c>
      <c r="K1329" s="4">
        <v>1</v>
      </c>
      <c r="L1329" s="4">
        <v>14547</v>
      </c>
      <c r="M1329" s="6"/>
      <c r="AK1329" s="7"/>
      <c r="AO1329" s="65" t="s">
        <v>4735</v>
      </c>
      <c r="AP1329" s="4">
        <v>1397</v>
      </c>
      <c r="AQ1329" s="4" t="s">
        <v>1716</v>
      </c>
      <c r="AR1329" s="4" t="s">
        <v>1717</v>
      </c>
      <c r="AS1329" s="4" t="s">
        <v>1718</v>
      </c>
      <c r="AT1329" s="4" t="s">
        <v>1835</v>
      </c>
      <c r="AU1329" s="4" t="s">
        <v>1836</v>
      </c>
      <c r="AV1329" s="4" t="s">
        <v>1720</v>
      </c>
      <c r="AW1329" s="4" t="s">
        <v>1947</v>
      </c>
      <c r="AX1329" s="4" t="s">
        <v>1973</v>
      </c>
      <c r="AY1329" s="4">
        <v>54.473799999999997</v>
      </c>
      <c r="AZ1329" s="4">
        <v>-128.58189999999999</v>
      </c>
      <c r="BA1329" s="4">
        <v>220</v>
      </c>
    </row>
    <row r="1330" spans="1:53" ht="14.25" customHeight="1" x14ac:dyDescent="0.2">
      <c r="A1330" s="4" t="s">
        <v>1908</v>
      </c>
      <c r="B1330" s="4">
        <v>12</v>
      </c>
      <c r="C1330" s="4" t="s">
        <v>7666</v>
      </c>
      <c r="D1330" s="4">
        <v>1398</v>
      </c>
      <c r="E1330" s="4">
        <v>12526</v>
      </c>
      <c r="F1330" s="4" t="s">
        <v>4738</v>
      </c>
      <c r="G1330" s="8" t="s">
        <v>4739</v>
      </c>
      <c r="H1330" s="4" t="s">
        <v>4740</v>
      </c>
      <c r="I1330" s="4" t="s">
        <v>49</v>
      </c>
      <c r="J1330" s="4" t="s">
        <v>1746</v>
      </c>
      <c r="K1330" s="4">
        <v>1</v>
      </c>
      <c r="L1330" s="4">
        <v>14548</v>
      </c>
      <c r="M1330" s="6">
        <v>49.207500000000003</v>
      </c>
      <c r="N1330" s="4">
        <v>-125.12179999999999</v>
      </c>
      <c r="O1330" s="4" t="s">
        <v>51</v>
      </c>
      <c r="P1330" s="4">
        <v>1398</v>
      </c>
      <c r="Q1330" s="4">
        <v>3</v>
      </c>
      <c r="R1330" s="4" t="s">
        <v>4738</v>
      </c>
      <c r="S1330" s="4" t="s">
        <v>4045</v>
      </c>
      <c r="T1330" s="4">
        <v>354</v>
      </c>
      <c r="W1330" s="4">
        <v>44039</v>
      </c>
      <c r="X1330" s="4" t="s">
        <v>1738</v>
      </c>
      <c r="AK1330" s="7"/>
      <c r="AO1330" s="4" t="s">
        <v>4738</v>
      </c>
      <c r="AP1330" s="4">
        <v>1398</v>
      </c>
      <c r="AQ1330" s="4" t="s">
        <v>1716</v>
      </c>
      <c r="AR1330" s="4" t="s">
        <v>1739</v>
      </c>
      <c r="AS1330" s="4" t="s">
        <v>1740</v>
      </c>
      <c r="AT1330" s="4" t="s">
        <v>1741</v>
      </c>
      <c r="AU1330" s="4" t="s">
        <v>1742</v>
      </c>
      <c r="AV1330" s="4" t="s">
        <v>1720</v>
      </c>
      <c r="AW1330" s="4" t="s">
        <v>1705</v>
      </c>
      <c r="AX1330" s="4" t="s">
        <v>1706</v>
      </c>
      <c r="AY1330" s="4">
        <v>49.207500000000003</v>
      </c>
      <c r="AZ1330" s="4">
        <v>-125.12179999999999</v>
      </c>
      <c r="BA1330" s="4">
        <v>354</v>
      </c>
    </row>
    <row r="1331" spans="1:53" ht="14.25" customHeight="1" x14ac:dyDescent="0.2">
      <c r="A1331" s="4" t="s">
        <v>2037</v>
      </c>
      <c r="B1331" s="4">
        <v>12</v>
      </c>
      <c r="C1331" s="4" t="s">
        <v>7666</v>
      </c>
      <c r="D1331" s="4">
        <v>1399</v>
      </c>
      <c r="E1331" s="4">
        <v>12622</v>
      </c>
      <c r="F1331" s="4" t="s">
        <v>4741</v>
      </c>
      <c r="G1331" s="4" t="s">
        <v>4742</v>
      </c>
      <c r="H1331" s="4" t="s">
        <v>4743</v>
      </c>
      <c r="I1331" s="4" t="s">
        <v>49</v>
      </c>
      <c r="J1331" s="4" t="s">
        <v>1746</v>
      </c>
      <c r="K1331" s="4">
        <v>1</v>
      </c>
      <c r="L1331" s="4">
        <v>14644</v>
      </c>
      <c r="M1331" s="6">
        <v>50.087449999999997</v>
      </c>
      <c r="N1331" s="4">
        <v>-120.74572999999999</v>
      </c>
      <c r="O1331" s="4" t="s">
        <v>142</v>
      </c>
      <c r="P1331" s="4">
        <v>294</v>
      </c>
      <c r="Q1331" s="4">
        <v>1</v>
      </c>
      <c r="R1331" s="4" t="s">
        <v>4744</v>
      </c>
      <c r="S1331" s="4" t="s">
        <v>1737</v>
      </c>
      <c r="T1331" s="4">
        <v>640</v>
      </c>
      <c r="U1331" s="4" t="s">
        <v>645</v>
      </c>
      <c r="W1331" s="4">
        <v>28491</v>
      </c>
      <c r="X1331" s="4" t="s">
        <v>1738</v>
      </c>
      <c r="AK1331" s="7"/>
      <c r="AO1331" s="53" t="s">
        <v>4741</v>
      </c>
      <c r="AP1331" s="4">
        <v>1399</v>
      </c>
      <c r="AQ1331" s="4" t="s">
        <v>1700</v>
      </c>
      <c r="AR1331" s="4" t="s">
        <v>1739</v>
      </c>
      <c r="AS1331" s="4" t="s">
        <v>1740</v>
      </c>
      <c r="AT1331" s="4" t="s">
        <v>1741</v>
      </c>
      <c r="AU1331" s="4" t="s">
        <v>1772</v>
      </c>
      <c r="AV1331" s="4" t="s">
        <v>1720</v>
      </c>
      <c r="AW1331" s="4" t="s">
        <v>2368</v>
      </c>
      <c r="AX1331" s="4" t="s">
        <v>2492</v>
      </c>
      <c r="AY1331" s="4">
        <v>50.121400000000001</v>
      </c>
      <c r="AZ1331" s="4">
        <v>-120.74420000000001</v>
      </c>
      <c r="BA1331" s="4">
        <v>640</v>
      </c>
    </row>
    <row r="1332" spans="1:53" ht="14.25" customHeight="1" x14ac:dyDescent="0.2">
      <c r="A1332" s="4" t="s">
        <v>422</v>
      </c>
      <c r="B1332" s="4">
        <v>12</v>
      </c>
      <c r="C1332" s="4" t="s">
        <v>7666</v>
      </c>
      <c r="D1332" s="4">
        <v>1400</v>
      </c>
      <c r="E1332" s="4">
        <v>12612</v>
      </c>
      <c r="F1332" s="16" t="s">
        <v>4745</v>
      </c>
      <c r="G1332" s="4" t="s">
        <v>4746</v>
      </c>
      <c r="H1332" s="4" t="s">
        <v>4747</v>
      </c>
      <c r="I1332" s="4" t="s">
        <v>49</v>
      </c>
      <c r="J1332" s="4" t="s">
        <v>1746</v>
      </c>
      <c r="K1332" s="4">
        <v>1</v>
      </c>
      <c r="L1332" s="4">
        <v>14634</v>
      </c>
      <c r="M1332" s="6"/>
      <c r="AK1332" s="7"/>
      <c r="AO1332" s="65" t="s">
        <v>4745</v>
      </c>
      <c r="AP1332" s="4">
        <v>1400</v>
      </c>
      <c r="AQ1332" s="4" t="s">
        <v>1716</v>
      </c>
      <c r="AR1332" s="4" t="s">
        <v>2441</v>
      </c>
      <c r="AS1332" s="4" t="s">
        <v>1718</v>
      </c>
      <c r="AT1332" s="4" t="s">
        <v>1835</v>
      </c>
      <c r="AU1332" s="4" t="s">
        <v>1836</v>
      </c>
      <c r="AV1332" s="4" t="s">
        <v>1720</v>
      </c>
      <c r="AW1332" s="4" t="s">
        <v>2698</v>
      </c>
      <c r="AX1332" s="4" t="s">
        <v>2801</v>
      </c>
      <c r="AY1332" s="4">
        <v>50.333399999999997</v>
      </c>
      <c r="AZ1332" s="4">
        <v>-116.8502</v>
      </c>
      <c r="BA1332" s="4">
        <v>1100</v>
      </c>
    </row>
    <row r="1333" spans="1:53" ht="14.25" customHeight="1" x14ac:dyDescent="0.2">
      <c r="A1333" s="4" t="s">
        <v>422</v>
      </c>
      <c r="B1333" s="4">
        <v>12</v>
      </c>
      <c r="C1333" s="4" t="s">
        <v>7666</v>
      </c>
      <c r="D1333" s="4">
        <v>1401</v>
      </c>
      <c r="E1333" s="4">
        <v>12623</v>
      </c>
      <c r="F1333" s="16" t="s">
        <v>4748</v>
      </c>
      <c r="G1333" s="4" t="s">
        <v>4749</v>
      </c>
      <c r="H1333" s="4" t="s">
        <v>4750</v>
      </c>
      <c r="I1333" s="4" t="s">
        <v>49</v>
      </c>
      <c r="J1333" s="4" t="s">
        <v>1746</v>
      </c>
      <c r="K1333" s="4">
        <v>1</v>
      </c>
      <c r="L1333" s="4">
        <v>14645</v>
      </c>
      <c r="M1333" s="6"/>
      <c r="AK1333" s="7"/>
      <c r="AO1333" s="4" t="s">
        <v>4748</v>
      </c>
      <c r="AP1333" s="4">
        <v>1401</v>
      </c>
      <c r="AQ1333" s="4" t="s">
        <v>1716</v>
      </c>
      <c r="AR1333" s="4" t="s">
        <v>1717</v>
      </c>
      <c r="AS1333" s="4" t="s">
        <v>2257</v>
      </c>
      <c r="AT1333" s="4" t="s">
        <v>1835</v>
      </c>
      <c r="AU1333" s="4" t="s">
        <v>1836</v>
      </c>
      <c r="AW1333" s="4" t="s">
        <v>2368</v>
      </c>
      <c r="AX1333" s="4" t="s">
        <v>2369</v>
      </c>
      <c r="AY1333" s="4">
        <v>50.673299999999998</v>
      </c>
      <c r="AZ1333" s="4">
        <v>-120.4817</v>
      </c>
      <c r="BA1333" s="4">
        <v>780</v>
      </c>
    </row>
    <row r="1334" spans="1:53" ht="14.25" customHeight="1" x14ac:dyDescent="0.2">
      <c r="A1334" s="4" t="s">
        <v>422</v>
      </c>
      <c r="B1334" s="4">
        <v>12</v>
      </c>
      <c r="C1334" s="4" t="s">
        <v>7666</v>
      </c>
      <c r="D1334" s="4">
        <v>1402</v>
      </c>
      <c r="E1334" s="4">
        <v>12624</v>
      </c>
      <c r="F1334" s="16" t="s">
        <v>4751</v>
      </c>
      <c r="G1334" s="4" t="s">
        <v>4752</v>
      </c>
      <c r="H1334" s="4" t="s">
        <v>4753</v>
      </c>
      <c r="I1334" s="4" t="s">
        <v>49</v>
      </c>
      <c r="J1334" s="4" t="s">
        <v>1746</v>
      </c>
      <c r="K1334" s="4">
        <v>1</v>
      </c>
      <c r="L1334" s="4">
        <v>14646</v>
      </c>
      <c r="M1334" s="6"/>
      <c r="AK1334" s="7"/>
      <c r="AO1334" s="65" t="s">
        <v>4751</v>
      </c>
      <c r="AP1334" s="4">
        <v>1402</v>
      </c>
      <c r="AQ1334" s="4" t="s">
        <v>1716</v>
      </c>
      <c r="AR1334" s="4" t="s">
        <v>1717</v>
      </c>
      <c r="AS1334" s="4" t="s">
        <v>1718</v>
      </c>
      <c r="AT1334" s="4" t="s">
        <v>1835</v>
      </c>
      <c r="AU1334" s="4" t="s">
        <v>1836</v>
      </c>
      <c r="AV1334" s="4" t="s">
        <v>1720</v>
      </c>
      <c r="AW1334" s="4" t="s">
        <v>2698</v>
      </c>
      <c r="AX1334" s="4" t="s">
        <v>2801</v>
      </c>
      <c r="AY1334" s="4">
        <v>49.533499999999997</v>
      </c>
      <c r="AZ1334" s="4">
        <v>-117.2423</v>
      </c>
      <c r="BA1334" s="4">
        <v>817</v>
      </c>
    </row>
    <row r="1335" spans="1:53" ht="14.25" customHeight="1" x14ac:dyDescent="0.2">
      <c r="A1335" s="4" t="s">
        <v>1908</v>
      </c>
      <c r="B1335" s="4">
        <v>12</v>
      </c>
      <c r="C1335" s="4" t="s">
        <v>7666</v>
      </c>
      <c r="D1335" s="4">
        <v>1403</v>
      </c>
      <c r="E1335" s="4">
        <v>12952</v>
      </c>
      <c r="F1335" s="10" t="s">
        <v>4754</v>
      </c>
      <c r="G1335" s="8" t="s">
        <v>4755</v>
      </c>
      <c r="H1335" s="4" t="s">
        <v>4756</v>
      </c>
      <c r="I1335" s="4" t="s">
        <v>49</v>
      </c>
      <c r="J1335" s="4" t="s">
        <v>1746</v>
      </c>
      <c r="K1335" s="4">
        <v>1</v>
      </c>
      <c r="L1335" s="4">
        <v>14884</v>
      </c>
      <c r="M1335" s="6"/>
      <c r="AK1335" s="7"/>
      <c r="AO1335" s="4" t="s">
        <v>4757</v>
      </c>
      <c r="AP1335" s="4">
        <v>1403</v>
      </c>
      <c r="AQ1335" s="4" t="s">
        <v>1716</v>
      </c>
      <c r="AR1335" s="4" t="s">
        <v>1717</v>
      </c>
      <c r="AS1335" s="4" t="s">
        <v>1740</v>
      </c>
      <c r="AT1335" s="4" t="s">
        <v>1835</v>
      </c>
      <c r="AU1335" s="4" t="s">
        <v>1742</v>
      </c>
      <c r="AV1335" s="4" t="s">
        <v>1720</v>
      </c>
      <c r="AW1335" s="4" t="s">
        <v>2368</v>
      </c>
      <c r="AX1335" s="4" t="s">
        <v>2505</v>
      </c>
      <c r="AY1335" s="4">
        <v>51.220999999999997</v>
      </c>
      <c r="AZ1335" s="4">
        <v>-122.1574</v>
      </c>
      <c r="BA1335" s="4">
        <v>455</v>
      </c>
    </row>
    <row r="1336" spans="1:53" ht="14.25" customHeight="1" x14ac:dyDescent="0.2">
      <c r="A1336" s="4" t="s">
        <v>422</v>
      </c>
      <c r="B1336" s="4">
        <v>12</v>
      </c>
      <c r="C1336" s="4" t="s">
        <v>7666</v>
      </c>
      <c r="D1336" s="4">
        <v>1404</v>
      </c>
      <c r="E1336" s="4">
        <v>12953</v>
      </c>
      <c r="G1336" s="4" t="s">
        <v>127</v>
      </c>
      <c r="H1336" s="4" t="s">
        <v>4758</v>
      </c>
      <c r="I1336" s="4" t="s">
        <v>49</v>
      </c>
      <c r="J1336" s="4" t="s">
        <v>1746</v>
      </c>
      <c r="K1336" s="4">
        <v>1</v>
      </c>
      <c r="L1336" s="4">
        <v>14885</v>
      </c>
      <c r="M1336" s="6"/>
      <c r="AK1336" s="7"/>
      <c r="AO1336" s="4" t="s">
        <v>4759</v>
      </c>
      <c r="AP1336" s="4">
        <v>1404</v>
      </c>
      <c r="AQ1336" s="4" t="s">
        <v>1716</v>
      </c>
      <c r="AR1336" s="4" t="s">
        <v>1717</v>
      </c>
      <c r="AS1336" s="4" t="s">
        <v>1718</v>
      </c>
      <c r="AT1336" s="4" t="s">
        <v>1835</v>
      </c>
      <c r="AU1336" s="4" t="s">
        <v>1836</v>
      </c>
      <c r="AV1336" s="4" t="s">
        <v>1720</v>
      </c>
      <c r="AW1336" s="4" t="s">
        <v>2698</v>
      </c>
      <c r="AX1336" s="4" t="s">
        <v>2801</v>
      </c>
      <c r="AY1336" s="4">
        <v>49.143099999999997</v>
      </c>
      <c r="AZ1336" s="4">
        <v>-116.52249999999999</v>
      </c>
      <c r="BA1336" s="4">
        <v>894</v>
      </c>
    </row>
    <row r="1337" spans="1:53" ht="14.25" customHeight="1" x14ac:dyDescent="0.2">
      <c r="A1337" s="4" t="s">
        <v>422</v>
      </c>
      <c r="B1337" s="4">
        <v>12</v>
      </c>
      <c r="C1337" s="4" t="s">
        <v>7666</v>
      </c>
      <c r="D1337" s="4">
        <v>1407</v>
      </c>
      <c r="E1337" s="4">
        <v>12955</v>
      </c>
      <c r="G1337" s="4" t="s">
        <v>127</v>
      </c>
      <c r="H1337" s="4" t="s">
        <v>4760</v>
      </c>
      <c r="I1337" s="4" t="s">
        <v>49</v>
      </c>
      <c r="J1337" s="4" t="s">
        <v>1746</v>
      </c>
      <c r="K1337" s="4">
        <v>1</v>
      </c>
      <c r="L1337" s="4">
        <v>14887</v>
      </c>
      <c r="M1337" s="6"/>
      <c r="AK1337" s="7"/>
      <c r="AO1337" s="4" t="s">
        <v>4761</v>
      </c>
      <c r="AP1337" s="4">
        <v>1407</v>
      </c>
      <c r="AQ1337" s="4" t="s">
        <v>1716</v>
      </c>
      <c r="AR1337" s="4" t="s">
        <v>1717</v>
      </c>
      <c r="AS1337" s="4" t="s">
        <v>1718</v>
      </c>
      <c r="AT1337" s="4" t="s">
        <v>1835</v>
      </c>
      <c r="AU1337" s="4" t="s">
        <v>1836</v>
      </c>
      <c r="AW1337" s="4" t="s">
        <v>2368</v>
      </c>
      <c r="AX1337" s="4" t="s">
        <v>2516</v>
      </c>
      <c r="AY1337" s="4">
        <v>49.143099999999997</v>
      </c>
      <c r="AZ1337" s="4">
        <v>-120.0294</v>
      </c>
      <c r="BA1337" s="4">
        <v>757</v>
      </c>
    </row>
    <row r="1338" spans="1:53" ht="14.25" customHeight="1" x14ac:dyDescent="0.2">
      <c r="A1338" s="4" t="s">
        <v>1908</v>
      </c>
      <c r="B1338" s="4">
        <v>12</v>
      </c>
      <c r="C1338" s="4" t="s">
        <v>7666</v>
      </c>
      <c r="D1338" s="4">
        <v>1408</v>
      </c>
      <c r="E1338" s="4">
        <v>12957</v>
      </c>
      <c r="F1338" s="10" t="s">
        <v>4762</v>
      </c>
      <c r="G1338" s="8" t="s">
        <v>4763</v>
      </c>
      <c r="H1338" s="4" t="s">
        <v>4764</v>
      </c>
      <c r="I1338" s="4" t="s">
        <v>49</v>
      </c>
      <c r="J1338" s="4" t="s">
        <v>1746</v>
      </c>
      <c r="K1338" s="4">
        <v>1</v>
      </c>
      <c r="L1338" s="4">
        <v>14889</v>
      </c>
      <c r="M1338" s="6">
        <v>50.171100000000003</v>
      </c>
      <c r="N1338" s="4">
        <v>-125.5757</v>
      </c>
      <c r="O1338" s="4" t="s">
        <v>51</v>
      </c>
      <c r="P1338" s="4">
        <v>1408</v>
      </c>
      <c r="Q1338" s="4">
        <v>2</v>
      </c>
      <c r="R1338" s="4" t="s">
        <v>4765</v>
      </c>
      <c r="S1338" s="4" t="s">
        <v>4045</v>
      </c>
      <c r="T1338" s="4">
        <v>289</v>
      </c>
      <c r="W1338" s="4">
        <v>44277</v>
      </c>
      <c r="X1338" s="4" t="s">
        <v>1738</v>
      </c>
      <c r="AK1338" s="7"/>
      <c r="AO1338" s="4" t="s">
        <v>4765</v>
      </c>
      <c r="AP1338" s="4">
        <v>1408</v>
      </c>
      <c r="AQ1338" s="4" t="s">
        <v>1716</v>
      </c>
      <c r="AR1338" s="4" t="s">
        <v>1739</v>
      </c>
      <c r="AS1338" s="4" t="s">
        <v>1740</v>
      </c>
      <c r="AT1338" s="4" t="s">
        <v>1741</v>
      </c>
      <c r="AU1338" s="4" t="s">
        <v>1742</v>
      </c>
      <c r="AV1338" s="4" t="s">
        <v>1720</v>
      </c>
      <c r="AW1338" s="4" t="s">
        <v>1705</v>
      </c>
      <c r="AX1338" s="4" t="s">
        <v>1723</v>
      </c>
      <c r="AY1338" s="4">
        <v>50.171100000000003</v>
      </c>
      <c r="AZ1338" s="4">
        <v>-125.5757</v>
      </c>
      <c r="BA1338" s="4">
        <v>289</v>
      </c>
    </row>
    <row r="1339" spans="1:53" ht="14.25" customHeight="1" x14ac:dyDescent="0.2">
      <c r="A1339" s="4" t="s">
        <v>422</v>
      </c>
      <c r="B1339" s="4">
        <v>12</v>
      </c>
      <c r="C1339" s="4" t="s">
        <v>7666</v>
      </c>
      <c r="D1339" s="4">
        <v>1409</v>
      </c>
      <c r="E1339" s="4">
        <v>12958</v>
      </c>
      <c r="G1339" s="4" t="s">
        <v>127</v>
      </c>
      <c r="H1339" s="4" t="s">
        <v>4766</v>
      </c>
      <c r="I1339" s="4" t="s">
        <v>49</v>
      </c>
      <c r="J1339" s="4" t="s">
        <v>1746</v>
      </c>
      <c r="K1339" s="4">
        <v>1</v>
      </c>
      <c r="L1339" s="4">
        <v>14890</v>
      </c>
      <c r="M1339" s="6"/>
      <c r="AK1339" s="7"/>
      <c r="AO1339" s="4" t="s">
        <v>4767</v>
      </c>
      <c r="AP1339" s="4">
        <v>1409</v>
      </c>
      <c r="AQ1339" s="4" t="s">
        <v>1716</v>
      </c>
      <c r="AR1339" s="4" t="s">
        <v>1717</v>
      </c>
      <c r="AS1339" s="4" t="s">
        <v>1718</v>
      </c>
      <c r="AT1339" s="4" t="s">
        <v>1835</v>
      </c>
      <c r="AU1339" s="4" t="s">
        <v>1836</v>
      </c>
      <c r="AV1339" s="4" t="s">
        <v>1720</v>
      </c>
      <c r="AY1339" s="4">
        <v>49.888599999999997</v>
      </c>
      <c r="AZ1339" s="4">
        <v>-115.648</v>
      </c>
      <c r="BA1339" s="4">
        <v>1041</v>
      </c>
    </row>
    <row r="1340" spans="1:53" ht="14.25" customHeight="1" x14ac:dyDescent="0.2">
      <c r="A1340" s="4" t="s">
        <v>422</v>
      </c>
      <c r="B1340" s="4">
        <v>12</v>
      </c>
      <c r="C1340" s="4" t="s">
        <v>7666</v>
      </c>
      <c r="D1340" s="4">
        <v>1410</v>
      </c>
      <c r="E1340" s="4">
        <v>12959</v>
      </c>
      <c r="G1340" s="4" t="s">
        <v>127</v>
      </c>
      <c r="H1340" s="4" t="s">
        <v>4768</v>
      </c>
      <c r="I1340" s="4" t="s">
        <v>49</v>
      </c>
      <c r="J1340" s="4" t="s">
        <v>1746</v>
      </c>
      <c r="K1340" s="4">
        <v>1</v>
      </c>
      <c r="L1340" s="4">
        <v>14891</v>
      </c>
      <c r="M1340" s="6"/>
      <c r="AK1340" s="7"/>
      <c r="AO1340" s="4" t="s">
        <v>4769</v>
      </c>
      <c r="AP1340" s="4">
        <v>1410</v>
      </c>
      <c r="AQ1340" s="4" t="s">
        <v>1716</v>
      </c>
      <c r="AR1340" s="4" t="s">
        <v>1717</v>
      </c>
      <c r="AS1340" s="4" t="s">
        <v>1740</v>
      </c>
      <c r="AT1340" s="4" t="s">
        <v>1835</v>
      </c>
      <c r="AU1340" s="4" t="s">
        <v>1742</v>
      </c>
      <c r="AV1340" s="4" t="s">
        <v>1720</v>
      </c>
      <c r="AW1340" s="4" t="s">
        <v>1705</v>
      </c>
      <c r="AX1340" s="4" t="s">
        <v>1883</v>
      </c>
      <c r="AY1340" s="4">
        <v>49.014899999999997</v>
      </c>
      <c r="AZ1340" s="4">
        <v>-121.07170000000001</v>
      </c>
      <c r="BA1340" s="4">
        <v>0</v>
      </c>
    </row>
    <row r="1341" spans="1:53" ht="14.25" customHeight="1" x14ac:dyDescent="0.2">
      <c r="A1341" s="4" t="s">
        <v>422</v>
      </c>
      <c r="B1341" s="4">
        <v>12</v>
      </c>
      <c r="C1341" s="4" t="s">
        <v>7666</v>
      </c>
      <c r="D1341" s="4">
        <v>1630</v>
      </c>
      <c r="E1341" s="4">
        <v>12986</v>
      </c>
      <c r="G1341" s="4" t="s">
        <v>127</v>
      </c>
      <c r="H1341" s="4" t="s">
        <v>4770</v>
      </c>
      <c r="I1341" s="4" t="s">
        <v>49</v>
      </c>
      <c r="J1341" s="4" t="s">
        <v>1746</v>
      </c>
      <c r="K1341" s="4">
        <v>1</v>
      </c>
      <c r="L1341" s="4">
        <v>14918</v>
      </c>
      <c r="M1341" s="6"/>
      <c r="AK1341" s="7"/>
      <c r="AO1341" s="4" t="s">
        <v>4771</v>
      </c>
      <c r="AP1341" s="4">
        <v>1630</v>
      </c>
      <c r="AQ1341" s="4" t="s">
        <v>1716</v>
      </c>
      <c r="AR1341" s="4" t="s">
        <v>1717</v>
      </c>
      <c r="AS1341" s="4" t="s">
        <v>1740</v>
      </c>
      <c r="AT1341" s="4" t="s">
        <v>1835</v>
      </c>
      <c r="AU1341" s="4" t="s">
        <v>1742</v>
      </c>
      <c r="AV1341" s="4" t="s">
        <v>1720</v>
      </c>
      <c r="AW1341" s="4" t="s">
        <v>1705</v>
      </c>
      <c r="AX1341" s="4" t="s">
        <v>1883</v>
      </c>
      <c r="AY1341" s="4">
        <v>49.3264</v>
      </c>
      <c r="AZ1341" s="4">
        <v>-121.28189999999999</v>
      </c>
      <c r="BA1341" s="4">
        <v>631</v>
      </c>
    </row>
    <row r="1342" spans="1:53" ht="14.25" customHeight="1" x14ac:dyDescent="0.2">
      <c r="A1342" s="4" t="s">
        <v>422</v>
      </c>
      <c r="B1342" s="4">
        <v>12</v>
      </c>
      <c r="C1342" s="4" t="s">
        <v>7666</v>
      </c>
      <c r="D1342" s="4">
        <v>1670</v>
      </c>
      <c r="E1342" s="4">
        <v>12987</v>
      </c>
      <c r="G1342" s="4" t="s">
        <v>127</v>
      </c>
      <c r="H1342" s="4" t="s">
        <v>4772</v>
      </c>
      <c r="I1342" s="4" t="s">
        <v>49</v>
      </c>
      <c r="J1342" s="4" t="s">
        <v>1746</v>
      </c>
      <c r="K1342" s="4">
        <v>1</v>
      </c>
      <c r="L1342" s="4">
        <v>14919</v>
      </c>
      <c r="M1342" s="62"/>
      <c r="N1342" s="34"/>
      <c r="P1342" s="34"/>
      <c r="R1342" s="34"/>
      <c r="T1342" s="35"/>
      <c r="W1342" s="34"/>
      <c r="AK1342" s="7"/>
      <c r="AO1342" s="4" t="s">
        <v>4773</v>
      </c>
      <c r="AP1342" s="4">
        <v>1670</v>
      </c>
      <c r="AQ1342" s="4" t="s">
        <v>1716</v>
      </c>
      <c r="AR1342" s="4" t="s">
        <v>1717</v>
      </c>
      <c r="AS1342" s="4" t="s">
        <v>1740</v>
      </c>
      <c r="AT1342" s="4" t="s">
        <v>1703</v>
      </c>
      <c r="AU1342" s="4" t="s">
        <v>1742</v>
      </c>
      <c r="AV1342" s="4" t="s">
        <v>1720</v>
      </c>
      <c r="AW1342" s="4" t="s">
        <v>2368</v>
      </c>
      <c r="AX1342" s="4" t="s">
        <v>2369</v>
      </c>
      <c r="AY1342" s="4">
        <v>50.872799999999998</v>
      </c>
      <c r="AZ1342" s="4">
        <v>-119.96720000000001</v>
      </c>
      <c r="BA1342" s="4">
        <v>930</v>
      </c>
    </row>
    <row r="1343" spans="1:53" ht="14.25" customHeight="1" x14ac:dyDescent="0.2">
      <c r="A1343" s="4" t="s">
        <v>422</v>
      </c>
      <c r="B1343" s="4">
        <v>12</v>
      </c>
      <c r="C1343" s="4" t="s">
        <v>7666</v>
      </c>
      <c r="D1343" s="4">
        <v>1691</v>
      </c>
      <c r="E1343" s="4">
        <v>12992</v>
      </c>
      <c r="G1343" s="4" t="s">
        <v>127</v>
      </c>
      <c r="H1343" s="4" t="s">
        <v>4774</v>
      </c>
      <c r="I1343" s="4" t="s">
        <v>49</v>
      </c>
      <c r="J1343" s="4" t="s">
        <v>1746</v>
      </c>
      <c r="K1343" s="4">
        <v>1</v>
      </c>
      <c r="L1343" s="4">
        <v>14924</v>
      </c>
      <c r="M1343" s="6"/>
      <c r="AK1343" s="7"/>
      <c r="AO1343" s="4" t="s">
        <v>4775</v>
      </c>
      <c r="AP1343" s="4">
        <v>1691</v>
      </c>
      <c r="AQ1343" s="4" t="s">
        <v>1716</v>
      </c>
      <c r="AR1343" s="4" t="s">
        <v>1717</v>
      </c>
      <c r="AS1343" s="4" t="s">
        <v>1740</v>
      </c>
      <c r="AT1343" s="4" t="s">
        <v>1835</v>
      </c>
      <c r="AU1343" s="4" t="s">
        <v>1742</v>
      </c>
      <c r="AV1343" s="4" t="s">
        <v>1720</v>
      </c>
      <c r="AW1343" s="4" t="s">
        <v>2368</v>
      </c>
      <c r="AX1343" s="4" t="s">
        <v>2492</v>
      </c>
      <c r="AY1343" s="4">
        <v>50.291699999999999</v>
      </c>
      <c r="AZ1343" s="4">
        <v>-121.17359999999999</v>
      </c>
      <c r="BA1343" s="4">
        <v>432</v>
      </c>
    </row>
    <row r="1344" spans="1:53" ht="14.25" customHeight="1" x14ac:dyDescent="0.2">
      <c r="A1344" s="4" t="s">
        <v>422</v>
      </c>
      <c r="B1344" s="4">
        <v>12</v>
      </c>
      <c r="C1344" s="4" t="s">
        <v>7666</v>
      </c>
      <c r="D1344" s="4">
        <v>1692</v>
      </c>
      <c r="E1344" s="4">
        <v>12993</v>
      </c>
      <c r="G1344" s="4" t="s">
        <v>127</v>
      </c>
      <c r="H1344" s="4" t="s">
        <v>4776</v>
      </c>
      <c r="I1344" s="4" t="s">
        <v>49</v>
      </c>
      <c r="J1344" s="4" t="s">
        <v>1746</v>
      </c>
      <c r="K1344" s="4">
        <v>1</v>
      </c>
      <c r="L1344" s="4">
        <v>14925</v>
      </c>
      <c r="M1344" s="6"/>
      <c r="AK1344" s="7"/>
      <c r="AO1344" s="4" t="s">
        <v>4777</v>
      </c>
      <c r="AP1344" s="4">
        <v>1692</v>
      </c>
      <c r="AQ1344" s="4" t="s">
        <v>1716</v>
      </c>
      <c r="AR1344" s="4" t="s">
        <v>1717</v>
      </c>
      <c r="AS1344" s="4" t="s">
        <v>1718</v>
      </c>
      <c r="AT1344" s="4" t="s">
        <v>1835</v>
      </c>
      <c r="AU1344" s="4" t="s">
        <v>1836</v>
      </c>
      <c r="AV1344" s="4" t="s">
        <v>1720</v>
      </c>
      <c r="AW1344" s="4" t="s">
        <v>2368</v>
      </c>
      <c r="AX1344" s="4" t="s">
        <v>2369</v>
      </c>
      <c r="AY1344" s="4">
        <v>50.605600000000003</v>
      </c>
      <c r="AZ1344" s="4">
        <v>-121.11060000000001</v>
      </c>
      <c r="BA1344" s="4">
        <v>1640</v>
      </c>
    </row>
    <row r="1345" spans="1:53" ht="14.25" customHeight="1" x14ac:dyDescent="0.2">
      <c r="A1345" s="4" t="s">
        <v>422</v>
      </c>
      <c r="B1345" s="4">
        <v>12</v>
      </c>
      <c r="C1345" s="4" t="s">
        <v>7666</v>
      </c>
      <c r="D1345" s="4">
        <v>1730</v>
      </c>
      <c r="E1345" s="4">
        <v>12994</v>
      </c>
      <c r="G1345" s="4" t="s">
        <v>127</v>
      </c>
      <c r="H1345" s="4" t="s">
        <v>4778</v>
      </c>
      <c r="I1345" s="4" t="s">
        <v>49</v>
      </c>
      <c r="J1345" s="4" t="s">
        <v>1746</v>
      </c>
      <c r="K1345" s="4">
        <v>1</v>
      </c>
      <c r="L1345" s="4">
        <v>14926</v>
      </c>
      <c r="M1345" s="6"/>
      <c r="AK1345" s="7"/>
      <c r="AO1345" s="4" t="s">
        <v>4779</v>
      </c>
      <c r="AP1345" s="4">
        <v>1730</v>
      </c>
      <c r="AQ1345" s="4" t="s">
        <v>1716</v>
      </c>
      <c r="AR1345" s="4" t="s">
        <v>1717</v>
      </c>
      <c r="AS1345" s="4" t="s">
        <v>1740</v>
      </c>
      <c r="AT1345" s="4" t="s">
        <v>1835</v>
      </c>
      <c r="AU1345" s="4" t="s">
        <v>1742</v>
      </c>
      <c r="AV1345" s="4" t="s">
        <v>1720</v>
      </c>
      <c r="AW1345" s="4" t="s">
        <v>2368</v>
      </c>
      <c r="AX1345" s="4" t="s">
        <v>2522</v>
      </c>
      <c r="AY1345" s="4">
        <v>50.926099999999998</v>
      </c>
      <c r="AZ1345" s="4">
        <v>-118.47239999999999</v>
      </c>
      <c r="BA1345" s="4">
        <v>572</v>
      </c>
    </row>
    <row r="1346" spans="1:53" ht="14.25" customHeight="1" x14ac:dyDescent="0.2">
      <c r="A1346" s="4" t="s">
        <v>422</v>
      </c>
      <c r="B1346" s="4">
        <v>12</v>
      </c>
      <c r="C1346" s="4" t="s">
        <v>7666</v>
      </c>
      <c r="D1346" s="4">
        <v>1750</v>
      </c>
      <c r="E1346" s="4">
        <v>12995</v>
      </c>
      <c r="G1346" s="4" t="s">
        <v>127</v>
      </c>
      <c r="H1346" s="4" t="s">
        <v>4780</v>
      </c>
      <c r="I1346" s="4" t="s">
        <v>49</v>
      </c>
      <c r="J1346" s="4" t="s">
        <v>1746</v>
      </c>
      <c r="K1346" s="4">
        <v>1</v>
      </c>
      <c r="L1346" s="4">
        <v>14927</v>
      </c>
      <c r="M1346" s="6"/>
      <c r="AK1346" s="7"/>
      <c r="AO1346" s="4" t="s">
        <v>4781</v>
      </c>
      <c r="AP1346" s="4">
        <v>1750</v>
      </c>
      <c r="AQ1346" s="4" t="s">
        <v>1716</v>
      </c>
      <c r="AR1346" s="4" t="s">
        <v>1717</v>
      </c>
      <c r="AS1346" s="4" t="s">
        <v>1740</v>
      </c>
      <c r="AT1346" s="4" t="s">
        <v>1835</v>
      </c>
      <c r="AU1346" s="4" t="s">
        <v>1742</v>
      </c>
      <c r="AV1346" s="4" t="s">
        <v>1720</v>
      </c>
      <c r="AW1346" s="4" t="s">
        <v>2368</v>
      </c>
      <c r="AX1346" s="4" t="s">
        <v>2522</v>
      </c>
      <c r="AY1346" s="4">
        <v>50.433300000000003</v>
      </c>
      <c r="AZ1346" s="4">
        <v>-118.7247</v>
      </c>
      <c r="BA1346" s="4">
        <v>844</v>
      </c>
    </row>
    <row r="1347" spans="1:53" ht="14.25" customHeight="1" x14ac:dyDescent="0.2">
      <c r="A1347" s="4" t="s">
        <v>422</v>
      </c>
      <c r="B1347" s="4">
        <v>12</v>
      </c>
      <c r="C1347" s="4" t="s">
        <v>7666</v>
      </c>
      <c r="D1347" s="4">
        <v>1771</v>
      </c>
      <c r="E1347" s="4">
        <v>12996</v>
      </c>
      <c r="G1347" s="4" t="s">
        <v>127</v>
      </c>
      <c r="H1347" s="4" t="s">
        <v>4782</v>
      </c>
      <c r="I1347" s="4" t="s">
        <v>49</v>
      </c>
      <c r="J1347" s="4" t="s">
        <v>1746</v>
      </c>
      <c r="K1347" s="4">
        <v>1</v>
      </c>
      <c r="L1347" s="4">
        <v>14928</v>
      </c>
      <c r="M1347" s="6"/>
      <c r="AK1347" s="7"/>
      <c r="AO1347" s="4" t="s">
        <v>4783</v>
      </c>
      <c r="AP1347" s="4">
        <v>1771</v>
      </c>
      <c r="AQ1347" s="4" t="s">
        <v>1716</v>
      </c>
      <c r="AR1347" s="4" t="s">
        <v>1717</v>
      </c>
      <c r="AS1347" s="4" t="s">
        <v>1740</v>
      </c>
      <c r="AT1347" s="4" t="s">
        <v>1835</v>
      </c>
      <c r="AU1347" s="4" t="s">
        <v>1742</v>
      </c>
      <c r="AV1347" s="4" t="s">
        <v>1720</v>
      </c>
      <c r="AW1347" s="4" t="s">
        <v>2368</v>
      </c>
      <c r="AY1347" s="4">
        <v>51.306699999999999</v>
      </c>
      <c r="AZ1347" s="4">
        <v>-119.42529999999999</v>
      </c>
      <c r="BA1347" s="4">
        <v>590</v>
      </c>
    </row>
    <row r="1348" spans="1:53" ht="14.25" customHeight="1" x14ac:dyDescent="0.2">
      <c r="B1348" s="4">
        <v>12</v>
      </c>
      <c r="C1348" s="4" t="s">
        <v>7666</v>
      </c>
      <c r="D1348" s="4">
        <v>1790</v>
      </c>
      <c r="E1348" s="4">
        <v>13000</v>
      </c>
      <c r="F1348" s="8" t="s">
        <v>4784</v>
      </c>
      <c r="G1348" s="8" t="s">
        <v>4785</v>
      </c>
      <c r="H1348" s="4" t="s">
        <v>4786</v>
      </c>
      <c r="I1348" s="4" t="s">
        <v>49</v>
      </c>
      <c r="J1348" s="4" t="s">
        <v>1746</v>
      </c>
      <c r="K1348" s="4">
        <v>1</v>
      </c>
      <c r="L1348" s="4">
        <v>14932</v>
      </c>
      <c r="M1348" s="6"/>
      <c r="AK1348" s="7"/>
      <c r="AO1348" s="4" t="s">
        <v>3780</v>
      </c>
      <c r="AP1348" s="4">
        <v>1790</v>
      </c>
      <c r="AQ1348" s="4" t="s">
        <v>1716</v>
      </c>
      <c r="AR1348" s="4" t="s">
        <v>1739</v>
      </c>
      <c r="AS1348" s="4" t="s">
        <v>1740</v>
      </c>
      <c r="AT1348" s="4" t="s">
        <v>1741</v>
      </c>
      <c r="AU1348" s="4" t="s">
        <v>1742</v>
      </c>
      <c r="AV1348" s="4" t="s">
        <v>1720</v>
      </c>
      <c r="AW1348" s="4" t="s">
        <v>2698</v>
      </c>
      <c r="AX1348" s="4" t="s">
        <v>2768</v>
      </c>
      <c r="AY1348" s="4">
        <v>51.1753</v>
      </c>
      <c r="AZ1348" s="4">
        <v>-117.17570000000001</v>
      </c>
      <c r="BA1348" s="4">
        <v>1529</v>
      </c>
    </row>
    <row r="1349" spans="1:53" ht="14.25" customHeight="1" x14ac:dyDescent="0.2">
      <c r="A1349" s="4" t="s">
        <v>422</v>
      </c>
      <c r="B1349" s="4">
        <v>12</v>
      </c>
      <c r="C1349" s="4" t="s">
        <v>7666</v>
      </c>
      <c r="D1349" s="4">
        <v>1794</v>
      </c>
      <c r="E1349" s="4">
        <v>13001</v>
      </c>
      <c r="G1349" s="4" t="s">
        <v>127</v>
      </c>
      <c r="H1349" s="4" t="s">
        <v>4787</v>
      </c>
      <c r="I1349" s="4" t="s">
        <v>49</v>
      </c>
      <c r="J1349" s="4" t="s">
        <v>1746</v>
      </c>
      <c r="K1349" s="4">
        <v>1</v>
      </c>
      <c r="L1349" s="4">
        <v>14933</v>
      </c>
      <c r="M1349" s="6"/>
      <c r="AK1349" s="7"/>
      <c r="AO1349" s="4" t="s">
        <v>4788</v>
      </c>
      <c r="AP1349" s="4">
        <v>1794</v>
      </c>
      <c r="AQ1349" s="4" t="s">
        <v>1716</v>
      </c>
      <c r="AR1349" s="4" t="s">
        <v>1717</v>
      </c>
      <c r="AS1349" s="4" t="s">
        <v>1740</v>
      </c>
      <c r="AT1349" s="4" t="s">
        <v>1835</v>
      </c>
      <c r="AU1349" s="4" t="s">
        <v>1742</v>
      </c>
      <c r="AV1349" s="4" t="s">
        <v>1720</v>
      </c>
      <c r="AW1349" s="4" t="s">
        <v>2368</v>
      </c>
      <c r="AX1349" s="4" t="s">
        <v>2522</v>
      </c>
      <c r="AY1349" s="4">
        <v>50.404400000000003</v>
      </c>
      <c r="AZ1349" s="4">
        <v>-119.43689999999999</v>
      </c>
      <c r="BA1349" s="4">
        <v>1380</v>
      </c>
    </row>
    <row r="1350" spans="1:53" ht="14.25" customHeight="1" x14ac:dyDescent="0.2">
      <c r="A1350" s="4" t="s">
        <v>422</v>
      </c>
      <c r="B1350" s="4">
        <v>12</v>
      </c>
      <c r="C1350" s="4" t="s">
        <v>7666</v>
      </c>
      <c r="D1350" s="4">
        <v>1810</v>
      </c>
      <c r="E1350" s="4">
        <v>13002</v>
      </c>
      <c r="G1350" s="4" t="s">
        <v>127</v>
      </c>
      <c r="H1350" s="4" t="s">
        <v>4789</v>
      </c>
      <c r="I1350" s="4" t="s">
        <v>49</v>
      </c>
      <c r="J1350" s="4" t="s">
        <v>1746</v>
      </c>
      <c r="K1350" s="4">
        <v>1</v>
      </c>
      <c r="L1350" s="4">
        <v>14934</v>
      </c>
      <c r="M1350" s="6"/>
      <c r="AK1350" s="7"/>
      <c r="AO1350" s="4" t="s">
        <v>4790</v>
      </c>
      <c r="AP1350" s="4">
        <v>1810</v>
      </c>
      <c r="AQ1350" s="4" t="s">
        <v>1716</v>
      </c>
      <c r="AR1350" s="4" t="s">
        <v>2441</v>
      </c>
      <c r="AS1350" s="4" t="s">
        <v>1740</v>
      </c>
      <c r="AT1350" s="4" t="s">
        <v>1835</v>
      </c>
      <c r="AU1350" s="4" t="s">
        <v>1742</v>
      </c>
      <c r="AV1350" s="4" t="s">
        <v>1720</v>
      </c>
      <c r="AW1350" s="4" t="s">
        <v>2698</v>
      </c>
      <c r="AX1350" s="4" t="s">
        <v>2768</v>
      </c>
      <c r="AY1350" s="4">
        <v>49.888599999999997</v>
      </c>
      <c r="AZ1350" s="4">
        <v>-115.6481</v>
      </c>
      <c r="BA1350" s="4">
        <v>1053</v>
      </c>
    </row>
    <row r="1351" spans="1:53" ht="14.25" customHeight="1" x14ac:dyDescent="0.2">
      <c r="A1351" s="4" t="s">
        <v>422</v>
      </c>
      <c r="B1351" s="4">
        <v>12</v>
      </c>
      <c r="C1351" s="4" t="s">
        <v>7666</v>
      </c>
      <c r="D1351" s="4">
        <v>1831</v>
      </c>
      <c r="E1351" s="4">
        <v>13003</v>
      </c>
      <c r="G1351" s="4" t="s">
        <v>127</v>
      </c>
      <c r="H1351" s="4" t="s">
        <v>4791</v>
      </c>
      <c r="I1351" s="4" t="s">
        <v>49</v>
      </c>
      <c r="J1351" s="4" t="s">
        <v>1746</v>
      </c>
      <c r="K1351" s="4">
        <v>1</v>
      </c>
      <c r="L1351" s="4">
        <v>14935</v>
      </c>
      <c r="M1351" s="6"/>
      <c r="AK1351" s="7"/>
      <c r="AO1351" s="4" t="s">
        <v>4792</v>
      </c>
      <c r="AP1351" s="4">
        <v>1831</v>
      </c>
      <c r="AQ1351" s="4" t="s">
        <v>1716</v>
      </c>
      <c r="AR1351" s="4" t="s">
        <v>1717</v>
      </c>
      <c r="AS1351" s="4" t="s">
        <v>1718</v>
      </c>
      <c r="AT1351" s="4" t="s">
        <v>1835</v>
      </c>
      <c r="AU1351" s="4" t="s">
        <v>1836</v>
      </c>
      <c r="AW1351" s="4" t="s">
        <v>2698</v>
      </c>
      <c r="AX1351" s="4" t="s">
        <v>2801</v>
      </c>
      <c r="AY1351" s="4">
        <v>50.342100000000002</v>
      </c>
      <c r="AZ1351" s="4">
        <v>-116.849</v>
      </c>
      <c r="BA1351" s="4">
        <v>985</v>
      </c>
    </row>
    <row r="1352" spans="1:53" ht="14.25" customHeight="1" x14ac:dyDescent="0.2">
      <c r="A1352" s="4" t="s">
        <v>422</v>
      </c>
      <c r="B1352" s="4">
        <v>12</v>
      </c>
      <c r="C1352" s="4" t="s">
        <v>7665</v>
      </c>
      <c r="D1352" s="4">
        <v>1851</v>
      </c>
      <c r="E1352" s="4">
        <v>13004</v>
      </c>
      <c r="F1352" s="49" t="s">
        <v>4793</v>
      </c>
      <c r="G1352" s="4" t="s">
        <v>127</v>
      </c>
      <c r="H1352" s="4" t="s">
        <v>4794</v>
      </c>
      <c r="I1352" s="4" t="s">
        <v>49</v>
      </c>
      <c r="J1352" s="4" t="s">
        <v>1746</v>
      </c>
      <c r="K1352" s="4">
        <v>1</v>
      </c>
      <c r="L1352" s="4">
        <v>14936</v>
      </c>
      <c r="M1352" s="6"/>
      <c r="AK1352" s="7"/>
      <c r="AO1352" s="48" t="s">
        <v>4795</v>
      </c>
      <c r="AP1352" s="48">
        <v>1851</v>
      </c>
      <c r="AQ1352" s="48" t="s">
        <v>1700</v>
      </c>
      <c r="AR1352" s="48" t="s">
        <v>1701</v>
      </c>
      <c r="AS1352" s="48" t="s">
        <v>1702</v>
      </c>
      <c r="AT1352" s="48" t="s">
        <v>1703</v>
      </c>
      <c r="AU1352" s="48" t="s">
        <v>1704</v>
      </c>
      <c r="AV1352" s="48" t="s">
        <v>1702</v>
      </c>
      <c r="AW1352" s="48" t="s">
        <v>1705</v>
      </c>
      <c r="AX1352" s="48" t="s">
        <v>1965</v>
      </c>
      <c r="AY1352" s="48">
        <v>52.361899999999999</v>
      </c>
      <c r="AZ1352" s="48">
        <v>-128.88</v>
      </c>
      <c r="BA1352" s="48">
        <v>43</v>
      </c>
    </row>
    <row r="1353" spans="1:53" ht="14.25" customHeight="1" x14ac:dyDescent="0.2">
      <c r="A1353" s="4" t="s">
        <v>1908</v>
      </c>
      <c r="B1353" s="4">
        <v>12</v>
      </c>
      <c r="C1353" s="4" t="s">
        <v>7666</v>
      </c>
      <c r="D1353" s="4">
        <v>1911</v>
      </c>
      <c r="E1353" s="4">
        <v>13015</v>
      </c>
      <c r="F1353" s="10" t="s">
        <v>4796</v>
      </c>
      <c r="G1353" s="8" t="s">
        <v>4797</v>
      </c>
      <c r="H1353" s="4" t="s">
        <v>4798</v>
      </c>
      <c r="I1353" s="4" t="s">
        <v>49</v>
      </c>
      <c r="J1353" s="4" t="s">
        <v>1746</v>
      </c>
      <c r="K1353" s="4">
        <v>1</v>
      </c>
      <c r="L1353" s="4">
        <v>14947</v>
      </c>
      <c r="M1353" s="6"/>
      <c r="AK1353" s="7"/>
      <c r="AO1353" s="4" t="s">
        <v>4799</v>
      </c>
      <c r="AP1353" s="4">
        <v>1911</v>
      </c>
      <c r="AQ1353" s="4" t="s">
        <v>1716</v>
      </c>
      <c r="AR1353" s="4" t="s">
        <v>1717</v>
      </c>
      <c r="AS1353" s="4" t="s">
        <v>1740</v>
      </c>
      <c r="AT1353" s="4" t="s">
        <v>1741</v>
      </c>
      <c r="AU1353" s="4" t="s">
        <v>1742</v>
      </c>
      <c r="AV1353" s="4" t="s">
        <v>1720</v>
      </c>
      <c r="AW1353" s="4" t="s">
        <v>2698</v>
      </c>
      <c r="AX1353" s="4" t="s">
        <v>2827</v>
      </c>
      <c r="AY1353" s="4">
        <v>49.072000000000003</v>
      </c>
      <c r="AZ1353" s="4">
        <v>-118.9755</v>
      </c>
      <c r="BA1353" s="4">
        <v>844</v>
      </c>
    </row>
    <row r="1354" spans="1:53" ht="14.25" customHeight="1" x14ac:dyDescent="0.2">
      <c r="A1354" s="4" t="s">
        <v>1908</v>
      </c>
      <c r="B1354" s="4">
        <v>12</v>
      </c>
      <c r="C1354" s="4" t="s">
        <v>7666</v>
      </c>
      <c r="D1354" s="4">
        <v>1994</v>
      </c>
      <c r="E1354" s="4">
        <v>13022</v>
      </c>
      <c r="F1354" s="10" t="s">
        <v>4800</v>
      </c>
      <c r="G1354" s="8" t="s">
        <v>4801</v>
      </c>
      <c r="H1354" s="4" t="s">
        <v>4802</v>
      </c>
      <c r="I1354" s="4" t="s">
        <v>49</v>
      </c>
      <c r="J1354" s="4" t="s">
        <v>1746</v>
      </c>
      <c r="K1354" s="4">
        <v>1</v>
      </c>
      <c r="L1354" s="4">
        <v>14954</v>
      </c>
      <c r="M1354" s="6"/>
      <c r="AK1354" s="7"/>
      <c r="AO1354" s="65" t="s">
        <v>4803</v>
      </c>
      <c r="AP1354" s="4">
        <v>1994</v>
      </c>
      <c r="AQ1354" s="4" t="s">
        <v>1716</v>
      </c>
      <c r="AR1354" s="4" t="s">
        <v>1717</v>
      </c>
      <c r="AS1354" s="4" t="s">
        <v>1740</v>
      </c>
      <c r="AT1354" s="4" t="s">
        <v>1741</v>
      </c>
      <c r="AU1354" s="4" t="s">
        <v>1742</v>
      </c>
      <c r="AV1354" s="4" t="s">
        <v>1720</v>
      </c>
      <c r="AW1354" s="4" t="s">
        <v>1947</v>
      </c>
      <c r="AX1354" s="4" t="s">
        <v>1973</v>
      </c>
      <c r="AY1354" s="4">
        <v>54.466700000000003</v>
      </c>
      <c r="AZ1354" s="4">
        <v>-128.5667</v>
      </c>
      <c r="BA1354" s="4">
        <v>218</v>
      </c>
    </row>
    <row r="1355" spans="1:53" ht="14.25" customHeight="1" x14ac:dyDescent="0.2">
      <c r="A1355" s="4" t="s">
        <v>1908</v>
      </c>
      <c r="B1355" s="4">
        <v>12</v>
      </c>
      <c r="C1355" s="4" t="s">
        <v>7666</v>
      </c>
      <c r="D1355" s="4">
        <v>2130</v>
      </c>
      <c r="E1355" s="4">
        <v>13023</v>
      </c>
      <c r="F1355" s="10" t="s">
        <v>4804</v>
      </c>
      <c r="G1355" s="8" t="s">
        <v>4805</v>
      </c>
      <c r="H1355" s="4" t="s">
        <v>4806</v>
      </c>
      <c r="I1355" s="4" t="s">
        <v>49</v>
      </c>
      <c r="J1355" s="4" t="s">
        <v>1746</v>
      </c>
      <c r="K1355" s="4">
        <v>1</v>
      </c>
      <c r="L1355" s="4">
        <v>14955</v>
      </c>
      <c r="M1355" s="6"/>
      <c r="AK1355" s="7"/>
      <c r="AO1355" s="65" t="s">
        <v>4807</v>
      </c>
      <c r="AP1355" s="4">
        <v>2130</v>
      </c>
      <c r="AQ1355" s="4" t="s">
        <v>1716</v>
      </c>
      <c r="AR1355" s="4" t="s">
        <v>1717</v>
      </c>
      <c r="AS1355" s="4" t="s">
        <v>1740</v>
      </c>
      <c r="AT1355" s="4" t="s">
        <v>1741</v>
      </c>
      <c r="AU1355" s="4" t="s">
        <v>1742</v>
      </c>
      <c r="AV1355" s="4" t="s">
        <v>1720</v>
      </c>
      <c r="AW1355" s="4" t="s">
        <v>2368</v>
      </c>
      <c r="AX1355" s="4" t="s">
        <v>2522</v>
      </c>
      <c r="AY1355" s="4">
        <v>50.796900000000001</v>
      </c>
      <c r="AZ1355" s="4">
        <v>-118.9432</v>
      </c>
      <c r="BA1355" s="4">
        <v>1029</v>
      </c>
    </row>
    <row r="1356" spans="1:53" ht="14.25" customHeight="1" x14ac:dyDescent="0.2">
      <c r="A1356" s="4" t="s">
        <v>1908</v>
      </c>
      <c r="B1356" s="4">
        <v>12</v>
      </c>
      <c r="C1356" s="4" t="s">
        <v>7666</v>
      </c>
      <c r="D1356" s="4">
        <v>2170</v>
      </c>
      <c r="E1356" s="4">
        <v>13040</v>
      </c>
      <c r="F1356" s="10" t="s">
        <v>4808</v>
      </c>
      <c r="G1356" s="8" t="s">
        <v>4809</v>
      </c>
      <c r="H1356" s="4" t="s">
        <v>4810</v>
      </c>
      <c r="I1356" s="4" t="s">
        <v>49</v>
      </c>
      <c r="J1356" s="4" t="s">
        <v>1746</v>
      </c>
      <c r="K1356" s="4">
        <v>1</v>
      </c>
      <c r="L1356" s="4">
        <v>14972</v>
      </c>
      <c r="M1356" s="6"/>
      <c r="AK1356" s="7"/>
      <c r="AO1356" s="4" t="s">
        <v>4625</v>
      </c>
      <c r="AP1356" s="4">
        <v>2170</v>
      </c>
      <c r="AQ1356" s="4" t="s">
        <v>1716</v>
      </c>
      <c r="AR1356" s="4" t="s">
        <v>1717</v>
      </c>
      <c r="AS1356" s="4" t="s">
        <v>1740</v>
      </c>
      <c r="AT1356" s="4" t="s">
        <v>1835</v>
      </c>
      <c r="AU1356" s="4" t="s">
        <v>1742</v>
      </c>
      <c r="AV1356" s="4" t="s">
        <v>1720</v>
      </c>
      <c r="AW1356" s="4" t="s">
        <v>2368</v>
      </c>
      <c r="AX1356" s="4" t="s">
        <v>2516</v>
      </c>
      <c r="AY1356" s="4">
        <v>49.116700000000002</v>
      </c>
      <c r="AZ1356" s="4">
        <v>-119.3</v>
      </c>
      <c r="BA1356" s="4">
        <v>1384</v>
      </c>
    </row>
    <row r="1357" spans="1:53" ht="14.25" customHeight="1" x14ac:dyDescent="0.2">
      <c r="A1357" s="4" t="s">
        <v>422</v>
      </c>
      <c r="B1357" s="4">
        <v>12</v>
      </c>
      <c r="C1357" s="4" t="s">
        <v>7666</v>
      </c>
      <c r="D1357" s="4">
        <v>2230</v>
      </c>
      <c r="E1357" s="4">
        <v>13041</v>
      </c>
      <c r="G1357" s="4" t="s">
        <v>127</v>
      </c>
      <c r="H1357" s="4" t="s">
        <v>4811</v>
      </c>
      <c r="I1357" s="4" t="s">
        <v>49</v>
      </c>
      <c r="J1357" s="4" t="s">
        <v>1746</v>
      </c>
      <c r="K1357" s="4">
        <v>1</v>
      </c>
      <c r="L1357" s="4">
        <v>14973</v>
      </c>
      <c r="M1357" s="6"/>
      <c r="AK1357" s="7"/>
      <c r="AO1357" s="4" t="s">
        <v>4812</v>
      </c>
      <c r="AP1357" s="4">
        <v>2230</v>
      </c>
      <c r="AQ1357" s="4" t="s">
        <v>1716</v>
      </c>
      <c r="AR1357" s="4" t="s">
        <v>1717</v>
      </c>
      <c r="AS1357" s="4" t="s">
        <v>1740</v>
      </c>
      <c r="AT1357" s="4" t="s">
        <v>1741</v>
      </c>
      <c r="AU1357" s="4" t="s">
        <v>1742</v>
      </c>
      <c r="AV1357" s="4" t="s">
        <v>1720</v>
      </c>
      <c r="AW1357" s="4" t="s">
        <v>2368</v>
      </c>
      <c r="AX1357" s="4" t="s">
        <v>2505</v>
      </c>
      <c r="AY1357" s="4">
        <v>50.9056</v>
      </c>
      <c r="AZ1357" s="4">
        <v>-121.535</v>
      </c>
      <c r="BA1357" s="4">
        <v>1155</v>
      </c>
    </row>
    <row r="1358" spans="1:53" ht="14.25" customHeight="1" x14ac:dyDescent="0.2">
      <c r="A1358" s="4" t="s">
        <v>422</v>
      </c>
      <c r="B1358" s="4">
        <v>12</v>
      </c>
      <c r="C1358" s="4" t="s">
        <v>7666</v>
      </c>
      <c r="D1358" s="4">
        <v>2270</v>
      </c>
      <c r="E1358" s="4">
        <v>13059</v>
      </c>
      <c r="G1358" s="4" t="s">
        <v>127</v>
      </c>
      <c r="H1358" s="4" t="s">
        <v>4813</v>
      </c>
      <c r="I1358" s="4" t="s">
        <v>49</v>
      </c>
      <c r="J1358" s="4" t="s">
        <v>1746</v>
      </c>
      <c r="K1358" s="4">
        <v>1</v>
      </c>
      <c r="L1358" s="4">
        <v>14983</v>
      </c>
      <c r="M1358" s="6"/>
      <c r="AK1358" s="7"/>
      <c r="AO1358" s="4" t="s">
        <v>4814</v>
      </c>
      <c r="AP1358" s="4">
        <v>2270</v>
      </c>
      <c r="AQ1358" s="4" t="s">
        <v>1716</v>
      </c>
      <c r="AR1358" s="4" t="s">
        <v>1717</v>
      </c>
      <c r="AS1358" s="4" t="s">
        <v>1740</v>
      </c>
      <c r="AT1358" s="4" t="s">
        <v>1741</v>
      </c>
      <c r="AU1358" s="4" t="s">
        <v>1742</v>
      </c>
      <c r="AV1358" s="4" t="s">
        <v>1720</v>
      </c>
      <c r="AW1358" s="4" t="s">
        <v>2368</v>
      </c>
      <c r="AX1358" s="4" t="s">
        <v>2516</v>
      </c>
      <c r="AY1358" s="4">
        <v>49.330500000000001</v>
      </c>
      <c r="AZ1358" s="4">
        <v>-119.7325</v>
      </c>
      <c r="BA1358" s="4">
        <v>1130</v>
      </c>
    </row>
    <row r="1359" spans="1:53" ht="14.25" customHeight="1" x14ac:dyDescent="0.2">
      <c r="A1359" s="4" t="s">
        <v>422</v>
      </c>
      <c r="B1359" s="4">
        <v>12</v>
      </c>
      <c r="C1359" s="4" t="s">
        <v>7666</v>
      </c>
      <c r="D1359" s="4">
        <v>2290</v>
      </c>
      <c r="E1359" s="4">
        <v>13060</v>
      </c>
      <c r="G1359" s="4" t="s">
        <v>127</v>
      </c>
      <c r="H1359" s="4" t="s">
        <v>4815</v>
      </c>
      <c r="I1359" s="4" t="s">
        <v>49</v>
      </c>
      <c r="J1359" s="4" t="s">
        <v>1746</v>
      </c>
      <c r="K1359" s="4">
        <v>1</v>
      </c>
      <c r="L1359" s="4">
        <v>14984</v>
      </c>
      <c r="M1359" s="6"/>
      <c r="AK1359" s="7"/>
      <c r="AO1359" s="4" t="s">
        <v>4816</v>
      </c>
      <c r="AP1359" s="4">
        <v>2290</v>
      </c>
      <c r="AQ1359" s="4" t="s">
        <v>1716</v>
      </c>
      <c r="AR1359" s="4" t="s">
        <v>1717</v>
      </c>
      <c r="AS1359" s="4" t="s">
        <v>1740</v>
      </c>
      <c r="AT1359" s="4" t="s">
        <v>1741</v>
      </c>
      <c r="AU1359" s="4" t="s">
        <v>1742</v>
      </c>
      <c r="AV1359" s="4" t="s">
        <v>1720</v>
      </c>
      <c r="AW1359" s="4" t="s">
        <v>2368</v>
      </c>
      <c r="AX1359" s="4" t="s">
        <v>2369</v>
      </c>
      <c r="AY1359" s="4">
        <v>50.9056</v>
      </c>
      <c r="AZ1359" s="4">
        <v>-121.5347</v>
      </c>
      <c r="BA1359" s="4">
        <v>1166</v>
      </c>
    </row>
    <row r="1360" spans="1:53" ht="14.25" customHeight="1" x14ac:dyDescent="0.2">
      <c r="A1360" s="4" t="s">
        <v>422</v>
      </c>
      <c r="B1360" s="4">
        <v>12</v>
      </c>
      <c r="C1360" s="4" t="s">
        <v>7666</v>
      </c>
      <c r="D1360" s="4">
        <v>2330</v>
      </c>
      <c r="E1360" s="4">
        <v>13062</v>
      </c>
      <c r="G1360" s="4" t="s">
        <v>127</v>
      </c>
      <c r="H1360" s="4" t="s">
        <v>4817</v>
      </c>
      <c r="I1360" s="4" t="s">
        <v>49</v>
      </c>
      <c r="J1360" s="4" t="s">
        <v>1746</v>
      </c>
      <c r="K1360" s="4">
        <v>1</v>
      </c>
      <c r="L1360" s="4">
        <v>14986</v>
      </c>
      <c r="M1360" s="6"/>
      <c r="AK1360" s="7"/>
      <c r="AO1360" s="4" t="s">
        <v>4818</v>
      </c>
      <c r="AP1360" s="4">
        <v>2330</v>
      </c>
      <c r="AQ1360" s="4" t="s">
        <v>1716</v>
      </c>
      <c r="AR1360" s="4" t="s">
        <v>1717</v>
      </c>
      <c r="AS1360" s="4" t="s">
        <v>1740</v>
      </c>
      <c r="AT1360" s="4" t="s">
        <v>1741</v>
      </c>
      <c r="AU1360" s="4" t="s">
        <v>1742</v>
      </c>
      <c r="AV1360" s="4" t="s">
        <v>1720</v>
      </c>
      <c r="AW1360" s="4" t="s">
        <v>2698</v>
      </c>
      <c r="AX1360" s="4" t="s">
        <v>2902</v>
      </c>
      <c r="AY1360" s="4">
        <v>49.025300000000001</v>
      </c>
      <c r="AZ1360" s="4">
        <v>-114.5866</v>
      </c>
      <c r="BA1360" s="4">
        <v>1500</v>
      </c>
    </row>
    <row r="1361" spans="1:53" ht="14.25" customHeight="1" x14ac:dyDescent="0.2">
      <c r="A1361" s="4" t="s">
        <v>422</v>
      </c>
      <c r="B1361" s="4">
        <v>12</v>
      </c>
      <c r="C1361" s="4" t="s">
        <v>7666</v>
      </c>
      <c r="D1361" s="4">
        <v>2350</v>
      </c>
      <c r="E1361" s="4">
        <v>13063</v>
      </c>
      <c r="G1361" s="4" t="s">
        <v>127</v>
      </c>
      <c r="H1361" s="4" t="s">
        <v>4819</v>
      </c>
      <c r="I1361" s="4" t="s">
        <v>49</v>
      </c>
      <c r="J1361" s="4" t="s">
        <v>1746</v>
      </c>
      <c r="K1361" s="4">
        <v>1</v>
      </c>
      <c r="L1361" s="4">
        <v>14987</v>
      </c>
      <c r="M1361" s="6"/>
      <c r="AK1361" s="7"/>
      <c r="AO1361" s="25" t="s">
        <v>4820</v>
      </c>
      <c r="AP1361" s="4">
        <v>2350</v>
      </c>
      <c r="AQ1361" s="4" t="s">
        <v>1716</v>
      </c>
      <c r="AR1361" s="4" t="s">
        <v>1717</v>
      </c>
      <c r="AS1361" s="4" t="s">
        <v>1740</v>
      </c>
      <c r="AT1361" s="4" t="s">
        <v>1741</v>
      </c>
      <c r="AU1361" s="4" t="s">
        <v>1742</v>
      </c>
      <c r="AV1361" s="4" t="s">
        <v>1720</v>
      </c>
      <c r="AW1361" s="4" t="s">
        <v>2698</v>
      </c>
      <c r="AX1361" s="4" t="s">
        <v>2902</v>
      </c>
      <c r="AY1361" s="4">
        <v>49.025300000000001</v>
      </c>
      <c r="AZ1361" s="4">
        <v>-114.5866</v>
      </c>
      <c r="BA1361" s="4">
        <v>1500</v>
      </c>
    </row>
    <row r="1362" spans="1:53" ht="14.25" customHeight="1" x14ac:dyDescent="0.2">
      <c r="A1362" s="4" t="s">
        <v>422</v>
      </c>
      <c r="B1362" s="4">
        <v>12</v>
      </c>
      <c r="C1362" s="4" t="s">
        <v>7666</v>
      </c>
      <c r="D1362" s="4">
        <v>2370</v>
      </c>
      <c r="E1362" s="4">
        <v>13064</v>
      </c>
      <c r="G1362" s="4" t="s">
        <v>127</v>
      </c>
      <c r="H1362" s="4" t="s">
        <v>4821</v>
      </c>
      <c r="I1362" s="4" t="s">
        <v>49</v>
      </c>
      <c r="J1362" s="4" t="s">
        <v>1746</v>
      </c>
      <c r="K1362" s="4">
        <v>1</v>
      </c>
      <c r="L1362" s="4">
        <v>14988</v>
      </c>
      <c r="M1362" s="6"/>
      <c r="AK1362" s="7"/>
      <c r="AO1362" s="4" t="s">
        <v>4822</v>
      </c>
      <c r="AP1362" s="4">
        <v>2370</v>
      </c>
      <c r="AQ1362" s="4" t="s">
        <v>1716</v>
      </c>
      <c r="AR1362" s="4" t="s">
        <v>1717</v>
      </c>
      <c r="AS1362" s="4" t="s">
        <v>1740</v>
      </c>
      <c r="AT1362" s="4" t="s">
        <v>1741</v>
      </c>
      <c r="AU1362" s="4" t="s">
        <v>1742</v>
      </c>
      <c r="AV1362" s="4" t="s">
        <v>1720</v>
      </c>
      <c r="AW1362" s="4" t="s">
        <v>2698</v>
      </c>
      <c r="AX1362" s="4" t="s">
        <v>2902</v>
      </c>
      <c r="AY1362" s="4">
        <v>49.048999999999999</v>
      </c>
      <c r="AZ1362" s="4">
        <v>-115.04600000000001</v>
      </c>
      <c r="BA1362" s="4">
        <v>1119</v>
      </c>
    </row>
    <row r="1363" spans="1:53" ht="14.25" customHeight="1" x14ac:dyDescent="0.2">
      <c r="A1363" s="4" t="s">
        <v>422</v>
      </c>
      <c r="B1363" s="4">
        <v>12</v>
      </c>
      <c r="C1363" s="4" t="s">
        <v>7666</v>
      </c>
      <c r="D1363" s="4">
        <v>2390</v>
      </c>
      <c r="E1363" s="4">
        <v>13067</v>
      </c>
      <c r="G1363" s="4" t="s">
        <v>127</v>
      </c>
      <c r="H1363" s="4" t="s">
        <v>4823</v>
      </c>
      <c r="I1363" s="4" t="s">
        <v>49</v>
      </c>
      <c r="J1363" s="4" t="s">
        <v>1746</v>
      </c>
      <c r="K1363" s="4">
        <v>1</v>
      </c>
      <c r="L1363" s="4">
        <v>14991</v>
      </c>
      <c r="M1363" s="6"/>
      <c r="AK1363" s="7"/>
      <c r="AO1363" s="4" t="s">
        <v>4824</v>
      </c>
      <c r="AP1363" s="4">
        <v>2390</v>
      </c>
      <c r="AQ1363" s="4" t="s">
        <v>1716</v>
      </c>
      <c r="AR1363" s="4" t="s">
        <v>1717</v>
      </c>
      <c r="AS1363" s="4" t="s">
        <v>1740</v>
      </c>
      <c r="AT1363" s="4" t="s">
        <v>1741</v>
      </c>
      <c r="AU1363" s="4" t="s">
        <v>1742</v>
      </c>
      <c r="AV1363" s="4" t="s">
        <v>1720</v>
      </c>
      <c r="AW1363" s="4" t="s">
        <v>2698</v>
      </c>
      <c r="AX1363" s="4" t="s">
        <v>2768</v>
      </c>
      <c r="AY1363" s="4">
        <v>49.889899999999997</v>
      </c>
      <c r="AZ1363" s="4">
        <v>-115.6439</v>
      </c>
      <c r="BA1363" s="4">
        <v>952</v>
      </c>
    </row>
    <row r="1364" spans="1:53" ht="14.25" customHeight="1" x14ac:dyDescent="0.2">
      <c r="A1364" s="4" t="s">
        <v>422</v>
      </c>
      <c r="B1364" s="4">
        <v>12</v>
      </c>
      <c r="C1364" s="4" t="s">
        <v>7666</v>
      </c>
      <c r="D1364" s="78">
        <v>2410</v>
      </c>
      <c r="E1364" s="4">
        <v>13068</v>
      </c>
      <c r="G1364" s="4" t="s">
        <v>127</v>
      </c>
      <c r="H1364" s="4" t="s">
        <v>4825</v>
      </c>
      <c r="I1364" s="4" t="s">
        <v>49</v>
      </c>
      <c r="J1364" s="4" t="s">
        <v>1746</v>
      </c>
      <c r="K1364" s="4">
        <v>1</v>
      </c>
      <c r="L1364" s="4">
        <v>14992</v>
      </c>
      <c r="AK1364" s="7"/>
      <c r="AO1364" s="4" t="s">
        <v>4826</v>
      </c>
      <c r="AP1364" s="4">
        <v>2410</v>
      </c>
      <c r="AQ1364" s="4" t="s">
        <v>1716</v>
      </c>
      <c r="AR1364" s="4" t="s">
        <v>1717</v>
      </c>
      <c r="AS1364" s="4" t="s">
        <v>1740</v>
      </c>
      <c r="AT1364" s="4" t="s">
        <v>1741</v>
      </c>
      <c r="AU1364" s="4" t="s">
        <v>1742</v>
      </c>
      <c r="AV1364" s="4" t="s">
        <v>1720</v>
      </c>
      <c r="AW1364" s="4" t="s">
        <v>1705</v>
      </c>
      <c r="AX1364" s="4" t="s">
        <v>1883</v>
      </c>
      <c r="AY1364" s="4">
        <v>49.100999999999999</v>
      </c>
      <c r="AZ1364" s="4">
        <v>-120.759</v>
      </c>
      <c r="BA1364" s="4">
        <v>2022</v>
      </c>
    </row>
    <row r="1365" spans="1:53" ht="14.25" customHeight="1" x14ac:dyDescent="0.2">
      <c r="A1365" s="4" t="s">
        <v>422</v>
      </c>
      <c r="B1365" s="4">
        <v>12</v>
      </c>
      <c r="C1365" s="4" t="s">
        <v>7666</v>
      </c>
      <c r="D1365" s="4">
        <v>2430</v>
      </c>
      <c r="E1365" s="4">
        <v>13073</v>
      </c>
      <c r="G1365" s="4" t="s">
        <v>127</v>
      </c>
      <c r="H1365" s="4" t="s">
        <v>4827</v>
      </c>
      <c r="I1365" s="4" t="s">
        <v>49</v>
      </c>
      <c r="J1365" s="4" t="s">
        <v>1746</v>
      </c>
      <c r="K1365" s="4">
        <v>1</v>
      </c>
      <c r="L1365" s="4">
        <v>14995</v>
      </c>
      <c r="M1365" s="6"/>
      <c r="AK1365" s="7"/>
      <c r="AO1365" s="4" t="s">
        <v>4828</v>
      </c>
      <c r="AP1365" s="4">
        <v>2430</v>
      </c>
      <c r="AQ1365" s="4" t="s">
        <v>1716</v>
      </c>
      <c r="AR1365" s="4" t="s">
        <v>1717</v>
      </c>
      <c r="AS1365" s="4" t="s">
        <v>1740</v>
      </c>
      <c r="AT1365" s="4" t="s">
        <v>2442</v>
      </c>
      <c r="AU1365" s="4" t="s">
        <v>1742</v>
      </c>
      <c r="AV1365" s="4" t="s">
        <v>1720</v>
      </c>
      <c r="AW1365" s="4" t="s">
        <v>2003</v>
      </c>
      <c r="AX1365" s="4" t="s">
        <v>2024</v>
      </c>
      <c r="AY1365" s="4">
        <v>55.905500000000004</v>
      </c>
      <c r="AZ1365" s="4">
        <v>-122.6992</v>
      </c>
      <c r="BA1365" s="4">
        <v>1100</v>
      </c>
    </row>
    <row r="1366" spans="1:53" ht="14.25" customHeight="1" x14ac:dyDescent="0.2">
      <c r="A1366" s="4" t="s">
        <v>1908</v>
      </c>
      <c r="B1366" s="4">
        <v>12</v>
      </c>
      <c r="C1366" s="4" t="s">
        <v>7666</v>
      </c>
      <c r="D1366" s="4">
        <v>2450</v>
      </c>
      <c r="E1366" s="4">
        <v>13077</v>
      </c>
      <c r="F1366" s="10" t="s">
        <v>4829</v>
      </c>
      <c r="G1366" s="8" t="s">
        <v>4830</v>
      </c>
      <c r="H1366" s="4" t="s">
        <v>4831</v>
      </c>
      <c r="I1366" s="4" t="s">
        <v>49</v>
      </c>
      <c r="J1366" s="4" t="s">
        <v>1746</v>
      </c>
      <c r="K1366" s="4">
        <v>1</v>
      </c>
      <c r="L1366" s="4">
        <v>14999</v>
      </c>
      <c r="M1366" s="6"/>
      <c r="AK1366" s="7"/>
      <c r="AO1366" s="4" t="s">
        <v>4832</v>
      </c>
      <c r="AP1366" s="4">
        <v>2450</v>
      </c>
      <c r="AQ1366" s="4" t="s">
        <v>1700</v>
      </c>
      <c r="AR1366" s="4" t="s">
        <v>1739</v>
      </c>
      <c r="AS1366" s="4" t="s">
        <v>1740</v>
      </c>
      <c r="AT1366" s="4" t="s">
        <v>1835</v>
      </c>
      <c r="AU1366" s="4" t="s">
        <v>1959</v>
      </c>
      <c r="AV1366" s="4" t="s">
        <v>1720</v>
      </c>
      <c r="AW1366" s="4" t="s">
        <v>2698</v>
      </c>
      <c r="AX1366" s="4" t="s">
        <v>2902</v>
      </c>
      <c r="AY1366" s="4">
        <v>49.453899999999997</v>
      </c>
      <c r="AZ1366" s="4">
        <v>-115.9872</v>
      </c>
      <c r="BA1366" s="4">
        <v>1540</v>
      </c>
    </row>
    <row r="1367" spans="1:53" ht="14.25" customHeight="1" x14ac:dyDescent="0.2">
      <c r="A1367" s="4" t="s">
        <v>422</v>
      </c>
      <c r="B1367" s="4">
        <v>12</v>
      </c>
      <c r="C1367" s="4" t="s">
        <v>7666</v>
      </c>
      <c r="D1367" s="4">
        <v>2470</v>
      </c>
      <c r="E1367" s="4">
        <v>13074</v>
      </c>
      <c r="G1367" s="4" t="s">
        <v>127</v>
      </c>
      <c r="H1367" s="4" t="s">
        <v>4833</v>
      </c>
      <c r="I1367" s="4" t="s">
        <v>49</v>
      </c>
      <c r="J1367" s="4" t="s">
        <v>1746</v>
      </c>
      <c r="K1367" s="4">
        <v>1</v>
      </c>
      <c r="L1367" s="4">
        <v>14996</v>
      </c>
      <c r="M1367" s="6"/>
      <c r="AK1367" s="7"/>
      <c r="AO1367" s="4" t="s">
        <v>4834</v>
      </c>
      <c r="AP1367" s="4">
        <v>2470</v>
      </c>
      <c r="AQ1367" s="4" t="s">
        <v>1716</v>
      </c>
      <c r="AR1367" s="4" t="s">
        <v>1717</v>
      </c>
      <c r="AS1367" s="4" t="s">
        <v>1740</v>
      </c>
      <c r="AT1367" s="4" t="s">
        <v>1741</v>
      </c>
      <c r="AU1367" s="4" t="s">
        <v>1742</v>
      </c>
      <c r="AV1367" s="4" t="s">
        <v>1720</v>
      </c>
      <c r="AW1367" s="4" t="s">
        <v>2368</v>
      </c>
      <c r="AX1367" s="4" t="s">
        <v>2516</v>
      </c>
      <c r="AY1367" s="4">
        <v>49.133299999999998</v>
      </c>
      <c r="AZ1367" s="4">
        <v>-120.05</v>
      </c>
      <c r="BA1367" s="4">
        <v>1380</v>
      </c>
    </row>
    <row r="1368" spans="1:53" ht="14.25" customHeight="1" x14ac:dyDescent="0.2">
      <c r="A1368" s="4" t="s">
        <v>422</v>
      </c>
      <c r="B1368" s="4">
        <v>12</v>
      </c>
      <c r="C1368" s="4" t="s">
        <v>7666</v>
      </c>
      <c r="D1368" s="4">
        <v>2490</v>
      </c>
      <c r="E1368" s="4">
        <v>13075</v>
      </c>
      <c r="G1368" s="4" t="s">
        <v>127</v>
      </c>
      <c r="H1368" s="4" t="s">
        <v>4835</v>
      </c>
      <c r="I1368" s="4" t="s">
        <v>49</v>
      </c>
      <c r="J1368" s="4" t="s">
        <v>1746</v>
      </c>
      <c r="K1368" s="4">
        <v>1</v>
      </c>
      <c r="L1368" s="4">
        <v>14997</v>
      </c>
      <c r="M1368" s="6"/>
      <c r="AK1368" s="7"/>
      <c r="AO1368" s="4" t="s">
        <v>4836</v>
      </c>
      <c r="AP1368" s="4">
        <v>2490</v>
      </c>
      <c r="AQ1368" s="4" t="s">
        <v>1716</v>
      </c>
      <c r="AR1368" s="4" t="s">
        <v>1717</v>
      </c>
      <c r="AS1368" s="4" t="s">
        <v>1740</v>
      </c>
      <c r="AT1368" s="4" t="s">
        <v>1741</v>
      </c>
      <c r="AU1368" s="4" t="s">
        <v>1742</v>
      </c>
      <c r="AV1368" s="4" t="s">
        <v>1720</v>
      </c>
      <c r="AW1368" s="4" t="s">
        <v>2698</v>
      </c>
      <c r="AX1368" s="4" t="s">
        <v>2902</v>
      </c>
      <c r="AY1368" s="4">
        <v>49.048999999999999</v>
      </c>
      <c r="AZ1368" s="4">
        <v>-115.04600000000001</v>
      </c>
      <c r="BA1368" s="4">
        <v>1121</v>
      </c>
    </row>
    <row r="1369" spans="1:53" ht="14.25" customHeight="1" x14ac:dyDescent="0.2">
      <c r="A1369" s="4" t="s">
        <v>1908</v>
      </c>
      <c r="B1369" s="4">
        <v>12</v>
      </c>
      <c r="C1369" s="4" t="s">
        <v>7666</v>
      </c>
      <c r="D1369" s="4">
        <v>2512</v>
      </c>
      <c r="E1369" s="4">
        <v>13078</v>
      </c>
      <c r="F1369" s="10" t="s">
        <v>4837</v>
      </c>
      <c r="G1369" s="8" t="s">
        <v>4838</v>
      </c>
      <c r="H1369" s="4" t="s">
        <v>4839</v>
      </c>
      <c r="I1369" s="4" t="s">
        <v>49</v>
      </c>
      <c r="J1369" s="4" t="s">
        <v>1746</v>
      </c>
      <c r="K1369" s="4">
        <v>1</v>
      </c>
      <c r="L1369" s="4">
        <v>15000</v>
      </c>
      <c r="M1369" s="6"/>
      <c r="AK1369" s="7"/>
      <c r="AO1369" s="4" t="s">
        <v>4840</v>
      </c>
      <c r="AP1369" s="4">
        <v>2512</v>
      </c>
      <c r="AQ1369" s="4" t="s">
        <v>1716</v>
      </c>
      <c r="AR1369" s="4" t="s">
        <v>1717</v>
      </c>
      <c r="AS1369" s="4" t="s">
        <v>1740</v>
      </c>
      <c r="AT1369" s="4" t="s">
        <v>1703</v>
      </c>
      <c r="AU1369" s="4" t="s">
        <v>1742</v>
      </c>
      <c r="AV1369" s="4" t="s">
        <v>1720</v>
      </c>
      <c r="AW1369" s="4" t="s">
        <v>2368</v>
      </c>
      <c r="AX1369" s="4" t="s">
        <v>2369</v>
      </c>
      <c r="AY1369" s="4">
        <v>51.765000000000001</v>
      </c>
      <c r="AZ1369" s="4">
        <v>-119.6751</v>
      </c>
      <c r="BA1369" s="4">
        <v>920</v>
      </c>
    </row>
    <row r="1370" spans="1:53" ht="14.25" customHeight="1" x14ac:dyDescent="0.2">
      <c r="A1370" s="4" t="s">
        <v>1908</v>
      </c>
      <c r="B1370" s="4">
        <v>12</v>
      </c>
      <c r="C1370" s="4" t="s">
        <v>7666</v>
      </c>
      <c r="D1370" s="4">
        <v>2513</v>
      </c>
      <c r="E1370" s="4">
        <v>13079</v>
      </c>
      <c r="F1370" s="10" t="s">
        <v>4841</v>
      </c>
      <c r="G1370" s="8" t="s">
        <v>4842</v>
      </c>
      <c r="H1370" s="4" t="s">
        <v>4843</v>
      </c>
      <c r="I1370" s="4" t="s">
        <v>49</v>
      </c>
      <c r="J1370" s="4" t="s">
        <v>1891</v>
      </c>
      <c r="K1370" s="4">
        <v>1</v>
      </c>
      <c r="L1370" s="4">
        <v>15001</v>
      </c>
      <c r="M1370" s="6"/>
      <c r="AK1370" s="7"/>
      <c r="AO1370" s="4" t="s">
        <v>4844</v>
      </c>
      <c r="AP1370" s="4">
        <v>2513</v>
      </c>
      <c r="AQ1370" s="4" t="s">
        <v>1716</v>
      </c>
      <c r="AR1370" s="4" t="s">
        <v>1701</v>
      </c>
      <c r="AS1370" s="4" t="s">
        <v>1740</v>
      </c>
      <c r="AT1370" s="4" t="s">
        <v>1703</v>
      </c>
      <c r="AU1370" s="4" t="s">
        <v>1704</v>
      </c>
      <c r="AV1370" s="4" t="s">
        <v>1720</v>
      </c>
      <c r="AW1370" s="4" t="s">
        <v>2368</v>
      </c>
      <c r="AX1370" s="4" t="s">
        <v>2369</v>
      </c>
      <c r="AY1370" s="4">
        <v>51.556100000000001</v>
      </c>
      <c r="AZ1370" s="4">
        <v>-119.73820000000001</v>
      </c>
      <c r="BA1370" s="4">
        <v>1069</v>
      </c>
    </row>
    <row r="1371" spans="1:53" ht="14.25" customHeight="1" x14ac:dyDescent="0.2">
      <c r="A1371" s="4" t="s">
        <v>422</v>
      </c>
      <c r="B1371" s="4">
        <v>12</v>
      </c>
      <c r="C1371" s="4" t="s">
        <v>7666</v>
      </c>
      <c r="D1371" s="4">
        <v>2550</v>
      </c>
      <c r="E1371" s="4">
        <v>13080</v>
      </c>
      <c r="G1371" s="4" t="s">
        <v>127</v>
      </c>
      <c r="H1371" s="4" t="s">
        <v>4845</v>
      </c>
      <c r="I1371" s="4" t="s">
        <v>49</v>
      </c>
      <c r="J1371" s="4" t="s">
        <v>1746</v>
      </c>
      <c r="K1371" s="4">
        <v>1</v>
      </c>
      <c r="L1371" s="4">
        <v>15002</v>
      </c>
      <c r="M1371" s="6"/>
      <c r="AK1371" s="7"/>
      <c r="AO1371" s="4" t="s">
        <v>4846</v>
      </c>
      <c r="AP1371" s="4">
        <v>2550</v>
      </c>
      <c r="AQ1371" s="4" t="s">
        <v>1716</v>
      </c>
      <c r="AR1371" s="4" t="s">
        <v>1717</v>
      </c>
      <c r="AS1371" s="4" t="s">
        <v>1740</v>
      </c>
      <c r="AT1371" s="4" t="s">
        <v>1741</v>
      </c>
      <c r="AU1371" s="4" t="s">
        <v>1742</v>
      </c>
      <c r="AV1371" s="4" t="s">
        <v>1720</v>
      </c>
      <c r="AW1371" s="4" t="s">
        <v>2698</v>
      </c>
      <c r="AX1371" s="4" t="s">
        <v>2801</v>
      </c>
      <c r="AY1371" s="4">
        <v>49.632800000000003</v>
      </c>
      <c r="AZ1371" s="4">
        <v>-117.0925</v>
      </c>
      <c r="BA1371" s="4">
        <v>1090</v>
      </c>
    </row>
    <row r="1372" spans="1:53" ht="14.25" customHeight="1" x14ac:dyDescent="0.2">
      <c r="A1372" s="4" t="s">
        <v>422</v>
      </c>
      <c r="B1372" s="4">
        <v>12</v>
      </c>
      <c r="C1372" s="4" t="s">
        <v>7666</v>
      </c>
      <c r="D1372" s="4">
        <v>2570</v>
      </c>
      <c r="E1372" s="4">
        <v>13132</v>
      </c>
      <c r="G1372" s="4" t="s">
        <v>127</v>
      </c>
      <c r="H1372" s="4" t="s">
        <v>4847</v>
      </c>
      <c r="I1372" s="4" t="s">
        <v>49</v>
      </c>
      <c r="J1372" s="4" t="s">
        <v>1746</v>
      </c>
      <c r="K1372" s="4">
        <v>1</v>
      </c>
      <c r="L1372" s="4">
        <v>15054</v>
      </c>
      <c r="M1372" s="6"/>
      <c r="AK1372" s="7"/>
      <c r="AO1372" s="4" t="s">
        <v>4848</v>
      </c>
      <c r="AP1372" s="4">
        <v>2570</v>
      </c>
      <c r="AQ1372" s="4" t="s">
        <v>1716</v>
      </c>
      <c r="AR1372" s="4" t="s">
        <v>1717</v>
      </c>
      <c r="AS1372" s="4" t="s">
        <v>1740</v>
      </c>
      <c r="AT1372" s="4" t="s">
        <v>1741</v>
      </c>
      <c r="AU1372" s="4" t="s">
        <v>1742</v>
      </c>
      <c r="AV1372" s="4" t="s">
        <v>1720</v>
      </c>
      <c r="AW1372" s="4" t="s">
        <v>2698</v>
      </c>
      <c r="AX1372" s="4" t="s">
        <v>2797</v>
      </c>
      <c r="AY1372" s="4">
        <v>49.418900000000001</v>
      </c>
      <c r="AZ1372" s="4">
        <v>-118.0517</v>
      </c>
      <c r="BA1372" s="4">
        <v>655</v>
      </c>
    </row>
    <row r="1373" spans="1:53" ht="14.25" customHeight="1" x14ac:dyDescent="0.2">
      <c r="A1373" s="4" t="s">
        <v>422</v>
      </c>
      <c r="B1373" s="4">
        <v>12</v>
      </c>
      <c r="C1373" s="4" t="s">
        <v>7666</v>
      </c>
      <c r="D1373" s="4">
        <v>2591</v>
      </c>
      <c r="E1373" s="4">
        <v>13133</v>
      </c>
      <c r="G1373" s="4" t="s">
        <v>127</v>
      </c>
      <c r="H1373" s="4" t="s">
        <v>4849</v>
      </c>
      <c r="I1373" s="4" t="s">
        <v>49</v>
      </c>
      <c r="J1373" s="4" t="s">
        <v>1746</v>
      </c>
      <c r="K1373" s="4">
        <v>1</v>
      </c>
      <c r="L1373" s="4">
        <v>15055</v>
      </c>
      <c r="M1373" s="6"/>
      <c r="AK1373" s="7"/>
      <c r="AO1373" s="4" t="s">
        <v>4850</v>
      </c>
      <c r="AP1373" s="4">
        <v>2591</v>
      </c>
      <c r="AQ1373" s="4" t="s">
        <v>1716</v>
      </c>
      <c r="AR1373" s="4" t="s">
        <v>1717</v>
      </c>
      <c r="AS1373" s="4" t="s">
        <v>1740</v>
      </c>
      <c r="AT1373" s="4" t="s">
        <v>1741</v>
      </c>
      <c r="AU1373" s="4" t="s">
        <v>1742</v>
      </c>
      <c r="AV1373" s="4" t="s">
        <v>1720</v>
      </c>
      <c r="AW1373" s="4" t="s">
        <v>2698</v>
      </c>
      <c r="AX1373" s="4" t="s">
        <v>2902</v>
      </c>
      <c r="AY1373" s="4">
        <v>49.116700000000002</v>
      </c>
      <c r="AZ1373" s="4">
        <v>-118.0667</v>
      </c>
      <c r="BA1373" s="4">
        <v>1093</v>
      </c>
    </row>
    <row r="1374" spans="1:53" ht="14.25" customHeight="1" x14ac:dyDescent="0.2">
      <c r="A1374" s="4" t="s">
        <v>422</v>
      </c>
      <c r="B1374" s="4">
        <v>12</v>
      </c>
      <c r="C1374" s="4" t="s">
        <v>7666</v>
      </c>
      <c r="D1374" s="4">
        <v>2593</v>
      </c>
      <c r="E1374" s="4">
        <v>13134</v>
      </c>
      <c r="G1374" s="4" t="s">
        <v>127</v>
      </c>
      <c r="H1374" s="4" t="s">
        <v>4851</v>
      </c>
      <c r="I1374" s="4" t="s">
        <v>49</v>
      </c>
      <c r="J1374" s="4" t="s">
        <v>1746</v>
      </c>
      <c r="K1374" s="4">
        <v>1</v>
      </c>
      <c r="L1374" s="4">
        <v>15056</v>
      </c>
      <c r="M1374" s="6"/>
      <c r="AK1374" s="7"/>
      <c r="AO1374" s="4" t="s">
        <v>4852</v>
      </c>
      <c r="AP1374" s="4">
        <v>2593</v>
      </c>
      <c r="AQ1374" s="4" t="s">
        <v>1716</v>
      </c>
      <c r="AR1374" s="4" t="s">
        <v>1717</v>
      </c>
      <c r="AS1374" s="4" t="s">
        <v>1740</v>
      </c>
      <c r="AT1374" s="4" t="s">
        <v>1741</v>
      </c>
      <c r="AU1374" s="4" t="s">
        <v>1742</v>
      </c>
      <c r="AV1374" s="4" t="s">
        <v>1720</v>
      </c>
      <c r="AW1374" s="4" t="s">
        <v>2698</v>
      </c>
      <c r="AY1374" s="4">
        <v>50.118899999999996</v>
      </c>
      <c r="AZ1374" s="4">
        <v>-116.8984</v>
      </c>
      <c r="BA1374" s="4">
        <v>885</v>
      </c>
    </row>
    <row r="1375" spans="1:53" ht="14.25" customHeight="1" x14ac:dyDescent="0.2">
      <c r="A1375" s="4" t="s">
        <v>422</v>
      </c>
      <c r="B1375" s="4">
        <v>12</v>
      </c>
      <c r="C1375" s="4" t="s">
        <v>7666</v>
      </c>
      <c r="D1375" s="4">
        <v>2630</v>
      </c>
      <c r="E1375" s="4">
        <v>13144</v>
      </c>
      <c r="G1375" s="4" t="s">
        <v>127</v>
      </c>
      <c r="H1375" s="4" t="s">
        <v>4853</v>
      </c>
      <c r="I1375" s="4" t="s">
        <v>49</v>
      </c>
      <c r="J1375" s="4" t="s">
        <v>1746</v>
      </c>
      <c r="K1375" s="4">
        <v>1</v>
      </c>
      <c r="L1375" s="4">
        <v>15066</v>
      </c>
      <c r="M1375" s="6"/>
      <c r="AK1375" s="7"/>
      <c r="AO1375" s="4" t="s">
        <v>4854</v>
      </c>
      <c r="AP1375" s="4">
        <v>2630</v>
      </c>
      <c r="AQ1375" s="4" t="s">
        <v>1716</v>
      </c>
      <c r="AR1375" s="4" t="s">
        <v>1717</v>
      </c>
      <c r="AS1375" s="4" t="s">
        <v>1740</v>
      </c>
      <c r="AT1375" s="4" t="s">
        <v>1741</v>
      </c>
      <c r="AU1375" s="4" t="s">
        <v>1742</v>
      </c>
      <c r="AV1375" s="4" t="s">
        <v>1720</v>
      </c>
      <c r="AW1375" s="4" t="s">
        <v>2698</v>
      </c>
      <c r="AX1375" s="4" t="s">
        <v>2797</v>
      </c>
      <c r="AY1375" s="4">
        <v>49.636800000000001</v>
      </c>
      <c r="AZ1375" s="4">
        <v>-117.5189</v>
      </c>
      <c r="BA1375" s="4">
        <v>820</v>
      </c>
    </row>
    <row r="1376" spans="1:53" ht="14.25" customHeight="1" x14ac:dyDescent="0.2">
      <c r="A1376" s="4" t="s">
        <v>422</v>
      </c>
      <c r="B1376" s="4">
        <v>12</v>
      </c>
      <c r="C1376" s="4" t="s">
        <v>7666</v>
      </c>
      <c r="D1376" s="4">
        <v>2710</v>
      </c>
      <c r="E1376" s="4">
        <v>13178</v>
      </c>
      <c r="G1376" s="4" t="s">
        <v>127</v>
      </c>
      <c r="H1376" s="4" t="s">
        <v>4855</v>
      </c>
      <c r="I1376" s="4" t="s">
        <v>49</v>
      </c>
      <c r="J1376" s="4" t="s">
        <v>1746</v>
      </c>
      <c r="K1376" s="4">
        <v>1</v>
      </c>
      <c r="L1376" s="4">
        <v>15100</v>
      </c>
      <c r="M1376" s="6"/>
      <c r="AK1376" s="7"/>
      <c r="AO1376" s="4" t="s">
        <v>4856</v>
      </c>
      <c r="AP1376" s="4">
        <v>2710</v>
      </c>
      <c r="AQ1376" s="4" t="s">
        <v>1716</v>
      </c>
      <c r="AR1376" s="4" t="s">
        <v>1717</v>
      </c>
      <c r="AS1376" s="4" t="s">
        <v>1740</v>
      </c>
      <c r="AT1376" s="4" t="s">
        <v>1741</v>
      </c>
      <c r="AU1376" s="4" t="s">
        <v>1742</v>
      </c>
      <c r="AV1376" s="4" t="s">
        <v>1720</v>
      </c>
      <c r="AW1376" s="4" t="s">
        <v>2698</v>
      </c>
      <c r="AX1376" s="4" t="s">
        <v>2827</v>
      </c>
      <c r="AY1376" s="4">
        <v>49.115699999999997</v>
      </c>
      <c r="AZ1376" s="4">
        <v>-118.0775</v>
      </c>
      <c r="BA1376" s="4">
        <v>1500</v>
      </c>
    </row>
    <row r="1377" spans="1:53" ht="14.25" customHeight="1" x14ac:dyDescent="0.2">
      <c r="A1377" s="4" t="s">
        <v>422</v>
      </c>
      <c r="B1377" s="4">
        <v>12</v>
      </c>
      <c r="C1377" s="4" t="s">
        <v>7666</v>
      </c>
      <c r="D1377" s="4">
        <v>2750</v>
      </c>
      <c r="E1377" s="4">
        <v>13179</v>
      </c>
      <c r="G1377" s="4" t="s">
        <v>127</v>
      </c>
      <c r="H1377" s="4" t="s">
        <v>4857</v>
      </c>
      <c r="I1377" s="4" t="s">
        <v>49</v>
      </c>
      <c r="J1377" s="4" t="s">
        <v>1746</v>
      </c>
      <c r="K1377" s="4">
        <v>1</v>
      </c>
      <c r="L1377" s="4">
        <v>15101</v>
      </c>
      <c r="M1377" s="6"/>
      <c r="AK1377" s="7"/>
      <c r="AO1377" s="4" t="s">
        <v>4858</v>
      </c>
      <c r="AP1377" s="4">
        <v>2750</v>
      </c>
      <c r="AQ1377" s="4" t="s">
        <v>1716</v>
      </c>
      <c r="AR1377" s="4" t="s">
        <v>1717</v>
      </c>
      <c r="AS1377" s="4" t="s">
        <v>1740</v>
      </c>
      <c r="AT1377" s="4" t="s">
        <v>1741</v>
      </c>
      <c r="AU1377" s="4" t="s">
        <v>1742</v>
      </c>
      <c r="AV1377" s="4" t="s">
        <v>1720</v>
      </c>
      <c r="AW1377" s="4" t="s">
        <v>2698</v>
      </c>
      <c r="AX1377" s="4" t="s">
        <v>2797</v>
      </c>
      <c r="AY1377" s="4">
        <v>50.052700000000002</v>
      </c>
      <c r="AZ1377" s="4">
        <v>-117.80500000000001</v>
      </c>
      <c r="BA1377" s="4">
        <v>1320</v>
      </c>
    </row>
    <row r="1378" spans="1:53" ht="14.25" customHeight="1" x14ac:dyDescent="0.2">
      <c r="A1378" s="4" t="s">
        <v>422</v>
      </c>
      <c r="B1378" s="4">
        <v>12</v>
      </c>
      <c r="C1378" s="4" t="s">
        <v>7666</v>
      </c>
      <c r="D1378" s="4">
        <v>2770</v>
      </c>
      <c r="E1378" s="4">
        <v>13180</v>
      </c>
      <c r="G1378" s="4" t="s">
        <v>127</v>
      </c>
      <c r="H1378" s="4" t="s">
        <v>4859</v>
      </c>
      <c r="I1378" s="4" t="s">
        <v>49</v>
      </c>
      <c r="J1378" s="4" t="s">
        <v>1746</v>
      </c>
      <c r="K1378" s="4">
        <v>1</v>
      </c>
      <c r="L1378" s="4">
        <v>15102</v>
      </c>
      <c r="M1378" s="6"/>
      <c r="AK1378" s="7"/>
      <c r="AO1378" s="4" t="s">
        <v>4860</v>
      </c>
      <c r="AP1378" s="4">
        <v>2770</v>
      </c>
      <c r="AQ1378" s="4" t="s">
        <v>1716</v>
      </c>
      <c r="AR1378" s="4" t="s">
        <v>1717</v>
      </c>
      <c r="AS1378" s="4" t="s">
        <v>1740</v>
      </c>
      <c r="AT1378" s="4" t="s">
        <v>1741</v>
      </c>
      <c r="AU1378" s="4" t="s">
        <v>1742</v>
      </c>
      <c r="AV1378" s="4" t="s">
        <v>1720</v>
      </c>
      <c r="AW1378" s="4" t="s">
        <v>2003</v>
      </c>
      <c r="AX1378" s="4" t="s">
        <v>2004</v>
      </c>
      <c r="AY1378" s="4">
        <v>57.333300000000001</v>
      </c>
      <c r="AZ1378" s="4">
        <v>-122.0167</v>
      </c>
      <c r="BA1378" s="4">
        <v>1000</v>
      </c>
    </row>
    <row r="1379" spans="1:53" ht="14.25" customHeight="1" x14ac:dyDescent="0.2">
      <c r="A1379" s="4" t="s">
        <v>422</v>
      </c>
      <c r="B1379" s="4">
        <v>12</v>
      </c>
      <c r="C1379" s="4" t="s">
        <v>7666</v>
      </c>
      <c r="D1379" s="4">
        <v>2810</v>
      </c>
      <c r="E1379" s="4">
        <v>13181</v>
      </c>
      <c r="G1379" s="4" t="s">
        <v>127</v>
      </c>
      <c r="H1379" s="4" t="s">
        <v>4861</v>
      </c>
      <c r="I1379" s="4" t="s">
        <v>49</v>
      </c>
      <c r="J1379" s="4" t="s">
        <v>1746</v>
      </c>
      <c r="K1379" s="4">
        <v>1</v>
      </c>
      <c r="L1379" s="4">
        <v>15103</v>
      </c>
      <c r="M1379" s="6"/>
      <c r="AK1379" s="7"/>
      <c r="AO1379" s="4" t="s">
        <v>4862</v>
      </c>
      <c r="AP1379" s="4">
        <v>2810</v>
      </c>
      <c r="AQ1379" s="4" t="s">
        <v>1716</v>
      </c>
      <c r="AR1379" s="4" t="s">
        <v>1717</v>
      </c>
      <c r="AS1379" s="4" t="s">
        <v>1740</v>
      </c>
      <c r="AT1379" s="4" t="s">
        <v>1741</v>
      </c>
      <c r="AU1379" s="4" t="s">
        <v>1742</v>
      </c>
      <c r="AV1379" s="4" t="s">
        <v>1720</v>
      </c>
      <c r="AW1379" s="4" t="s">
        <v>2003</v>
      </c>
      <c r="AX1379" s="4" t="s">
        <v>2087</v>
      </c>
      <c r="AY1379" s="4">
        <v>56.106299999999997</v>
      </c>
      <c r="AZ1379" s="4">
        <v>-124.4888</v>
      </c>
      <c r="BA1379" s="4">
        <v>750</v>
      </c>
    </row>
    <row r="1380" spans="1:53" ht="14.25" customHeight="1" x14ac:dyDescent="0.2">
      <c r="A1380" s="4" t="s">
        <v>422</v>
      </c>
      <c r="B1380" s="4">
        <v>12</v>
      </c>
      <c r="C1380" s="4" t="s">
        <v>7666</v>
      </c>
      <c r="D1380" s="4">
        <v>2850</v>
      </c>
      <c r="E1380" s="4">
        <v>13194</v>
      </c>
      <c r="G1380" s="4" t="s">
        <v>127</v>
      </c>
      <c r="H1380" s="4" t="s">
        <v>4863</v>
      </c>
      <c r="I1380" s="4" t="s">
        <v>49</v>
      </c>
      <c r="J1380" s="4" t="s">
        <v>1746</v>
      </c>
      <c r="K1380" s="4">
        <v>1</v>
      </c>
      <c r="L1380" s="4">
        <v>15110</v>
      </c>
      <c r="M1380" s="6"/>
      <c r="AK1380" s="7"/>
      <c r="AO1380" s="4" t="s">
        <v>4864</v>
      </c>
      <c r="AP1380" s="4">
        <v>2850</v>
      </c>
      <c r="AQ1380" s="4" t="s">
        <v>1716</v>
      </c>
      <c r="AR1380" s="4" t="s">
        <v>1717</v>
      </c>
      <c r="AS1380" s="4" t="s">
        <v>1740</v>
      </c>
      <c r="AT1380" s="4" t="s">
        <v>1741</v>
      </c>
      <c r="AU1380" s="4" t="s">
        <v>1742</v>
      </c>
      <c r="AV1380" s="4" t="s">
        <v>1720</v>
      </c>
      <c r="AW1380" s="4" t="s">
        <v>2003</v>
      </c>
      <c r="AX1380" s="4" t="s">
        <v>2099</v>
      </c>
      <c r="AY1380" s="4">
        <v>55.747199999999999</v>
      </c>
      <c r="AZ1380" s="4">
        <v>-125.56610000000001</v>
      </c>
      <c r="BA1380" s="4">
        <v>963</v>
      </c>
    </row>
    <row r="1381" spans="1:53" ht="14.25" customHeight="1" x14ac:dyDescent="0.2">
      <c r="A1381" s="4" t="s">
        <v>422</v>
      </c>
      <c r="B1381" s="4">
        <v>12</v>
      </c>
      <c r="C1381" s="4" t="s">
        <v>7666</v>
      </c>
      <c r="D1381" s="4">
        <v>2871</v>
      </c>
      <c r="E1381" s="4">
        <v>13195</v>
      </c>
      <c r="G1381" s="4" t="s">
        <v>127</v>
      </c>
      <c r="H1381" s="4" t="s">
        <v>4865</v>
      </c>
      <c r="I1381" s="4" t="s">
        <v>49</v>
      </c>
      <c r="J1381" s="4" t="s">
        <v>1746</v>
      </c>
      <c r="K1381" s="4">
        <v>1</v>
      </c>
      <c r="L1381" s="4">
        <v>15111</v>
      </c>
      <c r="M1381" s="6"/>
      <c r="AK1381" s="7"/>
      <c r="AO1381" s="4" t="s">
        <v>4866</v>
      </c>
      <c r="AP1381" s="4">
        <v>2871</v>
      </c>
      <c r="AQ1381" s="4" t="s">
        <v>1716</v>
      </c>
      <c r="AR1381" s="4" t="s">
        <v>1717</v>
      </c>
      <c r="AS1381" s="4" t="s">
        <v>1740</v>
      </c>
      <c r="AT1381" s="4" t="s">
        <v>1741</v>
      </c>
      <c r="AU1381" s="4" t="s">
        <v>1742</v>
      </c>
      <c r="AV1381" s="4" t="s">
        <v>1720</v>
      </c>
      <c r="AW1381" s="4" t="s">
        <v>2193</v>
      </c>
      <c r="AY1381" s="4">
        <v>53.238100000000003</v>
      </c>
      <c r="AZ1381" s="4">
        <v>-123.535</v>
      </c>
      <c r="BA1381" s="4">
        <v>840</v>
      </c>
    </row>
    <row r="1382" spans="1:53" ht="14.25" customHeight="1" x14ac:dyDescent="0.2">
      <c r="A1382" s="4" t="s">
        <v>422</v>
      </c>
      <c r="B1382" s="4">
        <v>12</v>
      </c>
      <c r="C1382" s="4" t="s">
        <v>7666</v>
      </c>
      <c r="D1382" s="4">
        <v>2890</v>
      </c>
      <c r="E1382" s="4">
        <v>13196</v>
      </c>
      <c r="G1382" s="4" t="s">
        <v>127</v>
      </c>
      <c r="H1382" s="4" t="s">
        <v>4867</v>
      </c>
      <c r="I1382" s="4" t="s">
        <v>49</v>
      </c>
      <c r="J1382" s="4" t="s">
        <v>1746</v>
      </c>
      <c r="K1382" s="4">
        <v>1</v>
      </c>
      <c r="L1382" s="4">
        <v>15112</v>
      </c>
      <c r="M1382" s="6"/>
      <c r="AK1382" s="7"/>
      <c r="AO1382" s="4" t="s">
        <v>4868</v>
      </c>
      <c r="AP1382" s="4">
        <v>2890</v>
      </c>
      <c r="AQ1382" s="4" t="s">
        <v>1716</v>
      </c>
      <c r="AR1382" s="4" t="s">
        <v>1717</v>
      </c>
      <c r="AS1382" s="4" t="s">
        <v>1740</v>
      </c>
      <c r="AT1382" s="4" t="s">
        <v>1741</v>
      </c>
      <c r="AU1382" s="4" t="s">
        <v>1742</v>
      </c>
      <c r="AV1382" s="4" t="s">
        <v>1720</v>
      </c>
      <c r="AW1382" s="4" t="s">
        <v>2368</v>
      </c>
      <c r="AX1382" s="4" t="s">
        <v>2505</v>
      </c>
      <c r="AY1382" s="4">
        <v>50.649500000000003</v>
      </c>
      <c r="AZ1382" s="4">
        <v>-122.4195</v>
      </c>
      <c r="BA1382" s="4">
        <v>532</v>
      </c>
    </row>
    <row r="1383" spans="1:53" ht="14.25" customHeight="1" x14ac:dyDescent="0.2">
      <c r="A1383" s="4" t="s">
        <v>422</v>
      </c>
      <c r="B1383" s="4">
        <v>12</v>
      </c>
      <c r="C1383" s="4" t="s">
        <v>7666</v>
      </c>
      <c r="D1383" s="4">
        <v>2910</v>
      </c>
      <c r="E1383" s="4">
        <v>13197</v>
      </c>
      <c r="G1383" s="4" t="s">
        <v>127</v>
      </c>
      <c r="H1383" s="4" t="s">
        <v>4869</v>
      </c>
      <c r="I1383" s="4" t="s">
        <v>49</v>
      </c>
      <c r="J1383" s="4" t="s">
        <v>1746</v>
      </c>
      <c r="K1383" s="4">
        <v>1</v>
      </c>
      <c r="L1383" s="4">
        <v>15113</v>
      </c>
      <c r="M1383" s="6"/>
      <c r="AK1383" s="7"/>
      <c r="AO1383" s="4" t="s">
        <v>4870</v>
      </c>
      <c r="AP1383" s="4">
        <v>2910</v>
      </c>
      <c r="AQ1383" s="4" t="s">
        <v>1716</v>
      </c>
      <c r="AR1383" s="4" t="s">
        <v>1717</v>
      </c>
      <c r="AS1383" s="4" t="s">
        <v>1740</v>
      </c>
      <c r="AT1383" s="4" t="s">
        <v>1741</v>
      </c>
      <c r="AU1383" s="4" t="s">
        <v>1742</v>
      </c>
      <c r="AV1383" s="4" t="s">
        <v>1720</v>
      </c>
      <c r="AW1383" s="4" t="s">
        <v>2368</v>
      </c>
      <c r="AX1383" s="4" t="s">
        <v>2369</v>
      </c>
      <c r="AY1383" s="4">
        <v>51</v>
      </c>
      <c r="AZ1383" s="4">
        <v>-119.8167</v>
      </c>
      <c r="BA1383" s="4">
        <v>1541</v>
      </c>
    </row>
    <row r="1384" spans="1:53" ht="14.25" customHeight="1" x14ac:dyDescent="0.2">
      <c r="A1384" s="4" t="s">
        <v>422</v>
      </c>
      <c r="B1384" s="4">
        <v>12</v>
      </c>
      <c r="C1384" s="4" t="s">
        <v>7666</v>
      </c>
      <c r="D1384" s="4">
        <v>2930</v>
      </c>
      <c r="E1384" s="4">
        <v>13199</v>
      </c>
      <c r="G1384" s="4" t="s">
        <v>127</v>
      </c>
      <c r="H1384" s="4" t="s">
        <v>4871</v>
      </c>
      <c r="I1384" s="4" t="s">
        <v>49</v>
      </c>
      <c r="J1384" s="4" t="s">
        <v>1746</v>
      </c>
      <c r="K1384" s="4">
        <v>1</v>
      </c>
      <c r="L1384" s="4">
        <v>15115</v>
      </c>
      <c r="M1384" s="6"/>
      <c r="AK1384" s="7"/>
      <c r="AO1384" s="4" t="s">
        <v>4872</v>
      </c>
      <c r="AP1384" s="4">
        <v>2930</v>
      </c>
      <c r="AQ1384" s="4" t="s">
        <v>1716</v>
      </c>
      <c r="AR1384" s="4" t="s">
        <v>1717</v>
      </c>
      <c r="AS1384" s="4" t="s">
        <v>1740</v>
      </c>
      <c r="AT1384" s="4" t="s">
        <v>1741</v>
      </c>
      <c r="AU1384" s="4" t="s">
        <v>1742</v>
      </c>
      <c r="AV1384" s="4" t="s">
        <v>1720</v>
      </c>
      <c r="AW1384" s="4" t="s">
        <v>2368</v>
      </c>
      <c r="AX1384" s="4" t="s">
        <v>2522</v>
      </c>
      <c r="AY1384" s="4">
        <v>50.166699999999999</v>
      </c>
      <c r="AZ1384" s="4">
        <v>-118.41670000000001</v>
      </c>
      <c r="BA1384" s="4">
        <v>971</v>
      </c>
    </row>
    <row r="1385" spans="1:53" ht="14.25" customHeight="1" x14ac:dyDescent="0.2">
      <c r="A1385" s="4" t="s">
        <v>422</v>
      </c>
      <c r="B1385" s="4">
        <v>12</v>
      </c>
      <c r="C1385" s="4" t="s">
        <v>7666</v>
      </c>
      <c r="D1385" s="4">
        <v>2950</v>
      </c>
      <c r="E1385" s="4">
        <v>13198</v>
      </c>
      <c r="G1385" s="4" t="s">
        <v>127</v>
      </c>
      <c r="H1385" s="4" t="s">
        <v>4873</v>
      </c>
      <c r="I1385" s="4" t="s">
        <v>49</v>
      </c>
      <c r="J1385" s="4" t="s">
        <v>1746</v>
      </c>
      <c r="K1385" s="4">
        <v>1</v>
      </c>
      <c r="L1385" s="4">
        <v>15114</v>
      </c>
      <c r="M1385" s="6"/>
      <c r="AK1385" s="7"/>
      <c r="AO1385" s="4" t="s">
        <v>4874</v>
      </c>
      <c r="AP1385" s="4">
        <v>2950</v>
      </c>
      <c r="AQ1385" s="4" t="s">
        <v>1716</v>
      </c>
      <c r="AR1385" s="4" t="s">
        <v>1717</v>
      </c>
      <c r="AS1385" s="4" t="s">
        <v>1740</v>
      </c>
      <c r="AT1385" s="4" t="s">
        <v>1835</v>
      </c>
      <c r="AU1385" s="4" t="s">
        <v>1742</v>
      </c>
      <c r="AV1385" s="4" t="s">
        <v>1720</v>
      </c>
      <c r="AW1385" s="4" t="s">
        <v>2368</v>
      </c>
      <c r="AX1385" s="4" t="s">
        <v>2369</v>
      </c>
      <c r="AY1385" s="4">
        <v>50.438600000000001</v>
      </c>
      <c r="AZ1385" s="4">
        <v>-120.3661</v>
      </c>
      <c r="BA1385" s="4">
        <v>1170</v>
      </c>
    </row>
    <row r="1386" spans="1:53" ht="14.25" customHeight="1" x14ac:dyDescent="0.2">
      <c r="A1386" s="4" t="s">
        <v>422</v>
      </c>
      <c r="B1386" s="4">
        <v>12</v>
      </c>
      <c r="C1386" s="4" t="s">
        <v>7666</v>
      </c>
      <c r="D1386" s="4">
        <v>2970</v>
      </c>
      <c r="E1386" s="4">
        <v>13201</v>
      </c>
      <c r="G1386" s="4" t="s">
        <v>127</v>
      </c>
      <c r="H1386" s="4" t="s">
        <v>4875</v>
      </c>
      <c r="I1386" s="4" t="s">
        <v>49</v>
      </c>
      <c r="J1386" s="4" t="s">
        <v>1746</v>
      </c>
      <c r="K1386" s="4">
        <v>1</v>
      </c>
      <c r="L1386" s="4">
        <v>15117</v>
      </c>
      <c r="M1386" s="6"/>
      <c r="AK1386" s="7"/>
      <c r="AO1386" s="4" t="s">
        <v>4876</v>
      </c>
      <c r="AP1386" s="4">
        <v>2970</v>
      </c>
      <c r="AQ1386" s="4" t="s">
        <v>1716</v>
      </c>
      <c r="AR1386" s="4" t="s">
        <v>1717</v>
      </c>
      <c r="AS1386" s="4" t="s">
        <v>1740</v>
      </c>
      <c r="AT1386" s="4" t="s">
        <v>1741</v>
      </c>
      <c r="AU1386" s="4" t="s">
        <v>1742</v>
      </c>
      <c r="AV1386" s="4" t="s">
        <v>1720</v>
      </c>
      <c r="AW1386" s="4" t="s">
        <v>2368</v>
      </c>
      <c r="AX1386" s="4" t="s">
        <v>2516</v>
      </c>
      <c r="AY1386" s="4">
        <v>49.95</v>
      </c>
      <c r="AZ1386" s="4">
        <v>-119.55</v>
      </c>
      <c r="BA1386" s="4">
        <v>738</v>
      </c>
    </row>
    <row r="1387" spans="1:53" ht="14.25" customHeight="1" x14ac:dyDescent="0.2">
      <c r="A1387" s="4" t="s">
        <v>422</v>
      </c>
      <c r="B1387" s="4">
        <v>12</v>
      </c>
      <c r="C1387" s="4" t="s">
        <v>7666</v>
      </c>
      <c r="D1387" s="4">
        <v>2990</v>
      </c>
      <c r="E1387" s="4">
        <v>13200</v>
      </c>
      <c r="G1387" s="4" t="s">
        <v>127</v>
      </c>
      <c r="H1387" s="4" t="s">
        <v>4877</v>
      </c>
      <c r="I1387" s="4" t="s">
        <v>49</v>
      </c>
      <c r="J1387" s="4" t="s">
        <v>1746</v>
      </c>
      <c r="K1387" s="4">
        <v>1</v>
      </c>
      <c r="L1387" s="4">
        <v>15116</v>
      </c>
      <c r="M1387" s="6"/>
      <c r="AK1387" s="7"/>
      <c r="AO1387" s="25" t="s">
        <v>4878</v>
      </c>
      <c r="AP1387" s="4">
        <v>2990</v>
      </c>
      <c r="AQ1387" s="4" t="s">
        <v>1716</v>
      </c>
      <c r="AR1387" s="4" t="s">
        <v>1717</v>
      </c>
      <c r="AS1387" s="4" t="s">
        <v>1740</v>
      </c>
      <c r="AT1387" s="4" t="s">
        <v>1835</v>
      </c>
      <c r="AU1387" s="4" t="s">
        <v>1742</v>
      </c>
      <c r="AV1387" s="4" t="s">
        <v>1720</v>
      </c>
      <c r="AW1387" s="4" t="s">
        <v>2368</v>
      </c>
      <c r="AX1387" s="4" t="s">
        <v>2505</v>
      </c>
      <c r="AY1387" s="4">
        <v>50.879800000000003</v>
      </c>
      <c r="AZ1387" s="4">
        <v>-122.2195</v>
      </c>
      <c r="BA1387" s="4">
        <v>860</v>
      </c>
    </row>
    <row r="1388" spans="1:53" ht="14.25" customHeight="1" x14ac:dyDescent="0.2">
      <c r="A1388" s="4" t="s">
        <v>422</v>
      </c>
      <c r="B1388" s="4">
        <v>12</v>
      </c>
      <c r="C1388" s="4" t="s">
        <v>7666</v>
      </c>
      <c r="D1388" s="4">
        <v>3010</v>
      </c>
      <c r="E1388" s="4">
        <v>13202</v>
      </c>
      <c r="G1388" s="4" t="s">
        <v>127</v>
      </c>
      <c r="H1388" s="4" t="s">
        <v>4879</v>
      </c>
      <c r="I1388" s="4" t="s">
        <v>49</v>
      </c>
      <c r="J1388" s="4" t="s">
        <v>1746</v>
      </c>
      <c r="K1388" s="4">
        <v>1</v>
      </c>
      <c r="L1388" s="4">
        <v>15118</v>
      </c>
      <c r="M1388" s="6"/>
      <c r="AK1388" s="7"/>
      <c r="AO1388" s="4" t="s">
        <v>4880</v>
      </c>
      <c r="AP1388" s="4">
        <v>3010</v>
      </c>
      <c r="AQ1388" s="4" t="s">
        <v>1716</v>
      </c>
      <c r="AR1388" s="4" t="s">
        <v>1717</v>
      </c>
      <c r="AS1388" s="4" t="s">
        <v>1740</v>
      </c>
      <c r="AT1388" s="4" t="s">
        <v>1741</v>
      </c>
      <c r="AU1388" s="4" t="s">
        <v>1742</v>
      </c>
      <c r="AV1388" s="4" t="s">
        <v>1720</v>
      </c>
      <c r="AW1388" s="4" t="s">
        <v>2368</v>
      </c>
      <c r="AX1388" s="4" t="s">
        <v>2522</v>
      </c>
      <c r="AY1388" s="4">
        <v>49.868600000000001</v>
      </c>
      <c r="AZ1388" s="4">
        <v>-119.6738</v>
      </c>
      <c r="BA1388" s="4">
        <v>750</v>
      </c>
    </row>
    <row r="1389" spans="1:53" ht="14.25" customHeight="1" x14ac:dyDescent="0.2">
      <c r="A1389" s="4" t="s">
        <v>422</v>
      </c>
      <c r="B1389" s="4">
        <v>12</v>
      </c>
      <c r="C1389" s="4" t="s">
        <v>7666</v>
      </c>
      <c r="D1389" s="4">
        <v>3030</v>
      </c>
      <c r="E1389" s="4">
        <v>13203</v>
      </c>
      <c r="G1389" s="4" t="s">
        <v>127</v>
      </c>
      <c r="H1389" s="4" t="s">
        <v>4881</v>
      </c>
      <c r="I1389" s="4" t="s">
        <v>49</v>
      </c>
      <c r="J1389" s="4" t="s">
        <v>1746</v>
      </c>
      <c r="K1389" s="4">
        <v>1</v>
      </c>
      <c r="L1389" s="4">
        <v>15119</v>
      </c>
      <c r="M1389" s="6"/>
      <c r="AK1389" s="7"/>
      <c r="AO1389" s="4" t="s">
        <v>4882</v>
      </c>
      <c r="AP1389" s="4">
        <v>3030</v>
      </c>
      <c r="AQ1389" s="4" t="s">
        <v>1716</v>
      </c>
      <c r="AR1389" s="4" t="s">
        <v>1717</v>
      </c>
      <c r="AS1389" s="4" t="s">
        <v>1740</v>
      </c>
      <c r="AT1389" s="4" t="s">
        <v>1835</v>
      </c>
      <c r="AU1389" s="4" t="s">
        <v>1742</v>
      </c>
      <c r="AV1389" s="4" t="s">
        <v>1720</v>
      </c>
      <c r="AW1389" s="4" t="s">
        <v>2368</v>
      </c>
      <c r="AX1389" s="4" t="s">
        <v>2522</v>
      </c>
      <c r="AY1389" s="4">
        <v>51.001899999999999</v>
      </c>
      <c r="AZ1389" s="4">
        <v>-119.3403</v>
      </c>
      <c r="BA1389" s="4">
        <v>1000</v>
      </c>
    </row>
    <row r="1390" spans="1:53" ht="14.25" customHeight="1" x14ac:dyDescent="0.2">
      <c r="A1390" s="4" t="s">
        <v>422</v>
      </c>
      <c r="B1390" s="4">
        <v>12</v>
      </c>
      <c r="C1390" s="4" t="s">
        <v>7666</v>
      </c>
      <c r="D1390" s="4">
        <v>3050</v>
      </c>
      <c r="E1390" s="4">
        <v>13204</v>
      </c>
      <c r="G1390" s="4" t="s">
        <v>127</v>
      </c>
      <c r="H1390" s="4" t="s">
        <v>4883</v>
      </c>
      <c r="I1390" s="4" t="s">
        <v>49</v>
      </c>
      <c r="J1390" s="4" t="s">
        <v>1746</v>
      </c>
      <c r="K1390" s="4">
        <v>1</v>
      </c>
      <c r="L1390" s="4">
        <v>15120</v>
      </c>
      <c r="M1390" s="6"/>
      <c r="AK1390" s="7"/>
      <c r="AO1390" s="4" t="s">
        <v>4884</v>
      </c>
      <c r="AP1390" s="4">
        <v>3050</v>
      </c>
      <c r="AQ1390" s="4" t="s">
        <v>1716</v>
      </c>
      <c r="AR1390" s="4" t="s">
        <v>1717</v>
      </c>
      <c r="AS1390" s="4" t="s">
        <v>1740</v>
      </c>
      <c r="AT1390" s="4" t="s">
        <v>1741</v>
      </c>
      <c r="AU1390" s="4" t="s">
        <v>1742</v>
      </c>
      <c r="AV1390" s="4" t="s">
        <v>1720</v>
      </c>
      <c r="AW1390" s="4" t="s">
        <v>2698</v>
      </c>
      <c r="AY1390" s="4">
        <v>49.033299999999997</v>
      </c>
      <c r="AZ1390" s="4">
        <v>-115.0333</v>
      </c>
      <c r="BA1390" s="4">
        <v>1103</v>
      </c>
    </row>
    <row r="1391" spans="1:53" ht="14.25" customHeight="1" x14ac:dyDescent="0.2">
      <c r="A1391" s="4" t="s">
        <v>422</v>
      </c>
      <c r="B1391" s="4">
        <v>12</v>
      </c>
      <c r="C1391" s="4" t="s">
        <v>7666</v>
      </c>
      <c r="D1391" s="4">
        <v>3090</v>
      </c>
      <c r="E1391" s="4">
        <v>13205</v>
      </c>
      <c r="G1391" s="4" t="s">
        <v>127</v>
      </c>
      <c r="H1391" s="4" t="s">
        <v>4885</v>
      </c>
      <c r="I1391" s="4" t="s">
        <v>49</v>
      </c>
      <c r="J1391" s="4" t="s">
        <v>4886</v>
      </c>
      <c r="K1391" s="4">
        <v>1</v>
      </c>
      <c r="L1391" s="4">
        <v>15121</v>
      </c>
      <c r="M1391" s="6"/>
      <c r="AK1391" s="7"/>
      <c r="AO1391" s="4" t="s">
        <v>4887</v>
      </c>
      <c r="AP1391" s="4">
        <v>3090</v>
      </c>
      <c r="AQ1391" s="4" t="s">
        <v>1716</v>
      </c>
      <c r="AR1391" s="4" t="s">
        <v>1717</v>
      </c>
      <c r="AS1391" s="4" t="s">
        <v>1740</v>
      </c>
      <c r="AT1391" s="4" t="s">
        <v>1741</v>
      </c>
      <c r="AU1391" s="4" t="s">
        <v>1742</v>
      </c>
      <c r="AV1391" s="4" t="s">
        <v>1720</v>
      </c>
      <c r="AW1391" s="4" t="s">
        <v>2368</v>
      </c>
      <c r="AX1391" s="4" t="s">
        <v>2369</v>
      </c>
      <c r="AY1391" s="4">
        <v>50.9619</v>
      </c>
      <c r="AZ1391" s="4">
        <v>-119.6879</v>
      </c>
      <c r="BA1391" s="4">
        <v>449</v>
      </c>
    </row>
    <row r="1392" spans="1:53" ht="14.25" customHeight="1" x14ac:dyDescent="0.2">
      <c r="A1392" s="4" t="s">
        <v>1908</v>
      </c>
      <c r="B1392" s="4">
        <v>12</v>
      </c>
      <c r="C1392" s="4" t="s">
        <v>7666</v>
      </c>
      <c r="D1392" s="4">
        <v>3110</v>
      </c>
      <c r="E1392" s="4">
        <v>13209</v>
      </c>
      <c r="F1392" s="10" t="s">
        <v>4888</v>
      </c>
      <c r="G1392" s="8" t="s">
        <v>4889</v>
      </c>
      <c r="H1392" s="4" t="s">
        <v>4890</v>
      </c>
      <c r="I1392" s="4" t="s">
        <v>49</v>
      </c>
      <c r="J1392" s="4" t="s">
        <v>1746</v>
      </c>
      <c r="K1392" s="4">
        <v>1</v>
      </c>
      <c r="L1392" s="4">
        <v>15125</v>
      </c>
      <c r="M1392" s="6">
        <v>49.816699999999997</v>
      </c>
      <c r="N1392" s="9">
        <v>-114.86669999999999</v>
      </c>
      <c r="O1392" s="9" t="s">
        <v>142</v>
      </c>
      <c r="P1392" s="9">
        <v>3110</v>
      </c>
      <c r="Q1392" s="20">
        <v>4</v>
      </c>
      <c r="R1392" s="9" t="s">
        <v>4891</v>
      </c>
      <c r="S1392" s="9" t="s">
        <v>1737</v>
      </c>
      <c r="T1392" s="9">
        <v>1208</v>
      </c>
      <c r="U1392" s="9"/>
      <c r="V1392" s="9"/>
      <c r="W1392" s="21">
        <v>45213</v>
      </c>
      <c r="X1392" s="9" t="s">
        <v>1738</v>
      </c>
      <c r="AK1392" s="7"/>
      <c r="AO1392" s="4" t="s">
        <v>4891</v>
      </c>
      <c r="AP1392" s="4">
        <v>3110</v>
      </c>
      <c r="AQ1392" s="4" t="s">
        <v>1716</v>
      </c>
      <c r="AR1392" s="4" t="s">
        <v>1739</v>
      </c>
      <c r="AS1392" s="4" t="s">
        <v>1740</v>
      </c>
      <c r="AT1392" s="4" t="s">
        <v>1741</v>
      </c>
      <c r="AU1392" s="4" t="s">
        <v>1742</v>
      </c>
      <c r="AV1392" s="4" t="s">
        <v>1720</v>
      </c>
      <c r="AW1392" s="4" t="s">
        <v>2698</v>
      </c>
      <c r="AX1392" s="4" t="s">
        <v>2902</v>
      </c>
      <c r="AY1392" s="4">
        <v>49.832999999999998</v>
      </c>
      <c r="AZ1392" s="4">
        <v>-114.88290000000001</v>
      </c>
      <c r="BA1392" s="4">
        <v>1208</v>
      </c>
    </row>
    <row r="1393" spans="1:53" ht="14.25" customHeight="1" x14ac:dyDescent="0.2">
      <c r="A1393" s="4" t="s">
        <v>422</v>
      </c>
      <c r="B1393" s="4">
        <v>12</v>
      </c>
      <c r="C1393" s="4" t="s">
        <v>7666</v>
      </c>
      <c r="D1393" s="4">
        <v>3130</v>
      </c>
      <c r="E1393" s="4">
        <v>13206</v>
      </c>
      <c r="G1393" s="4" t="s">
        <v>127</v>
      </c>
      <c r="H1393" s="4" t="s">
        <v>4892</v>
      </c>
      <c r="I1393" s="4" t="s">
        <v>49</v>
      </c>
      <c r="J1393" s="4" t="s">
        <v>1746</v>
      </c>
      <c r="K1393" s="4">
        <v>1</v>
      </c>
      <c r="L1393" s="4">
        <v>15122</v>
      </c>
      <c r="M1393" s="6"/>
      <c r="AK1393" s="7"/>
      <c r="AO1393" s="25" t="s">
        <v>4893</v>
      </c>
      <c r="AP1393" s="4">
        <v>3130</v>
      </c>
      <c r="AQ1393" s="4" t="s">
        <v>1716</v>
      </c>
      <c r="AR1393" s="4" t="s">
        <v>1717</v>
      </c>
      <c r="AS1393" s="4" t="s">
        <v>1740</v>
      </c>
      <c r="AT1393" s="4" t="s">
        <v>1741</v>
      </c>
      <c r="AU1393" s="4" t="s">
        <v>1742</v>
      </c>
      <c r="AV1393" s="4" t="s">
        <v>1720</v>
      </c>
      <c r="AW1393" s="4" t="s">
        <v>2698</v>
      </c>
      <c r="AX1393" s="4" t="s">
        <v>2801</v>
      </c>
      <c r="AY1393" s="4">
        <v>50.534100000000002</v>
      </c>
      <c r="AZ1393" s="4">
        <v>-117.0077</v>
      </c>
      <c r="BA1393" s="4">
        <v>698</v>
      </c>
    </row>
    <row r="1394" spans="1:53" ht="14.25" customHeight="1" x14ac:dyDescent="0.2">
      <c r="A1394" s="4" t="s">
        <v>1908</v>
      </c>
      <c r="B1394" s="4">
        <v>12</v>
      </c>
      <c r="C1394" s="4" t="s">
        <v>7666</v>
      </c>
      <c r="D1394" s="4">
        <v>3190</v>
      </c>
      <c r="E1394" s="4">
        <v>13207</v>
      </c>
      <c r="F1394" s="10" t="s">
        <v>4894</v>
      </c>
      <c r="G1394" s="8" t="s">
        <v>4895</v>
      </c>
      <c r="H1394" s="4" t="s">
        <v>4896</v>
      </c>
      <c r="I1394" s="4" t="s">
        <v>49</v>
      </c>
      <c r="J1394" s="4" t="s">
        <v>1746</v>
      </c>
      <c r="K1394" s="4">
        <v>1</v>
      </c>
      <c r="L1394" s="4">
        <v>15123</v>
      </c>
      <c r="M1394" s="6">
        <v>52.507391669999997</v>
      </c>
      <c r="N1394" s="9">
        <v>-118.5202833</v>
      </c>
      <c r="O1394" s="9" t="s">
        <v>170</v>
      </c>
      <c r="P1394" s="9">
        <v>3190</v>
      </c>
      <c r="Q1394" s="20">
        <v>2</v>
      </c>
      <c r="R1394" s="9" t="s">
        <v>4897</v>
      </c>
      <c r="S1394" s="9" t="s">
        <v>1737</v>
      </c>
      <c r="T1394" s="9">
        <v>1123</v>
      </c>
      <c r="U1394" s="9"/>
      <c r="V1394" s="9"/>
      <c r="W1394" s="21">
        <v>45214</v>
      </c>
      <c r="X1394" s="9" t="s">
        <v>1738</v>
      </c>
      <c r="AK1394" s="7"/>
      <c r="AO1394" s="25" t="s">
        <v>4897</v>
      </c>
      <c r="AP1394" s="4">
        <v>3190</v>
      </c>
      <c r="AQ1394" s="4" t="s">
        <v>1716</v>
      </c>
      <c r="AR1394" s="4" t="s">
        <v>1739</v>
      </c>
      <c r="AS1394" s="4" t="s">
        <v>1740</v>
      </c>
      <c r="AT1394" s="4" t="s">
        <v>1741</v>
      </c>
      <c r="AU1394" s="4" t="s">
        <v>1742</v>
      </c>
      <c r="AV1394" s="4" t="s">
        <v>1720</v>
      </c>
      <c r="AW1394" s="4" t="s">
        <v>2003</v>
      </c>
      <c r="AX1394" s="4" t="s">
        <v>2258</v>
      </c>
      <c r="AY1394" s="4">
        <v>52.8643</v>
      </c>
      <c r="AZ1394" s="4">
        <v>-118.52030000000001</v>
      </c>
      <c r="BA1394" s="4">
        <v>1123</v>
      </c>
    </row>
    <row r="1395" spans="1:53" ht="14.25" customHeight="1" x14ac:dyDescent="0.2">
      <c r="A1395" s="4" t="s">
        <v>1908</v>
      </c>
      <c r="B1395" s="4">
        <v>12</v>
      </c>
      <c r="C1395" s="4" t="s">
        <v>7666</v>
      </c>
      <c r="D1395" s="4">
        <v>3191</v>
      </c>
      <c r="E1395" s="4">
        <v>13208</v>
      </c>
      <c r="F1395" s="10" t="s">
        <v>4898</v>
      </c>
      <c r="G1395" s="8" t="s">
        <v>4899</v>
      </c>
      <c r="H1395" s="4" t="s">
        <v>4896</v>
      </c>
      <c r="I1395" s="4" t="s">
        <v>49</v>
      </c>
      <c r="J1395" s="4" t="s">
        <v>1746</v>
      </c>
      <c r="K1395" s="4">
        <v>1</v>
      </c>
      <c r="L1395" s="4">
        <v>15124</v>
      </c>
      <c r="M1395" s="6">
        <v>52.507391699999999</v>
      </c>
      <c r="N1395" s="9">
        <v>-118.774265</v>
      </c>
      <c r="O1395" s="9" t="s">
        <v>170</v>
      </c>
      <c r="P1395" s="9">
        <v>3191</v>
      </c>
      <c r="Q1395" s="20">
        <v>2</v>
      </c>
      <c r="R1395" s="9" t="s">
        <v>4900</v>
      </c>
      <c r="S1395" s="9" t="s">
        <v>1737</v>
      </c>
      <c r="T1395" s="9">
        <v>957</v>
      </c>
      <c r="U1395" s="9"/>
      <c r="V1395" s="9"/>
      <c r="W1395" s="21">
        <v>45214</v>
      </c>
      <c r="X1395" s="9" t="s">
        <v>1738</v>
      </c>
      <c r="AK1395" s="7"/>
      <c r="AO1395" s="4" t="s">
        <v>4900</v>
      </c>
      <c r="AP1395" s="4">
        <v>3191</v>
      </c>
      <c r="AQ1395" s="4" t="s">
        <v>1716</v>
      </c>
      <c r="AR1395" s="4" t="s">
        <v>1739</v>
      </c>
      <c r="AS1395" s="4" t="s">
        <v>1740</v>
      </c>
      <c r="AT1395" s="4" t="s">
        <v>1741</v>
      </c>
      <c r="AU1395" s="4" t="s">
        <v>1742</v>
      </c>
      <c r="AV1395" s="4" t="s">
        <v>1720</v>
      </c>
      <c r="AW1395" s="4" t="s">
        <v>2003</v>
      </c>
      <c r="AX1395" s="4" t="s">
        <v>2258</v>
      </c>
      <c r="AY1395" s="4">
        <v>52.507399999999997</v>
      </c>
      <c r="AZ1395" s="4">
        <v>-118.7743</v>
      </c>
      <c r="BA1395" s="4">
        <v>957</v>
      </c>
    </row>
    <row r="1396" spans="1:53" ht="14.25" customHeight="1" x14ac:dyDescent="0.2">
      <c r="A1396" s="4" t="s">
        <v>138</v>
      </c>
      <c r="B1396" s="4">
        <v>12</v>
      </c>
      <c r="C1396" s="10" t="s">
        <v>7677</v>
      </c>
      <c r="D1396" s="4">
        <v>3730</v>
      </c>
      <c r="E1396" s="8"/>
      <c r="F1396" s="10" t="s">
        <v>4902</v>
      </c>
      <c r="G1396" s="10" t="s">
        <v>4903</v>
      </c>
      <c r="M1396" s="6">
        <v>49.025100000000002</v>
      </c>
      <c r="N1396" s="9">
        <v>-119.6909</v>
      </c>
      <c r="O1396" s="9" t="s">
        <v>142</v>
      </c>
      <c r="P1396" s="9">
        <v>3810</v>
      </c>
      <c r="Q1396" s="20">
        <v>1</v>
      </c>
      <c r="R1396" s="9" t="s">
        <v>4904</v>
      </c>
      <c r="S1396" s="9" t="s">
        <v>1737</v>
      </c>
      <c r="T1396" s="9">
        <v>416</v>
      </c>
      <c r="U1396" s="9"/>
      <c r="V1396" s="9"/>
      <c r="W1396" s="21">
        <v>45469</v>
      </c>
      <c r="X1396" s="9" t="s">
        <v>1738</v>
      </c>
      <c r="AK1396" s="7"/>
      <c r="AO1396" s="4" t="s">
        <v>4905</v>
      </c>
      <c r="AP1396" s="4">
        <v>3810</v>
      </c>
      <c r="AQ1396" s="4" t="s">
        <v>1700</v>
      </c>
      <c r="AR1396" s="4" t="s">
        <v>1739</v>
      </c>
      <c r="AS1396" s="4" t="s">
        <v>1740</v>
      </c>
      <c r="AT1396" s="4" t="s">
        <v>1741</v>
      </c>
      <c r="AU1396" s="4" t="s">
        <v>1742</v>
      </c>
      <c r="AV1396" s="4" t="s">
        <v>1720</v>
      </c>
      <c r="AW1396" s="4" t="s">
        <v>2368</v>
      </c>
      <c r="AX1396" s="4" t="s">
        <v>2516</v>
      </c>
      <c r="AY1396" s="4">
        <v>49.025100000000002</v>
      </c>
      <c r="AZ1396" s="4">
        <v>-119.6909</v>
      </c>
      <c r="BA1396" s="4">
        <v>461</v>
      </c>
    </row>
    <row r="1397" spans="1:53" ht="14.25" customHeight="1" x14ac:dyDescent="0.2">
      <c r="A1397" s="4" t="s">
        <v>138</v>
      </c>
      <c r="B1397" s="4">
        <v>12</v>
      </c>
      <c r="C1397" s="10" t="s">
        <v>7677</v>
      </c>
      <c r="D1397" s="4">
        <v>3851</v>
      </c>
      <c r="E1397" s="8"/>
      <c r="F1397" s="10" t="s">
        <v>4906</v>
      </c>
      <c r="G1397" s="10" t="s">
        <v>4907</v>
      </c>
      <c r="M1397" s="6">
        <v>54.438000000000002</v>
      </c>
      <c r="N1397" s="9">
        <v>-128.57140000000001</v>
      </c>
      <c r="O1397" s="9" t="s">
        <v>51</v>
      </c>
      <c r="P1397" s="9">
        <v>3851</v>
      </c>
      <c r="Q1397" s="20">
        <v>2</v>
      </c>
      <c r="R1397" s="9" t="s">
        <v>4908</v>
      </c>
      <c r="S1397" s="9" t="s">
        <v>1737</v>
      </c>
      <c r="T1397" s="9">
        <v>199</v>
      </c>
      <c r="U1397" s="9"/>
      <c r="V1397" s="9"/>
      <c r="W1397" s="21">
        <v>45484</v>
      </c>
      <c r="X1397" s="9" t="s">
        <v>1738</v>
      </c>
      <c r="AK1397" s="7"/>
      <c r="AO1397" s="4" t="s">
        <v>4908</v>
      </c>
      <c r="AP1397" s="4">
        <v>3851</v>
      </c>
      <c r="AQ1397" s="4" t="s">
        <v>1716</v>
      </c>
      <c r="AR1397" s="4" t="s">
        <v>1739</v>
      </c>
      <c r="AS1397" s="4" t="s">
        <v>1740</v>
      </c>
      <c r="AT1397" s="4" t="s">
        <v>1741</v>
      </c>
      <c r="AU1397" s="4" t="s">
        <v>1742</v>
      </c>
      <c r="AV1397" s="4" t="s">
        <v>1720</v>
      </c>
      <c r="AW1397" s="4" t="s">
        <v>1947</v>
      </c>
      <c r="AX1397" s="4" t="s">
        <v>1973</v>
      </c>
      <c r="AY1397" s="4">
        <v>54.438000000000002</v>
      </c>
      <c r="AZ1397" s="4">
        <v>-128.57140000000001</v>
      </c>
      <c r="BA1397" s="4">
        <v>199</v>
      </c>
    </row>
    <row r="1398" spans="1:53" ht="14.25" customHeight="1" x14ac:dyDescent="0.2">
      <c r="A1398" s="4" t="s">
        <v>138</v>
      </c>
      <c r="B1398" s="4">
        <v>12</v>
      </c>
      <c r="C1398" s="10" t="s">
        <v>7677</v>
      </c>
      <c r="D1398" s="4">
        <v>3873</v>
      </c>
      <c r="E1398" s="8"/>
      <c r="F1398" s="10" t="s">
        <v>4909</v>
      </c>
      <c r="G1398" s="10" t="s">
        <v>4910</v>
      </c>
      <c r="M1398" s="6"/>
      <c r="AK1398" s="7"/>
      <c r="AO1398" s="4" t="s">
        <v>4911</v>
      </c>
      <c r="AP1398" s="4">
        <v>3873</v>
      </c>
      <c r="AQ1398" s="4" t="s">
        <v>1716</v>
      </c>
      <c r="AR1398" s="4" t="s">
        <v>1739</v>
      </c>
      <c r="AS1398" s="4" t="s">
        <v>1740</v>
      </c>
      <c r="AT1398" s="4" t="s">
        <v>1741</v>
      </c>
      <c r="AU1398" s="4" t="s">
        <v>1704</v>
      </c>
      <c r="AV1398" s="4" t="s">
        <v>1720</v>
      </c>
      <c r="AW1398" s="4" t="s">
        <v>2368</v>
      </c>
      <c r="AX1398" s="4" t="s">
        <v>2492</v>
      </c>
      <c r="AY1398" s="4">
        <v>49.339399999999998</v>
      </c>
      <c r="AZ1398" s="4">
        <v>-120.4071</v>
      </c>
      <c r="BA1398" s="4">
        <v>1455</v>
      </c>
    </row>
    <row r="1399" spans="1:53" ht="14.25" customHeight="1" x14ac:dyDescent="0.2">
      <c r="A1399" s="4" t="s">
        <v>138</v>
      </c>
      <c r="B1399" s="4">
        <v>12</v>
      </c>
      <c r="C1399" s="10" t="s">
        <v>7677</v>
      </c>
      <c r="D1399" s="4">
        <v>3991</v>
      </c>
      <c r="E1399" s="8"/>
      <c r="F1399" s="10" t="s">
        <v>4912</v>
      </c>
      <c r="G1399" s="10" t="s">
        <v>4913</v>
      </c>
      <c r="M1399" s="6"/>
      <c r="AK1399" s="7"/>
      <c r="AO1399" s="4" t="s">
        <v>4914</v>
      </c>
      <c r="AP1399" s="4">
        <v>3991</v>
      </c>
      <c r="AQ1399" s="4" t="s">
        <v>1716</v>
      </c>
      <c r="AR1399" s="4" t="s">
        <v>2441</v>
      </c>
      <c r="AS1399" s="4" t="s">
        <v>1740</v>
      </c>
      <c r="AT1399" s="4" t="s">
        <v>1741</v>
      </c>
      <c r="AU1399" s="4" t="s">
        <v>1772</v>
      </c>
      <c r="AV1399" s="4" t="s">
        <v>1720</v>
      </c>
      <c r="AW1399" s="4" t="s">
        <v>1947</v>
      </c>
      <c r="AX1399" s="4" t="s">
        <v>2148</v>
      </c>
      <c r="AY1399" s="4">
        <v>54.259099999999997</v>
      </c>
      <c r="AZ1399" s="4">
        <v>-125.7599</v>
      </c>
      <c r="BA1399" s="4">
        <v>830</v>
      </c>
    </row>
    <row r="1400" spans="1:53" ht="14.25" customHeight="1" x14ac:dyDescent="0.2">
      <c r="A1400" s="4" t="s">
        <v>138</v>
      </c>
      <c r="B1400" s="4">
        <v>12</v>
      </c>
      <c r="C1400" s="10" t="s">
        <v>7677</v>
      </c>
      <c r="D1400" s="4">
        <v>4232</v>
      </c>
      <c r="E1400" s="8"/>
      <c r="F1400" s="10" t="s">
        <v>4915</v>
      </c>
      <c r="G1400" s="10" t="s">
        <v>4916</v>
      </c>
      <c r="M1400" s="6">
        <v>59.339399999999998</v>
      </c>
      <c r="N1400" s="9">
        <v>-122.0718</v>
      </c>
      <c r="O1400" s="9" t="s">
        <v>2008</v>
      </c>
      <c r="P1400" s="9">
        <v>4232</v>
      </c>
      <c r="Q1400" s="20">
        <v>7</v>
      </c>
      <c r="R1400" s="9" t="s">
        <v>4917</v>
      </c>
      <c r="S1400" s="9" t="s">
        <v>1737</v>
      </c>
      <c r="T1400" s="9">
        <v>704</v>
      </c>
      <c r="U1400" s="9"/>
      <c r="V1400" s="9"/>
      <c r="W1400" s="21">
        <v>45545</v>
      </c>
      <c r="X1400" s="9" t="s">
        <v>1738</v>
      </c>
      <c r="AK1400" s="7"/>
      <c r="AO1400" s="4" t="s">
        <v>4917</v>
      </c>
      <c r="AP1400" s="4">
        <v>4232</v>
      </c>
      <c r="AQ1400" s="4" t="s">
        <v>1716</v>
      </c>
      <c r="AR1400" s="4" t="s">
        <v>1739</v>
      </c>
      <c r="AS1400" s="4" t="s">
        <v>1740</v>
      </c>
      <c r="AT1400" s="4" t="s">
        <v>1741</v>
      </c>
      <c r="AU1400" s="4" t="s">
        <v>1742</v>
      </c>
      <c r="AV1400" s="4" t="s">
        <v>1720</v>
      </c>
      <c r="AW1400" s="4" t="s">
        <v>2003</v>
      </c>
      <c r="AX1400" s="4" t="s">
        <v>2009</v>
      </c>
      <c r="AY1400" s="4">
        <v>59.339399999999998</v>
      </c>
      <c r="AZ1400" s="4">
        <v>-122.0718</v>
      </c>
      <c r="BA1400" s="4">
        <v>704</v>
      </c>
    </row>
    <row r="1401" spans="1:53" ht="14.25" customHeight="1" x14ac:dyDescent="0.2">
      <c r="A1401" s="4" t="s">
        <v>138</v>
      </c>
      <c r="B1401" s="4">
        <v>12</v>
      </c>
      <c r="C1401" s="10" t="s">
        <v>7677</v>
      </c>
      <c r="D1401" s="4">
        <v>4250</v>
      </c>
      <c r="E1401" s="8"/>
      <c r="F1401" s="10" t="s">
        <v>4918</v>
      </c>
      <c r="G1401" s="10" t="s">
        <v>4919</v>
      </c>
      <c r="M1401" s="6"/>
      <c r="AK1401" s="7"/>
      <c r="AO1401" s="25" t="s">
        <v>4920</v>
      </c>
      <c r="AP1401" s="4">
        <v>4250</v>
      </c>
      <c r="AQ1401" s="4" t="s">
        <v>1716</v>
      </c>
      <c r="AR1401" s="4" t="s">
        <v>1717</v>
      </c>
      <c r="AS1401" s="4" t="s">
        <v>1740</v>
      </c>
      <c r="AT1401" s="4" t="s">
        <v>1741</v>
      </c>
      <c r="AU1401" s="4" t="s">
        <v>1742</v>
      </c>
      <c r="AV1401" s="4" t="s">
        <v>1720</v>
      </c>
      <c r="AW1401" s="4" t="s">
        <v>2193</v>
      </c>
      <c r="AX1401" s="4" t="s">
        <v>2287</v>
      </c>
      <c r="AY1401" s="4">
        <v>51.2333</v>
      </c>
      <c r="AZ1401" s="4">
        <v>-122.15</v>
      </c>
      <c r="BA1401" s="4">
        <v>577</v>
      </c>
    </row>
    <row r="1402" spans="1:53" ht="14.25" customHeight="1" x14ac:dyDescent="0.2">
      <c r="A1402" s="4" t="s">
        <v>138</v>
      </c>
      <c r="B1402" s="4">
        <v>12</v>
      </c>
      <c r="C1402" s="10" t="s">
        <v>7677</v>
      </c>
      <c r="D1402" s="4">
        <v>4270</v>
      </c>
      <c r="E1402" s="8"/>
      <c r="F1402" s="10" t="s">
        <v>4921</v>
      </c>
      <c r="G1402" s="10" t="s">
        <v>4922</v>
      </c>
      <c r="M1402" s="6">
        <v>55.6907</v>
      </c>
      <c r="N1402" s="9">
        <v>-121.61369999999999</v>
      </c>
      <c r="O1402" s="9" t="s">
        <v>153</v>
      </c>
      <c r="P1402" s="9">
        <v>4270</v>
      </c>
      <c r="Q1402" s="20">
        <v>1</v>
      </c>
      <c r="R1402" s="9" t="s">
        <v>4923</v>
      </c>
      <c r="S1402" s="9" t="s">
        <v>1737</v>
      </c>
      <c r="T1402" s="9">
        <v>616</v>
      </c>
      <c r="U1402" s="9"/>
      <c r="V1402" s="9"/>
      <c r="W1402" s="21">
        <v>45555</v>
      </c>
      <c r="X1402" s="9" t="s">
        <v>1738</v>
      </c>
      <c r="AK1402" s="7"/>
      <c r="AO1402" s="4" t="s">
        <v>4924</v>
      </c>
      <c r="AP1402" s="4">
        <v>4270</v>
      </c>
      <c r="AQ1402" s="4" t="s">
        <v>1700</v>
      </c>
      <c r="AR1402" s="4" t="s">
        <v>1739</v>
      </c>
      <c r="AS1402" s="4" t="s">
        <v>1740</v>
      </c>
      <c r="AT1402" s="4" t="s">
        <v>1741</v>
      </c>
      <c r="AU1402" s="4" t="s">
        <v>1772</v>
      </c>
      <c r="AV1402" s="4" t="s">
        <v>1720</v>
      </c>
      <c r="AW1402" s="4" t="s">
        <v>2003</v>
      </c>
      <c r="AX1402" s="4" t="s">
        <v>2024</v>
      </c>
      <c r="AY1402" s="4">
        <v>55.6907</v>
      </c>
      <c r="AZ1402" s="4">
        <v>-121.61369999999999</v>
      </c>
      <c r="BA1402" s="4">
        <v>616</v>
      </c>
    </row>
    <row r="1403" spans="1:53" ht="14.25" customHeight="1" x14ac:dyDescent="0.2">
      <c r="A1403" s="4" t="s">
        <v>138</v>
      </c>
      <c r="B1403" s="4">
        <v>12</v>
      </c>
      <c r="C1403" s="10" t="s">
        <v>7677</v>
      </c>
      <c r="D1403" s="4">
        <v>4352</v>
      </c>
      <c r="E1403" s="8"/>
      <c r="F1403" s="10" t="s">
        <v>4925</v>
      </c>
      <c r="G1403" s="10" t="s">
        <v>4926</v>
      </c>
      <c r="M1403" s="6">
        <v>53.315899999999999</v>
      </c>
      <c r="N1403" s="9">
        <v>-119.6007</v>
      </c>
      <c r="O1403" s="9" t="s">
        <v>170</v>
      </c>
      <c r="P1403" s="9">
        <v>4352</v>
      </c>
      <c r="Q1403" s="20">
        <v>2</v>
      </c>
      <c r="R1403" s="9" t="s">
        <v>1005</v>
      </c>
      <c r="S1403" s="9" t="s">
        <v>1737</v>
      </c>
      <c r="T1403" s="9">
        <v>1088</v>
      </c>
      <c r="U1403" s="9"/>
      <c r="V1403" s="9"/>
      <c r="W1403" s="21">
        <v>45575</v>
      </c>
      <c r="X1403" s="9" t="s">
        <v>1738</v>
      </c>
      <c r="AK1403" s="7"/>
      <c r="AO1403" s="4" t="s">
        <v>1005</v>
      </c>
      <c r="AP1403" s="4">
        <v>4352</v>
      </c>
      <c r="AQ1403" s="4" t="s">
        <v>1716</v>
      </c>
      <c r="AR1403" s="4" t="s">
        <v>1739</v>
      </c>
      <c r="AS1403" s="4" t="s">
        <v>1740</v>
      </c>
      <c r="AT1403" s="4" t="s">
        <v>1741</v>
      </c>
      <c r="AU1403" s="4" t="s">
        <v>1742</v>
      </c>
      <c r="AV1403" s="4" t="s">
        <v>1720</v>
      </c>
      <c r="AW1403" s="4" t="s">
        <v>2003</v>
      </c>
      <c r="AX1403" s="4" t="s">
        <v>2258</v>
      </c>
      <c r="AY1403" s="4">
        <v>53.315899999999999</v>
      </c>
      <c r="AZ1403" s="4">
        <v>-119.6007</v>
      </c>
      <c r="BA1403" s="4">
        <v>1088</v>
      </c>
    </row>
    <row r="1404" spans="1:53" ht="14.25" customHeight="1" x14ac:dyDescent="0.2">
      <c r="A1404" s="4" t="s">
        <v>138</v>
      </c>
      <c r="B1404" s="4">
        <v>12</v>
      </c>
      <c r="C1404" s="10" t="s">
        <v>7677</v>
      </c>
      <c r="D1404" s="4">
        <v>4393</v>
      </c>
      <c r="E1404" s="8"/>
      <c r="F1404" s="10" t="s">
        <v>4927</v>
      </c>
      <c r="G1404" s="10" t="s">
        <v>4928</v>
      </c>
      <c r="M1404" s="6">
        <v>50.3752</v>
      </c>
      <c r="N1404" s="9">
        <v>-126.5401</v>
      </c>
      <c r="O1404" s="9" t="s">
        <v>51</v>
      </c>
      <c r="P1404" s="9">
        <v>4393</v>
      </c>
      <c r="Q1404" s="20">
        <v>2</v>
      </c>
      <c r="R1404" s="9" t="s">
        <v>4929</v>
      </c>
      <c r="S1404" s="9" t="s">
        <v>4045</v>
      </c>
      <c r="T1404" s="9">
        <v>211</v>
      </c>
      <c r="U1404" s="9"/>
      <c r="V1404" s="9"/>
      <c r="W1404" s="21">
        <v>45601</v>
      </c>
      <c r="X1404" s="9" t="s">
        <v>1738</v>
      </c>
      <c r="AK1404" s="7"/>
      <c r="AO1404" s="4" t="s">
        <v>4929</v>
      </c>
      <c r="AP1404" s="4">
        <v>4393</v>
      </c>
      <c r="AQ1404" s="4" t="s">
        <v>1716</v>
      </c>
      <c r="AR1404" s="4" t="s">
        <v>1739</v>
      </c>
      <c r="AS1404" s="4" t="s">
        <v>1740</v>
      </c>
      <c r="AT1404" s="4" t="s">
        <v>1741</v>
      </c>
      <c r="AU1404" s="4" t="s">
        <v>1742</v>
      </c>
      <c r="AV1404" s="4" t="s">
        <v>1720</v>
      </c>
      <c r="AW1404" s="4" t="s">
        <v>1705</v>
      </c>
      <c r="AX1404" s="4" t="s">
        <v>1723</v>
      </c>
      <c r="AY1404" s="4">
        <v>50.3752</v>
      </c>
      <c r="AZ1404" s="4">
        <v>-126.5401</v>
      </c>
      <c r="BA1404" s="4">
        <v>211</v>
      </c>
    </row>
    <row r="1405" spans="1:53" ht="14.25" customHeight="1" x14ac:dyDescent="0.2">
      <c r="A1405" s="4" t="s">
        <v>138</v>
      </c>
      <c r="B1405" s="4">
        <v>12</v>
      </c>
      <c r="C1405" s="10" t="s">
        <v>7677</v>
      </c>
      <c r="D1405" s="4">
        <v>4513</v>
      </c>
      <c r="E1405" s="8"/>
      <c r="F1405" s="10" t="s">
        <v>4930</v>
      </c>
      <c r="G1405" s="10" t="s">
        <v>4931</v>
      </c>
      <c r="M1405" s="6"/>
      <c r="AK1405" s="7"/>
      <c r="AO1405" s="4" t="s">
        <v>4932</v>
      </c>
      <c r="AP1405" s="4">
        <v>4513</v>
      </c>
      <c r="AQ1405" s="4" t="s">
        <v>1716</v>
      </c>
      <c r="AR1405" s="4" t="s">
        <v>1739</v>
      </c>
      <c r="AS1405" s="4" t="s">
        <v>1740</v>
      </c>
      <c r="AT1405" s="4" t="s">
        <v>1741</v>
      </c>
      <c r="AU1405" s="4" t="s">
        <v>1742</v>
      </c>
      <c r="AV1405" s="4" t="s">
        <v>1720</v>
      </c>
      <c r="AW1405" s="4" t="s">
        <v>1705</v>
      </c>
      <c r="AX1405" s="4" t="s">
        <v>1747</v>
      </c>
      <c r="AY1405" s="4">
        <v>48.819899999999997</v>
      </c>
      <c r="AZ1405" s="4">
        <v>-124.131</v>
      </c>
      <c r="BA1405" s="4">
        <v>197</v>
      </c>
    </row>
    <row r="1406" spans="1:53" ht="14.25" customHeight="1" x14ac:dyDescent="0.2">
      <c r="A1406" s="4" t="s">
        <v>138</v>
      </c>
      <c r="B1406" s="4">
        <v>12</v>
      </c>
      <c r="C1406" s="10" t="s">
        <v>7677</v>
      </c>
      <c r="D1406" s="4">
        <v>4552</v>
      </c>
      <c r="E1406" s="8"/>
      <c r="F1406" s="10" t="s">
        <v>4933</v>
      </c>
      <c r="G1406" s="10" t="s">
        <v>4934</v>
      </c>
      <c r="M1406" s="6"/>
      <c r="AK1406" s="7"/>
      <c r="AO1406" s="4" t="s">
        <v>4935</v>
      </c>
      <c r="AP1406" s="4">
        <v>4552</v>
      </c>
      <c r="AQ1406" s="4" t="s">
        <v>1716</v>
      </c>
      <c r="AR1406" s="4" t="s">
        <v>1739</v>
      </c>
      <c r="AS1406" s="4" t="s">
        <v>1740</v>
      </c>
      <c r="AT1406" s="4" t="s">
        <v>1741</v>
      </c>
      <c r="AU1406" s="4" t="s">
        <v>1742</v>
      </c>
      <c r="AV1406" s="4" t="s">
        <v>1720</v>
      </c>
      <c r="AW1406" s="4" t="s">
        <v>1705</v>
      </c>
      <c r="AX1406" s="4" t="s">
        <v>1879</v>
      </c>
      <c r="AY1406" s="4">
        <v>49.752000000000002</v>
      </c>
      <c r="AZ1406" s="4">
        <v>-123.09829999999999</v>
      </c>
      <c r="BA1406" s="4">
        <v>262</v>
      </c>
    </row>
    <row r="1407" spans="1:53" ht="14.25" customHeight="1" x14ac:dyDescent="0.2">
      <c r="A1407" s="4" t="s">
        <v>138</v>
      </c>
      <c r="B1407" s="4">
        <v>12</v>
      </c>
      <c r="C1407" s="10" t="s">
        <v>7677</v>
      </c>
      <c r="D1407" s="4">
        <v>4973</v>
      </c>
      <c r="F1407" s="10" t="s">
        <v>4936</v>
      </c>
      <c r="G1407" s="10" t="s">
        <v>4937</v>
      </c>
      <c r="M1407" s="6"/>
      <c r="AK1407" s="7"/>
      <c r="AO1407" s="4" t="s">
        <v>4938</v>
      </c>
      <c r="AP1407" s="4">
        <v>4973</v>
      </c>
      <c r="AQ1407" s="4" t="s">
        <v>1716</v>
      </c>
      <c r="AR1407" s="4" t="s">
        <v>1739</v>
      </c>
      <c r="AS1407" s="4" t="s">
        <v>1740</v>
      </c>
      <c r="AT1407" s="4" t="s">
        <v>1741</v>
      </c>
      <c r="AU1407" s="4" t="s">
        <v>1742</v>
      </c>
      <c r="AV1407" s="4" t="s">
        <v>1720</v>
      </c>
      <c r="AW1407" s="4" t="s">
        <v>2193</v>
      </c>
      <c r="AX1407" s="4" t="s">
        <v>2194</v>
      </c>
      <c r="AY1407" s="4">
        <v>52.963900000000002</v>
      </c>
      <c r="AZ1407" s="4">
        <v>-122.83110000000001</v>
      </c>
      <c r="BA1407" s="4">
        <v>826</v>
      </c>
    </row>
    <row r="1408" spans="1:53" ht="14.25" customHeight="1" x14ac:dyDescent="0.2">
      <c r="A1408" s="4" t="s">
        <v>328</v>
      </c>
      <c r="B1408" s="4">
        <v>12</v>
      </c>
      <c r="C1408" s="10" t="s">
        <v>7677</v>
      </c>
      <c r="D1408" s="10" t="s">
        <v>4939</v>
      </c>
      <c r="F1408" s="10" t="s">
        <v>4940</v>
      </c>
      <c r="G1408" s="10" t="s">
        <v>4941</v>
      </c>
      <c r="M1408" s="6">
        <v>54.323300000000003</v>
      </c>
      <c r="N1408" s="4">
        <v>-129.3252</v>
      </c>
      <c r="O1408" s="4" t="s">
        <v>1577</v>
      </c>
      <c r="P1408" s="4">
        <v>4332</v>
      </c>
      <c r="Q1408" s="4">
        <v>1</v>
      </c>
      <c r="R1408" s="4" t="s">
        <v>4942</v>
      </c>
      <c r="S1408" s="4" t="s">
        <v>1737</v>
      </c>
      <c r="T1408" s="4">
        <v>10</v>
      </c>
      <c r="W1408" s="4">
        <v>45544</v>
      </c>
      <c r="X1408" s="4" t="s">
        <v>1738</v>
      </c>
      <c r="AK1408" s="7"/>
      <c r="AO1408" s="4" t="s">
        <v>4942</v>
      </c>
      <c r="AP1408" s="4">
        <v>4332</v>
      </c>
      <c r="AQ1408" s="4" t="s">
        <v>1716</v>
      </c>
      <c r="AR1408" s="4" t="s">
        <v>1701</v>
      </c>
      <c r="AS1408" s="4" t="s">
        <v>1740</v>
      </c>
      <c r="AT1408" s="4" t="s">
        <v>1741</v>
      </c>
      <c r="AU1408" s="4" t="s">
        <v>1704</v>
      </c>
      <c r="AV1408" s="4" t="s">
        <v>1720</v>
      </c>
      <c r="AW1408" s="4" t="s">
        <v>1947</v>
      </c>
      <c r="AX1408" s="4" t="s">
        <v>1973</v>
      </c>
      <c r="AY1408" s="4">
        <v>54.323300000000003</v>
      </c>
      <c r="AZ1408" s="4">
        <v>-129.3252</v>
      </c>
      <c r="BA1408" s="4">
        <v>10</v>
      </c>
    </row>
    <row r="1409" spans="1:53" ht="14.25" customHeight="1" x14ac:dyDescent="0.2">
      <c r="A1409" s="4" t="s">
        <v>138</v>
      </c>
      <c r="B1409" s="4">
        <v>12</v>
      </c>
      <c r="C1409" s="10" t="s">
        <v>7677</v>
      </c>
      <c r="D1409" s="10" t="s">
        <v>4943</v>
      </c>
      <c r="F1409" s="10" t="s">
        <v>4944</v>
      </c>
      <c r="G1409" s="10" t="s">
        <v>4945</v>
      </c>
      <c r="M1409" s="6">
        <v>51.4733333</v>
      </c>
      <c r="N1409" s="4">
        <v>-121.36</v>
      </c>
      <c r="O1409" s="4" t="s">
        <v>148</v>
      </c>
      <c r="P1409" s="4">
        <v>509</v>
      </c>
      <c r="Q1409" s="4">
        <v>6</v>
      </c>
      <c r="R1409" s="4" t="s">
        <v>4946</v>
      </c>
      <c r="S1409" s="4" t="s">
        <v>1737</v>
      </c>
      <c r="T1409" s="4">
        <v>1276</v>
      </c>
      <c r="W1409" s="4">
        <v>43831</v>
      </c>
      <c r="X1409" s="4" t="s">
        <v>1738</v>
      </c>
      <c r="AK1409" s="7"/>
      <c r="AO1409" s="4" t="s">
        <v>4947</v>
      </c>
      <c r="AP1409" s="4">
        <v>509</v>
      </c>
      <c r="AQ1409" s="4" t="s">
        <v>3003</v>
      </c>
      <c r="AR1409" s="4" t="s">
        <v>1701</v>
      </c>
      <c r="AS1409" s="4" t="s">
        <v>2257</v>
      </c>
      <c r="AT1409" s="4" t="s">
        <v>2442</v>
      </c>
      <c r="AU1409" s="4" t="s">
        <v>2443</v>
      </c>
      <c r="AV1409" s="4" t="s">
        <v>1720</v>
      </c>
      <c r="AW1409" s="4" t="s">
        <v>2193</v>
      </c>
      <c r="AX1409" s="4" t="s">
        <v>2287</v>
      </c>
      <c r="AY1409" s="4">
        <v>51.473300000000002</v>
      </c>
      <c r="AZ1409" s="4">
        <v>-121.36</v>
      </c>
      <c r="BA1409" s="4">
        <v>1276</v>
      </c>
    </row>
    <row r="1410" spans="1:53" ht="14.25" customHeight="1" x14ac:dyDescent="0.2">
      <c r="A1410" s="4" t="s">
        <v>422</v>
      </c>
      <c r="B1410" s="4">
        <v>12</v>
      </c>
      <c r="C1410" s="4" t="s">
        <v>7665</v>
      </c>
      <c r="D1410" s="4" t="s">
        <v>4948</v>
      </c>
      <c r="E1410" s="4">
        <v>13135</v>
      </c>
      <c r="G1410" s="4" t="s">
        <v>4949</v>
      </c>
      <c r="H1410" s="4" t="s">
        <v>4950</v>
      </c>
      <c r="I1410" s="4" t="s">
        <v>49</v>
      </c>
      <c r="J1410" s="4" t="s">
        <v>4951</v>
      </c>
      <c r="K1410" s="4">
        <v>1</v>
      </c>
      <c r="L1410" s="4">
        <v>15057</v>
      </c>
      <c r="M1410" s="6"/>
      <c r="AK1410" s="7"/>
    </row>
    <row r="1411" spans="1:53" ht="14.25" customHeight="1" x14ac:dyDescent="0.2">
      <c r="A1411" s="4" t="s">
        <v>422</v>
      </c>
      <c r="B1411" s="4">
        <v>12</v>
      </c>
      <c r="C1411" s="4" t="s">
        <v>7665</v>
      </c>
      <c r="D1411" s="4" t="s">
        <v>4952</v>
      </c>
      <c r="E1411" s="4">
        <v>13136</v>
      </c>
      <c r="G1411" s="4" t="s">
        <v>4953</v>
      </c>
      <c r="H1411" s="4" t="s">
        <v>4950</v>
      </c>
      <c r="I1411" s="4" t="s">
        <v>49</v>
      </c>
      <c r="J1411" s="4" t="s">
        <v>4951</v>
      </c>
      <c r="K1411" s="4">
        <v>1</v>
      </c>
      <c r="L1411" s="4">
        <v>15058</v>
      </c>
      <c r="M1411" s="6"/>
      <c r="AK1411" s="7"/>
    </row>
    <row r="1412" spans="1:53" ht="14.25" customHeight="1" x14ac:dyDescent="0.2">
      <c r="A1412" s="4" t="s">
        <v>422</v>
      </c>
      <c r="B1412" s="4">
        <v>12</v>
      </c>
      <c r="C1412" s="4" t="s">
        <v>7665</v>
      </c>
      <c r="D1412" s="4" t="s">
        <v>4954</v>
      </c>
      <c r="E1412" s="4">
        <v>13137</v>
      </c>
      <c r="G1412" s="4" t="s">
        <v>4955</v>
      </c>
      <c r="H1412" s="4" t="s">
        <v>4950</v>
      </c>
      <c r="I1412" s="4" t="s">
        <v>49</v>
      </c>
      <c r="J1412" s="4" t="s">
        <v>4951</v>
      </c>
      <c r="K1412" s="4">
        <v>1</v>
      </c>
      <c r="L1412" s="4">
        <v>15059</v>
      </c>
      <c r="M1412" s="6"/>
      <c r="AK1412" s="7"/>
    </row>
    <row r="1413" spans="1:53" ht="14.25" customHeight="1" x14ac:dyDescent="0.2">
      <c r="A1413" s="4" t="s">
        <v>422</v>
      </c>
      <c r="B1413" s="4">
        <v>12</v>
      </c>
      <c r="C1413" s="4" t="s">
        <v>7665</v>
      </c>
      <c r="D1413" s="4" t="s">
        <v>4956</v>
      </c>
      <c r="E1413" s="4">
        <v>13138</v>
      </c>
      <c r="G1413" s="4" t="s">
        <v>4957</v>
      </c>
      <c r="H1413" s="4" t="s">
        <v>4950</v>
      </c>
      <c r="I1413" s="4" t="s">
        <v>49</v>
      </c>
      <c r="J1413" s="4" t="s">
        <v>4951</v>
      </c>
      <c r="K1413" s="4">
        <v>1</v>
      </c>
      <c r="L1413" s="4">
        <v>15060</v>
      </c>
      <c r="M1413" s="6"/>
      <c r="AK1413" s="7"/>
    </row>
    <row r="1414" spans="1:53" ht="14.25" customHeight="1" x14ac:dyDescent="0.2">
      <c r="A1414" s="4" t="s">
        <v>422</v>
      </c>
      <c r="B1414" s="4">
        <v>12</v>
      </c>
      <c r="C1414" s="4" t="s">
        <v>7665</v>
      </c>
      <c r="D1414" s="4" t="s">
        <v>4958</v>
      </c>
      <c r="E1414" s="4">
        <v>13139</v>
      </c>
      <c r="G1414" s="4" t="s">
        <v>4959</v>
      </c>
      <c r="H1414" s="4" t="s">
        <v>4950</v>
      </c>
      <c r="I1414" s="4" t="s">
        <v>49</v>
      </c>
      <c r="J1414" s="4" t="s">
        <v>4951</v>
      </c>
      <c r="K1414" s="4">
        <v>1</v>
      </c>
      <c r="L1414" s="4">
        <v>15061</v>
      </c>
      <c r="M1414" s="6"/>
      <c r="AK1414" s="7"/>
    </row>
    <row r="1415" spans="1:53" ht="14.25" customHeight="1" x14ac:dyDescent="0.2">
      <c r="A1415" s="4" t="s">
        <v>422</v>
      </c>
      <c r="B1415" s="4">
        <v>12</v>
      </c>
      <c r="C1415" s="4" t="s">
        <v>7665</v>
      </c>
      <c r="D1415" s="4" t="s">
        <v>4960</v>
      </c>
      <c r="E1415" s="4">
        <v>13140</v>
      </c>
      <c r="G1415" s="4" t="s">
        <v>4961</v>
      </c>
      <c r="H1415" s="4" t="s">
        <v>4950</v>
      </c>
      <c r="I1415" s="4" t="s">
        <v>49</v>
      </c>
      <c r="J1415" s="4" t="s">
        <v>4951</v>
      </c>
      <c r="K1415" s="4">
        <v>1</v>
      </c>
      <c r="L1415" s="4">
        <v>15062</v>
      </c>
      <c r="M1415" s="6"/>
      <c r="AK1415" s="7"/>
      <c r="AO1415" s="25"/>
    </row>
    <row r="1416" spans="1:53" ht="14.25" customHeight="1" x14ac:dyDescent="0.2">
      <c r="A1416" s="4" t="s">
        <v>422</v>
      </c>
      <c r="B1416" s="4">
        <v>12</v>
      </c>
      <c r="C1416" s="4" t="s">
        <v>7665</v>
      </c>
      <c r="D1416" s="4" t="s">
        <v>4962</v>
      </c>
      <c r="E1416" s="4">
        <v>13141</v>
      </c>
      <c r="G1416" s="4" t="s">
        <v>4963</v>
      </c>
      <c r="H1416" s="4" t="s">
        <v>4950</v>
      </c>
      <c r="I1416" s="4" t="s">
        <v>49</v>
      </c>
      <c r="J1416" s="4" t="s">
        <v>4951</v>
      </c>
      <c r="K1416" s="4">
        <v>1</v>
      </c>
      <c r="L1416" s="4">
        <v>15063</v>
      </c>
      <c r="M1416" s="6"/>
      <c r="AK1416" s="7"/>
      <c r="AO1416" s="48" t="s">
        <v>4964</v>
      </c>
      <c r="AP1416" s="48">
        <v>95</v>
      </c>
      <c r="AQ1416" s="48" t="s">
        <v>1716</v>
      </c>
      <c r="AR1416" s="48" t="s">
        <v>2441</v>
      </c>
      <c r="AS1416" s="48" t="s">
        <v>1702</v>
      </c>
      <c r="AT1416" s="48" t="s">
        <v>1703</v>
      </c>
      <c r="AU1416" s="48" t="s">
        <v>1704</v>
      </c>
      <c r="AV1416" s="48" t="s">
        <v>1702</v>
      </c>
      <c r="AW1416" s="48" t="s">
        <v>1705</v>
      </c>
      <c r="AX1416" s="48" t="s">
        <v>1952</v>
      </c>
      <c r="AY1416" s="48">
        <v>54.2</v>
      </c>
      <c r="AZ1416" s="48">
        <v>-133</v>
      </c>
      <c r="BA1416" s="48">
        <v>41</v>
      </c>
    </row>
    <row r="1417" spans="1:53" ht="14.25" customHeight="1" x14ac:dyDescent="0.2">
      <c r="A1417" s="4" t="s">
        <v>422</v>
      </c>
      <c r="B1417" s="4">
        <v>12</v>
      </c>
      <c r="C1417" s="4" t="s">
        <v>7665</v>
      </c>
      <c r="D1417" s="4" t="s">
        <v>4965</v>
      </c>
      <c r="E1417" s="4">
        <v>13142</v>
      </c>
      <c r="G1417" s="4" t="s">
        <v>4966</v>
      </c>
      <c r="H1417" s="4" t="s">
        <v>4950</v>
      </c>
      <c r="I1417" s="4" t="s">
        <v>49</v>
      </c>
      <c r="J1417" s="4" t="s">
        <v>4951</v>
      </c>
      <c r="K1417" s="4">
        <v>1</v>
      </c>
      <c r="L1417" s="4">
        <v>15064</v>
      </c>
      <c r="M1417" s="6"/>
      <c r="AK1417" s="7"/>
      <c r="AO1417" s="48" t="s">
        <v>4967</v>
      </c>
      <c r="AP1417" s="48">
        <v>92</v>
      </c>
      <c r="AQ1417" s="48" t="s">
        <v>1716</v>
      </c>
      <c r="AR1417" s="48" t="s">
        <v>2441</v>
      </c>
      <c r="AS1417" s="48" t="s">
        <v>1702</v>
      </c>
      <c r="AT1417" s="48" t="s">
        <v>1703</v>
      </c>
      <c r="AU1417" s="48" t="s">
        <v>1704</v>
      </c>
      <c r="AV1417" s="48" t="s">
        <v>1702</v>
      </c>
      <c r="AW1417" s="48" t="s">
        <v>1705</v>
      </c>
      <c r="AX1417" s="48" t="s">
        <v>1965</v>
      </c>
      <c r="AY1417" s="48">
        <v>52.3</v>
      </c>
      <c r="AZ1417" s="48">
        <v>-128.69999999999999</v>
      </c>
      <c r="BA1417" s="48">
        <v>26</v>
      </c>
    </row>
    <row r="1418" spans="1:53" ht="14.25" customHeight="1" x14ac:dyDescent="0.2">
      <c r="A1418" s="4" t="s">
        <v>4968</v>
      </c>
      <c r="B1418" s="4">
        <v>9</v>
      </c>
      <c r="C1418" s="4" t="s">
        <v>7678</v>
      </c>
      <c r="D1418" s="8" t="s">
        <v>4970</v>
      </c>
      <c r="E1418" s="4">
        <v>13010</v>
      </c>
      <c r="F1418" s="10" t="s">
        <v>4971</v>
      </c>
      <c r="G1418" s="4" t="s">
        <v>4972</v>
      </c>
      <c r="H1418" s="4" t="s">
        <v>4973</v>
      </c>
      <c r="I1418" s="4" t="s">
        <v>49</v>
      </c>
      <c r="J1418" s="4" t="s">
        <v>4974</v>
      </c>
      <c r="K1418" s="4">
        <v>1</v>
      </c>
      <c r="L1418" s="4">
        <v>14942</v>
      </c>
      <c r="M1418" s="6"/>
      <c r="V1418" s="9"/>
      <c r="W1418" s="9"/>
      <c r="X1418" s="9"/>
      <c r="Y1418" s="9"/>
      <c r="Z1418" s="70"/>
      <c r="AA1418" s="9"/>
      <c r="AB1418" s="11"/>
      <c r="AC1418" s="9"/>
      <c r="AK1418" s="7"/>
    </row>
    <row r="1419" spans="1:53" ht="14.25" customHeight="1" x14ac:dyDescent="0.2">
      <c r="A1419" s="4" t="s">
        <v>4968</v>
      </c>
      <c r="B1419" s="4">
        <v>9</v>
      </c>
      <c r="C1419" s="4" t="s">
        <v>7678</v>
      </c>
      <c r="D1419" s="8" t="s">
        <v>4975</v>
      </c>
      <c r="E1419" s="4">
        <v>12947</v>
      </c>
      <c r="F1419" s="10" t="s">
        <v>4976</v>
      </c>
      <c r="G1419" s="4" t="s">
        <v>4977</v>
      </c>
      <c r="H1419" s="4" t="s">
        <v>4978</v>
      </c>
      <c r="I1419" s="4" t="s">
        <v>49</v>
      </c>
      <c r="J1419" s="4" t="s">
        <v>4979</v>
      </c>
      <c r="K1419" s="4">
        <v>1</v>
      </c>
      <c r="L1419" s="4">
        <v>14879</v>
      </c>
      <c r="M1419" s="6"/>
      <c r="V1419" s="9"/>
      <c r="W1419" s="9"/>
      <c r="X1419" s="9"/>
      <c r="Y1419" s="9"/>
      <c r="Z1419" s="70"/>
      <c r="AA1419" s="9"/>
      <c r="AB1419" s="11"/>
      <c r="AC1419" s="9"/>
      <c r="AK1419" s="7"/>
    </row>
    <row r="1420" spans="1:53" ht="14.25" customHeight="1" x14ac:dyDescent="0.2">
      <c r="A1420" s="4" t="s">
        <v>4980</v>
      </c>
      <c r="B1420" s="4">
        <v>9</v>
      </c>
      <c r="C1420" s="4" t="s">
        <v>7678</v>
      </c>
      <c r="D1420" s="8" t="s">
        <v>4981</v>
      </c>
      <c r="E1420" s="4">
        <v>12939</v>
      </c>
      <c r="F1420" s="49" t="s">
        <v>4976</v>
      </c>
      <c r="G1420" s="4" t="s">
        <v>4977</v>
      </c>
      <c r="H1420" s="4" t="s">
        <v>4982</v>
      </c>
      <c r="I1420" s="4" t="s">
        <v>49</v>
      </c>
      <c r="J1420" s="4" t="s">
        <v>4983</v>
      </c>
      <c r="K1420" s="4">
        <v>1</v>
      </c>
      <c r="L1420" s="4">
        <v>14871</v>
      </c>
      <c r="M1420" s="6"/>
      <c r="AK1420" s="7"/>
    </row>
    <row r="1421" spans="1:53" ht="14.25" customHeight="1" x14ac:dyDescent="0.2">
      <c r="A1421" s="4" t="s">
        <v>4984</v>
      </c>
      <c r="B1421" s="4">
        <v>9</v>
      </c>
      <c r="C1421" s="4" t="s">
        <v>7678</v>
      </c>
      <c r="D1421" s="8" t="s">
        <v>4985</v>
      </c>
      <c r="E1421" s="4">
        <v>12950</v>
      </c>
      <c r="F1421" s="10" t="s">
        <v>4986</v>
      </c>
      <c r="G1421" s="8" t="s">
        <v>4987</v>
      </c>
      <c r="H1421" s="4" t="s">
        <v>4978</v>
      </c>
      <c r="I1421" s="4" t="s">
        <v>49</v>
      </c>
      <c r="J1421" s="4" t="s">
        <v>4974</v>
      </c>
      <c r="K1421" s="4">
        <v>1</v>
      </c>
      <c r="L1421" s="4">
        <v>14882</v>
      </c>
      <c r="M1421" s="6"/>
      <c r="V1421" s="9"/>
      <c r="W1421" s="9"/>
      <c r="X1421" s="9"/>
      <c r="Y1421" s="9"/>
      <c r="Z1421" s="70"/>
      <c r="AA1421" s="9"/>
      <c r="AB1421" s="11"/>
      <c r="AC1421" s="9"/>
      <c r="AK1421" s="7"/>
    </row>
    <row r="1422" spans="1:53" ht="14.25" customHeight="1" x14ac:dyDescent="0.2">
      <c r="A1422" s="4" t="s">
        <v>4988</v>
      </c>
      <c r="B1422" s="4">
        <v>9</v>
      </c>
      <c r="C1422" s="4" t="s">
        <v>7678</v>
      </c>
      <c r="D1422" s="4" t="s">
        <v>4989</v>
      </c>
      <c r="E1422" s="4">
        <v>12941</v>
      </c>
      <c r="F1422" s="49" t="s">
        <v>4990</v>
      </c>
      <c r="G1422" s="4" t="s">
        <v>127</v>
      </c>
      <c r="H1422" s="4" t="s">
        <v>84</v>
      </c>
      <c r="I1422" s="4" t="s">
        <v>49</v>
      </c>
      <c r="K1422" s="4">
        <v>1</v>
      </c>
      <c r="L1422" s="4">
        <v>14873</v>
      </c>
      <c r="M1422" s="6"/>
      <c r="AK1422" s="7"/>
    </row>
    <row r="1423" spans="1:53" ht="14.25" customHeight="1" x14ac:dyDescent="0.2">
      <c r="A1423" s="4" t="s">
        <v>4984</v>
      </c>
      <c r="B1423" s="4">
        <v>9</v>
      </c>
      <c r="C1423" s="4" t="s">
        <v>7678</v>
      </c>
      <c r="D1423" s="8" t="s">
        <v>4991</v>
      </c>
      <c r="E1423" s="4">
        <v>13025</v>
      </c>
      <c r="F1423" s="10" t="s">
        <v>4992</v>
      </c>
      <c r="G1423" s="8" t="s">
        <v>4993</v>
      </c>
      <c r="H1423" s="4" t="s">
        <v>4994</v>
      </c>
      <c r="I1423" s="4" t="s">
        <v>49</v>
      </c>
      <c r="J1423" s="4" t="s">
        <v>4979</v>
      </c>
      <c r="K1423" s="4">
        <v>1</v>
      </c>
      <c r="L1423" s="4">
        <v>14957</v>
      </c>
      <c r="M1423" s="6"/>
      <c r="V1423" s="9"/>
      <c r="W1423" s="9"/>
      <c r="X1423" s="9"/>
      <c r="Y1423" s="9"/>
      <c r="Z1423" s="70"/>
      <c r="AA1423" s="9"/>
      <c r="AB1423" s="11"/>
      <c r="AC1423" s="9"/>
      <c r="AK1423" s="7"/>
    </row>
    <row r="1424" spans="1:53" ht="14.25" customHeight="1" x14ac:dyDescent="0.2">
      <c r="A1424" s="4" t="s">
        <v>422</v>
      </c>
      <c r="B1424" s="4">
        <v>9</v>
      </c>
      <c r="C1424" s="4" t="s">
        <v>7678</v>
      </c>
      <c r="D1424" s="4" t="s">
        <v>4995</v>
      </c>
      <c r="E1424" s="4">
        <v>12946</v>
      </c>
      <c r="F1424" s="49" t="s">
        <v>4996</v>
      </c>
      <c r="G1424" s="4" t="s">
        <v>127</v>
      </c>
      <c r="H1424" s="4" t="s">
        <v>84</v>
      </c>
      <c r="I1424" s="4" t="s">
        <v>49</v>
      </c>
      <c r="K1424" s="4">
        <v>1</v>
      </c>
      <c r="L1424" s="4">
        <v>14878</v>
      </c>
      <c r="M1424" s="6"/>
      <c r="AK1424" s="7"/>
    </row>
    <row r="1425" spans="1:37" ht="14.25" customHeight="1" x14ac:dyDescent="0.2">
      <c r="A1425" s="4" t="s">
        <v>4980</v>
      </c>
      <c r="B1425" s="4">
        <v>9</v>
      </c>
      <c r="C1425" s="4" t="s">
        <v>7678</v>
      </c>
      <c r="D1425" s="8" t="s">
        <v>4997</v>
      </c>
      <c r="E1425" s="4">
        <v>12938</v>
      </c>
      <c r="F1425" s="49" t="s">
        <v>4998</v>
      </c>
      <c r="G1425" s="4" t="s">
        <v>4999</v>
      </c>
      <c r="H1425" s="4" t="s">
        <v>5000</v>
      </c>
      <c r="I1425" s="4" t="s">
        <v>49</v>
      </c>
      <c r="J1425" s="4" t="s">
        <v>4983</v>
      </c>
      <c r="K1425" s="4">
        <v>1</v>
      </c>
      <c r="L1425" s="4">
        <v>14870</v>
      </c>
      <c r="M1425" s="6"/>
      <c r="V1425" s="9"/>
      <c r="W1425" s="9"/>
      <c r="X1425" s="9"/>
      <c r="Y1425" s="9"/>
      <c r="Z1425" s="70"/>
      <c r="AA1425" s="9"/>
      <c r="AB1425" s="11"/>
      <c r="AC1425" s="9"/>
      <c r="AK1425" s="7"/>
    </row>
    <row r="1426" spans="1:37" ht="14.25" customHeight="1" x14ac:dyDescent="0.2">
      <c r="A1426" s="4" t="s">
        <v>3107</v>
      </c>
      <c r="B1426" s="4">
        <v>9</v>
      </c>
      <c r="C1426" s="8" t="s">
        <v>7679</v>
      </c>
      <c r="D1426" s="8" t="s">
        <v>5002</v>
      </c>
      <c r="E1426" s="4">
        <v>13014</v>
      </c>
      <c r="F1426" s="10" t="s">
        <v>5003</v>
      </c>
      <c r="G1426" s="8" t="s">
        <v>5004</v>
      </c>
      <c r="H1426" s="4" t="s">
        <v>5005</v>
      </c>
      <c r="I1426" s="4" t="s">
        <v>49</v>
      </c>
      <c r="J1426" s="4" t="s">
        <v>4979</v>
      </c>
      <c r="K1426" s="4">
        <v>1</v>
      </c>
      <c r="L1426" s="4">
        <v>14946</v>
      </c>
      <c r="M1426" s="6"/>
      <c r="V1426" s="9"/>
      <c r="W1426" s="9"/>
      <c r="X1426" s="9"/>
      <c r="Y1426" s="9"/>
      <c r="Z1426" s="70"/>
      <c r="AA1426" s="9"/>
      <c r="AB1426" s="11"/>
      <c r="AC1426" s="9"/>
      <c r="AK1426" s="7"/>
    </row>
    <row r="1427" spans="1:37" ht="14.25" customHeight="1" x14ac:dyDescent="0.2">
      <c r="A1427" s="4" t="s">
        <v>4984</v>
      </c>
      <c r="B1427" s="4">
        <v>9</v>
      </c>
      <c r="C1427" s="4" t="s">
        <v>7678</v>
      </c>
      <c r="D1427" s="8" t="s">
        <v>5006</v>
      </c>
      <c r="E1427" s="4">
        <v>13006</v>
      </c>
      <c r="F1427" s="10" t="s">
        <v>5007</v>
      </c>
      <c r="G1427" s="8" t="s">
        <v>5008</v>
      </c>
      <c r="H1427" s="4" t="s">
        <v>5009</v>
      </c>
      <c r="I1427" s="4" t="s">
        <v>49</v>
      </c>
      <c r="J1427" s="4" t="s">
        <v>4979</v>
      </c>
      <c r="K1427" s="4">
        <v>1</v>
      </c>
      <c r="L1427" s="4">
        <v>14938</v>
      </c>
      <c r="M1427" s="6"/>
      <c r="V1427" s="9"/>
      <c r="W1427" s="9"/>
      <c r="X1427" s="9"/>
      <c r="Y1427" s="9"/>
      <c r="Z1427" s="70"/>
      <c r="AA1427" s="9"/>
      <c r="AB1427" s="11"/>
      <c r="AC1427" s="9"/>
      <c r="AK1427" s="7"/>
    </row>
    <row r="1428" spans="1:37" ht="14.25" customHeight="1" x14ac:dyDescent="0.2">
      <c r="A1428" s="4" t="s">
        <v>5010</v>
      </c>
      <c r="B1428" s="4">
        <v>9</v>
      </c>
      <c r="C1428" s="4" t="s">
        <v>7678</v>
      </c>
      <c r="D1428" s="4" t="s">
        <v>5011</v>
      </c>
      <c r="E1428" s="4">
        <v>12944</v>
      </c>
      <c r="F1428" s="49" t="s">
        <v>5012</v>
      </c>
      <c r="G1428" s="4" t="s">
        <v>127</v>
      </c>
      <c r="H1428" s="4" t="s">
        <v>84</v>
      </c>
      <c r="I1428" s="4" t="s">
        <v>49</v>
      </c>
      <c r="K1428" s="4">
        <v>1</v>
      </c>
      <c r="L1428" s="4">
        <v>14876</v>
      </c>
      <c r="M1428" s="6"/>
      <c r="AK1428" s="7"/>
    </row>
    <row r="1429" spans="1:37" ht="14.25" customHeight="1" x14ac:dyDescent="0.2">
      <c r="A1429" s="4" t="s">
        <v>4984</v>
      </c>
      <c r="B1429" s="4">
        <v>9</v>
      </c>
      <c r="C1429" s="4" t="s">
        <v>7678</v>
      </c>
      <c r="D1429" s="8" t="s">
        <v>5013</v>
      </c>
      <c r="E1429" s="4">
        <v>13005</v>
      </c>
      <c r="F1429" s="10" t="s">
        <v>5014</v>
      </c>
      <c r="G1429" s="8" t="s">
        <v>5015</v>
      </c>
      <c r="H1429" s="4" t="s">
        <v>5016</v>
      </c>
      <c r="I1429" s="4" t="s">
        <v>49</v>
      </c>
      <c r="J1429" s="4" t="s">
        <v>4979</v>
      </c>
      <c r="K1429" s="4">
        <v>1</v>
      </c>
      <c r="L1429" s="4">
        <v>14937</v>
      </c>
      <c r="M1429" s="6"/>
      <c r="V1429" s="9"/>
      <c r="W1429" s="9"/>
      <c r="X1429" s="9"/>
      <c r="Y1429" s="14"/>
      <c r="Z1429" s="70"/>
      <c r="AA1429" s="9"/>
      <c r="AB1429" s="11"/>
      <c r="AC1429" s="9"/>
      <c r="AK1429" s="7"/>
    </row>
    <row r="1430" spans="1:37" ht="14.25" customHeight="1" x14ac:dyDescent="0.2">
      <c r="A1430" s="4" t="s">
        <v>4984</v>
      </c>
      <c r="B1430" s="4">
        <v>9</v>
      </c>
      <c r="C1430" s="4" t="s">
        <v>7678</v>
      </c>
      <c r="D1430" s="10" t="s">
        <v>5017</v>
      </c>
      <c r="E1430" s="4">
        <v>12948</v>
      </c>
      <c r="F1430" s="10" t="s">
        <v>5018</v>
      </c>
      <c r="G1430" s="8" t="s">
        <v>7680</v>
      </c>
      <c r="H1430" s="4" t="s">
        <v>4978</v>
      </c>
      <c r="I1430" s="4" t="s">
        <v>49</v>
      </c>
      <c r="J1430" s="4" t="s">
        <v>4979</v>
      </c>
      <c r="K1430" s="4">
        <v>1</v>
      </c>
      <c r="L1430" s="4">
        <v>14880</v>
      </c>
      <c r="M1430" s="6"/>
      <c r="V1430" s="9"/>
      <c r="W1430" s="9"/>
      <c r="X1430" s="9"/>
      <c r="Y1430" s="9"/>
      <c r="Z1430" s="70"/>
      <c r="AA1430" s="9"/>
      <c r="AB1430" s="11"/>
      <c r="AC1430" s="9"/>
      <c r="AK1430" s="7"/>
    </row>
    <row r="1431" spans="1:37" ht="14.25" customHeight="1" x14ac:dyDescent="0.2">
      <c r="A1431" s="4" t="s">
        <v>4984</v>
      </c>
      <c r="B1431" s="4">
        <v>9</v>
      </c>
      <c r="C1431" s="4" t="s">
        <v>7678</v>
      </c>
      <c r="D1431" s="8" t="s">
        <v>5020</v>
      </c>
      <c r="E1431" s="4">
        <v>13087</v>
      </c>
      <c r="F1431" s="10" t="s">
        <v>5021</v>
      </c>
      <c r="G1431" s="8" t="s">
        <v>5022</v>
      </c>
      <c r="H1431" s="4" t="s">
        <v>5023</v>
      </c>
      <c r="I1431" s="4" t="s">
        <v>49</v>
      </c>
      <c r="J1431" s="4" t="s">
        <v>4979</v>
      </c>
      <c r="K1431" s="4">
        <v>1</v>
      </c>
      <c r="L1431" s="4">
        <v>15009</v>
      </c>
      <c r="M1431" s="6"/>
      <c r="V1431" s="9"/>
      <c r="W1431" s="9"/>
      <c r="X1431" s="9"/>
      <c r="Y1431" s="9"/>
      <c r="Z1431" s="70"/>
      <c r="AA1431" s="9"/>
      <c r="AB1431" s="11"/>
      <c r="AC1431" s="9"/>
      <c r="AK1431" s="7"/>
    </row>
    <row r="1432" spans="1:37" ht="14.25" customHeight="1" x14ac:dyDescent="0.2">
      <c r="A1432" s="4" t="s">
        <v>4984</v>
      </c>
      <c r="B1432" s="4">
        <v>9</v>
      </c>
      <c r="C1432" s="4" t="s">
        <v>7678</v>
      </c>
      <c r="D1432" s="8" t="s">
        <v>5024</v>
      </c>
      <c r="E1432" s="4">
        <v>13088</v>
      </c>
      <c r="F1432" s="10" t="s">
        <v>5025</v>
      </c>
      <c r="G1432" s="8" t="s">
        <v>5026</v>
      </c>
      <c r="H1432" s="4" t="s">
        <v>5027</v>
      </c>
      <c r="I1432" s="4" t="s">
        <v>49</v>
      </c>
      <c r="J1432" s="4" t="s">
        <v>4979</v>
      </c>
      <c r="K1432" s="4">
        <v>1</v>
      </c>
      <c r="L1432" s="4">
        <v>15010</v>
      </c>
      <c r="M1432" s="6"/>
      <c r="V1432" s="9"/>
      <c r="W1432" s="9"/>
      <c r="X1432" s="9"/>
      <c r="Y1432" s="9"/>
      <c r="Z1432" s="70"/>
      <c r="AA1432" s="9"/>
      <c r="AB1432" s="11"/>
      <c r="AC1432" s="9"/>
      <c r="AK1432" s="7"/>
    </row>
    <row r="1433" spans="1:37" ht="14.25" customHeight="1" x14ac:dyDescent="0.2">
      <c r="A1433" s="4" t="s">
        <v>4984</v>
      </c>
      <c r="B1433" s="4">
        <v>9</v>
      </c>
      <c r="C1433" s="4" t="s">
        <v>7678</v>
      </c>
      <c r="D1433" s="8" t="s">
        <v>5028</v>
      </c>
      <c r="E1433" s="4">
        <v>13037</v>
      </c>
      <c r="F1433" s="10" t="s">
        <v>5029</v>
      </c>
      <c r="G1433" s="8" t="s">
        <v>5030</v>
      </c>
      <c r="H1433" s="4" t="s">
        <v>5031</v>
      </c>
      <c r="I1433" s="4" t="s">
        <v>49</v>
      </c>
      <c r="J1433" s="4" t="s">
        <v>4979</v>
      </c>
      <c r="K1433" s="4">
        <v>1</v>
      </c>
      <c r="L1433" s="4">
        <v>14969</v>
      </c>
      <c r="M1433" s="6"/>
      <c r="V1433" s="9"/>
      <c r="W1433" s="9"/>
      <c r="X1433" s="9"/>
      <c r="Y1433" s="9"/>
      <c r="Z1433" s="70"/>
      <c r="AA1433" s="9"/>
      <c r="AB1433" s="11"/>
      <c r="AC1433" s="9"/>
      <c r="AK1433" s="7"/>
    </row>
    <row r="1434" spans="1:37" ht="14.25" customHeight="1" x14ac:dyDescent="0.2">
      <c r="A1434" s="4" t="s">
        <v>5032</v>
      </c>
      <c r="B1434" s="4">
        <v>9</v>
      </c>
      <c r="C1434" s="4" t="s">
        <v>7678</v>
      </c>
      <c r="D1434" s="8" t="s">
        <v>5033</v>
      </c>
      <c r="E1434" s="4">
        <v>2587</v>
      </c>
      <c r="F1434" s="4" t="s">
        <v>5034</v>
      </c>
      <c r="G1434" s="4" t="s">
        <v>5035</v>
      </c>
      <c r="H1434" s="4" t="s">
        <v>5036</v>
      </c>
      <c r="I1434" s="4" t="s">
        <v>641</v>
      </c>
      <c r="J1434" s="4" t="s">
        <v>5037</v>
      </c>
      <c r="K1434" s="4">
        <v>1</v>
      </c>
      <c r="L1434" s="4">
        <v>2990</v>
      </c>
      <c r="M1434" s="6"/>
      <c r="V1434" s="9"/>
      <c r="W1434" s="9"/>
      <c r="X1434" s="9"/>
      <c r="Y1434" s="9"/>
      <c r="Z1434" s="70"/>
      <c r="AA1434" s="9"/>
      <c r="AB1434" s="11"/>
      <c r="AC1434" s="9"/>
      <c r="AK1434" s="7"/>
    </row>
    <row r="1435" spans="1:37" ht="14.25" customHeight="1" x14ac:dyDescent="0.2">
      <c r="A1435" s="5" t="s">
        <v>5038</v>
      </c>
      <c r="B1435" s="4">
        <v>9</v>
      </c>
      <c r="C1435" s="8" t="s">
        <v>7681</v>
      </c>
      <c r="D1435" s="8" t="s">
        <v>5040</v>
      </c>
      <c r="E1435" s="4">
        <v>12074</v>
      </c>
      <c r="F1435" s="4" t="s">
        <v>5041</v>
      </c>
      <c r="G1435" s="4" t="s">
        <v>5042</v>
      </c>
      <c r="H1435" s="4" t="s">
        <v>84</v>
      </c>
      <c r="I1435" s="4" t="s">
        <v>641</v>
      </c>
      <c r="K1435" s="4">
        <v>1</v>
      </c>
      <c r="L1435" s="4">
        <v>14130</v>
      </c>
      <c r="M1435" s="6"/>
      <c r="AK1435" s="7"/>
    </row>
    <row r="1436" spans="1:37" ht="14.25" customHeight="1" x14ac:dyDescent="0.2">
      <c r="A1436" s="4" t="s">
        <v>5043</v>
      </c>
      <c r="B1436" s="4">
        <v>9</v>
      </c>
      <c r="C1436" s="8" t="s">
        <v>7681</v>
      </c>
      <c r="D1436" s="8" t="s">
        <v>5044</v>
      </c>
      <c r="E1436" s="4">
        <v>2633</v>
      </c>
      <c r="F1436" s="4" t="s">
        <v>5045</v>
      </c>
      <c r="G1436" s="4" t="s">
        <v>5046</v>
      </c>
      <c r="H1436" s="4" t="s">
        <v>5047</v>
      </c>
      <c r="I1436" s="4" t="s">
        <v>641</v>
      </c>
      <c r="J1436" s="4" t="s">
        <v>5048</v>
      </c>
      <c r="K1436" s="4">
        <v>1</v>
      </c>
      <c r="L1436" s="4">
        <v>3036</v>
      </c>
      <c r="M1436" s="6"/>
      <c r="V1436" s="9"/>
      <c r="W1436" s="9"/>
      <c r="X1436" s="9"/>
      <c r="Y1436" s="9"/>
      <c r="Z1436" s="70"/>
      <c r="AA1436" s="9"/>
      <c r="AB1436" s="11"/>
      <c r="AC1436" s="9"/>
      <c r="AK1436" s="7"/>
    </row>
    <row r="1437" spans="1:37" ht="14.25" customHeight="1" x14ac:dyDescent="0.2">
      <c r="A1437" s="5" t="s">
        <v>5049</v>
      </c>
      <c r="B1437" s="4">
        <v>9</v>
      </c>
      <c r="C1437" s="4" t="s">
        <v>7681</v>
      </c>
      <c r="D1437" s="4" t="s">
        <v>5050</v>
      </c>
      <c r="E1437" s="4">
        <v>2630</v>
      </c>
      <c r="F1437" s="4" t="s">
        <v>5051</v>
      </c>
      <c r="G1437" s="4" t="s">
        <v>5052</v>
      </c>
      <c r="H1437" s="4" t="s">
        <v>84</v>
      </c>
      <c r="I1437" s="4" t="s">
        <v>641</v>
      </c>
      <c r="K1437" s="4">
        <v>1</v>
      </c>
      <c r="L1437" s="4">
        <v>3033</v>
      </c>
      <c r="M1437" s="6"/>
      <c r="AK1437" s="7"/>
    </row>
    <row r="1438" spans="1:37" ht="14.25" customHeight="1" x14ac:dyDescent="0.2">
      <c r="A1438" s="5" t="s">
        <v>422</v>
      </c>
      <c r="B1438" s="4">
        <v>9</v>
      </c>
      <c r="C1438" s="4" t="s">
        <v>7681</v>
      </c>
      <c r="D1438" s="4" t="s">
        <v>5053</v>
      </c>
      <c r="E1438" s="4">
        <v>12077</v>
      </c>
      <c r="F1438" s="4" t="s">
        <v>5054</v>
      </c>
      <c r="G1438" s="4" t="s">
        <v>5055</v>
      </c>
      <c r="H1438" s="4" t="s">
        <v>84</v>
      </c>
      <c r="I1438" s="4" t="s">
        <v>641</v>
      </c>
      <c r="K1438" s="4">
        <v>1</v>
      </c>
      <c r="L1438" s="4">
        <v>14133</v>
      </c>
      <c r="M1438" s="6"/>
      <c r="V1438" s="9"/>
      <c r="W1438" s="9"/>
      <c r="X1438" s="9"/>
      <c r="Y1438" s="9"/>
      <c r="Z1438" s="70"/>
      <c r="AA1438" s="9"/>
      <c r="AB1438" s="11"/>
      <c r="AC1438" s="9"/>
      <c r="AK1438" s="7"/>
    </row>
    <row r="1439" spans="1:37" ht="14.25" customHeight="1" x14ac:dyDescent="0.2">
      <c r="A1439" s="4" t="s">
        <v>5032</v>
      </c>
      <c r="B1439" s="4">
        <v>9</v>
      </c>
      <c r="C1439" s="9" t="s">
        <v>7678</v>
      </c>
      <c r="D1439" s="8" t="s">
        <v>5056</v>
      </c>
      <c r="E1439" s="4">
        <v>1560</v>
      </c>
      <c r="F1439" s="4" t="s">
        <v>5057</v>
      </c>
      <c r="G1439" s="4" t="s">
        <v>5058</v>
      </c>
      <c r="H1439" s="4" t="s">
        <v>5059</v>
      </c>
      <c r="I1439" s="4" t="s">
        <v>641</v>
      </c>
      <c r="J1439" s="4" t="s">
        <v>5060</v>
      </c>
      <c r="K1439" s="4">
        <v>1</v>
      </c>
      <c r="L1439" s="4">
        <v>1963</v>
      </c>
      <c r="M1439" s="6"/>
      <c r="V1439" s="9"/>
      <c r="W1439" s="9"/>
      <c r="X1439" s="9"/>
      <c r="Y1439" s="9"/>
      <c r="Z1439" s="70"/>
      <c r="AA1439" s="9"/>
      <c r="AB1439" s="11"/>
      <c r="AC1439" s="9"/>
      <c r="AK1439" s="7"/>
    </row>
    <row r="1440" spans="1:37" ht="14.25" customHeight="1" x14ac:dyDescent="0.2">
      <c r="A1440" s="5" t="s">
        <v>5061</v>
      </c>
      <c r="B1440" s="4">
        <v>9</v>
      </c>
      <c r="C1440" s="8" t="s">
        <v>7681</v>
      </c>
      <c r="D1440" s="8" t="s">
        <v>5062</v>
      </c>
      <c r="E1440" s="4">
        <v>2628</v>
      </c>
      <c r="F1440" s="4" t="s">
        <v>729</v>
      </c>
      <c r="G1440" s="8" t="s">
        <v>5063</v>
      </c>
      <c r="H1440" s="4" t="s">
        <v>84</v>
      </c>
      <c r="I1440" s="4" t="s">
        <v>641</v>
      </c>
      <c r="K1440" s="4">
        <v>1</v>
      </c>
      <c r="L1440" s="4">
        <v>3031</v>
      </c>
      <c r="M1440" s="6"/>
      <c r="V1440" s="9"/>
      <c r="W1440" s="9"/>
      <c r="X1440" s="9"/>
      <c r="Y1440" s="9"/>
      <c r="Z1440" s="70"/>
      <c r="AA1440" s="9"/>
      <c r="AB1440" s="11"/>
      <c r="AC1440" s="9"/>
      <c r="AK1440" s="7"/>
    </row>
    <row r="1441" spans="1:37" ht="14.25" customHeight="1" x14ac:dyDescent="0.2">
      <c r="A1441" s="4" t="s">
        <v>5064</v>
      </c>
      <c r="B1441" s="4">
        <v>9</v>
      </c>
      <c r="C1441" s="4" t="s">
        <v>7678</v>
      </c>
      <c r="D1441" s="8" t="s">
        <v>5065</v>
      </c>
      <c r="E1441" s="4">
        <v>12083</v>
      </c>
      <c r="F1441" s="4" t="s">
        <v>5066</v>
      </c>
      <c r="G1441" s="4" t="s">
        <v>5067</v>
      </c>
      <c r="H1441" s="4" t="s">
        <v>5068</v>
      </c>
      <c r="I1441" s="4" t="s">
        <v>641</v>
      </c>
      <c r="J1441" s="4" t="s">
        <v>5037</v>
      </c>
      <c r="K1441" s="4">
        <v>1</v>
      </c>
      <c r="L1441" s="4">
        <v>14139</v>
      </c>
      <c r="M1441" s="6"/>
      <c r="V1441" s="9"/>
      <c r="W1441" s="9"/>
      <c r="X1441" s="9"/>
      <c r="Y1441" s="9"/>
      <c r="Z1441" s="70"/>
      <c r="AA1441" s="9"/>
      <c r="AB1441" s="11"/>
      <c r="AC1441" s="9"/>
      <c r="AK1441" s="7"/>
    </row>
    <row r="1442" spans="1:37" ht="14.25" customHeight="1" x14ac:dyDescent="0.2">
      <c r="A1442" s="4" t="s">
        <v>5064</v>
      </c>
      <c r="B1442" s="4">
        <v>9</v>
      </c>
      <c r="C1442" s="4" t="s">
        <v>7678</v>
      </c>
      <c r="D1442" s="8" t="s">
        <v>5069</v>
      </c>
      <c r="E1442" s="4">
        <v>2609</v>
      </c>
      <c r="F1442" s="4" t="s">
        <v>5070</v>
      </c>
      <c r="G1442" s="4" t="s">
        <v>5071</v>
      </c>
      <c r="H1442" s="4" t="s">
        <v>5072</v>
      </c>
      <c r="I1442" s="4" t="s">
        <v>641</v>
      </c>
      <c r="J1442" s="4" t="s">
        <v>5073</v>
      </c>
      <c r="K1442" s="4">
        <v>1</v>
      </c>
      <c r="L1442" s="4">
        <v>3012</v>
      </c>
      <c r="M1442" s="6"/>
      <c r="V1442" s="9"/>
      <c r="W1442" s="9"/>
      <c r="X1442" s="9"/>
      <c r="Y1442" s="9"/>
      <c r="Z1442" s="70"/>
      <c r="AA1442" s="9"/>
      <c r="AB1442" s="11"/>
      <c r="AC1442" s="9"/>
      <c r="AK1442" s="7"/>
    </row>
    <row r="1443" spans="1:37" ht="14.25" customHeight="1" x14ac:dyDescent="0.2">
      <c r="A1443" s="4" t="s">
        <v>422</v>
      </c>
      <c r="B1443" s="4">
        <v>9</v>
      </c>
      <c r="C1443" s="4" t="s">
        <v>7678</v>
      </c>
      <c r="D1443" s="4" t="s">
        <v>5074</v>
      </c>
      <c r="E1443" s="4">
        <v>12084</v>
      </c>
      <c r="F1443" s="4" t="s">
        <v>5075</v>
      </c>
      <c r="G1443" s="4" t="s">
        <v>5076</v>
      </c>
      <c r="H1443" s="4" t="s">
        <v>5077</v>
      </c>
      <c r="I1443" s="4" t="s">
        <v>641</v>
      </c>
      <c r="J1443" s="4" t="s">
        <v>5078</v>
      </c>
      <c r="K1443" s="4">
        <v>1</v>
      </c>
      <c r="L1443" s="4">
        <v>14140</v>
      </c>
      <c r="M1443" s="6"/>
      <c r="V1443" s="9"/>
      <c r="W1443" s="9"/>
      <c r="X1443" s="9"/>
      <c r="Y1443" s="9"/>
      <c r="Z1443" s="70"/>
      <c r="AA1443" s="9"/>
      <c r="AB1443" s="11"/>
      <c r="AC1443" s="9"/>
      <c r="AK1443" s="7"/>
    </row>
    <row r="1444" spans="1:37" ht="14.25" customHeight="1" x14ac:dyDescent="0.2">
      <c r="A1444" s="4" t="s">
        <v>5032</v>
      </c>
      <c r="B1444" s="4">
        <v>9</v>
      </c>
      <c r="C1444" s="4" t="s">
        <v>7678</v>
      </c>
      <c r="D1444" s="8" t="s">
        <v>5079</v>
      </c>
      <c r="E1444" s="4">
        <v>2627</v>
      </c>
      <c r="F1444" s="4" t="s">
        <v>5080</v>
      </c>
      <c r="G1444" s="4" t="s">
        <v>5081</v>
      </c>
      <c r="H1444" s="4" t="s">
        <v>5082</v>
      </c>
      <c r="I1444" s="4" t="s">
        <v>641</v>
      </c>
      <c r="J1444" s="4" t="s">
        <v>5083</v>
      </c>
      <c r="K1444" s="4">
        <v>1</v>
      </c>
      <c r="L1444" s="4">
        <v>3030</v>
      </c>
      <c r="M1444" s="6"/>
      <c r="V1444" s="9"/>
      <c r="W1444" s="9"/>
      <c r="X1444" s="9"/>
      <c r="Y1444" s="9"/>
      <c r="Z1444" s="70"/>
      <c r="AA1444" s="9"/>
      <c r="AB1444" s="11"/>
      <c r="AC1444" s="9"/>
      <c r="AK1444" s="7"/>
    </row>
    <row r="1445" spans="1:37" ht="14.25" customHeight="1" x14ac:dyDescent="0.2">
      <c r="A1445" s="4" t="s">
        <v>5032</v>
      </c>
      <c r="B1445" s="4">
        <v>9</v>
      </c>
      <c r="C1445" s="4" t="s">
        <v>7678</v>
      </c>
      <c r="D1445" s="8" t="s">
        <v>5084</v>
      </c>
      <c r="E1445" s="4">
        <v>1556</v>
      </c>
      <c r="F1445" s="4" t="s">
        <v>5085</v>
      </c>
      <c r="G1445" s="4" t="s">
        <v>5086</v>
      </c>
      <c r="H1445" s="4" t="s">
        <v>5087</v>
      </c>
      <c r="I1445" s="4" t="s">
        <v>641</v>
      </c>
      <c r="J1445" s="4" t="s">
        <v>5037</v>
      </c>
      <c r="K1445" s="4">
        <v>1</v>
      </c>
      <c r="L1445" s="4">
        <v>1959</v>
      </c>
      <c r="M1445" s="6"/>
      <c r="V1445" s="9"/>
      <c r="W1445" s="9"/>
      <c r="X1445" s="9"/>
      <c r="Y1445" s="9"/>
      <c r="Z1445" s="20"/>
      <c r="AA1445" s="9"/>
      <c r="AB1445" s="11"/>
      <c r="AC1445" s="9"/>
      <c r="AK1445" s="7"/>
    </row>
    <row r="1446" spans="1:37" ht="14.25" customHeight="1" x14ac:dyDescent="0.2">
      <c r="A1446" s="5" t="s">
        <v>5088</v>
      </c>
      <c r="B1446" s="4">
        <v>9</v>
      </c>
      <c r="C1446" s="4" t="s">
        <v>7681</v>
      </c>
      <c r="D1446" s="4" t="s">
        <v>5089</v>
      </c>
      <c r="E1446" s="4">
        <v>12086</v>
      </c>
      <c r="F1446" s="4" t="s">
        <v>5090</v>
      </c>
      <c r="G1446" s="4" t="s">
        <v>5091</v>
      </c>
      <c r="H1446" s="4" t="s">
        <v>84</v>
      </c>
      <c r="I1446" s="4" t="s">
        <v>641</v>
      </c>
      <c r="K1446" s="4">
        <v>1</v>
      </c>
      <c r="L1446" s="4">
        <v>14142</v>
      </c>
      <c r="M1446" s="6"/>
      <c r="V1446" s="9"/>
      <c r="W1446" s="9"/>
      <c r="X1446" s="9"/>
      <c r="Y1446" s="9"/>
      <c r="Z1446" s="20"/>
      <c r="AA1446" s="9"/>
      <c r="AB1446" s="11"/>
      <c r="AC1446" s="9"/>
      <c r="AK1446" s="7"/>
    </row>
    <row r="1447" spans="1:37" ht="14.25" customHeight="1" x14ac:dyDescent="0.2">
      <c r="A1447" s="4" t="s">
        <v>1692</v>
      </c>
      <c r="B1447" s="4">
        <v>9</v>
      </c>
      <c r="C1447" s="8" t="s">
        <v>7681</v>
      </c>
      <c r="D1447" s="10" t="s">
        <v>5092</v>
      </c>
      <c r="E1447" s="4">
        <v>12089</v>
      </c>
      <c r="F1447" s="4" t="s">
        <v>5093</v>
      </c>
      <c r="G1447" s="8" t="s">
        <v>5094</v>
      </c>
      <c r="H1447" s="4" t="s">
        <v>5095</v>
      </c>
      <c r="I1447" s="4" t="s">
        <v>641</v>
      </c>
      <c r="J1447" s="4" t="s">
        <v>5037</v>
      </c>
      <c r="K1447" s="4">
        <v>1</v>
      </c>
      <c r="L1447" s="4">
        <v>14145</v>
      </c>
      <c r="M1447" s="6"/>
      <c r="V1447" s="9"/>
      <c r="W1447" s="9"/>
      <c r="X1447" s="9"/>
      <c r="Y1447" s="9"/>
      <c r="Z1447" s="20"/>
      <c r="AA1447" s="9"/>
      <c r="AB1447" s="11"/>
      <c r="AC1447" s="9"/>
      <c r="AK1447" s="7"/>
    </row>
    <row r="1448" spans="1:37" ht="14.25" customHeight="1" x14ac:dyDescent="0.2">
      <c r="A1448" s="5" t="s">
        <v>5096</v>
      </c>
      <c r="B1448" s="4">
        <v>9</v>
      </c>
      <c r="C1448" s="4" t="s">
        <v>7681</v>
      </c>
      <c r="D1448" s="4" t="s">
        <v>5097</v>
      </c>
      <c r="E1448" s="4">
        <v>12090</v>
      </c>
      <c r="F1448" s="4" t="s">
        <v>5098</v>
      </c>
      <c r="G1448" s="4" t="s">
        <v>5099</v>
      </c>
      <c r="H1448" s="4" t="s">
        <v>84</v>
      </c>
      <c r="I1448" s="4" t="s">
        <v>641</v>
      </c>
      <c r="K1448" s="4">
        <v>1</v>
      </c>
      <c r="L1448" s="4">
        <v>14146</v>
      </c>
      <c r="M1448" s="6"/>
      <c r="AK1448" s="7"/>
    </row>
    <row r="1449" spans="1:37" ht="14.25" customHeight="1" x14ac:dyDescent="0.2">
      <c r="A1449" s="5" t="s">
        <v>5100</v>
      </c>
      <c r="B1449" s="4">
        <v>9</v>
      </c>
      <c r="C1449" s="4" t="s">
        <v>7681</v>
      </c>
      <c r="D1449" s="4" t="s">
        <v>5101</v>
      </c>
      <c r="E1449" s="4">
        <v>12091</v>
      </c>
      <c r="F1449" s="4" t="s">
        <v>5102</v>
      </c>
      <c r="G1449" s="4" t="s">
        <v>5103</v>
      </c>
      <c r="H1449" s="4" t="s">
        <v>84</v>
      </c>
      <c r="I1449" s="4" t="s">
        <v>641</v>
      </c>
      <c r="K1449" s="4">
        <v>1</v>
      </c>
      <c r="L1449" s="4">
        <v>14147</v>
      </c>
      <c r="M1449" s="6"/>
      <c r="V1449" s="9"/>
      <c r="W1449" s="9"/>
      <c r="X1449" s="9"/>
      <c r="Y1449" s="9"/>
      <c r="Z1449" s="20"/>
      <c r="AA1449" s="9"/>
      <c r="AB1449" s="11"/>
      <c r="AC1449" s="9"/>
      <c r="AK1449" s="7"/>
    </row>
    <row r="1450" spans="1:37" ht="14.25" customHeight="1" x14ac:dyDescent="0.2">
      <c r="A1450" s="5" t="s">
        <v>5104</v>
      </c>
      <c r="B1450" s="4">
        <v>9</v>
      </c>
      <c r="C1450" s="8" t="s">
        <v>7681</v>
      </c>
      <c r="D1450" s="8" t="s">
        <v>5105</v>
      </c>
      <c r="E1450" s="4">
        <v>12092</v>
      </c>
      <c r="F1450" s="4" t="s">
        <v>435</v>
      </c>
      <c r="G1450" s="4" t="s">
        <v>5106</v>
      </c>
      <c r="H1450" s="4" t="s">
        <v>84</v>
      </c>
      <c r="I1450" s="4" t="s">
        <v>641</v>
      </c>
      <c r="K1450" s="4">
        <v>1</v>
      </c>
      <c r="L1450" s="4">
        <v>14148</v>
      </c>
      <c r="M1450" s="6"/>
      <c r="AK1450" s="7"/>
    </row>
    <row r="1451" spans="1:37" ht="14.25" customHeight="1" x14ac:dyDescent="0.2">
      <c r="A1451" s="4" t="s">
        <v>5032</v>
      </c>
      <c r="B1451" s="4">
        <v>9</v>
      </c>
      <c r="C1451" s="9" t="s">
        <v>7678</v>
      </c>
      <c r="D1451" s="8" t="s">
        <v>5107</v>
      </c>
      <c r="E1451" s="4">
        <v>1562</v>
      </c>
      <c r="F1451" s="4" t="s">
        <v>5108</v>
      </c>
      <c r="G1451" s="4" t="s">
        <v>5109</v>
      </c>
      <c r="H1451" s="4" t="s">
        <v>5110</v>
      </c>
      <c r="I1451" s="4" t="s">
        <v>641</v>
      </c>
      <c r="J1451" s="4" t="s">
        <v>5073</v>
      </c>
      <c r="K1451" s="4">
        <v>1</v>
      </c>
      <c r="L1451" s="4">
        <v>1965</v>
      </c>
      <c r="M1451" s="6"/>
      <c r="AK1451" s="7"/>
    </row>
    <row r="1452" spans="1:37" ht="14.25" customHeight="1" x14ac:dyDescent="0.2">
      <c r="A1452" s="4" t="s">
        <v>5032</v>
      </c>
      <c r="B1452" s="4">
        <v>9</v>
      </c>
      <c r="C1452" s="9" t="s">
        <v>7678</v>
      </c>
      <c r="D1452" s="8" t="s">
        <v>5111</v>
      </c>
      <c r="E1452" s="4">
        <v>12093</v>
      </c>
      <c r="F1452" s="4" t="s">
        <v>5112</v>
      </c>
      <c r="G1452" s="4" t="s">
        <v>5113</v>
      </c>
      <c r="H1452" s="4" t="s">
        <v>5114</v>
      </c>
      <c r="I1452" s="4" t="s">
        <v>641</v>
      </c>
      <c r="J1452" s="4" t="s">
        <v>5073</v>
      </c>
      <c r="K1452" s="4">
        <v>1</v>
      </c>
      <c r="L1452" s="4">
        <v>14149</v>
      </c>
      <c r="M1452" s="6"/>
      <c r="AK1452" s="7"/>
    </row>
    <row r="1453" spans="1:37" ht="14.25" customHeight="1" x14ac:dyDescent="0.2">
      <c r="A1453" s="4" t="s">
        <v>5115</v>
      </c>
      <c r="B1453" s="4">
        <v>9</v>
      </c>
      <c r="C1453" s="9" t="s">
        <v>7678</v>
      </c>
      <c r="D1453" s="8" t="s">
        <v>5116</v>
      </c>
      <c r="E1453" s="4">
        <v>2615</v>
      </c>
      <c r="F1453" s="4" t="s">
        <v>5117</v>
      </c>
      <c r="G1453" s="4" t="s">
        <v>5118</v>
      </c>
      <c r="H1453" s="4" t="s">
        <v>5119</v>
      </c>
      <c r="I1453" s="4" t="s">
        <v>641</v>
      </c>
      <c r="J1453" s="4" t="s">
        <v>5048</v>
      </c>
      <c r="K1453" s="4">
        <v>1</v>
      </c>
      <c r="L1453" s="4">
        <v>3018</v>
      </c>
      <c r="M1453" s="6"/>
      <c r="AK1453" s="7"/>
    </row>
    <row r="1454" spans="1:37" ht="14.25" customHeight="1" x14ac:dyDescent="0.2">
      <c r="A1454" s="4" t="s">
        <v>5032</v>
      </c>
      <c r="B1454" s="4">
        <v>9</v>
      </c>
      <c r="C1454" s="9" t="s">
        <v>7678</v>
      </c>
      <c r="D1454" s="8" t="s">
        <v>5120</v>
      </c>
      <c r="E1454" s="4">
        <v>2616</v>
      </c>
      <c r="F1454" s="4" t="s">
        <v>5121</v>
      </c>
      <c r="G1454" s="4" t="s">
        <v>5122</v>
      </c>
      <c r="H1454" s="4" t="s">
        <v>5123</v>
      </c>
      <c r="I1454" s="4" t="s">
        <v>641</v>
      </c>
      <c r="J1454" s="4" t="s">
        <v>5037</v>
      </c>
      <c r="K1454" s="4">
        <v>1</v>
      </c>
      <c r="L1454" s="4">
        <v>3019</v>
      </c>
      <c r="M1454" s="6"/>
      <c r="AK1454" s="7"/>
    </row>
    <row r="1455" spans="1:37" ht="14.25" customHeight="1" x14ac:dyDescent="0.2">
      <c r="A1455" s="4" t="s">
        <v>5032</v>
      </c>
      <c r="B1455" s="4">
        <v>9</v>
      </c>
      <c r="C1455" s="9" t="s">
        <v>7678</v>
      </c>
      <c r="D1455" s="8" t="s">
        <v>5124</v>
      </c>
      <c r="E1455" s="4">
        <v>1585</v>
      </c>
      <c r="F1455" s="4" t="s">
        <v>5125</v>
      </c>
      <c r="G1455" s="4" t="s">
        <v>5126</v>
      </c>
      <c r="H1455" s="4" t="s">
        <v>5127</v>
      </c>
      <c r="I1455" s="4" t="s">
        <v>641</v>
      </c>
      <c r="J1455" s="4" t="s">
        <v>5073</v>
      </c>
      <c r="K1455" s="4">
        <v>1</v>
      </c>
      <c r="L1455" s="4">
        <v>1988</v>
      </c>
      <c r="M1455" s="6"/>
      <c r="AK1455" s="7"/>
    </row>
    <row r="1456" spans="1:37" ht="14.25" customHeight="1" x14ac:dyDescent="0.2">
      <c r="A1456" s="5" t="s">
        <v>5128</v>
      </c>
      <c r="B1456" s="4">
        <v>9</v>
      </c>
      <c r="C1456" s="4" t="s">
        <v>7681</v>
      </c>
      <c r="D1456" s="4" t="s">
        <v>5129</v>
      </c>
      <c r="E1456" s="4">
        <v>2644</v>
      </c>
      <c r="F1456" s="4" t="s">
        <v>5130</v>
      </c>
      <c r="G1456" s="4" t="s">
        <v>5131</v>
      </c>
      <c r="H1456" s="4" t="s">
        <v>84</v>
      </c>
      <c r="I1456" s="4" t="s">
        <v>641</v>
      </c>
      <c r="K1456" s="4">
        <v>1</v>
      </c>
      <c r="L1456" s="4">
        <v>3047</v>
      </c>
      <c r="M1456" s="6"/>
      <c r="AK1456" s="7"/>
    </row>
    <row r="1457" spans="1:37" ht="14.25" customHeight="1" x14ac:dyDescent="0.2">
      <c r="A1457" s="4" t="s">
        <v>5132</v>
      </c>
      <c r="B1457" s="4">
        <v>9</v>
      </c>
      <c r="C1457" s="8" t="s">
        <v>7681</v>
      </c>
      <c r="D1457" s="8" t="s">
        <v>5133</v>
      </c>
      <c r="E1457" s="4">
        <v>2641</v>
      </c>
      <c r="F1457" s="4" t="s">
        <v>5130</v>
      </c>
      <c r="G1457" s="4" t="s">
        <v>5134</v>
      </c>
      <c r="H1457" s="4" t="s">
        <v>5135</v>
      </c>
      <c r="I1457" s="4" t="s">
        <v>641</v>
      </c>
      <c r="J1457" s="4" t="s">
        <v>5083</v>
      </c>
      <c r="K1457" s="4">
        <v>1</v>
      </c>
      <c r="L1457" s="4">
        <v>3044</v>
      </c>
      <c r="M1457" s="6"/>
      <c r="AK1457" s="7"/>
    </row>
    <row r="1458" spans="1:37" ht="14.25" customHeight="1" x14ac:dyDescent="0.2">
      <c r="A1458" s="4" t="s">
        <v>5132</v>
      </c>
      <c r="B1458" s="4">
        <v>9</v>
      </c>
      <c r="C1458" s="8" t="s">
        <v>7681</v>
      </c>
      <c r="D1458" s="8" t="s">
        <v>5136</v>
      </c>
      <c r="E1458" s="4">
        <v>2637</v>
      </c>
      <c r="F1458" s="4" t="s">
        <v>5137</v>
      </c>
      <c r="G1458" s="4" t="s">
        <v>5138</v>
      </c>
      <c r="H1458" s="4" t="s">
        <v>5139</v>
      </c>
      <c r="I1458" s="4" t="s">
        <v>641</v>
      </c>
      <c r="J1458" s="4" t="s">
        <v>5048</v>
      </c>
      <c r="K1458" s="4">
        <v>1</v>
      </c>
      <c r="L1458" s="4">
        <v>3040</v>
      </c>
      <c r="M1458" s="6"/>
      <c r="AK1458" s="7"/>
    </row>
    <row r="1459" spans="1:37" ht="14.25" customHeight="1" x14ac:dyDescent="0.2">
      <c r="A1459" s="4" t="s">
        <v>5032</v>
      </c>
      <c r="B1459" s="4">
        <v>9</v>
      </c>
      <c r="C1459" s="9" t="s">
        <v>7678</v>
      </c>
      <c r="D1459" s="8" t="s">
        <v>5140</v>
      </c>
      <c r="E1459" s="4">
        <v>12103</v>
      </c>
      <c r="F1459" s="4" t="s">
        <v>5141</v>
      </c>
      <c r="G1459" s="4" t="s">
        <v>5142</v>
      </c>
      <c r="H1459" s="4" t="s">
        <v>5143</v>
      </c>
      <c r="I1459" s="4" t="s">
        <v>641</v>
      </c>
      <c r="J1459" s="4" t="s">
        <v>5073</v>
      </c>
      <c r="K1459" s="4">
        <v>1</v>
      </c>
      <c r="L1459" s="4">
        <v>14159</v>
      </c>
      <c r="M1459" s="6"/>
      <c r="AK1459" s="7"/>
    </row>
    <row r="1460" spans="1:37" ht="14.25" customHeight="1" x14ac:dyDescent="0.2">
      <c r="A1460" s="5" t="s">
        <v>5144</v>
      </c>
      <c r="B1460" s="4">
        <v>9</v>
      </c>
      <c r="C1460" s="8" t="s">
        <v>7681</v>
      </c>
      <c r="D1460" s="8" t="s">
        <v>5145</v>
      </c>
      <c r="E1460" s="4">
        <v>12104</v>
      </c>
      <c r="F1460" s="4" t="s">
        <v>5146</v>
      </c>
      <c r="G1460" s="4" t="s">
        <v>5147</v>
      </c>
      <c r="H1460" s="4" t="s">
        <v>84</v>
      </c>
      <c r="I1460" s="4" t="s">
        <v>641</v>
      </c>
      <c r="K1460" s="4">
        <v>1</v>
      </c>
      <c r="L1460" s="4">
        <v>14160</v>
      </c>
      <c r="M1460" s="6"/>
      <c r="AK1460" s="7"/>
    </row>
    <row r="1461" spans="1:37" ht="14.25" customHeight="1" x14ac:dyDescent="0.2">
      <c r="A1461" s="4" t="s">
        <v>5032</v>
      </c>
      <c r="B1461" s="4">
        <v>9</v>
      </c>
      <c r="C1461" s="4" t="s">
        <v>7678</v>
      </c>
      <c r="D1461" s="8" t="s">
        <v>5148</v>
      </c>
      <c r="E1461" s="4">
        <v>12105</v>
      </c>
      <c r="F1461" s="4" t="s">
        <v>5149</v>
      </c>
      <c r="G1461" s="4" t="s">
        <v>5150</v>
      </c>
      <c r="H1461" s="4" t="s">
        <v>5151</v>
      </c>
      <c r="I1461" s="4" t="s">
        <v>641</v>
      </c>
      <c r="J1461" s="4" t="s">
        <v>5073</v>
      </c>
      <c r="K1461" s="4">
        <v>1</v>
      </c>
      <c r="L1461" s="4">
        <v>14161</v>
      </c>
      <c r="M1461" s="6"/>
      <c r="AK1461" s="7"/>
    </row>
    <row r="1462" spans="1:37" ht="14.25" customHeight="1" x14ac:dyDescent="0.2">
      <c r="A1462" s="4" t="s">
        <v>5032</v>
      </c>
      <c r="B1462" s="4">
        <v>9</v>
      </c>
      <c r="C1462" s="4" t="s">
        <v>7678</v>
      </c>
      <c r="D1462" s="8" t="s">
        <v>5152</v>
      </c>
      <c r="E1462" s="4">
        <v>12427</v>
      </c>
      <c r="F1462" s="4" t="s">
        <v>5153</v>
      </c>
      <c r="G1462" s="4" t="s">
        <v>5154</v>
      </c>
      <c r="H1462" s="4" t="s">
        <v>5155</v>
      </c>
      <c r="I1462" s="4" t="s">
        <v>49</v>
      </c>
      <c r="J1462" s="4" t="s">
        <v>5073</v>
      </c>
      <c r="K1462" s="4">
        <v>1</v>
      </c>
      <c r="L1462" s="4">
        <v>14449</v>
      </c>
      <c r="M1462" s="6"/>
      <c r="AK1462" s="7"/>
    </row>
    <row r="1463" spans="1:37" ht="14.25" customHeight="1" x14ac:dyDescent="0.2">
      <c r="A1463" s="4" t="s">
        <v>5032</v>
      </c>
      <c r="B1463" s="4">
        <v>9</v>
      </c>
      <c r="C1463" s="4" t="s">
        <v>7678</v>
      </c>
      <c r="D1463" s="8" t="s">
        <v>5156</v>
      </c>
      <c r="E1463" s="4">
        <v>2608</v>
      </c>
      <c r="F1463" s="4" t="s">
        <v>353</v>
      </c>
      <c r="G1463" s="4" t="s">
        <v>5157</v>
      </c>
      <c r="H1463" s="4" t="s">
        <v>5158</v>
      </c>
      <c r="I1463" s="4" t="s">
        <v>641</v>
      </c>
      <c r="J1463" s="4" t="s">
        <v>5073</v>
      </c>
      <c r="K1463" s="4">
        <v>1</v>
      </c>
      <c r="L1463" s="4">
        <v>3011</v>
      </c>
      <c r="M1463" s="6"/>
      <c r="AK1463" s="7"/>
    </row>
    <row r="1464" spans="1:37" ht="14.25" customHeight="1" x14ac:dyDescent="0.2">
      <c r="A1464" s="4" t="s">
        <v>5032</v>
      </c>
      <c r="B1464" s="4">
        <v>9</v>
      </c>
      <c r="C1464" s="4" t="s">
        <v>7678</v>
      </c>
      <c r="D1464" s="8" t="s">
        <v>5159</v>
      </c>
      <c r="E1464" s="4">
        <v>2599</v>
      </c>
      <c r="F1464" s="4" t="s">
        <v>5160</v>
      </c>
      <c r="G1464" s="4" t="s">
        <v>5161</v>
      </c>
      <c r="H1464" s="4" t="s">
        <v>5162</v>
      </c>
      <c r="I1464" s="4" t="s">
        <v>641</v>
      </c>
      <c r="J1464" s="4" t="s">
        <v>5163</v>
      </c>
      <c r="K1464" s="4">
        <v>1</v>
      </c>
      <c r="L1464" s="4">
        <v>3002</v>
      </c>
      <c r="M1464" s="6"/>
      <c r="AK1464" s="7"/>
    </row>
    <row r="1465" spans="1:37" ht="14.25" customHeight="1" x14ac:dyDescent="0.2">
      <c r="A1465" s="4" t="s">
        <v>5032</v>
      </c>
      <c r="B1465" s="4">
        <v>9</v>
      </c>
      <c r="C1465" s="4" t="s">
        <v>7678</v>
      </c>
      <c r="D1465" s="8" t="s">
        <v>5164</v>
      </c>
      <c r="E1465" s="4">
        <v>1571</v>
      </c>
      <c r="F1465" s="4" t="s">
        <v>5165</v>
      </c>
      <c r="G1465" s="4" t="s">
        <v>5166</v>
      </c>
      <c r="H1465" s="4" t="s">
        <v>5167</v>
      </c>
      <c r="I1465" s="4" t="s">
        <v>641</v>
      </c>
      <c r="J1465" s="4" t="s">
        <v>5168</v>
      </c>
      <c r="K1465" s="4">
        <v>1</v>
      </c>
      <c r="L1465" s="4">
        <v>1974</v>
      </c>
      <c r="M1465" s="6"/>
      <c r="AK1465" s="7"/>
    </row>
    <row r="1466" spans="1:37" ht="14.25" customHeight="1" x14ac:dyDescent="0.2">
      <c r="A1466" s="4" t="s">
        <v>5032</v>
      </c>
      <c r="B1466" s="4">
        <v>9</v>
      </c>
      <c r="C1466" s="4" t="s">
        <v>7678</v>
      </c>
      <c r="D1466" s="8" t="s">
        <v>5169</v>
      </c>
      <c r="E1466" s="4">
        <v>1590</v>
      </c>
      <c r="F1466" s="4" t="s">
        <v>5170</v>
      </c>
      <c r="G1466" s="4" t="s">
        <v>5171</v>
      </c>
      <c r="H1466" s="4" t="s">
        <v>5172</v>
      </c>
      <c r="I1466" s="4" t="s">
        <v>641</v>
      </c>
      <c r="J1466" s="4" t="s">
        <v>5073</v>
      </c>
      <c r="K1466" s="4">
        <v>1</v>
      </c>
      <c r="L1466" s="4">
        <v>1993</v>
      </c>
      <c r="M1466" s="6"/>
      <c r="AK1466" s="7"/>
    </row>
    <row r="1467" spans="1:37" ht="14.25" customHeight="1" x14ac:dyDescent="0.2">
      <c r="A1467" s="4" t="s">
        <v>5032</v>
      </c>
      <c r="B1467" s="4">
        <v>9</v>
      </c>
      <c r="C1467" s="4" t="s">
        <v>7678</v>
      </c>
      <c r="D1467" s="8" t="s">
        <v>5173</v>
      </c>
      <c r="E1467" s="4">
        <v>12116</v>
      </c>
      <c r="F1467" s="4" t="s">
        <v>5174</v>
      </c>
      <c r="G1467" s="4" t="s">
        <v>5175</v>
      </c>
      <c r="H1467" s="4" t="s">
        <v>5176</v>
      </c>
      <c r="I1467" s="4" t="s">
        <v>641</v>
      </c>
      <c r="J1467" s="4" t="s">
        <v>5177</v>
      </c>
      <c r="K1467" s="4">
        <v>1</v>
      </c>
      <c r="L1467" s="4">
        <v>14172</v>
      </c>
      <c r="M1467" s="6"/>
      <c r="AK1467" s="7"/>
    </row>
    <row r="1468" spans="1:37" ht="14.25" customHeight="1" x14ac:dyDescent="0.2">
      <c r="A1468" s="4" t="s">
        <v>5032</v>
      </c>
      <c r="B1468" s="4">
        <v>9</v>
      </c>
      <c r="C1468" s="4" t="s">
        <v>7678</v>
      </c>
      <c r="D1468" s="8" t="s">
        <v>5178</v>
      </c>
      <c r="E1468" s="4">
        <v>3280</v>
      </c>
      <c r="F1468" s="4" t="s">
        <v>5179</v>
      </c>
      <c r="G1468" s="4" t="s">
        <v>5180</v>
      </c>
      <c r="H1468" s="4" t="s">
        <v>5181</v>
      </c>
      <c r="I1468" s="4" t="s">
        <v>49</v>
      </c>
      <c r="J1468" s="4" t="s">
        <v>5078</v>
      </c>
      <c r="K1468" s="4">
        <v>1</v>
      </c>
      <c r="L1468" s="4">
        <v>4119</v>
      </c>
      <c r="M1468" s="6"/>
      <c r="AK1468" s="7"/>
    </row>
    <row r="1469" spans="1:37" ht="14.25" customHeight="1" x14ac:dyDescent="0.2">
      <c r="A1469" s="4" t="s">
        <v>5032</v>
      </c>
      <c r="B1469" s="4">
        <v>9</v>
      </c>
      <c r="C1469" s="4" t="s">
        <v>7678</v>
      </c>
      <c r="D1469" s="8" t="s">
        <v>5182</v>
      </c>
      <c r="E1469" s="4">
        <v>12428</v>
      </c>
      <c r="F1469" s="4" t="s">
        <v>5183</v>
      </c>
      <c r="G1469" s="4" t="s">
        <v>5184</v>
      </c>
      <c r="H1469" s="4" t="s">
        <v>5185</v>
      </c>
      <c r="I1469" s="4" t="s">
        <v>49</v>
      </c>
      <c r="J1469" s="4" t="s">
        <v>5073</v>
      </c>
      <c r="K1469" s="4">
        <v>1</v>
      </c>
      <c r="L1469" s="4">
        <v>14450</v>
      </c>
      <c r="M1469" s="6"/>
      <c r="AK1469" s="7"/>
    </row>
    <row r="1470" spans="1:37" ht="14.25" customHeight="1" x14ac:dyDescent="0.2">
      <c r="A1470" s="4" t="s">
        <v>422</v>
      </c>
      <c r="B1470" s="4">
        <v>9</v>
      </c>
      <c r="C1470" s="4" t="s">
        <v>7678</v>
      </c>
      <c r="D1470" s="4" t="s">
        <v>5186</v>
      </c>
      <c r="E1470" s="4">
        <v>2625</v>
      </c>
      <c r="F1470" s="4" t="s">
        <v>5187</v>
      </c>
      <c r="G1470" s="4" t="s">
        <v>5188</v>
      </c>
      <c r="H1470" s="4" t="s">
        <v>5189</v>
      </c>
      <c r="I1470" s="4" t="s">
        <v>641</v>
      </c>
      <c r="J1470" s="4" t="s">
        <v>5083</v>
      </c>
      <c r="K1470" s="4">
        <v>1</v>
      </c>
      <c r="L1470" s="4">
        <v>3028</v>
      </c>
      <c r="M1470" s="6"/>
      <c r="AK1470" s="7"/>
    </row>
    <row r="1471" spans="1:37" ht="14.25" customHeight="1" x14ac:dyDescent="0.2">
      <c r="A1471" s="4" t="s">
        <v>5032</v>
      </c>
      <c r="B1471" s="4">
        <v>9</v>
      </c>
      <c r="C1471" s="4" t="s">
        <v>7678</v>
      </c>
      <c r="D1471" s="8" t="s">
        <v>5190</v>
      </c>
      <c r="E1471" s="4">
        <v>2642</v>
      </c>
      <c r="F1471" s="4" t="s">
        <v>5191</v>
      </c>
      <c r="G1471" s="4" t="s">
        <v>5192</v>
      </c>
      <c r="H1471" s="4" t="s">
        <v>5193</v>
      </c>
      <c r="I1471" s="4" t="s">
        <v>641</v>
      </c>
      <c r="J1471" s="4" t="s">
        <v>5037</v>
      </c>
      <c r="K1471" s="4">
        <v>1</v>
      </c>
      <c r="L1471" s="4">
        <v>3045</v>
      </c>
      <c r="M1471" s="6"/>
      <c r="AK1471" s="7"/>
    </row>
    <row r="1472" spans="1:37" ht="14.25" customHeight="1" x14ac:dyDescent="0.2">
      <c r="A1472" s="4" t="s">
        <v>5032</v>
      </c>
      <c r="B1472" s="4">
        <v>9</v>
      </c>
      <c r="C1472" s="4" t="s">
        <v>7678</v>
      </c>
      <c r="D1472" s="8" t="s">
        <v>5194</v>
      </c>
      <c r="E1472" s="4">
        <v>2639</v>
      </c>
      <c r="F1472" s="4" t="s">
        <v>5195</v>
      </c>
      <c r="G1472" s="4" t="s">
        <v>5196</v>
      </c>
      <c r="H1472" s="4" t="s">
        <v>5197</v>
      </c>
      <c r="I1472" s="4" t="s">
        <v>641</v>
      </c>
      <c r="J1472" s="4" t="s">
        <v>5198</v>
      </c>
      <c r="K1472" s="4">
        <v>1</v>
      </c>
      <c r="L1472" s="4">
        <v>3042</v>
      </c>
      <c r="M1472" s="6"/>
      <c r="AK1472" s="7"/>
    </row>
    <row r="1473" spans="1:37" ht="14.25" customHeight="1" x14ac:dyDescent="0.2">
      <c r="A1473" s="4" t="s">
        <v>5032</v>
      </c>
      <c r="B1473" s="4">
        <v>9</v>
      </c>
      <c r="C1473" s="4" t="s">
        <v>7678</v>
      </c>
      <c r="D1473" s="8" t="s">
        <v>5199</v>
      </c>
      <c r="E1473" s="4">
        <v>12129</v>
      </c>
      <c r="F1473" s="4" t="s">
        <v>5200</v>
      </c>
      <c r="G1473" s="4" t="s">
        <v>5201</v>
      </c>
      <c r="H1473" s="4" t="s">
        <v>5202</v>
      </c>
      <c r="I1473" s="4" t="s">
        <v>641</v>
      </c>
      <c r="J1473" s="4" t="s">
        <v>5073</v>
      </c>
      <c r="K1473" s="4">
        <v>1</v>
      </c>
      <c r="L1473" s="4">
        <v>14185</v>
      </c>
      <c r="M1473" s="6"/>
      <c r="AK1473" s="7"/>
    </row>
    <row r="1474" spans="1:37" ht="14.25" customHeight="1" x14ac:dyDescent="0.2">
      <c r="A1474" s="4" t="s">
        <v>5032</v>
      </c>
      <c r="B1474" s="4">
        <v>9</v>
      </c>
      <c r="C1474" s="4" t="s">
        <v>7678</v>
      </c>
      <c r="D1474" s="8" t="s">
        <v>5203</v>
      </c>
      <c r="E1474" s="4">
        <v>2611</v>
      </c>
      <c r="F1474" s="4" t="s">
        <v>5204</v>
      </c>
      <c r="G1474" s="4" t="s">
        <v>5205</v>
      </c>
      <c r="H1474" s="4" t="s">
        <v>5206</v>
      </c>
      <c r="I1474" s="4" t="s">
        <v>641</v>
      </c>
      <c r="J1474" s="4" t="s">
        <v>5083</v>
      </c>
      <c r="K1474" s="4">
        <v>1</v>
      </c>
      <c r="L1474" s="4">
        <v>3014</v>
      </c>
      <c r="M1474" s="6"/>
      <c r="AK1474" s="7"/>
    </row>
    <row r="1475" spans="1:37" ht="14.25" customHeight="1" x14ac:dyDescent="0.2">
      <c r="A1475" s="4" t="s">
        <v>5032</v>
      </c>
      <c r="B1475" s="4">
        <v>9</v>
      </c>
      <c r="C1475" s="4" t="s">
        <v>7678</v>
      </c>
      <c r="D1475" s="8" t="s">
        <v>5207</v>
      </c>
      <c r="E1475" s="4">
        <v>2620</v>
      </c>
      <c r="F1475" s="4" t="s">
        <v>5208</v>
      </c>
      <c r="G1475" s="4" t="s">
        <v>5209</v>
      </c>
      <c r="H1475" s="4" t="s">
        <v>5210</v>
      </c>
      <c r="I1475" s="4" t="s">
        <v>641</v>
      </c>
      <c r="J1475" s="4" t="s">
        <v>4974</v>
      </c>
      <c r="K1475" s="4">
        <v>1</v>
      </c>
      <c r="L1475" s="4">
        <v>3023</v>
      </c>
      <c r="M1475" s="6"/>
      <c r="AK1475" s="7"/>
    </row>
    <row r="1476" spans="1:37" ht="14.25" customHeight="1" x14ac:dyDescent="0.2">
      <c r="A1476" s="4" t="s">
        <v>5032</v>
      </c>
      <c r="B1476" s="4">
        <v>9</v>
      </c>
      <c r="C1476" s="4" t="s">
        <v>7678</v>
      </c>
      <c r="D1476" s="10" t="s">
        <v>5211</v>
      </c>
      <c r="E1476" s="4">
        <v>1577</v>
      </c>
      <c r="F1476" s="4" t="s">
        <v>5212</v>
      </c>
      <c r="G1476" s="4" t="s">
        <v>5213</v>
      </c>
      <c r="H1476" s="4" t="s">
        <v>5214</v>
      </c>
      <c r="I1476" s="4" t="s">
        <v>641</v>
      </c>
      <c r="J1476" s="4" t="s">
        <v>5083</v>
      </c>
      <c r="K1476" s="4">
        <v>1</v>
      </c>
      <c r="L1476" s="4">
        <v>1980</v>
      </c>
      <c r="M1476" s="6"/>
      <c r="AK1476" s="7"/>
    </row>
    <row r="1477" spans="1:37" ht="14.25" customHeight="1" x14ac:dyDescent="0.2">
      <c r="A1477" s="4" t="s">
        <v>5215</v>
      </c>
      <c r="B1477" s="4">
        <v>9</v>
      </c>
      <c r="C1477" s="26" t="s">
        <v>7682</v>
      </c>
      <c r="D1477" s="26" t="s">
        <v>5217</v>
      </c>
      <c r="E1477" s="4">
        <v>12951</v>
      </c>
      <c r="F1477" s="4" t="s">
        <v>5218</v>
      </c>
      <c r="G1477" s="4" t="s">
        <v>5219</v>
      </c>
      <c r="H1477" s="4" t="s">
        <v>5220</v>
      </c>
      <c r="I1477" s="4" t="s">
        <v>49</v>
      </c>
      <c r="J1477" s="4" t="s">
        <v>5221</v>
      </c>
      <c r="K1477" s="4">
        <v>1</v>
      </c>
      <c r="L1477" s="4">
        <v>14883</v>
      </c>
      <c r="M1477" s="6"/>
      <c r="AK1477" s="7"/>
    </row>
    <row r="1478" spans="1:37" ht="14.25" customHeight="1" x14ac:dyDescent="0.2">
      <c r="B1478" s="4">
        <v>9</v>
      </c>
      <c r="C1478" s="4" t="s">
        <v>7678</v>
      </c>
      <c r="D1478" s="8" t="s">
        <v>5222</v>
      </c>
      <c r="E1478" s="4">
        <v>12139</v>
      </c>
      <c r="F1478" s="4" t="s">
        <v>5223</v>
      </c>
      <c r="G1478" s="4" t="s">
        <v>5224</v>
      </c>
      <c r="H1478" s="4" t="s">
        <v>5225</v>
      </c>
      <c r="I1478" s="4" t="s">
        <v>641</v>
      </c>
      <c r="J1478" s="4" t="s">
        <v>5177</v>
      </c>
      <c r="K1478" s="4">
        <v>1</v>
      </c>
      <c r="L1478" s="4">
        <v>14195</v>
      </c>
      <c r="M1478" s="6"/>
      <c r="AK1478" s="7"/>
    </row>
    <row r="1479" spans="1:37" ht="14.25" customHeight="1" x14ac:dyDescent="0.2">
      <c r="A1479" s="4" t="s">
        <v>5032</v>
      </c>
      <c r="B1479" s="4">
        <v>9</v>
      </c>
      <c r="C1479" s="4" t="s">
        <v>7678</v>
      </c>
      <c r="D1479" s="8" t="s">
        <v>5226</v>
      </c>
      <c r="E1479" s="4">
        <v>1564</v>
      </c>
      <c r="F1479" s="4" t="s">
        <v>5227</v>
      </c>
      <c r="G1479" s="4" t="s">
        <v>5228</v>
      </c>
      <c r="H1479" s="4" t="s">
        <v>5229</v>
      </c>
      <c r="I1479" s="4" t="s">
        <v>641</v>
      </c>
      <c r="J1479" s="4" t="s">
        <v>5073</v>
      </c>
      <c r="K1479" s="4">
        <v>1</v>
      </c>
      <c r="L1479" s="4">
        <v>1967</v>
      </c>
      <c r="M1479" s="6"/>
      <c r="AK1479" s="7"/>
    </row>
    <row r="1480" spans="1:37" ht="14.25" customHeight="1" x14ac:dyDescent="0.2">
      <c r="B1480" s="4">
        <v>9</v>
      </c>
      <c r="C1480" s="4" t="s">
        <v>7678</v>
      </c>
      <c r="D1480" s="8" t="s">
        <v>5230</v>
      </c>
      <c r="E1480" s="4">
        <v>2588</v>
      </c>
      <c r="F1480" s="4" t="s">
        <v>5231</v>
      </c>
      <c r="G1480" s="4" t="s">
        <v>5232</v>
      </c>
      <c r="H1480" s="4" t="s">
        <v>5233</v>
      </c>
      <c r="I1480" s="4" t="s">
        <v>641</v>
      </c>
      <c r="J1480" s="4" t="s">
        <v>5037</v>
      </c>
      <c r="K1480" s="4">
        <v>1</v>
      </c>
      <c r="L1480" s="4">
        <v>2991</v>
      </c>
      <c r="M1480" s="6"/>
      <c r="AK1480" s="7"/>
    </row>
    <row r="1481" spans="1:37" ht="14.25" customHeight="1" x14ac:dyDescent="0.2">
      <c r="B1481" s="4">
        <v>9</v>
      </c>
      <c r="C1481" s="4" t="s">
        <v>7678</v>
      </c>
      <c r="D1481" s="8" t="s">
        <v>5234</v>
      </c>
      <c r="E1481" s="4">
        <v>2590</v>
      </c>
      <c r="F1481" s="4" t="s">
        <v>5235</v>
      </c>
      <c r="G1481" s="4" t="s">
        <v>5236</v>
      </c>
      <c r="H1481" s="4" t="s">
        <v>5237</v>
      </c>
      <c r="I1481" s="4" t="s">
        <v>641</v>
      </c>
      <c r="J1481" s="4" t="s">
        <v>5083</v>
      </c>
      <c r="K1481" s="4">
        <v>1</v>
      </c>
      <c r="L1481" s="4">
        <v>2993</v>
      </c>
      <c r="M1481" s="6"/>
      <c r="AK1481" s="7"/>
    </row>
    <row r="1482" spans="1:37" ht="14.25" customHeight="1" x14ac:dyDescent="0.2">
      <c r="A1482" s="4" t="s">
        <v>5032</v>
      </c>
      <c r="B1482" s="4">
        <v>9</v>
      </c>
      <c r="C1482" s="4" t="s">
        <v>7678</v>
      </c>
      <c r="D1482" s="8" t="s">
        <v>5238</v>
      </c>
      <c r="E1482" s="4">
        <v>2591</v>
      </c>
      <c r="F1482" s="4" t="s">
        <v>5239</v>
      </c>
      <c r="G1482" s="4" t="s">
        <v>5240</v>
      </c>
      <c r="H1482" s="4" t="s">
        <v>5241</v>
      </c>
      <c r="I1482" s="4" t="s">
        <v>641</v>
      </c>
      <c r="J1482" s="4" t="s">
        <v>5037</v>
      </c>
      <c r="K1482" s="4">
        <v>1</v>
      </c>
      <c r="L1482" s="4">
        <v>2994</v>
      </c>
      <c r="M1482" s="6"/>
      <c r="AK1482" s="7"/>
    </row>
    <row r="1483" spans="1:37" ht="14.25" customHeight="1" x14ac:dyDescent="0.2">
      <c r="A1483" s="4" t="s">
        <v>5032</v>
      </c>
      <c r="B1483" s="4">
        <v>9</v>
      </c>
      <c r="C1483" s="4" t="s">
        <v>7678</v>
      </c>
      <c r="D1483" s="8" t="s">
        <v>5242</v>
      </c>
      <c r="E1483" s="4">
        <v>2594</v>
      </c>
      <c r="F1483" s="4" t="s">
        <v>5243</v>
      </c>
      <c r="G1483" s="4" t="s">
        <v>5244</v>
      </c>
      <c r="H1483" s="4" t="s">
        <v>5245</v>
      </c>
      <c r="I1483" s="4" t="s">
        <v>641</v>
      </c>
      <c r="J1483" s="4" t="s">
        <v>5073</v>
      </c>
      <c r="K1483" s="4">
        <v>1</v>
      </c>
      <c r="L1483" s="4">
        <v>2997</v>
      </c>
      <c r="M1483" s="6"/>
      <c r="AK1483" s="7"/>
    </row>
    <row r="1484" spans="1:37" ht="14.25" customHeight="1" x14ac:dyDescent="0.2">
      <c r="A1484" s="4" t="s">
        <v>5032</v>
      </c>
      <c r="B1484" s="4">
        <v>9</v>
      </c>
      <c r="C1484" s="4" t="s">
        <v>7678</v>
      </c>
      <c r="D1484" s="8" t="s">
        <v>5246</v>
      </c>
      <c r="E1484" s="4">
        <v>1572</v>
      </c>
      <c r="F1484" s="4" t="s">
        <v>5247</v>
      </c>
      <c r="G1484" s="4" t="s">
        <v>5248</v>
      </c>
      <c r="H1484" s="4" t="s">
        <v>5249</v>
      </c>
      <c r="I1484" s="4" t="s">
        <v>641</v>
      </c>
      <c r="J1484" s="4" t="s">
        <v>5177</v>
      </c>
      <c r="K1484" s="4">
        <v>1</v>
      </c>
      <c r="L1484" s="4">
        <v>1975</v>
      </c>
      <c r="M1484" s="6"/>
      <c r="AK1484" s="7"/>
    </row>
    <row r="1485" spans="1:37" ht="14.25" customHeight="1" x14ac:dyDescent="0.2">
      <c r="A1485" s="4" t="s">
        <v>5032</v>
      </c>
      <c r="B1485" s="4">
        <v>9</v>
      </c>
      <c r="C1485" s="4" t="s">
        <v>7678</v>
      </c>
      <c r="D1485" s="8" t="s">
        <v>5250</v>
      </c>
      <c r="E1485" s="4">
        <v>2610</v>
      </c>
      <c r="F1485" s="4" t="s">
        <v>5251</v>
      </c>
      <c r="G1485" s="4" t="s">
        <v>5252</v>
      </c>
      <c r="H1485" s="4" t="s">
        <v>5253</v>
      </c>
      <c r="I1485" s="4" t="s">
        <v>641</v>
      </c>
      <c r="J1485" s="4" t="s">
        <v>5254</v>
      </c>
      <c r="K1485" s="4">
        <v>1</v>
      </c>
      <c r="L1485" s="4">
        <v>3013</v>
      </c>
      <c r="M1485" s="6"/>
      <c r="AK1485" s="7"/>
    </row>
    <row r="1486" spans="1:37" ht="14.25" customHeight="1" x14ac:dyDescent="0.2">
      <c r="A1486" s="4" t="s">
        <v>4980</v>
      </c>
      <c r="B1486" s="4">
        <v>9</v>
      </c>
      <c r="C1486" s="4" t="s">
        <v>7678</v>
      </c>
      <c r="D1486" s="8" t="s">
        <v>5255</v>
      </c>
      <c r="E1486" s="4">
        <v>2640</v>
      </c>
      <c r="F1486" s="4" t="s">
        <v>5256</v>
      </c>
      <c r="G1486" s="4" t="s">
        <v>5257</v>
      </c>
      <c r="H1486" s="4" t="s">
        <v>5258</v>
      </c>
      <c r="I1486" s="4" t="s">
        <v>641</v>
      </c>
      <c r="J1486" s="4" t="s">
        <v>5037</v>
      </c>
      <c r="K1486" s="4">
        <v>1</v>
      </c>
      <c r="L1486" s="4">
        <v>3043</v>
      </c>
      <c r="M1486" s="6"/>
      <c r="AK1486" s="7"/>
    </row>
    <row r="1487" spans="1:37" ht="14.25" customHeight="1" x14ac:dyDescent="0.2">
      <c r="A1487" s="5" t="s">
        <v>5259</v>
      </c>
      <c r="B1487" s="4">
        <v>9</v>
      </c>
      <c r="C1487" s="4" t="s">
        <v>7681</v>
      </c>
      <c r="D1487" s="4" t="s">
        <v>5260</v>
      </c>
      <c r="E1487" s="4">
        <v>1588</v>
      </c>
      <c r="F1487" s="4" t="s">
        <v>449</v>
      </c>
      <c r="G1487" s="4" t="s">
        <v>5261</v>
      </c>
      <c r="H1487" s="4" t="s">
        <v>84</v>
      </c>
      <c r="I1487" s="4" t="s">
        <v>641</v>
      </c>
      <c r="K1487" s="4">
        <v>1</v>
      </c>
      <c r="L1487" s="4">
        <v>1991</v>
      </c>
      <c r="M1487" s="6"/>
      <c r="AK1487" s="7"/>
    </row>
    <row r="1488" spans="1:37" ht="14.25" customHeight="1" x14ac:dyDescent="0.2">
      <c r="A1488" s="4" t="s">
        <v>5032</v>
      </c>
      <c r="B1488" s="4">
        <v>9</v>
      </c>
      <c r="C1488" s="9" t="s">
        <v>7678</v>
      </c>
      <c r="D1488" s="8" t="s">
        <v>5262</v>
      </c>
      <c r="E1488" s="4">
        <v>2626</v>
      </c>
      <c r="F1488" s="4" t="s">
        <v>5263</v>
      </c>
      <c r="G1488" s="4" t="s">
        <v>5264</v>
      </c>
      <c r="H1488" s="4" t="s">
        <v>5265</v>
      </c>
      <c r="I1488" s="4" t="s">
        <v>641</v>
      </c>
      <c r="J1488" s="4" t="s">
        <v>5073</v>
      </c>
      <c r="K1488" s="4">
        <v>1</v>
      </c>
      <c r="L1488" s="4">
        <v>3029</v>
      </c>
      <c r="M1488" s="6"/>
      <c r="AK1488" s="7"/>
    </row>
    <row r="1489" spans="1:37" ht="14.25" customHeight="1" x14ac:dyDescent="0.2">
      <c r="A1489" s="5" t="s">
        <v>5266</v>
      </c>
      <c r="B1489" s="4">
        <v>9</v>
      </c>
      <c r="C1489" s="4" t="s">
        <v>7681</v>
      </c>
      <c r="D1489" s="4" t="s">
        <v>5267</v>
      </c>
      <c r="E1489" s="4">
        <v>12160</v>
      </c>
      <c r="F1489" s="4" t="s">
        <v>5268</v>
      </c>
      <c r="G1489" s="4" t="s">
        <v>5269</v>
      </c>
      <c r="H1489" s="4" t="s">
        <v>84</v>
      </c>
      <c r="I1489" s="4" t="s">
        <v>641</v>
      </c>
      <c r="K1489" s="4">
        <v>1</v>
      </c>
      <c r="L1489" s="4">
        <v>14216</v>
      </c>
      <c r="M1489" s="6"/>
      <c r="AK1489" s="7"/>
    </row>
    <row r="1490" spans="1:37" ht="14.25" customHeight="1" x14ac:dyDescent="0.2">
      <c r="A1490" s="5" t="s">
        <v>5104</v>
      </c>
      <c r="B1490" s="4">
        <v>9</v>
      </c>
      <c r="C1490" s="8" t="s">
        <v>7681</v>
      </c>
      <c r="D1490" s="8" t="s">
        <v>5270</v>
      </c>
      <c r="E1490" s="4">
        <v>2634</v>
      </c>
      <c r="F1490" s="4" t="s">
        <v>5271</v>
      </c>
      <c r="G1490" s="8" t="s">
        <v>5272</v>
      </c>
      <c r="H1490" s="4" t="s">
        <v>5273</v>
      </c>
      <c r="I1490" s="4" t="s">
        <v>641</v>
      </c>
      <c r="J1490" s="4" t="s">
        <v>5048</v>
      </c>
      <c r="K1490" s="4">
        <v>1</v>
      </c>
      <c r="L1490" s="4">
        <v>3037</v>
      </c>
      <c r="M1490" s="6"/>
      <c r="AK1490" s="7"/>
    </row>
    <row r="1491" spans="1:37" ht="14.25" customHeight="1" x14ac:dyDescent="0.2">
      <c r="A1491" s="4" t="s">
        <v>5032</v>
      </c>
      <c r="B1491" s="4">
        <v>9</v>
      </c>
      <c r="C1491" s="9" t="s">
        <v>7678</v>
      </c>
      <c r="D1491" s="8" t="s">
        <v>5274</v>
      </c>
      <c r="E1491" s="4">
        <v>2602</v>
      </c>
      <c r="F1491" s="4" t="s">
        <v>5275</v>
      </c>
      <c r="G1491" s="4" t="s">
        <v>5276</v>
      </c>
      <c r="H1491" s="4" t="s">
        <v>5277</v>
      </c>
      <c r="I1491" s="4" t="s">
        <v>641</v>
      </c>
      <c r="J1491" s="4" t="s">
        <v>5073</v>
      </c>
      <c r="K1491" s="4">
        <v>1</v>
      </c>
      <c r="L1491" s="4">
        <v>3005</v>
      </c>
      <c r="M1491" s="6"/>
      <c r="AK1491" s="7"/>
    </row>
    <row r="1492" spans="1:37" ht="14.25" customHeight="1" x14ac:dyDescent="0.2">
      <c r="A1492" s="4" t="s">
        <v>5278</v>
      </c>
      <c r="B1492" s="4">
        <v>9</v>
      </c>
      <c r="C1492" s="8" t="s">
        <v>7683</v>
      </c>
      <c r="D1492" s="8" t="s">
        <v>5280</v>
      </c>
      <c r="E1492" s="4">
        <v>12956</v>
      </c>
      <c r="F1492" s="4" t="s">
        <v>5281</v>
      </c>
      <c r="G1492" s="4" t="s">
        <v>5282</v>
      </c>
      <c r="H1492" s="4" t="s">
        <v>5283</v>
      </c>
      <c r="I1492" s="8" t="s">
        <v>5284</v>
      </c>
      <c r="J1492" s="4" t="s">
        <v>5285</v>
      </c>
      <c r="K1492" s="4">
        <v>1</v>
      </c>
      <c r="L1492" s="4">
        <v>14888</v>
      </c>
      <c r="M1492" s="6"/>
      <c r="AK1492" s="7"/>
    </row>
    <row r="1493" spans="1:37" ht="14.25" customHeight="1" x14ac:dyDescent="0.2">
      <c r="A1493" s="4" t="s">
        <v>5032</v>
      </c>
      <c r="B1493" s="4">
        <v>9</v>
      </c>
      <c r="C1493" s="4" t="s">
        <v>7678</v>
      </c>
      <c r="D1493" s="8" t="s">
        <v>5286</v>
      </c>
      <c r="E1493" s="4">
        <v>12162</v>
      </c>
      <c r="F1493" s="4" t="s">
        <v>5287</v>
      </c>
      <c r="G1493" s="4" t="s">
        <v>5288</v>
      </c>
      <c r="H1493" s="4" t="s">
        <v>5289</v>
      </c>
      <c r="I1493" s="4" t="s">
        <v>641</v>
      </c>
      <c r="J1493" s="4" t="s">
        <v>5078</v>
      </c>
      <c r="K1493" s="4">
        <v>1</v>
      </c>
      <c r="L1493" s="4">
        <v>14218</v>
      </c>
      <c r="M1493" s="6"/>
      <c r="AK1493" s="7"/>
    </row>
    <row r="1494" spans="1:37" ht="14.25" customHeight="1" x14ac:dyDescent="0.2">
      <c r="A1494" s="4" t="s">
        <v>5032</v>
      </c>
      <c r="B1494" s="4">
        <v>9</v>
      </c>
      <c r="C1494" s="4" t="s">
        <v>7678</v>
      </c>
      <c r="D1494" s="8" t="s">
        <v>5290</v>
      </c>
      <c r="E1494" s="4">
        <v>1578</v>
      </c>
      <c r="F1494" s="4" t="s">
        <v>5291</v>
      </c>
      <c r="G1494" s="4" t="s">
        <v>5292</v>
      </c>
      <c r="H1494" s="4" t="s">
        <v>5293</v>
      </c>
      <c r="I1494" s="4" t="s">
        <v>641</v>
      </c>
      <c r="J1494" s="4" t="s">
        <v>5073</v>
      </c>
      <c r="K1494" s="4">
        <v>1</v>
      </c>
      <c r="L1494" s="4">
        <v>1981</v>
      </c>
      <c r="M1494" s="6"/>
      <c r="AK1494" s="7"/>
    </row>
    <row r="1495" spans="1:37" ht="14.25" customHeight="1" x14ac:dyDescent="0.2">
      <c r="A1495" s="4" t="s">
        <v>5032</v>
      </c>
      <c r="B1495" s="4">
        <v>9</v>
      </c>
      <c r="C1495" s="4" t="s">
        <v>7678</v>
      </c>
      <c r="D1495" s="8" t="s">
        <v>5294</v>
      </c>
      <c r="E1495" s="4">
        <v>12166</v>
      </c>
      <c r="F1495" s="4" t="s">
        <v>5295</v>
      </c>
      <c r="G1495" s="4" t="s">
        <v>5296</v>
      </c>
      <c r="H1495" s="4" t="s">
        <v>5297</v>
      </c>
      <c r="I1495" s="4" t="s">
        <v>641</v>
      </c>
      <c r="J1495" s="4" t="s">
        <v>5073</v>
      </c>
      <c r="K1495" s="4">
        <v>1</v>
      </c>
      <c r="L1495" s="4">
        <v>14222</v>
      </c>
      <c r="M1495" s="6"/>
      <c r="AK1495" s="7"/>
    </row>
    <row r="1496" spans="1:37" ht="14.25" customHeight="1" x14ac:dyDescent="0.2">
      <c r="A1496" s="4" t="s">
        <v>5298</v>
      </c>
      <c r="B1496" s="4">
        <v>9</v>
      </c>
      <c r="C1496" s="4" t="s">
        <v>7678</v>
      </c>
      <c r="D1496" s="8" t="s">
        <v>5299</v>
      </c>
      <c r="E1496" s="4">
        <v>12170</v>
      </c>
      <c r="F1496" s="4" t="s">
        <v>5300</v>
      </c>
      <c r="G1496" s="4" t="s">
        <v>5301</v>
      </c>
      <c r="H1496" s="4" t="s">
        <v>5302</v>
      </c>
      <c r="I1496" s="4" t="s">
        <v>641</v>
      </c>
      <c r="J1496" s="4" t="s">
        <v>5073</v>
      </c>
      <c r="K1496" s="4">
        <v>1</v>
      </c>
      <c r="L1496" s="4">
        <v>14226</v>
      </c>
      <c r="M1496" s="6"/>
      <c r="AK1496" s="7"/>
    </row>
    <row r="1497" spans="1:37" ht="14.25" customHeight="1" x14ac:dyDescent="0.2">
      <c r="A1497" s="4" t="s">
        <v>4980</v>
      </c>
      <c r="B1497" s="4">
        <v>9</v>
      </c>
      <c r="C1497" s="4" t="s">
        <v>7678</v>
      </c>
      <c r="D1497" s="8" t="s">
        <v>5303</v>
      </c>
      <c r="E1497" s="4">
        <v>2623</v>
      </c>
      <c r="F1497" s="4" t="s">
        <v>5300</v>
      </c>
      <c r="G1497" s="4" t="s">
        <v>5304</v>
      </c>
      <c r="H1497" s="4" t="s">
        <v>5305</v>
      </c>
      <c r="I1497" s="4" t="s">
        <v>641</v>
      </c>
      <c r="J1497" s="4" t="s">
        <v>5083</v>
      </c>
      <c r="K1497" s="4">
        <v>1</v>
      </c>
      <c r="L1497" s="4">
        <v>3026</v>
      </c>
      <c r="M1497" s="6"/>
      <c r="AK1497" s="7"/>
    </row>
    <row r="1498" spans="1:37" ht="14.25" customHeight="1" x14ac:dyDescent="0.2">
      <c r="A1498" s="4" t="s">
        <v>5032</v>
      </c>
      <c r="B1498" s="4">
        <v>9</v>
      </c>
      <c r="C1498" s="4" t="s">
        <v>7678</v>
      </c>
      <c r="D1498" s="8" t="s">
        <v>5306</v>
      </c>
      <c r="E1498" s="4">
        <v>12462</v>
      </c>
      <c r="F1498" s="4" t="s">
        <v>5307</v>
      </c>
      <c r="G1498" s="4" t="s">
        <v>5308</v>
      </c>
      <c r="H1498" s="4" t="s">
        <v>5309</v>
      </c>
      <c r="I1498" s="4" t="s">
        <v>49</v>
      </c>
      <c r="J1498" s="4" t="s">
        <v>5073</v>
      </c>
      <c r="K1498" s="4">
        <v>1</v>
      </c>
      <c r="L1498" s="4">
        <v>14484</v>
      </c>
      <c r="M1498" s="6"/>
      <c r="AK1498" s="7"/>
    </row>
    <row r="1499" spans="1:37" ht="14.25" customHeight="1" x14ac:dyDescent="0.2">
      <c r="A1499" s="4" t="s">
        <v>5032</v>
      </c>
      <c r="B1499" s="4">
        <v>9</v>
      </c>
      <c r="C1499" s="4" t="s">
        <v>7678</v>
      </c>
      <c r="D1499" s="8" t="s">
        <v>5310</v>
      </c>
      <c r="E1499" s="4">
        <v>2617</v>
      </c>
      <c r="F1499" s="4" t="s">
        <v>5311</v>
      </c>
      <c r="G1499" s="4" t="s">
        <v>5312</v>
      </c>
      <c r="H1499" s="4" t="s">
        <v>5313</v>
      </c>
      <c r="I1499" s="4" t="s">
        <v>641</v>
      </c>
      <c r="J1499" s="4" t="s">
        <v>5073</v>
      </c>
      <c r="K1499" s="4">
        <v>1</v>
      </c>
      <c r="L1499" s="4">
        <v>3020</v>
      </c>
      <c r="M1499" s="6"/>
      <c r="AK1499" s="7"/>
    </row>
    <row r="1500" spans="1:37" ht="14.25" customHeight="1" x14ac:dyDescent="0.2">
      <c r="A1500" s="4" t="s">
        <v>5032</v>
      </c>
      <c r="B1500" s="4">
        <v>9</v>
      </c>
      <c r="C1500" s="4" t="s">
        <v>7678</v>
      </c>
      <c r="D1500" s="8" t="s">
        <v>5314</v>
      </c>
      <c r="E1500" s="4">
        <v>2645</v>
      </c>
      <c r="F1500" s="4" t="s">
        <v>5315</v>
      </c>
      <c r="G1500" s="4" t="s">
        <v>5316</v>
      </c>
      <c r="H1500" s="4" t="s">
        <v>5317</v>
      </c>
      <c r="I1500" s="4" t="s">
        <v>641</v>
      </c>
      <c r="J1500" s="4" t="s">
        <v>5037</v>
      </c>
      <c r="K1500" s="4">
        <v>1</v>
      </c>
      <c r="L1500" s="4">
        <v>3048</v>
      </c>
      <c r="M1500" s="6"/>
      <c r="AK1500" s="7"/>
    </row>
    <row r="1501" spans="1:37" ht="14.25" customHeight="1" x14ac:dyDescent="0.2">
      <c r="A1501" s="4" t="s">
        <v>5032</v>
      </c>
      <c r="B1501" s="4">
        <v>9</v>
      </c>
      <c r="C1501" s="4" t="s">
        <v>7678</v>
      </c>
      <c r="D1501" s="8" t="s">
        <v>5318</v>
      </c>
      <c r="E1501" s="4">
        <v>12176</v>
      </c>
      <c r="F1501" s="4" t="s">
        <v>5319</v>
      </c>
      <c r="G1501" s="4" t="s">
        <v>5320</v>
      </c>
      <c r="H1501" s="4" t="s">
        <v>5321</v>
      </c>
      <c r="I1501" s="4" t="s">
        <v>641</v>
      </c>
      <c r="J1501" s="4" t="s">
        <v>5037</v>
      </c>
      <c r="K1501" s="4">
        <v>1</v>
      </c>
      <c r="L1501" s="4">
        <v>14232</v>
      </c>
      <c r="M1501" s="6"/>
      <c r="AK1501" s="7"/>
    </row>
    <row r="1502" spans="1:37" ht="14.25" customHeight="1" x14ac:dyDescent="0.2">
      <c r="A1502" s="4" t="s">
        <v>5032</v>
      </c>
      <c r="B1502" s="4">
        <v>9</v>
      </c>
      <c r="C1502" s="4" t="s">
        <v>7678</v>
      </c>
      <c r="D1502" s="8" t="s">
        <v>5322</v>
      </c>
      <c r="E1502" s="4">
        <v>12177</v>
      </c>
      <c r="F1502" s="4" t="s">
        <v>5323</v>
      </c>
      <c r="G1502" s="4" t="s">
        <v>5324</v>
      </c>
      <c r="H1502" s="4" t="s">
        <v>5325</v>
      </c>
      <c r="I1502" s="4" t="s">
        <v>641</v>
      </c>
      <c r="J1502" s="4" t="s">
        <v>5037</v>
      </c>
      <c r="K1502" s="4">
        <v>1</v>
      </c>
      <c r="L1502" s="4">
        <v>14233</v>
      </c>
      <c r="M1502" s="6"/>
      <c r="AK1502" s="7"/>
    </row>
    <row r="1503" spans="1:37" ht="14.25" customHeight="1" x14ac:dyDescent="0.2">
      <c r="A1503" s="4" t="s">
        <v>5032</v>
      </c>
      <c r="B1503" s="4">
        <v>9</v>
      </c>
      <c r="C1503" s="4" t="s">
        <v>7678</v>
      </c>
      <c r="D1503" s="8" t="s">
        <v>5326</v>
      </c>
      <c r="E1503" s="4">
        <v>1592</v>
      </c>
      <c r="F1503" s="4" t="s">
        <v>5323</v>
      </c>
      <c r="G1503" s="4" t="s">
        <v>5327</v>
      </c>
      <c r="H1503" s="4" t="s">
        <v>5328</v>
      </c>
      <c r="I1503" s="4" t="s">
        <v>641</v>
      </c>
      <c r="J1503" s="4" t="s">
        <v>5037</v>
      </c>
      <c r="K1503" s="4">
        <v>1</v>
      </c>
      <c r="L1503" s="4">
        <v>1995</v>
      </c>
      <c r="M1503" s="6"/>
      <c r="AK1503" s="7"/>
    </row>
    <row r="1504" spans="1:37" ht="14.25" customHeight="1" x14ac:dyDescent="0.2">
      <c r="A1504" s="4" t="s">
        <v>5032</v>
      </c>
      <c r="B1504" s="4">
        <v>9</v>
      </c>
      <c r="C1504" s="4" t="s">
        <v>7678</v>
      </c>
      <c r="D1504" s="8" t="s">
        <v>5329</v>
      </c>
      <c r="E1504" s="4">
        <v>12182</v>
      </c>
      <c r="F1504" s="4" t="s">
        <v>5330</v>
      </c>
      <c r="G1504" s="4" t="s">
        <v>5331</v>
      </c>
      <c r="H1504" s="4" t="s">
        <v>5332</v>
      </c>
      <c r="I1504" s="4" t="s">
        <v>641</v>
      </c>
      <c r="J1504" s="4" t="s">
        <v>5037</v>
      </c>
      <c r="K1504" s="4">
        <v>1</v>
      </c>
      <c r="L1504" s="4">
        <v>14238</v>
      </c>
      <c r="M1504" s="6"/>
      <c r="AK1504" s="7"/>
    </row>
    <row r="1505" spans="1:37" ht="14.25" customHeight="1" x14ac:dyDescent="0.2">
      <c r="A1505" s="4" t="s">
        <v>5032</v>
      </c>
      <c r="B1505" s="4">
        <v>9</v>
      </c>
      <c r="C1505" s="4" t="s">
        <v>7678</v>
      </c>
      <c r="D1505" s="8" t="s">
        <v>5333</v>
      </c>
      <c r="E1505" s="4">
        <v>12185</v>
      </c>
      <c r="F1505" s="4" t="s">
        <v>5334</v>
      </c>
      <c r="G1505" s="4" t="s">
        <v>5335</v>
      </c>
      <c r="H1505" s="4" t="s">
        <v>5325</v>
      </c>
      <c r="I1505" s="4" t="s">
        <v>641</v>
      </c>
      <c r="J1505" s="4" t="s">
        <v>5073</v>
      </c>
      <c r="K1505" s="4">
        <v>1</v>
      </c>
      <c r="L1505" s="4">
        <v>14241</v>
      </c>
      <c r="M1505" s="6"/>
      <c r="AK1505" s="7"/>
    </row>
    <row r="1506" spans="1:37" ht="14.25" customHeight="1" x14ac:dyDescent="0.2">
      <c r="A1506" s="4" t="s">
        <v>5336</v>
      </c>
      <c r="B1506" s="4">
        <v>9</v>
      </c>
      <c r="C1506" s="4" t="s">
        <v>7678</v>
      </c>
      <c r="D1506" s="8" t="s">
        <v>5337</v>
      </c>
      <c r="E1506" s="4">
        <v>1580</v>
      </c>
      <c r="F1506" s="4" t="s">
        <v>5334</v>
      </c>
      <c r="G1506" s="4" t="s">
        <v>5338</v>
      </c>
      <c r="H1506" s="4" t="s">
        <v>5339</v>
      </c>
      <c r="I1506" s="4" t="s">
        <v>641</v>
      </c>
      <c r="J1506" s="4" t="s">
        <v>5037</v>
      </c>
      <c r="K1506" s="4">
        <v>1</v>
      </c>
      <c r="L1506" s="4">
        <v>1983</v>
      </c>
      <c r="M1506" s="6"/>
      <c r="AK1506" s="7"/>
    </row>
    <row r="1507" spans="1:37" ht="14.25" customHeight="1" x14ac:dyDescent="0.2">
      <c r="A1507" s="4" t="s">
        <v>5032</v>
      </c>
      <c r="B1507" s="4">
        <v>9</v>
      </c>
      <c r="C1507" s="4" t="s">
        <v>7678</v>
      </c>
      <c r="D1507" s="8" t="s">
        <v>5340</v>
      </c>
      <c r="E1507" s="4">
        <v>12186</v>
      </c>
      <c r="F1507" s="4" t="s">
        <v>5341</v>
      </c>
      <c r="G1507" s="4" t="s">
        <v>5342</v>
      </c>
      <c r="H1507" s="4" t="s">
        <v>5343</v>
      </c>
      <c r="I1507" s="4" t="s">
        <v>641</v>
      </c>
      <c r="J1507" s="4" t="s">
        <v>5037</v>
      </c>
      <c r="K1507" s="4">
        <v>1</v>
      </c>
      <c r="L1507" s="4">
        <v>14242</v>
      </c>
      <c r="M1507" s="6"/>
      <c r="AK1507" s="7"/>
    </row>
    <row r="1508" spans="1:37" ht="14.25" customHeight="1" x14ac:dyDescent="0.2">
      <c r="A1508" s="4" t="s">
        <v>5032</v>
      </c>
      <c r="B1508" s="4">
        <v>9</v>
      </c>
      <c r="C1508" s="4" t="s">
        <v>7678</v>
      </c>
      <c r="D1508" s="8" t="s">
        <v>5344</v>
      </c>
      <c r="E1508" s="4">
        <v>1579</v>
      </c>
      <c r="F1508" s="4" t="s">
        <v>5345</v>
      </c>
      <c r="G1508" s="4" t="s">
        <v>5346</v>
      </c>
      <c r="H1508" s="4" t="s">
        <v>5347</v>
      </c>
      <c r="I1508" s="4" t="s">
        <v>641</v>
      </c>
      <c r="J1508" s="4" t="s">
        <v>5073</v>
      </c>
      <c r="K1508" s="4">
        <v>1</v>
      </c>
      <c r="L1508" s="4">
        <v>1982</v>
      </c>
      <c r="M1508" s="6"/>
      <c r="AK1508" s="7"/>
    </row>
    <row r="1509" spans="1:37" ht="14.25" customHeight="1" x14ac:dyDescent="0.2">
      <c r="A1509" s="4" t="s">
        <v>5032</v>
      </c>
      <c r="B1509" s="4">
        <v>9</v>
      </c>
      <c r="C1509" s="4" t="s">
        <v>7678</v>
      </c>
      <c r="D1509" s="8" t="s">
        <v>5348</v>
      </c>
      <c r="E1509" s="4">
        <v>1561</v>
      </c>
      <c r="F1509" s="4" t="s">
        <v>5349</v>
      </c>
      <c r="G1509" s="4" t="s">
        <v>5350</v>
      </c>
      <c r="H1509" s="4" t="s">
        <v>5351</v>
      </c>
      <c r="I1509" s="4" t="s">
        <v>641</v>
      </c>
      <c r="J1509" s="4" t="s">
        <v>5073</v>
      </c>
      <c r="K1509" s="4">
        <v>1</v>
      </c>
      <c r="L1509" s="4">
        <v>1964</v>
      </c>
      <c r="M1509" s="6"/>
      <c r="AK1509" s="7"/>
    </row>
    <row r="1510" spans="1:37" ht="14.25" customHeight="1" x14ac:dyDescent="0.2">
      <c r="A1510" s="4" t="s">
        <v>5032</v>
      </c>
      <c r="B1510" s="4">
        <v>9</v>
      </c>
      <c r="C1510" s="4" t="s">
        <v>7678</v>
      </c>
      <c r="D1510" s="8" t="s">
        <v>5352</v>
      </c>
      <c r="E1510" s="4">
        <v>2643</v>
      </c>
      <c r="F1510" s="4" t="s">
        <v>5353</v>
      </c>
      <c r="G1510" s="4" t="s">
        <v>5354</v>
      </c>
      <c r="H1510" s="4" t="s">
        <v>5355</v>
      </c>
      <c r="I1510" s="4" t="s">
        <v>641</v>
      </c>
      <c r="J1510" s="4" t="s">
        <v>5163</v>
      </c>
      <c r="K1510" s="4">
        <v>1</v>
      </c>
      <c r="L1510" s="4">
        <v>3046</v>
      </c>
      <c r="M1510" s="6"/>
      <c r="AK1510" s="7"/>
    </row>
    <row r="1511" spans="1:37" ht="14.25" customHeight="1" x14ac:dyDescent="0.2">
      <c r="A1511" s="4" t="s">
        <v>5032</v>
      </c>
      <c r="B1511" s="4">
        <v>9</v>
      </c>
      <c r="C1511" s="4" t="s">
        <v>7678</v>
      </c>
      <c r="D1511" s="8" t="s">
        <v>5356</v>
      </c>
      <c r="E1511" s="4">
        <v>2631</v>
      </c>
      <c r="F1511" s="4" t="s">
        <v>5357</v>
      </c>
      <c r="G1511" s="4" t="s">
        <v>5358</v>
      </c>
      <c r="H1511" s="4" t="s">
        <v>5359</v>
      </c>
      <c r="I1511" s="4" t="s">
        <v>641</v>
      </c>
      <c r="J1511" s="4" t="s">
        <v>5037</v>
      </c>
      <c r="K1511" s="4">
        <v>1</v>
      </c>
      <c r="L1511" s="4">
        <v>3034</v>
      </c>
      <c r="M1511" s="6"/>
      <c r="AK1511" s="7"/>
    </row>
    <row r="1512" spans="1:37" ht="15" customHeight="1" x14ac:dyDescent="0.2">
      <c r="A1512" s="4" t="s">
        <v>5032</v>
      </c>
      <c r="B1512" s="4">
        <v>9</v>
      </c>
      <c r="C1512" s="4" t="s">
        <v>7678</v>
      </c>
      <c r="D1512" s="8" t="s">
        <v>5360</v>
      </c>
      <c r="E1512" s="4">
        <v>2629</v>
      </c>
      <c r="F1512" s="4" t="s">
        <v>5361</v>
      </c>
      <c r="G1512" s="4" t="s">
        <v>5362</v>
      </c>
      <c r="H1512" s="4" t="s">
        <v>5363</v>
      </c>
      <c r="I1512" s="4" t="s">
        <v>641</v>
      </c>
      <c r="J1512" s="4" t="s">
        <v>5073</v>
      </c>
      <c r="K1512" s="4">
        <v>1</v>
      </c>
      <c r="L1512" s="4">
        <v>3032</v>
      </c>
      <c r="M1512" s="6"/>
      <c r="AK1512" s="7"/>
    </row>
    <row r="1513" spans="1:37" ht="14.25" customHeight="1" x14ac:dyDescent="0.2">
      <c r="A1513" s="5" t="s">
        <v>5364</v>
      </c>
      <c r="B1513" s="4">
        <v>9</v>
      </c>
      <c r="C1513" s="4" t="s">
        <v>7681</v>
      </c>
      <c r="D1513" s="4" t="s">
        <v>5365</v>
      </c>
      <c r="E1513" s="4">
        <v>12191</v>
      </c>
      <c r="F1513" s="4" t="s">
        <v>439</v>
      </c>
      <c r="G1513" s="4" t="s">
        <v>5366</v>
      </c>
      <c r="H1513" s="4" t="s">
        <v>84</v>
      </c>
      <c r="I1513" s="4" t="s">
        <v>641</v>
      </c>
      <c r="K1513" s="4">
        <v>1</v>
      </c>
      <c r="L1513" s="4">
        <v>14247</v>
      </c>
      <c r="M1513" s="6"/>
      <c r="AK1513" s="7"/>
    </row>
    <row r="1514" spans="1:37" ht="14.25" customHeight="1" x14ac:dyDescent="0.2">
      <c r="A1514" s="4" t="s">
        <v>5367</v>
      </c>
      <c r="B1514" s="4">
        <v>9</v>
      </c>
      <c r="C1514" s="8" t="s">
        <v>7681</v>
      </c>
      <c r="D1514" s="8" t="s">
        <v>5368</v>
      </c>
      <c r="E1514" s="4">
        <v>1581</v>
      </c>
      <c r="F1514" s="4" t="s">
        <v>5369</v>
      </c>
      <c r="G1514" s="4" t="s">
        <v>5370</v>
      </c>
      <c r="H1514" s="4" t="s">
        <v>5371</v>
      </c>
      <c r="I1514" s="4" t="s">
        <v>641</v>
      </c>
      <c r="J1514" s="4" t="s">
        <v>5048</v>
      </c>
      <c r="K1514" s="4">
        <v>1</v>
      </c>
      <c r="L1514" s="4">
        <v>1984</v>
      </c>
      <c r="M1514" s="6"/>
      <c r="AK1514" s="7"/>
    </row>
    <row r="1515" spans="1:37" ht="14.25" customHeight="1" x14ac:dyDescent="0.2">
      <c r="A1515" s="4" t="s">
        <v>5032</v>
      </c>
      <c r="B1515" s="4">
        <v>9</v>
      </c>
      <c r="C1515" s="9" t="s">
        <v>7678</v>
      </c>
      <c r="D1515" s="8" t="s">
        <v>5372</v>
      </c>
      <c r="E1515" s="4">
        <v>2584</v>
      </c>
      <c r="F1515" s="4" t="s">
        <v>5373</v>
      </c>
      <c r="G1515" s="4" t="s">
        <v>5374</v>
      </c>
      <c r="H1515" s="4" t="s">
        <v>5375</v>
      </c>
      <c r="I1515" s="4" t="s">
        <v>641</v>
      </c>
      <c r="J1515" s="4" t="s">
        <v>5037</v>
      </c>
      <c r="K1515" s="4">
        <v>1</v>
      </c>
      <c r="L1515" s="4">
        <v>2987</v>
      </c>
      <c r="M1515" s="6"/>
      <c r="AK1515" s="7"/>
    </row>
    <row r="1516" spans="1:37" ht="14.25" customHeight="1" x14ac:dyDescent="0.2">
      <c r="A1516" s="5" t="s">
        <v>5376</v>
      </c>
      <c r="B1516" s="4">
        <v>9</v>
      </c>
      <c r="C1516" s="4" t="s">
        <v>7681</v>
      </c>
      <c r="D1516" s="4" t="s">
        <v>5377</v>
      </c>
      <c r="E1516" s="4">
        <v>12196</v>
      </c>
      <c r="F1516" s="4" t="s">
        <v>5378</v>
      </c>
      <c r="G1516" s="4" t="s">
        <v>5379</v>
      </c>
      <c r="H1516" s="4" t="s">
        <v>84</v>
      </c>
      <c r="I1516" s="4" t="s">
        <v>641</v>
      </c>
      <c r="K1516" s="4">
        <v>1</v>
      </c>
      <c r="L1516" s="4">
        <v>14251</v>
      </c>
      <c r="M1516" s="6"/>
      <c r="AK1516" s="7"/>
    </row>
    <row r="1517" spans="1:37" ht="14.25" customHeight="1" x14ac:dyDescent="0.2">
      <c r="A1517" s="4" t="s">
        <v>5380</v>
      </c>
      <c r="B1517" s="4">
        <v>9</v>
      </c>
      <c r="C1517" s="9" t="s">
        <v>7678</v>
      </c>
      <c r="D1517" s="8" t="s">
        <v>5381</v>
      </c>
      <c r="E1517" s="4">
        <v>1573</v>
      </c>
      <c r="F1517" s="4" t="s">
        <v>5382</v>
      </c>
      <c r="G1517" s="8" t="s">
        <v>5383</v>
      </c>
      <c r="H1517" s="4" t="s">
        <v>5384</v>
      </c>
      <c r="I1517" s="4" t="s">
        <v>641</v>
      </c>
      <c r="J1517" s="4" t="s">
        <v>5083</v>
      </c>
      <c r="K1517" s="4">
        <v>1</v>
      </c>
      <c r="L1517" s="4">
        <v>1976</v>
      </c>
      <c r="M1517" s="6"/>
      <c r="AK1517" s="7"/>
    </row>
    <row r="1518" spans="1:37" ht="14.25" customHeight="1" x14ac:dyDescent="0.2">
      <c r="A1518" s="4" t="s">
        <v>5032</v>
      </c>
      <c r="B1518" s="4">
        <v>9</v>
      </c>
      <c r="C1518" s="9" t="s">
        <v>7678</v>
      </c>
      <c r="D1518" s="8" t="s">
        <v>5385</v>
      </c>
      <c r="E1518" s="4">
        <v>1566</v>
      </c>
      <c r="F1518" s="4" t="s">
        <v>5386</v>
      </c>
      <c r="G1518" s="4" t="s">
        <v>5387</v>
      </c>
      <c r="H1518" s="4" t="s">
        <v>5388</v>
      </c>
      <c r="I1518" s="4" t="s">
        <v>641</v>
      </c>
      <c r="J1518" s="4" t="s">
        <v>5073</v>
      </c>
      <c r="K1518" s="4">
        <v>1</v>
      </c>
      <c r="L1518" s="4">
        <v>1969</v>
      </c>
      <c r="M1518" s="6"/>
      <c r="AK1518" s="7"/>
    </row>
    <row r="1519" spans="1:37" ht="14.25" customHeight="1" x14ac:dyDescent="0.2">
      <c r="A1519" s="5" t="s">
        <v>5389</v>
      </c>
      <c r="B1519" s="4">
        <v>9</v>
      </c>
      <c r="C1519" s="4" t="s">
        <v>7681</v>
      </c>
      <c r="D1519" s="4" t="s">
        <v>5390</v>
      </c>
      <c r="E1519" s="4">
        <v>12200</v>
      </c>
      <c r="F1519" s="4" t="s">
        <v>5391</v>
      </c>
      <c r="G1519" s="4" t="s">
        <v>5392</v>
      </c>
      <c r="H1519" s="4" t="s">
        <v>84</v>
      </c>
      <c r="I1519" s="4" t="s">
        <v>641</v>
      </c>
      <c r="K1519" s="4">
        <v>1</v>
      </c>
      <c r="L1519" s="4">
        <v>14255</v>
      </c>
      <c r="M1519" s="6"/>
      <c r="AK1519" s="7"/>
    </row>
    <row r="1520" spans="1:37" ht="14.25" customHeight="1" x14ac:dyDescent="0.2">
      <c r="A1520" s="4" t="s">
        <v>5393</v>
      </c>
      <c r="B1520" s="4">
        <v>9</v>
      </c>
      <c r="C1520" s="8" t="s">
        <v>7681</v>
      </c>
      <c r="D1520" s="8" t="s">
        <v>5394</v>
      </c>
      <c r="E1520" s="4">
        <v>12530</v>
      </c>
      <c r="F1520" s="26" t="s">
        <v>5395</v>
      </c>
      <c r="G1520" s="26" t="s">
        <v>5396</v>
      </c>
      <c r="H1520" s="4" t="s">
        <v>5397</v>
      </c>
      <c r="I1520" s="4" t="s">
        <v>49</v>
      </c>
      <c r="J1520" s="4" t="s">
        <v>4983</v>
      </c>
      <c r="K1520" s="4">
        <v>1</v>
      </c>
      <c r="L1520" s="4">
        <v>14552</v>
      </c>
      <c r="M1520" s="6"/>
      <c r="AK1520" s="7"/>
    </row>
    <row r="1521" spans="1:41" ht="14.25" customHeight="1" x14ac:dyDescent="0.2">
      <c r="A1521" s="4" t="s">
        <v>5043</v>
      </c>
      <c r="B1521" s="4">
        <v>9</v>
      </c>
      <c r="C1521" s="8" t="s">
        <v>7681</v>
      </c>
      <c r="D1521" s="8" t="s">
        <v>5398</v>
      </c>
      <c r="E1521" s="4">
        <v>12610</v>
      </c>
      <c r="F1521" s="26" t="s">
        <v>5399</v>
      </c>
      <c r="G1521" s="26" t="s">
        <v>5400</v>
      </c>
      <c r="H1521" s="4" t="s">
        <v>5401</v>
      </c>
      <c r="I1521" s="4" t="s">
        <v>49</v>
      </c>
      <c r="J1521" s="4" t="s">
        <v>5402</v>
      </c>
      <c r="K1521" s="4">
        <v>1</v>
      </c>
      <c r="L1521" s="4">
        <v>14632</v>
      </c>
      <c r="M1521" s="6"/>
      <c r="AK1521" s="7"/>
      <c r="AO1521" s="25"/>
    </row>
    <row r="1522" spans="1:41" ht="14.25" customHeight="1" x14ac:dyDescent="0.2">
      <c r="A1522" s="4" t="s">
        <v>5043</v>
      </c>
      <c r="B1522" s="4">
        <v>9</v>
      </c>
      <c r="C1522" s="8" t="s">
        <v>7681</v>
      </c>
      <c r="D1522" s="8" t="s">
        <v>5403</v>
      </c>
      <c r="E1522" s="4">
        <v>12608</v>
      </c>
      <c r="F1522" s="8" t="s">
        <v>5404</v>
      </c>
      <c r="G1522" s="8" t="s">
        <v>5405</v>
      </c>
      <c r="H1522" s="4" t="s">
        <v>5397</v>
      </c>
      <c r="I1522" s="4" t="s">
        <v>49</v>
      </c>
      <c r="J1522" s="4" t="s">
        <v>5402</v>
      </c>
      <c r="K1522" s="4">
        <v>1</v>
      </c>
      <c r="L1522" s="4">
        <v>14630</v>
      </c>
      <c r="M1522" s="6"/>
      <c r="AK1522" s="7"/>
    </row>
    <row r="1523" spans="1:41" ht="14.25" customHeight="1" x14ac:dyDescent="0.2">
      <c r="A1523" s="4" t="s">
        <v>5406</v>
      </c>
      <c r="B1523" s="4">
        <v>9</v>
      </c>
      <c r="C1523" s="8" t="s">
        <v>7681</v>
      </c>
      <c r="D1523" s="8" t="s">
        <v>5407</v>
      </c>
      <c r="E1523" s="4">
        <v>12582</v>
      </c>
      <c r="F1523" s="8" t="s">
        <v>5408</v>
      </c>
      <c r="G1523" s="8" t="s">
        <v>5409</v>
      </c>
      <c r="H1523" s="4" t="s">
        <v>5397</v>
      </c>
      <c r="I1523" s="4" t="s">
        <v>49</v>
      </c>
      <c r="J1523" s="4" t="s">
        <v>4983</v>
      </c>
      <c r="K1523" s="4">
        <v>1</v>
      </c>
      <c r="L1523" s="4">
        <v>14604</v>
      </c>
      <c r="M1523" s="6"/>
      <c r="AK1523" s="7"/>
    </row>
    <row r="1524" spans="1:41" ht="14.25" customHeight="1" x14ac:dyDescent="0.2">
      <c r="A1524" s="4" t="s">
        <v>4980</v>
      </c>
      <c r="B1524" s="4">
        <v>9</v>
      </c>
      <c r="C1524" s="9" t="s">
        <v>7678</v>
      </c>
      <c r="D1524" s="8" t="s">
        <v>5410</v>
      </c>
      <c r="E1524" s="4">
        <v>12531</v>
      </c>
      <c r="F1524" s="4" t="s">
        <v>1648</v>
      </c>
      <c r="G1524" s="4" t="s">
        <v>5411</v>
      </c>
      <c r="H1524" s="4" t="s">
        <v>5397</v>
      </c>
      <c r="I1524" s="4" t="s">
        <v>49</v>
      </c>
      <c r="J1524" s="4" t="s">
        <v>4983</v>
      </c>
      <c r="K1524" s="4">
        <v>1</v>
      </c>
      <c r="L1524" s="4">
        <v>14553</v>
      </c>
      <c r="M1524" s="6"/>
      <c r="AK1524" s="7"/>
    </row>
    <row r="1525" spans="1:41" ht="14.25" customHeight="1" x14ac:dyDescent="0.2">
      <c r="A1525" s="4" t="s">
        <v>4980</v>
      </c>
      <c r="B1525" s="4">
        <v>9</v>
      </c>
      <c r="C1525" s="9" t="s">
        <v>7678</v>
      </c>
      <c r="D1525" s="8" t="s">
        <v>5412</v>
      </c>
      <c r="E1525" s="4">
        <v>12534</v>
      </c>
      <c r="F1525" s="4" t="s">
        <v>1648</v>
      </c>
      <c r="G1525" s="4" t="s">
        <v>5413</v>
      </c>
      <c r="H1525" s="4" t="s">
        <v>5397</v>
      </c>
      <c r="I1525" s="4" t="s">
        <v>49</v>
      </c>
      <c r="J1525" s="4" t="s">
        <v>4983</v>
      </c>
      <c r="K1525" s="4">
        <v>1</v>
      </c>
      <c r="L1525" s="4">
        <v>14556</v>
      </c>
      <c r="M1525" s="6"/>
      <c r="AK1525" s="7"/>
    </row>
    <row r="1526" spans="1:41" ht="14.25" customHeight="1" x14ac:dyDescent="0.2">
      <c r="A1526" s="4" t="s">
        <v>4980</v>
      </c>
      <c r="B1526" s="4">
        <v>9</v>
      </c>
      <c r="C1526" s="9" t="s">
        <v>7678</v>
      </c>
      <c r="D1526" s="8" t="s">
        <v>5414</v>
      </c>
      <c r="E1526" s="4">
        <v>12535</v>
      </c>
      <c r="F1526" s="4" t="s">
        <v>1648</v>
      </c>
      <c r="G1526" s="4" t="s">
        <v>5415</v>
      </c>
      <c r="H1526" s="4" t="s">
        <v>5397</v>
      </c>
      <c r="I1526" s="4" t="s">
        <v>49</v>
      </c>
      <c r="J1526" s="4" t="s">
        <v>4983</v>
      </c>
      <c r="K1526" s="4">
        <v>1</v>
      </c>
      <c r="L1526" s="4">
        <v>14557</v>
      </c>
      <c r="M1526" s="6"/>
      <c r="AK1526" s="7"/>
    </row>
    <row r="1527" spans="1:41" ht="14.25" customHeight="1" x14ac:dyDescent="0.2">
      <c r="A1527" s="4" t="s">
        <v>4980</v>
      </c>
      <c r="B1527" s="4">
        <v>9</v>
      </c>
      <c r="C1527" s="9" t="s">
        <v>7678</v>
      </c>
      <c r="D1527" s="8" t="s">
        <v>5416</v>
      </c>
      <c r="E1527" s="4">
        <v>12537</v>
      </c>
      <c r="F1527" s="79" t="s">
        <v>1648</v>
      </c>
      <c r="G1527" s="4" t="s">
        <v>5417</v>
      </c>
      <c r="H1527" s="4" t="s">
        <v>5397</v>
      </c>
      <c r="I1527" s="4" t="s">
        <v>49</v>
      </c>
      <c r="J1527" s="4" t="s">
        <v>4983</v>
      </c>
      <c r="K1527" s="4">
        <v>1</v>
      </c>
      <c r="L1527" s="4">
        <v>14559</v>
      </c>
      <c r="M1527" s="6"/>
      <c r="AK1527" s="7"/>
    </row>
    <row r="1528" spans="1:41" ht="14.25" customHeight="1" x14ac:dyDescent="0.2">
      <c r="A1528" s="4" t="s">
        <v>4980</v>
      </c>
      <c r="B1528" s="4">
        <v>9</v>
      </c>
      <c r="C1528" s="9" t="s">
        <v>7678</v>
      </c>
      <c r="D1528" s="8" t="s">
        <v>5418</v>
      </c>
      <c r="E1528" s="4">
        <v>12539</v>
      </c>
      <c r="F1528" s="4" t="s">
        <v>1648</v>
      </c>
      <c r="G1528" s="4" t="s">
        <v>5419</v>
      </c>
      <c r="H1528" s="4" t="s">
        <v>5397</v>
      </c>
      <c r="I1528" s="4" t="s">
        <v>49</v>
      </c>
      <c r="J1528" s="4" t="s">
        <v>4983</v>
      </c>
      <c r="K1528" s="4">
        <v>1</v>
      </c>
      <c r="L1528" s="4">
        <v>14561</v>
      </c>
      <c r="M1528" s="6"/>
      <c r="AK1528" s="7"/>
    </row>
    <row r="1529" spans="1:41" ht="14.25" customHeight="1" x14ac:dyDescent="0.2">
      <c r="A1529" s="4" t="s">
        <v>4980</v>
      </c>
      <c r="B1529" s="4">
        <v>9</v>
      </c>
      <c r="C1529" s="9" t="s">
        <v>7678</v>
      </c>
      <c r="D1529" s="8" t="s">
        <v>5420</v>
      </c>
      <c r="E1529" s="4">
        <v>12540</v>
      </c>
      <c r="F1529" s="4" t="s">
        <v>1648</v>
      </c>
      <c r="G1529" s="4" t="s">
        <v>5421</v>
      </c>
      <c r="H1529" s="4" t="s">
        <v>5397</v>
      </c>
      <c r="I1529" s="4" t="s">
        <v>49</v>
      </c>
      <c r="J1529" s="4" t="s">
        <v>4983</v>
      </c>
      <c r="K1529" s="4">
        <v>1</v>
      </c>
      <c r="L1529" s="4">
        <v>14562</v>
      </c>
      <c r="M1529" s="6"/>
      <c r="AK1529" s="7"/>
    </row>
    <row r="1530" spans="1:41" ht="14.25" customHeight="1" x14ac:dyDescent="0.2">
      <c r="A1530" s="4" t="s">
        <v>4980</v>
      </c>
      <c r="B1530" s="4">
        <v>9</v>
      </c>
      <c r="C1530" s="9" t="s">
        <v>7678</v>
      </c>
      <c r="D1530" s="8" t="s">
        <v>5422</v>
      </c>
      <c r="E1530" s="4">
        <v>12542</v>
      </c>
      <c r="F1530" s="4" t="s">
        <v>1648</v>
      </c>
      <c r="G1530" s="4" t="s">
        <v>5423</v>
      </c>
      <c r="H1530" s="4" t="s">
        <v>5397</v>
      </c>
      <c r="I1530" s="4" t="s">
        <v>49</v>
      </c>
      <c r="J1530" s="4" t="s">
        <v>4983</v>
      </c>
      <c r="K1530" s="4">
        <v>1</v>
      </c>
      <c r="L1530" s="4">
        <v>14564</v>
      </c>
      <c r="M1530" s="6"/>
      <c r="AK1530" s="7"/>
    </row>
    <row r="1531" spans="1:41" ht="14.25" customHeight="1" x14ac:dyDescent="0.2">
      <c r="A1531" s="4" t="s">
        <v>4980</v>
      </c>
      <c r="B1531" s="4">
        <v>9</v>
      </c>
      <c r="C1531" s="9" t="s">
        <v>7678</v>
      </c>
      <c r="D1531" s="8" t="s">
        <v>5424</v>
      </c>
      <c r="E1531" s="4">
        <v>12543</v>
      </c>
      <c r="F1531" s="4" t="s">
        <v>1648</v>
      </c>
      <c r="G1531" s="4" t="s">
        <v>5425</v>
      </c>
      <c r="H1531" s="4" t="s">
        <v>5397</v>
      </c>
      <c r="I1531" s="4" t="s">
        <v>49</v>
      </c>
      <c r="J1531" s="4" t="s">
        <v>4983</v>
      </c>
      <c r="K1531" s="4">
        <v>1</v>
      </c>
      <c r="L1531" s="4">
        <v>14565</v>
      </c>
      <c r="M1531" s="6"/>
      <c r="AK1531" s="7"/>
    </row>
    <row r="1532" spans="1:41" ht="14.25" customHeight="1" x14ac:dyDescent="0.2">
      <c r="A1532" s="4" t="s">
        <v>4980</v>
      </c>
      <c r="B1532" s="4">
        <v>9</v>
      </c>
      <c r="C1532" s="9" t="s">
        <v>7678</v>
      </c>
      <c r="D1532" s="8" t="s">
        <v>5426</v>
      </c>
      <c r="E1532" s="4">
        <v>12546</v>
      </c>
      <c r="F1532" s="79" t="s">
        <v>1648</v>
      </c>
      <c r="G1532" s="4" t="s">
        <v>5427</v>
      </c>
      <c r="H1532" s="4" t="s">
        <v>5397</v>
      </c>
      <c r="I1532" s="4" t="s">
        <v>49</v>
      </c>
      <c r="J1532" s="4" t="s">
        <v>4983</v>
      </c>
      <c r="K1532" s="4">
        <v>1</v>
      </c>
      <c r="L1532" s="4">
        <v>14568</v>
      </c>
      <c r="M1532" s="6"/>
      <c r="AK1532" s="7"/>
    </row>
    <row r="1533" spans="1:41" ht="14.25" customHeight="1" x14ac:dyDescent="0.2">
      <c r="A1533" s="4" t="s">
        <v>4980</v>
      </c>
      <c r="B1533" s="4">
        <v>9</v>
      </c>
      <c r="C1533" s="9" t="s">
        <v>7678</v>
      </c>
      <c r="D1533" s="8" t="s">
        <v>5428</v>
      </c>
      <c r="E1533" s="4">
        <v>12547</v>
      </c>
      <c r="F1533" s="79" t="s">
        <v>1648</v>
      </c>
      <c r="G1533" s="4" t="s">
        <v>5429</v>
      </c>
      <c r="H1533" s="4" t="s">
        <v>5397</v>
      </c>
      <c r="I1533" s="4" t="s">
        <v>49</v>
      </c>
      <c r="J1533" s="4" t="s">
        <v>4983</v>
      </c>
      <c r="K1533" s="4">
        <v>1</v>
      </c>
      <c r="L1533" s="4">
        <v>14569</v>
      </c>
      <c r="M1533" s="6"/>
      <c r="AK1533" s="7"/>
    </row>
    <row r="1534" spans="1:41" ht="14.25" customHeight="1" x14ac:dyDescent="0.2">
      <c r="A1534" s="4" t="s">
        <v>4980</v>
      </c>
      <c r="B1534" s="4">
        <v>9</v>
      </c>
      <c r="C1534" s="9" t="s">
        <v>7678</v>
      </c>
      <c r="D1534" s="8" t="s">
        <v>5430</v>
      </c>
      <c r="E1534" s="4">
        <v>12548</v>
      </c>
      <c r="F1534" s="79" t="s">
        <v>1648</v>
      </c>
      <c r="G1534" s="4" t="s">
        <v>5431</v>
      </c>
      <c r="H1534" s="4" t="s">
        <v>5397</v>
      </c>
      <c r="I1534" s="4" t="s">
        <v>49</v>
      </c>
      <c r="J1534" s="4" t="s">
        <v>4983</v>
      </c>
      <c r="K1534" s="4">
        <v>1</v>
      </c>
      <c r="L1534" s="4">
        <v>14570</v>
      </c>
      <c r="M1534" s="6"/>
      <c r="AK1534" s="7"/>
    </row>
    <row r="1535" spans="1:41" ht="14.25" customHeight="1" x14ac:dyDescent="0.2">
      <c r="A1535" s="4" t="s">
        <v>4980</v>
      </c>
      <c r="B1535" s="4">
        <v>9</v>
      </c>
      <c r="C1535" s="9" t="s">
        <v>7678</v>
      </c>
      <c r="D1535" s="8" t="s">
        <v>5432</v>
      </c>
      <c r="E1535" s="4">
        <v>12595</v>
      </c>
      <c r="F1535" s="4" t="s">
        <v>1648</v>
      </c>
      <c r="G1535" s="4" t="s">
        <v>5433</v>
      </c>
      <c r="H1535" s="4" t="s">
        <v>5397</v>
      </c>
      <c r="I1535" s="4" t="s">
        <v>49</v>
      </c>
      <c r="J1535" s="4" t="s">
        <v>5402</v>
      </c>
      <c r="K1535" s="4">
        <v>1</v>
      </c>
      <c r="L1535" s="4">
        <v>14617</v>
      </c>
      <c r="M1535" s="6"/>
      <c r="AK1535" s="7"/>
    </row>
    <row r="1536" spans="1:41" ht="14.25" customHeight="1" x14ac:dyDescent="0.2">
      <c r="A1536" s="4" t="s">
        <v>4980</v>
      </c>
      <c r="B1536" s="4">
        <v>9</v>
      </c>
      <c r="C1536" s="9" t="s">
        <v>7678</v>
      </c>
      <c r="D1536" s="8" t="s">
        <v>5434</v>
      </c>
      <c r="E1536" s="4">
        <v>12550</v>
      </c>
      <c r="F1536" s="4" t="s">
        <v>1648</v>
      </c>
      <c r="G1536" s="4" t="s">
        <v>5435</v>
      </c>
      <c r="H1536" s="4" t="s">
        <v>5397</v>
      </c>
      <c r="I1536" s="4" t="s">
        <v>49</v>
      </c>
      <c r="J1536" s="4" t="s">
        <v>4983</v>
      </c>
      <c r="K1536" s="4">
        <v>1</v>
      </c>
      <c r="L1536" s="4">
        <v>14572</v>
      </c>
      <c r="M1536" s="6"/>
      <c r="AK1536" s="7"/>
    </row>
    <row r="1537" spans="1:37" ht="14.25" customHeight="1" x14ac:dyDescent="0.2">
      <c r="A1537" s="4" t="s">
        <v>4980</v>
      </c>
      <c r="B1537" s="4">
        <v>9</v>
      </c>
      <c r="C1537" s="8" t="s">
        <v>7681</v>
      </c>
      <c r="D1537" s="8" t="s">
        <v>5436</v>
      </c>
      <c r="E1537" s="4">
        <v>12551</v>
      </c>
      <c r="F1537" s="79" t="s">
        <v>1648</v>
      </c>
      <c r="G1537" s="4" t="s">
        <v>5437</v>
      </c>
      <c r="H1537" s="4" t="s">
        <v>5397</v>
      </c>
      <c r="I1537" s="4" t="s">
        <v>49</v>
      </c>
      <c r="J1537" s="4" t="s">
        <v>4983</v>
      </c>
      <c r="K1537" s="4">
        <v>1</v>
      </c>
      <c r="L1537" s="4">
        <v>14573</v>
      </c>
      <c r="M1537" s="6"/>
      <c r="AK1537" s="7"/>
    </row>
    <row r="1538" spans="1:37" ht="14.25" customHeight="1" x14ac:dyDescent="0.2">
      <c r="A1538" s="4" t="s">
        <v>4980</v>
      </c>
      <c r="B1538" s="4">
        <v>9</v>
      </c>
      <c r="C1538" s="9" t="s">
        <v>7678</v>
      </c>
      <c r="D1538" s="8" t="s">
        <v>5438</v>
      </c>
      <c r="E1538" s="4">
        <v>12552</v>
      </c>
      <c r="F1538" s="80" t="s">
        <v>1648</v>
      </c>
      <c r="G1538" s="4" t="s">
        <v>5439</v>
      </c>
      <c r="H1538" s="4" t="s">
        <v>5440</v>
      </c>
      <c r="I1538" s="4" t="s">
        <v>49</v>
      </c>
      <c r="J1538" s="4" t="s">
        <v>4983</v>
      </c>
      <c r="K1538" s="4">
        <v>1</v>
      </c>
      <c r="L1538" s="4">
        <v>14574</v>
      </c>
      <c r="M1538" s="6"/>
      <c r="AK1538" s="7"/>
    </row>
    <row r="1539" spans="1:37" ht="14.25" customHeight="1" x14ac:dyDescent="0.2">
      <c r="A1539" s="4" t="s">
        <v>4980</v>
      </c>
      <c r="B1539" s="4">
        <v>9</v>
      </c>
      <c r="C1539" s="9" t="s">
        <v>7678</v>
      </c>
      <c r="D1539" s="8" t="s">
        <v>5441</v>
      </c>
      <c r="E1539" s="4">
        <v>12553</v>
      </c>
      <c r="F1539" s="4" t="s">
        <v>1648</v>
      </c>
      <c r="G1539" s="4" t="s">
        <v>5442</v>
      </c>
      <c r="H1539" s="4" t="s">
        <v>5397</v>
      </c>
      <c r="I1539" s="4" t="s">
        <v>49</v>
      </c>
      <c r="J1539" s="4" t="s">
        <v>4983</v>
      </c>
      <c r="K1539" s="4">
        <v>1</v>
      </c>
      <c r="L1539" s="4">
        <v>14575</v>
      </c>
      <c r="M1539" s="6"/>
      <c r="AK1539" s="7"/>
    </row>
    <row r="1540" spans="1:37" ht="14.25" customHeight="1" x14ac:dyDescent="0.2">
      <c r="A1540" s="4" t="s">
        <v>5443</v>
      </c>
      <c r="B1540" s="4">
        <v>9</v>
      </c>
      <c r="C1540" s="4" t="s">
        <v>7681</v>
      </c>
      <c r="D1540" s="4" t="s">
        <v>5444</v>
      </c>
      <c r="E1540" s="4">
        <v>12592</v>
      </c>
      <c r="F1540" s="4" t="s">
        <v>1648</v>
      </c>
      <c r="G1540" s="4" t="s">
        <v>5445</v>
      </c>
      <c r="H1540" s="4" t="s">
        <v>5397</v>
      </c>
      <c r="I1540" s="4" t="s">
        <v>49</v>
      </c>
      <c r="J1540" s="4" t="s">
        <v>5402</v>
      </c>
      <c r="K1540" s="4">
        <v>1</v>
      </c>
      <c r="L1540" s="4">
        <v>14614</v>
      </c>
      <c r="M1540" s="6"/>
      <c r="AK1540" s="7"/>
    </row>
    <row r="1541" spans="1:37" ht="14.25" customHeight="1" x14ac:dyDescent="0.2">
      <c r="A1541" s="4" t="s">
        <v>4980</v>
      </c>
      <c r="B1541" s="4">
        <v>9</v>
      </c>
      <c r="C1541" s="9" t="s">
        <v>7678</v>
      </c>
      <c r="D1541" s="8" t="s">
        <v>5446</v>
      </c>
      <c r="E1541" s="4">
        <v>12596</v>
      </c>
      <c r="F1541" s="4" t="s">
        <v>1648</v>
      </c>
      <c r="G1541" s="4" t="s">
        <v>5447</v>
      </c>
      <c r="H1541" s="4" t="s">
        <v>5397</v>
      </c>
      <c r="I1541" s="4" t="s">
        <v>49</v>
      </c>
      <c r="J1541" s="4" t="s">
        <v>5402</v>
      </c>
      <c r="K1541" s="4">
        <v>1</v>
      </c>
      <c r="L1541" s="4">
        <v>14618</v>
      </c>
      <c r="M1541" s="6"/>
      <c r="AK1541" s="7"/>
    </row>
    <row r="1542" spans="1:37" ht="14.25" customHeight="1" x14ac:dyDescent="0.2">
      <c r="A1542" s="4" t="s">
        <v>4980</v>
      </c>
      <c r="B1542" s="4">
        <v>9</v>
      </c>
      <c r="C1542" s="9" t="s">
        <v>7678</v>
      </c>
      <c r="D1542" s="8" t="s">
        <v>5448</v>
      </c>
      <c r="E1542" s="4">
        <v>12597</v>
      </c>
      <c r="F1542" s="4" t="s">
        <v>1648</v>
      </c>
      <c r="G1542" s="4" t="s">
        <v>5449</v>
      </c>
      <c r="H1542" s="4" t="s">
        <v>5397</v>
      </c>
      <c r="I1542" s="4" t="s">
        <v>49</v>
      </c>
      <c r="J1542" s="4" t="s">
        <v>5402</v>
      </c>
      <c r="K1542" s="4">
        <v>1</v>
      </c>
      <c r="L1542" s="4">
        <v>14619</v>
      </c>
      <c r="M1542" s="6"/>
      <c r="AK1542" s="7"/>
    </row>
    <row r="1543" spans="1:37" ht="14.25" customHeight="1" x14ac:dyDescent="0.2">
      <c r="A1543" s="4" t="s">
        <v>4980</v>
      </c>
      <c r="B1543" s="4">
        <v>9</v>
      </c>
      <c r="C1543" s="9" t="s">
        <v>7678</v>
      </c>
      <c r="D1543" s="8" t="s">
        <v>5450</v>
      </c>
      <c r="E1543" s="4">
        <v>12598</v>
      </c>
      <c r="F1543" s="4" t="s">
        <v>1648</v>
      </c>
      <c r="G1543" s="4" t="s">
        <v>5451</v>
      </c>
      <c r="H1543" s="4" t="s">
        <v>5397</v>
      </c>
      <c r="I1543" s="4" t="s">
        <v>49</v>
      </c>
      <c r="J1543" s="4" t="s">
        <v>5402</v>
      </c>
      <c r="K1543" s="4">
        <v>1</v>
      </c>
      <c r="L1543" s="4">
        <v>14620</v>
      </c>
      <c r="M1543" s="6"/>
      <c r="AK1543" s="7"/>
    </row>
    <row r="1544" spans="1:37" ht="14.25" customHeight="1" x14ac:dyDescent="0.2">
      <c r="A1544" s="4" t="s">
        <v>4980</v>
      </c>
      <c r="B1544" s="4">
        <v>9</v>
      </c>
      <c r="C1544" s="9" t="s">
        <v>7678</v>
      </c>
      <c r="D1544" s="8" t="s">
        <v>5452</v>
      </c>
      <c r="E1544" s="4">
        <v>12555</v>
      </c>
      <c r="F1544" s="4" t="s">
        <v>1648</v>
      </c>
      <c r="G1544" s="4" t="s">
        <v>5453</v>
      </c>
      <c r="H1544" s="4" t="s">
        <v>5440</v>
      </c>
      <c r="I1544" s="4" t="s">
        <v>49</v>
      </c>
      <c r="J1544" s="4" t="s">
        <v>4983</v>
      </c>
      <c r="K1544" s="4">
        <v>1</v>
      </c>
      <c r="L1544" s="4">
        <v>14577</v>
      </c>
      <c r="M1544" s="6"/>
      <c r="AK1544" s="7"/>
    </row>
    <row r="1545" spans="1:37" ht="14.25" customHeight="1" x14ac:dyDescent="0.2">
      <c r="A1545" s="4" t="s">
        <v>4980</v>
      </c>
      <c r="B1545" s="4">
        <v>9</v>
      </c>
      <c r="C1545" s="9" t="s">
        <v>7678</v>
      </c>
      <c r="D1545" s="8" t="s">
        <v>5454</v>
      </c>
      <c r="E1545" s="4">
        <v>12599</v>
      </c>
      <c r="F1545" s="4" t="s">
        <v>1648</v>
      </c>
      <c r="G1545" s="4" t="s">
        <v>5455</v>
      </c>
      <c r="H1545" s="4" t="s">
        <v>5397</v>
      </c>
      <c r="I1545" s="4" t="s">
        <v>49</v>
      </c>
      <c r="J1545" s="4" t="s">
        <v>5402</v>
      </c>
      <c r="K1545" s="4">
        <v>1</v>
      </c>
      <c r="L1545" s="4">
        <v>14621</v>
      </c>
      <c r="M1545" s="6"/>
      <c r="AK1545" s="7"/>
    </row>
    <row r="1546" spans="1:37" ht="14.25" customHeight="1" x14ac:dyDescent="0.2">
      <c r="A1546" s="4" t="s">
        <v>4980</v>
      </c>
      <c r="B1546" s="4">
        <v>9</v>
      </c>
      <c r="C1546" s="9" t="s">
        <v>7678</v>
      </c>
      <c r="D1546" s="8" t="s">
        <v>5456</v>
      </c>
      <c r="E1546" s="4">
        <v>12561</v>
      </c>
      <c r="F1546" s="80" t="s">
        <v>1648</v>
      </c>
      <c r="G1546" s="4" t="s">
        <v>5457</v>
      </c>
      <c r="H1546" s="4" t="s">
        <v>5397</v>
      </c>
      <c r="I1546" s="4" t="s">
        <v>49</v>
      </c>
      <c r="J1546" s="4" t="s">
        <v>4983</v>
      </c>
      <c r="K1546" s="4">
        <v>1</v>
      </c>
      <c r="L1546" s="4">
        <v>14583</v>
      </c>
      <c r="M1546" s="6"/>
      <c r="AK1546" s="7"/>
    </row>
    <row r="1547" spans="1:37" ht="14.25" customHeight="1" x14ac:dyDescent="0.2">
      <c r="A1547" s="4" t="s">
        <v>5443</v>
      </c>
      <c r="B1547" s="4">
        <v>9</v>
      </c>
      <c r="C1547" s="4" t="s">
        <v>7681</v>
      </c>
      <c r="D1547" s="4" t="s">
        <v>5458</v>
      </c>
      <c r="E1547" s="4">
        <v>12611</v>
      </c>
      <c r="F1547" s="4" t="s">
        <v>1648</v>
      </c>
      <c r="G1547" s="4" t="s">
        <v>5459</v>
      </c>
      <c r="H1547" s="4" t="s">
        <v>5397</v>
      </c>
      <c r="I1547" s="4" t="s">
        <v>49</v>
      </c>
      <c r="J1547" s="4" t="s">
        <v>5402</v>
      </c>
      <c r="K1547" s="4">
        <v>1</v>
      </c>
      <c r="L1547" s="4">
        <v>14633</v>
      </c>
      <c r="M1547" s="6"/>
      <c r="AK1547" s="7"/>
    </row>
    <row r="1548" spans="1:37" ht="14.25" customHeight="1" x14ac:dyDescent="0.2">
      <c r="A1548" s="4" t="s">
        <v>4980</v>
      </c>
      <c r="B1548" s="4">
        <v>9</v>
      </c>
      <c r="C1548" s="9" t="s">
        <v>7678</v>
      </c>
      <c r="D1548" s="8" t="s">
        <v>5460</v>
      </c>
      <c r="E1548" s="4">
        <v>12575</v>
      </c>
      <c r="F1548" s="4" t="s">
        <v>1648</v>
      </c>
      <c r="G1548" s="4" t="s">
        <v>5461</v>
      </c>
      <c r="H1548" s="4" t="s">
        <v>5397</v>
      </c>
      <c r="I1548" s="4" t="s">
        <v>49</v>
      </c>
      <c r="J1548" s="4" t="s">
        <v>4983</v>
      </c>
      <c r="K1548" s="4">
        <v>1</v>
      </c>
      <c r="L1548" s="4">
        <v>14597</v>
      </c>
      <c r="M1548" s="6"/>
      <c r="AK1548" s="7"/>
    </row>
    <row r="1549" spans="1:37" ht="14.25" customHeight="1" x14ac:dyDescent="0.2">
      <c r="A1549" s="4" t="s">
        <v>4980</v>
      </c>
      <c r="B1549" s="4">
        <v>9</v>
      </c>
      <c r="C1549" s="9" t="s">
        <v>7678</v>
      </c>
      <c r="D1549" s="8" t="s">
        <v>5462</v>
      </c>
      <c r="E1549" s="4">
        <v>12576</v>
      </c>
      <c r="F1549" s="4" t="s">
        <v>1648</v>
      </c>
      <c r="G1549" s="4" t="s">
        <v>5463</v>
      </c>
      <c r="H1549" s="4" t="s">
        <v>5397</v>
      </c>
      <c r="I1549" s="4" t="s">
        <v>49</v>
      </c>
      <c r="J1549" s="4" t="s">
        <v>4983</v>
      </c>
      <c r="K1549" s="4">
        <v>1</v>
      </c>
      <c r="L1549" s="4">
        <v>14598</v>
      </c>
      <c r="M1549" s="6"/>
      <c r="AK1549" s="7"/>
    </row>
    <row r="1550" spans="1:37" ht="14.25" customHeight="1" x14ac:dyDescent="0.2">
      <c r="A1550" s="4" t="s">
        <v>4980</v>
      </c>
      <c r="B1550" s="4">
        <v>9</v>
      </c>
      <c r="C1550" s="9" t="s">
        <v>7678</v>
      </c>
      <c r="D1550" s="8" t="s">
        <v>5464</v>
      </c>
      <c r="E1550" s="4">
        <v>12580</v>
      </c>
      <c r="F1550" s="80" t="s">
        <v>1648</v>
      </c>
      <c r="G1550" s="4" t="s">
        <v>5465</v>
      </c>
      <c r="H1550" s="4" t="s">
        <v>5397</v>
      </c>
      <c r="I1550" s="4" t="s">
        <v>49</v>
      </c>
      <c r="J1550" s="4" t="s">
        <v>4983</v>
      </c>
      <c r="K1550" s="4">
        <v>1</v>
      </c>
      <c r="L1550" s="4">
        <v>14602</v>
      </c>
      <c r="M1550" s="6"/>
      <c r="AK1550" s="7"/>
    </row>
    <row r="1551" spans="1:37" ht="14.25" customHeight="1" x14ac:dyDescent="0.2">
      <c r="A1551" s="4" t="s">
        <v>4980</v>
      </c>
      <c r="B1551" s="4">
        <v>9</v>
      </c>
      <c r="C1551" s="9" t="s">
        <v>7678</v>
      </c>
      <c r="D1551" s="8" t="s">
        <v>5466</v>
      </c>
      <c r="E1551" s="4">
        <v>12594</v>
      </c>
      <c r="F1551" s="80" t="s">
        <v>5467</v>
      </c>
      <c r="G1551" s="4" t="s">
        <v>5468</v>
      </c>
      <c r="H1551" s="4" t="s">
        <v>5397</v>
      </c>
      <c r="I1551" s="4" t="s">
        <v>49</v>
      </c>
      <c r="J1551" s="4" t="s">
        <v>5402</v>
      </c>
      <c r="K1551" s="4">
        <v>1</v>
      </c>
      <c r="L1551" s="4">
        <v>14616</v>
      </c>
      <c r="M1551" s="6"/>
      <c r="AK1551" s="7"/>
    </row>
    <row r="1552" spans="1:37" ht="14.25" customHeight="1" x14ac:dyDescent="0.2">
      <c r="A1552" s="4" t="s">
        <v>5043</v>
      </c>
      <c r="B1552" s="4">
        <v>9</v>
      </c>
      <c r="C1552" s="8" t="s">
        <v>7681</v>
      </c>
      <c r="D1552" s="8" t="s">
        <v>5469</v>
      </c>
      <c r="E1552" s="4">
        <v>12529</v>
      </c>
      <c r="F1552" s="8" t="s">
        <v>5470</v>
      </c>
      <c r="G1552" s="8" t="s">
        <v>5471</v>
      </c>
      <c r="H1552" s="4" t="s">
        <v>5472</v>
      </c>
      <c r="I1552" s="4" t="s">
        <v>49</v>
      </c>
      <c r="J1552" s="4" t="s">
        <v>4983</v>
      </c>
      <c r="K1552" s="4">
        <v>1</v>
      </c>
      <c r="L1552" s="4">
        <v>14551</v>
      </c>
      <c r="M1552" s="6"/>
      <c r="AK1552" s="7"/>
    </row>
    <row r="1553" spans="1:72" ht="14.25" customHeight="1" x14ac:dyDescent="0.2">
      <c r="A1553" s="5" t="s">
        <v>5473</v>
      </c>
      <c r="B1553" s="4">
        <v>9</v>
      </c>
      <c r="C1553" s="8" t="s">
        <v>7681</v>
      </c>
      <c r="D1553" s="8" t="s">
        <v>5474</v>
      </c>
      <c r="E1553" s="4">
        <v>12589</v>
      </c>
      <c r="F1553" s="8" t="s">
        <v>5475</v>
      </c>
      <c r="G1553" s="8" t="s">
        <v>5476</v>
      </c>
      <c r="H1553" s="4" t="s">
        <v>5397</v>
      </c>
      <c r="I1553" s="4" t="s">
        <v>49</v>
      </c>
      <c r="J1553" s="4" t="s">
        <v>5402</v>
      </c>
      <c r="K1553" s="4">
        <v>1</v>
      </c>
      <c r="L1553" s="4">
        <v>14611</v>
      </c>
      <c r="M1553" s="6"/>
      <c r="AK1553" s="7"/>
    </row>
    <row r="1554" spans="1:72" ht="14.25" customHeight="1" x14ac:dyDescent="0.2">
      <c r="A1554" s="4" t="s">
        <v>4980</v>
      </c>
      <c r="B1554" s="4">
        <v>9</v>
      </c>
      <c r="C1554" s="9" t="s">
        <v>7678</v>
      </c>
      <c r="D1554" s="8" t="s">
        <v>5477</v>
      </c>
      <c r="E1554" s="4">
        <v>12590</v>
      </c>
      <c r="F1554" s="8" t="s">
        <v>5478</v>
      </c>
      <c r="G1554" s="4" t="s">
        <v>5479</v>
      </c>
      <c r="H1554" s="4" t="s">
        <v>5397</v>
      </c>
      <c r="I1554" s="4" t="s">
        <v>49</v>
      </c>
      <c r="J1554" s="4" t="s">
        <v>5402</v>
      </c>
      <c r="K1554" s="4">
        <v>1</v>
      </c>
      <c r="L1554" s="4">
        <v>14612</v>
      </c>
      <c r="M1554" s="6"/>
      <c r="AK1554" s="7"/>
    </row>
    <row r="1555" spans="1:72" ht="14.25" customHeight="1" x14ac:dyDescent="0.2">
      <c r="A1555" s="5" t="s">
        <v>5473</v>
      </c>
      <c r="B1555" s="4">
        <v>9</v>
      </c>
      <c r="C1555" s="8" t="s">
        <v>7681</v>
      </c>
      <c r="D1555" s="8" t="s">
        <v>5480</v>
      </c>
      <c r="E1555" s="4">
        <v>12532</v>
      </c>
      <c r="F1555" s="8" t="s">
        <v>5481</v>
      </c>
      <c r="G1555" s="8" t="s">
        <v>5482</v>
      </c>
      <c r="H1555" s="4" t="s">
        <v>5397</v>
      </c>
      <c r="I1555" s="4" t="s">
        <v>49</v>
      </c>
      <c r="J1555" s="4" t="s">
        <v>4983</v>
      </c>
      <c r="K1555" s="4">
        <v>1</v>
      </c>
      <c r="L1555" s="4">
        <v>14554</v>
      </c>
      <c r="M1555" s="6"/>
      <c r="AK1555" s="7"/>
    </row>
    <row r="1556" spans="1:72" ht="14.25" customHeight="1" x14ac:dyDescent="0.2">
      <c r="A1556" s="5" t="s">
        <v>5473</v>
      </c>
      <c r="B1556" s="4">
        <v>9</v>
      </c>
      <c r="C1556" s="8" t="s">
        <v>7681</v>
      </c>
      <c r="D1556" s="8" t="s">
        <v>5483</v>
      </c>
      <c r="E1556" s="4">
        <v>12593</v>
      </c>
      <c r="F1556" s="8" t="s">
        <v>5484</v>
      </c>
      <c r="G1556" s="8" t="s">
        <v>5485</v>
      </c>
      <c r="H1556" s="4" t="s">
        <v>5397</v>
      </c>
      <c r="I1556" s="4" t="s">
        <v>49</v>
      </c>
      <c r="J1556" s="4" t="s">
        <v>5402</v>
      </c>
      <c r="K1556" s="4">
        <v>1</v>
      </c>
      <c r="L1556" s="4">
        <v>14615</v>
      </c>
      <c r="M1556" s="6"/>
      <c r="AK1556" s="7"/>
    </row>
    <row r="1557" spans="1:72" ht="14.25" customHeight="1" x14ac:dyDescent="0.2">
      <c r="A1557" s="5" t="s">
        <v>5473</v>
      </c>
      <c r="B1557" s="4">
        <v>9</v>
      </c>
      <c r="C1557" s="8" t="s">
        <v>7681</v>
      </c>
      <c r="D1557" s="8" t="s">
        <v>5486</v>
      </c>
      <c r="E1557" s="4">
        <v>12533</v>
      </c>
      <c r="F1557" s="8" t="s">
        <v>5487</v>
      </c>
      <c r="G1557" s="8" t="s">
        <v>5488</v>
      </c>
      <c r="H1557" s="4" t="s">
        <v>5397</v>
      </c>
      <c r="I1557" s="4" t="s">
        <v>49</v>
      </c>
      <c r="J1557" s="4" t="s">
        <v>4983</v>
      </c>
      <c r="K1557" s="4">
        <v>1</v>
      </c>
      <c r="L1557" s="4">
        <v>14555</v>
      </c>
      <c r="M1557" s="6"/>
      <c r="AK1557" s="7"/>
    </row>
    <row r="1558" spans="1:72" ht="14.25" customHeight="1" x14ac:dyDescent="0.2">
      <c r="A1558" s="5" t="s">
        <v>5473</v>
      </c>
      <c r="B1558" s="4">
        <v>9</v>
      </c>
      <c r="C1558" s="8" t="s">
        <v>7681</v>
      </c>
      <c r="D1558" s="8" t="s">
        <v>5489</v>
      </c>
      <c r="E1558" s="4">
        <v>12601</v>
      </c>
      <c r="F1558" s="8" t="s">
        <v>5490</v>
      </c>
      <c r="G1558" s="8" t="s">
        <v>5491</v>
      </c>
      <c r="H1558" s="4" t="s">
        <v>5397</v>
      </c>
      <c r="I1558" s="4" t="s">
        <v>49</v>
      </c>
      <c r="J1558" s="4" t="s">
        <v>5402</v>
      </c>
      <c r="K1558" s="4">
        <v>1</v>
      </c>
      <c r="L1558" s="4">
        <v>14623</v>
      </c>
      <c r="M1558" s="6"/>
      <c r="AK1558" s="7"/>
    </row>
    <row r="1559" spans="1:72" ht="14.25" customHeight="1" x14ac:dyDescent="0.2">
      <c r="A1559" s="5" t="s">
        <v>5473</v>
      </c>
      <c r="B1559" s="4">
        <v>9</v>
      </c>
      <c r="C1559" s="8" t="s">
        <v>7681</v>
      </c>
      <c r="D1559" s="8" t="s">
        <v>5492</v>
      </c>
      <c r="E1559" s="4">
        <v>12591</v>
      </c>
      <c r="F1559" s="8" t="s">
        <v>5493</v>
      </c>
      <c r="G1559" s="8" t="s">
        <v>5494</v>
      </c>
      <c r="H1559" s="4" t="s">
        <v>5397</v>
      </c>
      <c r="I1559" s="4" t="s">
        <v>49</v>
      </c>
      <c r="J1559" s="4" t="s">
        <v>5402</v>
      </c>
      <c r="K1559" s="4">
        <v>1</v>
      </c>
      <c r="L1559" s="4">
        <v>14613</v>
      </c>
      <c r="M1559" s="6"/>
      <c r="AK1559" s="7"/>
    </row>
    <row r="1560" spans="1:72" ht="14.25" customHeight="1" x14ac:dyDescent="0.2">
      <c r="A1560" s="5" t="s">
        <v>5473</v>
      </c>
      <c r="B1560" s="4">
        <v>9</v>
      </c>
      <c r="C1560" s="8" t="s">
        <v>7681</v>
      </c>
      <c r="D1560" s="8" t="s">
        <v>5495</v>
      </c>
      <c r="E1560" s="4">
        <v>12536</v>
      </c>
      <c r="F1560" s="8" t="s">
        <v>5496</v>
      </c>
      <c r="G1560" s="8" t="s">
        <v>5497</v>
      </c>
      <c r="H1560" s="4" t="s">
        <v>5397</v>
      </c>
      <c r="I1560" s="4" t="s">
        <v>49</v>
      </c>
      <c r="J1560" s="4" t="s">
        <v>4983</v>
      </c>
      <c r="K1560" s="4">
        <v>1</v>
      </c>
      <c r="L1560" s="4">
        <v>14558</v>
      </c>
      <c r="M1560" s="6"/>
      <c r="AK1560" s="7"/>
      <c r="AO1560" s="25"/>
    </row>
    <row r="1561" spans="1:72" ht="14.25" customHeight="1" x14ac:dyDescent="0.2">
      <c r="A1561" s="4" t="s">
        <v>5043</v>
      </c>
      <c r="B1561" s="4">
        <v>9</v>
      </c>
      <c r="C1561" s="8" t="s">
        <v>7681</v>
      </c>
      <c r="D1561" s="8" t="s">
        <v>5498</v>
      </c>
      <c r="E1561" s="4">
        <v>12538</v>
      </c>
      <c r="F1561" s="8" t="s">
        <v>5499</v>
      </c>
      <c r="G1561" s="8" t="s">
        <v>5500</v>
      </c>
      <c r="H1561" s="4" t="s">
        <v>5397</v>
      </c>
      <c r="I1561" s="4" t="s">
        <v>49</v>
      </c>
      <c r="J1561" s="4" t="s">
        <v>4983</v>
      </c>
      <c r="K1561" s="4">
        <v>1</v>
      </c>
      <c r="L1561" s="4">
        <v>14560</v>
      </c>
      <c r="M1561" s="6"/>
      <c r="AK1561" s="7"/>
    </row>
    <row r="1562" spans="1:72" ht="14.25" customHeight="1" x14ac:dyDescent="0.2">
      <c r="A1562" s="41" t="s">
        <v>5501</v>
      </c>
      <c r="B1562" s="42">
        <v>9</v>
      </c>
      <c r="C1562" s="42" t="s">
        <v>7678</v>
      </c>
      <c r="D1562" s="42" t="s">
        <v>5502</v>
      </c>
      <c r="E1562" s="42">
        <v>12541</v>
      </c>
      <c r="F1562" s="42" t="s">
        <v>5503</v>
      </c>
      <c r="G1562" s="42" t="s">
        <v>5504</v>
      </c>
      <c r="H1562" s="42" t="s">
        <v>5397</v>
      </c>
      <c r="I1562" s="42" t="s">
        <v>49</v>
      </c>
      <c r="J1562" s="42" t="s">
        <v>4983</v>
      </c>
      <c r="K1562" s="42">
        <v>1</v>
      </c>
      <c r="L1562" s="42">
        <v>14563</v>
      </c>
      <c r="M1562" s="81"/>
      <c r="N1562" s="42"/>
      <c r="O1562" s="42"/>
      <c r="P1562" s="42"/>
      <c r="Q1562" s="42"/>
      <c r="R1562" s="42"/>
      <c r="S1562" s="42"/>
      <c r="T1562" s="42"/>
      <c r="U1562" s="42"/>
      <c r="V1562" s="42"/>
      <c r="W1562" s="42"/>
      <c r="X1562" s="42"/>
      <c r="Y1562" s="42"/>
      <c r="Z1562" s="42"/>
      <c r="AA1562" s="42"/>
      <c r="AB1562" s="42"/>
      <c r="AC1562" s="42"/>
      <c r="AD1562" s="42"/>
      <c r="AE1562" s="42"/>
      <c r="AF1562" s="42"/>
      <c r="AG1562" s="42"/>
      <c r="AH1562" s="42"/>
      <c r="AI1562" s="42"/>
      <c r="AJ1562" s="42"/>
      <c r="AK1562" s="82"/>
      <c r="AL1562" s="42"/>
      <c r="AM1562" s="42"/>
      <c r="AN1562" s="42"/>
      <c r="AO1562" s="83"/>
      <c r="AP1562" s="42"/>
      <c r="AQ1562" s="42"/>
      <c r="AR1562" s="42"/>
      <c r="AS1562" s="42"/>
      <c r="AT1562" s="42"/>
      <c r="AU1562" s="42"/>
      <c r="AV1562" s="42"/>
      <c r="AW1562" s="42"/>
      <c r="AX1562" s="42"/>
      <c r="AY1562" s="42"/>
      <c r="AZ1562" s="42"/>
      <c r="BA1562" s="42"/>
      <c r="BB1562" s="42"/>
      <c r="BC1562" s="42"/>
      <c r="BD1562" s="42"/>
      <c r="BE1562" s="42"/>
      <c r="BF1562" s="42"/>
      <c r="BG1562" s="42"/>
      <c r="BH1562" s="42"/>
      <c r="BI1562" s="42"/>
      <c r="BJ1562" s="42"/>
      <c r="BK1562" s="42"/>
      <c r="BL1562" s="42"/>
      <c r="BM1562" s="42"/>
      <c r="BN1562" s="42"/>
      <c r="BO1562" s="42"/>
      <c r="BP1562" s="42"/>
      <c r="BQ1562" s="42"/>
      <c r="BR1562" s="42"/>
      <c r="BS1562" s="42"/>
      <c r="BT1562" s="42"/>
    </row>
    <row r="1563" spans="1:72" ht="14.25" customHeight="1" x14ac:dyDescent="0.2">
      <c r="A1563" s="4" t="s">
        <v>4980</v>
      </c>
      <c r="B1563" s="4">
        <v>9</v>
      </c>
      <c r="C1563" s="9" t="s">
        <v>7678</v>
      </c>
      <c r="D1563" s="8" t="s">
        <v>5505</v>
      </c>
      <c r="E1563" s="4">
        <v>12544</v>
      </c>
      <c r="F1563" s="8" t="s">
        <v>5506</v>
      </c>
      <c r="G1563" s="4" t="s">
        <v>5507</v>
      </c>
      <c r="H1563" s="4" t="s">
        <v>5397</v>
      </c>
      <c r="I1563" s="4" t="s">
        <v>49</v>
      </c>
      <c r="J1563" s="4" t="s">
        <v>4983</v>
      </c>
      <c r="K1563" s="4">
        <v>1</v>
      </c>
      <c r="L1563" s="4">
        <v>14566</v>
      </c>
      <c r="M1563" s="6"/>
      <c r="AK1563" s="7"/>
    </row>
    <row r="1564" spans="1:72" ht="14.25" customHeight="1" x14ac:dyDescent="0.2">
      <c r="B1564" s="4">
        <v>9</v>
      </c>
      <c r="C1564" s="8" t="s">
        <v>7684</v>
      </c>
      <c r="D1564" s="8" t="s">
        <v>5508</v>
      </c>
      <c r="E1564" s="4">
        <v>12545</v>
      </c>
      <c r="F1564" s="8" t="s">
        <v>5509</v>
      </c>
      <c r="G1564" s="4" t="s">
        <v>5510</v>
      </c>
      <c r="H1564" s="4" t="s">
        <v>5511</v>
      </c>
      <c r="I1564" s="4" t="s">
        <v>49</v>
      </c>
      <c r="J1564" s="4" t="s">
        <v>5512</v>
      </c>
      <c r="K1564" s="4">
        <v>1</v>
      </c>
      <c r="L1564" s="4">
        <v>14567</v>
      </c>
      <c r="M1564" s="6"/>
      <c r="AK1564" s="7"/>
    </row>
    <row r="1565" spans="1:72" ht="14.25" customHeight="1" x14ac:dyDescent="0.2">
      <c r="A1565" s="5" t="s">
        <v>5473</v>
      </c>
      <c r="B1565" s="4">
        <v>9</v>
      </c>
      <c r="C1565" s="8" t="s">
        <v>7681</v>
      </c>
      <c r="D1565" s="8" t="s">
        <v>5513</v>
      </c>
      <c r="E1565" s="4">
        <v>12549</v>
      </c>
      <c r="F1565" s="8" t="s">
        <v>5514</v>
      </c>
      <c r="G1565" s="8" t="s">
        <v>5515</v>
      </c>
      <c r="H1565" s="4" t="s">
        <v>5397</v>
      </c>
      <c r="I1565" s="4" t="s">
        <v>49</v>
      </c>
      <c r="J1565" s="4" t="s">
        <v>4983</v>
      </c>
      <c r="K1565" s="4">
        <v>1</v>
      </c>
      <c r="L1565" s="4">
        <v>14571</v>
      </c>
      <c r="M1565" s="6"/>
      <c r="AK1565" s="7"/>
    </row>
    <row r="1566" spans="1:72" ht="14.25" customHeight="1" x14ac:dyDescent="0.2">
      <c r="A1566" s="4" t="s">
        <v>4980</v>
      </c>
      <c r="B1566" s="4">
        <v>9</v>
      </c>
      <c r="C1566" s="9" t="s">
        <v>7678</v>
      </c>
      <c r="D1566" s="8" t="s">
        <v>5516</v>
      </c>
      <c r="E1566" s="4">
        <v>12554</v>
      </c>
      <c r="F1566" s="8" t="s">
        <v>5517</v>
      </c>
      <c r="G1566" s="4" t="s">
        <v>5518</v>
      </c>
      <c r="H1566" s="4" t="s">
        <v>5397</v>
      </c>
      <c r="I1566" s="4" t="s">
        <v>49</v>
      </c>
      <c r="J1566" s="4" t="s">
        <v>4983</v>
      </c>
      <c r="K1566" s="4">
        <v>1</v>
      </c>
      <c r="L1566" s="4">
        <v>14576</v>
      </c>
      <c r="M1566" s="6"/>
      <c r="AK1566" s="7"/>
    </row>
    <row r="1567" spans="1:72" ht="14.25" customHeight="1" x14ac:dyDescent="0.2">
      <c r="A1567" s="5" t="s">
        <v>5473</v>
      </c>
      <c r="B1567" s="4">
        <v>9</v>
      </c>
      <c r="C1567" s="8" t="s">
        <v>7681</v>
      </c>
      <c r="D1567" s="8" t="s">
        <v>5519</v>
      </c>
      <c r="E1567" s="4">
        <v>12556</v>
      </c>
      <c r="F1567" s="8" t="s">
        <v>5520</v>
      </c>
      <c r="G1567" s="8" t="s">
        <v>5521</v>
      </c>
      <c r="H1567" s="4" t="s">
        <v>5397</v>
      </c>
      <c r="I1567" s="4" t="s">
        <v>49</v>
      </c>
      <c r="J1567" s="4" t="s">
        <v>4983</v>
      </c>
      <c r="K1567" s="4">
        <v>1</v>
      </c>
      <c r="L1567" s="4">
        <v>14578</v>
      </c>
      <c r="M1567" s="6"/>
      <c r="AK1567" s="7"/>
    </row>
    <row r="1568" spans="1:72" ht="14.25" customHeight="1" x14ac:dyDescent="0.2">
      <c r="A1568" s="5" t="s">
        <v>5473</v>
      </c>
      <c r="B1568" s="4">
        <v>9</v>
      </c>
      <c r="C1568" s="8" t="s">
        <v>7681</v>
      </c>
      <c r="D1568" s="8" t="s">
        <v>5522</v>
      </c>
      <c r="E1568" s="4">
        <v>12603</v>
      </c>
      <c r="F1568" s="8" t="s">
        <v>5523</v>
      </c>
      <c r="G1568" s="8" t="s">
        <v>5524</v>
      </c>
      <c r="H1568" s="4" t="s">
        <v>5397</v>
      </c>
      <c r="I1568" s="4" t="s">
        <v>49</v>
      </c>
      <c r="J1568" s="4" t="s">
        <v>5402</v>
      </c>
      <c r="K1568" s="4">
        <v>1</v>
      </c>
      <c r="L1568" s="4">
        <v>14625</v>
      </c>
      <c r="M1568" s="6"/>
      <c r="AK1568" s="7"/>
    </row>
    <row r="1569" spans="1:72" ht="14.25" customHeight="1" x14ac:dyDescent="0.2">
      <c r="A1569" s="5" t="s">
        <v>5473</v>
      </c>
      <c r="B1569" s="4">
        <v>9</v>
      </c>
      <c r="C1569" s="8" t="s">
        <v>7681</v>
      </c>
      <c r="D1569" s="8" t="s">
        <v>5525</v>
      </c>
      <c r="E1569" s="4">
        <v>12600</v>
      </c>
      <c r="F1569" s="8" t="s">
        <v>5526</v>
      </c>
      <c r="G1569" s="8" t="s">
        <v>5527</v>
      </c>
      <c r="H1569" s="4" t="s">
        <v>5397</v>
      </c>
      <c r="I1569" s="4" t="s">
        <v>49</v>
      </c>
      <c r="J1569" s="4" t="s">
        <v>5402</v>
      </c>
      <c r="K1569" s="4">
        <v>1</v>
      </c>
      <c r="L1569" s="4">
        <v>14622</v>
      </c>
      <c r="M1569" s="6"/>
      <c r="AK1569" s="7"/>
    </row>
    <row r="1570" spans="1:72" ht="14.25" customHeight="1" x14ac:dyDescent="0.2">
      <c r="A1570" s="4" t="s">
        <v>4980</v>
      </c>
      <c r="B1570" s="4">
        <v>9</v>
      </c>
      <c r="C1570" s="9" t="s">
        <v>7678</v>
      </c>
      <c r="D1570" s="8" t="s">
        <v>5528</v>
      </c>
      <c r="E1570" s="4">
        <v>12557</v>
      </c>
      <c r="F1570" s="8" t="s">
        <v>5529</v>
      </c>
      <c r="G1570" s="4" t="s">
        <v>5530</v>
      </c>
      <c r="H1570" s="4" t="s">
        <v>5397</v>
      </c>
      <c r="I1570" s="4" t="s">
        <v>49</v>
      </c>
      <c r="J1570" s="4" t="s">
        <v>4983</v>
      </c>
      <c r="K1570" s="4">
        <v>1</v>
      </c>
      <c r="L1570" s="4">
        <v>14579</v>
      </c>
      <c r="M1570" s="6"/>
      <c r="AK1570" s="7"/>
      <c r="AO1570" s="25"/>
    </row>
    <row r="1571" spans="1:72" ht="14.25" customHeight="1" x14ac:dyDescent="0.2">
      <c r="A1571" s="5" t="s">
        <v>5473</v>
      </c>
      <c r="B1571" s="4">
        <v>9</v>
      </c>
      <c r="C1571" s="8" t="s">
        <v>7681</v>
      </c>
      <c r="D1571" s="8" t="s">
        <v>5531</v>
      </c>
      <c r="E1571" s="4">
        <v>12558</v>
      </c>
      <c r="F1571" s="8" t="s">
        <v>5532</v>
      </c>
      <c r="G1571" s="8" t="s">
        <v>5533</v>
      </c>
      <c r="H1571" s="4" t="s">
        <v>5397</v>
      </c>
      <c r="I1571" s="4" t="s">
        <v>49</v>
      </c>
      <c r="J1571" s="4" t="s">
        <v>4983</v>
      </c>
      <c r="K1571" s="4">
        <v>1</v>
      </c>
      <c r="L1571" s="4">
        <v>14580</v>
      </c>
      <c r="M1571" s="6"/>
      <c r="AK1571" s="7"/>
      <c r="AO1571" s="25"/>
    </row>
    <row r="1572" spans="1:72" ht="14.25" customHeight="1" x14ac:dyDescent="0.2">
      <c r="A1572" s="4" t="s">
        <v>5043</v>
      </c>
      <c r="B1572" s="4">
        <v>9</v>
      </c>
      <c r="C1572" s="8" t="s">
        <v>7681</v>
      </c>
      <c r="D1572" s="8" t="s">
        <v>5534</v>
      </c>
      <c r="E1572" s="4">
        <v>12602</v>
      </c>
      <c r="F1572" s="8" t="s">
        <v>5535</v>
      </c>
      <c r="G1572" s="8" t="s">
        <v>5536</v>
      </c>
      <c r="H1572" s="4" t="s">
        <v>5397</v>
      </c>
      <c r="I1572" s="4" t="s">
        <v>49</v>
      </c>
      <c r="J1572" s="4" t="s">
        <v>5402</v>
      </c>
      <c r="K1572" s="4">
        <v>1</v>
      </c>
      <c r="L1572" s="4">
        <v>14624</v>
      </c>
      <c r="M1572" s="6"/>
      <c r="AK1572" s="7"/>
      <c r="AO1572" s="25"/>
    </row>
    <row r="1573" spans="1:72" ht="14.25" customHeight="1" x14ac:dyDescent="0.2">
      <c r="A1573" s="4" t="s">
        <v>5537</v>
      </c>
      <c r="B1573" s="4">
        <v>9</v>
      </c>
      <c r="C1573" s="8" t="s">
        <v>7684</v>
      </c>
      <c r="D1573" s="8" t="s">
        <v>5538</v>
      </c>
      <c r="E1573" s="4">
        <v>12559</v>
      </c>
      <c r="F1573" s="8" t="s">
        <v>5539</v>
      </c>
      <c r="G1573" s="4" t="s">
        <v>5540</v>
      </c>
      <c r="H1573" s="4" t="s">
        <v>5397</v>
      </c>
      <c r="I1573" s="4" t="s">
        <v>49</v>
      </c>
      <c r="J1573" s="4" t="s">
        <v>5512</v>
      </c>
      <c r="K1573" s="4">
        <v>1</v>
      </c>
      <c r="L1573" s="4">
        <v>14581</v>
      </c>
      <c r="M1573" s="6"/>
      <c r="AK1573" s="7"/>
    </row>
    <row r="1574" spans="1:72" ht="14.25" customHeight="1" x14ac:dyDescent="0.2">
      <c r="A1574" s="4" t="s">
        <v>4980</v>
      </c>
      <c r="B1574" s="4">
        <v>9</v>
      </c>
      <c r="C1574" s="9" t="s">
        <v>7678</v>
      </c>
      <c r="D1574" s="8" t="s">
        <v>5541</v>
      </c>
      <c r="E1574" s="4">
        <v>12560</v>
      </c>
      <c r="F1574" s="8" t="s">
        <v>5542</v>
      </c>
      <c r="G1574" s="4" t="s">
        <v>5543</v>
      </c>
      <c r="H1574" s="4" t="s">
        <v>5397</v>
      </c>
      <c r="I1574" s="4" t="s">
        <v>49</v>
      </c>
      <c r="J1574" s="4" t="s">
        <v>4983</v>
      </c>
      <c r="K1574" s="4">
        <v>1</v>
      </c>
      <c r="L1574" s="4">
        <v>14582</v>
      </c>
      <c r="M1574" s="6"/>
      <c r="AK1574" s="7"/>
    </row>
    <row r="1575" spans="1:72" ht="14.25" customHeight="1" x14ac:dyDescent="0.2">
      <c r="A1575" s="5" t="s">
        <v>5544</v>
      </c>
      <c r="B1575" s="4">
        <v>9</v>
      </c>
      <c r="C1575" s="8" t="s">
        <v>7681</v>
      </c>
      <c r="D1575" s="8" t="s">
        <v>5545</v>
      </c>
      <c r="E1575" s="4">
        <v>12562</v>
      </c>
      <c r="F1575" s="8" t="s">
        <v>5546</v>
      </c>
      <c r="G1575" s="8" t="s">
        <v>5547</v>
      </c>
      <c r="H1575" s="4" t="s">
        <v>5397</v>
      </c>
      <c r="I1575" s="4" t="s">
        <v>49</v>
      </c>
      <c r="J1575" s="4" t="s">
        <v>4983</v>
      </c>
      <c r="K1575" s="4">
        <v>1</v>
      </c>
      <c r="L1575" s="4">
        <v>14584</v>
      </c>
      <c r="M1575" s="6"/>
      <c r="AK1575" s="7"/>
    </row>
    <row r="1576" spans="1:72" ht="14.25" customHeight="1" x14ac:dyDescent="0.2">
      <c r="A1576" s="4" t="s">
        <v>4980</v>
      </c>
      <c r="B1576" s="4">
        <v>9</v>
      </c>
      <c r="C1576" s="9" t="s">
        <v>7678</v>
      </c>
      <c r="D1576" s="8" t="s">
        <v>5548</v>
      </c>
      <c r="E1576" s="4">
        <v>12604</v>
      </c>
      <c r="F1576" s="4" t="s">
        <v>5549</v>
      </c>
      <c r="G1576" s="4" t="s">
        <v>5550</v>
      </c>
      <c r="H1576" s="4" t="s">
        <v>5397</v>
      </c>
      <c r="I1576" s="4" t="s">
        <v>49</v>
      </c>
      <c r="J1576" s="4" t="s">
        <v>5402</v>
      </c>
      <c r="K1576" s="4">
        <v>1</v>
      </c>
      <c r="L1576" s="4">
        <v>14626</v>
      </c>
      <c r="M1576" s="6"/>
      <c r="AK1576" s="7"/>
    </row>
    <row r="1577" spans="1:72" ht="14.25" customHeight="1" x14ac:dyDescent="0.2">
      <c r="A1577" s="4" t="s">
        <v>4980</v>
      </c>
      <c r="B1577" s="4">
        <v>9</v>
      </c>
      <c r="C1577" s="9" t="s">
        <v>7678</v>
      </c>
      <c r="D1577" s="8" t="s">
        <v>5551</v>
      </c>
      <c r="E1577" s="4">
        <v>12605</v>
      </c>
      <c r="F1577" s="4" t="s">
        <v>5552</v>
      </c>
      <c r="G1577" s="4" t="s">
        <v>5553</v>
      </c>
      <c r="H1577" s="4" t="s">
        <v>5397</v>
      </c>
      <c r="I1577" s="4" t="s">
        <v>49</v>
      </c>
      <c r="J1577" s="4" t="s">
        <v>5402</v>
      </c>
      <c r="K1577" s="4">
        <v>1</v>
      </c>
      <c r="L1577" s="4">
        <v>14627</v>
      </c>
      <c r="M1577" s="6"/>
      <c r="AK1577" s="7"/>
    </row>
    <row r="1578" spans="1:72" ht="14.25" customHeight="1" x14ac:dyDescent="0.2">
      <c r="A1578" s="4" t="s">
        <v>4980</v>
      </c>
      <c r="B1578" s="4">
        <v>9</v>
      </c>
      <c r="C1578" s="9" t="s">
        <v>7678</v>
      </c>
      <c r="D1578" s="8" t="s">
        <v>5554</v>
      </c>
      <c r="E1578" s="4">
        <v>12564</v>
      </c>
      <c r="F1578" s="4" t="s">
        <v>5555</v>
      </c>
      <c r="G1578" s="4" t="s">
        <v>5556</v>
      </c>
      <c r="H1578" s="4" t="s">
        <v>5397</v>
      </c>
      <c r="I1578" s="4" t="s">
        <v>49</v>
      </c>
      <c r="J1578" s="4" t="s">
        <v>4983</v>
      </c>
      <c r="K1578" s="4">
        <v>1</v>
      </c>
      <c r="L1578" s="4">
        <v>14586</v>
      </c>
      <c r="M1578" s="6"/>
      <c r="AK1578" s="7"/>
    </row>
    <row r="1579" spans="1:72" ht="14.25" customHeight="1" x14ac:dyDescent="0.2">
      <c r="A1579" s="4" t="s">
        <v>4980</v>
      </c>
      <c r="B1579" s="4">
        <v>9</v>
      </c>
      <c r="C1579" s="9" t="s">
        <v>7678</v>
      </c>
      <c r="D1579" s="8" t="s">
        <v>5557</v>
      </c>
      <c r="E1579" s="4">
        <v>12565</v>
      </c>
      <c r="F1579" s="4" t="s">
        <v>5558</v>
      </c>
      <c r="G1579" s="4" t="s">
        <v>5559</v>
      </c>
      <c r="H1579" s="4" t="s">
        <v>5397</v>
      </c>
      <c r="I1579" s="4" t="s">
        <v>49</v>
      </c>
      <c r="J1579" s="4" t="s">
        <v>4983</v>
      </c>
      <c r="K1579" s="4">
        <v>1</v>
      </c>
      <c r="L1579" s="4">
        <v>14587</v>
      </c>
      <c r="M1579" s="6"/>
      <c r="AK1579" s="7"/>
    </row>
    <row r="1580" spans="1:72" ht="14.25" customHeight="1" x14ac:dyDescent="0.2">
      <c r="A1580" s="4" t="s">
        <v>4980</v>
      </c>
      <c r="B1580" s="4">
        <v>9</v>
      </c>
      <c r="C1580" s="9" t="s">
        <v>7678</v>
      </c>
      <c r="D1580" s="8" t="s">
        <v>5560</v>
      </c>
      <c r="E1580" s="4">
        <v>12566</v>
      </c>
      <c r="F1580" s="9" t="s">
        <v>5561</v>
      </c>
      <c r="G1580" s="4" t="s">
        <v>5562</v>
      </c>
      <c r="H1580" s="4" t="s">
        <v>5397</v>
      </c>
      <c r="I1580" s="4" t="s">
        <v>49</v>
      </c>
      <c r="J1580" s="4" t="s">
        <v>4983</v>
      </c>
      <c r="K1580" s="4">
        <v>1</v>
      </c>
      <c r="L1580" s="4">
        <v>14588</v>
      </c>
      <c r="M1580" s="6"/>
      <c r="AK1580" s="7"/>
    </row>
    <row r="1581" spans="1:72" ht="14.25" customHeight="1" x14ac:dyDescent="0.2">
      <c r="A1581" s="4" t="s">
        <v>4980</v>
      </c>
      <c r="B1581" s="4">
        <v>9</v>
      </c>
      <c r="C1581" s="9" t="s">
        <v>7678</v>
      </c>
      <c r="D1581" s="8" t="s">
        <v>5563</v>
      </c>
      <c r="E1581" s="4">
        <v>12567</v>
      </c>
      <c r="F1581" s="9" t="s">
        <v>5564</v>
      </c>
      <c r="G1581" s="4" t="s">
        <v>5565</v>
      </c>
      <c r="H1581" s="4" t="s">
        <v>5397</v>
      </c>
      <c r="I1581" s="4" t="s">
        <v>49</v>
      </c>
      <c r="J1581" s="4" t="s">
        <v>4983</v>
      </c>
      <c r="K1581" s="4">
        <v>1</v>
      </c>
      <c r="L1581" s="4">
        <v>14589</v>
      </c>
      <c r="M1581" s="6"/>
      <c r="AK1581" s="7"/>
    </row>
    <row r="1582" spans="1:72" ht="14.25" customHeight="1" x14ac:dyDescent="0.2">
      <c r="A1582" s="4" t="s">
        <v>4980</v>
      </c>
      <c r="B1582" s="4">
        <v>9</v>
      </c>
      <c r="C1582" s="9" t="s">
        <v>7678</v>
      </c>
      <c r="D1582" s="8" t="s">
        <v>5566</v>
      </c>
      <c r="E1582" s="4">
        <v>12606</v>
      </c>
      <c r="F1582" s="9" t="s">
        <v>5567</v>
      </c>
      <c r="G1582" s="4" t="s">
        <v>5568</v>
      </c>
      <c r="H1582" s="4" t="s">
        <v>5397</v>
      </c>
      <c r="I1582" s="4" t="s">
        <v>49</v>
      </c>
      <c r="J1582" s="4" t="s">
        <v>5402</v>
      </c>
      <c r="K1582" s="4">
        <v>1</v>
      </c>
      <c r="L1582" s="4">
        <v>14628</v>
      </c>
      <c r="M1582" s="6"/>
      <c r="AK1582" s="7"/>
    </row>
    <row r="1583" spans="1:72" ht="14.25" customHeight="1" x14ac:dyDescent="0.2">
      <c r="A1583" s="42" t="s">
        <v>5569</v>
      </c>
      <c r="B1583" s="42">
        <v>9</v>
      </c>
      <c r="C1583" s="42" t="s">
        <v>7678</v>
      </c>
      <c r="D1583" s="42" t="s">
        <v>5570</v>
      </c>
      <c r="E1583" s="42">
        <v>12568</v>
      </c>
      <c r="F1583" s="42" t="s">
        <v>5571</v>
      </c>
      <c r="G1583" s="42" t="s">
        <v>5572</v>
      </c>
      <c r="H1583" s="42" t="s">
        <v>5397</v>
      </c>
      <c r="I1583" s="42" t="s">
        <v>49</v>
      </c>
      <c r="J1583" s="42" t="s">
        <v>4983</v>
      </c>
      <c r="K1583" s="42">
        <v>1</v>
      </c>
      <c r="L1583" s="42">
        <v>14590</v>
      </c>
      <c r="M1583" s="81"/>
      <c r="N1583" s="42"/>
      <c r="O1583" s="42"/>
      <c r="P1583" s="42"/>
      <c r="Q1583" s="42"/>
      <c r="R1583" s="42"/>
      <c r="S1583" s="42"/>
      <c r="T1583" s="42"/>
      <c r="U1583" s="42"/>
      <c r="V1583" s="42"/>
      <c r="W1583" s="42"/>
      <c r="X1583" s="42"/>
      <c r="Y1583" s="42"/>
      <c r="Z1583" s="42"/>
      <c r="AA1583" s="42"/>
      <c r="AB1583" s="42"/>
      <c r="AC1583" s="42"/>
      <c r="AD1583" s="42"/>
      <c r="AE1583" s="42"/>
      <c r="AF1583" s="42"/>
      <c r="AG1583" s="42"/>
      <c r="AH1583" s="42"/>
      <c r="AI1583" s="42"/>
      <c r="AJ1583" s="42"/>
      <c r="AK1583" s="82"/>
      <c r="AL1583" s="42"/>
      <c r="AM1583" s="42"/>
      <c r="AN1583" s="42"/>
      <c r="AO1583" s="42"/>
      <c r="AP1583" s="42"/>
      <c r="AQ1583" s="42"/>
      <c r="AR1583" s="42"/>
      <c r="AS1583" s="42"/>
      <c r="AT1583" s="42"/>
      <c r="AU1583" s="42"/>
      <c r="AV1583" s="42"/>
      <c r="AW1583" s="42"/>
      <c r="AX1583" s="42"/>
      <c r="AY1583" s="42"/>
      <c r="AZ1583" s="42"/>
      <c r="BA1583" s="42"/>
      <c r="BB1583" s="42"/>
      <c r="BC1583" s="42"/>
      <c r="BD1583" s="42"/>
      <c r="BE1583" s="42"/>
      <c r="BF1583" s="42"/>
      <c r="BG1583" s="42"/>
      <c r="BH1583" s="42"/>
      <c r="BI1583" s="42"/>
      <c r="BJ1583" s="42"/>
      <c r="BK1583" s="42"/>
      <c r="BL1583" s="42"/>
      <c r="BM1583" s="42"/>
      <c r="BN1583" s="42"/>
      <c r="BO1583" s="42"/>
      <c r="BP1583" s="42"/>
      <c r="BQ1583" s="42"/>
      <c r="BR1583" s="42"/>
      <c r="BS1583" s="42"/>
      <c r="BT1583" s="42"/>
    </row>
    <row r="1584" spans="1:72" ht="14.25" customHeight="1" x14ac:dyDescent="0.2">
      <c r="A1584" s="4" t="s">
        <v>4980</v>
      </c>
      <c r="B1584" s="4">
        <v>9</v>
      </c>
      <c r="C1584" s="9" t="s">
        <v>7678</v>
      </c>
      <c r="D1584" s="8" t="s">
        <v>5573</v>
      </c>
      <c r="E1584" s="4">
        <v>12569</v>
      </c>
      <c r="F1584" s="4" t="s">
        <v>5574</v>
      </c>
      <c r="G1584" s="4" t="s">
        <v>5575</v>
      </c>
      <c r="H1584" s="4" t="s">
        <v>5576</v>
      </c>
      <c r="I1584" s="4" t="s">
        <v>49</v>
      </c>
      <c r="J1584" s="4" t="s">
        <v>4983</v>
      </c>
      <c r="K1584" s="4">
        <v>1</v>
      </c>
      <c r="L1584" s="4">
        <v>14591</v>
      </c>
      <c r="M1584" s="6"/>
      <c r="AK1584" s="7"/>
    </row>
    <row r="1585" spans="1:41" ht="14.25" customHeight="1" x14ac:dyDescent="0.2">
      <c r="B1585" s="4">
        <v>9</v>
      </c>
      <c r="C1585" s="9" t="s">
        <v>7678</v>
      </c>
      <c r="D1585" s="8" t="s">
        <v>5577</v>
      </c>
      <c r="E1585" s="4">
        <v>12570</v>
      </c>
      <c r="F1585" s="8" t="s">
        <v>5578</v>
      </c>
      <c r="G1585" s="4" t="s">
        <v>5579</v>
      </c>
      <c r="H1585" s="4" t="s">
        <v>5397</v>
      </c>
      <c r="I1585" s="4" t="s">
        <v>49</v>
      </c>
      <c r="J1585" s="4" t="s">
        <v>4983</v>
      </c>
      <c r="K1585" s="4">
        <v>1</v>
      </c>
      <c r="L1585" s="4">
        <v>14592</v>
      </c>
      <c r="M1585" s="6"/>
      <c r="AK1585" s="7"/>
    </row>
    <row r="1586" spans="1:41" ht="14.25" customHeight="1" x14ac:dyDescent="0.2">
      <c r="A1586" s="4" t="s">
        <v>5043</v>
      </c>
      <c r="B1586" s="4">
        <v>9</v>
      </c>
      <c r="C1586" s="8" t="s">
        <v>7681</v>
      </c>
      <c r="D1586" s="8" t="s">
        <v>5580</v>
      </c>
      <c r="E1586" s="4">
        <v>12607</v>
      </c>
      <c r="F1586" s="8" t="s">
        <v>5581</v>
      </c>
      <c r="G1586" s="8" t="s">
        <v>5582</v>
      </c>
      <c r="H1586" s="4" t="s">
        <v>5397</v>
      </c>
      <c r="I1586" s="4" t="s">
        <v>49</v>
      </c>
      <c r="J1586" s="4" t="s">
        <v>5402</v>
      </c>
      <c r="K1586" s="4">
        <v>1</v>
      </c>
      <c r="L1586" s="4">
        <v>14629</v>
      </c>
      <c r="M1586" s="6"/>
      <c r="AK1586" s="7"/>
    </row>
    <row r="1587" spans="1:41" ht="14.25" customHeight="1" x14ac:dyDescent="0.2">
      <c r="A1587" s="4" t="s">
        <v>5443</v>
      </c>
      <c r="B1587" s="4">
        <v>9</v>
      </c>
      <c r="C1587" s="4" t="s">
        <v>7681</v>
      </c>
      <c r="D1587" s="4" t="s">
        <v>5583</v>
      </c>
      <c r="E1587" s="4">
        <v>12563</v>
      </c>
      <c r="F1587" s="4" t="s">
        <v>5584</v>
      </c>
      <c r="G1587" s="4" t="s">
        <v>5585</v>
      </c>
      <c r="H1587" s="4" t="s">
        <v>5397</v>
      </c>
      <c r="I1587" s="4" t="s">
        <v>49</v>
      </c>
      <c r="J1587" s="4" t="s">
        <v>4983</v>
      </c>
      <c r="K1587" s="4">
        <v>1</v>
      </c>
      <c r="L1587" s="4">
        <v>14585</v>
      </c>
      <c r="M1587" s="6"/>
      <c r="AK1587" s="7"/>
    </row>
    <row r="1588" spans="1:41" ht="14.25" customHeight="1" x14ac:dyDescent="0.2">
      <c r="A1588" s="4" t="s">
        <v>4980</v>
      </c>
      <c r="B1588" s="4">
        <v>9</v>
      </c>
      <c r="C1588" s="9" t="s">
        <v>7678</v>
      </c>
      <c r="D1588" s="8" t="s">
        <v>5586</v>
      </c>
      <c r="E1588" s="4">
        <v>12571</v>
      </c>
      <c r="F1588" s="4" t="s">
        <v>5587</v>
      </c>
      <c r="G1588" s="4" t="s">
        <v>5588</v>
      </c>
      <c r="H1588" s="4" t="s">
        <v>5397</v>
      </c>
      <c r="I1588" s="4" t="s">
        <v>49</v>
      </c>
      <c r="J1588" s="4" t="s">
        <v>5512</v>
      </c>
      <c r="K1588" s="4">
        <v>1</v>
      </c>
      <c r="L1588" s="4">
        <v>14593</v>
      </c>
      <c r="M1588" s="6"/>
      <c r="AK1588" s="7"/>
    </row>
    <row r="1589" spans="1:41" ht="14.25" customHeight="1" x14ac:dyDescent="0.2">
      <c r="A1589" s="4" t="s">
        <v>5589</v>
      </c>
      <c r="B1589" s="4">
        <v>9</v>
      </c>
      <c r="C1589" s="4" t="s">
        <v>7678</v>
      </c>
      <c r="D1589" s="4" t="s">
        <v>5590</v>
      </c>
      <c r="E1589" s="4">
        <v>12572</v>
      </c>
      <c r="F1589" s="4" t="s">
        <v>5591</v>
      </c>
      <c r="G1589" s="4" t="s">
        <v>5592</v>
      </c>
      <c r="H1589" s="4" t="s">
        <v>5397</v>
      </c>
      <c r="I1589" s="4" t="s">
        <v>49</v>
      </c>
      <c r="J1589" s="4" t="s">
        <v>4983</v>
      </c>
      <c r="K1589" s="4">
        <v>1</v>
      </c>
      <c r="L1589" s="4">
        <v>14594</v>
      </c>
      <c r="M1589" s="6"/>
      <c r="AK1589" s="7"/>
    </row>
    <row r="1590" spans="1:41" ht="14.25" customHeight="1" x14ac:dyDescent="0.2">
      <c r="A1590" s="4" t="s">
        <v>4980</v>
      </c>
      <c r="B1590" s="4">
        <v>9</v>
      </c>
      <c r="C1590" s="9" t="s">
        <v>7678</v>
      </c>
      <c r="D1590" s="8" t="s">
        <v>5593</v>
      </c>
      <c r="E1590" s="4">
        <v>12573</v>
      </c>
      <c r="F1590" s="8" t="s">
        <v>5594</v>
      </c>
      <c r="G1590" s="4" t="s">
        <v>5595</v>
      </c>
      <c r="H1590" s="4" t="s">
        <v>5397</v>
      </c>
      <c r="I1590" s="4" t="s">
        <v>49</v>
      </c>
      <c r="J1590" s="4" t="s">
        <v>4983</v>
      </c>
      <c r="K1590" s="4">
        <v>1</v>
      </c>
      <c r="L1590" s="4">
        <v>14595</v>
      </c>
      <c r="M1590" s="6"/>
      <c r="AK1590" s="7"/>
    </row>
    <row r="1591" spans="1:41" ht="14.25" customHeight="1" x14ac:dyDescent="0.2">
      <c r="A1591" s="4" t="s">
        <v>4980</v>
      </c>
      <c r="B1591" s="4">
        <v>9</v>
      </c>
      <c r="C1591" s="9" t="s">
        <v>7678</v>
      </c>
      <c r="D1591" s="8" t="s">
        <v>5596</v>
      </c>
      <c r="E1591" s="4">
        <v>12574</v>
      </c>
      <c r="F1591" s="8" t="s">
        <v>5597</v>
      </c>
      <c r="G1591" s="4" t="s">
        <v>5598</v>
      </c>
      <c r="H1591" s="4" t="s">
        <v>5397</v>
      </c>
      <c r="I1591" s="4" t="s">
        <v>49</v>
      </c>
      <c r="J1591" s="4" t="s">
        <v>4983</v>
      </c>
      <c r="K1591" s="4">
        <v>1</v>
      </c>
      <c r="L1591" s="4">
        <v>14596</v>
      </c>
      <c r="M1591" s="6"/>
      <c r="AK1591" s="7"/>
    </row>
    <row r="1592" spans="1:41" ht="14.25" customHeight="1" x14ac:dyDescent="0.2">
      <c r="A1592" s="4" t="s">
        <v>4980</v>
      </c>
      <c r="B1592" s="4">
        <v>9</v>
      </c>
      <c r="C1592" s="9" t="s">
        <v>7678</v>
      </c>
      <c r="D1592" s="8" t="s">
        <v>5599</v>
      </c>
      <c r="E1592" s="4">
        <v>12577</v>
      </c>
      <c r="F1592" s="8" t="s">
        <v>5600</v>
      </c>
      <c r="G1592" s="4" t="s">
        <v>5601</v>
      </c>
      <c r="H1592" s="4" t="s">
        <v>5397</v>
      </c>
      <c r="I1592" s="4" t="s">
        <v>49</v>
      </c>
      <c r="J1592" s="4" t="s">
        <v>4983</v>
      </c>
      <c r="K1592" s="4">
        <v>1</v>
      </c>
      <c r="L1592" s="4">
        <v>14599</v>
      </c>
      <c r="M1592" s="6"/>
      <c r="AK1592" s="7"/>
    </row>
    <row r="1593" spans="1:41" ht="14.25" customHeight="1" x14ac:dyDescent="0.2">
      <c r="A1593" s="4" t="s">
        <v>4980</v>
      </c>
      <c r="B1593" s="4">
        <v>9</v>
      </c>
      <c r="C1593" s="9" t="s">
        <v>7678</v>
      </c>
      <c r="D1593" s="8" t="s">
        <v>5602</v>
      </c>
      <c r="E1593" s="4">
        <v>12578</v>
      </c>
      <c r="F1593" s="8" t="s">
        <v>5603</v>
      </c>
      <c r="G1593" s="4" t="s">
        <v>5604</v>
      </c>
      <c r="H1593" s="4" t="s">
        <v>5397</v>
      </c>
      <c r="I1593" s="4" t="s">
        <v>49</v>
      </c>
      <c r="J1593" s="4" t="s">
        <v>4983</v>
      </c>
      <c r="K1593" s="4">
        <v>1</v>
      </c>
      <c r="L1593" s="4">
        <v>14600</v>
      </c>
      <c r="M1593" s="6"/>
      <c r="AK1593" s="7"/>
    </row>
    <row r="1594" spans="1:41" ht="14.25" customHeight="1" x14ac:dyDescent="0.2">
      <c r="A1594" s="4" t="s">
        <v>4980</v>
      </c>
      <c r="B1594" s="4">
        <v>9</v>
      </c>
      <c r="C1594" s="9" t="s">
        <v>7678</v>
      </c>
      <c r="D1594" s="8" t="s">
        <v>5605</v>
      </c>
      <c r="E1594" s="4">
        <v>12579</v>
      </c>
      <c r="F1594" s="8" t="s">
        <v>5606</v>
      </c>
      <c r="G1594" s="4" t="s">
        <v>5607</v>
      </c>
      <c r="H1594" s="4" t="s">
        <v>5397</v>
      </c>
      <c r="I1594" s="4" t="s">
        <v>49</v>
      </c>
      <c r="J1594" s="4" t="s">
        <v>4983</v>
      </c>
      <c r="K1594" s="4">
        <v>1</v>
      </c>
      <c r="L1594" s="4">
        <v>14601</v>
      </c>
      <c r="M1594" s="6"/>
      <c r="AK1594" s="7"/>
    </row>
    <row r="1595" spans="1:41" ht="14.25" customHeight="1" x14ac:dyDescent="0.2">
      <c r="A1595" s="4" t="s">
        <v>4980</v>
      </c>
      <c r="B1595" s="4">
        <v>9</v>
      </c>
      <c r="C1595" s="9" t="s">
        <v>7678</v>
      </c>
      <c r="D1595" s="8" t="s">
        <v>5608</v>
      </c>
      <c r="E1595" s="4">
        <v>12581</v>
      </c>
      <c r="F1595" s="8" t="s">
        <v>5609</v>
      </c>
      <c r="G1595" s="4" t="s">
        <v>5610</v>
      </c>
      <c r="H1595" s="4" t="s">
        <v>5611</v>
      </c>
      <c r="I1595" s="4" t="s">
        <v>49</v>
      </c>
      <c r="J1595" s="4" t="s">
        <v>4983</v>
      </c>
      <c r="K1595" s="4">
        <v>1</v>
      </c>
      <c r="L1595" s="4">
        <v>14603</v>
      </c>
      <c r="M1595" s="6"/>
      <c r="AK1595" s="7"/>
      <c r="AO1595" s="25"/>
    </row>
    <row r="1596" spans="1:41" ht="14.25" customHeight="1" x14ac:dyDescent="0.2">
      <c r="A1596" s="4" t="s">
        <v>4980</v>
      </c>
      <c r="B1596" s="4">
        <v>9</v>
      </c>
      <c r="C1596" s="9" t="s">
        <v>7678</v>
      </c>
      <c r="D1596" s="8" t="s">
        <v>5612</v>
      </c>
      <c r="E1596" s="4">
        <v>12584</v>
      </c>
      <c r="F1596" s="8" t="s">
        <v>5613</v>
      </c>
      <c r="G1596" s="4" t="s">
        <v>5614</v>
      </c>
      <c r="H1596" s="4" t="s">
        <v>5397</v>
      </c>
      <c r="I1596" s="4" t="s">
        <v>49</v>
      </c>
      <c r="J1596" s="4" t="s">
        <v>4983</v>
      </c>
      <c r="K1596" s="4">
        <v>1</v>
      </c>
      <c r="L1596" s="4">
        <v>14606</v>
      </c>
      <c r="M1596" s="6"/>
      <c r="AK1596" s="7"/>
      <c r="AO1596" s="25"/>
    </row>
    <row r="1597" spans="1:41" ht="14.25" customHeight="1" x14ac:dyDescent="0.2">
      <c r="A1597" s="4" t="s">
        <v>4980</v>
      </c>
      <c r="B1597" s="4">
        <v>9</v>
      </c>
      <c r="C1597" s="9" t="s">
        <v>7678</v>
      </c>
      <c r="D1597" s="8" t="s">
        <v>5615</v>
      </c>
      <c r="E1597" s="4">
        <v>12585</v>
      </c>
      <c r="F1597" s="8" t="s">
        <v>5616</v>
      </c>
      <c r="G1597" s="4" t="s">
        <v>5617</v>
      </c>
      <c r="H1597" s="4" t="s">
        <v>5397</v>
      </c>
      <c r="I1597" s="4" t="s">
        <v>49</v>
      </c>
      <c r="J1597" s="4" t="s">
        <v>4983</v>
      </c>
      <c r="K1597" s="4">
        <v>1</v>
      </c>
      <c r="L1597" s="4">
        <v>14607</v>
      </c>
      <c r="M1597" s="6"/>
      <c r="AK1597" s="7"/>
    </row>
    <row r="1598" spans="1:41" ht="14.25" customHeight="1" x14ac:dyDescent="0.2">
      <c r="A1598" s="4" t="s">
        <v>4980</v>
      </c>
      <c r="B1598" s="4">
        <v>9</v>
      </c>
      <c r="C1598" s="9" t="s">
        <v>7678</v>
      </c>
      <c r="D1598" s="8" t="s">
        <v>5618</v>
      </c>
      <c r="E1598" s="4">
        <v>12586</v>
      </c>
      <c r="F1598" s="8" t="s">
        <v>5619</v>
      </c>
      <c r="G1598" s="4" t="s">
        <v>5620</v>
      </c>
      <c r="H1598" s="4" t="s">
        <v>5397</v>
      </c>
      <c r="I1598" s="4" t="s">
        <v>49</v>
      </c>
      <c r="J1598" s="4" t="s">
        <v>4983</v>
      </c>
      <c r="K1598" s="4">
        <v>1</v>
      </c>
      <c r="L1598" s="4">
        <v>14608</v>
      </c>
      <c r="M1598" s="6"/>
      <c r="AK1598" s="7"/>
    </row>
    <row r="1599" spans="1:41" ht="14.25" customHeight="1" x14ac:dyDescent="0.2">
      <c r="A1599" s="4" t="s">
        <v>4980</v>
      </c>
      <c r="B1599" s="4">
        <v>9</v>
      </c>
      <c r="C1599" s="9" t="s">
        <v>7678</v>
      </c>
      <c r="D1599" s="8" t="s">
        <v>5621</v>
      </c>
      <c r="E1599" s="4">
        <v>12587</v>
      </c>
      <c r="F1599" s="8" t="s">
        <v>5622</v>
      </c>
      <c r="G1599" s="4" t="s">
        <v>5623</v>
      </c>
      <c r="H1599" s="4" t="s">
        <v>5397</v>
      </c>
      <c r="I1599" s="4" t="s">
        <v>49</v>
      </c>
      <c r="J1599" s="4" t="s">
        <v>4983</v>
      </c>
      <c r="K1599" s="4">
        <v>1</v>
      </c>
      <c r="L1599" s="4">
        <v>14609</v>
      </c>
      <c r="M1599" s="6"/>
      <c r="AK1599" s="7"/>
      <c r="AO1599" s="25"/>
    </row>
    <row r="1600" spans="1:41" ht="14.25" customHeight="1" x14ac:dyDescent="0.2">
      <c r="A1600" s="4" t="s">
        <v>4980</v>
      </c>
      <c r="B1600" s="4">
        <v>9</v>
      </c>
      <c r="C1600" s="9" t="s">
        <v>7678</v>
      </c>
      <c r="D1600" s="8" t="s">
        <v>5624</v>
      </c>
      <c r="E1600" s="4">
        <v>12588</v>
      </c>
      <c r="F1600" s="8" t="s">
        <v>5625</v>
      </c>
      <c r="G1600" s="4" t="s">
        <v>5626</v>
      </c>
      <c r="H1600" s="4" t="s">
        <v>5397</v>
      </c>
      <c r="I1600" s="4" t="s">
        <v>49</v>
      </c>
      <c r="J1600" s="4" t="s">
        <v>4983</v>
      </c>
      <c r="K1600" s="4">
        <v>1</v>
      </c>
      <c r="L1600" s="4">
        <v>14610</v>
      </c>
      <c r="M1600" s="6"/>
      <c r="AK1600" s="7"/>
    </row>
    <row r="1601" spans="1:41" ht="14.25" customHeight="1" x14ac:dyDescent="0.2">
      <c r="A1601" s="4" t="s">
        <v>5043</v>
      </c>
      <c r="B1601" s="4">
        <v>9</v>
      </c>
      <c r="C1601" s="8" t="s">
        <v>7681</v>
      </c>
      <c r="D1601" s="8" t="s">
        <v>5627</v>
      </c>
      <c r="E1601" s="4">
        <v>12583</v>
      </c>
      <c r="F1601" s="8" t="s">
        <v>5628</v>
      </c>
      <c r="G1601" s="4" t="s">
        <v>5629</v>
      </c>
      <c r="H1601" s="4" t="s">
        <v>5397</v>
      </c>
      <c r="I1601" s="4" t="s">
        <v>49</v>
      </c>
      <c r="J1601" s="4" t="s">
        <v>4983</v>
      </c>
      <c r="K1601" s="4">
        <v>1</v>
      </c>
      <c r="L1601" s="4">
        <v>14605</v>
      </c>
      <c r="M1601" s="6"/>
      <c r="AK1601" s="7"/>
    </row>
    <row r="1602" spans="1:41" ht="14.25" customHeight="1" x14ac:dyDescent="0.2">
      <c r="A1602" s="4" t="s">
        <v>5032</v>
      </c>
      <c r="B1602" s="4">
        <v>9</v>
      </c>
      <c r="C1602" s="9" t="s">
        <v>7678</v>
      </c>
      <c r="D1602" s="8" t="s">
        <v>5630</v>
      </c>
      <c r="E1602" s="4">
        <v>2607</v>
      </c>
      <c r="F1602" s="4" t="s">
        <v>5631</v>
      </c>
      <c r="G1602" s="4" t="s">
        <v>5632</v>
      </c>
      <c r="H1602" s="4" t="s">
        <v>5633</v>
      </c>
      <c r="I1602" s="4" t="s">
        <v>641</v>
      </c>
      <c r="J1602" s="4" t="s">
        <v>5048</v>
      </c>
      <c r="K1602" s="4">
        <v>1</v>
      </c>
      <c r="L1602" s="4">
        <v>3010</v>
      </c>
      <c r="M1602" s="6"/>
      <c r="AK1602" s="7"/>
    </row>
    <row r="1603" spans="1:41" ht="14.25" customHeight="1" x14ac:dyDescent="0.2">
      <c r="A1603" s="4" t="s">
        <v>5032</v>
      </c>
      <c r="B1603" s="4">
        <v>9</v>
      </c>
      <c r="C1603" s="9" t="s">
        <v>7678</v>
      </c>
      <c r="D1603" s="8" t="s">
        <v>5634</v>
      </c>
      <c r="E1603" s="4">
        <v>2621</v>
      </c>
      <c r="F1603" s="4" t="s">
        <v>5635</v>
      </c>
      <c r="G1603" s="4" t="s">
        <v>5636</v>
      </c>
      <c r="H1603" s="4" t="s">
        <v>5637</v>
      </c>
      <c r="I1603" s="4" t="s">
        <v>641</v>
      </c>
      <c r="J1603" s="4" t="s">
        <v>5073</v>
      </c>
      <c r="K1603" s="4">
        <v>1</v>
      </c>
      <c r="L1603" s="4">
        <v>3024</v>
      </c>
      <c r="M1603" s="6"/>
      <c r="AK1603" s="7"/>
    </row>
    <row r="1604" spans="1:41" ht="14.25" customHeight="1" x14ac:dyDescent="0.2">
      <c r="A1604" s="5" t="s">
        <v>5638</v>
      </c>
      <c r="B1604" s="4">
        <v>9</v>
      </c>
      <c r="C1604" s="8" t="s">
        <v>7681</v>
      </c>
      <c r="D1604" s="8" t="s">
        <v>5639</v>
      </c>
      <c r="E1604" s="4">
        <v>12203</v>
      </c>
      <c r="F1604" s="8" t="s">
        <v>5640</v>
      </c>
      <c r="G1604" s="8" t="s">
        <v>5641</v>
      </c>
      <c r="H1604" s="4" t="s">
        <v>84</v>
      </c>
      <c r="I1604" s="4" t="s">
        <v>641</v>
      </c>
      <c r="K1604" s="4">
        <v>1</v>
      </c>
      <c r="L1604" s="4">
        <v>14258</v>
      </c>
      <c r="M1604" s="6"/>
      <c r="AK1604" s="7"/>
    </row>
    <row r="1605" spans="1:41" ht="14.25" customHeight="1" x14ac:dyDescent="0.2">
      <c r="A1605" s="5" t="s">
        <v>5642</v>
      </c>
      <c r="B1605" s="4">
        <v>9</v>
      </c>
      <c r="C1605" s="4" t="s">
        <v>7681</v>
      </c>
      <c r="D1605" s="4" t="s">
        <v>5643</v>
      </c>
      <c r="E1605" s="4">
        <v>12204</v>
      </c>
      <c r="F1605" s="4" t="s">
        <v>5644</v>
      </c>
      <c r="G1605" s="4" t="s">
        <v>5645</v>
      </c>
      <c r="H1605" s="4" t="s">
        <v>84</v>
      </c>
      <c r="I1605" s="4" t="s">
        <v>641</v>
      </c>
      <c r="K1605" s="4">
        <v>1</v>
      </c>
      <c r="L1605" s="4">
        <v>14259</v>
      </c>
      <c r="M1605" s="6"/>
      <c r="AK1605" s="7"/>
    </row>
    <row r="1606" spans="1:41" ht="14.25" customHeight="1" x14ac:dyDescent="0.2">
      <c r="A1606" s="5" t="s">
        <v>5638</v>
      </c>
      <c r="B1606" s="4">
        <v>9</v>
      </c>
      <c r="C1606" s="8" t="s">
        <v>7681</v>
      </c>
      <c r="D1606" s="8" t="s">
        <v>5646</v>
      </c>
      <c r="E1606" s="4">
        <v>12205</v>
      </c>
      <c r="F1606" s="4" t="s">
        <v>429</v>
      </c>
      <c r="G1606" s="4" t="s">
        <v>5647</v>
      </c>
      <c r="H1606" s="4" t="s">
        <v>84</v>
      </c>
      <c r="I1606" s="4" t="s">
        <v>641</v>
      </c>
      <c r="K1606" s="4">
        <v>1</v>
      </c>
      <c r="L1606" s="4">
        <v>14260</v>
      </c>
      <c r="M1606" s="6"/>
      <c r="AK1606" s="7"/>
      <c r="AO1606" s="25"/>
    </row>
    <row r="1607" spans="1:41" ht="14.25" customHeight="1" x14ac:dyDescent="0.2">
      <c r="A1607" s="5" t="s">
        <v>5648</v>
      </c>
      <c r="B1607" s="4">
        <v>9</v>
      </c>
      <c r="C1607" s="4" t="s">
        <v>7681</v>
      </c>
      <c r="D1607" s="4" t="s">
        <v>5649</v>
      </c>
      <c r="E1607" s="4">
        <v>12207</v>
      </c>
      <c r="F1607" s="4" t="s">
        <v>5650</v>
      </c>
      <c r="G1607" s="4" t="s">
        <v>5651</v>
      </c>
      <c r="H1607" s="4" t="s">
        <v>84</v>
      </c>
      <c r="I1607" s="4" t="s">
        <v>641</v>
      </c>
      <c r="K1607" s="4">
        <v>1</v>
      </c>
      <c r="L1607" s="4">
        <v>14262</v>
      </c>
      <c r="M1607" s="6"/>
      <c r="AK1607" s="7"/>
      <c r="AO1607" s="25"/>
    </row>
    <row r="1608" spans="1:41" ht="14.25" customHeight="1" x14ac:dyDescent="0.2">
      <c r="A1608" s="4" t="s">
        <v>4984</v>
      </c>
      <c r="B1608" s="4">
        <v>9</v>
      </c>
      <c r="C1608" s="8" t="s">
        <v>7681</v>
      </c>
      <c r="D1608" s="10" t="s">
        <v>5652</v>
      </c>
      <c r="E1608" s="4">
        <v>12208</v>
      </c>
      <c r="F1608" s="8" t="s">
        <v>5653</v>
      </c>
      <c r="G1608" s="8" t="s">
        <v>5654</v>
      </c>
      <c r="H1608" s="4" t="s">
        <v>5655</v>
      </c>
      <c r="I1608" s="4" t="s">
        <v>641</v>
      </c>
      <c r="J1608" s="4" t="s">
        <v>4974</v>
      </c>
      <c r="K1608" s="4">
        <v>1</v>
      </c>
      <c r="L1608" s="4">
        <v>14263</v>
      </c>
      <c r="M1608" s="6"/>
      <c r="AK1608" s="7"/>
    </row>
    <row r="1609" spans="1:41" ht="14.25" customHeight="1" x14ac:dyDescent="0.2">
      <c r="A1609" s="4" t="s">
        <v>5032</v>
      </c>
      <c r="B1609" s="4">
        <v>9</v>
      </c>
      <c r="C1609" s="9" t="s">
        <v>7678</v>
      </c>
      <c r="D1609" s="8" t="s">
        <v>5656</v>
      </c>
      <c r="E1609" s="4">
        <v>2622</v>
      </c>
      <c r="F1609" s="4" t="s">
        <v>5657</v>
      </c>
      <c r="G1609" s="4" t="s">
        <v>5658</v>
      </c>
      <c r="H1609" s="4" t="s">
        <v>5659</v>
      </c>
      <c r="I1609" s="4" t="s">
        <v>641</v>
      </c>
      <c r="J1609" s="4" t="s">
        <v>5177</v>
      </c>
      <c r="K1609" s="4">
        <v>1</v>
      </c>
      <c r="L1609" s="4">
        <v>3025</v>
      </c>
      <c r="M1609" s="6"/>
      <c r="AK1609" s="7"/>
      <c r="AO1609" s="25"/>
    </row>
    <row r="1610" spans="1:41" ht="14.25" customHeight="1" x14ac:dyDescent="0.2">
      <c r="A1610" s="4" t="s">
        <v>5032</v>
      </c>
      <c r="B1610" s="4">
        <v>9</v>
      </c>
      <c r="C1610" s="9" t="s">
        <v>7678</v>
      </c>
      <c r="D1610" s="8" t="s">
        <v>5660</v>
      </c>
      <c r="E1610" s="4">
        <v>2624</v>
      </c>
      <c r="F1610" s="4" t="s">
        <v>5661</v>
      </c>
      <c r="G1610" s="4" t="s">
        <v>5662</v>
      </c>
      <c r="H1610" s="4" t="s">
        <v>5663</v>
      </c>
      <c r="I1610" s="4" t="s">
        <v>641</v>
      </c>
      <c r="J1610" s="4" t="s">
        <v>5083</v>
      </c>
      <c r="K1610" s="4">
        <v>1</v>
      </c>
      <c r="L1610" s="4">
        <v>3027</v>
      </c>
      <c r="M1610" s="6"/>
      <c r="AK1610" s="7"/>
      <c r="AO1610" s="25"/>
    </row>
    <row r="1611" spans="1:41" ht="14.25" customHeight="1" x14ac:dyDescent="0.2">
      <c r="B1611" s="4">
        <v>9</v>
      </c>
      <c r="C1611" s="4" t="s">
        <v>7684</v>
      </c>
      <c r="D1611" s="8" t="s">
        <v>5664</v>
      </c>
      <c r="E1611" s="4">
        <v>12213</v>
      </c>
      <c r="F1611" s="4" t="s">
        <v>5665</v>
      </c>
      <c r="G1611" s="4" t="s">
        <v>5666</v>
      </c>
      <c r="H1611" s="4" t="s">
        <v>5220</v>
      </c>
      <c r="I1611" s="4" t="s">
        <v>641</v>
      </c>
      <c r="J1611" s="4" t="s">
        <v>5667</v>
      </c>
      <c r="K1611" s="4">
        <v>1</v>
      </c>
      <c r="L1611" s="4">
        <v>14268</v>
      </c>
      <c r="M1611" s="6"/>
      <c r="AK1611" s="7"/>
    </row>
    <row r="1612" spans="1:41" ht="14.25" customHeight="1" x14ac:dyDescent="0.2">
      <c r="A1612" s="4" t="s">
        <v>5032</v>
      </c>
      <c r="B1612" s="4">
        <v>9</v>
      </c>
      <c r="C1612" s="9" t="s">
        <v>7678</v>
      </c>
      <c r="D1612" s="10" t="s">
        <v>5668</v>
      </c>
      <c r="E1612" s="4">
        <v>2586</v>
      </c>
      <c r="F1612" s="4" t="s">
        <v>5669</v>
      </c>
      <c r="G1612" s="4" t="s">
        <v>5670</v>
      </c>
      <c r="H1612" s="4" t="s">
        <v>5671</v>
      </c>
      <c r="I1612" s="4" t="s">
        <v>641</v>
      </c>
      <c r="J1612" s="4" t="s">
        <v>5073</v>
      </c>
      <c r="K1612" s="4">
        <v>1</v>
      </c>
      <c r="L1612" s="4">
        <v>2989</v>
      </c>
      <c r="M1612" s="6"/>
      <c r="AK1612" s="7"/>
    </row>
    <row r="1613" spans="1:41" ht="14.25" customHeight="1" x14ac:dyDescent="0.2">
      <c r="A1613" s="4" t="s">
        <v>5032</v>
      </c>
      <c r="B1613" s="4">
        <v>9</v>
      </c>
      <c r="C1613" s="9" t="s">
        <v>7678</v>
      </c>
      <c r="D1613" s="8" t="s">
        <v>5672</v>
      </c>
      <c r="E1613" s="4">
        <v>2598</v>
      </c>
      <c r="F1613" s="4" t="s">
        <v>5673</v>
      </c>
      <c r="G1613" s="4" t="s">
        <v>5674</v>
      </c>
      <c r="H1613" s="4" t="s">
        <v>5671</v>
      </c>
      <c r="I1613" s="4" t="s">
        <v>641</v>
      </c>
      <c r="J1613" s="4" t="s">
        <v>5073</v>
      </c>
      <c r="K1613" s="4">
        <v>1</v>
      </c>
      <c r="L1613" s="4">
        <v>3001</v>
      </c>
      <c r="M1613" s="6"/>
      <c r="AK1613" s="7"/>
      <c r="AO1613" s="25"/>
    </row>
    <row r="1614" spans="1:41" ht="14.25" customHeight="1" x14ac:dyDescent="0.2">
      <c r="A1614" s="4" t="s">
        <v>3107</v>
      </c>
      <c r="B1614" s="4">
        <v>9</v>
      </c>
      <c r="C1614" s="8" t="s">
        <v>7681</v>
      </c>
      <c r="D1614" s="8" t="s">
        <v>5675</v>
      </c>
      <c r="E1614" s="4">
        <v>2647</v>
      </c>
      <c r="F1614" s="8" t="s">
        <v>5676</v>
      </c>
      <c r="G1614" s="8" t="s">
        <v>5677</v>
      </c>
      <c r="H1614" s="4" t="s">
        <v>5678</v>
      </c>
      <c r="I1614" s="4" t="s">
        <v>641</v>
      </c>
      <c r="J1614" s="4" t="s">
        <v>5048</v>
      </c>
      <c r="K1614" s="4">
        <v>1</v>
      </c>
      <c r="L1614" s="4">
        <v>3050</v>
      </c>
      <c r="M1614" s="6"/>
      <c r="AK1614" s="7"/>
    </row>
    <row r="1615" spans="1:41" ht="14.25" customHeight="1" x14ac:dyDescent="0.2">
      <c r="A1615" s="5" t="s">
        <v>5679</v>
      </c>
      <c r="B1615" s="4">
        <v>9</v>
      </c>
      <c r="C1615" s="8" t="s">
        <v>7681</v>
      </c>
      <c r="D1615" s="8" t="s">
        <v>5680</v>
      </c>
      <c r="E1615" s="4">
        <v>12220</v>
      </c>
      <c r="F1615" s="4" t="s">
        <v>5681</v>
      </c>
      <c r="G1615" s="8" t="s">
        <v>5682</v>
      </c>
      <c r="H1615" s="4" t="s">
        <v>84</v>
      </c>
      <c r="I1615" s="4" t="s">
        <v>641</v>
      </c>
      <c r="K1615" s="4">
        <v>1</v>
      </c>
      <c r="L1615" s="4">
        <v>14275</v>
      </c>
      <c r="M1615" s="6"/>
      <c r="AK1615" s="7"/>
      <c r="AO1615" s="25"/>
    </row>
    <row r="1616" spans="1:41" ht="14.25" customHeight="1" x14ac:dyDescent="0.2">
      <c r="A1616" s="4" t="s">
        <v>5032</v>
      </c>
      <c r="B1616" s="4">
        <v>9</v>
      </c>
      <c r="C1616" s="9" t="s">
        <v>7678</v>
      </c>
      <c r="D1616" s="8" t="s">
        <v>5683</v>
      </c>
      <c r="E1616" s="4">
        <v>12223</v>
      </c>
      <c r="F1616" s="4" t="s">
        <v>5684</v>
      </c>
      <c r="G1616" s="4" t="s">
        <v>5685</v>
      </c>
      <c r="H1616" s="4" t="s">
        <v>5686</v>
      </c>
      <c r="I1616" s="4" t="s">
        <v>641</v>
      </c>
      <c r="J1616" s="4" t="s">
        <v>5073</v>
      </c>
      <c r="K1616" s="4">
        <v>1</v>
      </c>
      <c r="L1616" s="4">
        <v>14278</v>
      </c>
      <c r="M1616" s="6"/>
      <c r="AK1616" s="7"/>
    </row>
    <row r="1617" spans="1:41" ht="14.25" customHeight="1" x14ac:dyDescent="0.2">
      <c r="A1617" s="4" t="s">
        <v>5032</v>
      </c>
      <c r="B1617" s="4">
        <v>9</v>
      </c>
      <c r="C1617" s="9" t="s">
        <v>7678</v>
      </c>
      <c r="D1617" s="8" t="s">
        <v>5687</v>
      </c>
      <c r="E1617" s="4">
        <v>2635</v>
      </c>
      <c r="F1617" s="4" t="s">
        <v>5688</v>
      </c>
      <c r="G1617" s="4" t="s">
        <v>5689</v>
      </c>
      <c r="H1617" s="4" t="s">
        <v>5690</v>
      </c>
      <c r="I1617" s="4" t="s">
        <v>641</v>
      </c>
      <c r="J1617" s="4" t="s">
        <v>5048</v>
      </c>
      <c r="K1617" s="4">
        <v>1</v>
      </c>
      <c r="L1617" s="4">
        <v>3038</v>
      </c>
      <c r="M1617" s="6"/>
      <c r="AK1617" s="7"/>
      <c r="AO1617" s="25"/>
    </row>
    <row r="1618" spans="1:41" ht="14.25" customHeight="1" x14ac:dyDescent="0.2">
      <c r="A1618" s="4" t="s">
        <v>5032</v>
      </c>
      <c r="B1618" s="4">
        <v>9</v>
      </c>
      <c r="C1618" s="9" t="s">
        <v>7678</v>
      </c>
      <c r="D1618" s="8" t="s">
        <v>5691</v>
      </c>
      <c r="E1618" s="4">
        <v>1583</v>
      </c>
      <c r="F1618" s="4" t="s">
        <v>5692</v>
      </c>
      <c r="G1618" s="4" t="s">
        <v>5693</v>
      </c>
      <c r="H1618" s="4" t="s">
        <v>5694</v>
      </c>
      <c r="I1618" s="4" t="s">
        <v>641</v>
      </c>
      <c r="J1618" s="4" t="s">
        <v>5037</v>
      </c>
      <c r="K1618" s="4">
        <v>1</v>
      </c>
      <c r="L1618" s="4">
        <v>1986</v>
      </c>
      <c r="M1618" s="6"/>
      <c r="AK1618" s="7"/>
    </row>
    <row r="1619" spans="1:41" ht="14.25" customHeight="1" x14ac:dyDescent="0.2">
      <c r="A1619" s="4" t="s">
        <v>5032</v>
      </c>
      <c r="B1619" s="4">
        <v>9</v>
      </c>
      <c r="C1619" s="9" t="s">
        <v>7678</v>
      </c>
      <c r="D1619" s="8" t="s">
        <v>5695</v>
      </c>
      <c r="E1619" s="4">
        <v>2638</v>
      </c>
      <c r="F1619" s="4" t="s">
        <v>5696</v>
      </c>
      <c r="G1619" s="4" t="s">
        <v>5697</v>
      </c>
      <c r="H1619" s="4" t="s">
        <v>5698</v>
      </c>
      <c r="I1619" s="4" t="s">
        <v>641</v>
      </c>
      <c r="J1619" s="4" t="s">
        <v>5083</v>
      </c>
      <c r="K1619" s="4">
        <v>1</v>
      </c>
      <c r="L1619" s="4">
        <v>3041</v>
      </c>
      <c r="M1619" s="6"/>
      <c r="AK1619" s="7"/>
    </row>
    <row r="1620" spans="1:41" ht="14.25" customHeight="1" x14ac:dyDescent="0.2">
      <c r="A1620" s="4" t="s">
        <v>5032</v>
      </c>
      <c r="B1620" s="4">
        <v>9</v>
      </c>
      <c r="C1620" s="9" t="s">
        <v>7678</v>
      </c>
      <c r="D1620" s="8" t="s">
        <v>5699</v>
      </c>
      <c r="E1620" s="4">
        <v>3278</v>
      </c>
      <c r="F1620" s="4" t="s">
        <v>5700</v>
      </c>
      <c r="G1620" s="4" t="s">
        <v>5701</v>
      </c>
      <c r="H1620" s="4" t="s">
        <v>5702</v>
      </c>
      <c r="I1620" s="4" t="s">
        <v>49</v>
      </c>
      <c r="J1620" s="4" t="s">
        <v>5037</v>
      </c>
      <c r="K1620" s="4">
        <v>1</v>
      </c>
      <c r="L1620" s="4">
        <v>4117</v>
      </c>
      <c r="M1620" s="6"/>
      <c r="AK1620" s="7"/>
    </row>
    <row r="1621" spans="1:41" ht="14.25" customHeight="1" x14ac:dyDescent="0.2">
      <c r="A1621" s="4" t="s">
        <v>5703</v>
      </c>
      <c r="B1621" s="4">
        <v>9</v>
      </c>
      <c r="C1621" s="8" t="s">
        <v>7681</v>
      </c>
      <c r="D1621" s="10" t="s">
        <v>5704</v>
      </c>
      <c r="E1621" s="4">
        <v>12232</v>
      </c>
      <c r="F1621" s="8" t="s">
        <v>5705</v>
      </c>
      <c r="G1621" s="4" t="s">
        <v>5706</v>
      </c>
      <c r="H1621" s="4" t="s">
        <v>5095</v>
      </c>
      <c r="I1621" s="4" t="s">
        <v>641</v>
      </c>
      <c r="J1621" s="4" t="s">
        <v>5083</v>
      </c>
      <c r="K1621" s="4">
        <v>1</v>
      </c>
      <c r="L1621" s="4">
        <v>14287</v>
      </c>
      <c r="M1621" s="6"/>
      <c r="AK1621" s="7"/>
      <c r="AO1621" s="25"/>
    </row>
    <row r="1622" spans="1:41" ht="14.25" customHeight="1" x14ac:dyDescent="0.2">
      <c r="A1622" s="4" t="s">
        <v>422</v>
      </c>
      <c r="B1622" s="4">
        <v>9</v>
      </c>
      <c r="C1622" s="4" t="s">
        <v>7678</v>
      </c>
      <c r="D1622" s="4" t="s">
        <v>5707</v>
      </c>
      <c r="E1622" s="4">
        <v>12234</v>
      </c>
      <c r="F1622" s="4" t="s">
        <v>5708</v>
      </c>
      <c r="G1622" s="4" t="s">
        <v>5709</v>
      </c>
      <c r="H1622" s="4" t="s">
        <v>5710</v>
      </c>
      <c r="I1622" s="4" t="s">
        <v>641</v>
      </c>
      <c r="J1622" s="4" t="s">
        <v>5711</v>
      </c>
      <c r="K1622" s="4">
        <v>1</v>
      </c>
      <c r="L1622" s="4">
        <v>14289</v>
      </c>
      <c r="M1622" s="6"/>
      <c r="AK1622" s="7"/>
    </row>
    <row r="1623" spans="1:41" ht="14.25" customHeight="1" x14ac:dyDescent="0.2">
      <c r="A1623" s="4" t="s">
        <v>5032</v>
      </c>
      <c r="B1623" s="4">
        <v>9</v>
      </c>
      <c r="C1623" s="4" t="s">
        <v>7678</v>
      </c>
      <c r="D1623" s="8" t="s">
        <v>5712</v>
      </c>
      <c r="E1623" s="4">
        <v>12238</v>
      </c>
      <c r="F1623" s="4" t="s">
        <v>5713</v>
      </c>
      <c r="G1623" s="4" t="s">
        <v>5714</v>
      </c>
      <c r="H1623" s="4" t="s">
        <v>5715</v>
      </c>
      <c r="I1623" s="4" t="s">
        <v>641</v>
      </c>
      <c r="J1623" s="4" t="s">
        <v>5073</v>
      </c>
      <c r="K1623" s="4">
        <v>1</v>
      </c>
      <c r="L1623" s="4">
        <v>14293</v>
      </c>
      <c r="M1623" s="6"/>
      <c r="AK1623" s="7"/>
      <c r="AO1623" s="25"/>
    </row>
    <row r="1624" spans="1:41" ht="14.25" customHeight="1" x14ac:dyDescent="0.2">
      <c r="A1624" s="4" t="s">
        <v>5032</v>
      </c>
      <c r="B1624" s="4">
        <v>9</v>
      </c>
      <c r="C1624" s="4" t="s">
        <v>7678</v>
      </c>
      <c r="D1624" s="8" t="s">
        <v>5716</v>
      </c>
      <c r="E1624" s="4">
        <v>1587</v>
      </c>
      <c r="F1624" s="4" t="s">
        <v>5717</v>
      </c>
      <c r="G1624" s="4" t="s">
        <v>5718</v>
      </c>
      <c r="H1624" s="4" t="s">
        <v>5719</v>
      </c>
      <c r="I1624" s="4" t="s">
        <v>641</v>
      </c>
      <c r="J1624" s="4" t="s">
        <v>5073</v>
      </c>
      <c r="K1624" s="4">
        <v>1</v>
      </c>
      <c r="L1624" s="4">
        <v>1990</v>
      </c>
      <c r="M1624" s="6"/>
      <c r="AK1624" s="7"/>
    </row>
    <row r="1625" spans="1:41" ht="14.25" customHeight="1" x14ac:dyDescent="0.2">
      <c r="A1625" s="4" t="s">
        <v>5032</v>
      </c>
      <c r="B1625" s="4">
        <v>9</v>
      </c>
      <c r="C1625" s="4" t="s">
        <v>7678</v>
      </c>
      <c r="D1625" s="8" t="s">
        <v>5720</v>
      </c>
      <c r="E1625" s="4">
        <v>12248</v>
      </c>
      <c r="F1625" s="4" t="s">
        <v>5721</v>
      </c>
      <c r="G1625" s="4" t="s">
        <v>5722</v>
      </c>
      <c r="H1625" s="4" t="s">
        <v>5723</v>
      </c>
      <c r="I1625" s="4" t="s">
        <v>641</v>
      </c>
      <c r="J1625" s="4" t="s">
        <v>5073</v>
      </c>
      <c r="K1625" s="4">
        <v>1</v>
      </c>
      <c r="L1625" s="4">
        <v>14303</v>
      </c>
      <c r="M1625" s="6"/>
      <c r="AK1625" s="7"/>
      <c r="AO1625" s="25"/>
    </row>
    <row r="1626" spans="1:41" ht="14.25" customHeight="1" x14ac:dyDescent="0.2">
      <c r="A1626" s="4" t="s">
        <v>5032</v>
      </c>
      <c r="B1626" s="4">
        <v>9</v>
      </c>
      <c r="C1626" s="4" t="s">
        <v>7678</v>
      </c>
      <c r="D1626" s="8" t="s">
        <v>5724</v>
      </c>
      <c r="E1626" s="4">
        <v>1569</v>
      </c>
      <c r="F1626" s="4" t="s">
        <v>5725</v>
      </c>
      <c r="G1626" s="4" t="s">
        <v>5726</v>
      </c>
      <c r="H1626" s="4" t="s">
        <v>5727</v>
      </c>
      <c r="I1626" s="4" t="s">
        <v>641</v>
      </c>
      <c r="J1626" s="4" t="s">
        <v>5048</v>
      </c>
      <c r="K1626" s="4">
        <v>1</v>
      </c>
      <c r="L1626" s="4">
        <v>1972</v>
      </c>
      <c r="M1626" s="6"/>
      <c r="AK1626" s="7"/>
    </row>
    <row r="1627" spans="1:41" ht="14.25" customHeight="1" x14ac:dyDescent="0.2">
      <c r="A1627" s="4" t="s">
        <v>5728</v>
      </c>
      <c r="B1627" s="4">
        <v>9</v>
      </c>
      <c r="C1627" s="4" t="s">
        <v>7678</v>
      </c>
      <c r="D1627" s="8" t="s">
        <v>5729</v>
      </c>
      <c r="E1627" s="4">
        <v>2603</v>
      </c>
      <c r="F1627" s="4" t="s">
        <v>5730</v>
      </c>
      <c r="G1627" s="8" t="s">
        <v>5731</v>
      </c>
      <c r="H1627" s="4" t="s">
        <v>5732</v>
      </c>
      <c r="I1627" s="4" t="s">
        <v>641</v>
      </c>
      <c r="J1627" s="4" t="s">
        <v>5073</v>
      </c>
      <c r="K1627" s="4">
        <v>1</v>
      </c>
      <c r="L1627" s="4">
        <v>3006</v>
      </c>
      <c r="M1627" s="6"/>
      <c r="AK1627" s="7"/>
    </row>
    <row r="1628" spans="1:41" ht="14.25" customHeight="1" x14ac:dyDescent="0.2">
      <c r="A1628" s="4" t="s">
        <v>5032</v>
      </c>
      <c r="B1628" s="4">
        <v>9</v>
      </c>
      <c r="C1628" s="4" t="s">
        <v>7678</v>
      </c>
      <c r="D1628" s="8" t="s">
        <v>5733</v>
      </c>
      <c r="E1628" s="4">
        <v>2595</v>
      </c>
      <c r="F1628" s="4" t="s">
        <v>5734</v>
      </c>
      <c r="G1628" s="4" t="s">
        <v>5735</v>
      </c>
      <c r="H1628" s="4" t="s">
        <v>5736</v>
      </c>
      <c r="I1628" s="4" t="s">
        <v>641</v>
      </c>
      <c r="J1628" s="4" t="s">
        <v>5083</v>
      </c>
      <c r="K1628" s="4">
        <v>1</v>
      </c>
      <c r="L1628" s="4">
        <v>2998</v>
      </c>
      <c r="M1628" s="6"/>
      <c r="AK1628" s="7"/>
      <c r="AO1628" s="25"/>
    </row>
    <row r="1629" spans="1:41" ht="14.25" customHeight="1" x14ac:dyDescent="0.2">
      <c r="A1629" s="4" t="s">
        <v>5032</v>
      </c>
      <c r="B1629" s="4">
        <v>9</v>
      </c>
      <c r="C1629" s="4" t="s">
        <v>7678</v>
      </c>
      <c r="D1629" s="8" t="s">
        <v>5737</v>
      </c>
      <c r="E1629" s="4">
        <v>2597</v>
      </c>
      <c r="F1629" s="4" t="s">
        <v>5738</v>
      </c>
      <c r="G1629" s="4" t="s">
        <v>5739</v>
      </c>
      <c r="H1629" s="4" t="s">
        <v>5740</v>
      </c>
      <c r="I1629" s="4" t="s">
        <v>641</v>
      </c>
      <c r="J1629" s="4" t="s">
        <v>5048</v>
      </c>
      <c r="K1629" s="4">
        <v>1</v>
      </c>
      <c r="L1629" s="4">
        <v>3000</v>
      </c>
      <c r="M1629" s="6"/>
      <c r="AK1629" s="7"/>
      <c r="AO1629" s="25"/>
    </row>
    <row r="1630" spans="1:41" ht="14.25" customHeight="1" x14ac:dyDescent="0.2">
      <c r="A1630" s="4" t="s">
        <v>5032</v>
      </c>
      <c r="B1630" s="4">
        <v>9</v>
      </c>
      <c r="C1630" s="4" t="s">
        <v>7678</v>
      </c>
      <c r="D1630" s="8" t="s">
        <v>5741</v>
      </c>
      <c r="E1630" s="4">
        <v>1568</v>
      </c>
      <c r="F1630" s="4" t="s">
        <v>5742</v>
      </c>
      <c r="G1630" s="4" t="s">
        <v>5743</v>
      </c>
      <c r="H1630" s="4" t="s">
        <v>5744</v>
      </c>
      <c r="I1630" s="4" t="s">
        <v>641</v>
      </c>
      <c r="J1630" s="4" t="s">
        <v>5048</v>
      </c>
      <c r="K1630" s="4">
        <v>1</v>
      </c>
      <c r="L1630" s="4">
        <v>1971</v>
      </c>
      <c r="M1630" s="6"/>
      <c r="AK1630" s="7"/>
      <c r="AO1630" s="25"/>
    </row>
    <row r="1631" spans="1:41" ht="14.25" customHeight="1" x14ac:dyDescent="0.2">
      <c r="A1631" s="4" t="s">
        <v>5745</v>
      </c>
      <c r="B1631" s="4">
        <v>9</v>
      </c>
      <c r="C1631" s="4" t="s">
        <v>7678</v>
      </c>
      <c r="D1631" s="8" t="s">
        <v>5746</v>
      </c>
      <c r="E1631" s="4">
        <v>3282</v>
      </c>
      <c r="F1631" s="4" t="s">
        <v>5747</v>
      </c>
      <c r="G1631" s="8" t="s">
        <v>5748</v>
      </c>
      <c r="H1631" s="4" t="s">
        <v>5749</v>
      </c>
      <c r="I1631" s="4" t="s">
        <v>49</v>
      </c>
      <c r="J1631" s="4" t="s">
        <v>5750</v>
      </c>
      <c r="K1631" s="4">
        <v>1</v>
      </c>
      <c r="L1631" s="4">
        <v>4121</v>
      </c>
      <c r="M1631" s="6"/>
      <c r="AK1631" s="7"/>
      <c r="AO1631" s="25"/>
    </row>
    <row r="1632" spans="1:41" ht="14.25" customHeight="1" x14ac:dyDescent="0.2">
      <c r="A1632" s="4" t="s">
        <v>5032</v>
      </c>
      <c r="B1632" s="4">
        <v>9</v>
      </c>
      <c r="C1632" s="4" t="s">
        <v>7678</v>
      </c>
      <c r="D1632" s="8" t="s">
        <v>5751</v>
      </c>
      <c r="E1632" s="4">
        <v>2605</v>
      </c>
      <c r="F1632" s="4" t="s">
        <v>5752</v>
      </c>
      <c r="G1632" s="4" t="s">
        <v>5753</v>
      </c>
      <c r="H1632" s="4" t="s">
        <v>5754</v>
      </c>
      <c r="I1632" s="4" t="s">
        <v>641</v>
      </c>
      <c r="J1632" s="4" t="s">
        <v>5037</v>
      </c>
      <c r="K1632" s="4">
        <v>1</v>
      </c>
      <c r="L1632" s="4">
        <v>3008</v>
      </c>
      <c r="M1632" s="6"/>
      <c r="AK1632" s="7"/>
    </row>
    <row r="1633" spans="1:41" ht="14.25" customHeight="1" x14ac:dyDescent="0.2">
      <c r="A1633" s="4" t="s">
        <v>5032</v>
      </c>
      <c r="B1633" s="4">
        <v>9</v>
      </c>
      <c r="C1633" s="4" t="s">
        <v>7678</v>
      </c>
      <c r="D1633" s="10" t="s">
        <v>5755</v>
      </c>
      <c r="E1633" s="4">
        <v>12254</v>
      </c>
      <c r="F1633" s="4" t="s">
        <v>5756</v>
      </c>
      <c r="G1633" s="4" t="s">
        <v>5757</v>
      </c>
      <c r="H1633" s="4" t="s">
        <v>5325</v>
      </c>
      <c r="I1633" s="4" t="s">
        <v>641</v>
      </c>
      <c r="J1633" s="4" t="s">
        <v>5073</v>
      </c>
      <c r="K1633" s="4">
        <v>1</v>
      </c>
      <c r="L1633" s="4">
        <v>14309</v>
      </c>
      <c r="M1633" s="6"/>
      <c r="AK1633" s="7"/>
    </row>
    <row r="1634" spans="1:41" ht="14.25" customHeight="1" x14ac:dyDescent="0.2">
      <c r="A1634" s="4" t="s">
        <v>5758</v>
      </c>
      <c r="B1634" s="4">
        <v>9</v>
      </c>
      <c r="C1634" s="4" t="s">
        <v>7678</v>
      </c>
      <c r="D1634" s="8" t="s">
        <v>5759</v>
      </c>
      <c r="E1634" s="4">
        <v>2601</v>
      </c>
      <c r="F1634" s="4" t="s">
        <v>5756</v>
      </c>
      <c r="G1634" s="4" t="s">
        <v>5760</v>
      </c>
      <c r="H1634" s="4" t="s">
        <v>5761</v>
      </c>
      <c r="I1634" s="4" t="s">
        <v>641</v>
      </c>
      <c r="J1634" s="4" t="s">
        <v>5083</v>
      </c>
      <c r="K1634" s="4">
        <v>1</v>
      </c>
      <c r="L1634" s="4">
        <v>3004</v>
      </c>
      <c r="M1634" s="6"/>
      <c r="AK1634" s="7"/>
      <c r="AO1634" s="25"/>
    </row>
    <row r="1635" spans="1:41" ht="14.25" customHeight="1" x14ac:dyDescent="0.2">
      <c r="A1635" s="4" t="s">
        <v>5032</v>
      </c>
      <c r="B1635" s="4">
        <v>9</v>
      </c>
      <c r="C1635" s="4" t="s">
        <v>7678</v>
      </c>
      <c r="D1635" s="8" t="s">
        <v>5762</v>
      </c>
      <c r="E1635" s="4">
        <v>2600</v>
      </c>
      <c r="F1635" s="4" t="s">
        <v>5763</v>
      </c>
      <c r="G1635" s="4" t="s">
        <v>5764</v>
      </c>
      <c r="H1635" s="4" t="s">
        <v>5765</v>
      </c>
      <c r="I1635" s="4" t="s">
        <v>641</v>
      </c>
      <c r="J1635" s="4" t="s">
        <v>5083</v>
      </c>
      <c r="K1635" s="4">
        <v>1</v>
      </c>
      <c r="L1635" s="4">
        <v>3003</v>
      </c>
      <c r="M1635" s="6"/>
      <c r="AK1635" s="7"/>
    </row>
    <row r="1636" spans="1:41" ht="14.25" customHeight="1" x14ac:dyDescent="0.2">
      <c r="A1636" s="4" t="s">
        <v>5032</v>
      </c>
      <c r="B1636" s="4">
        <v>9</v>
      </c>
      <c r="C1636" s="4" t="s">
        <v>7678</v>
      </c>
      <c r="D1636" s="8" t="s">
        <v>5766</v>
      </c>
      <c r="E1636" s="4">
        <v>1567</v>
      </c>
      <c r="F1636" s="4" t="s">
        <v>5767</v>
      </c>
      <c r="G1636" s="4" t="s">
        <v>5768</v>
      </c>
      <c r="H1636" s="4" t="s">
        <v>5769</v>
      </c>
      <c r="I1636" s="4" t="s">
        <v>641</v>
      </c>
      <c r="J1636" s="4" t="s">
        <v>5048</v>
      </c>
      <c r="K1636" s="4">
        <v>1</v>
      </c>
      <c r="L1636" s="4">
        <v>1970</v>
      </c>
      <c r="M1636" s="6"/>
      <c r="AK1636" s="7"/>
      <c r="AO1636" s="25"/>
    </row>
    <row r="1637" spans="1:41" ht="14.25" customHeight="1" x14ac:dyDescent="0.2">
      <c r="A1637" s="4" t="s">
        <v>5032</v>
      </c>
      <c r="B1637" s="4">
        <v>9</v>
      </c>
      <c r="C1637" s="4" t="s">
        <v>7678</v>
      </c>
      <c r="D1637" s="8" t="s">
        <v>5770</v>
      </c>
      <c r="E1637" s="4">
        <v>2636</v>
      </c>
      <c r="F1637" s="4" t="s">
        <v>5771</v>
      </c>
      <c r="G1637" s="4" t="s">
        <v>5772</v>
      </c>
      <c r="H1637" s="4" t="s">
        <v>5773</v>
      </c>
      <c r="I1637" s="4" t="s">
        <v>641</v>
      </c>
      <c r="J1637" s="4" t="s">
        <v>5048</v>
      </c>
      <c r="K1637" s="4">
        <v>1</v>
      </c>
      <c r="L1637" s="4">
        <v>3039</v>
      </c>
      <c r="M1637" s="6"/>
      <c r="AK1637" s="7"/>
    </row>
    <row r="1638" spans="1:41" ht="14.25" customHeight="1" x14ac:dyDescent="0.2">
      <c r="A1638" s="4" t="s">
        <v>5728</v>
      </c>
      <c r="B1638" s="4">
        <v>9</v>
      </c>
      <c r="C1638" s="4" t="s">
        <v>7678</v>
      </c>
      <c r="D1638" s="8" t="s">
        <v>5774</v>
      </c>
      <c r="E1638" s="4">
        <v>2649</v>
      </c>
      <c r="F1638" s="4" t="s">
        <v>5775</v>
      </c>
      <c r="G1638" s="8" t="s">
        <v>5776</v>
      </c>
      <c r="H1638" s="4" t="s">
        <v>5777</v>
      </c>
      <c r="I1638" s="4" t="s">
        <v>641</v>
      </c>
      <c r="J1638" s="4" t="s">
        <v>5037</v>
      </c>
      <c r="K1638" s="4">
        <v>1</v>
      </c>
      <c r="L1638" s="4">
        <v>3052</v>
      </c>
      <c r="M1638" s="6"/>
      <c r="AK1638" s="7"/>
    </row>
    <row r="1639" spans="1:41" ht="14.25" customHeight="1" x14ac:dyDescent="0.2">
      <c r="A1639" s="4" t="s">
        <v>4968</v>
      </c>
      <c r="B1639" s="4">
        <v>9</v>
      </c>
      <c r="C1639" s="4" t="s">
        <v>7678</v>
      </c>
      <c r="D1639" s="8" t="s">
        <v>5778</v>
      </c>
      <c r="E1639" s="4">
        <v>12257</v>
      </c>
      <c r="F1639" s="8" t="s">
        <v>5779</v>
      </c>
      <c r="G1639" s="4" t="s">
        <v>5780</v>
      </c>
      <c r="H1639" s="4" t="s">
        <v>5781</v>
      </c>
      <c r="I1639" s="4" t="s">
        <v>641</v>
      </c>
      <c r="J1639" s="4" t="s">
        <v>5073</v>
      </c>
      <c r="K1639" s="4">
        <v>1</v>
      </c>
      <c r="L1639" s="4">
        <v>14312</v>
      </c>
      <c r="M1639" s="6"/>
      <c r="AK1639" s="7"/>
      <c r="AO1639" s="25"/>
    </row>
    <row r="1640" spans="1:41" ht="14.25" customHeight="1" x14ac:dyDescent="0.2">
      <c r="A1640" s="4" t="s">
        <v>5032</v>
      </c>
      <c r="B1640" s="4">
        <v>9</v>
      </c>
      <c r="C1640" s="4" t="s">
        <v>7678</v>
      </c>
      <c r="D1640" s="8" t="s">
        <v>5782</v>
      </c>
      <c r="E1640" s="4">
        <v>1586</v>
      </c>
      <c r="F1640" s="4" t="s">
        <v>5783</v>
      </c>
      <c r="G1640" s="4" t="s">
        <v>5784</v>
      </c>
      <c r="H1640" s="4" t="s">
        <v>5785</v>
      </c>
      <c r="I1640" s="4" t="s">
        <v>641</v>
      </c>
      <c r="J1640" s="4" t="s">
        <v>5048</v>
      </c>
      <c r="K1640" s="4">
        <v>1</v>
      </c>
      <c r="L1640" s="4">
        <v>1989</v>
      </c>
      <c r="M1640" s="6"/>
      <c r="AK1640" s="7"/>
    </row>
    <row r="1641" spans="1:41" ht="14.25" customHeight="1" x14ac:dyDescent="0.2">
      <c r="A1641" s="4" t="s">
        <v>5032</v>
      </c>
      <c r="B1641" s="4">
        <v>9</v>
      </c>
      <c r="C1641" s="4" t="s">
        <v>7678</v>
      </c>
      <c r="D1641" s="8" t="s">
        <v>5786</v>
      </c>
      <c r="E1641" s="4">
        <v>1582</v>
      </c>
      <c r="F1641" s="4" t="s">
        <v>5787</v>
      </c>
      <c r="G1641" s="4" t="s">
        <v>5788</v>
      </c>
      <c r="H1641" s="4" t="s">
        <v>5789</v>
      </c>
      <c r="I1641" s="4" t="s">
        <v>641</v>
      </c>
      <c r="J1641" s="4" t="s">
        <v>5198</v>
      </c>
      <c r="K1641" s="4">
        <v>1</v>
      </c>
      <c r="L1641" s="4">
        <v>1985</v>
      </c>
      <c r="M1641" s="6"/>
      <c r="AK1641" s="7"/>
      <c r="AO1641" s="25"/>
    </row>
    <row r="1642" spans="1:41" ht="14.25" customHeight="1" x14ac:dyDescent="0.2">
      <c r="B1642" s="4">
        <v>9</v>
      </c>
      <c r="C1642" s="4" t="s">
        <v>7678</v>
      </c>
      <c r="D1642" s="8" t="s">
        <v>5790</v>
      </c>
      <c r="E1642" s="4">
        <v>1574</v>
      </c>
      <c r="F1642" s="4" t="s">
        <v>5791</v>
      </c>
      <c r="G1642" s="4" t="s">
        <v>5792</v>
      </c>
      <c r="H1642" s="4" t="s">
        <v>5793</v>
      </c>
      <c r="I1642" s="4" t="s">
        <v>641</v>
      </c>
      <c r="J1642" s="4" t="s">
        <v>5198</v>
      </c>
      <c r="K1642" s="4">
        <v>1</v>
      </c>
      <c r="L1642" s="4">
        <v>1977</v>
      </c>
      <c r="M1642" s="6"/>
      <c r="AK1642" s="7"/>
    </row>
    <row r="1643" spans="1:41" ht="14.25" customHeight="1" x14ac:dyDescent="0.2">
      <c r="B1643" s="4">
        <v>9</v>
      </c>
      <c r="C1643" s="4" t="s">
        <v>7678</v>
      </c>
      <c r="D1643" s="8" t="s">
        <v>5794</v>
      </c>
      <c r="E1643" s="4">
        <v>2606</v>
      </c>
      <c r="F1643" s="4" t="s">
        <v>5795</v>
      </c>
      <c r="G1643" s="4" t="s">
        <v>5796</v>
      </c>
      <c r="H1643" s="4" t="s">
        <v>5797</v>
      </c>
      <c r="I1643" s="4" t="s">
        <v>641</v>
      </c>
      <c r="J1643" s="4" t="s">
        <v>5073</v>
      </c>
      <c r="K1643" s="4">
        <v>1</v>
      </c>
      <c r="L1643" s="4">
        <v>3009</v>
      </c>
      <c r="M1643" s="6"/>
      <c r="AK1643" s="7"/>
    </row>
    <row r="1644" spans="1:41" ht="14.25" customHeight="1" x14ac:dyDescent="0.2">
      <c r="A1644" s="4" t="s">
        <v>5032</v>
      </c>
      <c r="B1644" s="4">
        <v>9</v>
      </c>
      <c r="C1644" s="4" t="s">
        <v>7678</v>
      </c>
      <c r="D1644" s="8" t="s">
        <v>5798</v>
      </c>
      <c r="E1644" s="4">
        <v>2612</v>
      </c>
      <c r="F1644" s="4" t="s">
        <v>5799</v>
      </c>
      <c r="G1644" s="4" t="s">
        <v>5800</v>
      </c>
      <c r="H1644" s="4" t="s">
        <v>5801</v>
      </c>
      <c r="I1644" s="4" t="s">
        <v>641</v>
      </c>
      <c r="J1644" s="4" t="s">
        <v>5073</v>
      </c>
      <c r="K1644" s="4">
        <v>1</v>
      </c>
      <c r="L1644" s="4">
        <v>3015</v>
      </c>
      <c r="M1644" s="6"/>
      <c r="AK1644" s="7"/>
    </row>
    <row r="1645" spans="1:41" ht="14.25" customHeight="1" x14ac:dyDescent="0.2">
      <c r="B1645" s="4">
        <v>9</v>
      </c>
      <c r="C1645" s="4" t="s">
        <v>7678</v>
      </c>
      <c r="D1645" s="8" t="s">
        <v>5802</v>
      </c>
      <c r="E1645" s="4">
        <v>1570</v>
      </c>
      <c r="F1645" s="4" t="s">
        <v>5803</v>
      </c>
      <c r="G1645" s="4" t="s">
        <v>5804</v>
      </c>
      <c r="H1645" s="4" t="s">
        <v>5805</v>
      </c>
      <c r="I1645" s="4" t="s">
        <v>641</v>
      </c>
      <c r="J1645" s="4" t="s">
        <v>5037</v>
      </c>
      <c r="K1645" s="4">
        <v>1</v>
      </c>
      <c r="L1645" s="4">
        <v>1973</v>
      </c>
      <c r="M1645" s="6"/>
      <c r="AK1645" s="7"/>
    </row>
    <row r="1646" spans="1:41" ht="14.25" customHeight="1" x14ac:dyDescent="0.2">
      <c r="A1646" s="4" t="s">
        <v>5032</v>
      </c>
      <c r="B1646" s="4">
        <v>9</v>
      </c>
      <c r="C1646" s="4" t="s">
        <v>7678</v>
      </c>
      <c r="D1646" s="8" t="s">
        <v>5806</v>
      </c>
      <c r="E1646" s="4">
        <v>1559</v>
      </c>
      <c r="F1646" s="4" t="s">
        <v>5807</v>
      </c>
      <c r="G1646" s="4" t="s">
        <v>5808</v>
      </c>
      <c r="H1646" s="4" t="s">
        <v>5809</v>
      </c>
      <c r="I1646" s="4" t="s">
        <v>641</v>
      </c>
      <c r="J1646" s="4" t="s">
        <v>5073</v>
      </c>
      <c r="K1646" s="4">
        <v>1</v>
      </c>
      <c r="L1646" s="4">
        <v>1962</v>
      </c>
      <c r="M1646" s="6"/>
      <c r="AK1646" s="7"/>
    </row>
    <row r="1647" spans="1:41" ht="14.25" customHeight="1" x14ac:dyDescent="0.2">
      <c r="A1647" s="5" t="s">
        <v>5104</v>
      </c>
      <c r="B1647" s="4">
        <v>9</v>
      </c>
      <c r="C1647" s="8" t="s">
        <v>7685</v>
      </c>
      <c r="D1647" s="8" t="s">
        <v>5810</v>
      </c>
      <c r="E1647" s="4">
        <v>12269</v>
      </c>
      <c r="F1647" s="4" t="s">
        <v>433</v>
      </c>
      <c r="G1647" s="4" t="s">
        <v>5811</v>
      </c>
      <c r="H1647" s="4" t="s">
        <v>84</v>
      </c>
      <c r="I1647" s="4" t="s">
        <v>641</v>
      </c>
      <c r="K1647" s="4">
        <v>1</v>
      </c>
      <c r="L1647" s="4">
        <v>14324</v>
      </c>
      <c r="M1647" s="6"/>
      <c r="AK1647" s="7"/>
    </row>
    <row r="1648" spans="1:41" ht="14.25" customHeight="1" x14ac:dyDescent="0.2">
      <c r="A1648" s="4" t="s">
        <v>5032</v>
      </c>
      <c r="B1648" s="4">
        <v>9</v>
      </c>
      <c r="C1648" s="4" t="s">
        <v>7678</v>
      </c>
      <c r="D1648" s="8" t="s">
        <v>5812</v>
      </c>
      <c r="E1648" s="4">
        <v>1576</v>
      </c>
      <c r="F1648" s="4" t="s">
        <v>5813</v>
      </c>
      <c r="G1648" s="4" t="s">
        <v>5814</v>
      </c>
      <c r="H1648" s="4" t="s">
        <v>5815</v>
      </c>
      <c r="I1648" s="4" t="s">
        <v>641</v>
      </c>
      <c r="J1648" s="4" t="s">
        <v>5048</v>
      </c>
      <c r="K1648" s="4">
        <v>1</v>
      </c>
      <c r="L1648" s="4">
        <v>1979</v>
      </c>
      <c r="M1648" s="6"/>
      <c r="AK1648" s="7"/>
      <c r="AO1648" s="25"/>
    </row>
    <row r="1649" spans="1:41" ht="14.25" customHeight="1" x14ac:dyDescent="0.2">
      <c r="A1649" s="4" t="s">
        <v>5032</v>
      </c>
      <c r="B1649" s="4">
        <v>9</v>
      </c>
      <c r="C1649" s="4" t="s">
        <v>7678</v>
      </c>
      <c r="D1649" s="8" t="s">
        <v>5816</v>
      </c>
      <c r="E1649" s="4">
        <v>1575</v>
      </c>
      <c r="F1649" s="4" t="s">
        <v>5817</v>
      </c>
      <c r="G1649" s="4" t="s">
        <v>5818</v>
      </c>
      <c r="H1649" s="4" t="s">
        <v>5819</v>
      </c>
      <c r="I1649" s="4" t="s">
        <v>641</v>
      </c>
      <c r="J1649" s="4" t="s">
        <v>5083</v>
      </c>
      <c r="K1649" s="4">
        <v>1</v>
      </c>
      <c r="L1649" s="4">
        <v>1978</v>
      </c>
      <c r="M1649" s="6"/>
      <c r="AK1649" s="7"/>
    </row>
    <row r="1650" spans="1:41" ht="14.25" customHeight="1" x14ac:dyDescent="0.2">
      <c r="A1650" s="4" t="s">
        <v>5032</v>
      </c>
      <c r="B1650" s="4">
        <v>9</v>
      </c>
      <c r="C1650" s="4" t="s">
        <v>7678</v>
      </c>
      <c r="D1650" s="8" t="s">
        <v>5820</v>
      </c>
      <c r="E1650" s="4">
        <v>2593</v>
      </c>
      <c r="F1650" s="4" t="s">
        <v>5821</v>
      </c>
      <c r="G1650" s="4" t="s">
        <v>5822</v>
      </c>
      <c r="H1650" s="4" t="s">
        <v>5823</v>
      </c>
      <c r="I1650" s="4" t="s">
        <v>641</v>
      </c>
      <c r="J1650" s="4" t="s">
        <v>5037</v>
      </c>
      <c r="K1650" s="4">
        <v>1</v>
      </c>
      <c r="L1650" s="4">
        <v>2996</v>
      </c>
      <c r="M1650" s="6"/>
      <c r="AK1650" s="7"/>
      <c r="AO1650" s="25"/>
    </row>
    <row r="1651" spans="1:41" ht="14.25" customHeight="1" x14ac:dyDescent="0.2">
      <c r="A1651" s="4" t="s">
        <v>5824</v>
      </c>
      <c r="B1651" s="4">
        <v>9</v>
      </c>
      <c r="C1651" s="4" t="s">
        <v>7678</v>
      </c>
      <c r="D1651" s="8" t="s">
        <v>5825</v>
      </c>
      <c r="E1651" s="4">
        <v>12280</v>
      </c>
      <c r="F1651" s="4" t="s">
        <v>5826</v>
      </c>
      <c r="G1651" s="4" t="s">
        <v>5827</v>
      </c>
      <c r="H1651" s="4" t="s">
        <v>5828</v>
      </c>
      <c r="I1651" s="4" t="s">
        <v>641</v>
      </c>
      <c r="J1651" s="4" t="s">
        <v>5254</v>
      </c>
      <c r="K1651" s="4">
        <v>1</v>
      </c>
      <c r="L1651" s="4">
        <v>14335</v>
      </c>
      <c r="M1651" s="6"/>
      <c r="AK1651" s="7"/>
    </row>
    <row r="1652" spans="1:41" ht="14.25" customHeight="1" x14ac:dyDescent="0.2">
      <c r="A1652" s="4" t="s">
        <v>5032</v>
      </c>
      <c r="B1652" s="4">
        <v>9</v>
      </c>
      <c r="C1652" s="4" t="s">
        <v>7678</v>
      </c>
      <c r="D1652" s="8" t="s">
        <v>5829</v>
      </c>
      <c r="E1652" s="4">
        <v>12441</v>
      </c>
      <c r="F1652" s="4" t="s">
        <v>5830</v>
      </c>
      <c r="G1652" s="4" t="s">
        <v>5831</v>
      </c>
      <c r="H1652" s="4" t="s">
        <v>5832</v>
      </c>
      <c r="I1652" s="4" t="s">
        <v>49</v>
      </c>
      <c r="J1652" s="4" t="s">
        <v>5073</v>
      </c>
      <c r="K1652" s="4">
        <v>1</v>
      </c>
      <c r="L1652" s="4">
        <v>14463</v>
      </c>
      <c r="M1652" s="6"/>
      <c r="AK1652" s="7"/>
      <c r="AO1652" s="25"/>
    </row>
    <row r="1653" spans="1:41" ht="14.25" customHeight="1" x14ac:dyDescent="0.2">
      <c r="A1653" s="4" t="s">
        <v>5032</v>
      </c>
      <c r="B1653" s="4">
        <v>9</v>
      </c>
      <c r="C1653" s="4" t="s">
        <v>7678</v>
      </c>
      <c r="D1653" s="8" t="s">
        <v>5833</v>
      </c>
      <c r="E1653" s="4">
        <v>12283</v>
      </c>
      <c r="F1653" s="4" t="s">
        <v>5834</v>
      </c>
      <c r="G1653" s="4" t="s">
        <v>5835</v>
      </c>
      <c r="H1653" s="4" t="s">
        <v>5836</v>
      </c>
      <c r="I1653" s="4" t="s">
        <v>641</v>
      </c>
      <c r="J1653" s="4" t="s">
        <v>5073</v>
      </c>
      <c r="K1653" s="4">
        <v>1</v>
      </c>
      <c r="L1653" s="4">
        <v>14338</v>
      </c>
      <c r="M1653" s="6"/>
      <c r="AK1653" s="7"/>
      <c r="AO1653" s="25"/>
    </row>
    <row r="1654" spans="1:41" ht="14.25" customHeight="1" x14ac:dyDescent="0.2">
      <c r="A1654" s="4" t="s">
        <v>5837</v>
      </c>
      <c r="B1654" s="4">
        <v>9</v>
      </c>
      <c r="C1654" s="4" t="s">
        <v>7678</v>
      </c>
      <c r="D1654" s="4" t="s">
        <v>5838</v>
      </c>
      <c r="E1654" s="4">
        <v>2613</v>
      </c>
      <c r="F1654" s="4" t="s">
        <v>5834</v>
      </c>
      <c r="G1654" s="4" t="s">
        <v>5839</v>
      </c>
      <c r="H1654" s="4" t="s">
        <v>5840</v>
      </c>
      <c r="I1654" s="4" t="s">
        <v>641</v>
      </c>
      <c r="J1654" s="4" t="s">
        <v>5083</v>
      </c>
      <c r="K1654" s="4">
        <v>1</v>
      </c>
      <c r="L1654" s="4">
        <v>3016</v>
      </c>
      <c r="M1654" s="6"/>
      <c r="AK1654" s="7"/>
    </row>
    <row r="1655" spans="1:41" ht="14.25" customHeight="1" x14ac:dyDescent="0.2">
      <c r="A1655" s="41" t="s">
        <v>422</v>
      </c>
      <c r="B1655" s="84">
        <v>9</v>
      </c>
      <c r="C1655" s="84" t="s">
        <v>7678</v>
      </c>
      <c r="D1655" s="84" t="s">
        <v>5841</v>
      </c>
      <c r="E1655" s="84">
        <v>12437</v>
      </c>
      <c r="F1655" s="84" t="s">
        <v>5842</v>
      </c>
      <c r="G1655" s="84" t="s">
        <v>113</v>
      </c>
      <c r="H1655" s="84" t="s">
        <v>5843</v>
      </c>
      <c r="I1655" s="84" t="s">
        <v>49</v>
      </c>
      <c r="J1655" s="84" t="s">
        <v>5844</v>
      </c>
      <c r="K1655" s="84">
        <v>1</v>
      </c>
      <c r="L1655" s="84">
        <v>14459</v>
      </c>
      <c r="M1655" s="85"/>
      <c r="N1655" s="84"/>
      <c r="O1655" s="84"/>
      <c r="P1655" s="84"/>
      <c r="Q1655" s="84"/>
      <c r="R1655" s="84"/>
      <c r="S1655" s="84"/>
      <c r="T1655" s="84"/>
      <c r="U1655" s="84"/>
      <c r="V1655" s="84"/>
      <c r="W1655" s="84"/>
      <c r="X1655" s="84"/>
      <c r="Y1655" s="84"/>
      <c r="Z1655" s="84"/>
      <c r="AA1655" s="84"/>
      <c r="AB1655" s="84"/>
      <c r="AC1655" s="84"/>
      <c r="AD1655" s="84"/>
      <c r="AE1655" s="84"/>
      <c r="AF1655" s="84"/>
      <c r="AI1655" s="84"/>
      <c r="AK1655" s="7"/>
    </row>
    <row r="1656" spans="1:41" ht="14.25" customHeight="1" x14ac:dyDescent="0.2">
      <c r="A1656" s="86" t="s">
        <v>5845</v>
      </c>
      <c r="B1656" s="84">
        <v>9</v>
      </c>
      <c r="C1656" s="84" t="s">
        <v>7684</v>
      </c>
      <c r="D1656" s="84" t="s">
        <v>5846</v>
      </c>
      <c r="E1656" s="84">
        <v>12426</v>
      </c>
      <c r="F1656" s="84" t="s">
        <v>5847</v>
      </c>
      <c r="G1656" s="84" t="s">
        <v>113</v>
      </c>
      <c r="H1656" s="84" t="s">
        <v>5848</v>
      </c>
      <c r="I1656" s="84" t="s">
        <v>49</v>
      </c>
      <c r="J1656" s="84" t="s">
        <v>5078</v>
      </c>
      <c r="K1656" s="84">
        <v>1</v>
      </c>
      <c r="L1656" s="84">
        <v>14448</v>
      </c>
      <c r="M1656" s="85"/>
      <c r="N1656" s="84"/>
      <c r="O1656" s="84"/>
      <c r="P1656" s="84"/>
      <c r="Q1656" s="84"/>
      <c r="R1656" s="84"/>
      <c r="S1656" s="84"/>
      <c r="T1656" s="84"/>
      <c r="U1656" s="84"/>
      <c r="V1656" s="84"/>
      <c r="W1656" s="84"/>
      <c r="X1656" s="84"/>
      <c r="Y1656" s="84"/>
      <c r="Z1656" s="84"/>
      <c r="AA1656" s="84"/>
      <c r="AB1656" s="84"/>
      <c r="AC1656" s="84"/>
      <c r="AD1656" s="84"/>
      <c r="AE1656" s="84"/>
      <c r="AF1656" s="84"/>
      <c r="AI1656" s="84"/>
      <c r="AK1656" s="7"/>
    </row>
    <row r="1657" spans="1:41" ht="14.25" customHeight="1" x14ac:dyDescent="0.2">
      <c r="A1657" s="4" t="s">
        <v>5849</v>
      </c>
      <c r="B1657" s="84">
        <v>9</v>
      </c>
      <c r="C1657" s="84" t="s">
        <v>7678</v>
      </c>
      <c r="D1657" s="84" t="s">
        <v>5850</v>
      </c>
      <c r="E1657" s="84">
        <v>12442</v>
      </c>
      <c r="F1657" s="84" t="s">
        <v>5851</v>
      </c>
      <c r="G1657" s="84" t="s">
        <v>113</v>
      </c>
      <c r="H1657" s="84" t="s">
        <v>5852</v>
      </c>
      <c r="I1657" s="84" t="s">
        <v>49</v>
      </c>
      <c r="J1657" s="84" t="s">
        <v>5073</v>
      </c>
      <c r="K1657" s="84">
        <v>1</v>
      </c>
      <c r="L1657" s="84">
        <v>14464</v>
      </c>
      <c r="M1657" s="85"/>
      <c r="N1657" s="84"/>
      <c r="O1657" s="84"/>
      <c r="P1657" s="84"/>
      <c r="Q1657" s="84"/>
      <c r="R1657" s="84"/>
      <c r="S1657" s="84"/>
      <c r="T1657" s="84"/>
      <c r="U1657" s="84"/>
      <c r="V1657" s="84"/>
      <c r="W1657" s="84"/>
      <c r="X1657" s="84"/>
      <c r="Y1657" s="84"/>
      <c r="Z1657" s="84"/>
      <c r="AA1657" s="84"/>
      <c r="AB1657" s="84"/>
      <c r="AC1657" s="84"/>
      <c r="AD1657" s="84"/>
      <c r="AE1657" s="84"/>
      <c r="AF1657" s="84"/>
      <c r="AI1657" s="84"/>
      <c r="AK1657" s="7"/>
    </row>
    <row r="1658" spans="1:41" ht="14.25" customHeight="1" x14ac:dyDescent="0.2">
      <c r="A1658" s="4" t="s">
        <v>5853</v>
      </c>
      <c r="B1658" s="4">
        <v>9</v>
      </c>
      <c r="C1658" s="4" t="s">
        <v>7678</v>
      </c>
      <c r="D1658" s="8" t="s">
        <v>5854</v>
      </c>
      <c r="E1658" s="4">
        <v>12454</v>
      </c>
      <c r="F1658" s="8" t="s">
        <v>5855</v>
      </c>
      <c r="G1658" s="8" t="s">
        <v>5856</v>
      </c>
      <c r="H1658" s="4" t="s">
        <v>5857</v>
      </c>
      <c r="I1658" s="4" t="s">
        <v>49</v>
      </c>
      <c r="J1658" s="4" t="s">
        <v>5073</v>
      </c>
      <c r="K1658" s="4">
        <v>1</v>
      </c>
      <c r="L1658" s="4">
        <v>14476</v>
      </c>
      <c r="M1658" s="6"/>
      <c r="AK1658" s="7"/>
    </row>
    <row r="1659" spans="1:41" ht="14.25" customHeight="1" x14ac:dyDescent="0.2">
      <c r="A1659" s="41" t="s">
        <v>422</v>
      </c>
      <c r="B1659" s="84">
        <v>9</v>
      </c>
      <c r="C1659" s="84" t="s">
        <v>7678</v>
      </c>
      <c r="D1659" s="84" t="s">
        <v>5858</v>
      </c>
      <c r="E1659" s="84">
        <v>12609</v>
      </c>
      <c r="F1659" s="84" t="s">
        <v>1649</v>
      </c>
      <c r="G1659" s="84" t="s">
        <v>113</v>
      </c>
      <c r="H1659" s="84" t="s">
        <v>84</v>
      </c>
      <c r="I1659" s="84" t="s">
        <v>49</v>
      </c>
      <c r="J1659" s="84"/>
      <c r="K1659" s="84">
        <v>1</v>
      </c>
      <c r="L1659" s="84">
        <v>14631</v>
      </c>
      <c r="M1659" s="85"/>
      <c r="N1659" s="84"/>
      <c r="O1659" s="84"/>
      <c r="P1659" s="84"/>
      <c r="Q1659" s="84"/>
      <c r="R1659" s="84"/>
      <c r="S1659" s="84"/>
      <c r="T1659" s="84"/>
      <c r="U1659" s="84"/>
      <c r="V1659" s="84"/>
      <c r="W1659" s="84"/>
      <c r="X1659" s="84"/>
      <c r="Y1659" s="84"/>
      <c r="Z1659" s="84"/>
      <c r="AA1659" s="84"/>
      <c r="AB1659" s="84"/>
      <c r="AC1659" s="84"/>
      <c r="AD1659" s="84"/>
      <c r="AE1659" s="84"/>
      <c r="AF1659" s="84"/>
      <c r="AI1659" s="84"/>
      <c r="AK1659" s="7"/>
    </row>
    <row r="1660" spans="1:41" ht="14.25" customHeight="1" x14ac:dyDescent="0.2">
      <c r="A1660" s="4" t="s">
        <v>5043</v>
      </c>
      <c r="B1660" s="4">
        <v>9</v>
      </c>
      <c r="C1660" s="8" t="s">
        <v>7681</v>
      </c>
      <c r="D1660" s="4" t="s">
        <v>5859</v>
      </c>
      <c r="E1660" s="4">
        <v>2632</v>
      </c>
      <c r="F1660" s="4" t="s">
        <v>5860</v>
      </c>
      <c r="G1660" s="4" t="s">
        <v>5861</v>
      </c>
      <c r="H1660" s="4" t="s">
        <v>5862</v>
      </c>
      <c r="I1660" s="4" t="s">
        <v>641</v>
      </c>
      <c r="J1660" s="4" t="s">
        <v>5048</v>
      </c>
      <c r="K1660" s="4">
        <v>1</v>
      </c>
      <c r="L1660" s="4">
        <v>3035</v>
      </c>
      <c r="M1660" s="6"/>
      <c r="AK1660" s="7"/>
    </row>
    <row r="1661" spans="1:41" ht="14.25" customHeight="1" x14ac:dyDescent="0.2">
      <c r="A1661" s="4" t="s">
        <v>5032</v>
      </c>
      <c r="B1661" s="4">
        <v>9</v>
      </c>
      <c r="C1661" s="4" t="s">
        <v>7678</v>
      </c>
      <c r="D1661" s="8" t="s">
        <v>5863</v>
      </c>
      <c r="E1661" s="4">
        <v>2646</v>
      </c>
      <c r="F1661" s="4" t="s">
        <v>5864</v>
      </c>
      <c r="G1661" s="4" t="s">
        <v>5865</v>
      </c>
      <c r="H1661" s="4" t="s">
        <v>5866</v>
      </c>
      <c r="I1661" s="4" t="s">
        <v>641</v>
      </c>
      <c r="J1661" s="4" t="s">
        <v>5073</v>
      </c>
      <c r="K1661" s="4">
        <v>1</v>
      </c>
      <c r="L1661" s="4">
        <v>3049</v>
      </c>
      <c r="M1661" s="6"/>
      <c r="AK1661" s="7"/>
    </row>
    <row r="1662" spans="1:41" ht="14.25" customHeight="1" x14ac:dyDescent="0.2">
      <c r="A1662" s="4" t="s">
        <v>5032</v>
      </c>
      <c r="B1662" s="4">
        <v>9</v>
      </c>
      <c r="C1662" s="4" t="s">
        <v>7678</v>
      </c>
      <c r="D1662" s="8" t="s">
        <v>5867</v>
      </c>
      <c r="E1662" s="4">
        <v>12285</v>
      </c>
      <c r="F1662" s="4" t="s">
        <v>5868</v>
      </c>
      <c r="G1662" s="4" t="s">
        <v>5869</v>
      </c>
      <c r="H1662" s="4" t="s">
        <v>5870</v>
      </c>
      <c r="I1662" s="4" t="s">
        <v>641</v>
      </c>
      <c r="J1662" s="4" t="s">
        <v>5073</v>
      </c>
      <c r="K1662" s="4">
        <v>1</v>
      </c>
      <c r="L1662" s="4">
        <v>14340</v>
      </c>
      <c r="M1662" s="6"/>
      <c r="AK1662" s="7"/>
    </row>
    <row r="1663" spans="1:41" ht="14.25" customHeight="1" x14ac:dyDescent="0.2">
      <c r="B1663" s="4">
        <v>9</v>
      </c>
      <c r="C1663" s="4" t="s">
        <v>7678</v>
      </c>
      <c r="D1663" s="8" t="s">
        <v>5871</v>
      </c>
      <c r="E1663" s="4">
        <v>12288</v>
      </c>
      <c r="F1663" s="4" t="s">
        <v>5872</v>
      </c>
      <c r="G1663" s="4" t="s">
        <v>5873</v>
      </c>
      <c r="H1663" s="4" t="s">
        <v>5874</v>
      </c>
      <c r="I1663" s="4" t="s">
        <v>641</v>
      </c>
      <c r="J1663" s="4" t="s">
        <v>5177</v>
      </c>
      <c r="K1663" s="4">
        <v>1</v>
      </c>
      <c r="L1663" s="4">
        <v>14343</v>
      </c>
      <c r="M1663" s="6"/>
      <c r="AK1663" s="7"/>
    </row>
    <row r="1664" spans="1:41" ht="14.25" customHeight="1" x14ac:dyDescent="0.2">
      <c r="A1664" s="4" t="s">
        <v>5043</v>
      </c>
      <c r="B1664" s="4">
        <v>9</v>
      </c>
      <c r="C1664" s="8" t="s">
        <v>7681</v>
      </c>
      <c r="D1664" s="4" t="s">
        <v>5875</v>
      </c>
      <c r="E1664" s="4">
        <v>1591</v>
      </c>
      <c r="F1664" s="4" t="s">
        <v>5876</v>
      </c>
      <c r="G1664" s="4" t="s">
        <v>5877</v>
      </c>
      <c r="H1664" s="4" t="s">
        <v>5878</v>
      </c>
      <c r="I1664" s="4" t="s">
        <v>641</v>
      </c>
      <c r="J1664" s="4" t="s">
        <v>5048</v>
      </c>
      <c r="K1664" s="4">
        <v>1</v>
      </c>
      <c r="L1664" s="4">
        <v>1994</v>
      </c>
      <c r="M1664" s="6"/>
      <c r="AK1664" s="7"/>
    </row>
    <row r="1665" spans="1:41" ht="14.25" customHeight="1" x14ac:dyDescent="0.2">
      <c r="A1665" s="5" t="s">
        <v>5879</v>
      </c>
      <c r="B1665" s="4">
        <v>9</v>
      </c>
      <c r="C1665" s="8" t="s">
        <v>7681</v>
      </c>
      <c r="D1665" s="8" t="s">
        <v>5880</v>
      </c>
      <c r="E1665" s="4">
        <v>12291</v>
      </c>
      <c r="F1665" s="4" t="s">
        <v>431</v>
      </c>
      <c r="G1665" s="4" t="s">
        <v>5881</v>
      </c>
      <c r="H1665" s="4" t="s">
        <v>84</v>
      </c>
      <c r="I1665" s="4" t="s">
        <v>641</v>
      </c>
      <c r="K1665" s="4">
        <v>1</v>
      </c>
      <c r="L1665" s="4">
        <v>14346</v>
      </c>
      <c r="M1665" s="6"/>
      <c r="AK1665" s="7"/>
    </row>
    <row r="1666" spans="1:41" ht="14.25" customHeight="1" x14ac:dyDescent="0.2">
      <c r="A1666" s="4" t="s">
        <v>5043</v>
      </c>
      <c r="B1666" s="4">
        <v>9</v>
      </c>
      <c r="C1666" s="8" t="s">
        <v>7681</v>
      </c>
      <c r="D1666" s="4" t="s">
        <v>5882</v>
      </c>
      <c r="E1666" s="4">
        <v>1584</v>
      </c>
      <c r="F1666" s="4" t="s">
        <v>5883</v>
      </c>
      <c r="G1666" s="4" t="s">
        <v>5884</v>
      </c>
      <c r="H1666" s="4" t="s">
        <v>5885</v>
      </c>
      <c r="I1666" s="4" t="s">
        <v>641</v>
      </c>
      <c r="J1666" s="4" t="s">
        <v>5048</v>
      </c>
      <c r="K1666" s="4">
        <v>1</v>
      </c>
      <c r="L1666" s="4">
        <v>1987</v>
      </c>
      <c r="M1666" s="6"/>
      <c r="AK1666" s="7"/>
    </row>
    <row r="1667" spans="1:41" ht="14.25" customHeight="1" x14ac:dyDescent="0.2">
      <c r="A1667" s="4" t="s">
        <v>5032</v>
      </c>
      <c r="B1667" s="4">
        <v>9</v>
      </c>
      <c r="C1667" s="4" t="s">
        <v>7678</v>
      </c>
      <c r="D1667" s="8" t="s">
        <v>5886</v>
      </c>
      <c r="E1667" s="4">
        <v>12293</v>
      </c>
      <c r="F1667" s="4" t="s">
        <v>5887</v>
      </c>
      <c r="G1667" s="4" t="s">
        <v>5888</v>
      </c>
      <c r="H1667" s="4" t="s">
        <v>5889</v>
      </c>
      <c r="I1667" s="4" t="s">
        <v>641</v>
      </c>
      <c r="J1667" s="4" t="s">
        <v>5078</v>
      </c>
      <c r="K1667" s="4">
        <v>1</v>
      </c>
      <c r="L1667" s="4">
        <v>14348</v>
      </c>
      <c r="M1667" s="6"/>
      <c r="AK1667" s="7"/>
    </row>
    <row r="1668" spans="1:41" ht="14.25" customHeight="1" x14ac:dyDescent="0.2">
      <c r="A1668" s="4" t="s">
        <v>5032</v>
      </c>
      <c r="B1668" s="4">
        <v>9</v>
      </c>
      <c r="C1668" s="4" t="s">
        <v>7678</v>
      </c>
      <c r="D1668" s="8" t="s">
        <v>5890</v>
      </c>
      <c r="E1668" s="4">
        <v>2596</v>
      </c>
      <c r="F1668" s="4" t="s">
        <v>5891</v>
      </c>
      <c r="G1668" s="4" t="s">
        <v>5892</v>
      </c>
      <c r="H1668" s="4" t="s">
        <v>5893</v>
      </c>
      <c r="I1668" s="4" t="s">
        <v>641</v>
      </c>
      <c r="J1668" s="4" t="s">
        <v>5073</v>
      </c>
      <c r="K1668" s="4">
        <v>1</v>
      </c>
      <c r="L1668" s="4">
        <v>2999</v>
      </c>
      <c r="M1668" s="6"/>
      <c r="AK1668" s="7"/>
      <c r="AO1668" s="25"/>
    </row>
    <row r="1669" spans="1:41" ht="14.25" customHeight="1" x14ac:dyDescent="0.2">
      <c r="A1669" s="4" t="s">
        <v>5032</v>
      </c>
      <c r="B1669" s="4">
        <v>9</v>
      </c>
      <c r="C1669" s="4" t="s">
        <v>7678</v>
      </c>
      <c r="D1669" s="10" t="s">
        <v>5894</v>
      </c>
      <c r="E1669" s="4">
        <v>2614</v>
      </c>
      <c r="F1669" s="4" t="s">
        <v>5895</v>
      </c>
      <c r="G1669" s="4" t="s">
        <v>5896</v>
      </c>
      <c r="H1669" s="4" t="s">
        <v>5897</v>
      </c>
      <c r="I1669" s="4" t="s">
        <v>641</v>
      </c>
      <c r="J1669" s="4" t="s">
        <v>5073</v>
      </c>
      <c r="K1669" s="4">
        <v>1</v>
      </c>
      <c r="L1669" s="4">
        <v>3017</v>
      </c>
      <c r="M1669" s="6"/>
      <c r="AK1669" s="7"/>
      <c r="AO1669" s="25"/>
    </row>
    <row r="1670" spans="1:41" ht="14.25" customHeight="1" x14ac:dyDescent="0.2">
      <c r="A1670" s="4" t="s">
        <v>5032</v>
      </c>
      <c r="B1670" s="4">
        <v>9</v>
      </c>
      <c r="C1670" s="4" t="s">
        <v>7678</v>
      </c>
      <c r="D1670" s="8" t="s">
        <v>5898</v>
      </c>
      <c r="E1670" s="4">
        <v>1557</v>
      </c>
      <c r="F1670" s="4" t="s">
        <v>5899</v>
      </c>
      <c r="G1670" s="4" t="s">
        <v>5900</v>
      </c>
      <c r="H1670" s="4" t="s">
        <v>5901</v>
      </c>
      <c r="I1670" s="4" t="s">
        <v>641</v>
      </c>
      <c r="J1670" s="4" t="s">
        <v>5073</v>
      </c>
      <c r="K1670" s="4">
        <v>1</v>
      </c>
      <c r="L1670" s="4">
        <v>1960</v>
      </c>
      <c r="M1670" s="6"/>
      <c r="AK1670" s="7"/>
    </row>
    <row r="1671" spans="1:41" ht="14.25" customHeight="1" x14ac:dyDescent="0.2">
      <c r="A1671" s="4" t="s">
        <v>5032</v>
      </c>
      <c r="B1671" s="4">
        <v>9</v>
      </c>
      <c r="C1671" s="4" t="s">
        <v>7678</v>
      </c>
      <c r="D1671" s="8" t="s">
        <v>5902</v>
      </c>
      <c r="E1671" s="4">
        <v>1558</v>
      </c>
      <c r="F1671" s="4" t="s">
        <v>5903</v>
      </c>
      <c r="G1671" s="4" t="s">
        <v>5904</v>
      </c>
      <c r="H1671" s="4" t="s">
        <v>5905</v>
      </c>
      <c r="I1671" s="4" t="s">
        <v>641</v>
      </c>
      <c r="J1671" s="4" t="s">
        <v>5163</v>
      </c>
      <c r="K1671" s="4">
        <v>1</v>
      </c>
      <c r="L1671" s="4">
        <v>1961</v>
      </c>
      <c r="M1671" s="6"/>
      <c r="AK1671" s="7"/>
    </row>
    <row r="1672" spans="1:41" ht="14.25" customHeight="1" x14ac:dyDescent="0.2">
      <c r="A1672" s="4" t="s">
        <v>5032</v>
      </c>
      <c r="B1672" s="4">
        <v>9</v>
      </c>
      <c r="C1672" s="4" t="s">
        <v>7678</v>
      </c>
      <c r="D1672" s="8" t="s">
        <v>5906</v>
      </c>
      <c r="E1672" s="4">
        <v>12297</v>
      </c>
      <c r="F1672" s="4" t="s">
        <v>5907</v>
      </c>
      <c r="G1672" s="4" t="s">
        <v>5908</v>
      </c>
      <c r="H1672" s="4" t="s">
        <v>5909</v>
      </c>
      <c r="I1672" s="4" t="s">
        <v>641</v>
      </c>
      <c r="J1672" s="4" t="s">
        <v>5073</v>
      </c>
      <c r="K1672" s="4">
        <v>1</v>
      </c>
      <c r="L1672" s="4">
        <v>14352</v>
      </c>
      <c r="M1672" s="6"/>
      <c r="AK1672" s="7"/>
      <c r="AO1672" s="25"/>
    </row>
    <row r="1673" spans="1:41" ht="14.25" customHeight="1" x14ac:dyDescent="0.2">
      <c r="A1673" s="4" t="s">
        <v>5910</v>
      </c>
      <c r="B1673" s="4">
        <v>9</v>
      </c>
      <c r="C1673" s="4" t="s">
        <v>7678</v>
      </c>
      <c r="D1673" s="4" t="s">
        <v>5911</v>
      </c>
      <c r="E1673" s="4">
        <v>2589</v>
      </c>
      <c r="F1673" s="4" t="s">
        <v>5912</v>
      </c>
      <c r="G1673" s="4" t="s">
        <v>5913</v>
      </c>
      <c r="H1673" s="4" t="s">
        <v>5914</v>
      </c>
      <c r="I1673" s="4" t="s">
        <v>641</v>
      </c>
      <c r="J1673" s="4" t="s">
        <v>5037</v>
      </c>
      <c r="K1673" s="4">
        <v>1</v>
      </c>
      <c r="L1673" s="4">
        <v>2992</v>
      </c>
      <c r="M1673" s="6"/>
      <c r="AK1673" s="7"/>
    </row>
    <row r="1674" spans="1:41" ht="14.25" customHeight="1" x14ac:dyDescent="0.2">
      <c r="A1674" s="4" t="s">
        <v>5032</v>
      </c>
      <c r="B1674" s="4">
        <v>9</v>
      </c>
      <c r="C1674" s="4" t="s">
        <v>7678</v>
      </c>
      <c r="D1674" s="10" t="s">
        <v>5915</v>
      </c>
      <c r="E1674" s="4">
        <v>12300</v>
      </c>
      <c r="F1674" s="4" t="s">
        <v>5916</v>
      </c>
      <c r="G1674" s="4" t="s">
        <v>5917</v>
      </c>
      <c r="H1674" s="4" t="s">
        <v>5325</v>
      </c>
      <c r="I1674" s="4" t="s">
        <v>641</v>
      </c>
      <c r="J1674" s="4" t="s">
        <v>5073</v>
      </c>
      <c r="K1674" s="4">
        <v>1</v>
      </c>
      <c r="L1674" s="4">
        <v>14355</v>
      </c>
    </row>
    <row r="1675" spans="1:41" ht="14.25" customHeight="1" x14ac:dyDescent="0.2">
      <c r="A1675" s="4" t="s">
        <v>4980</v>
      </c>
      <c r="B1675" s="4">
        <v>9</v>
      </c>
      <c r="C1675" s="4" t="s">
        <v>7678</v>
      </c>
      <c r="D1675" s="8" t="s">
        <v>5918</v>
      </c>
      <c r="E1675" s="4">
        <v>2618</v>
      </c>
      <c r="F1675" s="4" t="s">
        <v>5919</v>
      </c>
      <c r="G1675" s="4" t="s">
        <v>5920</v>
      </c>
      <c r="H1675" s="4" t="s">
        <v>5921</v>
      </c>
      <c r="I1675" s="4" t="s">
        <v>641</v>
      </c>
      <c r="J1675" s="4" t="s">
        <v>5073</v>
      </c>
      <c r="K1675" s="4">
        <v>1</v>
      </c>
      <c r="L1675" s="4">
        <v>3021</v>
      </c>
    </row>
    <row r="1676" spans="1:41" ht="14.25" customHeight="1" x14ac:dyDescent="0.2">
      <c r="A1676" s="4" t="s">
        <v>5032</v>
      </c>
      <c r="B1676" s="4">
        <v>9</v>
      </c>
      <c r="C1676" s="4" t="s">
        <v>7678</v>
      </c>
      <c r="D1676" s="8" t="s">
        <v>5922</v>
      </c>
      <c r="E1676" s="4">
        <v>12309</v>
      </c>
      <c r="F1676" s="4" t="s">
        <v>5923</v>
      </c>
      <c r="G1676" s="4" t="s">
        <v>5924</v>
      </c>
      <c r="H1676" s="4" t="s">
        <v>5925</v>
      </c>
      <c r="I1676" s="4" t="s">
        <v>641</v>
      </c>
      <c r="J1676" s="4" t="s">
        <v>5078</v>
      </c>
      <c r="K1676" s="4">
        <v>1</v>
      </c>
      <c r="L1676" s="4">
        <v>14364</v>
      </c>
    </row>
    <row r="1677" spans="1:41" ht="14.25" customHeight="1" x14ac:dyDescent="0.2">
      <c r="A1677" s="9"/>
      <c r="B1677" s="9">
        <v>9</v>
      </c>
      <c r="C1677" s="9" t="s">
        <v>7678</v>
      </c>
      <c r="D1677" s="9" t="s">
        <v>5926</v>
      </c>
      <c r="E1677" s="9">
        <v>2592</v>
      </c>
      <c r="F1677" s="9" t="s">
        <v>5927</v>
      </c>
      <c r="G1677" s="9" t="s">
        <v>5928</v>
      </c>
      <c r="H1677" s="9" t="s">
        <v>5929</v>
      </c>
      <c r="I1677" s="9" t="s">
        <v>641</v>
      </c>
      <c r="J1677" s="9" t="s">
        <v>5083</v>
      </c>
      <c r="K1677" s="9">
        <v>1</v>
      </c>
      <c r="L1677" s="9">
        <v>2995</v>
      </c>
      <c r="M1677" s="9"/>
      <c r="N1677" s="9"/>
      <c r="O1677" s="9"/>
      <c r="P1677" s="9"/>
      <c r="Q1677" s="9"/>
      <c r="R1677" s="9"/>
      <c r="S1677" s="9"/>
      <c r="T1677" s="9"/>
      <c r="U1677" s="9"/>
      <c r="V1677" s="9"/>
      <c r="W1677" s="9"/>
      <c r="X1677" s="9"/>
      <c r="Y1677" s="9"/>
      <c r="Z1677" s="9"/>
      <c r="AA1677" s="9"/>
      <c r="AB1677" s="9"/>
      <c r="AC1677" s="9"/>
      <c r="AD1677" s="9"/>
      <c r="AE1677" s="9"/>
      <c r="AF1677" s="9"/>
      <c r="AI1677" s="9"/>
    </row>
    <row r="1678" spans="1:41" ht="14.25" customHeight="1" x14ac:dyDescent="0.2">
      <c r="A1678" s="4" t="s">
        <v>4968</v>
      </c>
      <c r="B1678" s="4">
        <v>9</v>
      </c>
      <c r="C1678" s="4" t="s">
        <v>7678</v>
      </c>
      <c r="D1678" s="8" t="s">
        <v>5930</v>
      </c>
      <c r="E1678" s="4">
        <v>12310</v>
      </c>
      <c r="F1678" s="8" t="s">
        <v>5931</v>
      </c>
      <c r="G1678" s="4" t="s">
        <v>5932</v>
      </c>
      <c r="H1678" s="4" t="s">
        <v>5325</v>
      </c>
      <c r="I1678" s="4" t="s">
        <v>641</v>
      </c>
      <c r="J1678" s="4" t="s">
        <v>5073</v>
      </c>
      <c r="K1678" s="4">
        <v>1</v>
      </c>
      <c r="L1678" s="4">
        <v>14365</v>
      </c>
    </row>
    <row r="1679" spans="1:41" ht="14.25" customHeight="1" x14ac:dyDescent="0.2">
      <c r="A1679" s="4" t="s">
        <v>5406</v>
      </c>
      <c r="B1679" s="4">
        <v>9</v>
      </c>
      <c r="C1679" s="8" t="s">
        <v>7681</v>
      </c>
      <c r="D1679" s="8" t="s">
        <v>5933</v>
      </c>
      <c r="E1679" s="4">
        <v>12949</v>
      </c>
      <c r="F1679" s="8" t="s">
        <v>5934</v>
      </c>
      <c r="G1679" s="8" t="s">
        <v>5409</v>
      </c>
      <c r="H1679" s="4" t="s">
        <v>4978</v>
      </c>
      <c r="I1679" s="4" t="s">
        <v>49</v>
      </c>
      <c r="J1679" s="4" t="s">
        <v>4979</v>
      </c>
      <c r="K1679" s="4">
        <v>1</v>
      </c>
      <c r="L1679" s="4">
        <v>14881</v>
      </c>
    </row>
    <row r="1680" spans="1:41" ht="14.25" customHeight="1" x14ac:dyDescent="0.2">
      <c r="A1680" s="5" t="s">
        <v>5935</v>
      </c>
      <c r="B1680" s="4">
        <v>9</v>
      </c>
      <c r="C1680" s="8" t="s">
        <v>7681</v>
      </c>
      <c r="D1680" s="8" t="s">
        <v>5936</v>
      </c>
      <c r="E1680" s="4">
        <v>12311</v>
      </c>
      <c r="F1680" s="8" t="s">
        <v>5937</v>
      </c>
      <c r="G1680" s="4" t="s">
        <v>5938</v>
      </c>
      <c r="H1680" s="4" t="s">
        <v>84</v>
      </c>
      <c r="I1680" s="4" t="s">
        <v>641</v>
      </c>
      <c r="K1680" s="4">
        <v>1</v>
      </c>
      <c r="L1680" s="4">
        <v>14366</v>
      </c>
    </row>
    <row r="1681" spans="1:72" ht="14.25" customHeight="1" x14ac:dyDescent="0.2">
      <c r="A1681" s="4" t="s">
        <v>5032</v>
      </c>
      <c r="B1681" s="4">
        <v>9</v>
      </c>
      <c r="C1681" s="4" t="s">
        <v>7678</v>
      </c>
      <c r="D1681" s="8" t="s">
        <v>5939</v>
      </c>
      <c r="E1681" s="4">
        <v>1563</v>
      </c>
      <c r="F1681" s="4" t="s">
        <v>5940</v>
      </c>
      <c r="G1681" s="4" t="s">
        <v>5941</v>
      </c>
      <c r="H1681" s="4" t="s">
        <v>5942</v>
      </c>
      <c r="I1681" s="4" t="s">
        <v>641</v>
      </c>
      <c r="J1681" s="4" t="s">
        <v>5073</v>
      </c>
      <c r="K1681" s="4">
        <v>1</v>
      </c>
      <c r="L1681" s="4">
        <v>1966</v>
      </c>
    </row>
    <row r="1682" spans="1:72" ht="14.25" customHeight="1" x14ac:dyDescent="0.2">
      <c r="A1682" s="4" t="s">
        <v>5032</v>
      </c>
      <c r="B1682" s="4">
        <v>9</v>
      </c>
      <c r="C1682" s="4" t="s">
        <v>7678</v>
      </c>
      <c r="D1682" s="8" t="s">
        <v>5943</v>
      </c>
      <c r="E1682" s="4">
        <v>2619</v>
      </c>
      <c r="F1682" s="4" t="s">
        <v>5944</v>
      </c>
      <c r="G1682" s="4" t="s">
        <v>5945</v>
      </c>
      <c r="H1682" s="4" t="s">
        <v>5946</v>
      </c>
      <c r="I1682" s="4" t="s">
        <v>641</v>
      </c>
      <c r="J1682" s="4" t="s">
        <v>5073</v>
      </c>
      <c r="K1682" s="4">
        <v>1</v>
      </c>
      <c r="L1682" s="4">
        <v>3022</v>
      </c>
    </row>
    <row r="1683" spans="1:72" ht="14.25" customHeight="1" x14ac:dyDescent="0.2">
      <c r="A1683" s="4" t="s">
        <v>5032</v>
      </c>
      <c r="B1683" s="4">
        <v>9</v>
      </c>
      <c r="C1683" s="4" t="s">
        <v>7678</v>
      </c>
      <c r="D1683" s="8" t="s">
        <v>5947</v>
      </c>
      <c r="E1683" s="4">
        <v>2648</v>
      </c>
      <c r="F1683" s="4" t="s">
        <v>5948</v>
      </c>
      <c r="G1683" s="4" t="s">
        <v>5949</v>
      </c>
      <c r="H1683" s="4" t="s">
        <v>5950</v>
      </c>
      <c r="I1683" s="4" t="s">
        <v>641</v>
      </c>
      <c r="J1683" s="4" t="s">
        <v>5198</v>
      </c>
      <c r="K1683" s="4">
        <v>1</v>
      </c>
      <c r="L1683" s="4">
        <v>3051</v>
      </c>
    </row>
    <row r="1684" spans="1:72" ht="14.25" customHeight="1" x14ac:dyDescent="0.2">
      <c r="A1684" s="4" t="s">
        <v>5032</v>
      </c>
      <c r="B1684" s="4">
        <v>9</v>
      </c>
      <c r="C1684" s="4" t="s">
        <v>7678</v>
      </c>
      <c r="D1684" s="8" t="s">
        <v>5951</v>
      </c>
      <c r="E1684" s="4">
        <v>1593</v>
      </c>
      <c r="F1684" s="4" t="s">
        <v>5952</v>
      </c>
      <c r="G1684" s="4" t="s">
        <v>5953</v>
      </c>
      <c r="H1684" s="4" t="s">
        <v>5954</v>
      </c>
      <c r="I1684" s="4" t="s">
        <v>641</v>
      </c>
      <c r="J1684" s="4" t="s">
        <v>5198</v>
      </c>
      <c r="K1684" s="4">
        <v>1</v>
      </c>
      <c r="L1684" s="4">
        <v>1996</v>
      </c>
    </row>
    <row r="1685" spans="1:72" ht="14.25" customHeight="1" x14ac:dyDescent="0.2">
      <c r="A1685" s="4" t="s">
        <v>5032</v>
      </c>
      <c r="B1685" s="4">
        <v>9</v>
      </c>
      <c r="C1685" s="4" t="s">
        <v>7678</v>
      </c>
      <c r="D1685" s="8" t="s">
        <v>5955</v>
      </c>
      <c r="E1685" s="4">
        <v>1589</v>
      </c>
      <c r="F1685" s="4" t="s">
        <v>5956</v>
      </c>
      <c r="G1685" s="4" t="s">
        <v>5957</v>
      </c>
      <c r="H1685" s="4" t="s">
        <v>5958</v>
      </c>
      <c r="I1685" s="4" t="s">
        <v>641</v>
      </c>
      <c r="J1685" s="4" t="s">
        <v>5198</v>
      </c>
      <c r="K1685" s="4">
        <v>1</v>
      </c>
      <c r="L1685" s="4">
        <v>1992</v>
      </c>
    </row>
    <row r="1686" spans="1:72" ht="14.25" customHeight="1" x14ac:dyDescent="0.2">
      <c r="A1686" s="4" t="s">
        <v>4968</v>
      </c>
      <c r="B1686" s="4">
        <v>9</v>
      </c>
      <c r="C1686" s="4" t="s">
        <v>7678</v>
      </c>
      <c r="D1686" s="10" t="s">
        <v>5959</v>
      </c>
      <c r="E1686" s="4">
        <v>1565</v>
      </c>
      <c r="F1686" s="8" t="s">
        <v>5960</v>
      </c>
      <c r="G1686" s="4" t="s">
        <v>5961</v>
      </c>
      <c r="H1686" s="4" t="s">
        <v>5962</v>
      </c>
      <c r="I1686" s="4" t="s">
        <v>641</v>
      </c>
      <c r="J1686" s="4" t="s">
        <v>5073</v>
      </c>
      <c r="K1686" s="4">
        <v>1</v>
      </c>
      <c r="L1686" s="4">
        <v>1968</v>
      </c>
    </row>
    <row r="1687" spans="1:72" ht="14.25" customHeight="1" x14ac:dyDescent="0.2">
      <c r="A1687" s="4" t="s">
        <v>5032</v>
      </c>
      <c r="B1687" s="4">
        <v>9</v>
      </c>
      <c r="C1687" s="4" t="s">
        <v>7678</v>
      </c>
      <c r="D1687" s="8" t="s">
        <v>5963</v>
      </c>
      <c r="E1687" s="4">
        <v>2585</v>
      </c>
      <c r="F1687" s="4" t="s">
        <v>5964</v>
      </c>
      <c r="G1687" s="4" t="s">
        <v>5965</v>
      </c>
      <c r="H1687" s="4" t="s">
        <v>5966</v>
      </c>
      <c r="I1687" s="4" t="s">
        <v>641</v>
      </c>
      <c r="J1687" s="4" t="s">
        <v>5048</v>
      </c>
      <c r="K1687" s="4">
        <v>1</v>
      </c>
      <c r="L1687" s="4">
        <v>2988</v>
      </c>
    </row>
    <row r="1688" spans="1:72" ht="14.25" customHeight="1" x14ac:dyDescent="0.2">
      <c r="A1688" s="4" t="s">
        <v>5032</v>
      </c>
      <c r="B1688" s="4">
        <v>9</v>
      </c>
      <c r="C1688" s="4" t="s">
        <v>7678</v>
      </c>
      <c r="D1688" s="8" t="s">
        <v>5967</v>
      </c>
      <c r="E1688" s="4">
        <v>2604</v>
      </c>
      <c r="F1688" s="4" t="s">
        <v>5968</v>
      </c>
      <c r="G1688" s="4" t="s">
        <v>5969</v>
      </c>
      <c r="H1688" s="4" t="s">
        <v>5970</v>
      </c>
      <c r="I1688" s="4" t="s">
        <v>641</v>
      </c>
      <c r="J1688" s="4" t="s">
        <v>5198</v>
      </c>
      <c r="K1688" s="4">
        <v>1</v>
      </c>
      <c r="L1688" s="4">
        <v>3007</v>
      </c>
    </row>
    <row r="1689" spans="1:72" ht="14.25" customHeight="1" x14ac:dyDescent="0.2">
      <c r="A1689" s="4" t="s">
        <v>5032</v>
      </c>
      <c r="B1689" s="4">
        <v>9</v>
      </c>
      <c r="C1689" s="4" t="s">
        <v>7678</v>
      </c>
      <c r="D1689" s="10" t="s">
        <v>5971</v>
      </c>
      <c r="E1689" s="4">
        <v>12324</v>
      </c>
      <c r="F1689" s="4" t="s">
        <v>5972</v>
      </c>
      <c r="G1689" s="4" t="s">
        <v>5973</v>
      </c>
      <c r="H1689" s="4" t="s">
        <v>5655</v>
      </c>
      <c r="I1689" s="4" t="s">
        <v>641</v>
      </c>
      <c r="J1689" s="4" t="s">
        <v>5073</v>
      </c>
      <c r="K1689" s="4">
        <v>1</v>
      </c>
      <c r="L1689" s="4">
        <v>14379</v>
      </c>
    </row>
    <row r="1690" spans="1:72" ht="14.25" customHeight="1" x14ac:dyDescent="0.2">
      <c r="A1690" s="87" t="s">
        <v>5974</v>
      </c>
      <c r="B1690" s="87">
        <v>9</v>
      </c>
      <c r="C1690" s="87" t="s">
        <v>7678</v>
      </c>
      <c r="D1690" s="87" t="s">
        <v>5291</v>
      </c>
      <c r="E1690" s="87">
        <v>12940</v>
      </c>
      <c r="F1690" s="87"/>
      <c r="G1690" s="87" t="s">
        <v>127</v>
      </c>
      <c r="H1690" s="87" t="s">
        <v>84</v>
      </c>
      <c r="I1690" s="87" t="s">
        <v>49</v>
      </c>
      <c r="J1690" s="87"/>
      <c r="K1690" s="87">
        <v>1</v>
      </c>
      <c r="L1690" s="87">
        <v>14872</v>
      </c>
      <c r="M1690" s="87"/>
      <c r="N1690" s="87"/>
      <c r="O1690" s="87"/>
      <c r="P1690" s="87"/>
      <c r="Q1690" s="87"/>
      <c r="R1690" s="87"/>
      <c r="S1690" s="87"/>
      <c r="T1690" s="87"/>
      <c r="U1690" s="87"/>
      <c r="V1690" s="87"/>
      <c r="W1690" s="87"/>
      <c r="X1690" s="87"/>
      <c r="Y1690" s="87"/>
      <c r="Z1690" s="87"/>
      <c r="AA1690" s="87"/>
      <c r="AB1690" s="87"/>
      <c r="AC1690" s="87"/>
      <c r="AD1690" s="87"/>
      <c r="AE1690" s="87"/>
      <c r="AF1690" s="87"/>
      <c r="AG1690" s="87"/>
      <c r="AH1690" s="87"/>
      <c r="AI1690" s="87"/>
      <c r="AJ1690" s="87"/>
      <c r="AK1690" s="87"/>
      <c r="AL1690" s="87"/>
      <c r="AM1690" s="87"/>
      <c r="AN1690" s="87"/>
      <c r="AO1690" s="87"/>
      <c r="AP1690" s="87"/>
      <c r="AQ1690" s="87"/>
      <c r="AR1690" s="87"/>
      <c r="AS1690" s="87"/>
      <c r="AT1690" s="87"/>
      <c r="AU1690" s="87"/>
      <c r="AV1690" s="87"/>
      <c r="AW1690" s="87"/>
      <c r="AX1690" s="87"/>
      <c r="AY1690" s="87"/>
      <c r="AZ1690" s="87"/>
      <c r="BA1690" s="87"/>
      <c r="BB1690" s="87"/>
      <c r="BC1690" s="87"/>
      <c r="BD1690" s="87"/>
      <c r="BE1690" s="87"/>
      <c r="BF1690" s="87"/>
      <c r="BG1690" s="87"/>
      <c r="BH1690" s="87"/>
      <c r="BI1690" s="87"/>
      <c r="BJ1690" s="87"/>
      <c r="BK1690" s="87"/>
      <c r="BL1690" s="87"/>
      <c r="BM1690" s="87"/>
      <c r="BN1690" s="87"/>
      <c r="BO1690" s="87"/>
      <c r="BP1690" s="87"/>
      <c r="BQ1690" s="87"/>
      <c r="BR1690" s="87"/>
      <c r="BS1690" s="87"/>
      <c r="BT1690" s="87"/>
    </row>
    <row r="1691" spans="1:72" ht="14.25" customHeight="1" x14ac:dyDescent="0.2">
      <c r="A1691" s="87" t="s">
        <v>5974</v>
      </c>
      <c r="B1691" s="87">
        <v>9</v>
      </c>
      <c r="C1691" s="87" t="s">
        <v>7678</v>
      </c>
      <c r="D1691" s="87" t="s">
        <v>5657</v>
      </c>
      <c r="E1691" s="87">
        <v>12942</v>
      </c>
      <c r="F1691" s="87"/>
      <c r="G1691" s="87" t="s">
        <v>127</v>
      </c>
      <c r="H1691" s="87" t="s">
        <v>84</v>
      </c>
      <c r="I1691" s="87" t="s">
        <v>49</v>
      </c>
      <c r="J1691" s="87"/>
      <c r="K1691" s="87">
        <v>1</v>
      </c>
      <c r="L1691" s="87">
        <v>14874</v>
      </c>
      <c r="M1691" s="87"/>
      <c r="N1691" s="87"/>
      <c r="O1691" s="87"/>
      <c r="P1691" s="87"/>
      <c r="Q1691" s="87"/>
      <c r="R1691" s="87"/>
      <c r="S1691" s="87"/>
      <c r="T1691" s="87"/>
      <c r="U1691" s="87"/>
      <c r="V1691" s="87"/>
      <c r="W1691" s="87"/>
      <c r="X1691" s="87"/>
      <c r="Y1691" s="87"/>
      <c r="Z1691" s="88"/>
      <c r="AA1691" s="87"/>
      <c r="AB1691" s="89"/>
      <c r="AC1691" s="87"/>
      <c r="AD1691" s="87"/>
      <c r="AE1691" s="87"/>
      <c r="AF1691" s="87"/>
      <c r="AG1691" s="87"/>
      <c r="AH1691" s="87"/>
      <c r="AI1691" s="87"/>
      <c r="AJ1691" s="87"/>
      <c r="AK1691" s="87"/>
      <c r="AL1691" s="87"/>
      <c r="AM1691" s="87"/>
      <c r="AN1691" s="87"/>
      <c r="AO1691" s="87"/>
      <c r="AP1691" s="87"/>
      <c r="AQ1691" s="87"/>
      <c r="AR1691" s="87"/>
      <c r="AS1691" s="87"/>
      <c r="AT1691" s="87"/>
      <c r="AU1691" s="87"/>
      <c r="AV1691" s="87"/>
      <c r="AW1691" s="87"/>
      <c r="AX1691" s="87"/>
      <c r="AY1691" s="87"/>
      <c r="AZ1691" s="87"/>
      <c r="BA1691" s="87"/>
      <c r="BB1691" s="87"/>
      <c r="BC1691" s="87"/>
      <c r="BD1691" s="87"/>
      <c r="BE1691" s="87"/>
      <c r="BF1691" s="87"/>
      <c r="BG1691" s="87"/>
      <c r="BH1691" s="87"/>
      <c r="BI1691" s="87"/>
      <c r="BJ1691" s="87"/>
      <c r="BK1691" s="87"/>
      <c r="BL1691" s="87"/>
      <c r="BM1691" s="87"/>
      <c r="BN1691" s="87"/>
      <c r="BO1691" s="87"/>
      <c r="BP1691" s="87"/>
      <c r="BQ1691" s="87"/>
      <c r="BR1691" s="87"/>
      <c r="BS1691" s="87"/>
      <c r="BT1691" s="87"/>
    </row>
    <row r="1692" spans="1:72" ht="14.25" customHeight="1" x14ac:dyDescent="0.2">
      <c r="A1692" s="4" t="s">
        <v>422</v>
      </c>
      <c r="B1692" s="4">
        <v>9</v>
      </c>
      <c r="C1692" s="4" t="s">
        <v>7678</v>
      </c>
      <c r="D1692" s="4" t="s">
        <v>5975</v>
      </c>
      <c r="E1692" s="4">
        <v>12945</v>
      </c>
      <c r="F1692" s="9"/>
      <c r="G1692" s="4" t="s">
        <v>127</v>
      </c>
      <c r="H1692" s="4" t="s">
        <v>84</v>
      </c>
      <c r="I1692" s="4" t="s">
        <v>49</v>
      </c>
      <c r="K1692" s="4">
        <v>1</v>
      </c>
      <c r="L1692" s="4">
        <v>14877</v>
      </c>
    </row>
    <row r="1693" spans="1:72" ht="14.25" customHeight="1" x14ac:dyDescent="0.2">
      <c r="A1693" s="4" t="s">
        <v>5976</v>
      </c>
      <c r="B1693" s="4">
        <v>9</v>
      </c>
      <c r="C1693" s="4" t="s">
        <v>7678</v>
      </c>
      <c r="D1693" s="4" t="s">
        <v>5799</v>
      </c>
      <c r="E1693" s="4">
        <v>12943</v>
      </c>
      <c r="F1693" s="9"/>
      <c r="G1693" s="4" t="s">
        <v>127</v>
      </c>
      <c r="H1693" s="4" t="s">
        <v>84</v>
      </c>
      <c r="I1693" s="4" t="s">
        <v>49</v>
      </c>
      <c r="K1693" s="4">
        <v>1</v>
      </c>
      <c r="L1693" s="4">
        <v>14875</v>
      </c>
    </row>
    <row r="1694" spans="1:72" ht="14.25" customHeight="1" x14ac:dyDescent="0.2">
      <c r="A1694" s="4" t="s">
        <v>138</v>
      </c>
      <c r="C1694" s="10" t="s">
        <v>5977</v>
      </c>
      <c r="D1694" s="10" t="s">
        <v>5978</v>
      </c>
      <c r="F1694" s="10" t="s">
        <v>5979</v>
      </c>
      <c r="G1694" s="10" t="s">
        <v>5980</v>
      </c>
      <c r="M1694" s="8">
        <v>49.23836</v>
      </c>
      <c r="N1694" s="8">
        <v>-121.77478000000001</v>
      </c>
      <c r="O1694" s="8">
        <v>17</v>
      </c>
      <c r="P1694" s="8" t="s">
        <v>5981</v>
      </c>
      <c r="Q1694" s="8"/>
      <c r="R1694" s="8" t="s">
        <v>5982</v>
      </c>
      <c r="S1694" s="8"/>
      <c r="T1694" s="8" t="s">
        <v>5983</v>
      </c>
      <c r="U1694" s="8" t="s">
        <v>5984</v>
      </c>
    </row>
    <row r="1695" spans="1:72" ht="14.25" customHeight="1" x14ac:dyDescent="0.2">
      <c r="A1695" s="4" t="s">
        <v>328</v>
      </c>
      <c r="C1695" s="10" t="s">
        <v>5977</v>
      </c>
      <c r="D1695" s="10" t="s">
        <v>5985</v>
      </c>
      <c r="F1695" s="10" t="s">
        <v>301</v>
      </c>
      <c r="G1695" s="10" t="s">
        <v>5986</v>
      </c>
    </row>
    <row r="1696" spans="1:72" ht="14.25" customHeight="1" x14ac:dyDescent="0.2">
      <c r="A1696" s="4" t="s">
        <v>5987</v>
      </c>
      <c r="C1696" s="10" t="s">
        <v>5988</v>
      </c>
      <c r="D1696" s="10" t="s">
        <v>5989</v>
      </c>
      <c r="E1696" s="26"/>
      <c r="F1696" s="10" t="s">
        <v>5990</v>
      </c>
      <c r="G1696" s="10" t="s">
        <v>5991</v>
      </c>
      <c r="H1696" s="26"/>
      <c r="I1696" s="26"/>
      <c r="J1696" s="26"/>
      <c r="K1696" s="26"/>
      <c r="L1696" s="26"/>
    </row>
    <row r="1697" spans="1:72" ht="14.25" customHeight="1" x14ac:dyDescent="0.2">
      <c r="A1697" s="4" t="s">
        <v>422</v>
      </c>
      <c r="B1697" s="4">
        <v>14</v>
      </c>
      <c r="C1697" s="4" t="s">
        <v>7686</v>
      </c>
      <c r="D1697" s="4" t="s">
        <v>5993</v>
      </c>
      <c r="E1697" s="4">
        <v>2518</v>
      </c>
      <c r="F1697" s="4" t="s">
        <v>1680</v>
      </c>
      <c r="G1697" s="4" t="s">
        <v>5994</v>
      </c>
      <c r="H1697" s="4" t="s">
        <v>5995</v>
      </c>
      <c r="I1697" s="4" t="s">
        <v>1664</v>
      </c>
      <c r="J1697" s="4" t="s">
        <v>5996</v>
      </c>
      <c r="K1697" s="4">
        <v>1</v>
      </c>
      <c r="L1697" s="4">
        <v>2921</v>
      </c>
    </row>
    <row r="1698" spans="1:72" ht="14.25" customHeight="1" x14ac:dyDescent="0.2">
      <c r="A1698" s="4" t="s">
        <v>422</v>
      </c>
      <c r="B1698" s="4">
        <v>14</v>
      </c>
      <c r="C1698" s="4" t="s">
        <v>7686</v>
      </c>
      <c r="D1698" s="4" t="s">
        <v>5997</v>
      </c>
      <c r="E1698" s="4">
        <v>2520</v>
      </c>
      <c r="F1698" s="4" t="s">
        <v>5998</v>
      </c>
      <c r="G1698" s="4" t="s">
        <v>5999</v>
      </c>
      <c r="H1698" s="4" t="s">
        <v>6000</v>
      </c>
      <c r="I1698" s="4" t="s">
        <v>1664</v>
      </c>
      <c r="J1698" s="4" t="s">
        <v>5996</v>
      </c>
      <c r="K1698" s="4">
        <v>1</v>
      </c>
      <c r="L1698" s="4">
        <v>2923</v>
      </c>
    </row>
    <row r="1699" spans="1:72" ht="14.25" customHeight="1" x14ac:dyDescent="0.2">
      <c r="A1699" s="4" t="s">
        <v>422</v>
      </c>
      <c r="B1699" s="4">
        <v>14</v>
      </c>
      <c r="C1699" s="4" t="s">
        <v>7686</v>
      </c>
      <c r="D1699" s="4" t="s">
        <v>6001</v>
      </c>
      <c r="E1699" s="4">
        <v>2519</v>
      </c>
      <c r="F1699" s="4" t="s">
        <v>1685</v>
      </c>
      <c r="G1699" s="4" t="s">
        <v>6002</v>
      </c>
      <c r="H1699" s="4" t="s">
        <v>6000</v>
      </c>
      <c r="I1699" s="4" t="s">
        <v>1664</v>
      </c>
      <c r="J1699" s="4" t="s">
        <v>5996</v>
      </c>
      <c r="K1699" s="4">
        <v>1</v>
      </c>
      <c r="L1699" s="4">
        <v>2922</v>
      </c>
    </row>
    <row r="1700" spans="1:72" ht="14.25" customHeight="1" x14ac:dyDescent="0.2">
      <c r="A1700" s="4" t="s">
        <v>328</v>
      </c>
      <c r="B1700" s="4">
        <v>5</v>
      </c>
      <c r="C1700" s="49" t="s">
        <v>7687</v>
      </c>
      <c r="D1700" s="10" t="s">
        <v>6004</v>
      </c>
      <c r="F1700" s="10" t="s">
        <v>6005</v>
      </c>
      <c r="G1700" s="10" t="s">
        <v>6006</v>
      </c>
      <c r="M1700" s="9">
        <v>-122.485421</v>
      </c>
      <c r="N1700" s="9">
        <v>49.285665000000002</v>
      </c>
      <c r="O1700" s="9">
        <v>129</v>
      </c>
      <c r="P1700" s="90" t="s">
        <v>6007</v>
      </c>
      <c r="Q1700" s="70">
        <v>3</v>
      </c>
      <c r="R1700" s="9" t="s">
        <v>6008</v>
      </c>
      <c r="S1700" s="9" t="s">
        <v>6009</v>
      </c>
    </row>
    <row r="1701" spans="1:72" ht="14.25" customHeight="1" x14ac:dyDescent="0.2">
      <c r="A1701" s="4" t="s">
        <v>1908</v>
      </c>
      <c r="B1701" s="4">
        <v>5</v>
      </c>
      <c r="C1701" s="4" t="s">
        <v>7688</v>
      </c>
      <c r="D1701" s="4" t="s">
        <v>6011</v>
      </c>
      <c r="E1701" s="4">
        <v>13100</v>
      </c>
      <c r="F1701" s="10" t="s">
        <v>6012</v>
      </c>
      <c r="G1701" s="10" t="s">
        <v>6013</v>
      </c>
      <c r="H1701" s="4" t="s">
        <v>6014</v>
      </c>
      <c r="I1701" s="4" t="s">
        <v>49</v>
      </c>
      <c r="J1701" s="4" t="s">
        <v>6015</v>
      </c>
      <c r="K1701" s="4">
        <v>1</v>
      </c>
      <c r="L1701" s="4">
        <v>15022</v>
      </c>
      <c r="M1701" s="8">
        <v>-122.1837</v>
      </c>
      <c r="N1701" s="8">
        <v>50.9724</v>
      </c>
      <c r="O1701" s="8">
        <v>558</v>
      </c>
      <c r="P1701" s="8" t="s">
        <v>6011</v>
      </c>
      <c r="Q1701" s="8"/>
      <c r="R1701" s="8" t="s">
        <v>6016</v>
      </c>
      <c r="S1701" s="53"/>
      <c r="T1701" s="53"/>
      <c r="U1701" s="53"/>
      <c r="V1701" s="53"/>
      <c r="W1701" s="53"/>
      <c r="X1701" s="53"/>
      <c r="Y1701" s="53"/>
      <c r="Z1701" s="53"/>
      <c r="AA1701" s="53"/>
      <c r="AB1701" s="53"/>
      <c r="AC1701" s="53"/>
      <c r="AD1701" s="53"/>
      <c r="AE1701" s="53"/>
      <c r="AF1701" s="53"/>
      <c r="AG1701" s="53"/>
      <c r="AH1701" s="53"/>
      <c r="AI1701" s="53"/>
      <c r="AJ1701" s="53"/>
      <c r="AK1701" s="53"/>
      <c r="AL1701" s="53"/>
      <c r="AM1701" s="53"/>
      <c r="AN1701" s="53"/>
      <c r="AO1701" s="53"/>
      <c r="AP1701" s="53"/>
      <c r="AQ1701" s="53"/>
      <c r="AR1701" s="53"/>
      <c r="AS1701" s="53"/>
      <c r="AT1701" s="53"/>
      <c r="AU1701" s="53"/>
      <c r="AV1701" s="53"/>
      <c r="AW1701" s="53"/>
      <c r="AX1701" s="53"/>
      <c r="AY1701" s="53"/>
      <c r="AZ1701" s="53"/>
      <c r="BA1701" s="53"/>
      <c r="BB1701" s="53"/>
      <c r="BC1701" s="53"/>
      <c r="BD1701" s="53"/>
      <c r="BE1701" s="53"/>
      <c r="BF1701" s="53"/>
      <c r="BG1701" s="53"/>
      <c r="BH1701" s="53"/>
      <c r="BI1701" s="53"/>
      <c r="BJ1701" s="53"/>
      <c r="BK1701" s="53"/>
      <c r="BL1701" s="53"/>
      <c r="BM1701" s="53"/>
      <c r="BN1701" s="53"/>
      <c r="BO1701" s="53"/>
      <c r="BP1701" s="53"/>
      <c r="BQ1701" s="53"/>
      <c r="BR1701" s="53"/>
      <c r="BS1701" s="53"/>
      <c r="BT1701" s="53"/>
    </row>
    <row r="1702" spans="1:72" ht="14.25" customHeight="1" x14ac:dyDescent="0.2">
      <c r="A1702" s="4" t="s">
        <v>1908</v>
      </c>
      <c r="B1702" s="4">
        <v>5</v>
      </c>
      <c r="C1702" s="4" t="s">
        <v>7688</v>
      </c>
      <c r="D1702" s="4" t="s">
        <v>6017</v>
      </c>
      <c r="E1702" s="4">
        <v>13115</v>
      </c>
      <c r="F1702" s="10" t="s">
        <v>6018</v>
      </c>
      <c r="G1702" s="8" t="s">
        <v>6019</v>
      </c>
      <c r="H1702" s="4" t="s">
        <v>6020</v>
      </c>
      <c r="I1702" s="4" t="s">
        <v>49</v>
      </c>
      <c r="J1702" s="4" t="s">
        <v>6021</v>
      </c>
      <c r="K1702" s="4">
        <v>1</v>
      </c>
      <c r="L1702" s="4">
        <v>15037</v>
      </c>
      <c r="M1702" s="8">
        <v>-126.10899999999999</v>
      </c>
      <c r="N1702" s="8">
        <v>49.70496</v>
      </c>
      <c r="O1702" s="8">
        <v>10</v>
      </c>
      <c r="P1702" s="8" t="s">
        <v>6017</v>
      </c>
      <c r="Q1702" s="8"/>
      <c r="R1702" s="8" t="s">
        <v>6022</v>
      </c>
      <c r="S1702" s="53"/>
      <c r="T1702" s="53"/>
      <c r="U1702" s="53"/>
      <c r="V1702" s="53"/>
      <c r="W1702" s="53"/>
      <c r="X1702" s="53"/>
      <c r="Y1702" s="53"/>
      <c r="Z1702" s="53"/>
      <c r="AA1702" s="53"/>
      <c r="AB1702" s="53"/>
      <c r="AC1702" s="53"/>
      <c r="AD1702" s="53"/>
      <c r="AE1702" s="53"/>
      <c r="AF1702" s="53"/>
      <c r="AG1702" s="53"/>
      <c r="AH1702" s="53"/>
      <c r="AI1702" s="53"/>
      <c r="AJ1702" s="53"/>
      <c r="AK1702" s="53"/>
      <c r="AL1702" s="53"/>
      <c r="AM1702" s="53"/>
      <c r="AN1702" s="53"/>
      <c r="AO1702" s="53"/>
      <c r="AP1702" s="53"/>
      <c r="AQ1702" s="53"/>
      <c r="AR1702" s="53"/>
      <c r="AS1702" s="53"/>
      <c r="AT1702" s="53"/>
      <c r="AU1702" s="53"/>
      <c r="AV1702" s="53"/>
      <c r="AW1702" s="53"/>
      <c r="AX1702" s="53"/>
      <c r="AY1702" s="53"/>
      <c r="AZ1702" s="53"/>
      <c r="BA1702" s="53"/>
      <c r="BB1702" s="53"/>
      <c r="BC1702" s="53"/>
      <c r="BD1702" s="53"/>
      <c r="BE1702" s="53"/>
      <c r="BF1702" s="53"/>
      <c r="BG1702" s="53"/>
      <c r="BH1702" s="53"/>
      <c r="BI1702" s="53"/>
      <c r="BJ1702" s="53"/>
      <c r="BK1702" s="53"/>
      <c r="BL1702" s="53"/>
      <c r="BM1702" s="53"/>
      <c r="BN1702" s="53"/>
      <c r="BO1702" s="53"/>
      <c r="BP1702" s="53"/>
      <c r="BQ1702" s="53"/>
      <c r="BR1702" s="53"/>
      <c r="BS1702" s="53"/>
      <c r="BT1702" s="53"/>
    </row>
    <row r="1703" spans="1:72" ht="14.25" customHeight="1" x14ac:dyDescent="0.2">
      <c r="A1703" s="4" t="s">
        <v>1908</v>
      </c>
      <c r="B1703" s="4">
        <v>5</v>
      </c>
      <c r="C1703" s="4" t="s">
        <v>7688</v>
      </c>
      <c r="D1703" s="4" t="s">
        <v>6023</v>
      </c>
      <c r="E1703" s="4">
        <v>13104</v>
      </c>
      <c r="F1703" s="10" t="s">
        <v>6024</v>
      </c>
      <c r="G1703" s="8" t="s">
        <v>6025</v>
      </c>
      <c r="H1703" s="4" t="s">
        <v>6026</v>
      </c>
      <c r="I1703" s="4" t="s">
        <v>49</v>
      </c>
      <c r="J1703" s="4" t="s">
        <v>6027</v>
      </c>
      <c r="K1703" s="4">
        <v>1</v>
      </c>
      <c r="L1703" s="4">
        <v>15026</v>
      </c>
      <c r="M1703" s="9">
        <v>-121.57988330000001</v>
      </c>
      <c r="N1703" s="9">
        <v>49.232750000000003</v>
      </c>
      <c r="O1703" s="9">
        <v>1480</v>
      </c>
      <c r="P1703" s="4" t="s">
        <v>6023</v>
      </c>
      <c r="Q1703" s="70">
        <v>7</v>
      </c>
      <c r="R1703" s="9" t="s">
        <v>6028</v>
      </c>
      <c r="S1703" s="9" t="s">
        <v>6009</v>
      </c>
      <c r="U1703" s="53"/>
      <c r="V1703" s="53"/>
      <c r="W1703" s="53"/>
      <c r="X1703" s="53"/>
      <c r="Y1703" s="53"/>
      <c r="Z1703" s="53"/>
      <c r="AA1703" s="53"/>
      <c r="AB1703" s="53"/>
      <c r="AC1703" s="53"/>
      <c r="AD1703" s="53"/>
      <c r="AE1703" s="53"/>
      <c r="AF1703" s="53"/>
      <c r="AG1703" s="53"/>
      <c r="AH1703" s="53"/>
      <c r="AI1703" s="53"/>
      <c r="AJ1703" s="53"/>
      <c r="AK1703" s="53"/>
      <c r="AL1703" s="53"/>
      <c r="AM1703" s="53"/>
      <c r="AN1703" s="53"/>
      <c r="AO1703" s="53"/>
      <c r="AP1703" s="53"/>
      <c r="AQ1703" s="53"/>
      <c r="AR1703" s="53"/>
      <c r="AS1703" s="53"/>
      <c r="AT1703" s="53"/>
      <c r="AU1703" s="53"/>
      <c r="AV1703" s="53"/>
      <c r="AW1703" s="53"/>
      <c r="AX1703" s="53"/>
      <c r="AY1703" s="53"/>
      <c r="AZ1703" s="53"/>
      <c r="BA1703" s="53"/>
      <c r="BB1703" s="53"/>
      <c r="BC1703" s="53"/>
      <c r="BD1703" s="53"/>
      <c r="BE1703" s="53"/>
      <c r="BF1703" s="53"/>
      <c r="BG1703" s="53"/>
      <c r="BH1703" s="53"/>
      <c r="BI1703" s="53"/>
      <c r="BJ1703" s="53"/>
      <c r="BK1703" s="53"/>
      <c r="BL1703" s="53"/>
      <c r="BM1703" s="53"/>
      <c r="BN1703" s="53"/>
      <c r="BO1703" s="53"/>
      <c r="BP1703" s="53"/>
      <c r="BQ1703" s="53"/>
      <c r="BR1703" s="53"/>
      <c r="BS1703" s="53"/>
      <c r="BT1703" s="53"/>
    </row>
    <row r="1704" spans="1:72" ht="14.25" customHeight="1" x14ac:dyDescent="0.2">
      <c r="A1704" s="4" t="s">
        <v>2037</v>
      </c>
      <c r="B1704" s="4">
        <v>5</v>
      </c>
      <c r="C1704" s="4" t="s">
        <v>7688</v>
      </c>
      <c r="D1704" s="8" t="s">
        <v>6029</v>
      </c>
      <c r="E1704" s="4">
        <v>12350</v>
      </c>
      <c r="F1704" s="8" t="s">
        <v>6030</v>
      </c>
      <c r="G1704" s="4" t="s">
        <v>6031</v>
      </c>
      <c r="H1704" s="4" t="s">
        <v>6032</v>
      </c>
      <c r="I1704" s="4" t="s">
        <v>49</v>
      </c>
      <c r="J1704" s="4" t="s">
        <v>6033</v>
      </c>
      <c r="K1704" s="4">
        <v>1</v>
      </c>
      <c r="L1704" s="4">
        <v>14406</v>
      </c>
      <c r="M1704" s="9">
        <v>-120.83</v>
      </c>
      <c r="N1704" s="9">
        <v>56.23</v>
      </c>
      <c r="O1704" s="9">
        <v>686</v>
      </c>
      <c r="P1704" s="8" t="s">
        <v>6034</v>
      </c>
      <c r="Q1704" s="70">
        <v>2</v>
      </c>
      <c r="R1704" s="8" t="s">
        <v>6035</v>
      </c>
      <c r="S1704" s="9" t="s">
        <v>6036</v>
      </c>
    </row>
    <row r="1705" spans="1:72" ht="14.25" customHeight="1" x14ac:dyDescent="0.2">
      <c r="B1705" s="4">
        <v>5</v>
      </c>
      <c r="C1705" s="4" t="s">
        <v>7688</v>
      </c>
      <c r="D1705" s="4" t="s">
        <v>6037</v>
      </c>
      <c r="E1705" s="4">
        <v>2429</v>
      </c>
      <c r="F1705" s="4" t="s">
        <v>6038</v>
      </c>
      <c r="G1705" s="4" t="s">
        <v>6039</v>
      </c>
      <c r="H1705" s="4" t="s">
        <v>6040</v>
      </c>
      <c r="I1705" s="4" t="s">
        <v>1664</v>
      </c>
      <c r="J1705" s="4" t="s">
        <v>6041</v>
      </c>
      <c r="K1705" s="4">
        <v>1</v>
      </c>
      <c r="L1705" s="4">
        <v>2832</v>
      </c>
      <c r="M1705" s="9">
        <v>-125.7416667</v>
      </c>
      <c r="N1705" s="9">
        <v>56.436666670000001</v>
      </c>
      <c r="O1705" s="9">
        <v>970</v>
      </c>
      <c r="P1705" s="4" t="s">
        <v>6037</v>
      </c>
      <c r="Q1705" s="70">
        <v>3</v>
      </c>
      <c r="R1705" s="9" t="s">
        <v>6038</v>
      </c>
      <c r="S1705" s="9" t="s">
        <v>6009</v>
      </c>
    </row>
    <row r="1706" spans="1:72" ht="14.25" customHeight="1" x14ac:dyDescent="0.2">
      <c r="A1706" s="4" t="s">
        <v>1908</v>
      </c>
      <c r="B1706" s="4">
        <v>5</v>
      </c>
      <c r="C1706" s="4" t="s">
        <v>7688</v>
      </c>
      <c r="D1706" s="4" t="s">
        <v>6042</v>
      </c>
      <c r="E1706" s="4">
        <v>2428</v>
      </c>
      <c r="F1706" s="8" t="s">
        <v>6043</v>
      </c>
      <c r="G1706" s="8" t="s">
        <v>6044</v>
      </c>
      <c r="H1706" s="4" t="s">
        <v>6045</v>
      </c>
      <c r="I1706" s="4" t="s">
        <v>1664</v>
      </c>
      <c r="J1706" s="4" t="s">
        <v>6046</v>
      </c>
      <c r="K1706" s="4">
        <v>1</v>
      </c>
      <c r="L1706" s="4">
        <v>2831</v>
      </c>
      <c r="M1706" s="9">
        <v>-124.9042444</v>
      </c>
      <c r="N1706" s="9">
        <v>57.191191670000002</v>
      </c>
      <c r="O1706" s="9">
        <v>760</v>
      </c>
      <c r="P1706" s="4" t="s">
        <v>6042</v>
      </c>
      <c r="Q1706" s="70">
        <v>1</v>
      </c>
      <c r="R1706" s="9" t="s">
        <v>6047</v>
      </c>
      <c r="S1706" s="9" t="s">
        <v>6009</v>
      </c>
    </row>
    <row r="1707" spans="1:72" ht="14.25" customHeight="1" x14ac:dyDescent="0.2">
      <c r="A1707" s="4" t="s">
        <v>1908</v>
      </c>
      <c r="B1707" s="4">
        <v>5</v>
      </c>
      <c r="C1707" s="4" t="s">
        <v>7688</v>
      </c>
      <c r="D1707" s="4" t="s">
        <v>6048</v>
      </c>
      <c r="E1707" s="4">
        <v>2430</v>
      </c>
      <c r="F1707" s="8" t="s">
        <v>6049</v>
      </c>
      <c r="G1707" s="8" t="s">
        <v>6050</v>
      </c>
      <c r="H1707" s="4" t="s">
        <v>6040</v>
      </c>
      <c r="I1707" s="4" t="s">
        <v>1664</v>
      </c>
      <c r="J1707" s="4" t="s">
        <v>6051</v>
      </c>
      <c r="K1707" s="4">
        <v>1</v>
      </c>
      <c r="L1707" s="4">
        <v>2833</v>
      </c>
      <c r="M1707" s="9">
        <v>-122.48343610000001</v>
      </c>
      <c r="N1707" s="9">
        <v>49.28744167</v>
      </c>
      <c r="O1707" s="9">
        <v>125</v>
      </c>
      <c r="P1707" s="4" t="s">
        <v>6048</v>
      </c>
      <c r="Q1707" s="70">
        <v>3</v>
      </c>
      <c r="R1707" s="9" t="s">
        <v>6052</v>
      </c>
      <c r="S1707" s="9" t="s">
        <v>6009</v>
      </c>
    </row>
    <row r="1708" spans="1:72" ht="14.25" customHeight="1" x14ac:dyDescent="0.2">
      <c r="A1708" s="4" t="s">
        <v>2037</v>
      </c>
      <c r="B1708" s="4">
        <v>5</v>
      </c>
      <c r="C1708" s="4" t="s">
        <v>7688</v>
      </c>
      <c r="D1708" s="4" t="s">
        <v>6053</v>
      </c>
      <c r="E1708" s="4">
        <v>12343</v>
      </c>
      <c r="F1708" s="8" t="s">
        <v>6054</v>
      </c>
      <c r="G1708" s="4" t="s">
        <v>6055</v>
      </c>
      <c r="H1708" s="4" t="s">
        <v>6056</v>
      </c>
      <c r="I1708" s="4" t="s">
        <v>49</v>
      </c>
      <c r="J1708" s="4" t="s">
        <v>6057</v>
      </c>
      <c r="K1708" s="4">
        <v>1</v>
      </c>
      <c r="L1708" s="4">
        <v>14399</v>
      </c>
      <c r="M1708" s="8" t="e">
        <f t="shared" ref="M1708:M1710" ca="1" si="3">_xludf.NUMBERVALUE(LEFT(G1708,7))</f>
        <v>#NAME?</v>
      </c>
      <c r="N1708" s="8">
        <v>56.222000000000001</v>
      </c>
      <c r="O1708" s="8" t="e">
        <f t="shared" ref="O1708:O1710" ca="1" si="4">_xludf.NUMBERVALUE(LEFT(RIGHT(G1708,5),3))</f>
        <v>#NAME?</v>
      </c>
      <c r="P1708" s="8" t="str">
        <f t="shared" ref="P1708:P1710" si="5">D1708</f>
        <v>AFL</v>
      </c>
      <c r="Q1708" s="53"/>
      <c r="R1708" s="8" t="str">
        <f t="shared" ref="R1708:R1710" si="6">F1708</f>
        <v>Attachie Flat Lower Terrace</v>
      </c>
      <c r="S1708" s="53"/>
      <c r="T1708" s="53"/>
      <c r="U1708" s="53"/>
      <c r="V1708" s="53"/>
      <c r="W1708" s="53"/>
      <c r="X1708" s="53"/>
      <c r="Y1708" s="53"/>
      <c r="Z1708" s="53"/>
      <c r="AA1708" s="53"/>
      <c r="AB1708" s="53"/>
      <c r="AC1708" s="53"/>
      <c r="AD1708" s="53"/>
      <c r="AE1708" s="53"/>
      <c r="AF1708" s="53"/>
      <c r="AG1708" s="53"/>
      <c r="AH1708" s="53"/>
      <c r="AI1708" s="53"/>
      <c r="AJ1708" s="53"/>
      <c r="AK1708" s="53"/>
      <c r="AL1708" s="53"/>
      <c r="AM1708" s="53"/>
      <c r="AN1708" s="53"/>
      <c r="AO1708" s="53"/>
      <c r="AP1708" s="53"/>
      <c r="AQ1708" s="53"/>
      <c r="AR1708" s="53"/>
      <c r="AS1708" s="53"/>
      <c r="AT1708" s="53"/>
      <c r="AU1708" s="53"/>
      <c r="AV1708" s="53"/>
      <c r="AW1708" s="53"/>
      <c r="AX1708" s="53"/>
      <c r="AY1708" s="53"/>
      <c r="AZ1708" s="53"/>
      <c r="BA1708" s="53"/>
      <c r="BB1708" s="53"/>
      <c r="BC1708" s="53"/>
      <c r="BD1708" s="53"/>
      <c r="BE1708" s="53"/>
      <c r="BF1708" s="53"/>
      <c r="BG1708" s="53"/>
      <c r="BH1708" s="53"/>
      <c r="BI1708" s="53"/>
      <c r="BJ1708" s="53"/>
      <c r="BK1708" s="53"/>
      <c r="BL1708" s="53"/>
      <c r="BM1708" s="53"/>
      <c r="BN1708" s="53"/>
      <c r="BO1708" s="53"/>
      <c r="BP1708" s="53"/>
      <c r="BQ1708" s="53"/>
      <c r="BR1708" s="53"/>
      <c r="BS1708" s="53"/>
      <c r="BT1708" s="53"/>
    </row>
    <row r="1709" spans="1:72" ht="14.25" customHeight="1" x14ac:dyDescent="0.2">
      <c r="A1709" s="4" t="s">
        <v>2037</v>
      </c>
      <c r="B1709" s="4">
        <v>5</v>
      </c>
      <c r="C1709" s="4" t="s">
        <v>7688</v>
      </c>
      <c r="D1709" s="4" t="s">
        <v>6058</v>
      </c>
      <c r="E1709" s="4">
        <v>12342</v>
      </c>
      <c r="F1709" s="8" t="s">
        <v>6059</v>
      </c>
      <c r="G1709" s="4" t="s">
        <v>6060</v>
      </c>
      <c r="H1709" s="4" t="s">
        <v>6032</v>
      </c>
      <c r="I1709" s="4" t="s">
        <v>49</v>
      </c>
      <c r="J1709" s="4" t="s">
        <v>6061</v>
      </c>
      <c r="K1709" s="4">
        <v>1</v>
      </c>
      <c r="L1709" s="4">
        <v>14398</v>
      </c>
      <c r="M1709" s="8" t="e">
        <f t="shared" ca="1" si="3"/>
        <v>#NAME?</v>
      </c>
      <c r="N1709" s="8">
        <v>56.231000000000002</v>
      </c>
      <c r="O1709" s="8" t="e">
        <f t="shared" ca="1" si="4"/>
        <v>#NAME?</v>
      </c>
      <c r="P1709" s="8" t="str">
        <f t="shared" si="5"/>
        <v>AFU</v>
      </c>
      <c r="Q1709" s="53"/>
      <c r="R1709" s="8" t="str">
        <f t="shared" si="6"/>
        <v>Attachie Flat Upper Terrace</v>
      </c>
      <c r="S1709" s="53"/>
      <c r="T1709" s="53"/>
      <c r="U1709" s="53"/>
      <c r="V1709" s="53"/>
      <c r="W1709" s="53"/>
      <c r="X1709" s="53"/>
      <c r="Y1709" s="53"/>
      <c r="Z1709" s="53"/>
      <c r="AA1709" s="53"/>
      <c r="AB1709" s="53"/>
      <c r="AC1709" s="53"/>
      <c r="AD1709" s="53"/>
      <c r="AE1709" s="53"/>
      <c r="AF1709" s="53"/>
      <c r="AG1709" s="53"/>
      <c r="AH1709" s="53"/>
      <c r="AI1709" s="53"/>
      <c r="AJ1709" s="53"/>
      <c r="AK1709" s="53"/>
      <c r="AL1709" s="53"/>
      <c r="AM1709" s="53"/>
      <c r="AN1709" s="53"/>
      <c r="AO1709" s="53"/>
      <c r="AP1709" s="53"/>
      <c r="AQ1709" s="53"/>
      <c r="AR1709" s="53"/>
      <c r="AS1709" s="53"/>
      <c r="AT1709" s="53"/>
      <c r="AU1709" s="53"/>
      <c r="AV1709" s="53"/>
      <c r="AW1709" s="53"/>
      <c r="AX1709" s="53"/>
      <c r="AY1709" s="53"/>
      <c r="AZ1709" s="53"/>
      <c r="BA1709" s="53"/>
      <c r="BB1709" s="53"/>
      <c r="BC1709" s="53"/>
      <c r="BD1709" s="53"/>
      <c r="BE1709" s="53"/>
      <c r="BF1709" s="53"/>
      <c r="BG1709" s="53"/>
      <c r="BH1709" s="53"/>
      <c r="BI1709" s="53"/>
      <c r="BJ1709" s="53"/>
      <c r="BK1709" s="53"/>
      <c r="BL1709" s="53"/>
      <c r="BM1709" s="53"/>
      <c r="BN1709" s="53"/>
      <c r="BO1709" s="53"/>
      <c r="BP1709" s="53"/>
      <c r="BQ1709" s="53"/>
      <c r="BR1709" s="53"/>
      <c r="BS1709" s="53"/>
      <c r="BT1709" s="53"/>
    </row>
    <row r="1710" spans="1:72" ht="14.25" customHeight="1" x14ac:dyDescent="0.2">
      <c r="A1710" s="4" t="s">
        <v>2037</v>
      </c>
      <c r="B1710" s="4">
        <v>5</v>
      </c>
      <c r="C1710" s="4" t="s">
        <v>7688</v>
      </c>
      <c r="D1710" s="4" t="s">
        <v>6062</v>
      </c>
      <c r="E1710" s="4">
        <v>12344</v>
      </c>
      <c r="F1710" s="8" t="s">
        <v>6063</v>
      </c>
      <c r="G1710" s="4" t="s">
        <v>6064</v>
      </c>
      <c r="H1710" s="4" t="s">
        <v>6032</v>
      </c>
      <c r="I1710" s="4" t="s">
        <v>49</v>
      </c>
      <c r="J1710" s="4" t="s">
        <v>6065</v>
      </c>
      <c r="K1710" s="4">
        <v>1</v>
      </c>
      <c r="L1710" s="4">
        <v>14400</v>
      </c>
      <c r="M1710" s="8" t="e">
        <f t="shared" ca="1" si="3"/>
        <v>#NAME?</v>
      </c>
      <c r="N1710" s="8">
        <v>56.232999999999997</v>
      </c>
      <c r="O1710" s="8" t="e">
        <f t="shared" ca="1" si="4"/>
        <v>#NAME?</v>
      </c>
      <c r="P1710" s="8" t="str">
        <f t="shared" si="5"/>
        <v>ATP</v>
      </c>
      <c r="Q1710" s="53"/>
      <c r="R1710" s="8" t="str">
        <f t="shared" si="6"/>
        <v>Attachie Plateau</v>
      </c>
      <c r="S1710" s="53"/>
      <c r="T1710" s="53"/>
      <c r="U1710" s="53"/>
      <c r="V1710" s="53"/>
      <c r="W1710" s="53"/>
      <c r="X1710" s="53"/>
      <c r="Y1710" s="53"/>
      <c r="Z1710" s="53"/>
      <c r="AA1710" s="53"/>
      <c r="AB1710" s="53"/>
      <c r="AC1710" s="53"/>
      <c r="AD1710" s="53"/>
      <c r="AE1710" s="53"/>
      <c r="AF1710" s="53"/>
      <c r="AG1710" s="53"/>
      <c r="AH1710" s="53"/>
      <c r="AI1710" s="53"/>
      <c r="AJ1710" s="53"/>
      <c r="AK1710" s="53"/>
      <c r="AL1710" s="53"/>
      <c r="AM1710" s="53"/>
      <c r="AN1710" s="53"/>
      <c r="AO1710" s="53"/>
      <c r="AP1710" s="53"/>
      <c r="AQ1710" s="53"/>
      <c r="AR1710" s="53"/>
      <c r="AS1710" s="53"/>
      <c r="AT1710" s="53"/>
      <c r="AU1710" s="53"/>
      <c r="AV1710" s="53"/>
      <c r="AW1710" s="53"/>
      <c r="AX1710" s="53"/>
      <c r="AY1710" s="53"/>
      <c r="AZ1710" s="53"/>
      <c r="BA1710" s="53"/>
      <c r="BB1710" s="53"/>
      <c r="BC1710" s="53"/>
      <c r="BD1710" s="53"/>
      <c r="BE1710" s="53"/>
      <c r="BF1710" s="53"/>
      <c r="BG1710" s="53"/>
      <c r="BH1710" s="53"/>
      <c r="BI1710" s="53"/>
      <c r="BJ1710" s="53"/>
      <c r="BK1710" s="53"/>
      <c r="BL1710" s="53"/>
      <c r="BM1710" s="53"/>
      <c r="BN1710" s="53"/>
      <c r="BO1710" s="53"/>
      <c r="BP1710" s="53"/>
      <c r="BQ1710" s="53"/>
      <c r="BR1710" s="53"/>
      <c r="BS1710" s="53"/>
      <c r="BT1710" s="53"/>
    </row>
    <row r="1711" spans="1:72" ht="14.25" customHeight="1" x14ac:dyDescent="0.2">
      <c r="A1711" s="4" t="s">
        <v>1908</v>
      </c>
      <c r="B1711" s="4">
        <v>5</v>
      </c>
      <c r="C1711" s="4" t="s">
        <v>7688</v>
      </c>
      <c r="D1711" s="4" t="s">
        <v>6066</v>
      </c>
      <c r="E1711" s="4">
        <v>2432</v>
      </c>
      <c r="F1711" s="8" t="s">
        <v>6067</v>
      </c>
      <c r="G1711" s="8" t="s">
        <v>6068</v>
      </c>
      <c r="H1711" s="4" t="s">
        <v>6040</v>
      </c>
      <c r="I1711" s="4" t="s">
        <v>1664</v>
      </c>
      <c r="J1711" s="4" t="s">
        <v>6069</v>
      </c>
      <c r="K1711" s="4">
        <v>1</v>
      </c>
      <c r="L1711" s="4">
        <v>2835</v>
      </c>
      <c r="M1711" s="4">
        <v>-118.35112220000001</v>
      </c>
      <c r="N1711" s="4">
        <v>50.068552779999997</v>
      </c>
      <c r="O1711" s="4">
        <v>1620</v>
      </c>
      <c r="P1711" s="4" t="s">
        <v>6066</v>
      </c>
      <c r="Q1711" s="4">
        <v>5</v>
      </c>
      <c r="R1711" s="4" t="s">
        <v>6070</v>
      </c>
      <c r="S1711" s="4" t="s">
        <v>6009</v>
      </c>
    </row>
    <row r="1712" spans="1:72" ht="14.25" customHeight="1" x14ac:dyDescent="0.2">
      <c r="A1712" s="4" t="s">
        <v>1908</v>
      </c>
      <c r="B1712" s="4">
        <v>5</v>
      </c>
      <c r="C1712" s="4" t="s">
        <v>7688</v>
      </c>
      <c r="D1712" s="4" t="s">
        <v>6071</v>
      </c>
      <c r="E1712" s="4">
        <v>2433</v>
      </c>
      <c r="F1712" s="8" t="s">
        <v>6072</v>
      </c>
      <c r="G1712" s="8" t="s">
        <v>6073</v>
      </c>
      <c r="H1712" s="4" t="s">
        <v>6074</v>
      </c>
      <c r="I1712" s="4" t="s">
        <v>1664</v>
      </c>
      <c r="J1712" s="4" t="s">
        <v>6046</v>
      </c>
      <c r="K1712" s="4">
        <v>1</v>
      </c>
      <c r="L1712" s="4">
        <v>2836</v>
      </c>
      <c r="M1712" s="9">
        <v>-123.8964</v>
      </c>
      <c r="N1712" s="9">
        <v>48.502677779999999</v>
      </c>
      <c r="O1712" s="9">
        <v>419</v>
      </c>
      <c r="P1712" s="4" t="s">
        <v>6071</v>
      </c>
      <c r="Q1712" s="70">
        <v>6</v>
      </c>
      <c r="R1712" s="9" t="s">
        <v>6075</v>
      </c>
      <c r="S1712" s="9" t="s">
        <v>6009</v>
      </c>
    </row>
    <row r="1713" spans="1:72" ht="14.25" customHeight="1" x14ac:dyDescent="0.2">
      <c r="A1713" s="4" t="s">
        <v>2037</v>
      </c>
      <c r="B1713" s="4">
        <v>5</v>
      </c>
      <c r="C1713" s="4" t="s">
        <v>7688</v>
      </c>
      <c r="D1713" s="4" t="s">
        <v>6076</v>
      </c>
      <c r="E1713" s="4">
        <v>12345</v>
      </c>
      <c r="F1713" s="8" t="s">
        <v>6077</v>
      </c>
      <c r="G1713" s="4" t="s">
        <v>6078</v>
      </c>
      <c r="H1713" s="4" t="s">
        <v>6032</v>
      </c>
      <c r="I1713" s="4" t="s">
        <v>49</v>
      </c>
      <c r="J1713" s="4" t="s">
        <v>6057</v>
      </c>
      <c r="K1713" s="4">
        <v>1</v>
      </c>
      <c r="L1713" s="4">
        <v>14401</v>
      </c>
      <c r="M1713" s="8" t="e">
        <f ca="1">_xludf.NUMBERVALUE(LEFT(G1713,7))</f>
        <v>#NAME?</v>
      </c>
      <c r="N1713" s="8" t="e">
        <f ca="1">_xludf.NUMBERVALUE(RIGHT(LEFT(G1713,17),6))</f>
        <v>#NAME?</v>
      </c>
      <c r="O1713" s="8" t="e">
        <f ca="1">_xludf.NUMBERVALUE(LEFT(RIGHT(G1713,5),3))</f>
        <v>#NAME?</v>
      </c>
      <c r="P1713" s="8" t="str">
        <f>D1713</f>
        <v>BEF</v>
      </c>
      <c r="Q1713" s="53"/>
      <c r="R1713" s="8" t="str">
        <f>F1713</f>
        <v>Bear Flat</v>
      </c>
      <c r="S1713" s="53"/>
      <c r="T1713" s="53"/>
      <c r="U1713" s="53"/>
      <c r="V1713" s="53"/>
      <c r="W1713" s="53"/>
      <c r="X1713" s="53"/>
      <c r="Y1713" s="53"/>
      <c r="Z1713" s="53"/>
      <c r="AA1713" s="53"/>
      <c r="AB1713" s="53"/>
      <c r="AC1713" s="53"/>
      <c r="AD1713" s="53"/>
      <c r="AE1713" s="53"/>
      <c r="AF1713" s="53"/>
      <c r="AG1713" s="53"/>
      <c r="AH1713" s="53"/>
      <c r="AI1713" s="53"/>
      <c r="AJ1713" s="53"/>
      <c r="AK1713" s="53"/>
      <c r="AL1713" s="53"/>
      <c r="AM1713" s="53"/>
      <c r="AN1713" s="53"/>
      <c r="AO1713" s="53"/>
      <c r="AP1713" s="53"/>
      <c r="AQ1713" s="53"/>
      <c r="AR1713" s="53"/>
      <c r="AS1713" s="53"/>
      <c r="AT1713" s="53"/>
      <c r="AU1713" s="53"/>
      <c r="AV1713" s="53"/>
      <c r="AW1713" s="53"/>
      <c r="AX1713" s="53"/>
      <c r="AY1713" s="53"/>
      <c r="AZ1713" s="53"/>
      <c r="BA1713" s="53"/>
      <c r="BB1713" s="53"/>
      <c r="BC1713" s="53"/>
      <c r="BD1713" s="53"/>
      <c r="BE1713" s="53"/>
      <c r="BF1713" s="53"/>
      <c r="BG1713" s="53"/>
      <c r="BH1713" s="53"/>
      <c r="BI1713" s="53"/>
      <c r="BJ1713" s="53"/>
      <c r="BK1713" s="53"/>
      <c r="BL1713" s="53"/>
      <c r="BM1713" s="53"/>
      <c r="BN1713" s="53"/>
      <c r="BO1713" s="53"/>
      <c r="BP1713" s="53"/>
      <c r="BQ1713" s="53"/>
      <c r="BR1713" s="53"/>
      <c r="BS1713" s="53"/>
      <c r="BT1713" s="53"/>
    </row>
    <row r="1714" spans="1:72" ht="14.25" customHeight="1" x14ac:dyDescent="0.2">
      <c r="A1714" s="4" t="s">
        <v>2037</v>
      </c>
      <c r="B1714" s="4">
        <v>5</v>
      </c>
      <c r="C1714" s="4" t="s">
        <v>7688</v>
      </c>
      <c r="D1714" s="4" t="s">
        <v>6079</v>
      </c>
      <c r="E1714" s="4">
        <v>2439</v>
      </c>
      <c r="F1714" s="8" t="s">
        <v>6080</v>
      </c>
      <c r="G1714" s="4" t="s">
        <v>6081</v>
      </c>
      <c r="H1714" s="4" t="s">
        <v>6082</v>
      </c>
      <c r="I1714" s="4" t="s">
        <v>1664</v>
      </c>
      <c r="J1714" s="4" t="s">
        <v>6046</v>
      </c>
      <c r="K1714" s="4">
        <v>1</v>
      </c>
      <c r="L1714" s="4">
        <v>2842</v>
      </c>
      <c r="U1714" s="53"/>
      <c r="V1714" s="53"/>
      <c r="W1714" s="53"/>
      <c r="X1714" s="53"/>
      <c r="Y1714" s="53"/>
      <c r="Z1714" s="53"/>
      <c r="AA1714" s="53"/>
      <c r="AB1714" s="53"/>
      <c r="AC1714" s="53"/>
      <c r="AD1714" s="53"/>
      <c r="AE1714" s="53"/>
      <c r="AF1714" s="53"/>
      <c r="AG1714" s="53"/>
      <c r="AH1714" s="53"/>
      <c r="AI1714" s="53"/>
      <c r="AJ1714" s="53"/>
      <c r="AK1714" s="53"/>
      <c r="AL1714" s="53"/>
      <c r="AM1714" s="53"/>
      <c r="AN1714" s="53"/>
      <c r="AO1714" s="53"/>
      <c r="AP1714" s="53"/>
      <c r="AQ1714" s="53"/>
      <c r="AR1714" s="53"/>
      <c r="AS1714" s="53"/>
      <c r="AT1714" s="53"/>
      <c r="AU1714" s="53"/>
      <c r="AV1714" s="53"/>
      <c r="AW1714" s="53"/>
      <c r="AX1714" s="53"/>
      <c r="AY1714" s="53"/>
      <c r="AZ1714" s="53"/>
      <c r="BA1714" s="53"/>
      <c r="BB1714" s="53"/>
      <c r="BC1714" s="53"/>
      <c r="BD1714" s="53"/>
      <c r="BE1714" s="53"/>
      <c r="BF1714" s="53"/>
      <c r="BG1714" s="53"/>
      <c r="BH1714" s="53"/>
      <c r="BI1714" s="53"/>
      <c r="BJ1714" s="53"/>
      <c r="BK1714" s="53"/>
      <c r="BL1714" s="53"/>
      <c r="BM1714" s="53"/>
      <c r="BN1714" s="53"/>
      <c r="BO1714" s="53"/>
      <c r="BP1714" s="53"/>
      <c r="BQ1714" s="53"/>
      <c r="BR1714" s="53"/>
      <c r="BS1714" s="53"/>
      <c r="BT1714" s="53"/>
    </row>
    <row r="1715" spans="1:72" ht="14.25" customHeight="1" x14ac:dyDescent="0.2">
      <c r="B1715" s="4">
        <v>5</v>
      </c>
      <c r="C1715" s="4" t="s">
        <v>7688</v>
      </c>
      <c r="D1715" s="4" t="s">
        <v>6083</v>
      </c>
      <c r="E1715" s="4">
        <v>13112</v>
      </c>
      <c r="F1715" s="4" t="s">
        <v>6084</v>
      </c>
      <c r="G1715" s="4" t="s">
        <v>6085</v>
      </c>
      <c r="H1715" s="4" t="s">
        <v>6086</v>
      </c>
      <c r="I1715" s="4" t="s">
        <v>49</v>
      </c>
      <c r="J1715" s="4" t="s">
        <v>6087</v>
      </c>
      <c r="K1715" s="4">
        <v>1</v>
      </c>
      <c r="L1715" s="4">
        <v>15034</v>
      </c>
      <c r="M1715" s="9">
        <v>-122.78881944444444</v>
      </c>
      <c r="N1715" s="9">
        <v>50.775188888888891</v>
      </c>
      <c r="O1715" s="9">
        <v>1382</v>
      </c>
      <c r="P1715" s="4" t="s">
        <v>6083</v>
      </c>
      <c r="Q1715" s="70">
        <v>5</v>
      </c>
      <c r="R1715" s="9" t="s">
        <v>6084</v>
      </c>
      <c r="S1715" s="9" t="s">
        <v>6009</v>
      </c>
    </row>
    <row r="1716" spans="1:72" ht="14.25" customHeight="1" x14ac:dyDescent="0.2">
      <c r="B1716" s="4">
        <v>5</v>
      </c>
      <c r="C1716" s="4" t="s">
        <v>7688</v>
      </c>
      <c r="D1716" s="4" t="s">
        <v>6088</v>
      </c>
      <c r="E1716" s="4">
        <v>2435</v>
      </c>
      <c r="F1716" s="8" t="s">
        <v>6089</v>
      </c>
      <c r="G1716" s="4" t="s">
        <v>6090</v>
      </c>
      <c r="H1716" s="4" t="s">
        <v>6091</v>
      </c>
      <c r="I1716" s="4" t="s">
        <v>1664</v>
      </c>
      <c r="J1716" s="4" t="s">
        <v>6046</v>
      </c>
      <c r="K1716" s="4">
        <v>1</v>
      </c>
      <c r="L1716" s="4">
        <v>2838</v>
      </c>
      <c r="M1716" s="8" t="e">
        <f t="shared" ref="M1716:M1717" ca="1" si="7">_xludf.NUMBERVALUE(LEFT(G1716,9))</f>
        <v>#NAME?</v>
      </c>
      <c r="N1716" s="8" t="e">
        <f ca="1">_xludf.NUMBERVALUE(RIGHT(LEFT(G1716,20),8))</f>
        <v>#NAME?</v>
      </c>
      <c r="O1716" s="8" t="e">
        <f t="shared" ref="O1716:O1717" ca="1" si="8">_xludf.NUMBERVALUE(LEFT(RIGHT(G1716,5),3))</f>
        <v>#NAME?</v>
      </c>
      <c r="P1716" s="8" t="str">
        <f t="shared" ref="P1716:P1717" si="9">D1716</f>
        <v>BLN</v>
      </c>
      <c r="Q1716" s="53"/>
      <c r="R1716" s="8" t="str">
        <f t="shared" ref="R1716:R1717" si="10">F1716</f>
        <v>Bralorne Upper</v>
      </c>
      <c r="S1716" s="53"/>
      <c r="T1716" s="53"/>
      <c r="U1716" s="53"/>
      <c r="V1716" s="53"/>
      <c r="W1716" s="53"/>
      <c r="X1716" s="53"/>
      <c r="Y1716" s="53"/>
      <c r="Z1716" s="53"/>
      <c r="AA1716" s="53"/>
      <c r="AB1716" s="53"/>
      <c r="AC1716" s="53"/>
      <c r="AD1716" s="53"/>
      <c r="AE1716" s="53"/>
      <c r="AF1716" s="53"/>
      <c r="AG1716" s="53"/>
      <c r="AH1716" s="53"/>
      <c r="AI1716" s="53"/>
      <c r="AJ1716" s="53"/>
      <c r="AK1716" s="53"/>
      <c r="AL1716" s="53"/>
      <c r="AM1716" s="53"/>
      <c r="AN1716" s="53"/>
      <c r="AO1716" s="53"/>
      <c r="AP1716" s="53"/>
      <c r="AQ1716" s="53"/>
      <c r="AR1716" s="53"/>
      <c r="AS1716" s="53"/>
      <c r="AT1716" s="53"/>
      <c r="AU1716" s="53"/>
      <c r="AV1716" s="53"/>
      <c r="AW1716" s="53"/>
      <c r="AX1716" s="53"/>
      <c r="AY1716" s="53"/>
      <c r="AZ1716" s="53"/>
      <c r="BA1716" s="53"/>
      <c r="BB1716" s="53"/>
      <c r="BC1716" s="53"/>
      <c r="BD1716" s="53"/>
      <c r="BE1716" s="53"/>
      <c r="BF1716" s="53"/>
      <c r="BG1716" s="53"/>
      <c r="BH1716" s="53"/>
      <c r="BI1716" s="53"/>
      <c r="BJ1716" s="53"/>
      <c r="BK1716" s="53"/>
      <c r="BL1716" s="53"/>
      <c r="BM1716" s="53"/>
      <c r="BN1716" s="53"/>
      <c r="BO1716" s="53"/>
      <c r="BP1716" s="53"/>
      <c r="BQ1716" s="53"/>
      <c r="BR1716" s="53"/>
      <c r="BS1716" s="53"/>
      <c r="BT1716" s="53"/>
    </row>
    <row r="1717" spans="1:72" ht="14.25" customHeight="1" x14ac:dyDescent="0.2">
      <c r="A1717" s="4" t="s">
        <v>6092</v>
      </c>
      <c r="B1717" s="4">
        <v>5</v>
      </c>
      <c r="C1717" s="8" t="s">
        <v>7689</v>
      </c>
      <c r="D1717" s="4" t="s">
        <v>6094</v>
      </c>
      <c r="E1717" s="4">
        <v>2436</v>
      </c>
      <c r="F1717" s="4" t="s">
        <v>6095</v>
      </c>
      <c r="G1717" s="4" t="s">
        <v>6096</v>
      </c>
      <c r="H1717" s="4" t="s">
        <v>6097</v>
      </c>
      <c r="I1717" s="4" t="s">
        <v>1664</v>
      </c>
      <c r="J1717" s="4" t="s">
        <v>6041</v>
      </c>
      <c r="K1717" s="4">
        <v>1</v>
      </c>
      <c r="L1717" s="4">
        <v>2839</v>
      </c>
      <c r="M1717" s="8" t="e">
        <f t="shared" ca="1" si="7"/>
        <v>#NAME?</v>
      </c>
      <c r="N1717" s="8" t="e">
        <f ca="1">_xludf.NUMBERVALUE(RIGHT(LEFT(G1717,25),12))</f>
        <v>#NAME?</v>
      </c>
      <c r="O1717" s="8" t="e">
        <f t="shared" ca="1" si="8"/>
        <v>#NAME?</v>
      </c>
      <c r="P1717" s="8" t="str">
        <f t="shared" si="9"/>
        <v>BMN</v>
      </c>
      <c r="Q1717" s="53"/>
      <c r="R1717" s="8" t="str">
        <f t="shared" si="10"/>
        <v>Brenda Mines</v>
      </c>
      <c r="S1717" s="53"/>
      <c r="T1717" s="53"/>
      <c r="U1717" s="53"/>
      <c r="V1717" s="53"/>
      <c r="W1717" s="53"/>
      <c r="X1717" s="53"/>
      <c r="Y1717" s="53"/>
      <c r="Z1717" s="53"/>
      <c r="AA1717" s="53"/>
      <c r="AB1717" s="53"/>
      <c r="AC1717" s="53"/>
      <c r="AD1717" s="53"/>
      <c r="AE1717" s="53"/>
      <c r="AF1717" s="53"/>
      <c r="AG1717" s="53"/>
      <c r="AH1717" s="53"/>
      <c r="AI1717" s="53"/>
      <c r="AJ1717" s="53"/>
      <c r="AK1717" s="53"/>
      <c r="AL1717" s="53"/>
      <c r="AM1717" s="53"/>
      <c r="AN1717" s="53"/>
      <c r="AO1717" s="53"/>
      <c r="AP1717" s="53"/>
      <c r="AQ1717" s="53"/>
      <c r="AR1717" s="53"/>
      <c r="AS1717" s="53"/>
      <c r="AT1717" s="53"/>
      <c r="AU1717" s="53"/>
      <c r="AV1717" s="53"/>
      <c r="AW1717" s="53"/>
      <c r="AX1717" s="53"/>
      <c r="AY1717" s="53"/>
      <c r="AZ1717" s="53"/>
      <c r="BA1717" s="53"/>
      <c r="BB1717" s="53"/>
      <c r="BC1717" s="53"/>
      <c r="BD1717" s="53"/>
      <c r="BE1717" s="53"/>
      <c r="BF1717" s="53"/>
      <c r="BG1717" s="53"/>
      <c r="BH1717" s="53"/>
      <c r="BI1717" s="53"/>
      <c r="BJ1717" s="53"/>
      <c r="BK1717" s="53"/>
      <c r="BL1717" s="53"/>
      <c r="BM1717" s="53"/>
      <c r="BN1717" s="53"/>
      <c r="BO1717" s="53"/>
      <c r="BP1717" s="53"/>
      <c r="BQ1717" s="53"/>
      <c r="BR1717" s="53"/>
      <c r="BS1717" s="53"/>
      <c r="BT1717" s="53"/>
    </row>
    <row r="1718" spans="1:72" ht="14.25" customHeight="1" x14ac:dyDescent="0.2">
      <c r="A1718" s="4" t="s">
        <v>6098</v>
      </c>
      <c r="C1718" s="8" t="s">
        <v>7690</v>
      </c>
      <c r="D1718" s="10" t="s">
        <v>6100</v>
      </c>
      <c r="F1718" s="8" t="s">
        <v>6095</v>
      </c>
      <c r="G1718" s="10" t="s">
        <v>6101</v>
      </c>
      <c r="M1718" s="8"/>
      <c r="N1718" s="8"/>
      <c r="O1718" s="8"/>
      <c r="P1718" s="8"/>
      <c r="Q1718" s="53"/>
      <c r="R1718" s="8"/>
      <c r="S1718" s="53"/>
      <c r="T1718" s="53"/>
      <c r="U1718" s="53"/>
      <c r="V1718" s="53"/>
      <c r="W1718" s="53"/>
      <c r="X1718" s="53"/>
      <c r="Y1718" s="53"/>
      <c r="Z1718" s="53"/>
      <c r="AA1718" s="53"/>
      <c r="AB1718" s="53"/>
      <c r="AC1718" s="53"/>
      <c r="AD1718" s="53"/>
      <c r="AE1718" s="53"/>
      <c r="AF1718" s="53"/>
      <c r="AG1718" s="53"/>
      <c r="AH1718" s="53"/>
      <c r="AI1718" s="53"/>
      <c r="AJ1718" s="53"/>
      <c r="AK1718" s="53"/>
      <c r="AL1718" s="53"/>
      <c r="AM1718" s="53"/>
      <c r="AN1718" s="53"/>
      <c r="AO1718" s="53"/>
      <c r="AP1718" s="53"/>
      <c r="AQ1718" s="53"/>
      <c r="AR1718" s="53"/>
      <c r="AS1718" s="53"/>
      <c r="AT1718" s="53"/>
      <c r="AU1718" s="53"/>
      <c r="AV1718" s="53"/>
      <c r="AW1718" s="53"/>
      <c r="AX1718" s="53"/>
      <c r="AY1718" s="53"/>
      <c r="AZ1718" s="53"/>
      <c r="BA1718" s="53"/>
      <c r="BB1718" s="53"/>
      <c r="BC1718" s="53"/>
      <c r="BD1718" s="53"/>
      <c r="BE1718" s="53"/>
      <c r="BF1718" s="53"/>
      <c r="BG1718" s="53"/>
      <c r="BH1718" s="53"/>
      <c r="BI1718" s="53"/>
      <c r="BJ1718" s="53"/>
      <c r="BK1718" s="53"/>
      <c r="BL1718" s="53"/>
      <c r="BM1718" s="53"/>
      <c r="BN1718" s="53"/>
      <c r="BO1718" s="53"/>
      <c r="BP1718" s="53"/>
      <c r="BQ1718" s="53"/>
      <c r="BR1718" s="53"/>
      <c r="BS1718" s="53"/>
      <c r="BT1718" s="53"/>
    </row>
    <row r="1719" spans="1:72" ht="14.25" customHeight="1" x14ac:dyDescent="0.2">
      <c r="B1719" s="4">
        <v>5</v>
      </c>
      <c r="C1719" s="4" t="s">
        <v>7688</v>
      </c>
      <c r="D1719" s="4" t="s">
        <v>6102</v>
      </c>
      <c r="E1719" s="4">
        <v>13210</v>
      </c>
      <c r="F1719" s="4" t="s">
        <v>6103</v>
      </c>
      <c r="G1719" s="4" t="s">
        <v>6104</v>
      </c>
      <c r="H1719" s="4" t="s">
        <v>6105</v>
      </c>
      <c r="I1719" s="4" t="s">
        <v>49</v>
      </c>
      <c r="J1719" s="4" t="s">
        <v>6087</v>
      </c>
      <c r="K1719" s="4">
        <v>1</v>
      </c>
      <c r="L1719" s="4">
        <v>15126</v>
      </c>
      <c r="M1719" s="9">
        <v>-123.486422</v>
      </c>
      <c r="N1719" s="9">
        <v>50.831491999999997</v>
      </c>
      <c r="O1719" s="9">
        <v>1505</v>
      </c>
      <c r="P1719" s="4" t="s">
        <v>6102</v>
      </c>
      <c r="Q1719" s="70">
        <v>6</v>
      </c>
      <c r="R1719" s="9" t="s">
        <v>6103</v>
      </c>
      <c r="S1719" s="9" t="s">
        <v>6009</v>
      </c>
    </row>
    <row r="1720" spans="1:72" ht="14.25" customHeight="1" x14ac:dyDescent="0.2">
      <c r="A1720" s="4" t="s">
        <v>2037</v>
      </c>
      <c r="B1720" s="4">
        <v>5</v>
      </c>
      <c r="C1720" s="4" t="s">
        <v>7688</v>
      </c>
      <c r="D1720" s="4" t="s">
        <v>6106</v>
      </c>
      <c r="E1720" s="4">
        <v>2437</v>
      </c>
      <c r="F1720" s="8" t="s">
        <v>6107</v>
      </c>
      <c r="G1720" s="4" t="s">
        <v>6108</v>
      </c>
      <c r="H1720" s="4" t="s">
        <v>6109</v>
      </c>
      <c r="I1720" s="4" t="s">
        <v>1664</v>
      </c>
      <c r="J1720" s="4" t="s">
        <v>6046</v>
      </c>
      <c r="K1720" s="4">
        <v>1</v>
      </c>
      <c r="L1720" s="4">
        <v>2840</v>
      </c>
      <c r="M1720" s="8" t="e">
        <f t="shared" ref="M1720:M1721" ca="1" si="11">_xludf.NUMBERVALUE(LEFT(G1720,7))</f>
        <v>#NAME?</v>
      </c>
      <c r="N1720" s="8">
        <v>50.856110000000001</v>
      </c>
      <c r="O1720" s="8" t="e">
        <f t="shared" ref="O1720:O1721" ca="1" si="12">_xludf.NUMBERVALUE(LEFT(RIGHT(G1720,5),3))</f>
        <v>#NAME?</v>
      </c>
      <c r="P1720" s="8" t="str">
        <f t="shared" ref="P1720:P1721" si="13">D1720</f>
        <v>BRI</v>
      </c>
      <c r="Q1720" s="53"/>
      <c r="R1720" s="8" t="s">
        <v>6110</v>
      </c>
      <c r="S1720" s="53"/>
      <c r="T1720" s="53"/>
      <c r="U1720" s="53"/>
      <c r="V1720" s="53"/>
      <c r="W1720" s="53"/>
      <c r="X1720" s="53"/>
      <c r="Y1720" s="53"/>
      <c r="Z1720" s="53"/>
      <c r="AA1720" s="53"/>
      <c r="AB1720" s="53"/>
      <c r="AC1720" s="53"/>
      <c r="AD1720" s="53"/>
      <c r="AE1720" s="53"/>
      <c r="AF1720" s="53"/>
      <c r="AG1720" s="53"/>
      <c r="AH1720" s="53"/>
      <c r="AI1720" s="53"/>
      <c r="AJ1720" s="53"/>
      <c r="AK1720" s="53"/>
      <c r="AL1720" s="53"/>
      <c r="AM1720" s="53"/>
      <c r="AN1720" s="53"/>
      <c r="AO1720" s="53"/>
      <c r="AP1720" s="53"/>
      <c r="AQ1720" s="53"/>
      <c r="AR1720" s="53"/>
      <c r="AS1720" s="53"/>
      <c r="AT1720" s="53"/>
      <c r="AU1720" s="53"/>
      <c r="AV1720" s="53"/>
      <c r="AW1720" s="53"/>
      <c r="AX1720" s="53"/>
      <c r="AY1720" s="53"/>
      <c r="AZ1720" s="53"/>
      <c r="BA1720" s="53"/>
      <c r="BB1720" s="53"/>
      <c r="BC1720" s="53"/>
      <c r="BD1720" s="53"/>
      <c r="BE1720" s="53"/>
      <c r="BF1720" s="53"/>
      <c r="BG1720" s="53"/>
      <c r="BH1720" s="53"/>
      <c r="BI1720" s="53"/>
      <c r="BJ1720" s="53"/>
      <c r="BK1720" s="53"/>
      <c r="BL1720" s="53"/>
      <c r="BM1720" s="53"/>
      <c r="BN1720" s="53"/>
      <c r="BO1720" s="53"/>
      <c r="BP1720" s="53"/>
      <c r="BQ1720" s="53"/>
      <c r="BR1720" s="53"/>
      <c r="BS1720" s="53"/>
      <c r="BT1720" s="53"/>
    </row>
    <row r="1721" spans="1:72" ht="14.25" customHeight="1" x14ac:dyDescent="0.2">
      <c r="A1721" s="4" t="s">
        <v>2037</v>
      </c>
      <c r="B1721" s="4">
        <v>5</v>
      </c>
      <c r="C1721" s="4" t="s">
        <v>7688</v>
      </c>
      <c r="D1721" s="4" t="s">
        <v>6111</v>
      </c>
      <c r="E1721" s="4">
        <v>12393</v>
      </c>
      <c r="F1721" s="8" t="s">
        <v>6112</v>
      </c>
      <c r="G1721" s="4" t="s">
        <v>6113</v>
      </c>
      <c r="H1721" s="4" t="s">
        <v>6114</v>
      </c>
      <c r="I1721" s="4" t="s">
        <v>641</v>
      </c>
      <c r="J1721" s="4" t="s">
        <v>6021</v>
      </c>
      <c r="K1721" s="4">
        <v>1</v>
      </c>
      <c r="L1721" s="4">
        <v>14415</v>
      </c>
      <c r="M1721" s="8" t="e">
        <f t="shared" ca="1" si="11"/>
        <v>#NAME?</v>
      </c>
      <c r="N1721" s="8">
        <v>50.821199999999997</v>
      </c>
      <c r="O1721" s="8" t="e">
        <f t="shared" ca="1" si="12"/>
        <v>#NAME?</v>
      </c>
      <c r="P1721" s="8" t="str">
        <f t="shared" si="13"/>
        <v>DOW</v>
      </c>
      <c r="Q1721" s="53"/>
      <c r="R1721" s="8" t="str">
        <f>F1721</f>
        <v>Bridge River above Downton Lake</v>
      </c>
      <c r="S1721" s="53"/>
      <c r="T1721" s="53"/>
      <c r="U1721" s="53"/>
      <c r="V1721" s="53"/>
      <c r="W1721" s="53"/>
      <c r="X1721" s="53"/>
      <c r="Y1721" s="53"/>
      <c r="Z1721" s="53"/>
      <c r="AA1721" s="53"/>
      <c r="AB1721" s="53"/>
      <c r="AC1721" s="53"/>
      <c r="AD1721" s="53"/>
      <c r="AE1721" s="53"/>
      <c r="AF1721" s="53"/>
      <c r="AG1721" s="53"/>
      <c r="AH1721" s="53"/>
      <c r="AI1721" s="53"/>
      <c r="AJ1721" s="53"/>
      <c r="AK1721" s="53"/>
      <c r="AL1721" s="53"/>
      <c r="AM1721" s="53"/>
      <c r="AN1721" s="53"/>
      <c r="AO1721" s="53"/>
      <c r="AP1721" s="53"/>
      <c r="AQ1721" s="53"/>
      <c r="AR1721" s="53"/>
      <c r="AS1721" s="53"/>
      <c r="AT1721" s="53"/>
      <c r="AU1721" s="53"/>
      <c r="AV1721" s="53"/>
      <c r="AW1721" s="53"/>
      <c r="AX1721" s="53"/>
      <c r="AY1721" s="53"/>
      <c r="AZ1721" s="53"/>
      <c r="BA1721" s="53"/>
      <c r="BB1721" s="53"/>
      <c r="BC1721" s="53"/>
      <c r="BD1721" s="53"/>
      <c r="BE1721" s="53"/>
      <c r="BF1721" s="53"/>
      <c r="BG1721" s="53"/>
      <c r="BH1721" s="53"/>
      <c r="BI1721" s="53"/>
      <c r="BJ1721" s="53"/>
      <c r="BK1721" s="53"/>
      <c r="BL1721" s="53"/>
      <c r="BM1721" s="53"/>
      <c r="BN1721" s="53"/>
      <c r="BO1721" s="53"/>
      <c r="BP1721" s="53"/>
      <c r="BQ1721" s="53"/>
      <c r="BR1721" s="53"/>
      <c r="BS1721" s="53"/>
      <c r="BT1721" s="53"/>
    </row>
    <row r="1722" spans="1:72" ht="14.25" customHeight="1" x14ac:dyDescent="0.2">
      <c r="A1722" s="4" t="s">
        <v>2037</v>
      </c>
      <c r="B1722" s="4">
        <v>5</v>
      </c>
      <c r="C1722" s="4" t="s">
        <v>7688</v>
      </c>
      <c r="D1722" s="4" t="s">
        <v>6115</v>
      </c>
      <c r="E1722" s="4">
        <v>2438</v>
      </c>
      <c r="F1722" s="8" t="s">
        <v>6116</v>
      </c>
      <c r="G1722" s="4" t="s">
        <v>6117</v>
      </c>
      <c r="H1722" s="4" t="s">
        <v>6118</v>
      </c>
      <c r="I1722" s="4" t="s">
        <v>1664</v>
      </c>
      <c r="J1722" s="4" t="s">
        <v>6046</v>
      </c>
      <c r="K1722" s="4">
        <v>1</v>
      </c>
      <c r="L1722" s="4">
        <v>2841</v>
      </c>
      <c r="M1722" s="9">
        <v>-115.3639222</v>
      </c>
      <c r="N1722" s="9">
        <v>49.493255560000001</v>
      </c>
      <c r="O1722" s="9">
        <v>800</v>
      </c>
      <c r="P1722" s="4" t="s">
        <v>6115</v>
      </c>
      <c r="Q1722" s="70">
        <v>1</v>
      </c>
      <c r="R1722" s="9" t="s">
        <v>6119</v>
      </c>
      <c r="S1722" s="9" t="s">
        <v>6009</v>
      </c>
    </row>
    <row r="1723" spans="1:72" ht="14.25" customHeight="1" x14ac:dyDescent="0.2">
      <c r="B1723" s="4">
        <v>5</v>
      </c>
      <c r="C1723" s="4" t="s">
        <v>7688</v>
      </c>
      <c r="D1723" s="4" t="s">
        <v>6120</v>
      </c>
      <c r="E1723" s="4">
        <v>13092</v>
      </c>
      <c r="F1723" s="4" t="s">
        <v>6121</v>
      </c>
      <c r="G1723" s="4" t="s">
        <v>6122</v>
      </c>
      <c r="H1723" s="4" t="s">
        <v>6014</v>
      </c>
      <c r="I1723" s="4" t="s">
        <v>49</v>
      </c>
      <c r="J1723" s="4" t="s">
        <v>6087</v>
      </c>
      <c r="K1723" s="4">
        <v>1</v>
      </c>
      <c r="L1723" s="4">
        <v>15014</v>
      </c>
      <c r="M1723" s="9">
        <v>-123.102889</v>
      </c>
      <c r="N1723" s="9">
        <v>50.137056000000001</v>
      </c>
      <c r="O1723" s="9">
        <v>1017</v>
      </c>
      <c r="P1723" s="4" t="s">
        <v>6120</v>
      </c>
      <c r="Q1723" s="70">
        <v>5</v>
      </c>
      <c r="R1723" s="9" t="s">
        <v>6121</v>
      </c>
      <c r="S1723" s="9" t="s">
        <v>6009</v>
      </c>
    </row>
    <row r="1724" spans="1:72" ht="14.25" customHeight="1" x14ac:dyDescent="0.2">
      <c r="B1724" s="4">
        <v>5</v>
      </c>
      <c r="C1724" s="4" t="s">
        <v>7688</v>
      </c>
      <c r="D1724" s="4" t="s">
        <v>6123</v>
      </c>
      <c r="E1724" s="4">
        <v>12416</v>
      </c>
      <c r="F1724" s="4" t="s">
        <v>6124</v>
      </c>
      <c r="G1724" s="4" t="s">
        <v>6125</v>
      </c>
      <c r="H1724" s="4" t="s">
        <v>6126</v>
      </c>
      <c r="I1724" s="4" t="s">
        <v>641</v>
      </c>
      <c r="J1724" s="4" t="s">
        <v>6127</v>
      </c>
      <c r="K1724" s="4">
        <v>1</v>
      </c>
      <c r="L1724" s="4">
        <v>14438</v>
      </c>
      <c r="M1724" s="9">
        <v>-117.2284167</v>
      </c>
      <c r="N1724" s="9">
        <v>51.109027779999998</v>
      </c>
      <c r="O1724" s="9">
        <v>2201</v>
      </c>
      <c r="P1724" s="4" t="s">
        <v>6123</v>
      </c>
      <c r="Q1724" s="70">
        <v>8</v>
      </c>
      <c r="R1724" s="9" t="s">
        <v>6124</v>
      </c>
      <c r="S1724" s="9" t="s">
        <v>6009</v>
      </c>
    </row>
    <row r="1725" spans="1:72" ht="14.25" customHeight="1" x14ac:dyDescent="0.2">
      <c r="A1725" s="4" t="s">
        <v>2037</v>
      </c>
      <c r="B1725" s="4">
        <v>5</v>
      </c>
      <c r="C1725" s="4" t="s">
        <v>7688</v>
      </c>
      <c r="D1725" s="4" t="s">
        <v>6128</v>
      </c>
      <c r="E1725" s="4">
        <v>2440</v>
      </c>
      <c r="F1725" s="8" t="s">
        <v>6129</v>
      </c>
      <c r="G1725" s="4" t="s">
        <v>6130</v>
      </c>
      <c r="H1725" s="4" t="s">
        <v>6131</v>
      </c>
      <c r="I1725" s="4" t="s">
        <v>1664</v>
      </c>
      <c r="J1725" s="4" t="s">
        <v>6046</v>
      </c>
      <c r="K1725" s="4">
        <v>1</v>
      </c>
      <c r="L1725" s="4">
        <v>2843</v>
      </c>
      <c r="M1725" s="8" t="e">
        <f ca="1">_xludf.NUMBERVALUE(LEFT(G1725,7))</f>
        <v>#NAME?</v>
      </c>
      <c r="N1725" s="8">
        <v>50.079720000000002</v>
      </c>
      <c r="O1725" s="8" t="e">
        <f ca="1">_xludf.NUMBERVALUE(LEFT(RIGHT(G1725,5),3))</f>
        <v>#NAME?</v>
      </c>
      <c r="P1725" s="8" t="str">
        <f>D1725</f>
        <v>CHK</v>
      </c>
      <c r="Q1725" s="53"/>
      <c r="R1725" s="8" t="s">
        <v>6132</v>
      </c>
      <c r="S1725" s="53"/>
      <c r="T1725" s="53"/>
      <c r="U1725" s="53"/>
      <c r="V1725" s="53"/>
      <c r="W1725" s="53"/>
      <c r="X1725" s="53"/>
      <c r="Y1725" s="53"/>
      <c r="Z1725" s="53"/>
      <c r="AA1725" s="53"/>
      <c r="AB1725" s="53"/>
      <c r="AC1725" s="53"/>
      <c r="AD1725" s="53"/>
      <c r="AE1725" s="53"/>
      <c r="AF1725" s="53"/>
      <c r="AG1725" s="53"/>
      <c r="AH1725" s="53"/>
      <c r="AI1725" s="53"/>
      <c r="AJ1725" s="53"/>
      <c r="AK1725" s="53"/>
      <c r="AL1725" s="53"/>
      <c r="AM1725" s="53"/>
      <c r="AN1725" s="53"/>
      <c r="AO1725" s="53"/>
      <c r="AP1725" s="53"/>
      <c r="AQ1725" s="53"/>
      <c r="AR1725" s="53"/>
      <c r="AS1725" s="53"/>
      <c r="AT1725" s="53"/>
      <c r="AU1725" s="53"/>
      <c r="AV1725" s="53"/>
      <c r="AW1725" s="53"/>
      <c r="AX1725" s="53"/>
      <c r="AY1725" s="53"/>
      <c r="AZ1725" s="53"/>
      <c r="BA1725" s="53"/>
      <c r="BB1725" s="53"/>
      <c r="BC1725" s="53"/>
      <c r="BD1725" s="53"/>
      <c r="BE1725" s="53"/>
      <c r="BF1725" s="53"/>
      <c r="BG1725" s="53"/>
      <c r="BH1725" s="53"/>
      <c r="BI1725" s="53"/>
      <c r="BJ1725" s="53"/>
      <c r="BK1725" s="53"/>
      <c r="BL1725" s="53"/>
      <c r="BM1725" s="53"/>
      <c r="BN1725" s="53"/>
      <c r="BO1725" s="53"/>
      <c r="BP1725" s="53"/>
      <c r="BQ1725" s="53"/>
      <c r="BR1725" s="53"/>
      <c r="BS1725" s="53"/>
      <c r="BT1725" s="53"/>
    </row>
    <row r="1726" spans="1:72" ht="14.25" customHeight="1" x14ac:dyDescent="0.2">
      <c r="B1726" s="4">
        <v>5</v>
      </c>
      <c r="C1726" s="4" t="s">
        <v>7688</v>
      </c>
      <c r="D1726" s="4" t="s">
        <v>6133</v>
      </c>
      <c r="E1726" s="4">
        <v>2441</v>
      </c>
      <c r="F1726" s="4" t="s">
        <v>6134</v>
      </c>
      <c r="G1726" s="4" t="s">
        <v>6135</v>
      </c>
      <c r="H1726" s="4" t="s">
        <v>6136</v>
      </c>
      <c r="I1726" s="4" t="s">
        <v>1664</v>
      </c>
      <c r="J1726" s="4" t="s">
        <v>6041</v>
      </c>
      <c r="K1726" s="4">
        <v>1</v>
      </c>
      <c r="L1726" s="4">
        <v>2844</v>
      </c>
      <c r="M1726" s="9">
        <v>-122.77886669999999</v>
      </c>
      <c r="N1726" s="9">
        <v>56.636833330000002</v>
      </c>
      <c r="O1726" s="9">
        <v>1480</v>
      </c>
      <c r="P1726" s="4" t="s">
        <v>6133</v>
      </c>
      <c r="Q1726" s="70">
        <v>7</v>
      </c>
      <c r="R1726" s="9" t="s">
        <v>6134</v>
      </c>
      <c r="S1726" s="9" t="s">
        <v>6009</v>
      </c>
    </row>
    <row r="1727" spans="1:72" ht="14.25" customHeight="1" x14ac:dyDescent="0.2">
      <c r="A1727" s="4" t="s">
        <v>88</v>
      </c>
      <c r="B1727" s="4">
        <v>5</v>
      </c>
      <c r="C1727" s="4" t="s">
        <v>7688</v>
      </c>
      <c r="D1727" s="4" t="s">
        <v>6137</v>
      </c>
      <c r="E1727" s="4">
        <v>2442</v>
      </c>
      <c r="F1727" s="4" t="s">
        <v>6138</v>
      </c>
      <c r="G1727" s="8" t="s">
        <v>6139</v>
      </c>
      <c r="H1727" s="4" t="s">
        <v>6040</v>
      </c>
      <c r="I1727" s="4" t="s">
        <v>1664</v>
      </c>
      <c r="J1727" s="4" t="s">
        <v>6046</v>
      </c>
      <c r="K1727" s="4">
        <v>1</v>
      </c>
      <c r="L1727" s="4">
        <v>2845</v>
      </c>
      <c r="M1727" s="9">
        <v>-123.529025</v>
      </c>
      <c r="N1727" s="9">
        <v>49.710866670000001</v>
      </c>
      <c r="O1727" s="9">
        <v>10</v>
      </c>
      <c r="P1727" s="4" t="s">
        <v>6137</v>
      </c>
      <c r="Q1727" s="70">
        <v>1</v>
      </c>
      <c r="R1727" s="9" t="s">
        <v>6138</v>
      </c>
      <c r="S1727" s="9" t="s">
        <v>6009</v>
      </c>
    </row>
    <row r="1728" spans="1:72" ht="14.25" customHeight="1" x14ac:dyDescent="0.2">
      <c r="A1728" s="4" t="s">
        <v>2037</v>
      </c>
      <c r="B1728" s="4">
        <v>5</v>
      </c>
      <c r="C1728" s="4" t="s">
        <v>7688</v>
      </c>
      <c r="D1728" s="4" t="s">
        <v>6140</v>
      </c>
      <c r="E1728" s="4">
        <v>2443</v>
      </c>
      <c r="F1728" s="8" t="s">
        <v>6141</v>
      </c>
      <c r="G1728" s="4" t="s">
        <v>6142</v>
      </c>
      <c r="H1728" s="4" t="s">
        <v>6143</v>
      </c>
      <c r="I1728" s="4" t="s">
        <v>1664</v>
      </c>
      <c r="J1728" s="4" t="s">
        <v>6046</v>
      </c>
      <c r="K1728" s="4">
        <v>1</v>
      </c>
      <c r="L1728" s="4">
        <v>2846</v>
      </c>
      <c r="M1728" s="8">
        <v>-123.42028000000001</v>
      </c>
      <c r="N1728" s="8">
        <v>49.787779999999998</v>
      </c>
      <c r="O1728" s="8">
        <v>125</v>
      </c>
      <c r="P1728" s="8" t="s">
        <v>6140</v>
      </c>
      <c r="Q1728" s="53"/>
      <c r="R1728" s="8" t="s">
        <v>6144</v>
      </c>
      <c r="S1728" s="53"/>
      <c r="T1728" s="53"/>
      <c r="U1728" s="53"/>
      <c r="V1728" s="53"/>
      <c r="W1728" s="53"/>
      <c r="X1728" s="53"/>
      <c r="Y1728" s="53"/>
      <c r="Z1728" s="53"/>
      <c r="AA1728" s="53"/>
      <c r="AB1728" s="53"/>
      <c r="AC1728" s="53"/>
      <c r="AD1728" s="53"/>
      <c r="AE1728" s="53"/>
      <c r="AF1728" s="53"/>
      <c r="AG1728" s="53"/>
      <c r="AH1728" s="53"/>
      <c r="AI1728" s="53"/>
      <c r="AJ1728" s="53"/>
      <c r="AK1728" s="53"/>
      <c r="AL1728" s="53"/>
      <c r="AM1728" s="53"/>
      <c r="AN1728" s="53"/>
      <c r="AO1728" s="53"/>
      <c r="AP1728" s="53"/>
      <c r="AQ1728" s="53"/>
      <c r="AR1728" s="53"/>
      <c r="AS1728" s="53"/>
      <c r="AT1728" s="53"/>
      <c r="AU1728" s="53"/>
      <c r="AV1728" s="53"/>
      <c r="AW1728" s="53"/>
      <c r="AX1728" s="53"/>
      <c r="AY1728" s="53"/>
      <c r="AZ1728" s="53"/>
      <c r="BA1728" s="53"/>
      <c r="BB1728" s="53"/>
      <c r="BC1728" s="53"/>
      <c r="BD1728" s="53"/>
      <c r="BE1728" s="53"/>
      <c r="BF1728" s="53"/>
      <c r="BG1728" s="53"/>
      <c r="BH1728" s="53"/>
      <c r="BI1728" s="53"/>
      <c r="BJ1728" s="53"/>
      <c r="BK1728" s="53"/>
      <c r="BL1728" s="53"/>
      <c r="BM1728" s="53"/>
      <c r="BN1728" s="53"/>
      <c r="BO1728" s="53"/>
      <c r="BP1728" s="53"/>
      <c r="BQ1728" s="53"/>
      <c r="BR1728" s="53"/>
      <c r="BS1728" s="53"/>
      <c r="BT1728" s="53"/>
    </row>
    <row r="1729" spans="1:72" ht="14.25" customHeight="1" x14ac:dyDescent="0.2">
      <c r="B1729" s="4">
        <v>5</v>
      </c>
      <c r="C1729" s="4" t="s">
        <v>7688</v>
      </c>
      <c r="D1729" s="4" t="s">
        <v>6145</v>
      </c>
      <c r="E1729" s="4">
        <v>12388</v>
      </c>
      <c r="F1729" s="4" t="s">
        <v>6146</v>
      </c>
      <c r="G1729" s="4" t="s">
        <v>6147</v>
      </c>
      <c r="H1729" s="4" t="s">
        <v>6126</v>
      </c>
      <c r="I1729" s="4" t="s">
        <v>641</v>
      </c>
      <c r="J1729" s="4" t="s">
        <v>6087</v>
      </c>
      <c r="K1729" s="4">
        <v>1</v>
      </c>
      <c r="L1729" s="4">
        <v>14410</v>
      </c>
      <c r="M1729" s="9">
        <v>-117.61086109999999</v>
      </c>
      <c r="N1729" s="9">
        <v>51.607722219999999</v>
      </c>
      <c r="O1729" s="9">
        <v>2131</v>
      </c>
      <c r="P1729" s="4" t="s">
        <v>6145</v>
      </c>
      <c r="Q1729" s="70">
        <v>7</v>
      </c>
      <c r="R1729" s="9" t="s">
        <v>6146</v>
      </c>
      <c r="S1729" s="9" t="s">
        <v>6009</v>
      </c>
    </row>
    <row r="1730" spans="1:72" ht="14.25" customHeight="1" x14ac:dyDescent="0.2">
      <c r="A1730" s="4" t="s">
        <v>2037</v>
      </c>
      <c r="B1730" s="4">
        <v>5</v>
      </c>
      <c r="C1730" s="4" t="s">
        <v>7688</v>
      </c>
      <c r="D1730" s="4" t="s">
        <v>6148</v>
      </c>
      <c r="E1730" s="4">
        <v>2434</v>
      </c>
      <c r="F1730" s="8" t="s">
        <v>6149</v>
      </c>
      <c r="G1730" s="4" t="s">
        <v>6150</v>
      </c>
      <c r="H1730" s="4" t="s">
        <v>6151</v>
      </c>
      <c r="I1730" s="4" t="s">
        <v>1664</v>
      </c>
      <c r="J1730" s="4" t="s">
        <v>6046</v>
      </c>
      <c r="K1730" s="4">
        <v>1</v>
      </c>
      <c r="L1730" s="4">
        <v>2837</v>
      </c>
      <c r="M1730" s="8">
        <v>117.71639</v>
      </c>
      <c r="N1730" s="8">
        <v>49.177778000000004</v>
      </c>
      <c r="O1730" s="8">
        <v>410</v>
      </c>
      <c r="P1730" s="8" t="s">
        <v>6148</v>
      </c>
      <c r="Q1730" s="53"/>
      <c r="R1730" s="8" t="s">
        <v>6152</v>
      </c>
      <c r="S1730" s="53"/>
      <c r="T1730" s="53"/>
      <c r="U1730" s="53"/>
      <c r="V1730" s="53"/>
      <c r="W1730" s="53"/>
      <c r="X1730" s="53"/>
      <c r="Y1730" s="53"/>
      <c r="Z1730" s="53"/>
      <c r="AA1730" s="53"/>
      <c r="AB1730" s="53"/>
      <c r="AC1730" s="53"/>
      <c r="AD1730" s="53"/>
      <c r="AE1730" s="53"/>
      <c r="AF1730" s="53"/>
      <c r="AG1730" s="53"/>
      <c r="AH1730" s="53"/>
      <c r="AI1730" s="53"/>
      <c r="AJ1730" s="53"/>
      <c r="AK1730" s="53"/>
      <c r="AL1730" s="53"/>
      <c r="AM1730" s="53"/>
      <c r="AN1730" s="53"/>
      <c r="AO1730" s="53"/>
      <c r="AP1730" s="53"/>
      <c r="AQ1730" s="53"/>
      <c r="AR1730" s="53"/>
      <c r="AS1730" s="53"/>
      <c r="AT1730" s="53"/>
      <c r="AU1730" s="53"/>
      <c r="AV1730" s="53"/>
      <c r="AW1730" s="53"/>
      <c r="AX1730" s="53"/>
      <c r="AY1730" s="53"/>
      <c r="AZ1730" s="53"/>
      <c r="BA1730" s="53"/>
      <c r="BB1730" s="53"/>
      <c r="BC1730" s="53"/>
      <c r="BD1730" s="53"/>
      <c r="BE1730" s="53"/>
      <c r="BF1730" s="53"/>
      <c r="BG1730" s="53"/>
      <c r="BH1730" s="53"/>
      <c r="BI1730" s="53"/>
      <c r="BJ1730" s="53"/>
      <c r="BK1730" s="53"/>
      <c r="BL1730" s="53"/>
      <c r="BM1730" s="53"/>
      <c r="BN1730" s="53"/>
      <c r="BO1730" s="53"/>
      <c r="BP1730" s="53"/>
      <c r="BQ1730" s="53"/>
      <c r="BR1730" s="53"/>
      <c r="BS1730" s="53"/>
      <c r="BT1730" s="53"/>
    </row>
    <row r="1731" spans="1:72" ht="14.25" customHeight="1" x14ac:dyDescent="0.2">
      <c r="B1731" s="4">
        <v>5</v>
      </c>
      <c r="C1731" s="4" t="s">
        <v>7688</v>
      </c>
      <c r="D1731" s="4" t="s">
        <v>6153</v>
      </c>
      <c r="E1731" s="4">
        <v>12392</v>
      </c>
      <c r="F1731" s="4" t="s">
        <v>6154</v>
      </c>
      <c r="G1731" s="4" t="s">
        <v>6155</v>
      </c>
      <c r="H1731" s="4" t="s">
        <v>6156</v>
      </c>
      <c r="I1731" s="4" t="s">
        <v>641</v>
      </c>
      <c r="J1731" s="4" t="s">
        <v>6021</v>
      </c>
      <c r="K1731" s="4">
        <v>1</v>
      </c>
      <c r="L1731" s="4">
        <v>14414</v>
      </c>
      <c r="M1731" s="9">
        <v>-117.1810139</v>
      </c>
      <c r="N1731" s="9">
        <v>51.483680560000003</v>
      </c>
      <c r="O1731" s="9">
        <v>770</v>
      </c>
      <c r="P1731" s="4" t="s">
        <v>6153</v>
      </c>
      <c r="Q1731" s="70">
        <v>1</v>
      </c>
      <c r="R1731" s="9" t="s">
        <v>6154</v>
      </c>
      <c r="S1731" s="9" t="s">
        <v>6009</v>
      </c>
    </row>
    <row r="1732" spans="1:72" ht="14.25" customHeight="1" x14ac:dyDescent="0.2">
      <c r="A1732" s="4" t="s">
        <v>88</v>
      </c>
      <c r="B1732" s="4">
        <v>5</v>
      </c>
      <c r="C1732" s="4" t="s">
        <v>7688</v>
      </c>
      <c r="D1732" s="4" t="s">
        <v>6157</v>
      </c>
      <c r="E1732" s="4">
        <v>2446</v>
      </c>
      <c r="F1732" s="4" t="s">
        <v>6158</v>
      </c>
      <c r="G1732" s="8" t="s">
        <v>6159</v>
      </c>
      <c r="H1732" s="4" t="s">
        <v>6074</v>
      </c>
      <c r="I1732" s="4" t="s">
        <v>1664</v>
      </c>
      <c r="J1732" s="4" t="s">
        <v>6046</v>
      </c>
      <c r="K1732" s="4">
        <v>1</v>
      </c>
      <c r="L1732" s="4">
        <v>2849</v>
      </c>
      <c r="M1732" s="9">
        <v>-125.0961111111111</v>
      </c>
      <c r="N1732" s="9">
        <v>49.643655555555554</v>
      </c>
      <c r="O1732" s="9">
        <v>138</v>
      </c>
      <c r="P1732" s="4" t="s">
        <v>6157</v>
      </c>
      <c r="Q1732" s="70">
        <v>3</v>
      </c>
      <c r="R1732" s="9" t="s">
        <v>6160</v>
      </c>
      <c r="S1732" s="9" t="s">
        <v>6009</v>
      </c>
    </row>
    <row r="1733" spans="1:72" ht="14.25" customHeight="1" x14ac:dyDescent="0.2">
      <c r="A1733" s="4" t="s">
        <v>2037</v>
      </c>
      <c r="B1733" s="4">
        <v>5</v>
      </c>
      <c r="C1733" s="4" t="s">
        <v>7688</v>
      </c>
      <c r="D1733" s="4" t="s">
        <v>6161</v>
      </c>
      <c r="E1733" s="4">
        <v>2448</v>
      </c>
      <c r="F1733" s="8" t="s">
        <v>6162</v>
      </c>
      <c r="G1733" s="4" t="s">
        <v>6163</v>
      </c>
      <c r="H1733" s="4" t="s">
        <v>6164</v>
      </c>
      <c r="I1733" s="4" t="s">
        <v>1664</v>
      </c>
      <c r="J1733" s="4" t="s">
        <v>6046</v>
      </c>
      <c r="K1733" s="4">
        <v>1</v>
      </c>
      <c r="L1733" s="4">
        <v>2851</v>
      </c>
      <c r="U1733" s="53"/>
      <c r="V1733" s="53"/>
      <c r="W1733" s="53"/>
      <c r="X1733" s="53"/>
      <c r="Y1733" s="53"/>
      <c r="Z1733" s="53"/>
      <c r="AA1733" s="53"/>
      <c r="AB1733" s="53"/>
      <c r="AC1733" s="53"/>
      <c r="AD1733" s="53"/>
      <c r="AE1733" s="53"/>
      <c r="AF1733" s="53"/>
      <c r="AG1733" s="53"/>
      <c r="AH1733" s="53"/>
      <c r="AI1733" s="53"/>
      <c r="AJ1733" s="53"/>
      <c r="AK1733" s="53"/>
      <c r="AL1733" s="53"/>
      <c r="AM1733" s="53"/>
      <c r="AN1733" s="53"/>
      <c r="AO1733" s="53"/>
      <c r="AP1733" s="53"/>
      <c r="AQ1733" s="53"/>
      <c r="AR1733" s="53"/>
      <c r="AS1733" s="53"/>
      <c r="AT1733" s="53"/>
      <c r="AU1733" s="53"/>
      <c r="AV1733" s="53"/>
      <c r="AW1733" s="53"/>
      <c r="AX1733" s="53"/>
      <c r="AY1733" s="53"/>
      <c r="AZ1733" s="53"/>
      <c r="BA1733" s="53"/>
      <c r="BB1733" s="53"/>
      <c r="BC1733" s="53"/>
      <c r="BD1733" s="53"/>
      <c r="BE1733" s="53"/>
      <c r="BF1733" s="53"/>
      <c r="BG1733" s="53"/>
      <c r="BH1733" s="53"/>
      <c r="BI1733" s="53"/>
      <c r="BJ1733" s="53"/>
      <c r="BK1733" s="53"/>
      <c r="BL1733" s="53"/>
      <c r="BM1733" s="53"/>
      <c r="BN1733" s="53"/>
      <c r="BO1733" s="53"/>
      <c r="BP1733" s="53"/>
      <c r="BQ1733" s="53"/>
      <c r="BR1733" s="53"/>
      <c r="BS1733" s="53"/>
      <c r="BT1733" s="53"/>
    </row>
    <row r="1734" spans="1:72" ht="14.25" customHeight="1" x14ac:dyDescent="0.2">
      <c r="B1734" s="4">
        <v>5</v>
      </c>
      <c r="C1734" s="4" t="s">
        <v>7688</v>
      </c>
      <c r="D1734" s="4" t="s">
        <v>6165</v>
      </c>
      <c r="E1734" s="4">
        <v>13097</v>
      </c>
      <c r="F1734" s="4" t="s">
        <v>6166</v>
      </c>
      <c r="G1734" s="4" t="s">
        <v>6167</v>
      </c>
      <c r="H1734" s="4" t="s">
        <v>6014</v>
      </c>
      <c r="I1734" s="4" t="s">
        <v>49</v>
      </c>
      <c r="J1734" s="4" t="s">
        <v>6168</v>
      </c>
      <c r="K1734" s="4">
        <v>1</v>
      </c>
      <c r="L1734" s="4">
        <v>15019</v>
      </c>
      <c r="M1734" s="9">
        <v>-116.93975</v>
      </c>
      <c r="N1734" s="9">
        <v>50.812033</v>
      </c>
      <c r="O1734" s="9">
        <v>2599</v>
      </c>
      <c r="P1734" s="4" t="s">
        <v>6165</v>
      </c>
      <c r="Q1734" s="70">
        <v>8</v>
      </c>
      <c r="R1734" s="9" t="s">
        <v>6166</v>
      </c>
      <c r="S1734" s="9" t="s">
        <v>6009</v>
      </c>
    </row>
    <row r="1735" spans="1:72" ht="14.25" customHeight="1" x14ac:dyDescent="0.2">
      <c r="B1735" s="4">
        <v>5</v>
      </c>
      <c r="C1735" s="4" t="s">
        <v>7688</v>
      </c>
      <c r="D1735" s="4" t="s">
        <v>6169</v>
      </c>
      <c r="E1735" s="4">
        <v>13113</v>
      </c>
      <c r="F1735" s="4" t="s">
        <v>6170</v>
      </c>
      <c r="G1735" s="4" t="s">
        <v>6171</v>
      </c>
      <c r="H1735" s="4" t="s">
        <v>6172</v>
      </c>
      <c r="I1735" s="4" t="s">
        <v>49</v>
      </c>
      <c r="J1735" s="4" t="s">
        <v>6021</v>
      </c>
      <c r="K1735" s="4">
        <v>1</v>
      </c>
      <c r="L1735" s="4">
        <v>15035</v>
      </c>
      <c r="M1735" s="9">
        <v>-122.774737</v>
      </c>
      <c r="N1735" s="9">
        <v>49.354149999999997</v>
      </c>
      <c r="O1735" s="9">
        <v>152</v>
      </c>
      <c r="P1735" s="4" t="s">
        <v>6169</v>
      </c>
      <c r="Q1735" s="70">
        <v>2</v>
      </c>
      <c r="R1735" s="9" t="s">
        <v>6170</v>
      </c>
      <c r="S1735" s="9" t="s">
        <v>6009</v>
      </c>
    </row>
    <row r="1736" spans="1:72" ht="14.25" customHeight="1" x14ac:dyDescent="0.2">
      <c r="A1736" s="4" t="s">
        <v>2037</v>
      </c>
      <c r="B1736" s="4">
        <v>5</v>
      </c>
      <c r="C1736" s="4" t="s">
        <v>7688</v>
      </c>
      <c r="D1736" s="4" t="s">
        <v>6173</v>
      </c>
      <c r="E1736" s="4">
        <v>2447</v>
      </c>
      <c r="F1736" s="8" t="s">
        <v>6174</v>
      </c>
      <c r="G1736" s="4" t="s">
        <v>6175</v>
      </c>
      <c r="H1736" s="4" t="s">
        <v>6176</v>
      </c>
      <c r="I1736" s="4" t="s">
        <v>1664</v>
      </c>
      <c r="J1736" s="4" t="s">
        <v>6051</v>
      </c>
      <c r="K1736" s="4">
        <v>1</v>
      </c>
      <c r="L1736" s="4">
        <v>2850</v>
      </c>
      <c r="M1736" s="8">
        <v>122.779625</v>
      </c>
      <c r="N1736" s="8">
        <v>49.355861099999998</v>
      </c>
      <c r="O1736" s="8">
        <v>160</v>
      </c>
      <c r="P1736" s="8" t="s">
        <v>6173</v>
      </c>
      <c r="Q1736" s="53"/>
      <c r="R1736" s="8" t="str">
        <f t="shared" ref="R1736:R1737" si="14">F1736</f>
        <v>Coquitlam Lake forebay</v>
      </c>
      <c r="S1736" s="53"/>
      <c r="T1736" s="53"/>
      <c r="U1736" s="53"/>
      <c r="V1736" s="53"/>
      <c r="W1736" s="53"/>
      <c r="X1736" s="53"/>
      <c r="Y1736" s="53"/>
      <c r="Z1736" s="53"/>
      <c r="AA1736" s="53"/>
      <c r="AB1736" s="53"/>
      <c r="AC1736" s="53"/>
      <c r="AD1736" s="53"/>
      <c r="AE1736" s="53"/>
      <c r="AF1736" s="53"/>
      <c r="AG1736" s="53"/>
      <c r="AH1736" s="53"/>
      <c r="AI1736" s="53"/>
      <c r="AJ1736" s="53"/>
      <c r="AK1736" s="53"/>
      <c r="AL1736" s="53"/>
      <c r="AM1736" s="53"/>
      <c r="AN1736" s="53"/>
      <c r="AO1736" s="53"/>
      <c r="AP1736" s="53"/>
      <c r="AQ1736" s="53"/>
      <c r="AR1736" s="53"/>
      <c r="AS1736" s="53"/>
      <c r="AT1736" s="53"/>
      <c r="AU1736" s="53"/>
      <c r="AV1736" s="53"/>
      <c r="AW1736" s="53"/>
      <c r="AX1736" s="53"/>
      <c r="AY1736" s="53"/>
      <c r="AZ1736" s="53"/>
      <c r="BA1736" s="53"/>
      <c r="BB1736" s="53"/>
      <c r="BC1736" s="53"/>
      <c r="BD1736" s="53"/>
      <c r="BE1736" s="53"/>
      <c r="BF1736" s="53"/>
      <c r="BG1736" s="53"/>
      <c r="BH1736" s="53"/>
      <c r="BI1736" s="53"/>
      <c r="BJ1736" s="53"/>
      <c r="BK1736" s="53"/>
      <c r="BL1736" s="53"/>
      <c r="BM1736" s="53"/>
      <c r="BN1736" s="53"/>
      <c r="BO1736" s="53"/>
      <c r="BP1736" s="53"/>
      <c r="BQ1736" s="53"/>
      <c r="BR1736" s="53"/>
      <c r="BS1736" s="53"/>
      <c r="BT1736" s="53"/>
    </row>
    <row r="1737" spans="1:72" ht="14.25" customHeight="1" x14ac:dyDescent="0.2">
      <c r="A1737" s="4" t="s">
        <v>2037</v>
      </c>
      <c r="B1737" s="4">
        <v>5</v>
      </c>
      <c r="C1737" s="4" t="s">
        <v>7688</v>
      </c>
      <c r="D1737" s="4" t="s">
        <v>6177</v>
      </c>
      <c r="E1737" s="4">
        <v>2449</v>
      </c>
      <c r="F1737" s="8" t="s">
        <v>6178</v>
      </c>
      <c r="G1737" s="4" t="s">
        <v>6179</v>
      </c>
      <c r="H1737" s="4" t="s">
        <v>6176</v>
      </c>
      <c r="I1737" s="4" t="s">
        <v>1664</v>
      </c>
      <c r="J1737" s="4" t="s">
        <v>6046</v>
      </c>
      <c r="K1737" s="4">
        <v>1</v>
      </c>
      <c r="L1737" s="4">
        <v>2852</v>
      </c>
      <c r="M1737" s="8">
        <v>122.79249</v>
      </c>
      <c r="N1737" s="8">
        <v>49.288290000000003</v>
      </c>
      <c r="O1737" s="8">
        <v>290</v>
      </c>
      <c r="P1737" s="8" t="s">
        <v>6180</v>
      </c>
      <c r="Q1737" s="53"/>
      <c r="R1737" s="8" t="str">
        <f t="shared" si="14"/>
        <v>Coquitlam R. ab Lake -&gt; Coquitlam River above Lake</v>
      </c>
      <c r="S1737" s="53"/>
      <c r="T1737" s="53"/>
      <c r="U1737" s="53"/>
      <c r="V1737" s="53"/>
      <c r="W1737" s="53"/>
      <c r="X1737" s="53"/>
      <c r="Y1737" s="53"/>
      <c r="Z1737" s="53"/>
      <c r="AA1737" s="53"/>
      <c r="AB1737" s="53"/>
      <c r="AC1737" s="53"/>
      <c r="AD1737" s="53"/>
      <c r="AE1737" s="53"/>
      <c r="AF1737" s="53"/>
      <c r="AG1737" s="53"/>
      <c r="AH1737" s="53"/>
      <c r="AI1737" s="53"/>
      <c r="AJ1737" s="53"/>
      <c r="AK1737" s="53"/>
      <c r="AL1737" s="53"/>
      <c r="AM1737" s="53"/>
      <c r="AN1737" s="53"/>
      <c r="AO1737" s="53"/>
      <c r="AP1737" s="53"/>
      <c r="AQ1737" s="53"/>
      <c r="AR1737" s="53"/>
      <c r="AS1737" s="53"/>
      <c r="AT1737" s="53"/>
      <c r="AU1737" s="53"/>
      <c r="AV1737" s="53"/>
      <c r="AW1737" s="53"/>
      <c r="AX1737" s="53"/>
      <c r="AY1737" s="53"/>
      <c r="AZ1737" s="53"/>
      <c r="BA1737" s="53"/>
      <c r="BB1737" s="53"/>
      <c r="BC1737" s="53"/>
      <c r="BD1737" s="53"/>
      <c r="BE1737" s="53"/>
      <c r="BF1737" s="53"/>
      <c r="BG1737" s="53"/>
      <c r="BH1737" s="53"/>
      <c r="BI1737" s="53"/>
      <c r="BJ1737" s="53"/>
      <c r="BK1737" s="53"/>
      <c r="BL1737" s="53"/>
      <c r="BM1737" s="53"/>
      <c r="BN1737" s="53"/>
      <c r="BO1737" s="53"/>
      <c r="BP1737" s="53"/>
      <c r="BQ1737" s="53"/>
      <c r="BR1737" s="53"/>
      <c r="BS1737" s="53"/>
      <c r="BT1737" s="53"/>
    </row>
    <row r="1738" spans="1:72" ht="14.25" customHeight="1" x14ac:dyDescent="0.2">
      <c r="B1738" s="4">
        <v>5</v>
      </c>
      <c r="C1738" s="4" t="s">
        <v>7688</v>
      </c>
      <c r="D1738" s="4" t="s">
        <v>6180</v>
      </c>
      <c r="E1738" s="4">
        <v>13125</v>
      </c>
      <c r="F1738" s="4" t="s">
        <v>6181</v>
      </c>
      <c r="G1738" s="4" t="s">
        <v>6182</v>
      </c>
      <c r="H1738" s="4" t="s">
        <v>6172</v>
      </c>
      <c r="I1738" s="4" t="s">
        <v>49</v>
      </c>
      <c r="J1738" s="4" t="s">
        <v>6021</v>
      </c>
      <c r="K1738" s="4">
        <v>1</v>
      </c>
      <c r="L1738" s="4">
        <v>15047</v>
      </c>
      <c r="M1738" s="9">
        <v>-122.793048</v>
      </c>
      <c r="N1738" s="9">
        <v>49.487774999999999</v>
      </c>
      <c r="O1738" s="9">
        <v>290</v>
      </c>
      <c r="P1738" s="4" t="s">
        <v>6180</v>
      </c>
      <c r="Q1738" s="70">
        <v>2</v>
      </c>
      <c r="R1738" s="9" t="s">
        <v>6181</v>
      </c>
      <c r="S1738" s="9" t="s">
        <v>6009</v>
      </c>
    </row>
    <row r="1739" spans="1:72" ht="14.25" customHeight="1" x14ac:dyDescent="0.2">
      <c r="A1739" s="4" t="s">
        <v>2037</v>
      </c>
      <c r="B1739" s="4">
        <v>5</v>
      </c>
      <c r="C1739" s="4" t="s">
        <v>7688</v>
      </c>
      <c r="D1739" s="4" t="s">
        <v>6183</v>
      </c>
      <c r="E1739" s="4">
        <v>2451</v>
      </c>
      <c r="F1739" s="8" t="s">
        <v>6184</v>
      </c>
      <c r="G1739" s="4" t="s">
        <v>6185</v>
      </c>
      <c r="H1739" s="4" t="s">
        <v>6186</v>
      </c>
      <c r="I1739" s="4" t="s">
        <v>1664</v>
      </c>
      <c r="J1739" s="4" t="s">
        <v>6187</v>
      </c>
      <c r="K1739" s="4">
        <v>1</v>
      </c>
      <c r="L1739" s="4">
        <v>2854</v>
      </c>
      <c r="T1739" s="53"/>
      <c r="U1739" s="53"/>
      <c r="V1739" s="53"/>
      <c r="W1739" s="53"/>
      <c r="X1739" s="53"/>
      <c r="Y1739" s="53"/>
      <c r="Z1739" s="53"/>
      <c r="AA1739" s="53"/>
      <c r="AB1739" s="53"/>
      <c r="AC1739" s="53"/>
      <c r="AD1739" s="53"/>
      <c r="AE1739" s="53"/>
      <c r="AF1739" s="53"/>
      <c r="AG1739" s="53"/>
      <c r="AH1739" s="53"/>
      <c r="AI1739" s="53"/>
      <c r="AJ1739" s="53"/>
      <c r="AK1739" s="53"/>
      <c r="AL1739" s="53"/>
      <c r="AM1739" s="53"/>
      <c r="AN1739" s="53"/>
      <c r="AO1739" s="53"/>
      <c r="AP1739" s="53"/>
      <c r="AQ1739" s="53"/>
      <c r="AR1739" s="53"/>
      <c r="AS1739" s="53"/>
      <c r="AT1739" s="53"/>
      <c r="AU1739" s="53"/>
      <c r="AV1739" s="53"/>
      <c r="AW1739" s="53"/>
      <c r="AX1739" s="53"/>
      <c r="AY1739" s="53"/>
      <c r="AZ1739" s="53"/>
      <c r="BA1739" s="53"/>
      <c r="BB1739" s="53"/>
      <c r="BC1739" s="53"/>
      <c r="BD1739" s="53"/>
      <c r="BE1739" s="53"/>
      <c r="BF1739" s="53"/>
      <c r="BG1739" s="53"/>
      <c r="BH1739" s="53"/>
      <c r="BI1739" s="53"/>
      <c r="BJ1739" s="53"/>
      <c r="BK1739" s="53"/>
      <c r="BL1739" s="53"/>
      <c r="BM1739" s="53"/>
      <c r="BN1739" s="53"/>
      <c r="BO1739" s="53"/>
      <c r="BP1739" s="53"/>
      <c r="BQ1739" s="53"/>
      <c r="BR1739" s="53"/>
      <c r="BS1739" s="53"/>
      <c r="BT1739" s="53"/>
    </row>
    <row r="1740" spans="1:72" ht="14.25" customHeight="1" x14ac:dyDescent="0.2">
      <c r="A1740" s="4" t="s">
        <v>2037</v>
      </c>
      <c r="B1740" s="4">
        <v>5</v>
      </c>
      <c r="C1740" s="4" t="s">
        <v>7688</v>
      </c>
      <c r="D1740" s="4" t="s">
        <v>6188</v>
      </c>
      <c r="E1740" s="4">
        <v>2450</v>
      </c>
      <c r="F1740" s="8" t="s">
        <v>6189</v>
      </c>
      <c r="G1740" s="4" t="s">
        <v>6190</v>
      </c>
      <c r="H1740" s="4" t="s">
        <v>6191</v>
      </c>
      <c r="I1740" s="4" t="s">
        <v>1664</v>
      </c>
      <c r="J1740" s="4" t="s">
        <v>6046</v>
      </c>
      <c r="K1740" s="4">
        <v>1</v>
      </c>
      <c r="L1740" s="4">
        <v>2853</v>
      </c>
      <c r="M1740" s="8">
        <v>125.20083</v>
      </c>
      <c r="N1740" s="8">
        <v>49.579169999999998</v>
      </c>
      <c r="O1740" s="8">
        <v>150</v>
      </c>
      <c r="P1740" s="8" t="s">
        <v>6188</v>
      </c>
      <c r="Q1740" s="53"/>
      <c r="R1740" s="8" t="str">
        <f>F1740</f>
        <v>Cruickshank R. nr the Mouth -&gt; Cruickshank River near the Mouth</v>
      </c>
      <c r="S1740" s="53"/>
      <c r="T1740" s="53"/>
      <c r="U1740" s="53"/>
      <c r="V1740" s="53"/>
      <c r="W1740" s="53"/>
      <c r="X1740" s="53"/>
      <c r="Y1740" s="53"/>
      <c r="Z1740" s="53"/>
      <c r="AA1740" s="53"/>
      <c r="AB1740" s="53"/>
      <c r="AC1740" s="53"/>
      <c r="AD1740" s="53"/>
      <c r="AE1740" s="53"/>
      <c r="AF1740" s="53"/>
      <c r="AG1740" s="53"/>
      <c r="AH1740" s="53"/>
      <c r="AI1740" s="53"/>
      <c r="AJ1740" s="53"/>
      <c r="AK1740" s="53"/>
      <c r="AL1740" s="53"/>
      <c r="AM1740" s="53"/>
      <c r="AN1740" s="53"/>
      <c r="AO1740" s="53"/>
      <c r="AP1740" s="53"/>
      <c r="AQ1740" s="53"/>
      <c r="AR1740" s="53"/>
      <c r="AS1740" s="53"/>
      <c r="AT1740" s="53"/>
      <c r="AU1740" s="53"/>
      <c r="AV1740" s="53"/>
      <c r="AW1740" s="53"/>
      <c r="AX1740" s="53"/>
      <c r="AY1740" s="53"/>
      <c r="AZ1740" s="53"/>
      <c r="BA1740" s="53"/>
      <c r="BB1740" s="53"/>
      <c r="BC1740" s="53"/>
      <c r="BD1740" s="53"/>
      <c r="BE1740" s="53"/>
      <c r="BF1740" s="53"/>
      <c r="BG1740" s="53"/>
      <c r="BH1740" s="53"/>
      <c r="BI1740" s="53"/>
      <c r="BJ1740" s="53"/>
      <c r="BK1740" s="53"/>
      <c r="BL1740" s="53"/>
      <c r="BM1740" s="53"/>
      <c r="BN1740" s="53"/>
      <c r="BO1740" s="53"/>
      <c r="BP1740" s="53"/>
      <c r="BQ1740" s="53"/>
      <c r="BR1740" s="53"/>
      <c r="BS1740" s="53"/>
      <c r="BT1740" s="53"/>
    </row>
    <row r="1741" spans="1:72" ht="14.25" customHeight="1" x14ac:dyDescent="0.2">
      <c r="B1741" s="4">
        <v>5</v>
      </c>
      <c r="C1741" s="4" t="s">
        <v>7688</v>
      </c>
      <c r="D1741" s="4" t="s">
        <v>6192</v>
      </c>
      <c r="E1741" s="4">
        <v>13211</v>
      </c>
      <c r="F1741" s="4" t="s">
        <v>6193</v>
      </c>
      <c r="G1741" s="4" t="s">
        <v>6194</v>
      </c>
      <c r="H1741" s="4" t="s">
        <v>6086</v>
      </c>
      <c r="I1741" s="4" t="s">
        <v>49</v>
      </c>
      <c r="J1741" s="4" t="s">
        <v>6021</v>
      </c>
      <c r="K1741" s="4">
        <v>1</v>
      </c>
      <c r="L1741" s="4">
        <v>15127</v>
      </c>
      <c r="M1741" s="9">
        <v>-125.2089</v>
      </c>
      <c r="N1741" s="9">
        <v>49.578402777777782</v>
      </c>
      <c r="O1741" s="9">
        <v>150</v>
      </c>
      <c r="P1741" s="4" t="s">
        <v>6192</v>
      </c>
      <c r="Q1741" s="70">
        <v>3</v>
      </c>
      <c r="R1741" s="9" t="s">
        <v>6193</v>
      </c>
      <c r="S1741" s="9" t="s">
        <v>6009</v>
      </c>
    </row>
    <row r="1742" spans="1:72" ht="14.25" customHeight="1" x14ac:dyDescent="0.2">
      <c r="B1742" s="4">
        <v>5</v>
      </c>
      <c r="C1742" s="4" t="s">
        <v>7688</v>
      </c>
      <c r="D1742" s="4" t="s">
        <v>6195</v>
      </c>
      <c r="E1742" s="4">
        <v>12389</v>
      </c>
      <c r="F1742" s="4" t="s">
        <v>6196</v>
      </c>
      <c r="G1742" s="4" t="s">
        <v>6197</v>
      </c>
      <c r="H1742" s="4" t="s">
        <v>6126</v>
      </c>
      <c r="I1742" s="4" t="s">
        <v>641</v>
      </c>
      <c r="J1742" s="4" t="s">
        <v>6087</v>
      </c>
      <c r="K1742" s="4">
        <v>1</v>
      </c>
      <c r="L1742" s="4">
        <v>14411</v>
      </c>
      <c r="M1742" s="9">
        <v>-122.89283330000001</v>
      </c>
      <c r="N1742" s="9">
        <v>56.38586111</v>
      </c>
      <c r="O1742" s="9">
        <v>1358</v>
      </c>
      <c r="P1742" s="4" t="s">
        <v>6195</v>
      </c>
      <c r="Q1742" s="70">
        <v>6</v>
      </c>
      <c r="R1742" s="9" t="s">
        <v>6196</v>
      </c>
      <c r="S1742" s="9" t="s">
        <v>6009</v>
      </c>
    </row>
    <row r="1743" spans="1:72" ht="14.25" customHeight="1" x14ac:dyDescent="0.2">
      <c r="B1743" s="4">
        <v>5</v>
      </c>
      <c r="C1743" s="4" t="s">
        <v>7688</v>
      </c>
      <c r="D1743" s="4" t="s">
        <v>6198</v>
      </c>
      <c r="E1743" s="4">
        <v>12390</v>
      </c>
      <c r="F1743" s="4" t="s">
        <v>6199</v>
      </c>
      <c r="G1743" s="4" t="s">
        <v>6200</v>
      </c>
      <c r="H1743" s="4" t="s">
        <v>6201</v>
      </c>
      <c r="I1743" s="4" t="s">
        <v>641</v>
      </c>
      <c r="J1743" s="4" t="s">
        <v>6021</v>
      </c>
      <c r="K1743" s="4">
        <v>1</v>
      </c>
      <c r="L1743" s="4">
        <v>14412</v>
      </c>
      <c r="M1743" s="9">
        <v>-123.1347222</v>
      </c>
      <c r="N1743" s="9">
        <v>49.975000000000001</v>
      </c>
      <c r="O1743" s="9">
        <v>390</v>
      </c>
      <c r="P1743" s="4" t="s">
        <v>6198</v>
      </c>
      <c r="Q1743" s="70">
        <v>3</v>
      </c>
      <c r="R1743" s="9" t="s">
        <v>6199</v>
      </c>
      <c r="S1743" s="9" t="s">
        <v>6009</v>
      </c>
    </row>
    <row r="1744" spans="1:72" ht="14.25" customHeight="1" x14ac:dyDescent="0.2">
      <c r="B1744" s="4">
        <v>5</v>
      </c>
      <c r="C1744" s="4" t="s">
        <v>7688</v>
      </c>
      <c r="D1744" s="4" t="s">
        <v>6202</v>
      </c>
      <c r="E1744" s="4">
        <v>2444</v>
      </c>
      <c r="F1744" s="8" t="s">
        <v>6203</v>
      </c>
      <c r="G1744" s="4" t="s">
        <v>6204</v>
      </c>
      <c r="H1744" s="4" t="s">
        <v>6205</v>
      </c>
      <c r="I1744" s="4" t="s">
        <v>1664</v>
      </c>
      <c r="J1744" s="4" t="s">
        <v>6187</v>
      </c>
      <c r="K1744" s="4">
        <v>1</v>
      </c>
      <c r="L1744" s="4">
        <v>2847</v>
      </c>
      <c r="U1744" s="53"/>
      <c r="V1744" s="53"/>
      <c r="W1744" s="53"/>
      <c r="X1744" s="53"/>
      <c r="Y1744" s="53"/>
      <c r="Z1744" s="53"/>
      <c r="AA1744" s="53"/>
      <c r="AB1744" s="53"/>
      <c r="AC1744" s="53"/>
      <c r="AD1744" s="53"/>
      <c r="AE1744" s="53"/>
      <c r="AF1744" s="53"/>
      <c r="AG1744" s="53"/>
      <c r="AH1744" s="53"/>
      <c r="AI1744" s="53"/>
      <c r="AJ1744" s="53"/>
      <c r="AK1744" s="53"/>
      <c r="AL1744" s="53"/>
      <c r="AM1744" s="53"/>
      <c r="AN1744" s="53"/>
      <c r="AO1744" s="53"/>
      <c r="AP1744" s="53"/>
      <c r="AQ1744" s="53"/>
      <c r="AR1744" s="53"/>
      <c r="AS1744" s="53"/>
      <c r="AT1744" s="53"/>
      <c r="AU1744" s="53"/>
      <c r="AV1744" s="53"/>
      <c r="AW1744" s="53"/>
      <c r="AX1744" s="53"/>
      <c r="AY1744" s="53"/>
      <c r="AZ1744" s="53"/>
      <c r="BA1744" s="53"/>
      <c r="BB1744" s="53"/>
      <c r="BC1744" s="53"/>
      <c r="BD1744" s="53"/>
      <c r="BE1744" s="53"/>
      <c r="BF1744" s="53"/>
      <c r="BG1744" s="53"/>
      <c r="BH1744" s="53"/>
      <c r="BI1744" s="53"/>
      <c r="BJ1744" s="53"/>
      <c r="BK1744" s="53"/>
      <c r="BL1744" s="53"/>
      <c r="BM1744" s="53"/>
      <c r="BN1744" s="53"/>
      <c r="BO1744" s="53"/>
      <c r="BP1744" s="53"/>
      <c r="BQ1744" s="53"/>
      <c r="BR1744" s="53"/>
      <c r="BS1744" s="53"/>
      <c r="BT1744" s="53"/>
    </row>
    <row r="1745" spans="1:72" ht="14.25" customHeight="1" x14ac:dyDescent="0.2">
      <c r="B1745" s="4">
        <v>5</v>
      </c>
      <c r="C1745" s="4" t="s">
        <v>7688</v>
      </c>
      <c r="D1745" s="4" t="s">
        <v>6206</v>
      </c>
      <c r="E1745" s="4">
        <v>13212</v>
      </c>
      <c r="F1745" s="4" t="s">
        <v>6207</v>
      </c>
      <c r="G1745" s="4" t="s">
        <v>6208</v>
      </c>
      <c r="H1745" s="4" t="s">
        <v>6209</v>
      </c>
      <c r="I1745" s="4" t="s">
        <v>49</v>
      </c>
      <c r="J1745" s="4" t="s">
        <v>6087</v>
      </c>
      <c r="K1745" s="4">
        <v>1</v>
      </c>
      <c r="L1745" s="4">
        <v>15128</v>
      </c>
      <c r="M1745" s="4">
        <v>-122.06964952871201</v>
      </c>
      <c r="N1745" s="4">
        <v>49.316704357042902</v>
      </c>
      <c r="O1745" s="4">
        <v>1154.90087890625</v>
      </c>
      <c r="P1745" s="4" t="s">
        <v>6206</v>
      </c>
      <c r="Q1745" s="4">
        <v>6</v>
      </c>
      <c r="R1745" s="4" t="s">
        <v>6207</v>
      </c>
      <c r="S1745" s="4" t="s">
        <v>6009</v>
      </c>
    </row>
    <row r="1746" spans="1:72" ht="14.25" customHeight="1" x14ac:dyDescent="0.2">
      <c r="B1746" s="4">
        <v>5</v>
      </c>
      <c r="C1746" s="4" t="s">
        <v>7688</v>
      </c>
      <c r="D1746" s="4" t="s">
        <v>6210</v>
      </c>
      <c r="E1746" s="4">
        <v>12394</v>
      </c>
      <c r="F1746" s="4" t="s">
        <v>6211</v>
      </c>
      <c r="G1746" s="4" t="s">
        <v>6212</v>
      </c>
      <c r="H1746" s="4" t="s">
        <v>6126</v>
      </c>
      <c r="I1746" s="4" t="s">
        <v>641</v>
      </c>
      <c r="J1746" s="4" t="s">
        <v>6127</v>
      </c>
      <c r="K1746" s="4">
        <v>1</v>
      </c>
      <c r="L1746" s="4">
        <v>14416</v>
      </c>
      <c r="M1746" s="4">
        <v>-122.43625</v>
      </c>
      <c r="N1746" s="4">
        <v>55.825083329999998</v>
      </c>
      <c r="O1746" s="4">
        <v>1456</v>
      </c>
      <c r="P1746" s="4" t="s">
        <v>6210</v>
      </c>
      <c r="Q1746" s="4">
        <v>7</v>
      </c>
      <c r="R1746" s="4" t="s">
        <v>6211</v>
      </c>
      <c r="S1746" s="4" t="s">
        <v>6009</v>
      </c>
    </row>
    <row r="1747" spans="1:72" ht="14.25" customHeight="1" x14ac:dyDescent="0.2">
      <c r="B1747" s="4">
        <v>5</v>
      </c>
      <c r="C1747" s="4" t="s">
        <v>7688</v>
      </c>
      <c r="D1747" s="4" t="s">
        <v>6213</v>
      </c>
      <c r="E1747" s="4">
        <v>12391</v>
      </c>
      <c r="F1747" s="4" t="s">
        <v>6214</v>
      </c>
      <c r="G1747" s="4" t="s">
        <v>6215</v>
      </c>
      <c r="H1747" s="4" t="s">
        <v>6216</v>
      </c>
      <c r="I1747" s="4" t="s">
        <v>641</v>
      </c>
      <c r="J1747" s="4" t="s">
        <v>6127</v>
      </c>
      <c r="K1747" s="4">
        <v>1</v>
      </c>
      <c r="L1747" s="4">
        <v>14413</v>
      </c>
      <c r="M1747" s="4">
        <v>-123.1835</v>
      </c>
      <c r="N1747" s="4">
        <v>50.859333329999998</v>
      </c>
      <c r="O1747" s="4">
        <v>1829</v>
      </c>
      <c r="P1747" s="4" t="s">
        <v>6213</v>
      </c>
      <c r="Q1747" s="4">
        <v>8</v>
      </c>
      <c r="R1747" s="4" t="s">
        <v>6214</v>
      </c>
      <c r="S1747" s="4" t="s">
        <v>6009</v>
      </c>
    </row>
    <row r="1748" spans="1:72" ht="14.25" customHeight="1" x14ac:dyDescent="0.2">
      <c r="A1748" s="4" t="s">
        <v>88</v>
      </c>
      <c r="B1748" s="4">
        <v>5</v>
      </c>
      <c r="C1748" s="4" t="s">
        <v>7688</v>
      </c>
      <c r="D1748" s="4" t="s">
        <v>6217</v>
      </c>
      <c r="E1748" s="4">
        <v>13213</v>
      </c>
      <c r="F1748" s="4" t="s">
        <v>6218</v>
      </c>
      <c r="G1748" s="8" t="s">
        <v>6219</v>
      </c>
      <c r="H1748" s="4" t="s">
        <v>6014</v>
      </c>
      <c r="I1748" s="4" t="s">
        <v>49</v>
      </c>
      <c r="J1748" s="4" t="s">
        <v>6087</v>
      </c>
      <c r="K1748" s="4">
        <v>1</v>
      </c>
      <c r="L1748" s="4">
        <v>15129</v>
      </c>
      <c r="M1748" s="9">
        <v>-116.971343</v>
      </c>
      <c r="N1748" s="9">
        <v>50.238723</v>
      </c>
      <c r="O1748" s="9">
        <v>559</v>
      </c>
      <c r="P1748" s="4" t="s">
        <v>6217</v>
      </c>
      <c r="Q1748" s="70">
        <v>1</v>
      </c>
      <c r="R1748" s="9" t="s">
        <v>6218</v>
      </c>
      <c r="S1748" s="9" t="s">
        <v>6009</v>
      </c>
    </row>
    <row r="1749" spans="1:72" ht="14.25" customHeight="1" x14ac:dyDescent="0.2">
      <c r="A1749" s="4" t="s">
        <v>6220</v>
      </c>
      <c r="B1749" s="4">
        <v>5</v>
      </c>
      <c r="C1749" s="4" t="s">
        <v>7688</v>
      </c>
      <c r="D1749" s="26" t="s">
        <v>6221</v>
      </c>
      <c r="E1749" s="4">
        <v>2452</v>
      </c>
      <c r="F1749" s="8" t="s">
        <v>6222</v>
      </c>
      <c r="G1749" s="4" t="s">
        <v>6223</v>
      </c>
      <c r="H1749" s="4" t="s">
        <v>6224</v>
      </c>
      <c r="I1749" s="4" t="s">
        <v>1664</v>
      </c>
      <c r="J1749" s="4" t="s">
        <v>6046</v>
      </c>
      <c r="K1749" s="4">
        <v>1</v>
      </c>
      <c r="L1749" s="4">
        <v>2855</v>
      </c>
      <c r="M1749" s="9">
        <v>-117.04842222222221</v>
      </c>
      <c r="N1749" s="9">
        <v>50.638172222222224</v>
      </c>
      <c r="O1749" s="9">
        <v>590</v>
      </c>
      <c r="P1749" s="90" t="s">
        <v>6225</v>
      </c>
      <c r="Q1749" s="70">
        <v>1</v>
      </c>
      <c r="R1749" s="9" t="s">
        <v>6226</v>
      </c>
      <c r="S1749" s="9" t="s">
        <v>6009</v>
      </c>
    </row>
    <row r="1750" spans="1:72" ht="14.25" customHeight="1" x14ac:dyDescent="0.2">
      <c r="A1750" s="4" t="s">
        <v>2037</v>
      </c>
      <c r="B1750" s="4">
        <v>5</v>
      </c>
      <c r="C1750" s="4" t="s">
        <v>7688</v>
      </c>
      <c r="D1750" s="4" t="s">
        <v>6227</v>
      </c>
      <c r="E1750" s="4">
        <v>2453</v>
      </c>
      <c r="F1750" s="8" t="s">
        <v>6228</v>
      </c>
      <c r="G1750" s="4" t="s">
        <v>6229</v>
      </c>
      <c r="H1750" s="4" t="s">
        <v>6230</v>
      </c>
      <c r="I1750" s="4" t="s">
        <v>1664</v>
      </c>
      <c r="J1750" s="4" t="s">
        <v>6046</v>
      </c>
      <c r="K1750" s="4">
        <v>1</v>
      </c>
      <c r="L1750" s="4">
        <v>2856</v>
      </c>
      <c r="M1750" s="8">
        <v>-116.94833</v>
      </c>
      <c r="N1750" s="8">
        <v>50.255000000000003</v>
      </c>
      <c r="O1750" s="8">
        <v>580</v>
      </c>
      <c r="P1750" s="8" t="s">
        <v>6227</v>
      </c>
      <c r="Q1750" s="53"/>
      <c r="R1750" s="8" t="str">
        <f>F1750</f>
        <v>Duncan Res. @ Duncan Dam</v>
      </c>
      <c r="S1750" s="53"/>
      <c r="T1750" s="53"/>
      <c r="U1750" s="53"/>
      <c r="V1750" s="53"/>
      <c r="W1750" s="53"/>
      <c r="X1750" s="53"/>
      <c r="Y1750" s="53"/>
      <c r="Z1750" s="53"/>
      <c r="AA1750" s="53"/>
      <c r="AB1750" s="53"/>
      <c r="AC1750" s="53"/>
      <c r="AD1750" s="53"/>
      <c r="AE1750" s="53"/>
      <c r="AF1750" s="53"/>
      <c r="AG1750" s="53"/>
      <c r="AH1750" s="53"/>
      <c r="AI1750" s="53"/>
      <c r="AJ1750" s="53"/>
      <c r="AK1750" s="53"/>
      <c r="AL1750" s="53"/>
      <c r="AM1750" s="53"/>
      <c r="AN1750" s="53"/>
      <c r="AO1750" s="53"/>
      <c r="AP1750" s="53"/>
      <c r="AQ1750" s="53"/>
      <c r="AR1750" s="53"/>
      <c r="AS1750" s="53"/>
      <c r="AT1750" s="53"/>
      <c r="AU1750" s="53"/>
      <c r="AV1750" s="53"/>
      <c r="AW1750" s="53"/>
      <c r="AX1750" s="53"/>
      <c r="AY1750" s="53"/>
      <c r="AZ1750" s="53"/>
      <c r="BA1750" s="53"/>
      <c r="BB1750" s="53"/>
      <c r="BC1750" s="53"/>
      <c r="BD1750" s="53"/>
      <c r="BE1750" s="53"/>
      <c r="BF1750" s="53"/>
      <c r="BG1750" s="53"/>
      <c r="BH1750" s="53"/>
      <c r="BI1750" s="53"/>
      <c r="BJ1750" s="53"/>
      <c r="BK1750" s="53"/>
      <c r="BL1750" s="53"/>
      <c r="BM1750" s="53"/>
      <c r="BN1750" s="53"/>
      <c r="BO1750" s="53"/>
      <c r="BP1750" s="53"/>
      <c r="BQ1750" s="53"/>
      <c r="BR1750" s="53"/>
      <c r="BS1750" s="53"/>
      <c r="BT1750" s="53"/>
    </row>
    <row r="1751" spans="1:72" ht="14.25" customHeight="1" x14ac:dyDescent="0.2">
      <c r="A1751" s="4" t="s">
        <v>2037</v>
      </c>
      <c r="B1751" s="4">
        <v>5</v>
      </c>
      <c r="C1751" s="4" t="s">
        <v>7688</v>
      </c>
      <c r="D1751" s="4" t="s">
        <v>6231</v>
      </c>
      <c r="E1751" s="4">
        <v>2454</v>
      </c>
      <c r="F1751" s="8" t="s">
        <v>6232</v>
      </c>
      <c r="G1751" s="4" t="s">
        <v>6233</v>
      </c>
      <c r="H1751" s="4" t="s">
        <v>6040</v>
      </c>
      <c r="I1751" s="4" t="s">
        <v>1664</v>
      </c>
      <c r="J1751" s="4" t="s">
        <v>6069</v>
      </c>
      <c r="K1751" s="4">
        <v>1</v>
      </c>
      <c r="L1751" s="4">
        <v>2857</v>
      </c>
      <c r="M1751" s="9">
        <v>-116.9297333</v>
      </c>
      <c r="N1751" s="9">
        <v>50.639600000000002</v>
      </c>
      <c r="O1751" s="9">
        <v>2030</v>
      </c>
      <c r="P1751" s="4" t="s">
        <v>6231</v>
      </c>
      <c r="Q1751" s="70">
        <v>7</v>
      </c>
      <c r="R1751" s="9" t="s">
        <v>6234</v>
      </c>
      <c r="S1751" s="9" t="s">
        <v>6009</v>
      </c>
    </row>
    <row r="1752" spans="1:72" ht="14.25" customHeight="1" x14ac:dyDescent="0.2">
      <c r="A1752" s="4" t="s">
        <v>2037</v>
      </c>
      <c r="B1752" s="4">
        <v>5</v>
      </c>
      <c r="C1752" s="4" t="s">
        <v>7688</v>
      </c>
      <c r="D1752" s="4" t="s">
        <v>6235</v>
      </c>
      <c r="E1752" s="4">
        <v>2456</v>
      </c>
      <c r="F1752" s="8" t="s">
        <v>6236</v>
      </c>
      <c r="G1752" s="4" t="s">
        <v>6237</v>
      </c>
      <c r="H1752" s="4" t="s">
        <v>6238</v>
      </c>
      <c r="I1752" s="4" t="s">
        <v>1664</v>
      </c>
      <c r="J1752" s="4" t="s">
        <v>6187</v>
      </c>
      <c r="K1752" s="4">
        <v>1</v>
      </c>
      <c r="L1752" s="4">
        <v>2859</v>
      </c>
      <c r="U1752" s="53"/>
      <c r="V1752" s="53"/>
      <c r="W1752" s="53"/>
      <c r="X1752" s="53"/>
      <c r="Y1752" s="53"/>
      <c r="Z1752" s="53"/>
      <c r="AA1752" s="53"/>
      <c r="AB1752" s="53"/>
      <c r="AC1752" s="53"/>
      <c r="AD1752" s="53"/>
      <c r="AE1752" s="53"/>
      <c r="AF1752" s="53"/>
      <c r="AG1752" s="53"/>
      <c r="AH1752" s="53"/>
      <c r="AI1752" s="53"/>
      <c r="AJ1752" s="53"/>
      <c r="AK1752" s="53"/>
      <c r="AL1752" s="53"/>
      <c r="AM1752" s="53"/>
      <c r="AN1752" s="53"/>
      <c r="AO1752" s="53"/>
      <c r="AP1752" s="53"/>
      <c r="AQ1752" s="53"/>
      <c r="AR1752" s="53"/>
      <c r="AS1752" s="53"/>
      <c r="AT1752" s="53"/>
      <c r="AU1752" s="53"/>
      <c r="AV1752" s="53"/>
      <c r="AW1752" s="53"/>
      <c r="AX1752" s="53"/>
      <c r="AY1752" s="53"/>
      <c r="AZ1752" s="53"/>
      <c r="BA1752" s="53"/>
      <c r="BB1752" s="53"/>
      <c r="BC1752" s="53"/>
      <c r="BD1752" s="53"/>
      <c r="BE1752" s="53"/>
      <c r="BF1752" s="53"/>
      <c r="BG1752" s="53"/>
      <c r="BH1752" s="53"/>
      <c r="BI1752" s="53"/>
      <c r="BJ1752" s="53"/>
      <c r="BK1752" s="53"/>
      <c r="BL1752" s="53"/>
      <c r="BM1752" s="53"/>
      <c r="BN1752" s="53"/>
      <c r="BO1752" s="53"/>
      <c r="BP1752" s="53"/>
      <c r="BQ1752" s="53"/>
      <c r="BR1752" s="53"/>
      <c r="BS1752" s="53"/>
      <c r="BT1752" s="53"/>
    </row>
    <row r="1753" spans="1:72" ht="14.25" customHeight="1" x14ac:dyDescent="0.2">
      <c r="A1753" s="4" t="s">
        <v>6239</v>
      </c>
      <c r="B1753" s="4">
        <v>5</v>
      </c>
      <c r="C1753" s="4" t="s">
        <v>7688</v>
      </c>
      <c r="D1753" s="4" t="s">
        <v>6240</v>
      </c>
      <c r="E1753" s="4">
        <v>2455</v>
      </c>
      <c r="F1753" s="8" t="s">
        <v>6241</v>
      </c>
      <c r="H1753" s="4" t="s">
        <v>6242</v>
      </c>
      <c r="I1753" s="4" t="s">
        <v>1664</v>
      </c>
      <c r="J1753" s="4" t="s">
        <v>6187</v>
      </c>
      <c r="K1753" s="4">
        <v>1</v>
      </c>
      <c r="L1753" s="4">
        <v>2858</v>
      </c>
      <c r="U1753" s="53"/>
      <c r="V1753" s="53"/>
      <c r="W1753" s="53"/>
      <c r="X1753" s="53"/>
      <c r="Y1753" s="53"/>
      <c r="Z1753" s="53"/>
      <c r="AA1753" s="53"/>
      <c r="AB1753" s="53"/>
      <c r="AC1753" s="53"/>
      <c r="AD1753" s="53"/>
      <c r="AE1753" s="53"/>
      <c r="AF1753" s="53"/>
      <c r="AG1753" s="53"/>
      <c r="AH1753" s="53"/>
      <c r="AI1753" s="53"/>
      <c r="AJ1753" s="53"/>
      <c r="AK1753" s="53"/>
      <c r="AL1753" s="53"/>
      <c r="AM1753" s="53"/>
      <c r="AN1753" s="53"/>
      <c r="AO1753" s="53"/>
      <c r="AP1753" s="53"/>
      <c r="AQ1753" s="53"/>
      <c r="AR1753" s="53"/>
      <c r="AS1753" s="53"/>
      <c r="AT1753" s="53"/>
      <c r="AU1753" s="53"/>
      <c r="AV1753" s="53"/>
      <c r="AW1753" s="53"/>
      <c r="AX1753" s="53"/>
      <c r="AY1753" s="53"/>
      <c r="AZ1753" s="53"/>
      <c r="BA1753" s="53"/>
      <c r="BB1753" s="53"/>
      <c r="BC1753" s="53"/>
      <c r="BD1753" s="53"/>
      <c r="BE1753" s="53"/>
      <c r="BF1753" s="53"/>
      <c r="BG1753" s="53"/>
      <c r="BH1753" s="53"/>
      <c r="BI1753" s="53"/>
      <c r="BJ1753" s="53"/>
      <c r="BK1753" s="53"/>
      <c r="BL1753" s="53"/>
      <c r="BM1753" s="53"/>
      <c r="BN1753" s="53"/>
      <c r="BO1753" s="53"/>
      <c r="BP1753" s="53"/>
      <c r="BQ1753" s="53"/>
      <c r="BR1753" s="53"/>
      <c r="BS1753" s="53"/>
      <c r="BT1753" s="53"/>
    </row>
    <row r="1754" spans="1:72" ht="14.25" customHeight="1" x14ac:dyDescent="0.2">
      <c r="B1754" s="4">
        <v>5</v>
      </c>
      <c r="C1754" s="4" t="s">
        <v>7688</v>
      </c>
      <c r="D1754" s="4" t="s">
        <v>6243</v>
      </c>
      <c r="E1754" s="4">
        <v>13103</v>
      </c>
      <c r="F1754" s="4" t="s">
        <v>6244</v>
      </c>
      <c r="G1754" s="4" t="s">
        <v>6245</v>
      </c>
      <c r="H1754" s="4" t="s">
        <v>6246</v>
      </c>
      <c r="I1754" s="4" t="s">
        <v>49</v>
      </c>
      <c r="J1754" s="4" t="s">
        <v>6021</v>
      </c>
      <c r="K1754" s="4">
        <v>1</v>
      </c>
      <c r="L1754" s="4">
        <v>15025</v>
      </c>
      <c r="M1754" s="9">
        <v>-125.8132639</v>
      </c>
      <c r="N1754" s="9">
        <v>49.858047220000003</v>
      </c>
      <c r="O1754" s="9">
        <v>270</v>
      </c>
      <c r="P1754" s="4" t="s">
        <v>6243</v>
      </c>
      <c r="Q1754" s="70">
        <v>5</v>
      </c>
      <c r="R1754" s="9" t="s">
        <v>6244</v>
      </c>
      <c r="S1754" s="9" t="s">
        <v>6009</v>
      </c>
    </row>
    <row r="1755" spans="1:72" ht="14.25" customHeight="1" x14ac:dyDescent="0.2">
      <c r="A1755" s="4" t="s">
        <v>1908</v>
      </c>
      <c r="B1755" s="4">
        <v>5</v>
      </c>
      <c r="C1755" s="4" t="s">
        <v>7688</v>
      </c>
      <c r="D1755" s="4" t="s">
        <v>6247</v>
      </c>
      <c r="E1755" s="4">
        <v>2431</v>
      </c>
      <c r="F1755" s="8" t="s">
        <v>6248</v>
      </c>
      <c r="G1755" s="8" t="s">
        <v>6249</v>
      </c>
      <c r="H1755" s="4" t="s">
        <v>6074</v>
      </c>
      <c r="I1755" s="4" t="s">
        <v>1664</v>
      </c>
      <c r="J1755" s="4" t="s">
        <v>6046</v>
      </c>
      <c r="K1755" s="4">
        <v>1</v>
      </c>
      <c r="L1755" s="4">
        <v>2834</v>
      </c>
      <c r="M1755" s="9">
        <v>-125.144125</v>
      </c>
      <c r="N1755" s="9">
        <v>49.44034722</v>
      </c>
      <c r="O1755" s="9">
        <v>340</v>
      </c>
      <c r="P1755" s="4" t="s">
        <v>6247</v>
      </c>
      <c r="Q1755" s="70">
        <v>5</v>
      </c>
      <c r="R1755" s="9" t="s">
        <v>6250</v>
      </c>
      <c r="S1755" s="9" t="s">
        <v>6009</v>
      </c>
    </row>
    <row r="1756" spans="1:72" ht="14.25" customHeight="1" x14ac:dyDescent="0.2">
      <c r="A1756" s="4" t="s">
        <v>2037</v>
      </c>
      <c r="B1756" s="4">
        <v>5</v>
      </c>
      <c r="C1756" s="4" t="s">
        <v>7688</v>
      </c>
      <c r="D1756" s="4" t="s">
        <v>6251</v>
      </c>
      <c r="E1756" s="4">
        <v>2457</v>
      </c>
      <c r="F1756" s="8" t="s">
        <v>6252</v>
      </c>
      <c r="G1756" s="4" t="s">
        <v>6253</v>
      </c>
      <c r="H1756" s="4" t="s">
        <v>6254</v>
      </c>
      <c r="I1756" s="4" t="s">
        <v>1664</v>
      </c>
      <c r="J1756" s="4" t="s">
        <v>6046</v>
      </c>
      <c r="K1756" s="4">
        <v>1</v>
      </c>
      <c r="L1756" s="4">
        <v>2860</v>
      </c>
      <c r="M1756" s="8">
        <v>-125.28816999999999</v>
      </c>
      <c r="N1756" s="8">
        <v>49.605400000000003</v>
      </c>
      <c r="O1756" s="8">
        <v>280</v>
      </c>
      <c r="P1756" s="8" t="s">
        <v>6251</v>
      </c>
      <c r="Q1756" s="53"/>
      <c r="R1756" s="8" t="str">
        <f>F1756</f>
        <v>Eric Ck -&gt; Rees Creek</v>
      </c>
      <c r="S1756" s="53"/>
      <c r="T1756" s="53"/>
      <c r="U1756" s="53"/>
      <c r="V1756" s="53"/>
      <c r="W1756" s="53"/>
      <c r="X1756" s="53"/>
      <c r="Y1756" s="53"/>
      <c r="Z1756" s="53"/>
      <c r="AA1756" s="53"/>
      <c r="AB1756" s="53"/>
      <c r="AC1756" s="53"/>
      <c r="AD1756" s="53"/>
      <c r="AE1756" s="53"/>
      <c r="AF1756" s="53"/>
      <c r="AG1756" s="53"/>
      <c r="AH1756" s="53"/>
      <c r="AI1756" s="53"/>
      <c r="AJ1756" s="53"/>
      <c r="AK1756" s="53"/>
      <c r="AL1756" s="53"/>
      <c r="AM1756" s="53"/>
      <c r="AN1756" s="53"/>
      <c r="AO1756" s="53"/>
      <c r="AP1756" s="53"/>
      <c r="AQ1756" s="53"/>
      <c r="AR1756" s="53"/>
      <c r="AS1756" s="53"/>
      <c r="AT1756" s="53"/>
      <c r="AU1756" s="53"/>
      <c r="AV1756" s="53"/>
      <c r="AW1756" s="53"/>
      <c r="AX1756" s="53"/>
      <c r="AY1756" s="53"/>
      <c r="AZ1756" s="53"/>
      <c r="BA1756" s="53"/>
      <c r="BB1756" s="53"/>
      <c r="BC1756" s="53"/>
      <c r="BD1756" s="53"/>
      <c r="BE1756" s="53"/>
      <c r="BF1756" s="53"/>
      <c r="BG1756" s="53"/>
      <c r="BH1756" s="53"/>
      <c r="BI1756" s="53"/>
      <c r="BJ1756" s="53"/>
      <c r="BK1756" s="53"/>
      <c r="BL1756" s="53"/>
      <c r="BM1756" s="53"/>
      <c r="BN1756" s="53"/>
      <c r="BO1756" s="53"/>
      <c r="BP1756" s="53"/>
      <c r="BQ1756" s="53"/>
      <c r="BR1756" s="53"/>
      <c r="BS1756" s="53"/>
      <c r="BT1756" s="53"/>
    </row>
    <row r="1757" spans="1:72" ht="14.25" customHeight="1" x14ac:dyDescent="0.2">
      <c r="A1757" s="4" t="s">
        <v>2037</v>
      </c>
      <c r="B1757" s="4">
        <v>5</v>
      </c>
      <c r="C1757" s="4" t="s">
        <v>7688</v>
      </c>
      <c r="D1757" s="4" t="s">
        <v>6255</v>
      </c>
      <c r="E1757" s="4">
        <v>12347</v>
      </c>
      <c r="F1757" s="8" t="s">
        <v>6256</v>
      </c>
      <c r="G1757" s="4" t="s">
        <v>6257</v>
      </c>
      <c r="H1757" s="4" t="s">
        <v>6032</v>
      </c>
      <c r="I1757" s="4" t="s">
        <v>49</v>
      </c>
      <c r="J1757" s="4" t="s">
        <v>6258</v>
      </c>
      <c r="K1757" s="4">
        <v>1</v>
      </c>
      <c r="L1757" s="4">
        <v>14403</v>
      </c>
      <c r="U1757" s="53"/>
      <c r="V1757" s="53"/>
      <c r="W1757" s="53"/>
      <c r="X1757" s="53"/>
      <c r="Y1757" s="53"/>
      <c r="Z1757" s="53"/>
      <c r="AA1757" s="53"/>
      <c r="AB1757" s="53"/>
      <c r="AC1757" s="53"/>
      <c r="AD1757" s="53"/>
      <c r="AE1757" s="53"/>
      <c r="AF1757" s="53"/>
      <c r="AG1757" s="53"/>
      <c r="AH1757" s="53"/>
      <c r="AI1757" s="53"/>
      <c r="AJ1757" s="53"/>
      <c r="AK1757" s="53"/>
      <c r="AL1757" s="53"/>
      <c r="AM1757" s="53"/>
      <c r="AN1757" s="53"/>
      <c r="AO1757" s="53"/>
      <c r="AP1757" s="53"/>
      <c r="AQ1757" s="53"/>
      <c r="AR1757" s="53"/>
      <c r="AS1757" s="53"/>
      <c r="AT1757" s="53"/>
      <c r="AU1757" s="53"/>
      <c r="AV1757" s="53"/>
      <c r="AW1757" s="53"/>
      <c r="AX1757" s="53"/>
      <c r="AY1757" s="53"/>
      <c r="AZ1757" s="53"/>
      <c r="BA1757" s="53"/>
      <c r="BB1757" s="53"/>
      <c r="BC1757" s="53"/>
      <c r="BD1757" s="53"/>
      <c r="BE1757" s="53"/>
      <c r="BF1757" s="53"/>
      <c r="BG1757" s="53"/>
      <c r="BH1757" s="53"/>
      <c r="BI1757" s="53"/>
      <c r="BJ1757" s="53"/>
      <c r="BK1757" s="53"/>
      <c r="BL1757" s="53"/>
      <c r="BM1757" s="53"/>
      <c r="BN1757" s="53"/>
      <c r="BO1757" s="53"/>
      <c r="BP1757" s="53"/>
      <c r="BQ1757" s="53"/>
      <c r="BR1757" s="53"/>
      <c r="BS1757" s="53"/>
      <c r="BT1757" s="53"/>
    </row>
    <row r="1758" spans="1:72" ht="14.25" customHeight="1" x14ac:dyDescent="0.2">
      <c r="A1758" s="5"/>
      <c r="B1758" s="4">
        <v>5</v>
      </c>
      <c r="C1758" s="4" t="s">
        <v>7688</v>
      </c>
      <c r="D1758" s="4" t="s">
        <v>6259</v>
      </c>
      <c r="E1758" s="4">
        <v>13099</v>
      </c>
      <c r="F1758" s="4" t="s">
        <v>6260</v>
      </c>
      <c r="G1758" s="4" t="s">
        <v>6261</v>
      </c>
      <c r="H1758" s="4" t="s">
        <v>6014</v>
      </c>
      <c r="I1758" s="4" t="s">
        <v>49</v>
      </c>
      <c r="J1758" s="4" t="s">
        <v>6262</v>
      </c>
      <c r="K1758" s="4">
        <v>1</v>
      </c>
      <c r="L1758" s="4">
        <v>15021</v>
      </c>
      <c r="M1758" s="9">
        <v>-118.07422800000001</v>
      </c>
      <c r="N1758" s="9">
        <v>49.864182</v>
      </c>
      <c r="O1758" s="9">
        <v>519</v>
      </c>
      <c r="P1758" s="4" t="s">
        <v>6259</v>
      </c>
      <c r="Q1758" s="70">
        <v>1</v>
      </c>
      <c r="R1758" s="9" t="s">
        <v>6260</v>
      </c>
      <c r="S1758" s="9" t="s">
        <v>6009</v>
      </c>
    </row>
    <row r="1759" spans="1:72" ht="14.25" customHeight="1" x14ac:dyDescent="0.2">
      <c r="B1759" s="4">
        <v>5</v>
      </c>
      <c r="C1759" s="4" t="s">
        <v>7688</v>
      </c>
      <c r="D1759" s="4" t="s">
        <v>6263</v>
      </c>
      <c r="E1759" s="4">
        <v>12395</v>
      </c>
      <c r="F1759" s="4" t="s">
        <v>6264</v>
      </c>
      <c r="G1759" s="4" t="s">
        <v>6265</v>
      </c>
      <c r="H1759" s="4" t="s">
        <v>6156</v>
      </c>
      <c r="I1759" s="4" t="s">
        <v>641</v>
      </c>
      <c r="J1759" s="4" t="s">
        <v>6262</v>
      </c>
      <c r="K1759" s="4">
        <v>1</v>
      </c>
      <c r="L1759" s="4">
        <v>14417</v>
      </c>
      <c r="M1759" s="9">
        <v>-115.0726361</v>
      </c>
      <c r="N1759" s="9">
        <v>49.488433329999999</v>
      </c>
      <c r="O1759" s="9">
        <v>1101</v>
      </c>
      <c r="P1759" s="4" t="s">
        <v>6263</v>
      </c>
      <c r="Q1759" s="70">
        <v>2</v>
      </c>
      <c r="R1759" s="9" t="s">
        <v>6264</v>
      </c>
      <c r="S1759" s="9" t="s">
        <v>6009</v>
      </c>
    </row>
    <row r="1760" spans="1:72" ht="14.25" customHeight="1" x14ac:dyDescent="0.2">
      <c r="A1760" s="4" t="s">
        <v>6266</v>
      </c>
      <c r="B1760" s="4">
        <v>5</v>
      </c>
      <c r="C1760" s="4" t="s">
        <v>7688</v>
      </c>
      <c r="D1760" s="4" t="s">
        <v>6267</v>
      </c>
      <c r="E1760" s="4">
        <v>2458</v>
      </c>
      <c r="F1760" s="8" t="s">
        <v>6268</v>
      </c>
      <c r="G1760" s="4" t="s">
        <v>6269</v>
      </c>
      <c r="H1760" s="4" t="s">
        <v>6270</v>
      </c>
      <c r="I1760" s="4" t="s">
        <v>1664</v>
      </c>
      <c r="J1760" s="4" t="s">
        <v>6069</v>
      </c>
      <c r="K1760" s="4">
        <v>1</v>
      </c>
      <c r="L1760" s="4">
        <v>2861</v>
      </c>
      <c r="M1760" s="8">
        <v>-117.70062</v>
      </c>
      <c r="N1760" s="8">
        <v>51.237400000000001</v>
      </c>
      <c r="O1760" s="8">
        <v>1800</v>
      </c>
      <c r="P1760" s="8" t="s">
        <v>6267</v>
      </c>
      <c r="Q1760" s="53"/>
      <c r="R1760" s="8" t="str">
        <f>F1760</f>
        <v>Fidelty Mtn. -&gt; Fidelity Mountain</v>
      </c>
      <c r="S1760" s="53"/>
      <c r="T1760" s="53"/>
      <c r="U1760" s="53"/>
      <c r="V1760" s="53"/>
      <c r="W1760" s="53"/>
      <c r="X1760" s="53"/>
      <c r="Y1760" s="53"/>
      <c r="Z1760" s="53"/>
      <c r="AA1760" s="53"/>
      <c r="AB1760" s="53"/>
      <c r="AC1760" s="53"/>
      <c r="AD1760" s="53"/>
      <c r="AE1760" s="53"/>
      <c r="AF1760" s="53"/>
      <c r="AG1760" s="53"/>
      <c r="AH1760" s="53"/>
      <c r="AI1760" s="53"/>
      <c r="AJ1760" s="53"/>
      <c r="AK1760" s="53"/>
      <c r="AL1760" s="53"/>
      <c r="AM1760" s="53"/>
      <c r="AN1760" s="53"/>
      <c r="AO1760" s="53"/>
      <c r="AP1760" s="53"/>
      <c r="AQ1760" s="53"/>
      <c r="AR1760" s="53"/>
      <c r="AS1760" s="53"/>
      <c r="AT1760" s="53"/>
      <c r="AU1760" s="53"/>
      <c r="AV1760" s="53"/>
      <c r="AW1760" s="53"/>
      <c r="AX1760" s="53"/>
      <c r="AY1760" s="53"/>
      <c r="AZ1760" s="53"/>
      <c r="BA1760" s="53"/>
      <c r="BB1760" s="53"/>
      <c r="BC1760" s="53"/>
      <c r="BD1760" s="53"/>
      <c r="BE1760" s="53"/>
      <c r="BF1760" s="53"/>
      <c r="BG1760" s="53"/>
      <c r="BH1760" s="53"/>
      <c r="BI1760" s="53"/>
      <c r="BJ1760" s="53"/>
      <c r="BK1760" s="53"/>
      <c r="BL1760" s="53"/>
      <c r="BM1760" s="53"/>
      <c r="BN1760" s="53"/>
      <c r="BO1760" s="53"/>
      <c r="BP1760" s="53"/>
      <c r="BQ1760" s="53"/>
      <c r="BR1760" s="53"/>
      <c r="BS1760" s="53"/>
      <c r="BT1760" s="53"/>
    </row>
    <row r="1761" spans="1:72" ht="14.25" customHeight="1" x14ac:dyDescent="0.2">
      <c r="A1761" s="4" t="s">
        <v>1908</v>
      </c>
      <c r="B1761" s="4">
        <v>5</v>
      </c>
      <c r="C1761" s="4" t="s">
        <v>7688</v>
      </c>
      <c r="D1761" s="4" t="s">
        <v>6271</v>
      </c>
      <c r="E1761" s="4">
        <v>2459</v>
      </c>
      <c r="F1761" s="8" t="s">
        <v>6272</v>
      </c>
      <c r="G1761" s="8" t="s">
        <v>6273</v>
      </c>
      <c r="H1761" s="4" t="s">
        <v>6040</v>
      </c>
      <c r="I1761" s="4" t="s">
        <v>1664</v>
      </c>
      <c r="J1761" s="4" t="s">
        <v>6046</v>
      </c>
      <c r="K1761" s="4">
        <v>1</v>
      </c>
      <c r="L1761" s="4">
        <v>2862</v>
      </c>
      <c r="M1761" s="9">
        <v>-125.25284720000001</v>
      </c>
      <c r="N1761" s="9">
        <v>57.121441670000003</v>
      </c>
      <c r="O1761" s="9">
        <v>711</v>
      </c>
      <c r="P1761" s="4" t="s">
        <v>6271</v>
      </c>
      <c r="Q1761" s="70">
        <v>1</v>
      </c>
      <c r="R1761" s="9" t="s">
        <v>6274</v>
      </c>
      <c r="S1761" s="9" t="s">
        <v>6009</v>
      </c>
    </row>
    <row r="1762" spans="1:72" ht="14.25" customHeight="1" x14ac:dyDescent="0.2">
      <c r="B1762" s="4">
        <v>5</v>
      </c>
      <c r="C1762" s="4" t="s">
        <v>7688</v>
      </c>
      <c r="D1762" s="4" t="s">
        <v>6275</v>
      </c>
      <c r="E1762" s="4">
        <v>2460</v>
      </c>
      <c r="F1762" s="4" t="s">
        <v>6276</v>
      </c>
      <c r="G1762" s="4" t="s">
        <v>6277</v>
      </c>
      <c r="H1762" s="4" t="s">
        <v>6278</v>
      </c>
      <c r="I1762" s="4" t="s">
        <v>1664</v>
      </c>
      <c r="J1762" s="4" t="s">
        <v>6041</v>
      </c>
      <c r="K1762" s="4">
        <v>1</v>
      </c>
      <c r="L1762" s="4">
        <v>2863</v>
      </c>
      <c r="M1762" s="9">
        <v>-116.13711670000001</v>
      </c>
      <c r="N1762" s="9">
        <v>51.05991667</v>
      </c>
      <c r="O1762" s="9">
        <v>2090</v>
      </c>
      <c r="P1762" s="4" t="s">
        <v>6275</v>
      </c>
      <c r="Q1762" s="70">
        <v>7</v>
      </c>
      <c r="R1762" s="9" t="s">
        <v>6279</v>
      </c>
      <c r="S1762" s="9" t="s">
        <v>6009</v>
      </c>
    </row>
    <row r="1763" spans="1:72" ht="14.25" customHeight="1" x14ac:dyDescent="0.2">
      <c r="B1763" s="4">
        <v>5</v>
      </c>
      <c r="C1763" s="4" t="s">
        <v>7688</v>
      </c>
      <c r="D1763" s="4" t="s">
        <v>6280</v>
      </c>
      <c r="E1763" s="4">
        <v>13215</v>
      </c>
      <c r="F1763" s="4" t="s">
        <v>1232</v>
      </c>
      <c r="G1763" s="4" t="s">
        <v>6281</v>
      </c>
      <c r="H1763" s="4" t="s">
        <v>6282</v>
      </c>
      <c r="I1763" s="4" t="s">
        <v>49</v>
      </c>
      <c r="J1763" s="4" t="s">
        <v>6087</v>
      </c>
      <c r="K1763" s="4">
        <v>1</v>
      </c>
      <c r="L1763" s="4">
        <v>15131</v>
      </c>
      <c r="M1763" s="9">
        <v>-118.58593999999999</v>
      </c>
      <c r="N1763" s="9">
        <v>52.053809999999999</v>
      </c>
      <c r="O1763" s="9">
        <v>577</v>
      </c>
      <c r="P1763" s="4" t="s">
        <v>6280</v>
      </c>
      <c r="Q1763" s="70">
        <v>1</v>
      </c>
      <c r="R1763" s="9" t="s">
        <v>1232</v>
      </c>
      <c r="S1763" s="9" t="s">
        <v>6009</v>
      </c>
    </row>
    <row r="1764" spans="1:72" ht="14.25" customHeight="1" x14ac:dyDescent="0.2">
      <c r="B1764" s="4">
        <v>5</v>
      </c>
      <c r="C1764" s="4" t="s">
        <v>7688</v>
      </c>
      <c r="D1764" s="4" t="s">
        <v>6283</v>
      </c>
      <c r="E1764" s="4">
        <v>13216</v>
      </c>
      <c r="F1764" s="4" t="s">
        <v>6284</v>
      </c>
      <c r="G1764" s="4" t="s">
        <v>6285</v>
      </c>
      <c r="H1764" s="4" t="s">
        <v>6209</v>
      </c>
      <c r="I1764" s="4" t="s">
        <v>49</v>
      </c>
      <c r="J1764" s="4" t="s">
        <v>6087</v>
      </c>
      <c r="K1764" s="4">
        <v>1</v>
      </c>
      <c r="L1764" s="4">
        <v>15132</v>
      </c>
      <c r="M1764" s="4">
        <v>-126.52071599999999</v>
      </c>
      <c r="N1764" s="4">
        <v>56.948458000000002</v>
      </c>
      <c r="O1764" s="4">
        <v>1326</v>
      </c>
      <c r="P1764" s="4" t="s">
        <v>6283</v>
      </c>
      <c r="Q1764" s="4">
        <v>5</v>
      </c>
      <c r="R1764" s="4" t="s">
        <v>6284</v>
      </c>
      <c r="S1764" s="4" t="s">
        <v>6009</v>
      </c>
    </row>
    <row r="1765" spans="1:72" ht="14.25" customHeight="1" x14ac:dyDescent="0.2">
      <c r="B1765" s="4">
        <v>5</v>
      </c>
      <c r="C1765" s="4" t="s">
        <v>7688</v>
      </c>
      <c r="D1765" s="4" t="s">
        <v>6286</v>
      </c>
      <c r="E1765" s="4">
        <v>12415</v>
      </c>
      <c r="F1765" s="4" t="s">
        <v>6287</v>
      </c>
      <c r="G1765" s="4" t="s">
        <v>6288</v>
      </c>
      <c r="H1765" s="4" t="s">
        <v>6289</v>
      </c>
      <c r="I1765" s="4" t="s">
        <v>641</v>
      </c>
      <c r="J1765" s="4" t="s">
        <v>6262</v>
      </c>
      <c r="K1765" s="4">
        <v>1</v>
      </c>
      <c r="L1765" s="4">
        <v>14437</v>
      </c>
      <c r="M1765" s="4">
        <v>-124.7014444</v>
      </c>
      <c r="N1765" s="4">
        <v>55.785527780000002</v>
      </c>
      <c r="O1765" s="4">
        <v>766</v>
      </c>
      <c r="P1765" s="4" t="s">
        <v>6286</v>
      </c>
      <c r="Q1765" s="4">
        <v>2</v>
      </c>
      <c r="R1765" s="4" t="s">
        <v>6287</v>
      </c>
      <c r="S1765" s="4" t="s">
        <v>6009</v>
      </c>
    </row>
    <row r="1766" spans="1:72" ht="14.25" customHeight="1" x14ac:dyDescent="0.2">
      <c r="A1766" s="4" t="s">
        <v>1908</v>
      </c>
      <c r="B1766" s="4">
        <v>5</v>
      </c>
      <c r="C1766" s="4" t="s">
        <v>7688</v>
      </c>
      <c r="D1766" s="4" t="s">
        <v>6290</v>
      </c>
      <c r="E1766" s="4">
        <v>2466</v>
      </c>
      <c r="F1766" s="8" t="s">
        <v>6291</v>
      </c>
      <c r="G1766" s="8" t="s">
        <v>6292</v>
      </c>
      <c r="H1766" s="4" t="s">
        <v>6293</v>
      </c>
      <c r="I1766" s="4" t="s">
        <v>1664</v>
      </c>
      <c r="J1766" s="4" t="s">
        <v>6041</v>
      </c>
      <c r="K1766" s="4">
        <v>1</v>
      </c>
      <c r="L1766" s="4">
        <v>2869</v>
      </c>
      <c r="M1766" s="4">
        <v>-117.5110083</v>
      </c>
      <c r="N1766" s="4">
        <v>51.270722220000003</v>
      </c>
      <c r="O1766" s="4">
        <v>1182</v>
      </c>
      <c r="P1766" s="4" t="s">
        <v>6290</v>
      </c>
      <c r="Q1766" s="4">
        <v>3</v>
      </c>
      <c r="R1766" s="4" t="s">
        <v>6294</v>
      </c>
      <c r="S1766" s="4" t="s">
        <v>6009</v>
      </c>
    </row>
    <row r="1767" spans="1:72" ht="14.25" customHeight="1" x14ac:dyDescent="0.2">
      <c r="A1767" s="4" t="s">
        <v>2037</v>
      </c>
      <c r="B1767" s="4">
        <v>5</v>
      </c>
      <c r="C1767" s="4" t="s">
        <v>7688</v>
      </c>
      <c r="D1767" s="4" t="s">
        <v>6295</v>
      </c>
      <c r="E1767" s="4">
        <v>2492</v>
      </c>
      <c r="F1767" s="8" t="s">
        <v>6296</v>
      </c>
      <c r="G1767" s="4" t="s">
        <v>6297</v>
      </c>
      <c r="H1767" s="4" t="s">
        <v>6298</v>
      </c>
      <c r="I1767" s="4" t="s">
        <v>1664</v>
      </c>
      <c r="J1767" s="4" t="s">
        <v>6046</v>
      </c>
      <c r="K1767" s="4">
        <v>1</v>
      </c>
      <c r="L1767" s="4">
        <v>2895</v>
      </c>
      <c r="M1767" s="8">
        <v>-122.1835</v>
      </c>
      <c r="N1767" s="8">
        <v>56.012500000000003</v>
      </c>
      <c r="O1767" s="8">
        <v>720</v>
      </c>
      <c r="P1767" s="8" t="s">
        <v>6295</v>
      </c>
      <c r="Q1767" s="53"/>
      <c r="R1767" s="8" t="str">
        <f>F1767</f>
        <v>GMS Hudson's Hope</v>
      </c>
      <c r="S1767" s="53"/>
      <c r="T1767" s="53"/>
      <c r="U1767" s="53"/>
      <c r="V1767" s="53"/>
      <c r="W1767" s="53"/>
      <c r="X1767" s="53"/>
      <c r="Y1767" s="53"/>
      <c r="Z1767" s="53"/>
      <c r="AA1767" s="53"/>
      <c r="AB1767" s="53"/>
      <c r="AC1767" s="53"/>
      <c r="AD1767" s="53"/>
      <c r="AE1767" s="53"/>
      <c r="AF1767" s="53"/>
      <c r="AG1767" s="53"/>
      <c r="AH1767" s="53"/>
      <c r="AI1767" s="53"/>
      <c r="AJ1767" s="53"/>
      <c r="AK1767" s="53"/>
      <c r="AL1767" s="53"/>
      <c r="AM1767" s="53"/>
      <c r="AN1767" s="53"/>
      <c r="AO1767" s="53"/>
      <c r="AP1767" s="53"/>
      <c r="AQ1767" s="53"/>
      <c r="AR1767" s="53"/>
      <c r="AS1767" s="53"/>
      <c r="AT1767" s="53"/>
      <c r="AU1767" s="53"/>
      <c r="AV1767" s="53"/>
      <c r="AW1767" s="53"/>
      <c r="AX1767" s="53"/>
      <c r="AY1767" s="53"/>
      <c r="AZ1767" s="53"/>
      <c r="BA1767" s="53"/>
      <c r="BB1767" s="53"/>
      <c r="BC1767" s="53"/>
      <c r="BD1767" s="53"/>
      <c r="BE1767" s="53"/>
      <c r="BF1767" s="53"/>
      <c r="BG1767" s="53"/>
      <c r="BH1767" s="53"/>
      <c r="BI1767" s="53"/>
      <c r="BJ1767" s="53"/>
      <c r="BK1767" s="53"/>
      <c r="BL1767" s="53"/>
      <c r="BM1767" s="53"/>
      <c r="BN1767" s="53"/>
      <c r="BO1767" s="53"/>
      <c r="BP1767" s="53"/>
      <c r="BQ1767" s="53"/>
      <c r="BR1767" s="53"/>
      <c r="BS1767" s="53"/>
      <c r="BT1767" s="53"/>
    </row>
    <row r="1768" spans="1:72" ht="14.25" customHeight="1" x14ac:dyDescent="0.2">
      <c r="B1768" s="4">
        <v>5</v>
      </c>
      <c r="C1768" s="4" t="s">
        <v>7688</v>
      </c>
      <c r="D1768" s="4" t="s">
        <v>6299</v>
      </c>
      <c r="E1768" s="4">
        <v>2463</v>
      </c>
      <c r="F1768" s="4" t="s">
        <v>6300</v>
      </c>
      <c r="G1768" s="4" t="s">
        <v>6301</v>
      </c>
      <c r="H1768" s="4" t="s">
        <v>6040</v>
      </c>
      <c r="I1768" s="4" t="s">
        <v>1664</v>
      </c>
      <c r="J1768" s="4" t="s">
        <v>6046</v>
      </c>
      <c r="K1768" s="4">
        <v>1</v>
      </c>
      <c r="L1768" s="4">
        <v>2866</v>
      </c>
      <c r="M1768" s="9">
        <v>-122.4773611</v>
      </c>
      <c r="N1768" s="9">
        <v>49.44655556</v>
      </c>
      <c r="O1768" s="9">
        <v>794</v>
      </c>
      <c r="P1768" s="4" t="s">
        <v>6299</v>
      </c>
      <c r="Q1768" s="70">
        <v>4</v>
      </c>
      <c r="R1768" s="9" t="s">
        <v>6302</v>
      </c>
      <c r="S1768" s="9" t="s">
        <v>6009</v>
      </c>
    </row>
    <row r="1769" spans="1:72" ht="14.25" customHeight="1" x14ac:dyDescent="0.2">
      <c r="A1769" s="4" t="s">
        <v>2037</v>
      </c>
      <c r="B1769" s="4">
        <v>5</v>
      </c>
      <c r="C1769" s="4" t="s">
        <v>7688</v>
      </c>
      <c r="D1769" s="4" t="s">
        <v>6303</v>
      </c>
      <c r="E1769" s="4">
        <v>2462</v>
      </c>
      <c r="F1769" s="8" t="s">
        <v>6304</v>
      </c>
      <c r="G1769" s="4" t="s">
        <v>6305</v>
      </c>
      <c r="H1769" s="4" t="s">
        <v>6306</v>
      </c>
      <c r="I1769" s="4" t="s">
        <v>1664</v>
      </c>
      <c r="J1769" s="4" t="s">
        <v>6046</v>
      </c>
      <c r="K1769" s="4">
        <v>1</v>
      </c>
      <c r="L1769" s="4">
        <v>2865</v>
      </c>
      <c r="M1769" s="8">
        <v>-126.1061</v>
      </c>
      <c r="N1769" s="8">
        <v>49.705800000000004</v>
      </c>
      <c r="O1769" s="8">
        <v>10</v>
      </c>
      <c r="P1769" s="8" t="s">
        <v>6303</v>
      </c>
      <c r="Q1769" s="53"/>
      <c r="R1769" s="8" t="str">
        <f>F1769</f>
        <v>Gold R. nr Ucona R. -&gt; Gold River near Ucona River</v>
      </c>
      <c r="S1769" s="53"/>
      <c r="U1769" s="53"/>
      <c r="V1769" s="53"/>
      <c r="W1769" s="53"/>
      <c r="X1769" s="53"/>
      <c r="Y1769" s="53"/>
      <c r="Z1769" s="53"/>
      <c r="AA1769" s="53"/>
      <c r="AB1769" s="53"/>
      <c r="AC1769" s="53"/>
      <c r="AD1769" s="53"/>
      <c r="AE1769" s="53"/>
      <c r="AF1769" s="53"/>
      <c r="AG1769" s="53"/>
      <c r="AH1769" s="53"/>
      <c r="AI1769" s="53"/>
      <c r="AJ1769" s="53"/>
      <c r="AK1769" s="53"/>
      <c r="AL1769" s="53"/>
      <c r="AM1769" s="53"/>
      <c r="AN1769" s="53"/>
      <c r="AO1769" s="53"/>
      <c r="AP1769" s="53"/>
      <c r="AQ1769" s="53"/>
      <c r="AR1769" s="53"/>
      <c r="AS1769" s="53"/>
      <c r="AT1769" s="53"/>
      <c r="AU1769" s="53"/>
      <c r="AV1769" s="53"/>
      <c r="AW1769" s="53"/>
      <c r="AX1769" s="53"/>
      <c r="AY1769" s="53"/>
      <c r="AZ1769" s="53"/>
      <c r="BA1769" s="53"/>
      <c r="BB1769" s="53"/>
      <c r="BC1769" s="53"/>
      <c r="BD1769" s="53"/>
      <c r="BE1769" s="53"/>
      <c r="BF1769" s="53"/>
      <c r="BG1769" s="53"/>
      <c r="BH1769" s="53"/>
      <c r="BI1769" s="53"/>
      <c r="BJ1769" s="53"/>
      <c r="BK1769" s="53"/>
      <c r="BL1769" s="53"/>
      <c r="BM1769" s="53"/>
      <c r="BN1769" s="53"/>
      <c r="BO1769" s="53"/>
      <c r="BP1769" s="53"/>
      <c r="BQ1769" s="53"/>
      <c r="BR1769" s="53"/>
      <c r="BS1769" s="53"/>
      <c r="BT1769" s="53"/>
    </row>
    <row r="1770" spans="1:72" ht="14.25" customHeight="1" x14ac:dyDescent="0.2">
      <c r="A1770" s="4" t="s">
        <v>6307</v>
      </c>
      <c r="B1770" s="4">
        <v>5</v>
      </c>
      <c r="C1770" s="10" t="s">
        <v>7687</v>
      </c>
      <c r="D1770" s="10" t="s">
        <v>6308</v>
      </c>
      <c r="E1770" s="8"/>
      <c r="F1770" s="10" t="s">
        <v>6309</v>
      </c>
      <c r="G1770" s="10" t="s">
        <v>7691</v>
      </c>
    </row>
    <row r="1771" spans="1:72" ht="14.25" customHeight="1" x14ac:dyDescent="0.2">
      <c r="A1771" s="4" t="s">
        <v>2037</v>
      </c>
      <c r="B1771" s="4">
        <v>5</v>
      </c>
      <c r="C1771" s="4" t="s">
        <v>7688</v>
      </c>
      <c r="D1771" s="4" t="s">
        <v>6311</v>
      </c>
      <c r="E1771" s="4">
        <v>2464</v>
      </c>
      <c r="F1771" s="8" t="s">
        <v>6312</v>
      </c>
      <c r="G1771" s="4" t="s">
        <v>6313</v>
      </c>
      <c r="H1771" s="4" t="s">
        <v>6314</v>
      </c>
      <c r="I1771" s="4" t="s">
        <v>1664</v>
      </c>
      <c r="J1771" s="4" t="s">
        <v>6046</v>
      </c>
      <c r="K1771" s="4">
        <v>1</v>
      </c>
      <c r="L1771" s="4">
        <v>2867</v>
      </c>
      <c r="M1771" s="8">
        <v>118.59699999999999</v>
      </c>
      <c r="N1771" s="8">
        <v>51.668399999999998</v>
      </c>
      <c r="O1771" s="8">
        <v>600</v>
      </c>
      <c r="P1771" s="8" t="s">
        <v>6311</v>
      </c>
      <c r="Q1771" s="53"/>
      <c r="R1771" s="8" t="str">
        <f>F1771</f>
        <v>Goldstream R. blw Old Camp Ck - Goldstream River Below Old Camp Creek</v>
      </c>
      <c r="S1771" s="53"/>
      <c r="T1771" s="53"/>
      <c r="U1771" s="53"/>
      <c r="V1771" s="53"/>
      <c r="W1771" s="53"/>
      <c r="X1771" s="53"/>
      <c r="Y1771" s="53"/>
      <c r="Z1771" s="53"/>
      <c r="AA1771" s="53"/>
      <c r="AB1771" s="53"/>
      <c r="AC1771" s="53"/>
      <c r="AD1771" s="53"/>
      <c r="AE1771" s="53"/>
      <c r="AF1771" s="53"/>
      <c r="AG1771" s="53"/>
      <c r="AH1771" s="53"/>
      <c r="AI1771" s="53"/>
      <c r="AJ1771" s="53"/>
      <c r="AK1771" s="53"/>
      <c r="AL1771" s="53"/>
      <c r="AM1771" s="53"/>
      <c r="AN1771" s="53"/>
      <c r="AO1771" s="53"/>
      <c r="AP1771" s="53"/>
      <c r="AQ1771" s="53"/>
      <c r="AR1771" s="53"/>
      <c r="AS1771" s="53"/>
      <c r="AT1771" s="53"/>
      <c r="AU1771" s="53"/>
      <c r="AV1771" s="53"/>
      <c r="AW1771" s="53"/>
      <c r="AX1771" s="53"/>
      <c r="AY1771" s="53"/>
      <c r="AZ1771" s="53"/>
      <c r="BA1771" s="53"/>
      <c r="BB1771" s="53"/>
      <c r="BC1771" s="53"/>
      <c r="BD1771" s="53"/>
      <c r="BE1771" s="53"/>
      <c r="BF1771" s="53"/>
      <c r="BG1771" s="53"/>
      <c r="BH1771" s="53"/>
      <c r="BI1771" s="53"/>
      <c r="BJ1771" s="53"/>
      <c r="BK1771" s="53"/>
      <c r="BL1771" s="53"/>
      <c r="BM1771" s="53"/>
      <c r="BN1771" s="53"/>
      <c r="BO1771" s="53"/>
      <c r="BP1771" s="53"/>
      <c r="BQ1771" s="53"/>
      <c r="BR1771" s="53"/>
      <c r="BS1771" s="53"/>
      <c r="BT1771" s="53"/>
    </row>
    <row r="1772" spans="1:72" ht="14.25" customHeight="1" x14ac:dyDescent="0.2">
      <c r="B1772" s="4">
        <v>5</v>
      </c>
      <c r="C1772" s="4" t="s">
        <v>7688</v>
      </c>
      <c r="D1772" s="4" t="s">
        <v>6315</v>
      </c>
      <c r="E1772" s="4">
        <v>13122</v>
      </c>
      <c r="F1772" s="4" t="s">
        <v>6316</v>
      </c>
      <c r="G1772" s="4" t="s">
        <v>6317</v>
      </c>
      <c r="H1772" s="4" t="s">
        <v>6172</v>
      </c>
      <c r="I1772" s="4" t="s">
        <v>49</v>
      </c>
      <c r="J1772" s="4" t="s">
        <v>6021</v>
      </c>
      <c r="K1772" s="4">
        <v>1</v>
      </c>
      <c r="L1772" s="4">
        <v>15044</v>
      </c>
      <c r="M1772" s="9">
        <v>-118.59605500000001</v>
      </c>
      <c r="N1772" s="9">
        <v>51.669195000000002</v>
      </c>
      <c r="O1772" s="9">
        <v>617</v>
      </c>
      <c r="P1772" s="4" t="s">
        <v>6315</v>
      </c>
      <c r="Q1772" s="70">
        <v>1</v>
      </c>
      <c r="R1772" s="9" t="s">
        <v>6316</v>
      </c>
      <c r="S1772" s="9" t="s">
        <v>6009</v>
      </c>
    </row>
    <row r="1773" spans="1:72" ht="14.25" customHeight="1" x14ac:dyDescent="0.2">
      <c r="B1773" s="4">
        <v>5</v>
      </c>
      <c r="C1773" s="4" t="s">
        <v>7688</v>
      </c>
      <c r="D1773" s="4" t="s">
        <v>6318</v>
      </c>
      <c r="E1773" s="4">
        <v>2465</v>
      </c>
      <c r="F1773" s="4" t="s">
        <v>6319</v>
      </c>
      <c r="G1773" s="4" t="s">
        <v>6320</v>
      </c>
      <c r="H1773" s="4" t="s">
        <v>6321</v>
      </c>
      <c r="I1773" s="4" t="s">
        <v>1664</v>
      </c>
      <c r="J1773" s="4" t="s">
        <v>6069</v>
      </c>
      <c r="K1773" s="4">
        <v>1</v>
      </c>
      <c r="L1773" s="4">
        <v>2868</v>
      </c>
      <c r="M1773" s="4">
        <v>-122.92461110000001</v>
      </c>
      <c r="N1773" s="4">
        <v>50.795583329999999</v>
      </c>
      <c r="O1773" s="4">
        <v>1780</v>
      </c>
      <c r="P1773" s="4" t="s">
        <v>6318</v>
      </c>
      <c r="Q1773" s="4">
        <v>7</v>
      </c>
      <c r="R1773" s="4" t="s">
        <v>6322</v>
      </c>
      <c r="S1773" s="4" t="s">
        <v>6009</v>
      </c>
    </row>
    <row r="1774" spans="1:72" ht="14.25" customHeight="1" x14ac:dyDescent="0.2">
      <c r="A1774" s="4" t="s">
        <v>2037</v>
      </c>
      <c r="B1774" s="4">
        <v>5</v>
      </c>
      <c r="C1774" s="4" t="s">
        <v>7688</v>
      </c>
      <c r="D1774" s="4" t="s">
        <v>6323</v>
      </c>
      <c r="E1774" s="4">
        <v>2469</v>
      </c>
      <c r="F1774" s="8" t="s">
        <v>6324</v>
      </c>
      <c r="G1774" s="4" t="s">
        <v>6325</v>
      </c>
      <c r="H1774" s="4" t="s">
        <v>6326</v>
      </c>
      <c r="I1774" s="4" t="s">
        <v>1664</v>
      </c>
      <c r="J1774" s="4" t="s">
        <v>6046</v>
      </c>
      <c r="K1774" s="4">
        <v>1</v>
      </c>
      <c r="L1774" s="4">
        <v>2872</v>
      </c>
      <c r="M1774" s="9">
        <v>-121.62486939999999</v>
      </c>
      <c r="N1774" s="9">
        <v>56.251294440000002</v>
      </c>
      <c r="O1774" s="9">
        <v>480</v>
      </c>
      <c r="P1774" s="4" t="s">
        <v>6323</v>
      </c>
      <c r="Q1774" s="70">
        <v>1</v>
      </c>
      <c r="R1774" s="9" t="s">
        <v>6327</v>
      </c>
      <c r="S1774" s="9" t="s">
        <v>6009</v>
      </c>
    </row>
    <row r="1775" spans="1:72" ht="14.25" customHeight="1" x14ac:dyDescent="0.2">
      <c r="A1775" s="4" t="s">
        <v>2037</v>
      </c>
      <c r="B1775" s="4">
        <v>5</v>
      </c>
      <c r="C1775" s="4" t="s">
        <v>7688</v>
      </c>
      <c r="D1775" s="4" t="s">
        <v>6328</v>
      </c>
      <c r="E1775" s="4">
        <v>13095</v>
      </c>
      <c r="F1775" s="4" t="s">
        <v>6329</v>
      </c>
      <c r="G1775" s="4" t="s">
        <v>6330</v>
      </c>
      <c r="H1775" s="4" t="s">
        <v>6014</v>
      </c>
      <c r="I1775" s="4" t="s">
        <v>49</v>
      </c>
      <c r="J1775" s="4" t="s">
        <v>6021</v>
      </c>
      <c r="K1775" s="4">
        <v>1</v>
      </c>
      <c r="L1775" s="4">
        <v>15017</v>
      </c>
      <c r="M1775" s="9">
        <v>-122.2410972</v>
      </c>
      <c r="N1775" s="9">
        <v>56.508336110000002</v>
      </c>
      <c r="O1775" s="9">
        <v>657</v>
      </c>
      <c r="P1775" s="4" t="s">
        <v>6328</v>
      </c>
      <c r="Q1775" s="70">
        <v>1</v>
      </c>
      <c r="R1775" s="9" t="s">
        <v>6329</v>
      </c>
      <c r="S1775" s="9" t="s">
        <v>6009</v>
      </c>
    </row>
    <row r="1776" spans="1:72" ht="14.25" customHeight="1" x14ac:dyDescent="0.2">
      <c r="A1776" s="4" t="s">
        <v>2037</v>
      </c>
      <c r="B1776" s="4">
        <v>5</v>
      </c>
      <c r="C1776" s="4" t="s">
        <v>7688</v>
      </c>
      <c r="D1776" s="4" t="s">
        <v>6331</v>
      </c>
      <c r="E1776" s="4">
        <v>2468</v>
      </c>
      <c r="F1776" s="8" t="s">
        <v>6332</v>
      </c>
      <c r="G1776" s="4" t="s">
        <v>6333</v>
      </c>
      <c r="H1776" s="4" t="s">
        <v>6334</v>
      </c>
      <c r="I1776" s="4" t="s">
        <v>1664</v>
      </c>
      <c r="J1776" s="4" t="s">
        <v>6187</v>
      </c>
      <c r="K1776" s="4">
        <v>1</v>
      </c>
      <c r="L1776" s="4">
        <v>2871</v>
      </c>
      <c r="M1776" s="8">
        <v>-125.98639</v>
      </c>
      <c r="N1776" s="8">
        <v>49.815300000000001</v>
      </c>
      <c r="O1776" s="8">
        <v>215</v>
      </c>
      <c r="P1776" s="8" t="s">
        <v>6331</v>
      </c>
      <c r="Q1776" s="53"/>
      <c r="R1776" s="8" t="str">
        <f>F1776</f>
        <v>Heber R. nr Gold R. -&gt; Heber River near Gold River</v>
      </c>
      <c r="S1776" s="53"/>
      <c r="T1776" s="53"/>
      <c r="U1776" s="53"/>
      <c r="V1776" s="53"/>
      <c r="W1776" s="53"/>
      <c r="X1776" s="53"/>
      <c r="Y1776" s="53"/>
      <c r="Z1776" s="53"/>
      <c r="AA1776" s="53"/>
      <c r="AB1776" s="53"/>
      <c r="AC1776" s="53"/>
      <c r="AD1776" s="53"/>
      <c r="AE1776" s="53"/>
      <c r="AF1776" s="53"/>
      <c r="AG1776" s="53"/>
      <c r="AH1776" s="53"/>
      <c r="AI1776" s="53"/>
      <c r="AJ1776" s="53"/>
      <c r="AK1776" s="53"/>
      <c r="AL1776" s="53"/>
      <c r="AM1776" s="53"/>
      <c r="AN1776" s="53"/>
      <c r="AO1776" s="53"/>
      <c r="AP1776" s="53"/>
      <c r="AQ1776" s="53"/>
      <c r="AR1776" s="53"/>
      <c r="AS1776" s="53"/>
      <c r="AT1776" s="53"/>
      <c r="AU1776" s="53"/>
      <c r="AV1776" s="53"/>
      <c r="AW1776" s="53"/>
      <c r="AX1776" s="53"/>
      <c r="AY1776" s="53"/>
      <c r="AZ1776" s="53"/>
      <c r="BA1776" s="53"/>
      <c r="BB1776" s="53"/>
      <c r="BC1776" s="53"/>
      <c r="BD1776" s="53"/>
      <c r="BE1776" s="53"/>
      <c r="BF1776" s="53"/>
      <c r="BG1776" s="53"/>
      <c r="BH1776" s="53"/>
      <c r="BI1776" s="53"/>
      <c r="BJ1776" s="53"/>
      <c r="BK1776" s="53"/>
      <c r="BL1776" s="53"/>
      <c r="BM1776" s="53"/>
      <c r="BN1776" s="53"/>
      <c r="BO1776" s="53"/>
      <c r="BP1776" s="53"/>
      <c r="BQ1776" s="53"/>
      <c r="BR1776" s="53"/>
      <c r="BS1776" s="53"/>
      <c r="BT1776" s="53"/>
    </row>
    <row r="1777" spans="1:72" ht="14.25" customHeight="1" x14ac:dyDescent="0.2">
      <c r="B1777" s="4">
        <v>5</v>
      </c>
      <c r="C1777" s="4" t="s">
        <v>7688</v>
      </c>
      <c r="D1777" s="4" t="s">
        <v>6335</v>
      </c>
      <c r="E1777" s="4">
        <v>2470</v>
      </c>
      <c r="F1777" s="4" t="s">
        <v>6336</v>
      </c>
      <c r="G1777" s="4" t="s">
        <v>6337</v>
      </c>
      <c r="H1777" s="4" t="s">
        <v>6338</v>
      </c>
      <c r="I1777" s="4" t="s">
        <v>1664</v>
      </c>
      <c r="J1777" s="4" t="s">
        <v>6041</v>
      </c>
      <c r="K1777" s="4">
        <v>1</v>
      </c>
      <c r="L1777" s="4">
        <v>2873</v>
      </c>
      <c r="M1777" s="9">
        <v>-123.60599999999999</v>
      </c>
      <c r="N1777" s="9">
        <v>56.734766669999999</v>
      </c>
      <c r="O1777" s="9">
        <v>1450</v>
      </c>
      <c r="P1777" s="4" t="s">
        <v>6335</v>
      </c>
      <c r="Q1777" s="70">
        <v>7</v>
      </c>
      <c r="R1777" s="9" t="s">
        <v>6339</v>
      </c>
      <c r="S1777" s="9" t="s">
        <v>6009</v>
      </c>
    </row>
    <row r="1778" spans="1:72" ht="14.25" customHeight="1" x14ac:dyDescent="0.2">
      <c r="A1778" s="4" t="s">
        <v>2037</v>
      </c>
      <c r="B1778" s="4">
        <v>5</v>
      </c>
      <c r="C1778" s="4" t="s">
        <v>7688</v>
      </c>
      <c r="D1778" s="4" t="s">
        <v>6340</v>
      </c>
      <c r="E1778" s="4">
        <v>2471</v>
      </c>
      <c r="F1778" s="8" t="s">
        <v>6341</v>
      </c>
      <c r="G1778" s="4" t="s">
        <v>6342</v>
      </c>
      <c r="H1778" s="4" t="s">
        <v>6343</v>
      </c>
      <c r="I1778" s="4" t="s">
        <v>1664</v>
      </c>
      <c r="J1778" s="4" t="s">
        <v>6046</v>
      </c>
      <c r="K1778" s="4">
        <v>1</v>
      </c>
      <c r="L1778" s="4">
        <v>2874</v>
      </c>
      <c r="M1778" s="8">
        <v>-122.94216</v>
      </c>
      <c r="N1778" s="8">
        <v>50.730490000000003</v>
      </c>
      <c r="O1778" s="8">
        <v>990</v>
      </c>
      <c r="P1778" s="8" t="s">
        <v>6340</v>
      </c>
      <c r="Q1778" s="53"/>
      <c r="R1778" s="8" t="str">
        <f>F1778</f>
        <v>Hurley R. ab Lone Goat Ck -&gt; Hurley River above Lone Goat Creek</v>
      </c>
      <c r="S1778" s="53"/>
      <c r="T1778" s="53"/>
      <c r="U1778" s="53"/>
      <c r="V1778" s="53"/>
      <c r="W1778" s="53"/>
      <c r="X1778" s="53"/>
      <c r="Y1778" s="53"/>
      <c r="Z1778" s="53"/>
      <c r="AA1778" s="53"/>
      <c r="AB1778" s="53"/>
      <c r="AC1778" s="53"/>
      <c r="AD1778" s="53"/>
      <c r="AE1778" s="53"/>
      <c r="AF1778" s="53"/>
      <c r="AG1778" s="53"/>
      <c r="AH1778" s="53"/>
      <c r="AI1778" s="53"/>
      <c r="AJ1778" s="53"/>
      <c r="AK1778" s="53"/>
      <c r="AL1778" s="53"/>
      <c r="AM1778" s="53"/>
      <c r="AN1778" s="53"/>
      <c r="AO1778" s="53"/>
      <c r="AP1778" s="53"/>
      <c r="AQ1778" s="53"/>
      <c r="AR1778" s="53"/>
      <c r="AS1778" s="53"/>
      <c r="AT1778" s="53"/>
      <c r="AU1778" s="53"/>
      <c r="AV1778" s="53"/>
      <c r="AW1778" s="53"/>
      <c r="AX1778" s="53"/>
      <c r="AY1778" s="53"/>
      <c r="AZ1778" s="53"/>
      <c r="BA1778" s="53"/>
      <c r="BB1778" s="53"/>
      <c r="BC1778" s="53"/>
      <c r="BD1778" s="53"/>
      <c r="BE1778" s="53"/>
      <c r="BF1778" s="53"/>
      <c r="BG1778" s="53"/>
      <c r="BH1778" s="53"/>
      <c r="BI1778" s="53"/>
      <c r="BJ1778" s="53"/>
      <c r="BK1778" s="53"/>
      <c r="BL1778" s="53"/>
      <c r="BM1778" s="53"/>
      <c r="BN1778" s="53"/>
      <c r="BO1778" s="53"/>
      <c r="BP1778" s="53"/>
      <c r="BQ1778" s="53"/>
      <c r="BR1778" s="53"/>
      <c r="BS1778" s="53"/>
      <c r="BT1778" s="53"/>
    </row>
    <row r="1779" spans="1:72" ht="14.25" customHeight="1" x14ac:dyDescent="0.2">
      <c r="B1779" s="4">
        <v>5</v>
      </c>
      <c r="C1779" s="4" t="s">
        <v>7688</v>
      </c>
      <c r="D1779" s="4" t="s">
        <v>6344</v>
      </c>
      <c r="E1779" s="4">
        <v>13120</v>
      </c>
      <c r="F1779" s="4" t="s">
        <v>6345</v>
      </c>
      <c r="G1779" s="4" t="s">
        <v>7692</v>
      </c>
      <c r="H1779" s="4" t="s">
        <v>6347</v>
      </c>
      <c r="I1779" s="4" t="s">
        <v>49</v>
      </c>
      <c r="J1779" s="4" t="s">
        <v>6021</v>
      </c>
      <c r="K1779" s="4">
        <v>1</v>
      </c>
      <c r="L1779" s="4">
        <v>15042</v>
      </c>
      <c r="M1779" s="9">
        <v>-122.94224199999999</v>
      </c>
      <c r="N1779" s="9">
        <v>50.730978999999998</v>
      </c>
      <c r="O1779" s="9">
        <v>1012</v>
      </c>
      <c r="P1779" s="4" t="s">
        <v>6344</v>
      </c>
      <c r="Q1779" s="70">
        <v>3</v>
      </c>
      <c r="R1779" s="9" t="s">
        <v>6345</v>
      </c>
      <c r="S1779" s="9" t="s">
        <v>6009</v>
      </c>
    </row>
    <row r="1780" spans="1:72" ht="14.25" customHeight="1" x14ac:dyDescent="0.2">
      <c r="A1780" s="4" t="s">
        <v>2037</v>
      </c>
      <c r="B1780" s="4">
        <v>5</v>
      </c>
      <c r="C1780" s="4" t="s">
        <v>7688</v>
      </c>
      <c r="D1780" s="4" t="s">
        <v>6348</v>
      </c>
      <c r="E1780" s="4">
        <v>2472</v>
      </c>
      <c r="F1780" s="8" t="s">
        <v>6349</v>
      </c>
      <c r="G1780" s="4" t="s">
        <v>6350</v>
      </c>
      <c r="H1780" s="4" t="s">
        <v>6351</v>
      </c>
      <c r="I1780" s="4" t="s">
        <v>1664</v>
      </c>
      <c r="J1780" s="4" t="s">
        <v>6046</v>
      </c>
      <c r="K1780" s="4">
        <v>1</v>
      </c>
      <c r="L1780" s="4">
        <v>2875</v>
      </c>
      <c r="M1780" s="8">
        <v>-118.08273</v>
      </c>
      <c r="N1780" s="8">
        <v>51.013300000000001</v>
      </c>
      <c r="O1780" s="8">
        <v>500</v>
      </c>
      <c r="P1780" s="8" t="s">
        <v>6348</v>
      </c>
      <c r="Q1780" s="53"/>
      <c r="R1780" s="8" t="s">
        <v>6352</v>
      </c>
      <c r="S1780" s="53"/>
      <c r="T1780" s="53"/>
      <c r="U1780" s="53"/>
      <c r="V1780" s="53"/>
      <c r="W1780" s="53"/>
      <c r="X1780" s="53"/>
      <c r="Y1780" s="53"/>
      <c r="Z1780" s="53"/>
      <c r="AA1780" s="53"/>
      <c r="AB1780" s="53"/>
      <c r="AC1780" s="53"/>
      <c r="AD1780" s="53"/>
      <c r="AE1780" s="53"/>
      <c r="AF1780" s="53"/>
      <c r="AG1780" s="53"/>
      <c r="AH1780" s="53"/>
      <c r="AI1780" s="53"/>
      <c r="AJ1780" s="53"/>
      <c r="AK1780" s="53"/>
      <c r="AL1780" s="53"/>
      <c r="AM1780" s="53"/>
      <c r="AN1780" s="53"/>
      <c r="AO1780" s="53"/>
      <c r="AP1780" s="53"/>
      <c r="AQ1780" s="53"/>
      <c r="AR1780" s="53"/>
      <c r="AS1780" s="53"/>
      <c r="AT1780" s="53"/>
      <c r="AU1780" s="53"/>
      <c r="AV1780" s="53"/>
      <c r="AW1780" s="53"/>
      <c r="AX1780" s="53"/>
      <c r="AY1780" s="53"/>
      <c r="AZ1780" s="53"/>
      <c r="BA1780" s="53"/>
      <c r="BB1780" s="53"/>
      <c r="BC1780" s="53"/>
      <c r="BD1780" s="53"/>
      <c r="BE1780" s="53"/>
      <c r="BF1780" s="53"/>
      <c r="BG1780" s="53"/>
      <c r="BH1780" s="53"/>
      <c r="BI1780" s="53"/>
      <c r="BJ1780" s="53"/>
      <c r="BK1780" s="53"/>
      <c r="BL1780" s="53"/>
      <c r="BM1780" s="53"/>
      <c r="BN1780" s="53"/>
      <c r="BO1780" s="53"/>
      <c r="BP1780" s="53"/>
      <c r="BQ1780" s="53"/>
      <c r="BR1780" s="53"/>
      <c r="BS1780" s="53"/>
      <c r="BT1780" s="53"/>
    </row>
    <row r="1781" spans="1:72" ht="14.25" customHeight="1" x14ac:dyDescent="0.2">
      <c r="A1781" s="4" t="s">
        <v>1908</v>
      </c>
      <c r="B1781" s="4">
        <v>5</v>
      </c>
      <c r="C1781" s="4" t="s">
        <v>7688</v>
      </c>
      <c r="D1781" s="4" t="s">
        <v>6353</v>
      </c>
      <c r="E1781" s="4">
        <v>2473</v>
      </c>
      <c r="F1781" s="8" t="s">
        <v>6354</v>
      </c>
      <c r="G1781" s="8" t="s">
        <v>6355</v>
      </c>
      <c r="H1781" s="4" t="s">
        <v>6040</v>
      </c>
      <c r="I1781" s="4" t="s">
        <v>1664</v>
      </c>
      <c r="J1781" s="4" t="s">
        <v>6046</v>
      </c>
      <c r="K1781" s="4">
        <v>1</v>
      </c>
      <c r="L1781" s="4">
        <v>2876</v>
      </c>
      <c r="M1781" s="9">
        <v>-125.1116083</v>
      </c>
      <c r="N1781" s="9">
        <v>56.727355559999999</v>
      </c>
      <c r="O1781" s="9">
        <v>711</v>
      </c>
      <c r="P1781" s="4" t="s">
        <v>6353</v>
      </c>
      <c r="Q1781" s="70">
        <v>1</v>
      </c>
      <c r="R1781" s="9" t="s">
        <v>6356</v>
      </c>
      <c r="S1781" s="9" t="s">
        <v>6009</v>
      </c>
    </row>
    <row r="1782" spans="1:72" ht="14.25" customHeight="1" x14ac:dyDescent="0.2">
      <c r="A1782" s="92" t="s">
        <v>6357</v>
      </c>
      <c r="B1782" s="92">
        <v>5</v>
      </c>
      <c r="C1782" s="92" t="s">
        <v>7688</v>
      </c>
      <c r="D1782" s="92" t="s">
        <v>6358</v>
      </c>
      <c r="E1782" s="92">
        <v>13217</v>
      </c>
      <c r="F1782" s="92" t="s">
        <v>6359</v>
      </c>
      <c r="G1782" s="92" t="s">
        <v>6360</v>
      </c>
      <c r="H1782" s="4" t="s">
        <v>6361</v>
      </c>
      <c r="I1782" s="4" t="s">
        <v>49</v>
      </c>
      <c r="J1782" s="4" t="s">
        <v>6087</v>
      </c>
      <c r="K1782" s="4">
        <v>1</v>
      </c>
      <c r="L1782" s="4">
        <v>15133</v>
      </c>
      <c r="M1782" s="93">
        <v>-126.19401000000001</v>
      </c>
      <c r="N1782" s="93">
        <v>56.605415000000001</v>
      </c>
      <c r="O1782" s="93">
        <v>1467</v>
      </c>
      <c r="P1782" s="93" t="s">
        <v>6358</v>
      </c>
      <c r="Q1782" s="94">
        <v>6</v>
      </c>
      <c r="R1782" s="93" t="s">
        <v>6359</v>
      </c>
      <c r="S1782" s="93" t="s">
        <v>6009</v>
      </c>
      <c r="T1782" s="92"/>
      <c r="U1782" s="93"/>
      <c r="V1782" s="93"/>
      <c r="W1782" s="93"/>
      <c r="X1782" s="93"/>
      <c r="Y1782" s="93"/>
      <c r="Z1782" s="93"/>
      <c r="AA1782" s="93"/>
      <c r="AB1782" s="93"/>
      <c r="AC1782" s="93"/>
      <c r="AD1782" s="93"/>
      <c r="AE1782" s="93"/>
      <c r="AF1782" s="92"/>
      <c r="AG1782" s="92"/>
      <c r="AH1782" s="92"/>
      <c r="AI1782" s="93"/>
      <c r="AJ1782" s="93"/>
      <c r="AK1782" s="93"/>
      <c r="AL1782" s="93"/>
      <c r="AM1782" s="93"/>
      <c r="AN1782" s="93"/>
      <c r="AO1782" s="93"/>
      <c r="AP1782" s="93"/>
      <c r="AQ1782" s="93"/>
      <c r="AR1782" s="93"/>
      <c r="AS1782" s="93"/>
      <c r="AT1782" s="93"/>
      <c r="AU1782" s="93"/>
      <c r="AV1782" s="93"/>
      <c r="AW1782" s="93"/>
      <c r="AX1782" s="93"/>
      <c r="AY1782" s="93"/>
      <c r="AZ1782" s="93"/>
      <c r="BA1782" s="93"/>
      <c r="BB1782" s="93"/>
      <c r="BC1782" s="93"/>
      <c r="BD1782" s="93"/>
      <c r="BE1782" s="93"/>
      <c r="BF1782" s="93"/>
      <c r="BG1782" s="93"/>
      <c r="BH1782" s="93"/>
      <c r="BI1782" s="93"/>
      <c r="BJ1782" s="93"/>
      <c r="BK1782" s="93"/>
      <c r="BL1782" s="93"/>
      <c r="BM1782" s="93"/>
      <c r="BN1782" s="93"/>
      <c r="BO1782" s="93"/>
      <c r="BP1782" s="93"/>
      <c r="BQ1782" s="93"/>
      <c r="BR1782" s="93"/>
      <c r="BS1782" s="93"/>
      <c r="BT1782" s="93"/>
    </row>
    <row r="1783" spans="1:72" ht="14.25" customHeight="1" x14ac:dyDescent="0.2">
      <c r="A1783" s="93" t="s">
        <v>6362</v>
      </c>
      <c r="B1783" s="92">
        <v>5</v>
      </c>
      <c r="C1783" s="92" t="s">
        <v>7688</v>
      </c>
      <c r="D1783" s="92" t="s">
        <v>6358</v>
      </c>
      <c r="E1783" s="92">
        <v>13128</v>
      </c>
      <c r="F1783" s="92"/>
      <c r="G1783" s="92" t="s">
        <v>127</v>
      </c>
      <c r="H1783" s="4" t="s">
        <v>6363</v>
      </c>
      <c r="I1783" s="4" t="s">
        <v>49</v>
      </c>
      <c r="J1783" s="4" t="s">
        <v>6087</v>
      </c>
      <c r="K1783" s="4">
        <v>1</v>
      </c>
      <c r="L1783" s="4">
        <v>15050</v>
      </c>
      <c r="M1783" s="93"/>
      <c r="N1783" s="93"/>
      <c r="O1783" s="93"/>
      <c r="P1783" s="93"/>
      <c r="Q1783" s="93"/>
      <c r="R1783" s="93"/>
      <c r="S1783" s="93"/>
      <c r="T1783" s="93"/>
      <c r="U1783" s="93"/>
      <c r="V1783" s="93"/>
      <c r="W1783" s="93"/>
      <c r="X1783" s="93"/>
      <c r="Y1783" s="93"/>
      <c r="Z1783" s="93"/>
      <c r="AA1783" s="93"/>
      <c r="AB1783" s="93"/>
      <c r="AC1783" s="93"/>
      <c r="AD1783" s="93"/>
      <c r="AE1783" s="93"/>
      <c r="AF1783" s="92"/>
      <c r="AG1783" s="92"/>
      <c r="AH1783" s="92"/>
      <c r="AI1783" s="93"/>
      <c r="AJ1783" s="93"/>
      <c r="AK1783" s="93"/>
      <c r="AL1783" s="93"/>
      <c r="AM1783" s="93"/>
      <c r="AN1783" s="93"/>
      <c r="AO1783" s="93"/>
      <c r="AP1783" s="93"/>
      <c r="AQ1783" s="93"/>
      <c r="AR1783" s="93"/>
      <c r="AS1783" s="93"/>
      <c r="AT1783" s="93"/>
      <c r="AU1783" s="93"/>
      <c r="AV1783" s="93"/>
      <c r="AW1783" s="93"/>
      <c r="AX1783" s="93"/>
      <c r="AY1783" s="93"/>
      <c r="AZ1783" s="93"/>
      <c r="BA1783" s="93"/>
      <c r="BB1783" s="93"/>
      <c r="BC1783" s="93"/>
      <c r="BD1783" s="93"/>
      <c r="BE1783" s="93"/>
      <c r="BF1783" s="93"/>
      <c r="BG1783" s="93"/>
      <c r="BH1783" s="93"/>
      <c r="BI1783" s="93"/>
      <c r="BJ1783" s="93"/>
      <c r="BK1783" s="93"/>
      <c r="BL1783" s="93"/>
      <c r="BM1783" s="93"/>
      <c r="BN1783" s="93"/>
      <c r="BO1783" s="93"/>
      <c r="BP1783" s="93"/>
      <c r="BQ1783" s="93"/>
      <c r="BR1783" s="93"/>
      <c r="BS1783" s="93"/>
      <c r="BT1783" s="93"/>
    </row>
    <row r="1784" spans="1:72" ht="14.25" customHeight="1" x14ac:dyDescent="0.2">
      <c r="B1784" s="4">
        <v>5</v>
      </c>
      <c r="C1784" s="4" t="s">
        <v>7688</v>
      </c>
      <c r="D1784" s="4" t="s">
        <v>6364</v>
      </c>
      <c r="E1784" s="4">
        <v>2474</v>
      </c>
      <c r="F1784" s="4" t="s">
        <v>6365</v>
      </c>
      <c r="G1784" s="4" t="s">
        <v>6366</v>
      </c>
      <c r="H1784" s="4" t="s">
        <v>6367</v>
      </c>
      <c r="I1784" s="4" t="s">
        <v>1664</v>
      </c>
      <c r="J1784" s="4" t="s">
        <v>6046</v>
      </c>
      <c r="K1784" s="4">
        <v>1</v>
      </c>
      <c r="L1784" s="4">
        <v>2877</v>
      </c>
      <c r="M1784" s="9">
        <v>-125.30861109999999</v>
      </c>
      <c r="N1784" s="9">
        <v>50.043333330000003</v>
      </c>
      <c r="O1784" s="9">
        <v>15</v>
      </c>
      <c r="P1784" s="4" t="s">
        <v>6364</v>
      </c>
      <c r="Q1784" s="70">
        <v>1</v>
      </c>
      <c r="R1784" s="9" t="s">
        <v>6368</v>
      </c>
      <c r="S1784" s="9" t="s">
        <v>6009</v>
      </c>
    </row>
    <row r="1785" spans="1:72" ht="14.25" customHeight="1" x14ac:dyDescent="0.2">
      <c r="B1785" s="4">
        <v>5</v>
      </c>
      <c r="C1785" s="4" t="s">
        <v>7688</v>
      </c>
      <c r="D1785" s="4" t="s">
        <v>6369</v>
      </c>
      <c r="E1785" s="4">
        <v>13098</v>
      </c>
      <c r="F1785" s="4" t="s">
        <v>6370</v>
      </c>
      <c r="G1785" s="4" t="s">
        <v>6371</v>
      </c>
      <c r="H1785" s="4" t="s">
        <v>6014</v>
      </c>
      <c r="I1785" s="4" t="s">
        <v>49</v>
      </c>
      <c r="J1785" s="4" t="s">
        <v>6262</v>
      </c>
      <c r="K1785" s="4">
        <v>1</v>
      </c>
      <c r="L1785" s="4">
        <v>15020</v>
      </c>
      <c r="M1785" s="4">
        <v>-116.92827777777778</v>
      </c>
      <c r="N1785" s="4">
        <v>49.903749999999995</v>
      </c>
      <c r="O1785" s="4">
        <v>717</v>
      </c>
      <c r="P1785" s="4" t="s">
        <v>6369</v>
      </c>
      <c r="Q1785" s="4">
        <v>1</v>
      </c>
      <c r="R1785" s="4" t="s">
        <v>6370</v>
      </c>
      <c r="S1785" s="4" t="s">
        <v>6009</v>
      </c>
    </row>
    <row r="1786" spans="1:72" ht="14.25" customHeight="1" x14ac:dyDescent="0.2">
      <c r="B1786" s="4">
        <v>5</v>
      </c>
      <c r="C1786" s="4" t="s">
        <v>7688</v>
      </c>
      <c r="D1786" s="4" t="s">
        <v>6372</v>
      </c>
      <c r="E1786" s="4">
        <v>13101</v>
      </c>
      <c r="F1786" s="4" t="s">
        <v>6373</v>
      </c>
      <c r="G1786" s="4" t="s">
        <v>6374</v>
      </c>
      <c r="H1786" s="4" t="s">
        <v>6014</v>
      </c>
      <c r="I1786" s="4" t="s">
        <v>49</v>
      </c>
      <c r="J1786" s="4" t="s">
        <v>6087</v>
      </c>
      <c r="K1786" s="4">
        <v>1</v>
      </c>
      <c r="L1786" s="4">
        <v>15023</v>
      </c>
      <c r="M1786" s="4">
        <v>-126.2975972</v>
      </c>
      <c r="N1786" s="4">
        <v>56.02119167</v>
      </c>
      <c r="O1786" s="4">
        <v>1257</v>
      </c>
      <c r="P1786" s="4" t="s">
        <v>6372</v>
      </c>
      <c r="Q1786" s="4">
        <v>6</v>
      </c>
      <c r="R1786" s="4" t="s">
        <v>6373</v>
      </c>
      <c r="S1786" s="4" t="s">
        <v>6009</v>
      </c>
    </row>
    <row r="1787" spans="1:72" ht="14.25" customHeight="1" x14ac:dyDescent="0.2">
      <c r="B1787" s="4">
        <v>5</v>
      </c>
      <c r="C1787" s="4" t="s">
        <v>7688</v>
      </c>
      <c r="D1787" s="4" t="s">
        <v>6375</v>
      </c>
      <c r="E1787" s="4">
        <v>12399</v>
      </c>
      <c r="F1787" s="4" t="s">
        <v>6376</v>
      </c>
      <c r="G1787" s="4" t="s">
        <v>6377</v>
      </c>
      <c r="H1787" s="4" t="s">
        <v>6289</v>
      </c>
      <c r="I1787" s="4" t="s">
        <v>641</v>
      </c>
      <c r="J1787" s="4" t="s">
        <v>6127</v>
      </c>
      <c r="K1787" s="4">
        <v>1</v>
      </c>
      <c r="L1787" s="4">
        <v>14421</v>
      </c>
      <c r="M1787" s="4">
        <v>-118.3606556</v>
      </c>
      <c r="N1787" s="4">
        <v>51.411288890000002</v>
      </c>
      <c r="O1787" s="4">
        <v>1840</v>
      </c>
      <c r="P1787" s="4" t="s">
        <v>6375</v>
      </c>
      <c r="Q1787" s="4">
        <v>6</v>
      </c>
      <c r="R1787" s="4" t="s">
        <v>6376</v>
      </c>
      <c r="S1787" s="4" t="s">
        <v>6009</v>
      </c>
    </row>
    <row r="1788" spans="1:72" ht="14.25" customHeight="1" x14ac:dyDescent="0.2">
      <c r="A1788" s="4" t="s">
        <v>2037</v>
      </c>
      <c r="B1788" s="4">
        <v>5</v>
      </c>
      <c r="C1788" s="4" t="s">
        <v>7688</v>
      </c>
      <c r="D1788" s="4" t="s">
        <v>6378</v>
      </c>
      <c r="E1788" s="4">
        <v>2467</v>
      </c>
      <c r="F1788" s="8" t="s">
        <v>6379</v>
      </c>
      <c r="G1788" s="4" t="s">
        <v>6380</v>
      </c>
      <c r="H1788" s="4" t="s">
        <v>6381</v>
      </c>
      <c r="I1788" s="4" t="s">
        <v>1664</v>
      </c>
      <c r="J1788" s="4" t="s">
        <v>6046</v>
      </c>
      <c r="K1788" s="4">
        <v>1</v>
      </c>
      <c r="L1788" s="4">
        <v>2870</v>
      </c>
      <c r="M1788" s="8">
        <v>-117.87831</v>
      </c>
      <c r="N1788" s="8">
        <v>51.877099999999999</v>
      </c>
      <c r="O1788" s="8">
        <v>770</v>
      </c>
      <c r="P1788" s="8" t="s">
        <v>6378</v>
      </c>
      <c r="Q1788" s="53"/>
      <c r="R1788" s="8" t="s">
        <v>6382</v>
      </c>
      <c r="S1788" s="53"/>
      <c r="T1788" s="53"/>
      <c r="U1788" s="53"/>
      <c r="V1788" s="53"/>
      <c r="W1788" s="53"/>
      <c r="X1788" s="53"/>
      <c r="Y1788" s="53"/>
      <c r="Z1788" s="53"/>
      <c r="AA1788" s="53"/>
      <c r="AB1788" s="53"/>
      <c r="AC1788" s="53"/>
      <c r="AD1788" s="53"/>
      <c r="AE1788" s="53"/>
      <c r="AF1788" s="53"/>
      <c r="AG1788" s="53"/>
      <c r="AH1788" s="53"/>
      <c r="AI1788" s="53"/>
      <c r="AJ1788" s="53"/>
      <c r="AK1788" s="53"/>
      <c r="AL1788" s="53"/>
      <c r="AM1788" s="53"/>
      <c r="AN1788" s="53"/>
      <c r="AO1788" s="53"/>
      <c r="AP1788" s="53"/>
      <c r="AQ1788" s="53"/>
      <c r="AR1788" s="53"/>
      <c r="AS1788" s="53"/>
      <c r="AT1788" s="53"/>
      <c r="AU1788" s="53"/>
      <c r="AV1788" s="53"/>
      <c r="AW1788" s="53"/>
      <c r="AX1788" s="53"/>
      <c r="AY1788" s="53"/>
      <c r="AZ1788" s="53"/>
      <c r="BA1788" s="53"/>
      <c r="BB1788" s="53"/>
      <c r="BC1788" s="53"/>
      <c r="BD1788" s="53"/>
      <c r="BE1788" s="53"/>
      <c r="BF1788" s="53"/>
      <c r="BG1788" s="53"/>
      <c r="BH1788" s="53"/>
      <c r="BI1788" s="53"/>
      <c r="BJ1788" s="53"/>
      <c r="BK1788" s="53"/>
      <c r="BL1788" s="53"/>
      <c r="BM1788" s="53"/>
      <c r="BN1788" s="53"/>
      <c r="BO1788" s="53"/>
      <c r="BP1788" s="53"/>
      <c r="BQ1788" s="53"/>
      <c r="BR1788" s="53"/>
      <c r="BS1788" s="53"/>
      <c r="BT1788" s="53"/>
    </row>
    <row r="1789" spans="1:72" ht="14.25" customHeight="1" x14ac:dyDescent="0.2">
      <c r="A1789" s="4" t="s">
        <v>2037</v>
      </c>
      <c r="B1789" s="4">
        <v>5</v>
      </c>
      <c r="C1789" s="4" t="s">
        <v>7688</v>
      </c>
      <c r="D1789" s="4" t="s">
        <v>6383</v>
      </c>
      <c r="E1789" s="4">
        <v>2461</v>
      </c>
      <c r="F1789" s="8" t="s">
        <v>6384</v>
      </c>
      <c r="G1789" s="4" t="s">
        <v>6385</v>
      </c>
      <c r="H1789" s="4" t="s">
        <v>6386</v>
      </c>
      <c r="I1789" s="4" t="s">
        <v>1664</v>
      </c>
      <c r="J1789" s="4" t="s">
        <v>6046</v>
      </c>
      <c r="K1789" s="4">
        <v>1</v>
      </c>
      <c r="L1789" s="4">
        <v>2864</v>
      </c>
      <c r="M1789" s="8">
        <v>-115.63461</v>
      </c>
      <c r="N1789" s="8">
        <v>49.611220000000003</v>
      </c>
      <c r="O1789" s="8">
        <v>770</v>
      </c>
      <c r="P1789" s="8" t="s">
        <v>6383</v>
      </c>
      <c r="Q1789" s="53"/>
      <c r="R1789" s="8" t="s">
        <v>6387</v>
      </c>
      <c r="S1789" s="53"/>
      <c r="T1789" s="53"/>
      <c r="U1789" s="53"/>
      <c r="V1789" s="53"/>
      <c r="W1789" s="53"/>
      <c r="X1789" s="53"/>
      <c r="Y1789" s="53"/>
      <c r="Z1789" s="53"/>
      <c r="AA1789" s="53"/>
      <c r="AB1789" s="53"/>
      <c r="AC1789" s="53"/>
      <c r="AD1789" s="53"/>
      <c r="AE1789" s="53"/>
      <c r="AF1789" s="53"/>
      <c r="AG1789" s="53"/>
      <c r="AH1789" s="53"/>
      <c r="AI1789" s="53"/>
      <c r="AJ1789" s="53"/>
      <c r="AK1789" s="53"/>
      <c r="AL1789" s="53"/>
      <c r="AM1789" s="53"/>
      <c r="AN1789" s="53"/>
      <c r="AO1789" s="53"/>
      <c r="AP1789" s="53"/>
      <c r="AQ1789" s="53"/>
      <c r="AR1789" s="53"/>
      <c r="AS1789" s="53"/>
      <c r="AT1789" s="53"/>
      <c r="AU1789" s="53"/>
      <c r="AV1789" s="53"/>
      <c r="AW1789" s="53"/>
      <c r="AX1789" s="53"/>
      <c r="AY1789" s="53"/>
      <c r="AZ1789" s="53"/>
      <c r="BA1789" s="53"/>
      <c r="BB1789" s="53"/>
      <c r="BC1789" s="53"/>
      <c r="BD1789" s="53"/>
      <c r="BE1789" s="53"/>
      <c r="BF1789" s="53"/>
      <c r="BG1789" s="53"/>
      <c r="BH1789" s="53"/>
      <c r="BI1789" s="53"/>
      <c r="BJ1789" s="53"/>
      <c r="BK1789" s="53"/>
      <c r="BL1789" s="53"/>
      <c r="BM1789" s="53"/>
      <c r="BN1789" s="53"/>
      <c r="BO1789" s="53"/>
      <c r="BP1789" s="53"/>
      <c r="BQ1789" s="53"/>
      <c r="BR1789" s="53"/>
      <c r="BS1789" s="53"/>
      <c r="BT1789" s="53"/>
    </row>
    <row r="1790" spans="1:72" ht="14.25" customHeight="1" x14ac:dyDescent="0.2">
      <c r="A1790" s="4" t="s">
        <v>2037</v>
      </c>
      <c r="B1790" s="4">
        <v>5</v>
      </c>
      <c r="C1790" s="4" t="s">
        <v>7688</v>
      </c>
      <c r="D1790" s="4" t="s">
        <v>6388</v>
      </c>
      <c r="E1790" s="4">
        <v>2475</v>
      </c>
      <c r="F1790" s="8" t="s">
        <v>6389</v>
      </c>
      <c r="G1790" s="4" t="s">
        <v>6390</v>
      </c>
      <c r="H1790" s="4" t="s">
        <v>6391</v>
      </c>
      <c r="I1790" s="4" t="s">
        <v>1664</v>
      </c>
      <c r="J1790" s="4" t="s">
        <v>6041</v>
      </c>
      <c r="K1790" s="4">
        <v>1</v>
      </c>
      <c r="L1790" s="4">
        <v>2878</v>
      </c>
      <c r="M1790" s="9">
        <v>-125.0731667</v>
      </c>
      <c r="N1790" s="9">
        <v>57.623333330000001</v>
      </c>
      <c r="O1790" s="9">
        <v>1554</v>
      </c>
      <c r="P1790" s="4" t="s">
        <v>6388</v>
      </c>
      <c r="Q1790" s="70">
        <v>6</v>
      </c>
      <c r="R1790" s="9" t="s">
        <v>6392</v>
      </c>
      <c r="S1790" s="9" t="s">
        <v>6009</v>
      </c>
    </row>
    <row r="1791" spans="1:72" ht="14.25" customHeight="1" x14ac:dyDescent="0.2">
      <c r="A1791" s="4" t="s">
        <v>2037</v>
      </c>
      <c r="B1791" s="4">
        <v>5</v>
      </c>
      <c r="C1791" s="4" t="s">
        <v>7688</v>
      </c>
      <c r="D1791" s="4" t="s">
        <v>6393</v>
      </c>
      <c r="E1791" s="4">
        <v>2476</v>
      </c>
      <c r="F1791" s="8" t="s">
        <v>6394</v>
      </c>
      <c r="G1791" s="4" t="s">
        <v>6395</v>
      </c>
      <c r="H1791" s="4" t="s">
        <v>6396</v>
      </c>
      <c r="I1791" s="4" t="s">
        <v>1664</v>
      </c>
      <c r="J1791" s="4" t="s">
        <v>6187</v>
      </c>
      <c r="K1791" s="4">
        <v>1</v>
      </c>
      <c r="L1791" s="4">
        <v>2879</v>
      </c>
      <c r="M1791" s="8">
        <v>-123.1835</v>
      </c>
      <c r="N1791" s="8">
        <v>50.859299999999998</v>
      </c>
      <c r="O1791" s="8">
        <v>1829</v>
      </c>
      <c r="P1791" s="8" t="s">
        <v>6393</v>
      </c>
      <c r="Q1791" s="53"/>
      <c r="R1791" s="8" t="s">
        <v>6397</v>
      </c>
      <c r="S1791" s="53"/>
      <c r="T1791" s="53"/>
      <c r="U1791" s="53"/>
      <c r="V1791" s="53"/>
      <c r="W1791" s="53"/>
      <c r="X1791" s="53"/>
      <c r="Y1791" s="53"/>
      <c r="Z1791" s="53"/>
      <c r="AA1791" s="53"/>
      <c r="AB1791" s="53"/>
      <c r="AC1791" s="53"/>
      <c r="AD1791" s="53"/>
      <c r="AE1791" s="53"/>
      <c r="AF1791" s="53"/>
      <c r="AG1791" s="53"/>
      <c r="AH1791" s="53"/>
      <c r="AI1791" s="53"/>
      <c r="AJ1791" s="53"/>
      <c r="AK1791" s="53"/>
      <c r="AL1791" s="53"/>
      <c r="AM1791" s="53"/>
      <c r="AN1791" s="53"/>
      <c r="AO1791" s="53"/>
      <c r="AP1791" s="53"/>
      <c r="AQ1791" s="53"/>
      <c r="AR1791" s="53"/>
      <c r="AS1791" s="53"/>
      <c r="AT1791" s="53"/>
      <c r="AU1791" s="53"/>
      <c r="AV1791" s="53"/>
      <c r="AW1791" s="53"/>
      <c r="AX1791" s="53"/>
      <c r="AY1791" s="53"/>
      <c r="AZ1791" s="53"/>
      <c r="BA1791" s="53"/>
      <c r="BB1791" s="53"/>
      <c r="BC1791" s="53"/>
      <c r="BD1791" s="53"/>
      <c r="BE1791" s="53"/>
      <c r="BF1791" s="53"/>
      <c r="BG1791" s="53"/>
      <c r="BH1791" s="53"/>
      <c r="BI1791" s="53"/>
      <c r="BJ1791" s="53"/>
      <c r="BK1791" s="53"/>
      <c r="BL1791" s="53"/>
      <c r="BM1791" s="53"/>
      <c r="BN1791" s="53"/>
      <c r="BO1791" s="53"/>
      <c r="BP1791" s="53"/>
      <c r="BQ1791" s="53"/>
      <c r="BR1791" s="53"/>
      <c r="BS1791" s="53"/>
      <c r="BT1791" s="53"/>
    </row>
    <row r="1792" spans="1:72" ht="14.25" customHeight="1" x14ac:dyDescent="0.2">
      <c r="B1792" s="4">
        <v>5</v>
      </c>
      <c r="C1792" s="4" t="s">
        <v>7688</v>
      </c>
      <c r="D1792" s="4" t="s">
        <v>6398</v>
      </c>
      <c r="E1792" s="4">
        <v>13105</v>
      </c>
      <c r="F1792" s="4" t="s">
        <v>6399</v>
      </c>
      <c r="G1792" s="4" t="s">
        <v>6400</v>
      </c>
      <c r="H1792" s="4" t="s">
        <v>6401</v>
      </c>
      <c r="I1792" s="4" t="s">
        <v>49</v>
      </c>
      <c r="J1792" s="4" t="s">
        <v>6087</v>
      </c>
      <c r="K1792" s="4">
        <v>1</v>
      </c>
      <c r="L1792" s="4">
        <v>15027</v>
      </c>
      <c r="M1792" s="4">
        <v>-122.314283</v>
      </c>
      <c r="N1792" s="4">
        <v>49.581909000000003</v>
      </c>
      <c r="O1792" s="4">
        <v>1208</v>
      </c>
      <c r="P1792" s="4" t="s">
        <v>6398</v>
      </c>
      <c r="Q1792" s="4">
        <v>6</v>
      </c>
      <c r="R1792" s="4" t="s">
        <v>6402</v>
      </c>
      <c r="S1792" s="4" t="s">
        <v>6009</v>
      </c>
    </row>
    <row r="1793" spans="1:72" ht="14.25" customHeight="1" x14ac:dyDescent="0.2">
      <c r="B1793" s="4">
        <v>5</v>
      </c>
      <c r="C1793" s="4" t="s">
        <v>7688</v>
      </c>
      <c r="D1793" s="4" t="s">
        <v>6403</v>
      </c>
      <c r="E1793" s="4">
        <v>13121</v>
      </c>
      <c r="F1793" s="4" t="s">
        <v>6404</v>
      </c>
      <c r="G1793" s="4" t="s">
        <v>6405</v>
      </c>
      <c r="H1793" s="4" t="s">
        <v>6172</v>
      </c>
      <c r="I1793" s="4" t="s">
        <v>49</v>
      </c>
      <c r="J1793" s="4" t="s">
        <v>6127</v>
      </c>
      <c r="K1793" s="4">
        <v>1</v>
      </c>
      <c r="L1793" s="4">
        <v>15043</v>
      </c>
      <c r="M1793" s="4">
        <v>-122.62537499999999</v>
      </c>
      <c r="N1793" s="4">
        <v>50.698555555555551</v>
      </c>
      <c r="O1793" s="4">
        <v>1718</v>
      </c>
      <c r="P1793" s="4" t="s">
        <v>6403</v>
      </c>
      <c r="Q1793" s="4">
        <v>7</v>
      </c>
      <c r="R1793" s="4" t="s">
        <v>6404</v>
      </c>
      <c r="S1793" s="4" t="s">
        <v>6009</v>
      </c>
    </row>
    <row r="1794" spans="1:72" ht="14.25" customHeight="1" x14ac:dyDescent="0.2">
      <c r="B1794" s="4">
        <v>5</v>
      </c>
      <c r="C1794" s="4" t="s">
        <v>7688</v>
      </c>
      <c r="D1794" s="4" t="s">
        <v>6406</v>
      </c>
      <c r="E1794" s="4">
        <v>2478</v>
      </c>
      <c r="F1794" s="4" t="s">
        <v>6407</v>
      </c>
      <c r="G1794" s="4" t="s">
        <v>6408</v>
      </c>
      <c r="H1794" s="4" t="s">
        <v>6409</v>
      </c>
      <c r="I1794" s="4" t="s">
        <v>1664</v>
      </c>
      <c r="J1794" s="4" t="s">
        <v>6041</v>
      </c>
      <c r="K1794" s="4">
        <v>1</v>
      </c>
      <c r="L1794" s="4">
        <v>2881</v>
      </c>
      <c r="M1794" s="4">
        <v>-123.4041667</v>
      </c>
      <c r="N1794" s="4">
        <v>56.981499999999997</v>
      </c>
      <c r="O1794" s="4">
        <v>1200</v>
      </c>
      <c r="P1794" s="4" t="s">
        <v>6406</v>
      </c>
      <c r="Q1794" s="4">
        <v>4</v>
      </c>
      <c r="R1794" s="4" t="s">
        <v>6407</v>
      </c>
      <c r="S1794" s="4" t="s">
        <v>6009</v>
      </c>
    </row>
    <row r="1795" spans="1:72" ht="14.25" customHeight="1" x14ac:dyDescent="0.2">
      <c r="A1795" s="4" t="s">
        <v>2037</v>
      </c>
      <c r="B1795" s="4">
        <v>5</v>
      </c>
      <c r="C1795" s="4" t="s">
        <v>7688</v>
      </c>
      <c r="D1795" s="4" t="s">
        <v>6410</v>
      </c>
      <c r="E1795" s="4">
        <v>2511</v>
      </c>
      <c r="F1795" s="8" t="s">
        <v>6411</v>
      </c>
      <c r="G1795" s="4" t="s">
        <v>6412</v>
      </c>
      <c r="H1795" s="4" t="s">
        <v>6413</v>
      </c>
      <c r="I1795" s="4" t="s">
        <v>1664</v>
      </c>
      <c r="J1795" s="4" t="s">
        <v>6187</v>
      </c>
      <c r="K1795" s="4">
        <v>1</v>
      </c>
      <c r="L1795" s="4">
        <v>2914</v>
      </c>
      <c r="M1795" s="8">
        <v>-124.6442</v>
      </c>
      <c r="N1795" s="8">
        <v>56.244999999999997</v>
      </c>
      <c r="O1795" s="8">
        <v>728</v>
      </c>
      <c r="P1795" s="8" t="s">
        <v>6410</v>
      </c>
      <c r="Q1795" s="53"/>
      <c r="R1795" s="8" t="s">
        <v>6414</v>
      </c>
      <c r="S1795" s="53"/>
      <c r="T1795" s="53"/>
      <c r="U1795" s="53"/>
      <c r="V1795" s="53"/>
      <c r="W1795" s="53"/>
      <c r="X1795" s="53"/>
      <c r="Y1795" s="53"/>
      <c r="Z1795" s="53"/>
      <c r="AA1795" s="53"/>
      <c r="AB1795" s="53"/>
      <c r="AC1795" s="53"/>
      <c r="AD1795" s="53"/>
      <c r="AE1795" s="53"/>
      <c r="AF1795" s="53"/>
      <c r="AG1795" s="53"/>
      <c r="AH1795" s="53"/>
      <c r="AI1795" s="53"/>
      <c r="AJ1795" s="53"/>
      <c r="AK1795" s="53"/>
      <c r="AL1795" s="53"/>
      <c r="AM1795" s="53"/>
      <c r="AN1795" s="53"/>
      <c r="AO1795" s="53"/>
      <c r="AP1795" s="53"/>
      <c r="AQ1795" s="53"/>
      <c r="AR1795" s="53"/>
      <c r="AS1795" s="53"/>
      <c r="AT1795" s="53"/>
      <c r="AU1795" s="53"/>
      <c r="AV1795" s="53"/>
      <c r="AW1795" s="53"/>
      <c r="AX1795" s="53"/>
      <c r="AY1795" s="53"/>
      <c r="AZ1795" s="53"/>
      <c r="BA1795" s="53"/>
      <c r="BB1795" s="53"/>
      <c r="BC1795" s="53"/>
      <c r="BD1795" s="53"/>
      <c r="BE1795" s="53"/>
      <c r="BF1795" s="53"/>
      <c r="BG1795" s="53"/>
      <c r="BH1795" s="53"/>
      <c r="BI1795" s="53"/>
      <c r="BJ1795" s="53"/>
      <c r="BK1795" s="53"/>
      <c r="BL1795" s="53"/>
      <c r="BM1795" s="53"/>
      <c r="BN1795" s="53"/>
      <c r="BO1795" s="53"/>
      <c r="BP1795" s="53"/>
      <c r="BQ1795" s="53"/>
      <c r="BR1795" s="53"/>
      <c r="BS1795" s="53"/>
      <c r="BT1795" s="53"/>
    </row>
    <row r="1796" spans="1:72" ht="14.25" customHeight="1" x14ac:dyDescent="0.2">
      <c r="B1796" s="4">
        <v>5</v>
      </c>
      <c r="C1796" s="4" t="s">
        <v>7688</v>
      </c>
      <c r="D1796" s="4" t="s">
        <v>6415</v>
      </c>
      <c r="E1796" s="4">
        <v>2479</v>
      </c>
      <c r="F1796" s="4" t="s">
        <v>6416</v>
      </c>
      <c r="G1796" s="4" t="s">
        <v>6417</v>
      </c>
      <c r="H1796" s="4" t="s">
        <v>6418</v>
      </c>
      <c r="I1796" s="4" t="s">
        <v>1664</v>
      </c>
      <c r="J1796" s="4" t="s">
        <v>6041</v>
      </c>
      <c r="K1796" s="4">
        <v>1</v>
      </c>
      <c r="L1796" s="4">
        <v>2882</v>
      </c>
      <c r="M1796" s="4">
        <v>-122.20769439999999</v>
      </c>
      <c r="N1796" s="4">
        <v>50.762555560000003</v>
      </c>
      <c r="O1796" s="4">
        <v>1850</v>
      </c>
      <c r="P1796" s="4" t="s">
        <v>6415</v>
      </c>
      <c r="Q1796" s="4">
        <v>8</v>
      </c>
      <c r="R1796" s="4" t="s">
        <v>6416</v>
      </c>
      <c r="S1796" s="4" t="s">
        <v>6009</v>
      </c>
    </row>
    <row r="1797" spans="1:72" ht="14.25" customHeight="1" x14ac:dyDescent="0.2">
      <c r="A1797" s="4" t="s">
        <v>1908</v>
      </c>
      <c r="B1797" s="4">
        <v>5</v>
      </c>
      <c r="C1797" s="4" t="s">
        <v>7688</v>
      </c>
      <c r="D1797" s="4" t="s">
        <v>6419</v>
      </c>
      <c r="E1797" s="4">
        <v>2480</v>
      </c>
      <c r="F1797" s="8" t="s">
        <v>6420</v>
      </c>
      <c r="G1797" s="8" t="s">
        <v>6421</v>
      </c>
      <c r="H1797" s="4" t="s">
        <v>6422</v>
      </c>
      <c r="I1797" s="4" t="s">
        <v>1664</v>
      </c>
      <c r="J1797" s="4" t="s">
        <v>6046</v>
      </c>
      <c r="K1797" s="4">
        <v>1</v>
      </c>
      <c r="L1797" s="4">
        <v>2883</v>
      </c>
      <c r="M1797" s="9">
        <v>-121.3471528</v>
      </c>
      <c r="N1797" s="9">
        <v>56.093066669999999</v>
      </c>
      <c r="O1797" s="9">
        <v>600</v>
      </c>
      <c r="P1797" s="4" t="s">
        <v>6419</v>
      </c>
      <c r="Q1797" s="70">
        <v>1</v>
      </c>
      <c r="R1797" s="9" t="s">
        <v>6423</v>
      </c>
      <c r="S1797" s="9" t="s">
        <v>6009</v>
      </c>
    </row>
    <row r="1798" spans="1:72" ht="14.25" customHeight="1" x14ac:dyDescent="0.2">
      <c r="A1798" s="4" t="s">
        <v>1908</v>
      </c>
      <c r="B1798" s="4">
        <v>5</v>
      </c>
      <c r="C1798" s="4" t="s">
        <v>7688</v>
      </c>
      <c r="D1798" s="4" t="s">
        <v>6424</v>
      </c>
      <c r="E1798" s="4">
        <v>2481</v>
      </c>
      <c r="F1798" s="8" t="s">
        <v>6425</v>
      </c>
      <c r="G1798" s="8" t="s">
        <v>6426</v>
      </c>
      <c r="H1798" s="4" t="s">
        <v>6427</v>
      </c>
      <c r="I1798" s="4" t="s">
        <v>1664</v>
      </c>
      <c r="J1798" s="4" t="s">
        <v>6041</v>
      </c>
      <c r="K1798" s="4">
        <v>1</v>
      </c>
      <c r="L1798" s="4">
        <v>2884</v>
      </c>
      <c r="M1798" s="9">
        <v>-118.22583330000001</v>
      </c>
      <c r="N1798" s="9">
        <v>52.220555560000001</v>
      </c>
      <c r="O1798" s="9">
        <v>1935</v>
      </c>
      <c r="P1798" s="4" t="s">
        <v>6424</v>
      </c>
      <c r="Q1798" s="70">
        <v>7</v>
      </c>
      <c r="R1798" s="9" t="s">
        <v>6428</v>
      </c>
      <c r="S1798" s="9" t="s">
        <v>6009</v>
      </c>
    </row>
    <row r="1799" spans="1:72" ht="14.25" customHeight="1" x14ac:dyDescent="0.2">
      <c r="B1799" s="4">
        <v>5</v>
      </c>
      <c r="C1799" s="4" t="s">
        <v>7688</v>
      </c>
      <c r="D1799" s="4" t="s">
        <v>6429</v>
      </c>
      <c r="E1799" s="4">
        <v>13119</v>
      </c>
      <c r="F1799" s="4" t="s">
        <v>6430</v>
      </c>
      <c r="G1799" s="4" t="s">
        <v>6431</v>
      </c>
      <c r="H1799" s="4" t="s">
        <v>6432</v>
      </c>
      <c r="I1799" s="4" t="s">
        <v>6433</v>
      </c>
      <c r="J1799" s="4" t="s">
        <v>6087</v>
      </c>
      <c r="K1799" s="4">
        <v>1</v>
      </c>
      <c r="L1799" s="4">
        <v>15041</v>
      </c>
      <c r="M1799" s="4">
        <v>-121.23169722222222</v>
      </c>
      <c r="N1799" s="4">
        <v>54.725280555555557</v>
      </c>
      <c r="O1799" s="4">
        <v>1570</v>
      </c>
      <c r="P1799" s="4" t="s">
        <v>6429</v>
      </c>
      <c r="Q1799" s="4">
        <v>7</v>
      </c>
      <c r="R1799" s="4" t="s">
        <v>6430</v>
      </c>
      <c r="S1799" s="4" t="s">
        <v>6009</v>
      </c>
    </row>
    <row r="1800" spans="1:72" ht="14.25" customHeight="1" x14ac:dyDescent="0.2">
      <c r="B1800" s="4">
        <v>5</v>
      </c>
      <c r="C1800" s="4" t="s">
        <v>7688</v>
      </c>
      <c r="D1800" s="4" t="s">
        <v>6434</v>
      </c>
      <c r="E1800" s="4">
        <v>2482</v>
      </c>
      <c r="F1800" s="4" t="s">
        <v>6435</v>
      </c>
      <c r="G1800" s="4" t="s">
        <v>6436</v>
      </c>
      <c r="H1800" s="4" t="s">
        <v>6437</v>
      </c>
      <c r="I1800" s="4" t="s">
        <v>1664</v>
      </c>
      <c r="J1800" s="4" t="s">
        <v>6069</v>
      </c>
      <c r="K1800" s="4">
        <v>1</v>
      </c>
      <c r="L1800" s="4">
        <v>2885</v>
      </c>
      <c r="M1800" s="4">
        <v>-114.97499999999999</v>
      </c>
      <c r="N1800" s="4">
        <v>49.44722222</v>
      </c>
      <c r="O1800" s="4">
        <v>1860</v>
      </c>
      <c r="P1800" s="4" t="s">
        <v>6434</v>
      </c>
      <c r="Q1800" s="4">
        <v>6</v>
      </c>
      <c r="R1800" s="4" t="s">
        <v>6435</v>
      </c>
      <c r="S1800" s="4" t="s">
        <v>6009</v>
      </c>
    </row>
    <row r="1801" spans="1:72" ht="14.25" customHeight="1" x14ac:dyDescent="0.2">
      <c r="B1801" s="4">
        <v>5</v>
      </c>
      <c r="C1801" s="4" t="s">
        <v>7688</v>
      </c>
      <c r="D1801" s="4" t="s">
        <v>6438</v>
      </c>
      <c r="E1801" s="4">
        <v>13091</v>
      </c>
      <c r="F1801" s="4" t="s">
        <v>6439</v>
      </c>
      <c r="G1801" s="4" t="s">
        <v>6440</v>
      </c>
      <c r="H1801" s="4" t="s">
        <v>6014</v>
      </c>
      <c r="I1801" s="4" t="s">
        <v>6433</v>
      </c>
      <c r="J1801" s="4" t="s">
        <v>6087</v>
      </c>
      <c r="K1801" s="4">
        <v>1</v>
      </c>
      <c r="L1801" s="4">
        <v>15013</v>
      </c>
      <c r="M1801" s="4">
        <v>-121.80416666666666</v>
      </c>
      <c r="N1801" s="4">
        <v>54.526666666666664</v>
      </c>
      <c r="O1801" s="4">
        <v>1484</v>
      </c>
      <c r="P1801" s="4" t="s">
        <v>6438</v>
      </c>
      <c r="Q1801" s="4">
        <v>7</v>
      </c>
      <c r="R1801" s="4" t="s">
        <v>6439</v>
      </c>
      <c r="S1801" s="4" t="s">
        <v>6009</v>
      </c>
    </row>
    <row r="1802" spans="1:72" ht="14.25" customHeight="1" x14ac:dyDescent="0.2">
      <c r="A1802" s="4" t="s">
        <v>1908</v>
      </c>
      <c r="B1802" s="4">
        <v>5</v>
      </c>
      <c r="C1802" s="4" t="s">
        <v>7688</v>
      </c>
      <c r="D1802" s="4" t="s">
        <v>6441</v>
      </c>
      <c r="E1802" s="4">
        <v>2483</v>
      </c>
      <c r="F1802" s="8" t="s">
        <v>6442</v>
      </c>
      <c r="G1802" s="8" t="s">
        <v>6443</v>
      </c>
      <c r="H1802" s="4" t="s">
        <v>6278</v>
      </c>
      <c r="I1802" s="4" t="s">
        <v>1664</v>
      </c>
      <c r="J1802" s="4" t="s">
        <v>6041</v>
      </c>
      <c r="K1802" s="4">
        <v>1</v>
      </c>
      <c r="L1802" s="4">
        <v>2886</v>
      </c>
      <c r="M1802" s="9">
        <v>-118.15160280000001</v>
      </c>
      <c r="N1802" s="9">
        <v>51.036341669999999</v>
      </c>
      <c r="O1802" s="9">
        <v>1850</v>
      </c>
      <c r="P1802" s="4" t="s">
        <v>6441</v>
      </c>
      <c r="Q1802" s="70">
        <v>6</v>
      </c>
      <c r="R1802" s="9" t="s">
        <v>6444</v>
      </c>
      <c r="S1802" s="9" t="s">
        <v>6009</v>
      </c>
    </row>
    <row r="1803" spans="1:72" ht="14.25" customHeight="1" x14ac:dyDescent="0.2">
      <c r="B1803" s="4">
        <v>5</v>
      </c>
      <c r="C1803" s="4" t="s">
        <v>7688</v>
      </c>
      <c r="D1803" s="4" t="s">
        <v>6445</v>
      </c>
      <c r="E1803" s="4">
        <v>12400</v>
      </c>
      <c r="F1803" s="4" t="s">
        <v>6446</v>
      </c>
      <c r="G1803" s="4" t="s">
        <v>6447</v>
      </c>
      <c r="H1803" s="4" t="s">
        <v>6289</v>
      </c>
      <c r="I1803" s="4" t="s">
        <v>641</v>
      </c>
      <c r="J1803" s="4" t="s">
        <v>6087</v>
      </c>
      <c r="K1803" s="4">
        <v>1</v>
      </c>
      <c r="L1803" s="4">
        <v>14422</v>
      </c>
      <c r="M1803" s="4">
        <v>-123.1063889</v>
      </c>
      <c r="N1803" s="4">
        <v>56.781388890000002</v>
      </c>
      <c r="O1803" s="4">
        <v>1196</v>
      </c>
      <c r="P1803" s="4" t="s">
        <v>6445</v>
      </c>
      <c r="Q1803" s="4">
        <v>5</v>
      </c>
      <c r="R1803" s="4" t="s">
        <v>6446</v>
      </c>
      <c r="S1803" s="4" t="s">
        <v>6009</v>
      </c>
    </row>
    <row r="1804" spans="1:72" ht="14.25" customHeight="1" x14ac:dyDescent="0.2">
      <c r="A1804" s="4" t="s">
        <v>1908</v>
      </c>
      <c r="B1804" s="4">
        <v>5</v>
      </c>
      <c r="C1804" s="4" t="s">
        <v>7688</v>
      </c>
      <c r="D1804" s="4" t="s">
        <v>6448</v>
      </c>
      <c r="E1804" s="4">
        <v>2484</v>
      </c>
      <c r="F1804" s="8" t="s">
        <v>6449</v>
      </c>
      <c r="G1804" s="8" t="s">
        <v>6450</v>
      </c>
      <c r="H1804" s="4" t="s">
        <v>6451</v>
      </c>
      <c r="I1804" s="4" t="s">
        <v>1664</v>
      </c>
      <c r="J1804" s="4" t="s">
        <v>6046</v>
      </c>
      <c r="K1804" s="4">
        <v>1</v>
      </c>
      <c r="L1804" s="4">
        <v>2887</v>
      </c>
      <c r="M1804" s="9">
        <v>-123.62123889999999</v>
      </c>
      <c r="N1804" s="9">
        <v>55.434047219999997</v>
      </c>
      <c r="O1804" s="9">
        <v>725</v>
      </c>
      <c r="P1804" s="4" t="s">
        <v>6448</v>
      </c>
      <c r="Q1804" s="70">
        <v>1</v>
      </c>
      <c r="R1804" s="9" t="s">
        <v>6452</v>
      </c>
      <c r="S1804" s="9" t="s">
        <v>6009</v>
      </c>
    </row>
    <row r="1805" spans="1:72" ht="14.25" customHeight="1" x14ac:dyDescent="0.2">
      <c r="B1805" s="4">
        <v>5</v>
      </c>
      <c r="C1805" s="4" t="s">
        <v>7688</v>
      </c>
      <c r="D1805" s="4" t="s">
        <v>6453</v>
      </c>
      <c r="E1805" s="4">
        <v>13093</v>
      </c>
      <c r="F1805" s="4" t="s">
        <v>6454</v>
      </c>
      <c r="G1805" s="4" t="s">
        <v>6455</v>
      </c>
      <c r="H1805" s="4" t="s">
        <v>6014</v>
      </c>
      <c r="I1805" s="4" t="s">
        <v>49</v>
      </c>
      <c r="J1805" s="4" t="s">
        <v>6262</v>
      </c>
      <c r="K1805" s="4">
        <v>1</v>
      </c>
      <c r="L1805" s="4">
        <v>15015</v>
      </c>
      <c r="M1805" s="4">
        <v>-117.358372</v>
      </c>
      <c r="N1805" s="4">
        <v>49.996656999999999</v>
      </c>
      <c r="O1805" s="4">
        <v>653</v>
      </c>
      <c r="P1805" s="4" t="s">
        <v>6453</v>
      </c>
      <c r="Q1805" s="4">
        <v>1</v>
      </c>
      <c r="R1805" s="4" t="s">
        <v>6454</v>
      </c>
      <c r="S1805" s="4" t="s">
        <v>6009</v>
      </c>
    </row>
    <row r="1806" spans="1:72" ht="14.25" customHeight="1" x14ac:dyDescent="0.2">
      <c r="A1806" s="4" t="s">
        <v>1908</v>
      </c>
      <c r="B1806" s="4">
        <v>5</v>
      </c>
      <c r="C1806" s="4" t="s">
        <v>7688</v>
      </c>
      <c r="D1806" s="4" t="s">
        <v>6456</v>
      </c>
      <c r="E1806" s="4">
        <v>2485</v>
      </c>
      <c r="F1806" s="8" t="s">
        <v>6457</v>
      </c>
      <c r="G1806" s="8" t="s">
        <v>6458</v>
      </c>
      <c r="H1806" s="4" t="s">
        <v>6459</v>
      </c>
      <c r="I1806" s="4" t="s">
        <v>1664</v>
      </c>
      <c r="J1806" s="4" t="s">
        <v>6069</v>
      </c>
      <c r="K1806" s="4">
        <v>1</v>
      </c>
      <c r="L1806" s="4">
        <v>2888</v>
      </c>
      <c r="M1806" s="9">
        <v>-122.7855833</v>
      </c>
      <c r="N1806" s="9">
        <v>51.147527779999997</v>
      </c>
      <c r="O1806" s="9">
        <v>1969</v>
      </c>
      <c r="P1806" s="4" t="s">
        <v>6456</v>
      </c>
      <c r="Q1806" s="70">
        <v>8</v>
      </c>
      <c r="R1806" s="9" t="s">
        <v>6460</v>
      </c>
      <c r="S1806" s="9" t="s">
        <v>6009</v>
      </c>
    </row>
    <row r="1807" spans="1:72" ht="14.25" customHeight="1" x14ac:dyDescent="0.2">
      <c r="A1807" s="4" t="s">
        <v>6461</v>
      </c>
      <c r="B1807" s="4">
        <v>5</v>
      </c>
      <c r="C1807" s="4" t="s">
        <v>7688</v>
      </c>
      <c r="D1807" s="4" t="s">
        <v>6462</v>
      </c>
      <c r="E1807" s="4">
        <v>2486</v>
      </c>
      <c r="F1807" s="8" t="s">
        <v>6463</v>
      </c>
      <c r="G1807" s="4" t="s">
        <v>6464</v>
      </c>
      <c r="H1807" s="4" t="s">
        <v>6465</v>
      </c>
      <c r="I1807" s="4" t="s">
        <v>1664</v>
      </c>
      <c r="J1807" s="4" t="s">
        <v>6187</v>
      </c>
      <c r="K1807" s="4">
        <v>1</v>
      </c>
      <c r="L1807" s="4">
        <v>2889</v>
      </c>
      <c r="V1807" s="53"/>
      <c r="W1807" s="53"/>
      <c r="X1807" s="53"/>
      <c r="Y1807" s="53"/>
      <c r="Z1807" s="53"/>
      <c r="AA1807" s="53"/>
      <c r="AB1807" s="53"/>
      <c r="AC1807" s="53"/>
      <c r="AD1807" s="53"/>
      <c r="AE1807" s="53"/>
      <c r="AF1807" s="53"/>
      <c r="AG1807" s="53"/>
      <c r="AH1807" s="53"/>
      <c r="AI1807" s="53"/>
      <c r="AJ1807" s="53"/>
      <c r="AK1807" s="53"/>
      <c r="AL1807" s="53"/>
      <c r="AM1807" s="53"/>
      <c r="AN1807" s="53"/>
      <c r="AO1807" s="53"/>
      <c r="AP1807" s="53"/>
      <c r="AQ1807" s="53"/>
      <c r="AR1807" s="53"/>
      <c r="AS1807" s="53"/>
      <c r="AT1807" s="53"/>
      <c r="AU1807" s="53"/>
      <c r="AV1807" s="53"/>
      <c r="AW1807" s="53"/>
      <c r="AX1807" s="53"/>
      <c r="AY1807" s="53"/>
      <c r="AZ1807" s="53"/>
      <c r="BA1807" s="53"/>
      <c r="BB1807" s="53"/>
      <c r="BC1807" s="53"/>
      <c r="BD1807" s="53"/>
      <c r="BE1807" s="53"/>
      <c r="BF1807" s="53"/>
      <c r="BG1807" s="53"/>
      <c r="BH1807" s="53"/>
      <c r="BI1807" s="53"/>
      <c r="BJ1807" s="53"/>
      <c r="BK1807" s="53"/>
      <c r="BL1807" s="53"/>
      <c r="BM1807" s="53"/>
      <c r="BN1807" s="53"/>
      <c r="BO1807" s="53"/>
      <c r="BP1807" s="53"/>
      <c r="BQ1807" s="53"/>
      <c r="BR1807" s="53"/>
      <c r="BS1807" s="53"/>
      <c r="BT1807" s="53"/>
    </row>
    <row r="1808" spans="1:72" ht="14.25" customHeight="1" x14ac:dyDescent="0.2">
      <c r="A1808" s="4" t="s">
        <v>1908</v>
      </c>
      <c r="B1808" s="4">
        <v>5</v>
      </c>
      <c r="C1808" s="4" t="s">
        <v>7688</v>
      </c>
      <c r="D1808" s="4" t="s">
        <v>6466</v>
      </c>
      <c r="E1808" s="4">
        <v>2487</v>
      </c>
      <c r="F1808" s="8" t="s">
        <v>6467</v>
      </c>
      <c r="G1808" s="8" t="s">
        <v>6468</v>
      </c>
      <c r="H1808" s="4" t="s">
        <v>6469</v>
      </c>
      <c r="I1808" s="4" t="s">
        <v>1664</v>
      </c>
      <c r="J1808" s="4" t="s">
        <v>6046</v>
      </c>
      <c r="K1808" s="4">
        <v>1</v>
      </c>
      <c r="L1808" s="4">
        <v>2890</v>
      </c>
      <c r="M1808" s="9">
        <v>-124.8006972</v>
      </c>
      <c r="N1808" s="9">
        <v>56.126613890000002</v>
      </c>
      <c r="O1808" s="9">
        <v>775</v>
      </c>
      <c r="P1808" s="4" t="s">
        <v>6466</v>
      </c>
      <c r="Q1808" s="70">
        <v>2</v>
      </c>
      <c r="R1808" s="9" t="s">
        <v>6470</v>
      </c>
      <c r="S1808" s="9" t="s">
        <v>6009</v>
      </c>
    </row>
    <row r="1809" spans="1:72" ht="14.25" customHeight="1" x14ac:dyDescent="0.2">
      <c r="A1809" s="4" t="s">
        <v>6461</v>
      </c>
      <c r="B1809" s="4">
        <v>5</v>
      </c>
      <c r="C1809" s="4" t="s">
        <v>7688</v>
      </c>
      <c r="D1809" s="4" t="s">
        <v>6471</v>
      </c>
      <c r="E1809" s="4">
        <v>2488</v>
      </c>
      <c r="F1809" s="8" t="s">
        <v>6472</v>
      </c>
      <c r="G1809" s="4" t="s">
        <v>6473</v>
      </c>
      <c r="H1809" s="4" t="s">
        <v>6474</v>
      </c>
      <c r="I1809" s="4" t="s">
        <v>1664</v>
      </c>
      <c r="J1809" s="4" t="s">
        <v>6187</v>
      </c>
      <c r="K1809" s="4">
        <v>1</v>
      </c>
      <c r="L1809" s="4">
        <v>2891</v>
      </c>
      <c r="V1809" s="53"/>
      <c r="W1809" s="53"/>
      <c r="X1809" s="53"/>
      <c r="Y1809" s="53"/>
      <c r="Z1809" s="53"/>
      <c r="AA1809" s="53"/>
      <c r="AB1809" s="53"/>
      <c r="AC1809" s="53"/>
      <c r="AD1809" s="53"/>
      <c r="AE1809" s="53"/>
      <c r="AF1809" s="53"/>
      <c r="AG1809" s="53"/>
      <c r="AH1809" s="53"/>
      <c r="AI1809" s="53"/>
      <c r="AJ1809" s="53"/>
      <c r="AK1809" s="53"/>
      <c r="AL1809" s="53"/>
      <c r="AM1809" s="53"/>
      <c r="AN1809" s="53"/>
      <c r="AO1809" s="53"/>
      <c r="AP1809" s="53"/>
      <c r="AQ1809" s="53"/>
      <c r="AR1809" s="53"/>
      <c r="AS1809" s="53"/>
      <c r="AT1809" s="53"/>
      <c r="AU1809" s="53"/>
      <c r="AV1809" s="53"/>
      <c r="AW1809" s="53"/>
      <c r="AX1809" s="53"/>
      <c r="AY1809" s="53"/>
      <c r="AZ1809" s="53"/>
      <c r="BA1809" s="53"/>
      <c r="BB1809" s="53"/>
      <c r="BC1809" s="53"/>
      <c r="BD1809" s="53"/>
      <c r="BE1809" s="53"/>
      <c r="BF1809" s="53"/>
      <c r="BG1809" s="53"/>
      <c r="BH1809" s="53"/>
      <c r="BI1809" s="53"/>
      <c r="BJ1809" s="53"/>
      <c r="BK1809" s="53"/>
      <c r="BL1809" s="53"/>
      <c r="BM1809" s="53"/>
      <c r="BN1809" s="53"/>
      <c r="BO1809" s="53"/>
      <c r="BP1809" s="53"/>
      <c r="BQ1809" s="53"/>
      <c r="BR1809" s="53"/>
      <c r="BS1809" s="53"/>
      <c r="BT1809" s="53"/>
    </row>
    <row r="1810" spans="1:72" ht="14.25" customHeight="1" x14ac:dyDescent="0.2">
      <c r="A1810" s="4" t="s">
        <v>2037</v>
      </c>
      <c r="B1810" s="4">
        <v>5</v>
      </c>
      <c r="C1810" s="4" t="s">
        <v>7688</v>
      </c>
      <c r="D1810" s="4" t="s">
        <v>6475</v>
      </c>
      <c r="E1810" s="4">
        <v>2489</v>
      </c>
      <c r="F1810" s="8" t="s">
        <v>6476</v>
      </c>
      <c r="G1810" s="4" t="s">
        <v>6477</v>
      </c>
      <c r="H1810" s="4" t="s">
        <v>6040</v>
      </c>
      <c r="I1810" s="4" t="s">
        <v>1664</v>
      </c>
      <c r="J1810" s="4" t="s">
        <v>6046</v>
      </c>
      <c r="K1810" s="4">
        <v>1</v>
      </c>
      <c r="L1810" s="4">
        <v>2892</v>
      </c>
      <c r="M1810" s="9">
        <v>-123.0364472</v>
      </c>
      <c r="N1810" s="9">
        <v>54.997177780000001</v>
      </c>
      <c r="O1810" s="9">
        <v>675</v>
      </c>
      <c r="P1810" s="4" t="s">
        <v>6475</v>
      </c>
      <c r="Q1810" s="70">
        <v>1</v>
      </c>
      <c r="R1810" s="9" t="s">
        <v>6478</v>
      </c>
      <c r="S1810" s="9" t="s">
        <v>6009</v>
      </c>
    </row>
    <row r="1811" spans="1:72" ht="14.25" customHeight="1" x14ac:dyDescent="0.2">
      <c r="A1811" s="4" t="s">
        <v>1908</v>
      </c>
      <c r="B1811" s="4">
        <v>5</v>
      </c>
      <c r="C1811" s="4" t="s">
        <v>7688</v>
      </c>
      <c r="D1811" s="4" t="s">
        <v>6479</v>
      </c>
      <c r="E1811" s="4">
        <v>2494</v>
      </c>
      <c r="F1811" s="8" t="s">
        <v>6480</v>
      </c>
      <c r="G1811" s="8" t="s">
        <v>6481</v>
      </c>
      <c r="H1811" s="4" t="s">
        <v>6482</v>
      </c>
      <c r="I1811" s="4" t="s">
        <v>1664</v>
      </c>
      <c r="J1811" s="4" t="s">
        <v>6046</v>
      </c>
      <c r="K1811" s="4">
        <v>1</v>
      </c>
      <c r="L1811" s="4">
        <v>2897</v>
      </c>
      <c r="M1811" s="9">
        <v>-122.9161</v>
      </c>
      <c r="N1811" s="9">
        <v>55.083469440000002</v>
      </c>
      <c r="O1811" s="9">
        <v>700</v>
      </c>
      <c r="P1811" s="4" t="s">
        <v>6479</v>
      </c>
      <c r="Q1811" s="70">
        <v>1</v>
      </c>
      <c r="R1811" s="9" t="s">
        <v>6483</v>
      </c>
      <c r="S1811" s="9" t="s">
        <v>6009</v>
      </c>
    </row>
    <row r="1812" spans="1:72" ht="14.25" customHeight="1" x14ac:dyDescent="0.2">
      <c r="A1812" s="4" t="s">
        <v>88</v>
      </c>
      <c r="B1812" s="4">
        <v>5</v>
      </c>
      <c r="C1812" s="4" t="s">
        <v>7688</v>
      </c>
      <c r="D1812" s="4" t="s">
        <v>6484</v>
      </c>
      <c r="E1812" s="4">
        <v>2490</v>
      </c>
      <c r="F1812" s="4" t="s">
        <v>6485</v>
      </c>
      <c r="G1812" s="8" t="s">
        <v>6486</v>
      </c>
      <c r="H1812" s="4" t="s">
        <v>6040</v>
      </c>
      <c r="I1812" s="4" t="s">
        <v>1664</v>
      </c>
      <c r="J1812" s="4" t="s">
        <v>6041</v>
      </c>
      <c r="K1812" s="4">
        <v>1</v>
      </c>
      <c r="L1812" s="4">
        <v>2893</v>
      </c>
      <c r="M1812" s="9">
        <v>-122.1375833</v>
      </c>
      <c r="N1812" s="9">
        <v>54.605555559999999</v>
      </c>
      <c r="O1812" s="9">
        <v>790</v>
      </c>
      <c r="P1812" s="4" t="s">
        <v>6484</v>
      </c>
      <c r="Q1812" s="70">
        <v>2</v>
      </c>
      <c r="R1812" s="9" t="s">
        <v>6485</v>
      </c>
      <c r="S1812" s="9" t="s">
        <v>6009</v>
      </c>
    </row>
    <row r="1813" spans="1:72" ht="14.25" customHeight="1" x14ac:dyDescent="0.2">
      <c r="B1813" s="4">
        <v>5</v>
      </c>
      <c r="C1813" s="4" t="s">
        <v>7688</v>
      </c>
      <c r="D1813" s="4" t="s">
        <v>6487</v>
      </c>
      <c r="E1813" s="4">
        <v>12387</v>
      </c>
      <c r="F1813" s="4" t="s">
        <v>6488</v>
      </c>
      <c r="G1813" s="4" t="s">
        <v>6489</v>
      </c>
      <c r="H1813" s="4" t="s">
        <v>6490</v>
      </c>
      <c r="I1813" s="4" t="s">
        <v>641</v>
      </c>
      <c r="J1813" s="4" t="s">
        <v>6015</v>
      </c>
      <c r="K1813" s="4">
        <v>1</v>
      </c>
      <c r="L1813" s="4">
        <v>14409</v>
      </c>
      <c r="M1813" s="9"/>
      <c r="N1813" s="9"/>
      <c r="O1813" s="9"/>
      <c r="Q1813" s="70"/>
      <c r="R1813" s="9"/>
      <c r="S1813" s="9"/>
    </row>
    <row r="1814" spans="1:72" ht="14.25" customHeight="1" x14ac:dyDescent="0.2">
      <c r="B1814" s="4">
        <v>5</v>
      </c>
      <c r="C1814" s="4" t="s">
        <v>7688</v>
      </c>
      <c r="D1814" s="4" t="s">
        <v>6491</v>
      </c>
      <c r="E1814" s="4">
        <v>13118</v>
      </c>
      <c r="F1814" s="4" t="s">
        <v>6492</v>
      </c>
      <c r="G1814" s="4" t="s">
        <v>6493</v>
      </c>
      <c r="H1814" s="4" t="s">
        <v>6086</v>
      </c>
      <c r="I1814" s="4" t="s">
        <v>49</v>
      </c>
      <c r="J1814" s="4" t="s">
        <v>6087</v>
      </c>
      <c r="K1814" s="4">
        <v>1</v>
      </c>
      <c r="L1814" s="4">
        <v>15040</v>
      </c>
      <c r="M1814" s="4">
        <v>-123.897927</v>
      </c>
      <c r="N1814" s="4">
        <v>55.123800000000003</v>
      </c>
      <c r="O1814" s="4">
        <v>1028</v>
      </c>
      <c r="P1814" s="4" t="s">
        <v>6491</v>
      </c>
      <c r="Q1814" s="4">
        <v>4</v>
      </c>
      <c r="R1814" s="4" t="s">
        <v>6492</v>
      </c>
      <c r="S1814" s="4" t="s">
        <v>6009</v>
      </c>
    </row>
    <row r="1815" spans="1:72" ht="14.25" customHeight="1" x14ac:dyDescent="0.2">
      <c r="B1815" s="4">
        <v>5</v>
      </c>
      <c r="C1815" s="4" t="s">
        <v>7688</v>
      </c>
      <c r="D1815" s="4" t="s">
        <v>6494</v>
      </c>
      <c r="E1815" s="4">
        <v>2496</v>
      </c>
      <c r="F1815" s="4" t="s">
        <v>6495</v>
      </c>
      <c r="G1815" s="4" t="s">
        <v>6496</v>
      </c>
      <c r="H1815" s="4" t="s">
        <v>6497</v>
      </c>
      <c r="I1815" s="4" t="s">
        <v>1664</v>
      </c>
      <c r="J1815" s="4" t="s">
        <v>6041</v>
      </c>
      <c r="K1815" s="4">
        <v>1</v>
      </c>
      <c r="L1815" s="4">
        <v>2899</v>
      </c>
      <c r="M1815" s="9">
        <v>-122.63733329999999</v>
      </c>
      <c r="N1815" s="9">
        <v>55.353000000000002</v>
      </c>
      <c r="O1815" s="9">
        <v>1400</v>
      </c>
      <c r="P1815" s="4" t="s">
        <v>6494</v>
      </c>
      <c r="Q1815" s="70">
        <v>7</v>
      </c>
      <c r="R1815" s="9" t="s">
        <v>6495</v>
      </c>
      <c r="S1815" s="9" t="s">
        <v>6009</v>
      </c>
    </row>
    <row r="1816" spans="1:72" ht="14.25" customHeight="1" x14ac:dyDescent="0.2">
      <c r="B1816" s="4">
        <v>5</v>
      </c>
      <c r="C1816" s="4" t="s">
        <v>7688</v>
      </c>
      <c r="D1816" s="4" t="s">
        <v>6498</v>
      </c>
      <c r="E1816" s="4">
        <v>12404</v>
      </c>
      <c r="F1816" s="4" t="s">
        <v>6499</v>
      </c>
      <c r="G1816" s="4" t="s">
        <v>6500</v>
      </c>
      <c r="H1816" s="4" t="s">
        <v>6289</v>
      </c>
      <c r="I1816" s="4" t="s">
        <v>641</v>
      </c>
      <c r="J1816" s="4" t="s">
        <v>6021</v>
      </c>
      <c r="K1816" s="4">
        <v>1</v>
      </c>
      <c r="L1816" s="4">
        <v>14426</v>
      </c>
      <c r="M1816" s="9">
        <v>-122.8647222</v>
      </c>
      <c r="N1816" s="9">
        <v>57.061666670000001</v>
      </c>
      <c r="O1816" s="9">
        <v>1755</v>
      </c>
      <c r="P1816" s="4" t="s">
        <v>6498</v>
      </c>
      <c r="Q1816" s="70">
        <v>8</v>
      </c>
      <c r="R1816" s="9" t="s">
        <v>6499</v>
      </c>
      <c r="S1816" s="9" t="s">
        <v>6009</v>
      </c>
    </row>
    <row r="1817" spans="1:72" ht="14.25" customHeight="1" x14ac:dyDescent="0.2">
      <c r="A1817" s="4" t="s">
        <v>6501</v>
      </c>
      <c r="B1817" s="4">
        <v>5</v>
      </c>
      <c r="C1817" s="4" t="s">
        <v>7688</v>
      </c>
      <c r="D1817" s="4" t="s">
        <v>6502</v>
      </c>
      <c r="E1817" s="4">
        <v>2493</v>
      </c>
      <c r="F1817" s="8" t="s">
        <v>6503</v>
      </c>
      <c r="G1817" s="4" t="s">
        <v>6504</v>
      </c>
      <c r="H1817" s="4" t="s">
        <v>6505</v>
      </c>
      <c r="I1817" s="4" t="s">
        <v>1664</v>
      </c>
      <c r="J1817" s="4" t="s">
        <v>6046</v>
      </c>
      <c r="K1817" s="4">
        <v>1</v>
      </c>
      <c r="L1817" s="4">
        <v>2896</v>
      </c>
      <c r="M1817" s="9">
        <v>-122.3535</v>
      </c>
      <c r="N1817" s="9">
        <v>57.001966670000002</v>
      </c>
      <c r="O1817" s="9">
        <v>1204</v>
      </c>
      <c r="P1817" s="4" t="s">
        <v>6502</v>
      </c>
      <c r="Q1817" s="70">
        <v>8</v>
      </c>
      <c r="R1817" s="9" t="s">
        <v>6506</v>
      </c>
      <c r="S1817" s="9" t="s">
        <v>6009</v>
      </c>
    </row>
    <row r="1818" spans="1:72" ht="14.25" customHeight="1" x14ac:dyDescent="0.2">
      <c r="B1818" s="4">
        <v>5</v>
      </c>
      <c r="C1818" s="4" t="s">
        <v>7688</v>
      </c>
      <c r="D1818" s="4" t="s">
        <v>6507</v>
      </c>
      <c r="E1818" s="4">
        <v>13094</v>
      </c>
      <c r="F1818" s="4" t="s">
        <v>6508</v>
      </c>
      <c r="G1818" s="4" t="s">
        <v>6509</v>
      </c>
      <c r="H1818" s="4" t="s">
        <v>6014</v>
      </c>
      <c r="I1818" s="4" t="s">
        <v>49</v>
      </c>
      <c r="J1818" s="4" t="s">
        <v>6087</v>
      </c>
      <c r="K1818" s="4">
        <v>1</v>
      </c>
      <c r="L1818" s="4">
        <v>15016</v>
      </c>
      <c r="M1818" s="9">
        <v>-122.1829</v>
      </c>
      <c r="N1818" s="9">
        <v>56.013100000000001</v>
      </c>
      <c r="O1818" s="9">
        <v>720</v>
      </c>
      <c r="P1818" s="4" t="s">
        <v>6507</v>
      </c>
      <c r="Q1818" s="70">
        <v>1</v>
      </c>
      <c r="R1818" s="9" t="s">
        <v>6508</v>
      </c>
      <c r="S1818" s="9" t="s">
        <v>6009</v>
      </c>
    </row>
    <row r="1819" spans="1:72" ht="14.25" customHeight="1" x14ac:dyDescent="0.2">
      <c r="A1819" s="4" t="s">
        <v>6501</v>
      </c>
      <c r="B1819" s="4">
        <v>5</v>
      </c>
      <c r="C1819" s="4" t="s">
        <v>7688</v>
      </c>
      <c r="D1819" s="4" t="s">
        <v>6510</v>
      </c>
      <c r="E1819" s="4">
        <v>2495</v>
      </c>
      <c r="F1819" s="8" t="s">
        <v>6511</v>
      </c>
      <c r="G1819" s="4" t="s">
        <v>6512</v>
      </c>
      <c r="H1819" s="4" t="s">
        <v>6513</v>
      </c>
      <c r="I1819" s="4" t="s">
        <v>1664</v>
      </c>
      <c r="J1819" s="4" t="s">
        <v>6041</v>
      </c>
      <c r="K1819" s="4">
        <v>1</v>
      </c>
      <c r="L1819" s="4">
        <v>2898</v>
      </c>
      <c r="M1819" s="9">
        <v>-126.7483139</v>
      </c>
      <c r="N1819" s="9">
        <v>57.54858333</v>
      </c>
      <c r="O1819" s="9">
        <v>1311</v>
      </c>
      <c r="P1819" s="4" t="s">
        <v>6510</v>
      </c>
      <c r="Q1819" s="70">
        <v>5</v>
      </c>
      <c r="R1819" s="9" t="s">
        <v>6514</v>
      </c>
      <c r="S1819" s="9" t="s">
        <v>6009</v>
      </c>
    </row>
    <row r="1820" spans="1:72" ht="14.25" customHeight="1" x14ac:dyDescent="0.2">
      <c r="A1820" s="4" t="s">
        <v>2037</v>
      </c>
      <c r="B1820" s="4">
        <v>5</v>
      </c>
      <c r="C1820" s="4" t="s">
        <v>7688</v>
      </c>
      <c r="D1820" s="4" t="s">
        <v>6515</v>
      </c>
      <c r="E1820" s="4">
        <v>2497</v>
      </c>
      <c r="F1820" s="36" t="s">
        <v>6516</v>
      </c>
      <c r="G1820" s="27" t="s">
        <v>6517</v>
      </c>
      <c r="H1820" s="4" t="s">
        <v>6518</v>
      </c>
      <c r="I1820" s="4" t="s">
        <v>1664</v>
      </c>
      <c r="J1820" s="4" t="s">
        <v>6046</v>
      </c>
      <c r="K1820" s="4">
        <v>1</v>
      </c>
      <c r="L1820" s="4">
        <v>2900</v>
      </c>
      <c r="M1820" s="8">
        <v>-116.92972</v>
      </c>
      <c r="N1820" s="8">
        <v>49.544400000000003</v>
      </c>
      <c r="O1820" s="8">
        <v>545</v>
      </c>
      <c r="P1820" s="8" t="s">
        <v>6515</v>
      </c>
      <c r="Q1820" s="8"/>
      <c r="R1820" s="8" t="s">
        <v>6519</v>
      </c>
      <c r="S1820" s="53"/>
      <c r="T1820" s="53"/>
      <c r="U1820" s="95"/>
      <c r="V1820" s="95"/>
      <c r="W1820" s="95"/>
      <c r="X1820" s="95"/>
      <c r="Y1820" s="95"/>
      <c r="Z1820" s="95"/>
      <c r="AA1820" s="95"/>
      <c r="AB1820" s="95"/>
      <c r="AC1820" s="95"/>
      <c r="AD1820" s="95"/>
      <c r="AE1820" s="95"/>
      <c r="AF1820" s="95"/>
      <c r="AG1820" s="95"/>
      <c r="AH1820" s="95"/>
      <c r="AI1820" s="95"/>
      <c r="AJ1820" s="95"/>
      <c r="AK1820" s="95"/>
      <c r="AL1820" s="95"/>
      <c r="AM1820" s="95"/>
      <c r="AN1820" s="95"/>
      <c r="AO1820" s="95"/>
      <c r="AP1820" s="95"/>
      <c r="AQ1820" s="95"/>
      <c r="AR1820" s="95"/>
      <c r="AS1820" s="95"/>
      <c r="AT1820" s="95"/>
      <c r="AU1820" s="95"/>
      <c r="AV1820" s="95"/>
      <c r="AW1820" s="95"/>
      <c r="AX1820" s="95"/>
      <c r="AY1820" s="95"/>
      <c r="AZ1820" s="95"/>
      <c r="BA1820" s="95"/>
      <c r="BB1820" s="95"/>
      <c r="BC1820" s="95"/>
      <c r="BD1820" s="95"/>
      <c r="BE1820" s="95"/>
      <c r="BF1820" s="95"/>
      <c r="BG1820" s="95"/>
      <c r="BH1820" s="95"/>
      <c r="BI1820" s="95"/>
      <c r="BJ1820" s="95"/>
      <c r="BK1820" s="95"/>
      <c r="BL1820" s="95"/>
      <c r="BM1820" s="95"/>
      <c r="BN1820" s="95"/>
      <c r="BO1820" s="95"/>
      <c r="BP1820" s="95"/>
      <c r="BQ1820" s="95"/>
      <c r="BR1820" s="95"/>
      <c r="BS1820" s="95"/>
      <c r="BT1820" s="95"/>
    </row>
    <row r="1821" spans="1:72" ht="14.25" customHeight="1" x14ac:dyDescent="0.2">
      <c r="A1821" s="4" t="s">
        <v>1908</v>
      </c>
      <c r="B1821" s="4">
        <v>5</v>
      </c>
      <c r="C1821" s="4" t="s">
        <v>7688</v>
      </c>
      <c r="D1821" s="4" t="s">
        <v>6520</v>
      </c>
      <c r="E1821" s="4">
        <v>2498</v>
      </c>
      <c r="F1821" s="8" t="s">
        <v>6521</v>
      </c>
      <c r="G1821" s="8" t="s">
        <v>6522</v>
      </c>
      <c r="H1821" s="4" t="s">
        <v>6523</v>
      </c>
      <c r="I1821" s="4" t="s">
        <v>1664</v>
      </c>
      <c r="J1821" s="4" t="s">
        <v>6187</v>
      </c>
      <c r="K1821" s="4">
        <v>1</v>
      </c>
      <c r="L1821" s="4">
        <v>2901</v>
      </c>
    </row>
    <row r="1822" spans="1:72" ht="14.25" customHeight="1" x14ac:dyDescent="0.2">
      <c r="A1822" s="4" t="s">
        <v>2037</v>
      </c>
      <c r="B1822" s="4">
        <v>5</v>
      </c>
      <c r="C1822" s="4" t="s">
        <v>7688</v>
      </c>
      <c r="D1822" s="4" t="s">
        <v>6524</v>
      </c>
      <c r="E1822" s="4">
        <v>2499</v>
      </c>
      <c r="F1822" s="8" t="s">
        <v>6525</v>
      </c>
      <c r="G1822" s="4" t="s">
        <v>6526</v>
      </c>
      <c r="H1822" s="4" t="s">
        <v>6527</v>
      </c>
      <c r="I1822" s="4" t="s">
        <v>1664</v>
      </c>
      <c r="J1822" s="4" t="s">
        <v>6187</v>
      </c>
      <c r="K1822" s="4">
        <v>1</v>
      </c>
      <c r="L1822" s="4">
        <v>2902</v>
      </c>
      <c r="X1822" s="53"/>
      <c r="Y1822" s="53"/>
      <c r="Z1822" s="53"/>
      <c r="AA1822" s="53"/>
      <c r="AB1822" s="53"/>
      <c r="AC1822" s="53"/>
      <c r="AD1822" s="53"/>
      <c r="AE1822" s="53"/>
      <c r="AF1822" s="53"/>
      <c r="AG1822" s="53"/>
      <c r="AH1822" s="53"/>
      <c r="AI1822" s="53"/>
      <c r="AJ1822" s="53"/>
      <c r="AK1822" s="53"/>
      <c r="AL1822" s="53"/>
      <c r="AM1822" s="53"/>
      <c r="AN1822" s="53"/>
      <c r="AO1822" s="53"/>
      <c r="AP1822" s="53"/>
      <c r="AQ1822" s="53"/>
      <c r="AR1822" s="53"/>
      <c r="AS1822" s="53"/>
      <c r="AT1822" s="53"/>
      <c r="AU1822" s="53"/>
      <c r="AV1822" s="53"/>
      <c r="AW1822" s="53"/>
      <c r="AX1822" s="53"/>
      <c r="AY1822" s="53"/>
      <c r="AZ1822" s="53"/>
      <c r="BA1822" s="53"/>
      <c r="BB1822" s="53"/>
      <c r="BC1822" s="53"/>
      <c r="BD1822" s="53"/>
      <c r="BE1822" s="53"/>
      <c r="BF1822" s="53"/>
      <c r="BG1822" s="53"/>
      <c r="BH1822" s="53"/>
      <c r="BI1822" s="53"/>
      <c r="BJ1822" s="53"/>
      <c r="BK1822" s="53"/>
      <c r="BL1822" s="53"/>
      <c r="BM1822" s="53"/>
      <c r="BN1822" s="53"/>
      <c r="BO1822" s="53"/>
      <c r="BP1822" s="53"/>
      <c r="BQ1822" s="53"/>
      <c r="BR1822" s="53"/>
      <c r="BS1822" s="53"/>
      <c r="BT1822" s="53"/>
    </row>
    <row r="1823" spans="1:72" ht="14.25" customHeight="1" x14ac:dyDescent="0.2">
      <c r="B1823" s="4">
        <v>5</v>
      </c>
      <c r="C1823" s="4" t="s">
        <v>7688</v>
      </c>
      <c r="D1823" s="4" t="s">
        <v>6528</v>
      </c>
      <c r="E1823" s="4">
        <v>13218</v>
      </c>
      <c r="F1823" s="27" t="s">
        <v>6529</v>
      </c>
      <c r="G1823" s="4" t="s">
        <v>6530</v>
      </c>
      <c r="H1823" s="4" t="s">
        <v>6531</v>
      </c>
      <c r="I1823" s="4" t="s">
        <v>49</v>
      </c>
      <c r="J1823" s="4" t="s">
        <v>6021</v>
      </c>
      <c r="K1823" s="4">
        <v>1</v>
      </c>
      <c r="L1823" s="4">
        <v>15134</v>
      </c>
      <c r="M1823" s="36">
        <v>-125.51</v>
      </c>
      <c r="N1823" s="36">
        <v>49.930019999999999</v>
      </c>
      <c r="O1823" s="36">
        <v>280</v>
      </c>
      <c r="P1823" s="36" t="s">
        <v>6528</v>
      </c>
      <c r="Q1823" s="36"/>
      <c r="R1823" s="36"/>
      <c r="S1823" s="95"/>
      <c r="T1823" s="95"/>
      <c r="U1823" s="95"/>
      <c r="V1823" s="95"/>
      <c r="W1823" s="95"/>
      <c r="X1823" s="95"/>
      <c r="Y1823" s="95"/>
      <c r="Z1823" s="95"/>
      <c r="AA1823" s="95"/>
      <c r="AB1823" s="95"/>
      <c r="AC1823" s="95"/>
      <c r="AD1823" s="95"/>
      <c r="AE1823" s="95"/>
      <c r="AF1823" s="95"/>
      <c r="AG1823" s="95"/>
      <c r="AH1823" s="95"/>
      <c r="AI1823" s="95"/>
      <c r="AJ1823" s="95"/>
      <c r="AK1823" s="95"/>
      <c r="AL1823" s="95"/>
      <c r="AM1823" s="95"/>
      <c r="AN1823" s="95"/>
      <c r="AO1823" s="95"/>
      <c r="AP1823" s="95"/>
      <c r="AQ1823" s="95"/>
      <c r="AR1823" s="95"/>
      <c r="AS1823" s="95"/>
      <c r="AT1823" s="95"/>
      <c r="AU1823" s="95"/>
      <c r="AV1823" s="95"/>
      <c r="AW1823" s="95"/>
      <c r="AX1823" s="95"/>
      <c r="AY1823" s="95"/>
      <c r="AZ1823" s="95"/>
      <c r="BA1823" s="95"/>
      <c r="BB1823" s="95"/>
      <c r="BC1823" s="95"/>
      <c r="BD1823" s="95"/>
      <c r="BE1823" s="95"/>
      <c r="BF1823" s="95"/>
      <c r="BG1823" s="95"/>
      <c r="BH1823" s="95"/>
      <c r="BI1823" s="95"/>
      <c r="BJ1823" s="95"/>
      <c r="BK1823" s="95"/>
      <c r="BL1823" s="95"/>
      <c r="BM1823" s="95"/>
      <c r="BN1823" s="95"/>
      <c r="BO1823" s="95"/>
      <c r="BP1823" s="95"/>
      <c r="BQ1823" s="95"/>
      <c r="BR1823" s="95"/>
      <c r="BS1823" s="95"/>
      <c r="BT1823" s="95"/>
    </row>
    <row r="1824" spans="1:72" ht="14.25" customHeight="1" x14ac:dyDescent="0.2">
      <c r="A1824" s="4" t="s">
        <v>422</v>
      </c>
      <c r="B1824" s="4">
        <v>5</v>
      </c>
      <c r="C1824" s="4" t="s">
        <v>7693</v>
      </c>
      <c r="D1824" s="4" t="s">
        <v>6533</v>
      </c>
      <c r="E1824" s="4">
        <v>13123</v>
      </c>
      <c r="F1824" s="4" t="s">
        <v>6534</v>
      </c>
      <c r="G1824" s="4" t="s">
        <v>127</v>
      </c>
      <c r="H1824" s="4" t="s">
        <v>6535</v>
      </c>
      <c r="I1824" s="4" t="s">
        <v>49</v>
      </c>
      <c r="J1824" s="4" t="s">
        <v>6262</v>
      </c>
      <c r="K1824" s="4">
        <v>1</v>
      </c>
      <c r="L1824" s="4">
        <v>15045</v>
      </c>
      <c r="M1824" s="8">
        <v>50.622897219999999</v>
      </c>
      <c r="N1824" s="8">
        <v>-116.0627083</v>
      </c>
      <c r="O1824" s="8">
        <v>1009</v>
      </c>
      <c r="P1824" s="8" t="s">
        <v>6536</v>
      </c>
      <c r="Q1824" s="8"/>
      <c r="R1824" s="8" t="s">
        <v>6534</v>
      </c>
      <c r="S1824" s="53" t="s">
        <v>6537</v>
      </c>
      <c r="T1824" s="53"/>
      <c r="U1824" s="53"/>
      <c r="V1824" s="53"/>
      <c r="W1824" s="53"/>
      <c r="X1824" s="53"/>
      <c r="Y1824" s="53"/>
      <c r="Z1824" s="53"/>
      <c r="AA1824" s="53"/>
      <c r="AB1824" s="53"/>
      <c r="AC1824" s="53"/>
      <c r="AD1824" s="53"/>
      <c r="AE1824" s="53"/>
      <c r="AF1824" s="53"/>
      <c r="AG1824" s="53"/>
      <c r="AH1824" s="53"/>
      <c r="AI1824" s="53"/>
      <c r="AJ1824" s="53"/>
      <c r="AK1824" s="53"/>
      <c r="AL1824" s="53"/>
      <c r="AM1824" s="53"/>
      <c r="AN1824" s="53"/>
      <c r="AO1824" s="53"/>
      <c r="AP1824" s="53"/>
      <c r="AQ1824" s="53"/>
      <c r="AR1824" s="53"/>
      <c r="AS1824" s="53"/>
      <c r="AT1824" s="53"/>
      <c r="AU1824" s="53"/>
      <c r="AV1824" s="53"/>
      <c r="AW1824" s="53"/>
      <c r="AX1824" s="53"/>
      <c r="AY1824" s="53"/>
      <c r="AZ1824" s="53"/>
      <c r="BA1824" s="53"/>
      <c r="BB1824" s="53"/>
      <c r="BC1824" s="53"/>
      <c r="BD1824" s="53"/>
      <c r="BE1824" s="53"/>
      <c r="BF1824" s="53"/>
      <c r="BG1824" s="53"/>
      <c r="BH1824" s="53"/>
      <c r="BI1824" s="53"/>
      <c r="BJ1824" s="53"/>
      <c r="BK1824" s="53"/>
      <c r="BL1824" s="53"/>
      <c r="BM1824" s="53"/>
      <c r="BN1824" s="53"/>
      <c r="BO1824" s="53"/>
      <c r="BP1824" s="53"/>
      <c r="BQ1824" s="53"/>
      <c r="BR1824" s="53"/>
      <c r="BS1824" s="53"/>
      <c r="BT1824" s="53"/>
    </row>
    <row r="1825" spans="1:72" ht="14.25" customHeight="1" x14ac:dyDescent="0.2">
      <c r="A1825" s="4" t="s">
        <v>2037</v>
      </c>
      <c r="B1825" s="4">
        <v>5</v>
      </c>
      <c r="C1825" s="4" t="s">
        <v>7688</v>
      </c>
      <c r="D1825" s="4" t="s">
        <v>6538</v>
      </c>
      <c r="E1825" s="4">
        <v>2500</v>
      </c>
      <c r="F1825" s="8" t="s">
        <v>6539</v>
      </c>
      <c r="G1825" s="4" t="s">
        <v>6540</v>
      </c>
      <c r="H1825" s="4" t="s">
        <v>6541</v>
      </c>
      <c r="I1825" s="4" t="s">
        <v>1664</v>
      </c>
      <c r="J1825" s="4" t="s">
        <v>6187</v>
      </c>
      <c r="K1825" s="4">
        <v>1</v>
      </c>
      <c r="L1825" s="4">
        <v>2903</v>
      </c>
      <c r="M1825" s="34"/>
      <c r="N1825" s="34"/>
      <c r="O1825" s="35"/>
      <c r="R1825" s="34"/>
      <c r="U1825" s="53"/>
      <c r="V1825" s="53"/>
      <c r="W1825" s="53"/>
      <c r="X1825" s="53"/>
      <c r="Y1825" s="53"/>
      <c r="Z1825" s="53"/>
      <c r="AA1825" s="53"/>
      <c r="AB1825" s="53"/>
      <c r="AC1825" s="53"/>
      <c r="AD1825" s="53"/>
      <c r="AE1825" s="53"/>
      <c r="AF1825" s="53"/>
      <c r="AG1825" s="53"/>
      <c r="AH1825" s="53"/>
      <c r="AI1825" s="53"/>
      <c r="AJ1825" s="53"/>
      <c r="AK1825" s="53"/>
      <c r="AL1825" s="53"/>
      <c r="AM1825" s="53"/>
      <c r="AN1825" s="53"/>
      <c r="AO1825" s="53"/>
      <c r="AP1825" s="53"/>
      <c r="AQ1825" s="53"/>
      <c r="AR1825" s="53"/>
      <c r="AS1825" s="53"/>
      <c r="AT1825" s="53"/>
      <c r="AU1825" s="53"/>
      <c r="AV1825" s="53"/>
      <c r="AW1825" s="53"/>
      <c r="AX1825" s="53"/>
      <c r="AY1825" s="53"/>
      <c r="AZ1825" s="53"/>
      <c r="BA1825" s="53"/>
      <c r="BB1825" s="53"/>
      <c r="BC1825" s="53"/>
      <c r="BD1825" s="53"/>
      <c r="BE1825" s="53"/>
      <c r="BF1825" s="53"/>
      <c r="BG1825" s="53"/>
      <c r="BH1825" s="53"/>
      <c r="BI1825" s="53"/>
      <c r="BJ1825" s="53"/>
      <c r="BK1825" s="53"/>
      <c r="BL1825" s="53"/>
      <c r="BM1825" s="53"/>
      <c r="BN1825" s="53"/>
      <c r="BO1825" s="53"/>
      <c r="BP1825" s="53"/>
      <c r="BQ1825" s="53"/>
      <c r="BR1825" s="53"/>
      <c r="BS1825" s="53"/>
      <c r="BT1825" s="53"/>
    </row>
    <row r="1826" spans="1:72" ht="14.25" customHeight="1" x14ac:dyDescent="0.2">
      <c r="B1826" s="4">
        <v>5</v>
      </c>
      <c r="C1826" s="4" t="s">
        <v>7688</v>
      </c>
      <c r="D1826" s="4" t="s">
        <v>6542</v>
      </c>
      <c r="E1826" s="4">
        <v>13124</v>
      </c>
      <c r="F1826" s="27" t="s">
        <v>6543</v>
      </c>
      <c r="G1826" s="4" t="s">
        <v>7694</v>
      </c>
      <c r="H1826" s="4" t="s">
        <v>6545</v>
      </c>
      <c r="I1826" s="4" t="s">
        <v>49</v>
      </c>
      <c r="J1826" s="4" t="s">
        <v>6021</v>
      </c>
      <c r="K1826" s="4">
        <v>1</v>
      </c>
      <c r="L1826" s="4">
        <v>15046</v>
      </c>
      <c r="M1826" s="27">
        <v>-125.66976699999999</v>
      </c>
      <c r="N1826" s="27">
        <v>50.093618999999997</v>
      </c>
      <c r="O1826" s="27">
        <v>226</v>
      </c>
      <c r="P1826" s="27" t="s">
        <v>6542</v>
      </c>
      <c r="Q1826" s="96">
        <v>2</v>
      </c>
      <c r="R1826" s="27" t="s">
        <v>6543</v>
      </c>
      <c r="S1826" s="27" t="s">
        <v>6009</v>
      </c>
      <c r="T1826" s="27"/>
      <c r="U1826" s="27"/>
      <c r="V1826" s="27"/>
      <c r="W1826" s="27"/>
      <c r="X1826" s="27"/>
      <c r="Y1826" s="27"/>
      <c r="Z1826" s="27"/>
      <c r="AA1826" s="27"/>
      <c r="AB1826" s="27"/>
      <c r="AC1826" s="27"/>
      <c r="AD1826" s="27"/>
      <c r="AE1826" s="27"/>
      <c r="AF1826" s="27"/>
      <c r="AG1826" s="27"/>
      <c r="AH1826" s="27"/>
      <c r="AI1826" s="27"/>
      <c r="AJ1826" s="27"/>
      <c r="AK1826" s="27"/>
      <c r="AL1826" s="27"/>
      <c r="AM1826" s="27"/>
      <c r="AN1826" s="27"/>
      <c r="AO1826" s="27"/>
      <c r="AP1826" s="27"/>
      <c r="AQ1826" s="27"/>
      <c r="AR1826" s="27"/>
      <c r="AS1826" s="27"/>
      <c r="AT1826" s="27"/>
      <c r="AU1826" s="27"/>
      <c r="AV1826" s="27"/>
      <c r="AW1826" s="27"/>
      <c r="AX1826" s="27"/>
      <c r="AY1826" s="27"/>
      <c r="AZ1826" s="27"/>
      <c r="BA1826" s="27"/>
      <c r="BB1826" s="27"/>
      <c r="BC1826" s="27"/>
      <c r="BD1826" s="27"/>
      <c r="BE1826" s="27"/>
      <c r="BF1826" s="27"/>
      <c r="BG1826" s="27"/>
      <c r="BH1826" s="27"/>
      <c r="BI1826" s="27"/>
      <c r="BJ1826" s="27"/>
      <c r="BK1826" s="27"/>
      <c r="BL1826" s="27"/>
      <c r="BM1826" s="27"/>
      <c r="BN1826" s="27"/>
      <c r="BO1826" s="27"/>
      <c r="BP1826" s="27"/>
      <c r="BQ1826" s="27"/>
      <c r="BR1826" s="27"/>
      <c r="BS1826" s="27"/>
      <c r="BT1826" s="27"/>
    </row>
    <row r="1827" spans="1:72" ht="14.25" customHeight="1" x14ac:dyDescent="0.2">
      <c r="B1827" s="4">
        <v>5</v>
      </c>
      <c r="C1827" s="4" t="s">
        <v>7688</v>
      </c>
      <c r="D1827" s="4" t="s">
        <v>6546</v>
      </c>
      <c r="E1827" s="4">
        <v>12406</v>
      </c>
      <c r="F1827" s="4" t="s">
        <v>6547</v>
      </c>
      <c r="G1827" s="4" t="s">
        <v>6548</v>
      </c>
      <c r="H1827" s="4" t="s">
        <v>6201</v>
      </c>
      <c r="I1827" s="4" t="s">
        <v>641</v>
      </c>
      <c r="J1827" s="4" t="s">
        <v>6021</v>
      </c>
      <c r="K1827" s="4">
        <v>1</v>
      </c>
      <c r="L1827" s="4">
        <v>14428</v>
      </c>
      <c r="M1827" s="34">
        <v>-122.2423833</v>
      </c>
      <c r="N1827" s="34">
        <v>50.728080560000002</v>
      </c>
      <c r="O1827" s="35">
        <v>290</v>
      </c>
      <c r="P1827" s="4" t="s">
        <v>6546</v>
      </c>
      <c r="Q1827" s="70">
        <v>1</v>
      </c>
      <c r="R1827" s="34" t="s">
        <v>6547</v>
      </c>
      <c r="S1827" s="9" t="s">
        <v>6009</v>
      </c>
    </row>
    <row r="1828" spans="1:72" ht="14.25" customHeight="1" x14ac:dyDescent="0.2">
      <c r="B1828" s="4">
        <v>5</v>
      </c>
      <c r="C1828" s="4" t="s">
        <v>7688</v>
      </c>
      <c r="D1828" s="4" t="s">
        <v>6549</v>
      </c>
      <c r="E1828" s="4">
        <v>2504</v>
      </c>
      <c r="F1828" s="27" t="s">
        <v>6547</v>
      </c>
      <c r="G1828" s="4" t="s">
        <v>6550</v>
      </c>
      <c r="H1828" s="4" t="s">
        <v>6396</v>
      </c>
      <c r="I1828" s="4" t="s">
        <v>1664</v>
      </c>
      <c r="J1828" s="4" t="s">
        <v>6187</v>
      </c>
      <c r="K1828" s="4">
        <v>1</v>
      </c>
      <c r="L1828" s="4">
        <v>2907</v>
      </c>
      <c r="M1828" s="27"/>
      <c r="N1828" s="27"/>
      <c r="O1828" s="27"/>
      <c r="P1828" s="27"/>
      <c r="Q1828" s="27"/>
      <c r="R1828" s="27"/>
      <c r="S1828" s="27"/>
      <c r="T1828" s="27"/>
      <c r="U1828" s="27"/>
      <c r="V1828" s="95"/>
      <c r="W1828" s="95"/>
      <c r="X1828" s="95"/>
      <c r="Y1828" s="95"/>
      <c r="Z1828" s="95"/>
      <c r="AA1828" s="95"/>
      <c r="AB1828" s="95"/>
      <c r="AC1828" s="95"/>
      <c r="AD1828" s="95"/>
      <c r="AE1828" s="95"/>
      <c r="AF1828" s="95"/>
      <c r="AG1828" s="95"/>
      <c r="AH1828" s="95"/>
      <c r="AI1828" s="95"/>
      <c r="AJ1828" s="95"/>
      <c r="AK1828" s="95"/>
      <c r="AL1828" s="95"/>
      <c r="AM1828" s="95"/>
      <c r="AN1828" s="95"/>
      <c r="AO1828" s="95"/>
      <c r="AP1828" s="95"/>
      <c r="AQ1828" s="95"/>
      <c r="AR1828" s="95"/>
      <c r="AS1828" s="95"/>
      <c r="AT1828" s="95"/>
      <c r="AU1828" s="95"/>
      <c r="AV1828" s="95"/>
      <c r="AW1828" s="95"/>
      <c r="AX1828" s="95"/>
      <c r="AY1828" s="95"/>
      <c r="AZ1828" s="95"/>
      <c r="BA1828" s="95"/>
      <c r="BB1828" s="95"/>
      <c r="BC1828" s="95"/>
      <c r="BD1828" s="95"/>
      <c r="BE1828" s="95"/>
      <c r="BF1828" s="95"/>
      <c r="BG1828" s="95"/>
      <c r="BH1828" s="95"/>
      <c r="BI1828" s="95"/>
      <c r="BJ1828" s="95"/>
      <c r="BK1828" s="95"/>
      <c r="BL1828" s="95"/>
      <c r="BM1828" s="95"/>
      <c r="BN1828" s="95"/>
      <c r="BO1828" s="95"/>
      <c r="BP1828" s="95"/>
      <c r="BQ1828" s="95"/>
      <c r="BR1828" s="95"/>
      <c r="BS1828" s="95"/>
      <c r="BT1828" s="95"/>
    </row>
    <row r="1829" spans="1:72" ht="14.25" customHeight="1" x14ac:dyDescent="0.2">
      <c r="B1829" s="4">
        <v>5</v>
      </c>
      <c r="C1829" s="4" t="s">
        <v>7688</v>
      </c>
      <c r="D1829" s="4" t="s">
        <v>6551</v>
      </c>
      <c r="E1829" s="4">
        <v>13089</v>
      </c>
      <c r="F1829" s="4" t="s">
        <v>6552</v>
      </c>
      <c r="G1829" s="4" t="s">
        <v>6553</v>
      </c>
      <c r="H1829" s="4" t="s">
        <v>6246</v>
      </c>
      <c r="I1829" s="4" t="s">
        <v>49</v>
      </c>
      <c r="J1829" s="4" t="s">
        <v>6087</v>
      </c>
      <c r="K1829" s="4">
        <v>1</v>
      </c>
      <c r="L1829" s="4">
        <v>15011</v>
      </c>
      <c r="M1829" s="27">
        <v>-124.13198060000001</v>
      </c>
      <c r="N1829" s="27">
        <v>57.26375556</v>
      </c>
      <c r="O1829" s="27">
        <v>1387</v>
      </c>
      <c r="P1829" s="27" t="s">
        <v>6551</v>
      </c>
      <c r="Q1829" s="27">
        <v>5</v>
      </c>
      <c r="R1829" s="27" t="s">
        <v>6552</v>
      </c>
      <c r="S1829" s="27" t="s">
        <v>6009</v>
      </c>
      <c r="T1829" s="27"/>
      <c r="U1829" s="27"/>
      <c r="V1829" s="27"/>
      <c r="W1829" s="27"/>
      <c r="X1829" s="27"/>
      <c r="Y1829" s="27"/>
      <c r="Z1829" s="27"/>
      <c r="AA1829" s="27"/>
      <c r="AB1829" s="27"/>
      <c r="AC1829" s="27"/>
      <c r="AD1829" s="27"/>
      <c r="AE1829" s="27"/>
      <c r="AF1829" s="27"/>
      <c r="AG1829" s="27"/>
      <c r="AH1829" s="27"/>
      <c r="AI1829" s="27"/>
      <c r="AJ1829" s="27"/>
      <c r="AK1829" s="27"/>
      <c r="AL1829" s="27"/>
      <c r="AM1829" s="27"/>
      <c r="AN1829" s="27"/>
      <c r="AO1829" s="27"/>
      <c r="AP1829" s="27"/>
      <c r="AQ1829" s="27"/>
      <c r="AR1829" s="27"/>
      <c r="AS1829" s="27"/>
      <c r="AT1829" s="27"/>
      <c r="AU1829" s="27"/>
      <c r="AV1829" s="27"/>
      <c r="AW1829" s="27"/>
      <c r="AX1829" s="27"/>
      <c r="AY1829" s="27"/>
      <c r="AZ1829" s="27"/>
      <c r="BA1829" s="27"/>
      <c r="BB1829" s="27"/>
      <c r="BC1829" s="27"/>
      <c r="BD1829" s="27"/>
      <c r="BE1829" s="27"/>
      <c r="BF1829" s="27"/>
      <c r="BG1829" s="27"/>
      <c r="BH1829" s="27"/>
      <c r="BI1829" s="27"/>
      <c r="BJ1829" s="27"/>
      <c r="BK1829" s="27"/>
      <c r="BL1829" s="27"/>
      <c r="BM1829" s="27"/>
      <c r="BN1829" s="27"/>
      <c r="BO1829" s="27"/>
      <c r="BP1829" s="27"/>
      <c r="BQ1829" s="27"/>
      <c r="BR1829" s="27"/>
      <c r="BS1829" s="27"/>
      <c r="BT1829" s="27"/>
    </row>
    <row r="1830" spans="1:72" ht="14.25" customHeight="1" x14ac:dyDescent="0.2">
      <c r="A1830" s="4" t="s">
        <v>2037</v>
      </c>
      <c r="B1830" s="4">
        <v>5</v>
      </c>
      <c r="C1830" s="4" t="s">
        <v>7688</v>
      </c>
      <c r="D1830" s="4" t="s">
        <v>6554</v>
      </c>
      <c r="E1830" s="4">
        <v>12349</v>
      </c>
      <c r="F1830" s="8" t="s">
        <v>6555</v>
      </c>
      <c r="G1830" s="4" t="s">
        <v>6556</v>
      </c>
      <c r="H1830" s="4" t="s">
        <v>6032</v>
      </c>
      <c r="I1830" s="4" t="s">
        <v>49</v>
      </c>
      <c r="J1830" s="4" t="s">
        <v>6258</v>
      </c>
      <c r="K1830" s="4">
        <v>1</v>
      </c>
      <c r="L1830" s="4">
        <v>14405</v>
      </c>
      <c r="M1830" s="37">
        <v>120.902</v>
      </c>
      <c r="N1830" s="37">
        <v>56.203000000000003</v>
      </c>
      <c r="O1830" s="97">
        <v>583</v>
      </c>
      <c r="P1830" s="8" t="s">
        <v>6554</v>
      </c>
      <c r="Q1830" s="8"/>
      <c r="R1830" s="37" t="s">
        <v>6555</v>
      </c>
      <c r="W1830" s="53"/>
      <c r="X1830" s="53"/>
      <c r="Y1830" s="53"/>
      <c r="Z1830" s="53"/>
      <c r="AA1830" s="53"/>
      <c r="AB1830" s="53"/>
      <c r="AC1830" s="53"/>
      <c r="AD1830" s="53"/>
      <c r="AE1830" s="53"/>
      <c r="AF1830" s="53"/>
      <c r="AG1830" s="53"/>
      <c r="AH1830" s="53"/>
      <c r="AI1830" s="53"/>
      <c r="AJ1830" s="53"/>
      <c r="AK1830" s="53"/>
      <c r="AL1830" s="53"/>
      <c r="AM1830" s="53"/>
      <c r="AN1830" s="53"/>
      <c r="AO1830" s="53"/>
      <c r="AP1830" s="53"/>
      <c r="AQ1830" s="53"/>
      <c r="AR1830" s="53"/>
      <c r="AS1830" s="53"/>
      <c r="AT1830" s="53"/>
      <c r="AU1830" s="53"/>
      <c r="AV1830" s="53"/>
      <c r="AW1830" s="53"/>
      <c r="AX1830" s="53"/>
      <c r="AY1830" s="53"/>
      <c r="AZ1830" s="53"/>
      <c r="BA1830" s="53"/>
      <c r="BB1830" s="53"/>
      <c r="BC1830" s="53"/>
      <c r="BD1830" s="53"/>
      <c r="BE1830" s="53"/>
      <c r="BF1830" s="53"/>
      <c r="BG1830" s="53"/>
      <c r="BH1830" s="53"/>
      <c r="BI1830" s="53"/>
      <c r="BJ1830" s="53"/>
      <c r="BK1830" s="53"/>
      <c r="BL1830" s="53"/>
      <c r="BM1830" s="53"/>
      <c r="BN1830" s="53"/>
      <c r="BO1830" s="53"/>
      <c r="BP1830" s="53"/>
      <c r="BQ1830" s="53"/>
      <c r="BR1830" s="53"/>
      <c r="BS1830" s="53"/>
      <c r="BT1830" s="53"/>
    </row>
    <row r="1831" spans="1:72" ht="14.25" customHeight="1" x14ac:dyDescent="0.2">
      <c r="B1831" s="4">
        <v>5</v>
      </c>
      <c r="C1831" s="4" t="s">
        <v>7688</v>
      </c>
      <c r="D1831" s="4" t="s">
        <v>6557</v>
      </c>
      <c r="E1831" s="4">
        <v>2503</v>
      </c>
      <c r="F1831" s="27" t="s">
        <v>6558</v>
      </c>
      <c r="G1831" s="4" t="s">
        <v>6559</v>
      </c>
      <c r="H1831" s="4" t="s">
        <v>6278</v>
      </c>
      <c r="I1831" s="4" t="s">
        <v>1664</v>
      </c>
      <c r="J1831" s="4" t="s">
        <v>6069</v>
      </c>
      <c r="K1831" s="4">
        <v>1</v>
      </c>
      <c r="L1831" s="4">
        <v>2906</v>
      </c>
      <c r="M1831" s="27">
        <v>-117.7012139</v>
      </c>
      <c r="N1831" s="27">
        <v>50.434172220000001</v>
      </c>
      <c r="O1831" s="27">
        <v>1800</v>
      </c>
      <c r="P1831" s="27" t="s">
        <v>6557</v>
      </c>
      <c r="Q1831" s="27">
        <v>6</v>
      </c>
      <c r="R1831" s="27" t="s">
        <v>6560</v>
      </c>
      <c r="S1831" s="27" t="s">
        <v>6009</v>
      </c>
      <c r="T1831" s="27"/>
      <c r="U1831" s="27"/>
      <c r="V1831" s="27"/>
      <c r="W1831" s="27"/>
      <c r="X1831" s="27"/>
      <c r="Y1831" s="27"/>
      <c r="Z1831" s="27"/>
      <c r="AA1831" s="27"/>
      <c r="AB1831" s="27"/>
      <c r="AC1831" s="27"/>
      <c r="AD1831" s="27"/>
      <c r="AE1831" s="27"/>
      <c r="AF1831" s="27"/>
      <c r="AG1831" s="27"/>
      <c r="AH1831" s="27"/>
      <c r="AI1831" s="27"/>
      <c r="AJ1831" s="27"/>
      <c r="AK1831" s="27"/>
      <c r="AL1831" s="27"/>
      <c r="AM1831" s="27"/>
      <c r="AN1831" s="27"/>
      <c r="AO1831" s="27"/>
      <c r="AP1831" s="27"/>
      <c r="AQ1831" s="27"/>
      <c r="AR1831" s="27"/>
      <c r="AS1831" s="27"/>
      <c r="AT1831" s="27"/>
      <c r="AU1831" s="27"/>
      <c r="AV1831" s="27"/>
      <c r="AW1831" s="27"/>
      <c r="AX1831" s="27"/>
      <c r="AY1831" s="27"/>
      <c r="AZ1831" s="27"/>
      <c r="BA1831" s="27"/>
      <c r="BB1831" s="27"/>
      <c r="BC1831" s="27"/>
      <c r="BD1831" s="27"/>
      <c r="BE1831" s="27"/>
      <c r="BF1831" s="27"/>
      <c r="BG1831" s="27"/>
      <c r="BH1831" s="27"/>
      <c r="BI1831" s="27"/>
      <c r="BJ1831" s="27"/>
      <c r="BK1831" s="27"/>
      <c r="BL1831" s="27"/>
      <c r="BM1831" s="27"/>
      <c r="BN1831" s="27"/>
      <c r="BO1831" s="27"/>
      <c r="BP1831" s="27"/>
      <c r="BQ1831" s="27"/>
      <c r="BR1831" s="27"/>
      <c r="BS1831" s="27"/>
      <c r="BT1831" s="27"/>
    </row>
    <row r="1832" spans="1:72" ht="14.25" customHeight="1" x14ac:dyDescent="0.2">
      <c r="A1832" s="4" t="s">
        <v>2037</v>
      </c>
      <c r="B1832" s="4">
        <v>5</v>
      </c>
      <c r="C1832" s="4" t="s">
        <v>7688</v>
      </c>
      <c r="D1832" s="4" t="s">
        <v>6561</v>
      </c>
      <c r="E1832" s="4">
        <v>2505</v>
      </c>
      <c r="F1832" s="8" t="s">
        <v>6562</v>
      </c>
      <c r="G1832" s="4" t="s">
        <v>6563</v>
      </c>
      <c r="H1832" s="4" t="s">
        <v>6564</v>
      </c>
      <c r="I1832" s="4" t="s">
        <v>1664</v>
      </c>
      <c r="J1832" s="4" t="s">
        <v>6046</v>
      </c>
      <c r="K1832" s="4">
        <v>1</v>
      </c>
      <c r="L1832" s="4">
        <v>2908</v>
      </c>
      <c r="M1832" s="37">
        <v>122.32940000000001</v>
      </c>
      <c r="N1832" s="37">
        <v>49.556100000000001</v>
      </c>
      <c r="O1832" s="97">
        <v>330</v>
      </c>
      <c r="P1832" s="37" t="s">
        <v>6561</v>
      </c>
      <c r="Q1832" s="8"/>
      <c r="R1832" s="37" t="s">
        <v>6565</v>
      </c>
      <c r="S1832" s="53"/>
      <c r="T1832" s="53"/>
      <c r="U1832" s="53"/>
      <c r="V1832" s="53"/>
      <c r="W1832" s="53"/>
      <c r="X1832" s="53"/>
      <c r="Y1832" s="53"/>
      <c r="Z1832" s="53"/>
      <c r="AA1832" s="53"/>
      <c r="AB1832" s="53"/>
      <c r="AC1832" s="53"/>
      <c r="AD1832" s="53"/>
      <c r="AE1832" s="53"/>
      <c r="AF1832" s="53"/>
      <c r="AG1832" s="53"/>
      <c r="AH1832" s="53"/>
      <c r="AI1832" s="53"/>
      <c r="AJ1832" s="53"/>
      <c r="AK1832" s="53"/>
      <c r="AL1832" s="53"/>
      <c r="AM1832" s="53"/>
      <c r="AN1832" s="53"/>
      <c r="AO1832" s="53"/>
      <c r="AP1832" s="53"/>
      <c r="AQ1832" s="53"/>
      <c r="AR1832" s="53"/>
      <c r="AS1832" s="53"/>
      <c r="AT1832" s="53"/>
      <c r="AU1832" s="53"/>
      <c r="AV1832" s="53"/>
      <c r="AW1832" s="53"/>
      <c r="AX1832" s="53"/>
      <c r="AY1832" s="53"/>
      <c r="AZ1832" s="53"/>
      <c r="BA1832" s="53"/>
      <c r="BB1832" s="53"/>
      <c r="BC1832" s="53"/>
      <c r="BD1832" s="53"/>
      <c r="BE1832" s="53"/>
      <c r="BF1832" s="53"/>
      <c r="BG1832" s="53"/>
      <c r="BH1832" s="53"/>
      <c r="BI1832" s="53"/>
      <c r="BJ1832" s="53"/>
      <c r="BK1832" s="53"/>
      <c r="BL1832" s="53"/>
      <c r="BM1832" s="53"/>
      <c r="BN1832" s="53"/>
      <c r="BO1832" s="53"/>
      <c r="BP1832" s="53"/>
      <c r="BQ1832" s="53"/>
      <c r="BR1832" s="53"/>
      <c r="BS1832" s="53"/>
      <c r="BT1832" s="53"/>
    </row>
    <row r="1833" spans="1:72" ht="14.25" customHeight="1" x14ac:dyDescent="0.2">
      <c r="B1833" s="4">
        <v>5</v>
      </c>
      <c r="C1833" s="4" t="s">
        <v>7688</v>
      </c>
      <c r="D1833" s="4" t="s">
        <v>6566</v>
      </c>
      <c r="E1833" s="4">
        <v>2506</v>
      </c>
      <c r="F1833" s="4" t="s">
        <v>6567</v>
      </c>
      <c r="G1833" s="4" t="s">
        <v>6568</v>
      </c>
      <c r="H1833" s="4" t="s">
        <v>6040</v>
      </c>
      <c r="I1833" s="4" t="s">
        <v>1664</v>
      </c>
      <c r="J1833" s="4" t="s">
        <v>6046</v>
      </c>
      <c r="K1833" s="4">
        <v>1</v>
      </c>
      <c r="L1833" s="4">
        <v>2909</v>
      </c>
      <c r="M1833" s="9">
        <v>-122.4020556</v>
      </c>
      <c r="N1833" s="9">
        <v>49.623666669999999</v>
      </c>
      <c r="O1833" s="9">
        <v>930</v>
      </c>
      <c r="P1833" s="4" t="s">
        <v>6566</v>
      </c>
      <c r="Q1833" s="70">
        <v>5</v>
      </c>
      <c r="R1833" s="9" t="s">
        <v>6569</v>
      </c>
      <c r="S1833" s="9" t="s">
        <v>6009</v>
      </c>
    </row>
    <row r="1834" spans="1:72" ht="14.25" customHeight="1" x14ac:dyDescent="0.2">
      <c r="B1834" s="4">
        <v>5</v>
      </c>
      <c r="C1834" s="4" t="s">
        <v>7688</v>
      </c>
      <c r="D1834" s="4" t="s">
        <v>6570</v>
      </c>
      <c r="E1834" s="4">
        <v>2501</v>
      </c>
      <c r="F1834" s="4" t="s">
        <v>6571</v>
      </c>
      <c r="G1834" s="4" t="s">
        <v>6572</v>
      </c>
      <c r="H1834" s="4" t="s">
        <v>6573</v>
      </c>
      <c r="I1834" s="4" t="s">
        <v>1664</v>
      </c>
      <c r="J1834" s="4" t="s">
        <v>6187</v>
      </c>
      <c r="K1834" s="4">
        <v>1</v>
      </c>
      <c r="L1834" s="4">
        <v>2904</v>
      </c>
    </row>
    <row r="1835" spans="1:72" ht="14.25" customHeight="1" x14ac:dyDescent="0.2">
      <c r="B1835" s="4">
        <v>5</v>
      </c>
      <c r="C1835" s="4" t="s">
        <v>7688</v>
      </c>
      <c r="D1835" s="4" t="s">
        <v>6574</v>
      </c>
      <c r="E1835" s="4">
        <v>13219</v>
      </c>
      <c r="F1835" s="4" t="s">
        <v>6575</v>
      </c>
      <c r="G1835" s="4" t="s">
        <v>6576</v>
      </c>
      <c r="H1835" s="4" t="s">
        <v>6209</v>
      </c>
      <c r="I1835" s="4" t="s">
        <v>49</v>
      </c>
      <c r="J1835" s="4" t="s">
        <v>6021</v>
      </c>
      <c r="K1835" s="4">
        <v>1</v>
      </c>
      <c r="L1835" s="4">
        <v>15135</v>
      </c>
      <c r="M1835" s="9">
        <v>-117.541639</v>
      </c>
      <c r="N1835" s="9">
        <v>51.716141</v>
      </c>
      <c r="O1835" s="9">
        <v>800</v>
      </c>
      <c r="P1835" s="4" t="s">
        <v>6574</v>
      </c>
      <c r="Q1835" s="70">
        <v>1</v>
      </c>
      <c r="R1835" s="9" t="s">
        <v>6575</v>
      </c>
      <c r="S1835" s="9" t="s">
        <v>6009</v>
      </c>
    </row>
    <row r="1836" spans="1:72" ht="14.25" customHeight="1" x14ac:dyDescent="0.2">
      <c r="A1836" s="4" t="s">
        <v>2037</v>
      </c>
      <c r="B1836" s="4">
        <v>5</v>
      </c>
      <c r="C1836" s="4" t="s">
        <v>7688</v>
      </c>
      <c r="D1836" s="4" t="s">
        <v>6577</v>
      </c>
      <c r="E1836" s="4">
        <v>2502</v>
      </c>
      <c r="F1836" s="36" t="s">
        <v>6578</v>
      </c>
      <c r="G1836" s="4" t="s">
        <v>6579</v>
      </c>
      <c r="H1836" s="4" t="s">
        <v>6580</v>
      </c>
      <c r="I1836" s="4" t="s">
        <v>1664</v>
      </c>
      <c r="J1836" s="4" t="s">
        <v>6046</v>
      </c>
      <c r="K1836" s="4">
        <v>1</v>
      </c>
      <c r="L1836" s="4">
        <v>2905</v>
      </c>
      <c r="M1836" s="26">
        <v>-188.53</v>
      </c>
      <c r="N1836" s="26">
        <v>50.35</v>
      </c>
      <c r="O1836" s="26">
        <v>675</v>
      </c>
      <c r="P1836" s="26" t="s">
        <v>6577</v>
      </c>
      <c r="Q1836" s="26"/>
      <c r="R1836" s="26" t="s">
        <v>6581</v>
      </c>
      <c r="S1836" s="53"/>
      <c r="T1836" s="53"/>
      <c r="U1836" s="95"/>
      <c r="V1836" s="95"/>
      <c r="W1836" s="95"/>
      <c r="X1836" s="95"/>
      <c r="Y1836" s="95"/>
      <c r="Z1836" s="95"/>
      <c r="AA1836" s="95"/>
      <c r="AB1836" s="95"/>
      <c r="AC1836" s="95"/>
      <c r="AD1836" s="95"/>
      <c r="AE1836" s="95"/>
      <c r="AF1836" s="95"/>
      <c r="AG1836" s="95"/>
      <c r="AH1836" s="95"/>
      <c r="AI1836" s="95"/>
      <c r="AJ1836" s="95"/>
      <c r="AK1836" s="95"/>
      <c r="AL1836" s="95"/>
      <c r="AM1836" s="95"/>
      <c r="AN1836" s="95"/>
      <c r="AO1836" s="95"/>
      <c r="AP1836" s="95"/>
      <c r="AQ1836" s="95"/>
      <c r="AR1836" s="95"/>
      <c r="AS1836" s="95"/>
      <c r="AT1836" s="95"/>
      <c r="AU1836" s="95"/>
      <c r="AV1836" s="95"/>
      <c r="AW1836" s="95"/>
      <c r="AX1836" s="95"/>
      <c r="AY1836" s="95"/>
      <c r="AZ1836" s="95"/>
      <c r="BA1836" s="95"/>
      <c r="BB1836" s="95"/>
      <c r="BC1836" s="95"/>
      <c r="BD1836" s="95"/>
      <c r="BE1836" s="95"/>
      <c r="BF1836" s="95"/>
      <c r="BG1836" s="95"/>
      <c r="BH1836" s="95"/>
      <c r="BI1836" s="95"/>
      <c r="BJ1836" s="95"/>
      <c r="BK1836" s="95"/>
      <c r="BL1836" s="95"/>
      <c r="BM1836" s="95"/>
      <c r="BN1836" s="95"/>
      <c r="BO1836" s="95"/>
      <c r="BP1836" s="95"/>
      <c r="BQ1836" s="95"/>
      <c r="BR1836" s="95"/>
      <c r="BS1836" s="95"/>
      <c r="BT1836" s="95"/>
    </row>
    <row r="1837" spans="1:72" ht="14.25" customHeight="1" x14ac:dyDescent="0.2">
      <c r="B1837" s="4">
        <v>5</v>
      </c>
      <c r="C1837" s="4" t="s">
        <v>7688</v>
      </c>
      <c r="D1837" s="4" t="s">
        <v>6582</v>
      </c>
      <c r="E1837" s="4">
        <v>12352</v>
      </c>
      <c r="F1837" s="4" t="s">
        <v>6583</v>
      </c>
      <c r="G1837" s="4" t="s">
        <v>6584</v>
      </c>
      <c r="H1837" s="4" t="s">
        <v>6585</v>
      </c>
      <c r="I1837" s="4" t="s">
        <v>49</v>
      </c>
      <c r="J1837" s="4" t="s">
        <v>6258</v>
      </c>
      <c r="K1837" s="4">
        <v>1</v>
      </c>
      <c r="L1837" s="4">
        <v>14408</v>
      </c>
      <c r="V1837" s="53"/>
      <c r="W1837" s="53"/>
      <c r="X1837" s="53"/>
      <c r="Y1837" s="53"/>
      <c r="Z1837" s="53"/>
      <c r="AA1837" s="53"/>
      <c r="AB1837" s="53"/>
      <c r="AC1837" s="53"/>
      <c r="AD1837" s="53"/>
      <c r="AE1837" s="53"/>
      <c r="AF1837" s="53"/>
      <c r="AG1837" s="53"/>
      <c r="AH1837" s="53"/>
      <c r="AI1837" s="53"/>
      <c r="AJ1837" s="53"/>
      <c r="AK1837" s="53"/>
      <c r="AL1837" s="53"/>
      <c r="AM1837" s="53"/>
      <c r="AN1837" s="53"/>
      <c r="AO1837" s="53"/>
      <c r="AP1837" s="53"/>
      <c r="AQ1837" s="53"/>
      <c r="AR1837" s="53"/>
      <c r="AS1837" s="53"/>
      <c r="AT1837" s="53"/>
      <c r="AU1837" s="53"/>
      <c r="AV1837" s="53"/>
      <c r="AW1837" s="53"/>
      <c r="AX1837" s="53"/>
      <c r="AY1837" s="53"/>
      <c r="AZ1837" s="53"/>
      <c r="BA1837" s="53"/>
      <c r="BB1837" s="53"/>
      <c r="BC1837" s="53"/>
      <c r="BD1837" s="53"/>
      <c r="BE1837" s="53"/>
      <c r="BF1837" s="53"/>
      <c r="BG1837" s="53"/>
      <c r="BH1837" s="53"/>
      <c r="BI1837" s="53"/>
      <c r="BJ1837" s="53"/>
      <c r="BK1837" s="53"/>
      <c r="BL1837" s="53"/>
      <c r="BM1837" s="53"/>
      <c r="BN1837" s="53"/>
      <c r="BO1837" s="53"/>
      <c r="BP1837" s="53"/>
      <c r="BQ1837" s="53"/>
      <c r="BR1837" s="53"/>
      <c r="BS1837" s="53"/>
      <c r="BT1837" s="53"/>
    </row>
    <row r="1838" spans="1:72" ht="14.25" customHeight="1" x14ac:dyDescent="0.2">
      <c r="B1838" s="4">
        <v>5</v>
      </c>
      <c r="C1838" s="4" t="s">
        <v>7688</v>
      </c>
      <c r="D1838" s="4" t="s">
        <v>6586</v>
      </c>
      <c r="E1838" s="4">
        <v>12351</v>
      </c>
      <c r="F1838" s="27" t="s">
        <v>6587</v>
      </c>
      <c r="G1838" s="4" t="s">
        <v>6588</v>
      </c>
      <c r="H1838" s="4" t="s">
        <v>6589</v>
      </c>
      <c r="I1838" s="4" t="s">
        <v>49</v>
      </c>
      <c r="J1838" s="4" t="s">
        <v>6057</v>
      </c>
      <c r="K1838" s="4">
        <v>1</v>
      </c>
      <c r="L1838" s="4">
        <v>14407</v>
      </c>
      <c r="M1838" s="27"/>
      <c r="N1838" s="27"/>
      <c r="O1838" s="27"/>
      <c r="P1838" s="27"/>
      <c r="Q1838" s="27"/>
      <c r="R1838" s="27"/>
      <c r="S1838" s="27"/>
      <c r="T1838" s="27"/>
      <c r="U1838" s="27"/>
      <c r="V1838" s="95"/>
      <c r="W1838" s="95"/>
      <c r="X1838" s="95"/>
      <c r="Y1838" s="95"/>
      <c r="Z1838" s="95"/>
      <c r="AA1838" s="95"/>
      <c r="AB1838" s="95"/>
      <c r="AC1838" s="95"/>
      <c r="AD1838" s="95"/>
      <c r="AE1838" s="95"/>
      <c r="AF1838" s="95"/>
      <c r="AG1838" s="95"/>
      <c r="AH1838" s="95"/>
      <c r="AI1838" s="95"/>
      <c r="AJ1838" s="95"/>
      <c r="AK1838" s="95"/>
      <c r="AL1838" s="95"/>
      <c r="AM1838" s="95"/>
      <c r="AN1838" s="95"/>
      <c r="AO1838" s="95"/>
      <c r="AP1838" s="95"/>
      <c r="AQ1838" s="95"/>
      <c r="AR1838" s="95"/>
      <c r="AS1838" s="95"/>
      <c r="AT1838" s="95"/>
      <c r="AU1838" s="95"/>
      <c r="AV1838" s="95"/>
      <c r="AW1838" s="95"/>
      <c r="AX1838" s="95"/>
      <c r="AY1838" s="95"/>
      <c r="AZ1838" s="95"/>
      <c r="BA1838" s="95"/>
      <c r="BB1838" s="95"/>
      <c r="BC1838" s="95"/>
      <c r="BD1838" s="95"/>
      <c r="BE1838" s="95"/>
      <c r="BF1838" s="95"/>
      <c r="BG1838" s="95"/>
      <c r="BH1838" s="95"/>
      <c r="BI1838" s="95"/>
      <c r="BJ1838" s="95"/>
      <c r="BK1838" s="95"/>
      <c r="BL1838" s="95"/>
      <c r="BM1838" s="95"/>
      <c r="BN1838" s="95"/>
      <c r="BO1838" s="95"/>
      <c r="BP1838" s="95"/>
      <c r="BQ1838" s="95"/>
      <c r="BR1838" s="95"/>
      <c r="BS1838" s="95"/>
      <c r="BT1838" s="95"/>
    </row>
    <row r="1839" spans="1:72" ht="14.25" customHeight="1" x14ac:dyDescent="0.2">
      <c r="A1839" s="4" t="s">
        <v>88</v>
      </c>
      <c r="B1839" s="4">
        <v>5</v>
      </c>
      <c r="C1839" s="4" t="s">
        <v>7688</v>
      </c>
      <c r="D1839" s="4" t="s">
        <v>6590</v>
      </c>
      <c r="E1839" s="4">
        <v>12409</v>
      </c>
      <c r="F1839" s="27" t="s">
        <v>6591</v>
      </c>
      <c r="G1839" s="8" t="s">
        <v>6592</v>
      </c>
      <c r="H1839" s="4" t="s">
        <v>6289</v>
      </c>
      <c r="I1839" s="4" t="s">
        <v>641</v>
      </c>
      <c r="J1839" s="4" t="s">
        <v>6021</v>
      </c>
      <c r="K1839" s="4">
        <v>1</v>
      </c>
      <c r="L1839" s="4">
        <v>14431</v>
      </c>
      <c r="M1839" s="9">
        <v>-122.2397222</v>
      </c>
      <c r="N1839" s="9">
        <v>56.83</v>
      </c>
      <c r="O1839" s="9">
        <v>1011</v>
      </c>
      <c r="P1839" s="4" t="s">
        <v>6590</v>
      </c>
      <c r="Q1839" s="70">
        <v>8</v>
      </c>
      <c r="R1839" s="9" t="s">
        <v>6591</v>
      </c>
      <c r="S1839" s="9" t="s">
        <v>6009</v>
      </c>
      <c r="T1839" s="27"/>
      <c r="U1839" s="27"/>
      <c r="V1839" s="27"/>
      <c r="W1839" s="27"/>
      <c r="X1839" s="27"/>
      <c r="Y1839" s="27"/>
      <c r="Z1839" s="27"/>
      <c r="AA1839" s="27"/>
      <c r="AB1839" s="27"/>
      <c r="AC1839" s="27"/>
      <c r="AD1839" s="27"/>
      <c r="AE1839" s="27"/>
      <c r="AF1839" s="27"/>
      <c r="AG1839" s="27"/>
      <c r="AH1839" s="27"/>
      <c r="AI1839" s="27"/>
      <c r="AJ1839" s="27"/>
      <c r="AK1839" s="27"/>
      <c r="AL1839" s="27"/>
      <c r="AM1839" s="27"/>
      <c r="AN1839" s="27"/>
      <c r="AO1839" s="27"/>
      <c r="AP1839" s="27"/>
      <c r="AQ1839" s="27"/>
      <c r="AR1839" s="27"/>
      <c r="AS1839" s="27"/>
      <c r="AT1839" s="27"/>
      <c r="AU1839" s="27"/>
      <c r="AV1839" s="27"/>
      <c r="AW1839" s="27"/>
      <c r="AX1839" s="27"/>
      <c r="AY1839" s="27"/>
      <c r="AZ1839" s="27"/>
      <c r="BA1839" s="27"/>
      <c r="BB1839" s="27"/>
      <c r="BC1839" s="27"/>
      <c r="BD1839" s="27"/>
      <c r="BE1839" s="27"/>
      <c r="BF1839" s="27"/>
      <c r="BG1839" s="27"/>
      <c r="BH1839" s="27"/>
      <c r="BI1839" s="27"/>
      <c r="BJ1839" s="27"/>
      <c r="BK1839" s="27"/>
      <c r="BL1839" s="27"/>
      <c r="BM1839" s="27"/>
      <c r="BN1839" s="27"/>
      <c r="BO1839" s="27"/>
      <c r="BP1839" s="27"/>
      <c r="BQ1839" s="27"/>
      <c r="BR1839" s="27"/>
      <c r="BS1839" s="27"/>
      <c r="BT1839" s="27"/>
    </row>
    <row r="1840" spans="1:72" ht="14.25" customHeight="1" x14ac:dyDescent="0.2">
      <c r="B1840" s="4">
        <v>5</v>
      </c>
      <c r="C1840" s="4" t="s">
        <v>7688</v>
      </c>
      <c r="D1840" s="4" t="s">
        <v>6593</v>
      </c>
      <c r="E1840" s="4">
        <v>13117</v>
      </c>
      <c r="F1840" s="4" t="s">
        <v>6594</v>
      </c>
      <c r="G1840" s="4" t="s">
        <v>7695</v>
      </c>
      <c r="H1840" s="4" t="s">
        <v>6086</v>
      </c>
      <c r="I1840" s="4" t="s">
        <v>49</v>
      </c>
      <c r="J1840" s="4" t="s">
        <v>6087</v>
      </c>
      <c r="K1840" s="4">
        <v>1</v>
      </c>
      <c r="L1840" s="4">
        <v>15039</v>
      </c>
      <c r="M1840" s="9">
        <v>-124.096333</v>
      </c>
      <c r="N1840" s="9">
        <v>55.416350000000001</v>
      </c>
      <c r="O1840" s="9">
        <v>1189</v>
      </c>
      <c r="P1840" s="4" t="s">
        <v>6593</v>
      </c>
      <c r="Q1840" s="70">
        <v>5</v>
      </c>
      <c r="R1840" s="9" t="s">
        <v>6594</v>
      </c>
      <c r="S1840" s="9" t="s">
        <v>6009</v>
      </c>
    </row>
    <row r="1841" spans="1:72" ht="14.25" customHeight="1" x14ac:dyDescent="0.2">
      <c r="B1841" s="4">
        <v>5</v>
      </c>
      <c r="C1841" s="4" t="s">
        <v>7688</v>
      </c>
      <c r="D1841" s="4" t="s">
        <v>6596</v>
      </c>
      <c r="E1841" s="4">
        <v>12410</v>
      </c>
      <c r="F1841" s="4" t="s">
        <v>6597</v>
      </c>
      <c r="G1841" s="4" t="s">
        <v>6598</v>
      </c>
      <c r="H1841" s="4" t="s">
        <v>6201</v>
      </c>
      <c r="I1841" s="4" t="s">
        <v>641</v>
      </c>
      <c r="J1841" s="4" t="s">
        <v>6021</v>
      </c>
      <c r="K1841" s="4">
        <v>1</v>
      </c>
      <c r="L1841" s="4">
        <v>14432</v>
      </c>
      <c r="M1841" s="9">
        <v>-125.5844333</v>
      </c>
      <c r="N1841" s="9">
        <v>49.972666670000002</v>
      </c>
      <c r="O1841" s="9">
        <v>249</v>
      </c>
      <c r="P1841" s="4" t="s">
        <v>6596</v>
      </c>
      <c r="Q1841" s="70">
        <v>4</v>
      </c>
      <c r="R1841" s="9" t="s">
        <v>6597</v>
      </c>
      <c r="S1841" s="9" t="s">
        <v>6009</v>
      </c>
    </row>
    <row r="1842" spans="1:72" ht="14.25" customHeight="1" x14ac:dyDescent="0.2">
      <c r="B1842" s="4">
        <v>5</v>
      </c>
      <c r="C1842" s="4" t="s">
        <v>7688</v>
      </c>
      <c r="D1842" s="4" t="s">
        <v>6599</v>
      </c>
      <c r="E1842" s="4">
        <v>2445</v>
      </c>
      <c r="F1842" s="4" t="s">
        <v>6600</v>
      </c>
      <c r="G1842" s="4" t="s">
        <v>6601</v>
      </c>
      <c r="H1842" s="4" t="s">
        <v>6040</v>
      </c>
      <c r="I1842" s="4" t="s">
        <v>1664</v>
      </c>
      <c r="J1842" s="4" t="s">
        <v>6046</v>
      </c>
      <c r="K1842" s="4">
        <v>1</v>
      </c>
      <c r="L1842" s="4">
        <v>2848</v>
      </c>
      <c r="M1842" s="8">
        <v>-123.13333</v>
      </c>
      <c r="N1842" s="8">
        <v>50.122199999999999</v>
      </c>
      <c r="O1842" s="8">
        <v>880</v>
      </c>
      <c r="P1842" s="8" t="s">
        <v>6602</v>
      </c>
      <c r="Q1842" s="8"/>
      <c r="R1842" s="8" t="s">
        <v>6600</v>
      </c>
      <c r="S1842" s="53"/>
      <c r="T1842" s="53"/>
      <c r="U1842" s="53"/>
      <c r="V1842" s="53"/>
      <c r="W1842" s="53"/>
      <c r="X1842" s="53"/>
      <c r="Y1842" s="53"/>
      <c r="Z1842" s="53"/>
      <c r="AA1842" s="53"/>
      <c r="AB1842" s="53"/>
      <c r="AC1842" s="53"/>
      <c r="AD1842" s="53"/>
      <c r="AE1842" s="53"/>
      <c r="AF1842" s="53"/>
      <c r="AG1842" s="53"/>
      <c r="AH1842" s="53"/>
      <c r="AI1842" s="53"/>
      <c r="AJ1842" s="53"/>
      <c r="AK1842" s="53"/>
      <c r="AL1842" s="53"/>
      <c r="AM1842" s="53"/>
      <c r="AN1842" s="53"/>
      <c r="AO1842" s="53"/>
      <c r="AP1842" s="53"/>
      <c r="AQ1842" s="53"/>
      <c r="AR1842" s="53"/>
      <c r="AS1842" s="53"/>
      <c r="AT1842" s="53"/>
      <c r="AU1842" s="53"/>
      <c r="AV1842" s="53"/>
      <c r="AW1842" s="53"/>
      <c r="AX1842" s="53"/>
      <c r="AY1842" s="53"/>
      <c r="AZ1842" s="53"/>
      <c r="BA1842" s="53"/>
      <c r="BB1842" s="53"/>
      <c r="BC1842" s="53"/>
      <c r="BD1842" s="53"/>
      <c r="BE1842" s="53"/>
      <c r="BF1842" s="53"/>
      <c r="BG1842" s="53"/>
      <c r="BH1842" s="53"/>
      <c r="BI1842" s="53"/>
      <c r="BJ1842" s="53"/>
      <c r="BK1842" s="53"/>
      <c r="BL1842" s="53"/>
      <c r="BM1842" s="53"/>
      <c r="BN1842" s="53"/>
      <c r="BO1842" s="53"/>
      <c r="BP1842" s="53"/>
      <c r="BQ1842" s="53"/>
      <c r="BR1842" s="53"/>
      <c r="BS1842" s="53"/>
      <c r="BT1842" s="53"/>
    </row>
    <row r="1843" spans="1:72" ht="14.25" customHeight="1" x14ac:dyDescent="0.2">
      <c r="A1843" s="4" t="s">
        <v>2037</v>
      </c>
      <c r="B1843" s="4">
        <v>5</v>
      </c>
      <c r="C1843" s="4" t="s">
        <v>7688</v>
      </c>
      <c r="D1843" s="4" t="s">
        <v>6603</v>
      </c>
      <c r="E1843" s="4">
        <v>2507</v>
      </c>
      <c r="F1843" s="8" t="s">
        <v>6604</v>
      </c>
      <c r="G1843" s="4" t="s">
        <v>6605</v>
      </c>
      <c r="H1843" s="4" t="s">
        <v>6040</v>
      </c>
      <c r="I1843" s="4" t="s">
        <v>1664</v>
      </c>
      <c r="J1843" s="4" t="s">
        <v>6046</v>
      </c>
      <c r="K1843" s="4">
        <v>1</v>
      </c>
      <c r="L1843" s="4">
        <v>2910</v>
      </c>
      <c r="M1843" s="9">
        <v>-121.6186111</v>
      </c>
      <c r="N1843" s="9">
        <v>49.231944439999999</v>
      </c>
      <c r="O1843" s="9">
        <v>641</v>
      </c>
      <c r="P1843" s="4" t="s">
        <v>6603</v>
      </c>
      <c r="Q1843" s="70">
        <v>4</v>
      </c>
      <c r="R1843" s="9" t="s">
        <v>6606</v>
      </c>
      <c r="S1843" s="9" t="s">
        <v>6009</v>
      </c>
    </row>
    <row r="1844" spans="1:72" ht="14.25" customHeight="1" x14ac:dyDescent="0.2">
      <c r="B1844" s="4">
        <v>5</v>
      </c>
      <c r="C1844" s="4" t="s">
        <v>7688</v>
      </c>
      <c r="D1844" s="4" t="s">
        <v>6607</v>
      </c>
      <c r="E1844" s="4">
        <v>13090</v>
      </c>
      <c r="F1844" s="4" t="s">
        <v>6608</v>
      </c>
      <c r="G1844" s="4" t="s">
        <v>6609</v>
      </c>
      <c r="H1844" s="4" t="s">
        <v>6014</v>
      </c>
      <c r="I1844" s="4" t="s">
        <v>49</v>
      </c>
      <c r="J1844" s="4" t="s">
        <v>6610</v>
      </c>
      <c r="K1844" s="4">
        <v>1</v>
      </c>
      <c r="L1844" s="4">
        <v>15012</v>
      </c>
      <c r="M1844" s="4">
        <v>-125.6773389</v>
      </c>
      <c r="N1844" s="4">
        <v>57.407555559999999</v>
      </c>
      <c r="O1844" s="4">
        <v>971</v>
      </c>
      <c r="P1844" s="4" t="s">
        <v>6607</v>
      </c>
      <c r="Q1844" s="4">
        <v>2</v>
      </c>
      <c r="R1844" s="4" t="s">
        <v>6608</v>
      </c>
      <c r="S1844" s="4" t="s">
        <v>6009</v>
      </c>
    </row>
    <row r="1845" spans="1:72" ht="14.25" customHeight="1" x14ac:dyDescent="0.2">
      <c r="B1845" s="4">
        <v>5</v>
      </c>
      <c r="C1845" s="4" t="s">
        <v>7688</v>
      </c>
      <c r="D1845" s="4" t="s">
        <v>6611</v>
      </c>
      <c r="E1845" s="4">
        <v>12414</v>
      </c>
      <c r="F1845" s="4" t="s">
        <v>6612</v>
      </c>
      <c r="G1845" s="4" t="s">
        <v>6613</v>
      </c>
      <c r="H1845" s="4" t="s">
        <v>6289</v>
      </c>
      <c r="I1845" s="4" t="s">
        <v>641</v>
      </c>
      <c r="J1845" s="4" t="s">
        <v>6087</v>
      </c>
      <c r="K1845" s="4">
        <v>1</v>
      </c>
      <c r="L1845" s="4">
        <v>14436</v>
      </c>
      <c r="M1845" s="4">
        <v>-125.7004694</v>
      </c>
      <c r="N1845" s="4">
        <v>57.396180559999998</v>
      </c>
      <c r="O1845" s="4">
        <v>1565</v>
      </c>
      <c r="P1845" s="4" t="s">
        <v>6611</v>
      </c>
      <c r="Q1845" s="4">
        <v>7</v>
      </c>
      <c r="R1845" s="4" t="s">
        <v>6612</v>
      </c>
      <c r="S1845" s="4" t="s">
        <v>6009</v>
      </c>
    </row>
    <row r="1846" spans="1:72" ht="14.25" customHeight="1" x14ac:dyDescent="0.2">
      <c r="B1846" s="4">
        <v>5</v>
      </c>
      <c r="C1846" s="4" t="s">
        <v>7688</v>
      </c>
      <c r="D1846" s="4" t="s">
        <v>6614</v>
      </c>
      <c r="E1846" s="4">
        <v>12411</v>
      </c>
      <c r="F1846" s="4" t="s">
        <v>6615</v>
      </c>
      <c r="G1846" s="4" t="s">
        <v>6616</v>
      </c>
      <c r="H1846" s="4" t="s">
        <v>6289</v>
      </c>
      <c r="I1846" s="4" t="s">
        <v>641</v>
      </c>
      <c r="J1846" s="4" t="s">
        <v>6127</v>
      </c>
      <c r="K1846" s="4">
        <v>1</v>
      </c>
      <c r="L1846" s="4">
        <v>14433</v>
      </c>
      <c r="M1846" s="4">
        <v>-116.6294111</v>
      </c>
      <c r="N1846" s="4">
        <v>51.696302780000003</v>
      </c>
      <c r="O1846" s="4">
        <v>2122</v>
      </c>
      <c r="P1846" s="4" t="s">
        <v>6614</v>
      </c>
      <c r="Q1846" s="4">
        <v>7</v>
      </c>
      <c r="R1846" s="4" t="s">
        <v>6615</v>
      </c>
      <c r="S1846" s="4" t="s">
        <v>6009</v>
      </c>
    </row>
    <row r="1847" spans="1:72" ht="14.25" customHeight="1" x14ac:dyDescent="0.2">
      <c r="A1847" s="4" t="s">
        <v>772</v>
      </c>
      <c r="B1847" s="4">
        <v>5</v>
      </c>
      <c r="C1847" s="4" t="s">
        <v>7688</v>
      </c>
      <c r="D1847" s="4" t="s">
        <v>6617</v>
      </c>
      <c r="E1847" s="4">
        <v>2477</v>
      </c>
      <c r="F1847" s="36" t="s">
        <v>6618</v>
      </c>
      <c r="G1847" s="8" t="s">
        <v>6619</v>
      </c>
      <c r="H1847" s="4" t="s">
        <v>6620</v>
      </c>
      <c r="I1847" s="4" t="s">
        <v>1664</v>
      </c>
      <c r="J1847" s="4" t="s">
        <v>6046</v>
      </c>
      <c r="K1847" s="4">
        <v>1</v>
      </c>
      <c r="L1847" s="4">
        <v>2880</v>
      </c>
      <c r="M1847" s="4">
        <v>-123.74818999999999</v>
      </c>
      <c r="N1847" s="4">
        <v>56.049970000000002</v>
      </c>
      <c r="O1847" s="4">
        <v>712</v>
      </c>
      <c r="P1847" s="4" t="s">
        <v>6617</v>
      </c>
      <c r="Q1847" s="4">
        <v>1</v>
      </c>
      <c r="R1847" s="4" t="s">
        <v>6621</v>
      </c>
      <c r="S1847" s="4" t="s">
        <v>6009</v>
      </c>
      <c r="U1847" s="27"/>
      <c r="V1847" s="27"/>
      <c r="W1847" s="27"/>
      <c r="X1847" s="27"/>
      <c r="Y1847" s="27"/>
      <c r="Z1847" s="27"/>
      <c r="AA1847" s="27"/>
      <c r="AB1847" s="27"/>
      <c r="AC1847" s="27"/>
      <c r="AD1847" s="27"/>
      <c r="AE1847" s="27"/>
      <c r="AF1847" s="27"/>
      <c r="AG1847" s="27"/>
      <c r="AH1847" s="27"/>
      <c r="AI1847" s="27"/>
      <c r="AJ1847" s="27"/>
      <c r="AK1847" s="27"/>
      <c r="AL1847" s="27"/>
      <c r="AM1847" s="27"/>
      <c r="AN1847" s="27"/>
      <c r="AO1847" s="27"/>
      <c r="AP1847" s="27"/>
      <c r="AQ1847" s="27"/>
      <c r="AR1847" s="27"/>
      <c r="AS1847" s="27"/>
      <c r="AT1847" s="27"/>
      <c r="AU1847" s="27"/>
      <c r="AV1847" s="27"/>
      <c r="AW1847" s="27"/>
      <c r="AX1847" s="27"/>
      <c r="AY1847" s="27"/>
      <c r="AZ1847" s="27"/>
      <c r="BA1847" s="27"/>
      <c r="BB1847" s="27"/>
      <c r="BC1847" s="27"/>
      <c r="BD1847" s="27"/>
      <c r="BE1847" s="27"/>
      <c r="BF1847" s="27"/>
      <c r="BG1847" s="27"/>
      <c r="BH1847" s="27"/>
      <c r="BI1847" s="27"/>
      <c r="BJ1847" s="27"/>
      <c r="BK1847" s="27"/>
      <c r="BL1847" s="27"/>
      <c r="BM1847" s="27"/>
      <c r="BN1847" s="27"/>
      <c r="BO1847" s="27"/>
      <c r="BP1847" s="27"/>
      <c r="BQ1847" s="27"/>
      <c r="BR1847" s="27"/>
      <c r="BS1847" s="27"/>
      <c r="BT1847" s="27"/>
    </row>
    <row r="1848" spans="1:72" ht="14.25" customHeight="1" x14ac:dyDescent="0.2">
      <c r="A1848" s="4" t="s">
        <v>2037</v>
      </c>
      <c r="B1848" s="4">
        <v>5</v>
      </c>
      <c r="C1848" s="4" t="s">
        <v>7688</v>
      </c>
      <c r="D1848" s="4" t="s">
        <v>6622</v>
      </c>
      <c r="E1848" s="4">
        <v>2510</v>
      </c>
      <c r="F1848" s="8" t="s">
        <v>6623</v>
      </c>
      <c r="G1848" s="4" t="s">
        <v>6624</v>
      </c>
      <c r="H1848" s="4" t="s">
        <v>6625</v>
      </c>
      <c r="I1848" s="4" t="s">
        <v>1664</v>
      </c>
      <c r="J1848" s="4" t="s">
        <v>6046</v>
      </c>
      <c r="K1848" s="4">
        <v>1</v>
      </c>
      <c r="L1848" s="4">
        <v>2913</v>
      </c>
      <c r="M1848" s="98">
        <v>122.715833</v>
      </c>
      <c r="N1848" s="98">
        <v>56.106099999999998</v>
      </c>
      <c r="O1848" s="99">
        <v>676</v>
      </c>
      <c r="P1848" s="53" t="s">
        <v>6622</v>
      </c>
      <c r="Q1848" s="53"/>
      <c r="R1848" s="98" t="s">
        <v>6626</v>
      </c>
      <c r="S1848" s="53"/>
      <c r="T1848" s="53"/>
      <c r="U1848" s="53"/>
      <c r="V1848" s="53"/>
      <c r="W1848" s="53"/>
      <c r="X1848" s="53"/>
      <c r="Y1848" s="53"/>
      <c r="Z1848" s="53"/>
      <c r="AA1848" s="53"/>
      <c r="AB1848" s="53"/>
      <c r="AC1848" s="53"/>
      <c r="AD1848" s="53"/>
      <c r="AE1848" s="53"/>
      <c r="AF1848" s="53"/>
      <c r="AG1848" s="53"/>
      <c r="AH1848" s="53"/>
      <c r="AI1848" s="53"/>
      <c r="AJ1848" s="53"/>
      <c r="AK1848" s="53"/>
      <c r="AL1848" s="53"/>
      <c r="AM1848" s="53"/>
      <c r="AN1848" s="53"/>
      <c r="AO1848" s="53"/>
      <c r="AP1848" s="53"/>
      <c r="AQ1848" s="53"/>
      <c r="AR1848" s="53"/>
      <c r="AS1848" s="53"/>
      <c r="AT1848" s="53"/>
      <c r="AU1848" s="53"/>
      <c r="AV1848" s="53"/>
      <c r="AW1848" s="53"/>
      <c r="AX1848" s="53"/>
      <c r="AY1848" s="53"/>
      <c r="AZ1848" s="53"/>
      <c r="BA1848" s="53"/>
      <c r="BB1848" s="53"/>
      <c r="BC1848" s="53"/>
      <c r="BD1848" s="53"/>
      <c r="BE1848" s="53"/>
      <c r="BF1848" s="53"/>
      <c r="BG1848" s="53"/>
      <c r="BH1848" s="53"/>
      <c r="BI1848" s="53"/>
      <c r="BJ1848" s="53"/>
      <c r="BK1848" s="53"/>
      <c r="BL1848" s="53"/>
      <c r="BM1848" s="53"/>
      <c r="BN1848" s="53"/>
      <c r="BO1848" s="53"/>
      <c r="BP1848" s="53"/>
      <c r="BQ1848" s="53"/>
      <c r="BR1848" s="53"/>
      <c r="BS1848" s="53"/>
      <c r="BT1848" s="53"/>
    </row>
    <row r="1849" spans="1:72" ht="14.25" customHeight="1" x14ac:dyDescent="0.2">
      <c r="A1849" s="4" t="s">
        <v>1908</v>
      </c>
      <c r="B1849" s="4">
        <v>5</v>
      </c>
      <c r="C1849" s="4" t="s">
        <v>7688</v>
      </c>
      <c r="D1849" s="4" t="s">
        <v>6627</v>
      </c>
      <c r="E1849" s="4">
        <v>2508</v>
      </c>
      <c r="F1849" s="36" t="s">
        <v>6628</v>
      </c>
      <c r="G1849" s="8" t="s">
        <v>6629</v>
      </c>
      <c r="H1849" s="4" t="s">
        <v>6630</v>
      </c>
      <c r="I1849" s="4" t="s">
        <v>1664</v>
      </c>
      <c r="J1849" s="4" t="s">
        <v>6069</v>
      </c>
      <c r="K1849" s="4">
        <v>1</v>
      </c>
      <c r="L1849" s="4">
        <v>2911</v>
      </c>
      <c r="M1849" s="9">
        <v>-125.67925</v>
      </c>
      <c r="N1849" s="9">
        <v>49.704138890000003</v>
      </c>
      <c r="O1849" s="9">
        <v>1490</v>
      </c>
      <c r="P1849" s="4" t="s">
        <v>6627</v>
      </c>
      <c r="Q1849" s="70">
        <v>8</v>
      </c>
      <c r="R1849" s="9" t="s">
        <v>6631</v>
      </c>
      <c r="S1849" s="9" t="s">
        <v>6009</v>
      </c>
      <c r="U1849" s="27"/>
      <c r="V1849" s="27"/>
      <c r="W1849" s="27"/>
      <c r="X1849" s="27"/>
      <c r="Y1849" s="27"/>
      <c r="Z1849" s="27"/>
      <c r="AA1849" s="27"/>
      <c r="AB1849" s="27"/>
      <c r="AC1849" s="27"/>
      <c r="AD1849" s="27"/>
      <c r="AE1849" s="27"/>
      <c r="AF1849" s="27"/>
      <c r="AG1849" s="27"/>
      <c r="AH1849" s="27"/>
      <c r="AI1849" s="27"/>
      <c r="AJ1849" s="27"/>
      <c r="AK1849" s="27"/>
      <c r="AL1849" s="27"/>
      <c r="AM1849" s="27"/>
      <c r="AN1849" s="27"/>
      <c r="AO1849" s="27"/>
      <c r="AP1849" s="27"/>
      <c r="AQ1849" s="27"/>
      <c r="AR1849" s="27"/>
      <c r="AS1849" s="27"/>
      <c r="AT1849" s="27"/>
      <c r="AU1849" s="27"/>
      <c r="AV1849" s="27"/>
      <c r="AW1849" s="27"/>
      <c r="AX1849" s="27"/>
      <c r="AY1849" s="27"/>
      <c r="AZ1849" s="27"/>
      <c r="BA1849" s="27"/>
      <c r="BB1849" s="27"/>
      <c r="BC1849" s="27"/>
      <c r="BD1849" s="27"/>
      <c r="BE1849" s="27"/>
      <c r="BF1849" s="27"/>
      <c r="BG1849" s="27"/>
      <c r="BH1849" s="27"/>
      <c r="BI1849" s="27"/>
      <c r="BJ1849" s="27"/>
      <c r="BK1849" s="27"/>
      <c r="BL1849" s="27"/>
      <c r="BM1849" s="27"/>
      <c r="BN1849" s="27"/>
      <c r="BO1849" s="27"/>
      <c r="BP1849" s="27"/>
      <c r="BQ1849" s="27"/>
      <c r="BR1849" s="27"/>
      <c r="BS1849" s="27"/>
      <c r="BT1849" s="27"/>
    </row>
    <row r="1850" spans="1:72" ht="14.25" customHeight="1" x14ac:dyDescent="0.2">
      <c r="A1850" s="4" t="s">
        <v>88</v>
      </c>
      <c r="B1850" s="4">
        <v>5</v>
      </c>
      <c r="C1850" s="4" t="s">
        <v>7688</v>
      </c>
      <c r="D1850" s="4" t="s">
        <v>6632</v>
      </c>
      <c r="E1850" s="4">
        <v>2509</v>
      </c>
      <c r="F1850" s="4" t="s">
        <v>6633</v>
      </c>
      <c r="G1850" s="8" t="s">
        <v>6634</v>
      </c>
      <c r="H1850" s="4" t="s">
        <v>6635</v>
      </c>
      <c r="I1850" s="4" t="s">
        <v>1664</v>
      </c>
      <c r="J1850" s="4" t="s">
        <v>6046</v>
      </c>
      <c r="K1850" s="4">
        <v>1</v>
      </c>
      <c r="L1850" s="4">
        <v>2912</v>
      </c>
      <c r="M1850" s="9">
        <v>-121.1381111</v>
      </c>
      <c r="N1850" s="9">
        <v>56.728930560000002</v>
      </c>
      <c r="O1850" s="9">
        <v>925</v>
      </c>
      <c r="P1850" s="4" t="s">
        <v>6632</v>
      </c>
      <c r="Q1850" s="70">
        <v>7</v>
      </c>
      <c r="R1850" s="9" t="s">
        <v>6633</v>
      </c>
      <c r="S1850" s="9" t="s">
        <v>6009</v>
      </c>
    </row>
    <row r="1851" spans="1:72" ht="14.25" customHeight="1" x14ac:dyDescent="0.2">
      <c r="A1851" s="4" t="s">
        <v>5043</v>
      </c>
      <c r="B1851" s="4">
        <v>14</v>
      </c>
      <c r="C1851" s="4" t="s">
        <v>7696</v>
      </c>
      <c r="D1851" s="4" t="s">
        <v>6637</v>
      </c>
      <c r="E1851" s="4">
        <v>2569</v>
      </c>
      <c r="F1851" s="4" t="s">
        <v>6038</v>
      </c>
      <c r="G1851" s="4" t="s">
        <v>6638</v>
      </c>
      <c r="H1851" s="4" t="s">
        <v>6639</v>
      </c>
      <c r="I1851" s="4" t="s">
        <v>1664</v>
      </c>
      <c r="J1851" s="4" t="s">
        <v>6640</v>
      </c>
      <c r="K1851" s="4">
        <v>1</v>
      </c>
      <c r="L1851" s="4">
        <v>2972</v>
      </c>
    </row>
    <row r="1852" spans="1:72" ht="14.25" customHeight="1" x14ac:dyDescent="0.2">
      <c r="B1852" s="4">
        <v>14</v>
      </c>
      <c r="C1852" s="4" t="s">
        <v>7690</v>
      </c>
      <c r="D1852" s="4" t="s">
        <v>6641</v>
      </c>
      <c r="E1852" s="4">
        <v>2535</v>
      </c>
      <c r="F1852" s="4" t="s">
        <v>6642</v>
      </c>
      <c r="G1852" s="4" t="s">
        <v>6643</v>
      </c>
      <c r="H1852" s="4" t="s">
        <v>6644</v>
      </c>
      <c r="I1852" s="4" t="s">
        <v>1664</v>
      </c>
      <c r="J1852" s="4" t="s">
        <v>6645</v>
      </c>
      <c r="K1852" s="4">
        <v>1</v>
      </c>
      <c r="L1852" s="4">
        <v>2938</v>
      </c>
      <c r="M1852" s="9">
        <v>-119.7238333</v>
      </c>
      <c r="N1852" s="9">
        <v>52.59566667</v>
      </c>
      <c r="O1852" s="9">
        <v>1620</v>
      </c>
      <c r="P1852" s="14" t="s">
        <v>6641</v>
      </c>
      <c r="Q1852" s="70">
        <v>5</v>
      </c>
      <c r="R1852" s="9" t="s">
        <v>6642</v>
      </c>
      <c r="S1852" s="9" t="s">
        <v>6646</v>
      </c>
    </row>
    <row r="1853" spans="1:72" ht="14.25" customHeight="1" x14ac:dyDescent="0.2">
      <c r="B1853" s="4">
        <v>14</v>
      </c>
      <c r="C1853" s="4" t="s">
        <v>7690</v>
      </c>
      <c r="D1853" s="4" t="s">
        <v>6647</v>
      </c>
      <c r="E1853" s="4">
        <v>2514</v>
      </c>
      <c r="F1853" s="4" t="s">
        <v>6648</v>
      </c>
      <c r="G1853" s="4" t="s">
        <v>6649</v>
      </c>
      <c r="H1853" s="4" t="s">
        <v>6650</v>
      </c>
      <c r="I1853" s="4" t="s">
        <v>1664</v>
      </c>
      <c r="J1853" s="4" t="s">
        <v>6645</v>
      </c>
      <c r="K1853" s="4">
        <v>1</v>
      </c>
      <c r="L1853" s="4">
        <v>2917</v>
      </c>
      <c r="M1853" s="9">
        <v>-121.491</v>
      </c>
      <c r="N1853" s="9">
        <v>53.056833330000003</v>
      </c>
      <c r="O1853" s="9">
        <v>1480</v>
      </c>
      <c r="P1853" s="14" t="s">
        <v>6647</v>
      </c>
      <c r="Q1853" s="70">
        <v>4</v>
      </c>
      <c r="R1853" s="9" t="s">
        <v>6648</v>
      </c>
      <c r="S1853" s="9" t="s">
        <v>6646</v>
      </c>
    </row>
    <row r="1854" spans="1:72" ht="14.25" customHeight="1" x14ac:dyDescent="0.2">
      <c r="A1854" s="4" t="s">
        <v>6651</v>
      </c>
      <c r="B1854" s="4">
        <v>14</v>
      </c>
      <c r="C1854" s="8" t="s">
        <v>7696</v>
      </c>
      <c r="D1854" s="4" t="s">
        <v>6652</v>
      </c>
      <c r="E1854" s="4">
        <v>2545</v>
      </c>
      <c r="F1854" s="4" t="s">
        <v>6070</v>
      </c>
      <c r="G1854" s="4" t="s">
        <v>6653</v>
      </c>
      <c r="H1854" s="4" t="s">
        <v>6654</v>
      </c>
      <c r="I1854" s="4" t="s">
        <v>1664</v>
      </c>
      <c r="J1854" s="4" t="s">
        <v>5996</v>
      </c>
      <c r="K1854" s="4">
        <v>1</v>
      </c>
      <c r="L1854" s="4">
        <v>2948</v>
      </c>
      <c r="M1854" s="27"/>
      <c r="N1854" s="27"/>
      <c r="O1854" s="27"/>
      <c r="P1854" s="27"/>
      <c r="Q1854" s="27"/>
      <c r="R1854" s="27"/>
      <c r="S1854" s="27"/>
      <c r="T1854" s="27"/>
      <c r="U1854" s="27"/>
      <c r="V1854" s="27"/>
      <c r="W1854" s="27"/>
      <c r="X1854" s="27"/>
      <c r="Y1854" s="27"/>
      <c r="Z1854" s="27"/>
      <c r="AA1854" s="27"/>
      <c r="AB1854" s="27"/>
      <c r="AC1854" s="27"/>
      <c r="AD1854" s="27"/>
      <c r="AE1854" s="27"/>
      <c r="AF1854" s="27"/>
      <c r="AG1854" s="27"/>
      <c r="AH1854" s="27"/>
      <c r="AI1854" s="27"/>
      <c r="AJ1854" s="27"/>
      <c r="AK1854" s="27"/>
      <c r="AL1854" s="27"/>
      <c r="AM1854" s="27"/>
      <c r="AN1854" s="27"/>
      <c r="AO1854" s="27"/>
      <c r="AP1854" s="27"/>
      <c r="AQ1854" s="27"/>
      <c r="AR1854" s="27"/>
      <c r="AS1854" s="27"/>
      <c r="AT1854" s="27"/>
      <c r="AU1854" s="27"/>
      <c r="AV1854" s="27"/>
      <c r="AW1854" s="27"/>
      <c r="AX1854" s="27"/>
      <c r="AY1854" s="27"/>
      <c r="AZ1854" s="27"/>
      <c r="BA1854" s="27"/>
      <c r="BB1854" s="27"/>
      <c r="BC1854" s="27"/>
      <c r="BD1854" s="27"/>
      <c r="BE1854" s="27"/>
      <c r="BF1854" s="27"/>
      <c r="BG1854" s="27"/>
      <c r="BH1854" s="27"/>
      <c r="BI1854" s="27"/>
      <c r="BJ1854" s="27"/>
      <c r="BK1854" s="27"/>
      <c r="BL1854" s="27"/>
      <c r="BM1854" s="27"/>
      <c r="BN1854" s="27"/>
      <c r="BO1854" s="27"/>
      <c r="BP1854" s="27"/>
      <c r="BQ1854" s="27"/>
      <c r="BR1854" s="27"/>
      <c r="BS1854" s="27"/>
      <c r="BT1854" s="27"/>
    </row>
    <row r="1855" spans="1:72" ht="14.25" customHeight="1" x14ac:dyDescent="0.2">
      <c r="B1855" s="4">
        <v>14</v>
      </c>
      <c r="C1855" s="4" t="s">
        <v>7690</v>
      </c>
      <c r="D1855" s="4" t="s">
        <v>6655</v>
      </c>
      <c r="E1855" s="4">
        <v>2556</v>
      </c>
      <c r="F1855" s="4" t="s">
        <v>6656</v>
      </c>
      <c r="G1855" s="4" t="s">
        <v>6657</v>
      </c>
      <c r="H1855" s="4" t="s">
        <v>6658</v>
      </c>
      <c r="I1855" s="4" t="s">
        <v>1664</v>
      </c>
      <c r="J1855" s="4" t="s">
        <v>6645</v>
      </c>
      <c r="K1855" s="4">
        <v>1</v>
      </c>
      <c r="L1855" s="4">
        <v>2959</v>
      </c>
      <c r="M1855" s="27">
        <v>-120.7705</v>
      </c>
      <c r="N1855" s="27">
        <v>49.094499999999996</v>
      </c>
      <c r="O1855" s="27">
        <v>1940</v>
      </c>
      <c r="P1855" s="27" t="s">
        <v>6655</v>
      </c>
      <c r="Q1855" s="96">
        <v>8</v>
      </c>
      <c r="R1855" s="27" t="s">
        <v>6656</v>
      </c>
      <c r="S1855" s="27" t="s">
        <v>6646</v>
      </c>
      <c r="U1855" s="27"/>
      <c r="V1855" s="27"/>
      <c r="W1855" s="27"/>
      <c r="X1855" s="27"/>
      <c r="Y1855" s="27"/>
      <c r="Z1855" s="27"/>
      <c r="AA1855" s="27"/>
      <c r="AB1855" s="27"/>
      <c r="AC1855" s="27"/>
      <c r="AD1855" s="27"/>
      <c r="AE1855" s="27"/>
      <c r="AF1855" s="27"/>
      <c r="AG1855" s="27"/>
      <c r="AH1855" s="27"/>
      <c r="AI1855" s="27"/>
      <c r="AJ1855" s="27"/>
      <c r="AK1855" s="27"/>
      <c r="AL1855" s="27"/>
      <c r="AM1855" s="27"/>
      <c r="AN1855" s="27"/>
      <c r="AO1855" s="27"/>
      <c r="AP1855" s="27"/>
      <c r="AQ1855" s="27"/>
      <c r="AR1855" s="27"/>
      <c r="AS1855" s="27"/>
      <c r="AT1855" s="27"/>
      <c r="AU1855" s="27"/>
      <c r="AV1855" s="27"/>
      <c r="AW1855" s="27"/>
      <c r="AX1855" s="27"/>
      <c r="AY1855" s="27"/>
      <c r="AZ1855" s="27"/>
      <c r="BA1855" s="27"/>
      <c r="BB1855" s="27"/>
      <c r="BC1855" s="27"/>
      <c r="BD1855" s="27"/>
      <c r="BE1855" s="27"/>
      <c r="BF1855" s="27"/>
      <c r="BG1855" s="27"/>
      <c r="BH1855" s="27"/>
      <c r="BI1855" s="27"/>
      <c r="BJ1855" s="27"/>
      <c r="BK1855" s="27"/>
      <c r="BL1855" s="27"/>
      <c r="BM1855" s="27"/>
      <c r="BN1855" s="27"/>
      <c r="BO1855" s="27"/>
      <c r="BP1855" s="27"/>
      <c r="BQ1855" s="27"/>
      <c r="BR1855" s="27"/>
      <c r="BS1855" s="27"/>
      <c r="BT1855" s="27"/>
    </row>
    <row r="1856" spans="1:72" ht="14.25" customHeight="1" x14ac:dyDescent="0.2">
      <c r="B1856" s="4">
        <v>14</v>
      </c>
      <c r="C1856" s="4" t="s">
        <v>7690</v>
      </c>
      <c r="D1856" s="4" t="s">
        <v>6659</v>
      </c>
      <c r="E1856" s="4">
        <v>2576</v>
      </c>
      <c r="F1856" s="27" t="s">
        <v>6660</v>
      </c>
      <c r="G1856" s="4" t="s">
        <v>6661</v>
      </c>
      <c r="H1856" s="4" t="s">
        <v>6662</v>
      </c>
      <c r="I1856" s="4" t="s">
        <v>1664</v>
      </c>
      <c r="J1856" s="4" t="s">
        <v>6663</v>
      </c>
      <c r="K1856" s="4">
        <v>1</v>
      </c>
      <c r="L1856" s="4">
        <v>2979</v>
      </c>
      <c r="M1856" s="27"/>
      <c r="N1856" s="27"/>
      <c r="O1856" s="27"/>
      <c r="P1856" s="27"/>
      <c r="Q1856" s="27"/>
      <c r="R1856" s="27"/>
      <c r="S1856" s="27"/>
      <c r="T1856" s="27"/>
      <c r="U1856" s="27"/>
      <c r="V1856" s="27"/>
      <c r="W1856" s="27"/>
      <c r="X1856" s="27"/>
      <c r="Y1856" s="27"/>
      <c r="Z1856" s="27"/>
      <c r="AA1856" s="27"/>
      <c r="AB1856" s="27"/>
      <c r="AC1856" s="27"/>
      <c r="AD1856" s="27"/>
      <c r="AE1856" s="27"/>
      <c r="AF1856" s="27"/>
      <c r="AG1856" s="27"/>
      <c r="AH1856" s="27"/>
      <c r="AI1856" s="27"/>
      <c r="AJ1856" s="27"/>
      <c r="AK1856" s="27"/>
      <c r="AL1856" s="27"/>
      <c r="AM1856" s="27"/>
      <c r="AN1856" s="27"/>
      <c r="AO1856" s="27"/>
      <c r="AP1856" s="27"/>
      <c r="AQ1856" s="27"/>
      <c r="AR1856" s="27"/>
      <c r="AS1856" s="27"/>
      <c r="AT1856" s="27"/>
      <c r="AU1856" s="27"/>
      <c r="AV1856" s="27"/>
      <c r="AW1856" s="27"/>
      <c r="AX1856" s="27"/>
      <c r="AY1856" s="27"/>
      <c r="AZ1856" s="27"/>
      <c r="BA1856" s="27"/>
      <c r="BB1856" s="27"/>
      <c r="BC1856" s="27"/>
      <c r="BD1856" s="27"/>
      <c r="BE1856" s="27"/>
      <c r="BF1856" s="27"/>
      <c r="BG1856" s="27"/>
      <c r="BH1856" s="27"/>
      <c r="BI1856" s="27"/>
      <c r="BJ1856" s="27"/>
      <c r="BK1856" s="27"/>
      <c r="BL1856" s="27"/>
      <c r="BM1856" s="27"/>
      <c r="BN1856" s="27"/>
      <c r="BO1856" s="27"/>
      <c r="BP1856" s="27"/>
      <c r="BQ1856" s="27"/>
      <c r="BR1856" s="27"/>
      <c r="BS1856" s="27"/>
      <c r="BT1856" s="27"/>
    </row>
    <row r="1857" spans="1:72" ht="14.25" customHeight="1" x14ac:dyDescent="0.2">
      <c r="B1857" s="4">
        <v>14</v>
      </c>
      <c r="C1857" s="4" t="s">
        <v>7690</v>
      </c>
      <c r="D1857" s="4" t="s">
        <v>6664</v>
      </c>
      <c r="E1857" s="4">
        <v>2523</v>
      </c>
      <c r="F1857" s="4" t="s">
        <v>6665</v>
      </c>
      <c r="G1857" s="4" t="s">
        <v>6666</v>
      </c>
      <c r="H1857" s="4" t="s">
        <v>6667</v>
      </c>
      <c r="I1857" s="4" t="s">
        <v>1664</v>
      </c>
      <c r="J1857" s="4" t="s">
        <v>6645</v>
      </c>
      <c r="K1857" s="4">
        <v>1</v>
      </c>
      <c r="L1857" s="4">
        <v>2926</v>
      </c>
      <c r="M1857" s="9">
        <v>-120.86750000000001</v>
      </c>
      <c r="N1857" s="9">
        <v>52.106833330000001</v>
      </c>
      <c r="O1857" s="9">
        <v>1460</v>
      </c>
      <c r="P1857" s="9" t="s">
        <v>6664</v>
      </c>
      <c r="Q1857" s="70">
        <v>4</v>
      </c>
      <c r="R1857" s="9" t="s">
        <v>6665</v>
      </c>
      <c r="S1857" s="9" t="s">
        <v>6646</v>
      </c>
    </row>
    <row r="1858" spans="1:72" ht="14.25" customHeight="1" x14ac:dyDescent="0.2">
      <c r="B1858" s="4">
        <v>14</v>
      </c>
      <c r="C1858" s="4" t="s">
        <v>7690</v>
      </c>
      <c r="D1858" s="4" t="s">
        <v>6668</v>
      </c>
      <c r="E1858" s="4">
        <v>2528</v>
      </c>
      <c r="F1858" s="4" t="s">
        <v>6669</v>
      </c>
      <c r="G1858" s="4" t="s">
        <v>6670</v>
      </c>
      <c r="H1858" s="4" t="s">
        <v>6671</v>
      </c>
      <c r="I1858" s="4" t="s">
        <v>1664</v>
      </c>
      <c r="J1858" s="4" t="s">
        <v>6672</v>
      </c>
      <c r="K1858" s="4">
        <v>1</v>
      </c>
      <c r="L1858" s="4">
        <v>2931</v>
      </c>
    </row>
    <row r="1859" spans="1:72" ht="14.25" customHeight="1" x14ac:dyDescent="0.2">
      <c r="B1859" s="4">
        <v>14</v>
      </c>
      <c r="C1859" s="4" t="s">
        <v>7690</v>
      </c>
      <c r="D1859" s="4" t="s">
        <v>6673</v>
      </c>
      <c r="E1859" s="4">
        <v>2527</v>
      </c>
      <c r="F1859" s="4" t="s">
        <v>6674</v>
      </c>
      <c r="G1859" s="4" t="s">
        <v>6675</v>
      </c>
      <c r="H1859" s="4" t="s">
        <v>6676</v>
      </c>
      <c r="I1859" s="4" t="s">
        <v>1664</v>
      </c>
      <c r="J1859" s="4" t="s">
        <v>6677</v>
      </c>
      <c r="K1859" s="4">
        <v>1</v>
      </c>
      <c r="L1859" s="4">
        <v>2930</v>
      </c>
    </row>
    <row r="1860" spans="1:72" ht="14.25" customHeight="1" x14ac:dyDescent="0.2">
      <c r="B1860" s="4">
        <v>14</v>
      </c>
      <c r="C1860" s="4" t="s">
        <v>7690</v>
      </c>
      <c r="D1860" s="4" t="s">
        <v>6678</v>
      </c>
      <c r="E1860" s="4">
        <v>2555</v>
      </c>
      <c r="F1860" s="4" t="s">
        <v>956</v>
      </c>
      <c r="G1860" s="4" t="s">
        <v>6679</v>
      </c>
      <c r="H1860" s="4" t="s">
        <v>6654</v>
      </c>
      <c r="I1860" s="4" t="s">
        <v>1664</v>
      </c>
      <c r="J1860" s="4" t="s">
        <v>5996</v>
      </c>
      <c r="K1860" s="4">
        <v>1</v>
      </c>
      <c r="L1860" s="4">
        <v>2958</v>
      </c>
      <c r="M1860" s="9">
        <v>-119.9821111</v>
      </c>
      <c r="N1860" s="9">
        <v>49.862361110000002</v>
      </c>
      <c r="O1860" s="9">
        <v>1460</v>
      </c>
      <c r="P1860" s="9" t="s">
        <v>6678</v>
      </c>
      <c r="Q1860" s="70">
        <v>6</v>
      </c>
      <c r="R1860" s="9" t="s">
        <v>6095</v>
      </c>
      <c r="S1860" s="9" t="s">
        <v>6646</v>
      </c>
    </row>
    <row r="1861" spans="1:72" ht="14.25" customHeight="1" x14ac:dyDescent="0.2">
      <c r="B1861" s="4">
        <v>14</v>
      </c>
      <c r="C1861" s="4" t="s">
        <v>7690</v>
      </c>
      <c r="D1861" s="4" t="s">
        <v>6680</v>
      </c>
      <c r="E1861" s="4">
        <v>2564</v>
      </c>
      <c r="F1861" s="4" t="s">
        <v>6681</v>
      </c>
      <c r="G1861" s="4" t="s">
        <v>6682</v>
      </c>
      <c r="H1861" s="4" t="s">
        <v>6683</v>
      </c>
      <c r="I1861" s="4" t="s">
        <v>1664</v>
      </c>
      <c r="J1861" s="4" t="s">
        <v>6645</v>
      </c>
      <c r="K1861" s="4">
        <v>1</v>
      </c>
      <c r="L1861" s="4">
        <v>2967</v>
      </c>
      <c r="M1861" s="9">
        <v>-126.248</v>
      </c>
      <c r="N1861" s="9">
        <v>52.481000000000002</v>
      </c>
      <c r="O1861" s="9">
        <v>1330</v>
      </c>
      <c r="P1861" s="9" t="s">
        <v>6680</v>
      </c>
      <c r="Q1861" s="70">
        <v>7</v>
      </c>
      <c r="R1861" s="9" t="s">
        <v>6681</v>
      </c>
      <c r="S1861" s="9" t="s">
        <v>6646</v>
      </c>
    </row>
    <row r="1862" spans="1:72" ht="14.25" customHeight="1" x14ac:dyDescent="0.2">
      <c r="A1862" s="27"/>
      <c r="B1862" s="27">
        <v>14</v>
      </c>
      <c r="C1862" s="27" t="s">
        <v>7690</v>
      </c>
      <c r="D1862" s="27" t="s">
        <v>6684</v>
      </c>
      <c r="E1862" s="27">
        <v>2574</v>
      </c>
      <c r="F1862" s="27" t="s">
        <v>6685</v>
      </c>
      <c r="G1862" s="27" t="s">
        <v>6686</v>
      </c>
      <c r="H1862" s="4" t="s">
        <v>6687</v>
      </c>
      <c r="I1862" s="4" t="s">
        <v>1664</v>
      </c>
      <c r="J1862" s="4" t="s">
        <v>6645</v>
      </c>
      <c r="K1862" s="4">
        <v>1</v>
      </c>
      <c r="L1862" s="4">
        <v>2977</v>
      </c>
      <c r="M1862" s="27"/>
      <c r="N1862" s="27"/>
      <c r="O1862" s="27"/>
      <c r="P1862" s="27"/>
      <c r="Q1862" s="27"/>
      <c r="R1862" s="27"/>
      <c r="S1862" s="27"/>
      <c r="T1862" s="27"/>
      <c r="U1862" s="27"/>
      <c r="V1862" s="27"/>
      <c r="W1862" s="27"/>
      <c r="X1862" s="27"/>
      <c r="Y1862" s="27"/>
      <c r="Z1862" s="27"/>
      <c r="AA1862" s="27"/>
      <c r="AB1862" s="27"/>
      <c r="AC1862" s="27"/>
      <c r="AD1862" s="27"/>
      <c r="AE1862" s="27"/>
      <c r="AF1862" s="27"/>
      <c r="AG1862" s="27"/>
      <c r="AH1862" s="27"/>
      <c r="AI1862" s="27"/>
      <c r="AJ1862" s="27"/>
      <c r="AK1862" s="27"/>
      <c r="AL1862" s="27"/>
      <c r="AM1862" s="27"/>
      <c r="AN1862" s="27"/>
      <c r="AO1862" s="27"/>
      <c r="AP1862" s="27"/>
      <c r="AQ1862" s="27"/>
      <c r="AR1862" s="27"/>
      <c r="AS1862" s="27"/>
      <c r="AT1862" s="27"/>
      <c r="AU1862" s="27"/>
      <c r="AV1862" s="27"/>
      <c r="AW1862" s="27"/>
      <c r="AX1862" s="27"/>
      <c r="AY1862" s="27"/>
      <c r="AZ1862" s="27"/>
      <c r="BA1862" s="27"/>
      <c r="BB1862" s="27"/>
      <c r="BC1862" s="27"/>
      <c r="BD1862" s="27"/>
      <c r="BE1862" s="27"/>
      <c r="BF1862" s="27"/>
      <c r="BG1862" s="27"/>
      <c r="BH1862" s="27"/>
      <c r="BI1862" s="27"/>
      <c r="BJ1862" s="27"/>
      <c r="BK1862" s="27"/>
      <c r="BL1862" s="27"/>
      <c r="BM1862" s="27"/>
      <c r="BN1862" s="27"/>
      <c r="BO1862" s="27"/>
      <c r="BP1862" s="27"/>
      <c r="BQ1862" s="27"/>
      <c r="BR1862" s="27"/>
      <c r="BS1862" s="27"/>
      <c r="BT1862" s="27"/>
    </row>
    <row r="1863" spans="1:72" ht="14.25" customHeight="1" x14ac:dyDescent="0.2">
      <c r="B1863" s="4">
        <v>14</v>
      </c>
      <c r="C1863" s="4" t="s">
        <v>7690</v>
      </c>
      <c r="D1863" s="4" t="s">
        <v>6688</v>
      </c>
      <c r="E1863" s="4">
        <v>2540</v>
      </c>
      <c r="F1863" s="8" t="s">
        <v>6689</v>
      </c>
      <c r="G1863" s="4" t="s">
        <v>6690</v>
      </c>
      <c r="H1863" s="4" t="s">
        <v>6691</v>
      </c>
      <c r="I1863" s="4" t="s">
        <v>1664</v>
      </c>
      <c r="J1863" s="4" t="s">
        <v>6692</v>
      </c>
      <c r="K1863" s="4">
        <v>1</v>
      </c>
      <c r="L1863" s="4">
        <v>2943</v>
      </c>
      <c r="M1863" s="9">
        <v>-118.9856944</v>
      </c>
      <c r="N1863" s="9">
        <v>51.406111109999998</v>
      </c>
      <c r="O1863" s="9">
        <v>1525</v>
      </c>
      <c r="P1863" s="9" t="s">
        <v>6688</v>
      </c>
      <c r="Q1863" s="70">
        <v>4</v>
      </c>
      <c r="R1863" s="9" t="s">
        <v>6693</v>
      </c>
      <c r="S1863" s="9" t="s">
        <v>6646</v>
      </c>
    </row>
    <row r="1864" spans="1:72" ht="14.25" customHeight="1" x14ac:dyDescent="0.2">
      <c r="B1864" s="4">
        <v>14</v>
      </c>
      <c r="C1864" s="4" t="s">
        <v>7690</v>
      </c>
      <c r="D1864" s="4" t="s">
        <v>6694</v>
      </c>
      <c r="E1864" s="4">
        <v>2531</v>
      </c>
      <c r="F1864" s="4" t="s">
        <v>6695</v>
      </c>
      <c r="G1864" s="4" t="s">
        <v>6696</v>
      </c>
      <c r="H1864" s="4" t="s">
        <v>6697</v>
      </c>
      <c r="I1864" s="4" t="s">
        <v>1664</v>
      </c>
      <c r="J1864" s="4" t="s">
        <v>6645</v>
      </c>
      <c r="K1864" s="4">
        <v>1</v>
      </c>
      <c r="L1864" s="4">
        <v>2934</v>
      </c>
      <c r="M1864" s="9">
        <v>-121.71250000000001</v>
      </c>
      <c r="N1864" s="9">
        <v>49.03166667</v>
      </c>
      <c r="O1864" s="9">
        <v>1600</v>
      </c>
      <c r="P1864" s="9" t="s">
        <v>6694</v>
      </c>
      <c r="Q1864" s="70">
        <v>7</v>
      </c>
      <c r="R1864" s="9" t="s">
        <v>6695</v>
      </c>
      <c r="S1864" s="9" t="s">
        <v>6646</v>
      </c>
    </row>
    <row r="1865" spans="1:72" ht="14.25" customHeight="1" x14ac:dyDescent="0.2">
      <c r="B1865" s="4">
        <v>14</v>
      </c>
      <c r="C1865" s="4" t="s">
        <v>7690</v>
      </c>
      <c r="D1865" s="4" t="s">
        <v>6698</v>
      </c>
      <c r="E1865" s="4">
        <v>2538</v>
      </c>
      <c r="F1865" s="27" t="s">
        <v>6699</v>
      </c>
      <c r="G1865" s="4" t="s">
        <v>6700</v>
      </c>
      <c r="H1865" s="4" t="s">
        <v>6701</v>
      </c>
      <c r="I1865" s="4" t="s">
        <v>1664</v>
      </c>
      <c r="J1865" s="4" t="s">
        <v>6645</v>
      </c>
      <c r="K1865" s="4">
        <v>1</v>
      </c>
      <c r="L1865" s="4">
        <v>2941</v>
      </c>
      <c r="M1865" s="27">
        <v>-119.30363199999999</v>
      </c>
      <c r="N1865" s="27">
        <v>52.167819999999999</v>
      </c>
      <c r="O1865" s="27">
        <v>1280</v>
      </c>
      <c r="P1865" s="27" t="s">
        <v>6698</v>
      </c>
      <c r="Q1865" s="96">
        <v>3</v>
      </c>
      <c r="R1865" s="27" t="s">
        <v>6699</v>
      </c>
      <c r="S1865" s="27" t="s">
        <v>6646</v>
      </c>
      <c r="T1865" s="27"/>
      <c r="U1865" s="27"/>
      <c r="V1865" s="27"/>
      <c r="W1865" s="27"/>
      <c r="X1865" s="27"/>
      <c r="Y1865" s="27"/>
      <c r="Z1865" s="27"/>
      <c r="AA1865" s="27"/>
      <c r="AB1865" s="27"/>
      <c r="AC1865" s="27"/>
      <c r="AD1865" s="27"/>
      <c r="AE1865" s="27"/>
      <c r="AF1865" s="27"/>
      <c r="AG1865" s="27"/>
      <c r="AH1865" s="27"/>
      <c r="AI1865" s="27"/>
      <c r="AJ1865" s="27"/>
      <c r="AK1865" s="27"/>
      <c r="AL1865" s="27"/>
      <c r="AM1865" s="27"/>
      <c r="AN1865" s="27"/>
      <c r="AO1865" s="27"/>
      <c r="AP1865" s="27"/>
      <c r="AQ1865" s="27"/>
      <c r="AR1865" s="27"/>
      <c r="AS1865" s="27"/>
      <c r="AT1865" s="27"/>
      <c r="AU1865" s="27"/>
      <c r="AV1865" s="27"/>
      <c r="AW1865" s="27"/>
      <c r="AX1865" s="27"/>
      <c r="AY1865" s="27"/>
      <c r="AZ1865" s="27"/>
      <c r="BA1865" s="27"/>
      <c r="BB1865" s="27"/>
      <c r="BC1865" s="27"/>
      <c r="BD1865" s="27"/>
      <c r="BE1865" s="27"/>
      <c r="BF1865" s="27"/>
      <c r="BG1865" s="27"/>
      <c r="BH1865" s="27"/>
      <c r="BI1865" s="27"/>
      <c r="BJ1865" s="27"/>
      <c r="BK1865" s="27"/>
      <c r="BL1865" s="27"/>
      <c r="BM1865" s="27"/>
      <c r="BN1865" s="27"/>
      <c r="BO1865" s="27"/>
      <c r="BP1865" s="27"/>
      <c r="BQ1865" s="27"/>
      <c r="BR1865" s="27"/>
      <c r="BS1865" s="27"/>
      <c r="BT1865" s="27"/>
    </row>
    <row r="1866" spans="1:72" ht="14.25" customHeight="1" x14ac:dyDescent="0.2">
      <c r="B1866" s="4">
        <v>14</v>
      </c>
      <c r="C1866" s="4" t="s">
        <v>7690</v>
      </c>
      <c r="D1866" s="4" t="s">
        <v>6702</v>
      </c>
      <c r="E1866" s="4">
        <v>2575</v>
      </c>
      <c r="F1866" s="27" t="s">
        <v>6703</v>
      </c>
      <c r="G1866" s="4" t="s">
        <v>6704</v>
      </c>
      <c r="H1866" s="4" t="s">
        <v>6705</v>
      </c>
      <c r="I1866" s="4" t="s">
        <v>1664</v>
      </c>
      <c r="J1866" s="4" t="s">
        <v>6706</v>
      </c>
      <c r="K1866" s="4">
        <v>1</v>
      </c>
      <c r="L1866" s="4">
        <v>2978</v>
      </c>
      <c r="M1866" s="27"/>
      <c r="N1866" s="27"/>
      <c r="O1866" s="27"/>
      <c r="P1866" s="27"/>
      <c r="Q1866" s="27"/>
      <c r="R1866" s="27"/>
      <c r="S1866" s="27"/>
      <c r="T1866" s="27"/>
      <c r="U1866" s="27"/>
      <c r="V1866" s="27"/>
      <c r="W1866" s="27"/>
      <c r="X1866" s="27"/>
      <c r="Y1866" s="27"/>
      <c r="Z1866" s="27"/>
      <c r="AA1866" s="27"/>
      <c r="AB1866" s="27"/>
      <c r="AC1866" s="27"/>
      <c r="AD1866" s="27"/>
      <c r="AE1866" s="27"/>
      <c r="AF1866" s="27"/>
      <c r="AG1866" s="27"/>
      <c r="AH1866" s="27"/>
      <c r="AI1866" s="27"/>
      <c r="AJ1866" s="27"/>
      <c r="AK1866" s="27"/>
      <c r="AL1866" s="27"/>
      <c r="AM1866" s="27"/>
      <c r="AN1866" s="27"/>
      <c r="AO1866" s="27"/>
      <c r="AP1866" s="27"/>
      <c r="AQ1866" s="27"/>
      <c r="AR1866" s="27"/>
      <c r="AS1866" s="27"/>
      <c r="AT1866" s="27"/>
      <c r="AU1866" s="27"/>
      <c r="AV1866" s="27"/>
      <c r="AW1866" s="27"/>
      <c r="AX1866" s="27"/>
      <c r="AY1866" s="27"/>
      <c r="AZ1866" s="27"/>
      <c r="BA1866" s="27"/>
      <c r="BB1866" s="27"/>
      <c r="BC1866" s="27"/>
      <c r="BD1866" s="27"/>
      <c r="BE1866" s="27"/>
      <c r="BF1866" s="27"/>
      <c r="BG1866" s="27"/>
      <c r="BH1866" s="27"/>
      <c r="BI1866" s="27"/>
      <c r="BJ1866" s="27"/>
      <c r="BK1866" s="27"/>
      <c r="BL1866" s="27"/>
      <c r="BM1866" s="27"/>
      <c r="BN1866" s="27"/>
      <c r="BO1866" s="27"/>
      <c r="BP1866" s="27"/>
      <c r="BQ1866" s="27"/>
      <c r="BR1866" s="27"/>
      <c r="BS1866" s="27"/>
      <c r="BT1866" s="27"/>
    </row>
    <row r="1867" spans="1:72" ht="14.25" customHeight="1" x14ac:dyDescent="0.2">
      <c r="A1867" s="4" t="s">
        <v>5043</v>
      </c>
      <c r="B1867" s="4">
        <v>14</v>
      </c>
      <c r="C1867" s="8" t="s">
        <v>7697</v>
      </c>
      <c r="D1867" s="4" t="s">
        <v>6707</v>
      </c>
      <c r="E1867" s="4">
        <v>2532</v>
      </c>
      <c r="F1867" s="4" t="s">
        <v>6708</v>
      </c>
      <c r="G1867" s="4" t="s">
        <v>6709</v>
      </c>
      <c r="H1867" s="4" t="s">
        <v>6710</v>
      </c>
      <c r="I1867" s="4" t="s">
        <v>1664</v>
      </c>
      <c r="J1867" s="4" t="s">
        <v>6711</v>
      </c>
      <c r="K1867" s="4">
        <v>1</v>
      </c>
      <c r="L1867" s="4">
        <v>2935</v>
      </c>
    </row>
    <row r="1868" spans="1:72" ht="14.25" customHeight="1" x14ac:dyDescent="0.2">
      <c r="B1868" s="4">
        <v>14</v>
      </c>
      <c r="C1868" s="4" t="s">
        <v>7690</v>
      </c>
      <c r="D1868" s="4" t="s">
        <v>6712</v>
      </c>
      <c r="E1868" s="4">
        <v>2517</v>
      </c>
      <c r="F1868" s="27" t="s">
        <v>6713</v>
      </c>
      <c r="G1868" s="4" t="s">
        <v>6714</v>
      </c>
      <c r="H1868" s="4" t="s">
        <v>6715</v>
      </c>
      <c r="I1868" s="4" t="s">
        <v>1664</v>
      </c>
      <c r="J1868" s="4" t="s">
        <v>6692</v>
      </c>
      <c r="K1868" s="4">
        <v>1</v>
      </c>
      <c r="L1868" s="4">
        <v>2920</v>
      </c>
      <c r="M1868" s="27">
        <v>-121.0244167</v>
      </c>
      <c r="N1868" s="27">
        <v>53.622083330000002</v>
      </c>
      <c r="O1868" s="27">
        <v>1820</v>
      </c>
      <c r="P1868" s="27" t="s">
        <v>6712</v>
      </c>
      <c r="Q1868" s="96">
        <v>6</v>
      </c>
      <c r="R1868" s="27" t="s">
        <v>6713</v>
      </c>
      <c r="S1868" s="27" t="s">
        <v>6646</v>
      </c>
      <c r="T1868" s="27"/>
      <c r="U1868" s="27"/>
      <c r="V1868" s="27"/>
      <c r="W1868" s="27"/>
      <c r="X1868" s="27"/>
      <c r="Y1868" s="27"/>
      <c r="Z1868" s="27"/>
      <c r="AA1868" s="27"/>
      <c r="AB1868" s="27"/>
      <c r="AC1868" s="27"/>
      <c r="AD1868" s="27"/>
      <c r="AE1868" s="27"/>
      <c r="AF1868" s="27"/>
      <c r="AG1868" s="27"/>
      <c r="AH1868" s="27"/>
      <c r="AI1868" s="27"/>
      <c r="AJ1868" s="27"/>
      <c r="AK1868" s="27"/>
      <c r="AL1868" s="27"/>
      <c r="AM1868" s="27"/>
      <c r="AN1868" s="27"/>
      <c r="AO1868" s="27"/>
      <c r="AP1868" s="27"/>
      <c r="AQ1868" s="27"/>
      <c r="AR1868" s="27"/>
      <c r="AS1868" s="27"/>
      <c r="AT1868" s="27"/>
      <c r="AU1868" s="27"/>
      <c r="AV1868" s="27"/>
      <c r="AW1868" s="27"/>
      <c r="AX1868" s="27"/>
      <c r="AY1868" s="27"/>
      <c r="AZ1868" s="27"/>
      <c r="BA1868" s="27"/>
      <c r="BB1868" s="27"/>
      <c r="BC1868" s="27"/>
      <c r="BD1868" s="27"/>
      <c r="BE1868" s="27"/>
      <c r="BF1868" s="27"/>
      <c r="BG1868" s="27"/>
      <c r="BH1868" s="27"/>
      <c r="BI1868" s="27"/>
      <c r="BJ1868" s="27"/>
      <c r="BK1868" s="27"/>
      <c r="BL1868" s="27"/>
      <c r="BM1868" s="27"/>
      <c r="BN1868" s="27"/>
      <c r="BO1868" s="27"/>
      <c r="BP1868" s="27"/>
      <c r="BQ1868" s="27"/>
      <c r="BR1868" s="27"/>
      <c r="BS1868" s="27"/>
      <c r="BT1868" s="27"/>
    </row>
    <row r="1869" spans="1:72" ht="14.25" customHeight="1" x14ac:dyDescent="0.2">
      <c r="B1869" s="4">
        <v>14</v>
      </c>
      <c r="C1869" s="4" t="s">
        <v>7690</v>
      </c>
      <c r="D1869" s="4" t="s">
        <v>6716</v>
      </c>
      <c r="E1869" s="4">
        <v>2544</v>
      </c>
      <c r="F1869" s="4" t="s">
        <v>6717</v>
      </c>
      <c r="G1869" s="4" t="s">
        <v>6718</v>
      </c>
      <c r="H1869" s="4" t="s">
        <v>6719</v>
      </c>
      <c r="I1869" s="4" t="s">
        <v>1664</v>
      </c>
      <c r="J1869" s="4" t="s">
        <v>6720</v>
      </c>
      <c r="K1869" s="4">
        <v>1</v>
      </c>
      <c r="L1869" s="4">
        <v>2947</v>
      </c>
    </row>
    <row r="1870" spans="1:72" ht="14.25" customHeight="1" x14ac:dyDescent="0.2">
      <c r="A1870" s="4" t="s">
        <v>5043</v>
      </c>
      <c r="B1870" s="4">
        <v>14</v>
      </c>
      <c r="C1870" s="8" t="s">
        <v>7696</v>
      </c>
      <c r="D1870" s="4" t="s">
        <v>6721</v>
      </c>
      <c r="E1870" s="4">
        <v>2551</v>
      </c>
      <c r="F1870" s="4" t="s">
        <v>6234</v>
      </c>
      <c r="G1870" s="4" t="s">
        <v>6722</v>
      </c>
      <c r="H1870" s="4" t="s">
        <v>6723</v>
      </c>
      <c r="I1870" s="4" t="s">
        <v>1664</v>
      </c>
      <c r="J1870" s="4" t="s">
        <v>5996</v>
      </c>
      <c r="K1870" s="4">
        <v>1</v>
      </c>
      <c r="L1870" s="4">
        <v>2954</v>
      </c>
    </row>
    <row r="1871" spans="1:72" ht="14.25" customHeight="1" x14ac:dyDescent="0.2">
      <c r="B1871" s="4">
        <v>14</v>
      </c>
      <c r="C1871" s="4" t="s">
        <v>7690</v>
      </c>
      <c r="D1871" s="4" t="s">
        <v>6724</v>
      </c>
      <c r="E1871" s="4">
        <v>12498</v>
      </c>
      <c r="F1871" s="4" t="s">
        <v>6725</v>
      </c>
      <c r="G1871" s="4" t="s">
        <v>6726</v>
      </c>
      <c r="H1871" s="4" t="s">
        <v>6727</v>
      </c>
      <c r="I1871" s="4" t="s">
        <v>49</v>
      </c>
      <c r="J1871" s="4" t="s">
        <v>6728</v>
      </c>
      <c r="K1871" s="4">
        <v>1</v>
      </c>
      <c r="L1871" s="4">
        <v>14520</v>
      </c>
      <c r="M1871" s="9">
        <v>-118.943556</v>
      </c>
      <c r="N1871" s="9">
        <v>50.652472000000003</v>
      </c>
      <c r="O1871" s="9">
        <v>1950</v>
      </c>
      <c r="P1871" s="9" t="s">
        <v>6724</v>
      </c>
      <c r="Q1871" s="70">
        <v>7</v>
      </c>
      <c r="R1871" s="9" t="s">
        <v>6725</v>
      </c>
      <c r="S1871" s="9" t="s">
        <v>6646</v>
      </c>
    </row>
    <row r="1872" spans="1:72" ht="14.25" customHeight="1" x14ac:dyDescent="0.2">
      <c r="B1872" s="4">
        <v>14</v>
      </c>
      <c r="C1872" s="4" t="s">
        <v>7690</v>
      </c>
      <c r="D1872" s="4" t="s">
        <v>6729</v>
      </c>
      <c r="E1872" s="4">
        <v>2542</v>
      </c>
      <c r="F1872" s="4" t="s">
        <v>6730</v>
      </c>
      <c r="G1872" s="4" t="s">
        <v>6731</v>
      </c>
      <c r="H1872" s="4" t="s">
        <v>6732</v>
      </c>
      <c r="I1872" s="4" t="s">
        <v>1664</v>
      </c>
      <c r="J1872" s="4" t="s">
        <v>6733</v>
      </c>
      <c r="K1872" s="4">
        <v>1</v>
      </c>
      <c r="L1872" s="4">
        <v>2945</v>
      </c>
    </row>
    <row r="1873" spans="1:72" ht="14.25" customHeight="1" x14ac:dyDescent="0.2">
      <c r="B1873" s="4">
        <v>14</v>
      </c>
      <c r="C1873" s="4" t="s">
        <v>7690</v>
      </c>
      <c r="D1873" s="4" t="s">
        <v>6734</v>
      </c>
      <c r="E1873" s="4">
        <v>2559</v>
      </c>
      <c r="F1873" s="4" t="s">
        <v>6735</v>
      </c>
      <c r="G1873" s="4" t="s">
        <v>6736</v>
      </c>
      <c r="H1873" s="4" t="s">
        <v>6737</v>
      </c>
      <c r="I1873" s="4" t="s">
        <v>1664</v>
      </c>
      <c r="J1873" s="4" t="s">
        <v>6738</v>
      </c>
      <c r="K1873" s="4">
        <v>1</v>
      </c>
      <c r="L1873" s="4">
        <v>2962</v>
      </c>
    </row>
    <row r="1874" spans="1:72" ht="14.25" customHeight="1" x14ac:dyDescent="0.2">
      <c r="B1874" s="4">
        <v>14</v>
      </c>
      <c r="C1874" s="4" t="s">
        <v>7690</v>
      </c>
      <c r="D1874" s="4" t="s">
        <v>6739</v>
      </c>
      <c r="E1874" s="4">
        <v>2550</v>
      </c>
      <c r="F1874" s="27" t="s">
        <v>6279</v>
      </c>
      <c r="G1874" s="4" t="s">
        <v>6740</v>
      </c>
      <c r="H1874" s="4" t="s">
        <v>6654</v>
      </c>
      <c r="I1874" s="4" t="s">
        <v>1664</v>
      </c>
      <c r="J1874" s="4" t="s">
        <v>5996</v>
      </c>
      <c r="K1874" s="4">
        <v>1</v>
      </c>
      <c r="L1874" s="4">
        <v>2953</v>
      </c>
      <c r="V1874" s="27"/>
      <c r="W1874" s="27"/>
      <c r="X1874" s="27"/>
      <c r="Y1874" s="27"/>
      <c r="Z1874" s="27"/>
      <c r="AA1874" s="27"/>
      <c r="AB1874" s="27"/>
      <c r="AC1874" s="27"/>
      <c r="AD1874" s="27"/>
      <c r="AE1874" s="27"/>
      <c r="AF1874" s="27"/>
      <c r="AG1874" s="27"/>
      <c r="AH1874" s="27"/>
      <c r="AI1874" s="27"/>
      <c r="AJ1874" s="27"/>
      <c r="AK1874" s="27"/>
      <c r="AL1874" s="27"/>
      <c r="AM1874" s="27"/>
      <c r="AN1874" s="27"/>
      <c r="AO1874" s="27"/>
      <c r="AP1874" s="27"/>
      <c r="AQ1874" s="27"/>
      <c r="AR1874" s="27"/>
      <c r="AS1874" s="27"/>
      <c r="AT1874" s="27"/>
      <c r="AU1874" s="27"/>
      <c r="AV1874" s="27"/>
      <c r="AW1874" s="27"/>
      <c r="AX1874" s="27"/>
      <c r="AY1874" s="27"/>
      <c r="AZ1874" s="27"/>
      <c r="BA1874" s="27"/>
      <c r="BB1874" s="27"/>
      <c r="BC1874" s="27"/>
      <c r="BD1874" s="27"/>
      <c r="BE1874" s="27"/>
      <c r="BF1874" s="27"/>
      <c r="BG1874" s="27"/>
      <c r="BH1874" s="27"/>
      <c r="BI1874" s="27"/>
      <c r="BJ1874" s="27"/>
      <c r="BK1874" s="27"/>
      <c r="BL1874" s="27"/>
      <c r="BM1874" s="27"/>
      <c r="BN1874" s="27"/>
      <c r="BO1874" s="27"/>
      <c r="BP1874" s="27"/>
      <c r="BQ1874" s="27"/>
      <c r="BR1874" s="27"/>
      <c r="BS1874" s="27"/>
      <c r="BT1874" s="27"/>
    </row>
    <row r="1875" spans="1:72" ht="14.25" customHeight="1" x14ac:dyDescent="0.2">
      <c r="B1875" s="4">
        <v>14</v>
      </c>
      <c r="C1875" s="4" t="s">
        <v>7690</v>
      </c>
      <c r="D1875" s="4" t="s">
        <v>6741</v>
      </c>
      <c r="E1875" s="4">
        <v>2578</v>
      </c>
      <c r="F1875" s="27" t="s">
        <v>6742</v>
      </c>
      <c r="G1875" s="4" t="s">
        <v>6743</v>
      </c>
      <c r="H1875" s="4" t="s">
        <v>6744</v>
      </c>
      <c r="I1875" s="4" t="s">
        <v>1664</v>
      </c>
      <c r="J1875" s="4" t="s">
        <v>6738</v>
      </c>
      <c r="K1875" s="4">
        <v>1</v>
      </c>
      <c r="L1875" s="4">
        <v>2981</v>
      </c>
      <c r="V1875" s="27"/>
      <c r="W1875" s="27"/>
      <c r="X1875" s="27"/>
      <c r="Y1875" s="27"/>
      <c r="Z1875" s="27"/>
      <c r="AA1875" s="27"/>
      <c r="AB1875" s="27"/>
      <c r="AC1875" s="27"/>
      <c r="AD1875" s="27"/>
      <c r="AE1875" s="27"/>
      <c r="AF1875" s="27"/>
      <c r="AG1875" s="27"/>
      <c r="AH1875" s="27"/>
      <c r="AI1875" s="27"/>
      <c r="AJ1875" s="27"/>
      <c r="AK1875" s="27"/>
      <c r="AL1875" s="27"/>
      <c r="AM1875" s="27"/>
      <c r="AN1875" s="27"/>
      <c r="AO1875" s="27"/>
      <c r="AP1875" s="27"/>
      <c r="AQ1875" s="27"/>
      <c r="AR1875" s="27"/>
      <c r="AS1875" s="27"/>
      <c r="AT1875" s="27"/>
      <c r="AU1875" s="27"/>
      <c r="AV1875" s="27"/>
      <c r="AW1875" s="27"/>
      <c r="AX1875" s="27"/>
      <c r="AY1875" s="27"/>
      <c r="AZ1875" s="27"/>
      <c r="BA1875" s="27"/>
      <c r="BB1875" s="27"/>
      <c r="BC1875" s="27"/>
      <c r="BD1875" s="27"/>
      <c r="BE1875" s="27"/>
      <c r="BF1875" s="27"/>
      <c r="BG1875" s="27"/>
      <c r="BH1875" s="27"/>
      <c r="BI1875" s="27"/>
      <c r="BJ1875" s="27"/>
      <c r="BK1875" s="27"/>
      <c r="BL1875" s="27"/>
      <c r="BM1875" s="27"/>
      <c r="BN1875" s="27"/>
      <c r="BO1875" s="27"/>
      <c r="BP1875" s="27"/>
      <c r="BQ1875" s="27"/>
      <c r="BR1875" s="27"/>
      <c r="BS1875" s="27"/>
      <c r="BT1875" s="27"/>
    </row>
    <row r="1876" spans="1:72" ht="14.25" customHeight="1" x14ac:dyDescent="0.2">
      <c r="B1876" s="4">
        <v>14</v>
      </c>
      <c r="C1876" s="4" t="s">
        <v>7690</v>
      </c>
      <c r="D1876" s="4" t="s">
        <v>6745</v>
      </c>
      <c r="E1876" s="4">
        <v>2577</v>
      </c>
      <c r="F1876" s="4" t="s">
        <v>6746</v>
      </c>
      <c r="G1876" s="4" t="s">
        <v>6747</v>
      </c>
      <c r="H1876" s="4" t="s">
        <v>6748</v>
      </c>
      <c r="I1876" s="4" t="s">
        <v>1664</v>
      </c>
      <c r="J1876" s="4" t="s">
        <v>6738</v>
      </c>
      <c r="K1876" s="4">
        <v>1</v>
      </c>
      <c r="L1876" s="4">
        <v>2980</v>
      </c>
    </row>
    <row r="1877" spans="1:72" ht="14.25" customHeight="1" x14ac:dyDescent="0.2">
      <c r="B1877" s="4">
        <v>14</v>
      </c>
      <c r="C1877" s="4" t="s">
        <v>7690</v>
      </c>
      <c r="D1877" s="4" t="s">
        <v>6749</v>
      </c>
      <c r="E1877" s="4">
        <v>2570</v>
      </c>
      <c r="F1877" s="4" t="s">
        <v>6750</v>
      </c>
      <c r="G1877" s="4" t="s">
        <v>6751</v>
      </c>
      <c r="H1877" s="4" t="s">
        <v>6752</v>
      </c>
      <c r="I1877" s="4" t="s">
        <v>1664</v>
      </c>
      <c r="J1877" s="4" t="s">
        <v>6753</v>
      </c>
      <c r="K1877" s="4">
        <v>1</v>
      </c>
      <c r="L1877" s="4">
        <v>2973</v>
      </c>
      <c r="M1877" s="34"/>
      <c r="N1877" s="34"/>
      <c r="O1877" s="35"/>
      <c r="R1877" s="34"/>
    </row>
    <row r="1878" spans="1:72" ht="14.25" customHeight="1" x14ac:dyDescent="0.2">
      <c r="B1878" s="4">
        <v>14</v>
      </c>
      <c r="C1878" s="4" t="s">
        <v>7690</v>
      </c>
      <c r="D1878" s="4" t="s">
        <v>6754</v>
      </c>
      <c r="E1878" s="4">
        <v>2553</v>
      </c>
      <c r="F1878" s="4" t="s">
        <v>6755</v>
      </c>
      <c r="G1878" s="4" t="s">
        <v>6756</v>
      </c>
      <c r="H1878" s="4" t="s">
        <v>6757</v>
      </c>
      <c r="I1878" s="4" t="s">
        <v>1664</v>
      </c>
      <c r="J1878" s="4" t="s">
        <v>6645</v>
      </c>
      <c r="K1878" s="4">
        <v>1</v>
      </c>
      <c r="L1878" s="4">
        <v>2956</v>
      </c>
      <c r="M1878" s="9">
        <v>-118.6776667</v>
      </c>
      <c r="N1878" s="9">
        <v>49.550666669999998</v>
      </c>
      <c r="O1878" s="9">
        <v>1860</v>
      </c>
      <c r="P1878" s="9" t="s">
        <v>6754</v>
      </c>
      <c r="Q1878" s="70">
        <v>6</v>
      </c>
      <c r="R1878" s="9" t="s">
        <v>6755</v>
      </c>
      <c r="S1878" s="9" t="s">
        <v>6646</v>
      </c>
    </row>
    <row r="1879" spans="1:72" ht="14.25" customHeight="1" x14ac:dyDescent="0.2">
      <c r="B1879" s="4">
        <v>14</v>
      </c>
      <c r="C1879" s="4" t="s">
        <v>7690</v>
      </c>
      <c r="D1879" s="4" t="s">
        <v>6758</v>
      </c>
      <c r="E1879" s="4">
        <v>2530</v>
      </c>
      <c r="F1879" s="4" t="s">
        <v>868</v>
      </c>
      <c r="G1879" s="4" t="s">
        <v>6759</v>
      </c>
      <c r="H1879" s="4" t="s">
        <v>6760</v>
      </c>
      <c r="I1879" s="4" t="s">
        <v>1664</v>
      </c>
      <c r="J1879" s="4" t="s">
        <v>6761</v>
      </c>
      <c r="K1879" s="4">
        <v>1</v>
      </c>
      <c r="L1879" s="4">
        <v>2933</v>
      </c>
    </row>
    <row r="1880" spans="1:72" ht="14.25" customHeight="1" x14ac:dyDescent="0.2">
      <c r="A1880" s="4" t="s">
        <v>5043</v>
      </c>
      <c r="B1880" s="4">
        <v>14</v>
      </c>
      <c r="C1880" s="8" t="s">
        <v>7696</v>
      </c>
      <c r="D1880" s="4" t="s">
        <v>6762</v>
      </c>
      <c r="E1880" s="4">
        <v>2521</v>
      </c>
      <c r="F1880" s="4" t="s">
        <v>6322</v>
      </c>
      <c r="G1880" s="4" t="s">
        <v>6763</v>
      </c>
      <c r="H1880" s="4" t="s">
        <v>6764</v>
      </c>
      <c r="I1880" s="4" t="s">
        <v>1664</v>
      </c>
      <c r="J1880" s="4" t="s">
        <v>5996</v>
      </c>
      <c r="K1880" s="4">
        <v>1</v>
      </c>
      <c r="L1880" s="4">
        <v>2924</v>
      </c>
    </row>
    <row r="1881" spans="1:72" ht="14.25" customHeight="1" x14ac:dyDescent="0.2">
      <c r="B1881" s="4">
        <v>14</v>
      </c>
      <c r="C1881" s="4" t="s">
        <v>7690</v>
      </c>
      <c r="D1881" s="4" t="s">
        <v>6765</v>
      </c>
      <c r="E1881" s="4">
        <v>12499</v>
      </c>
      <c r="F1881" s="4" t="s">
        <v>6766</v>
      </c>
      <c r="G1881" s="4" t="s">
        <v>6767</v>
      </c>
      <c r="H1881" s="4" t="s">
        <v>6727</v>
      </c>
      <c r="I1881" s="4" t="s">
        <v>49</v>
      </c>
      <c r="J1881" s="4" t="s">
        <v>6728</v>
      </c>
      <c r="K1881" s="4">
        <v>1</v>
      </c>
      <c r="L1881" s="4">
        <v>14521</v>
      </c>
      <c r="M1881" s="9">
        <v>-119.422417</v>
      </c>
      <c r="N1881" s="9">
        <v>49.615833000000002</v>
      </c>
      <c r="O1881" s="9">
        <v>1550</v>
      </c>
      <c r="P1881" s="9" t="s">
        <v>6765</v>
      </c>
      <c r="Q1881" s="70">
        <v>6</v>
      </c>
      <c r="R1881" s="9" t="s">
        <v>6766</v>
      </c>
      <c r="S1881" s="9" t="s">
        <v>6646</v>
      </c>
    </row>
    <row r="1882" spans="1:72" ht="14.25" customHeight="1" x14ac:dyDescent="0.2">
      <c r="B1882" s="4">
        <v>14</v>
      </c>
      <c r="C1882" s="4" t="s">
        <v>7690</v>
      </c>
      <c r="D1882" s="4" t="s">
        <v>6768</v>
      </c>
      <c r="E1882" s="4">
        <v>12500</v>
      </c>
      <c r="F1882" s="27" t="s">
        <v>6769</v>
      </c>
      <c r="G1882" s="4" t="s">
        <v>6770</v>
      </c>
      <c r="H1882" s="4" t="s">
        <v>6727</v>
      </c>
      <c r="I1882" s="4" t="s">
        <v>49</v>
      </c>
      <c r="J1882" s="4" t="s">
        <v>6728</v>
      </c>
      <c r="K1882" s="4">
        <v>1</v>
      </c>
      <c r="L1882" s="4">
        <v>14522</v>
      </c>
      <c r="M1882" s="27">
        <v>-124.452102</v>
      </c>
      <c r="N1882" s="27">
        <v>48.943922999999998</v>
      </c>
      <c r="O1882" s="27">
        <v>1190</v>
      </c>
      <c r="P1882" s="27" t="s">
        <v>6768</v>
      </c>
      <c r="Q1882" s="96">
        <v>6</v>
      </c>
      <c r="R1882" s="27" t="s">
        <v>6769</v>
      </c>
      <c r="S1882" s="27" t="s">
        <v>6646</v>
      </c>
      <c r="T1882" s="27"/>
      <c r="U1882" s="27"/>
      <c r="V1882" s="27"/>
      <c r="W1882" s="27"/>
      <c r="X1882" s="27"/>
      <c r="Y1882" s="27"/>
      <c r="Z1882" s="27"/>
      <c r="AA1882" s="27"/>
      <c r="AB1882" s="27"/>
      <c r="AC1882" s="27"/>
      <c r="AD1882" s="27"/>
      <c r="AE1882" s="27"/>
      <c r="AF1882" s="27"/>
      <c r="AG1882" s="27"/>
      <c r="AH1882" s="27"/>
      <c r="AI1882" s="27"/>
      <c r="AJ1882" s="27"/>
      <c r="AK1882" s="27"/>
      <c r="AL1882" s="27"/>
      <c r="AM1882" s="27"/>
      <c r="AN1882" s="27"/>
      <c r="AO1882" s="27"/>
      <c r="AP1882" s="27"/>
      <c r="AQ1882" s="27"/>
      <c r="AR1882" s="27"/>
      <c r="AS1882" s="27"/>
      <c r="AT1882" s="27"/>
      <c r="AU1882" s="27"/>
      <c r="AV1882" s="27"/>
      <c r="AW1882" s="27"/>
      <c r="AX1882" s="27"/>
      <c r="AY1882" s="27"/>
      <c r="AZ1882" s="27"/>
      <c r="BA1882" s="27"/>
      <c r="BB1882" s="27"/>
      <c r="BC1882" s="27"/>
      <c r="BD1882" s="27"/>
      <c r="BE1882" s="27"/>
      <c r="BF1882" s="27"/>
      <c r="BG1882" s="27"/>
      <c r="BH1882" s="27"/>
      <c r="BI1882" s="27"/>
      <c r="BJ1882" s="27"/>
      <c r="BK1882" s="27"/>
      <c r="BL1882" s="27"/>
      <c r="BM1882" s="27"/>
      <c r="BN1882" s="27"/>
      <c r="BO1882" s="27"/>
      <c r="BP1882" s="27"/>
      <c r="BQ1882" s="27"/>
      <c r="BR1882" s="27"/>
      <c r="BS1882" s="27"/>
      <c r="BT1882" s="27"/>
    </row>
    <row r="1883" spans="1:72" ht="14.25" customHeight="1" x14ac:dyDescent="0.2">
      <c r="B1883" s="4">
        <v>14</v>
      </c>
      <c r="C1883" s="4" t="s">
        <v>7690</v>
      </c>
      <c r="D1883" s="4" t="s">
        <v>6771</v>
      </c>
      <c r="E1883" s="4">
        <v>2515</v>
      </c>
      <c r="F1883" s="4" t="s">
        <v>6772</v>
      </c>
      <c r="G1883" s="4" t="s">
        <v>6773</v>
      </c>
      <c r="H1883" s="4" t="s">
        <v>6774</v>
      </c>
      <c r="I1883" s="4" t="s">
        <v>1664</v>
      </c>
      <c r="J1883" s="4" t="s">
        <v>6645</v>
      </c>
      <c r="K1883" s="4">
        <v>1</v>
      </c>
      <c r="L1883" s="4">
        <v>2918</v>
      </c>
      <c r="M1883" s="9">
        <v>-121.0036111</v>
      </c>
      <c r="N1883" s="9">
        <v>54.105555559999999</v>
      </c>
      <c r="O1883" s="9">
        <v>1100</v>
      </c>
      <c r="P1883" s="9" t="s">
        <v>6771</v>
      </c>
      <c r="Q1883" s="70">
        <v>4</v>
      </c>
      <c r="R1883" s="9" t="s">
        <v>6772</v>
      </c>
      <c r="S1883" s="9" t="s">
        <v>6646</v>
      </c>
    </row>
    <row r="1884" spans="1:72" ht="14.25" customHeight="1" x14ac:dyDescent="0.2">
      <c r="B1884" s="4">
        <v>14</v>
      </c>
      <c r="C1884" s="4" t="s">
        <v>7690</v>
      </c>
      <c r="D1884" s="4" t="s">
        <v>6775</v>
      </c>
      <c r="E1884" s="4">
        <v>2563</v>
      </c>
      <c r="F1884" s="27" t="s">
        <v>6776</v>
      </c>
      <c r="G1884" s="4" t="s">
        <v>6777</v>
      </c>
      <c r="H1884" s="4" t="s">
        <v>6778</v>
      </c>
      <c r="I1884" s="4" t="s">
        <v>1664</v>
      </c>
      <c r="J1884" s="4" t="s">
        <v>6645</v>
      </c>
      <c r="K1884" s="4">
        <v>1</v>
      </c>
      <c r="L1884" s="4">
        <v>2966</v>
      </c>
      <c r="M1884" s="9">
        <v>-124.279111</v>
      </c>
      <c r="N1884" s="9">
        <v>48.969444000000003</v>
      </c>
      <c r="O1884" s="9">
        <v>1160</v>
      </c>
      <c r="P1884" s="9" t="s">
        <v>6775</v>
      </c>
      <c r="Q1884" s="70">
        <v>8</v>
      </c>
      <c r="R1884" s="9" t="s">
        <v>6776</v>
      </c>
      <c r="S1884" s="9" t="s">
        <v>6646</v>
      </c>
      <c r="X1884" s="27"/>
      <c r="Y1884" s="27"/>
      <c r="Z1884" s="27"/>
      <c r="AA1884" s="27"/>
      <c r="AB1884" s="27"/>
      <c r="AC1884" s="27"/>
      <c r="AD1884" s="27"/>
      <c r="AE1884" s="27"/>
      <c r="AF1884" s="27"/>
      <c r="AG1884" s="27"/>
      <c r="AH1884" s="27"/>
      <c r="AI1884" s="27"/>
      <c r="AJ1884" s="27"/>
      <c r="AK1884" s="27"/>
      <c r="AL1884" s="27"/>
      <c r="AM1884" s="27"/>
      <c r="AN1884" s="27"/>
      <c r="AO1884" s="27"/>
      <c r="AP1884" s="27"/>
      <c r="AQ1884" s="27"/>
      <c r="AR1884" s="27"/>
      <c r="AS1884" s="27"/>
      <c r="AT1884" s="27"/>
      <c r="AU1884" s="27"/>
      <c r="AV1884" s="27"/>
      <c r="AW1884" s="27"/>
      <c r="AX1884" s="27"/>
      <c r="AY1884" s="27"/>
      <c r="AZ1884" s="27"/>
      <c r="BA1884" s="27"/>
      <c r="BB1884" s="27"/>
      <c r="BC1884" s="27"/>
      <c r="BD1884" s="27"/>
      <c r="BE1884" s="27"/>
      <c r="BF1884" s="27"/>
      <c r="BG1884" s="27"/>
      <c r="BH1884" s="27"/>
      <c r="BI1884" s="27"/>
      <c r="BJ1884" s="27"/>
      <c r="BK1884" s="27"/>
      <c r="BL1884" s="27"/>
      <c r="BM1884" s="27"/>
      <c r="BN1884" s="27"/>
      <c r="BO1884" s="27"/>
      <c r="BP1884" s="27"/>
      <c r="BQ1884" s="27"/>
      <c r="BR1884" s="27"/>
      <c r="BS1884" s="27"/>
      <c r="BT1884" s="27"/>
    </row>
    <row r="1885" spans="1:72" ht="14.25" customHeight="1" x14ac:dyDescent="0.2">
      <c r="B1885" s="4">
        <v>14</v>
      </c>
      <c r="C1885" s="4" t="s">
        <v>7690</v>
      </c>
      <c r="D1885" s="4" t="s">
        <v>6779</v>
      </c>
      <c r="E1885" s="4">
        <v>2580</v>
      </c>
      <c r="F1885" s="4" t="s">
        <v>6780</v>
      </c>
      <c r="G1885" s="4" t="s">
        <v>6781</v>
      </c>
      <c r="H1885" s="4" t="s">
        <v>6782</v>
      </c>
      <c r="I1885" s="4" t="s">
        <v>1664</v>
      </c>
      <c r="J1885" s="4" t="s">
        <v>6783</v>
      </c>
      <c r="K1885" s="4">
        <v>1</v>
      </c>
      <c r="L1885" s="4">
        <v>2983</v>
      </c>
      <c r="M1885" s="27"/>
      <c r="N1885" s="27"/>
      <c r="O1885" s="27"/>
      <c r="P1885" s="27"/>
      <c r="Q1885" s="27"/>
      <c r="R1885" s="27"/>
      <c r="S1885" s="27"/>
      <c r="T1885" s="27"/>
      <c r="U1885" s="27"/>
      <c r="V1885" s="27"/>
      <c r="W1885" s="27"/>
      <c r="X1885" s="27"/>
      <c r="Y1885" s="27"/>
      <c r="Z1885" s="27"/>
      <c r="AA1885" s="27"/>
      <c r="AB1885" s="27"/>
      <c r="AC1885" s="27"/>
      <c r="AD1885" s="27"/>
      <c r="AE1885" s="27"/>
      <c r="AF1885" s="27"/>
      <c r="AG1885" s="27"/>
      <c r="AH1885" s="27"/>
      <c r="AI1885" s="27"/>
      <c r="AJ1885" s="27"/>
      <c r="AK1885" s="27"/>
      <c r="AL1885" s="27"/>
      <c r="AM1885" s="27"/>
      <c r="AN1885" s="27"/>
      <c r="AO1885" s="27"/>
      <c r="AP1885" s="27"/>
      <c r="AQ1885" s="27"/>
      <c r="AR1885" s="27"/>
      <c r="AS1885" s="27"/>
      <c r="AT1885" s="27"/>
      <c r="AU1885" s="27"/>
      <c r="AV1885" s="27"/>
      <c r="AW1885" s="27"/>
      <c r="AX1885" s="27"/>
      <c r="AY1885" s="27"/>
      <c r="AZ1885" s="27"/>
      <c r="BA1885" s="27"/>
      <c r="BB1885" s="27"/>
      <c r="BC1885" s="27"/>
      <c r="BD1885" s="27"/>
      <c r="BE1885" s="27"/>
      <c r="BF1885" s="27"/>
      <c r="BG1885" s="27"/>
      <c r="BH1885" s="27"/>
      <c r="BI1885" s="27"/>
      <c r="BJ1885" s="27"/>
      <c r="BK1885" s="27"/>
      <c r="BL1885" s="27"/>
      <c r="BM1885" s="27"/>
      <c r="BN1885" s="27"/>
      <c r="BO1885" s="27"/>
      <c r="BP1885" s="27"/>
      <c r="BQ1885" s="27"/>
      <c r="BR1885" s="27"/>
      <c r="BS1885" s="27"/>
      <c r="BT1885" s="27"/>
    </row>
    <row r="1886" spans="1:72" ht="14.25" customHeight="1" x14ac:dyDescent="0.2">
      <c r="B1886" s="4">
        <v>14</v>
      </c>
      <c r="C1886" s="4" t="s">
        <v>7690</v>
      </c>
      <c r="D1886" s="4" t="s">
        <v>6784</v>
      </c>
      <c r="E1886" s="4">
        <v>12497</v>
      </c>
      <c r="F1886" s="4" t="s">
        <v>6785</v>
      </c>
      <c r="G1886" s="4" t="s">
        <v>6786</v>
      </c>
      <c r="H1886" s="4" t="s">
        <v>6787</v>
      </c>
      <c r="I1886" s="4" t="s">
        <v>49</v>
      </c>
      <c r="J1886" s="4" t="s">
        <v>6728</v>
      </c>
      <c r="K1886" s="4">
        <v>1</v>
      </c>
      <c r="L1886" s="4">
        <v>14519</v>
      </c>
      <c r="M1886" s="9">
        <v>-120.7824444</v>
      </c>
      <c r="N1886" s="9">
        <v>54.30277778</v>
      </c>
      <c r="O1886" s="9">
        <v>1601</v>
      </c>
      <c r="P1886" s="27" t="s">
        <v>6788</v>
      </c>
      <c r="Q1886" s="96">
        <v>8</v>
      </c>
      <c r="R1886" s="27" t="s">
        <v>6789</v>
      </c>
      <c r="S1886" s="27" t="s">
        <v>6646</v>
      </c>
      <c r="T1886" s="27"/>
      <c r="U1886" s="27"/>
      <c r="V1886" s="27"/>
      <c r="W1886" s="27"/>
      <c r="X1886" s="27"/>
      <c r="Y1886" s="27"/>
      <c r="Z1886" s="27"/>
      <c r="AA1886" s="27"/>
      <c r="AB1886" s="27"/>
      <c r="AC1886" s="27"/>
      <c r="AD1886" s="27"/>
      <c r="AE1886" s="27"/>
      <c r="AF1886" s="27"/>
      <c r="AG1886" s="27"/>
      <c r="AH1886" s="27"/>
      <c r="AI1886" s="27"/>
      <c r="AJ1886" s="27"/>
      <c r="AK1886" s="27"/>
      <c r="AL1886" s="27"/>
      <c r="AM1886" s="27"/>
      <c r="AN1886" s="27"/>
      <c r="AO1886" s="27"/>
      <c r="AP1886" s="27"/>
      <c r="AQ1886" s="27"/>
      <c r="AR1886" s="27"/>
      <c r="AS1886" s="27"/>
      <c r="AT1886" s="27"/>
      <c r="AU1886" s="27"/>
      <c r="AV1886" s="27"/>
      <c r="AW1886" s="27"/>
      <c r="AX1886" s="27"/>
      <c r="AY1886" s="27"/>
      <c r="AZ1886" s="27"/>
      <c r="BA1886" s="27"/>
      <c r="BB1886" s="27"/>
      <c r="BC1886" s="27"/>
      <c r="BD1886" s="27"/>
      <c r="BE1886" s="27"/>
      <c r="BF1886" s="27"/>
      <c r="BG1886" s="27"/>
      <c r="BH1886" s="27"/>
      <c r="BI1886" s="27"/>
      <c r="BJ1886" s="27"/>
      <c r="BK1886" s="27"/>
      <c r="BL1886" s="27"/>
      <c r="BM1886" s="27"/>
      <c r="BN1886" s="27"/>
      <c r="BO1886" s="27"/>
      <c r="BP1886" s="27"/>
      <c r="BQ1886" s="27"/>
      <c r="BR1886" s="27"/>
      <c r="BS1886" s="27"/>
      <c r="BT1886" s="27"/>
    </row>
    <row r="1887" spans="1:72" ht="14.25" customHeight="1" x14ac:dyDescent="0.2">
      <c r="B1887" s="4">
        <v>14</v>
      </c>
      <c r="C1887" s="4" t="s">
        <v>7690</v>
      </c>
      <c r="D1887" s="4" t="s">
        <v>6790</v>
      </c>
      <c r="E1887" s="4">
        <v>2536</v>
      </c>
      <c r="F1887" s="27" t="s">
        <v>6791</v>
      </c>
      <c r="G1887" s="4" t="s">
        <v>6792</v>
      </c>
      <c r="H1887" s="4" t="s">
        <v>6793</v>
      </c>
      <c r="I1887" s="4" t="s">
        <v>1664</v>
      </c>
      <c r="J1887" s="4" t="s">
        <v>6645</v>
      </c>
      <c r="K1887" s="4">
        <v>1</v>
      </c>
      <c r="L1887" s="4">
        <v>2939</v>
      </c>
      <c r="U1887" s="27"/>
      <c r="V1887" s="27"/>
      <c r="W1887" s="27"/>
      <c r="X1887" s="27"/>
      <c r="Y1887" s="27"/>
      <c r="Z1887" s="27"/>
      <c r="AA1887" s="27"/>
      <c r="AB1887" s="27"/>
      <c r="AC1887" s="27"/>
      <c r="AD1887" s="27"/>
      <c r="AE1887" s="27"/>
      <c r="AF1887" s="27"/>
      <c r="AG1887" s="27"/>
      <c r="AH1887" s="27"/>
      <c r="AI1887" s="27"/>
      <c r="AJ1887" s="27"/>
      <c r="AK1887" s="27"/>
      <c r="AL1887" s="27"/>
      <c r="AM1887" s="27"/>
      <c r="AN1887" s="27"/>
      <c r="AO1887" s="27"/>
      <c r="AP1887" s="27"/>
      <c r="AQ1887" s="27"/>
      <c r="AR1887" s="27"/>
      <c r="AS1887" s="27"/>
      <c r="AT1887" s="27"/>
      <c r="AU1887" s="27"/>
      <c r="AV1887" s="27"/>
      <c r="AW1887" s="27"/>
      <c r="AX1887" s="27"/>
      <c r="AY1887" s="27"/>
      <c r="AZ1887" s="27"/>
      <c r="BA1887" s="27"/>
      <c r="BB1887" s="27"/>
      <c r="BC1887" s="27"/>
      <c r="BD1887" s="27"/>
      <c r="BE1887" s="27"/>
      <c r="BF1887" s="27"/>
      <c r="BG1887" s="27"/>
      <c r="BH1887" s="27"/>
      <c r="BI1887" s="27"/>
      <c r="BJ1887" s="27"/>
      <c r="BK1887" s="27"/>
      <c r="BL1887" s="27"/>
      <c r="BM1887" s="27"/>
      <c r="BN1887" s="27"/>
      <c r="BO1887" s="27"/>
      <c r="BP1887" s="27"/>
      <c r="BQ1887" s="27"/>
      <c r="BR1887" s="27"/>
      <c r="BS1887" s="27"/>
      <c r="BT1887" s="27"/>
    </row>
    <row r="1888" spans="1:72" ht="14.25" customHeight="1" x14ac:dyDescent="0.2">
      <c r="A1888" s="4" t="s">
        <v>5043</v>
      </c>
      <c r="B1888" s="4">
        <v>14</v>
      </c>
      <c r="C1888" s="8" t="s">
        <v>7696</v>
      </c>
      <c r="D1888" s="4" t="s">
        <v>6794</v>
      </c>
      <c r="E1888" s="4">
        <v>2567</v>
      </c>
      <c r="F1888" s="4" t="s">
        <v>6795</v>
      </c>
      <c r="G1888" s="4" t="s">
        <v>6796</v>
      </c>
      <c r="H1888" s="4" t="s">
        <v>6797</v>
      </c>
      <c r="I1888" s="4" t="s">
        <v>1664</v>
      </c>
      <c r="J1888" s="4" t="s">
        <v>6640</v>
      </c>
      <c r="K1888" s="4">
        <v>1</v>
      </c>
      <c r="L1888" s="4">
        <v>2970</v>
      </c>
      <c r="M1888" s="9">
        <v>-120.0321667</v>
      </c>
      <c r="N1888" s="9">
        <v>52.203666669999997</v>
      </c>
      <c r="O1888" s="9">
        <v>1770</v>
      </c>
      <c r="P1888" s="9" t="s">
        <v>6790</v>
      </c>
      <c r="Q1888" s="70">
        <v>6</v>
      </c>
      <c r="R1888" s="9" t="s">
        <v>6791</v>
      </c>
      <c r="S1888" s="9" t="s">
        <v>6646</v>
      </c>
    </row>
    <row r="1889" spans="1:72" ht="14.25" customHeight="1" x14ac:dyDescent="0.2">
      <c r="B1889" s="4">
        <v>14</v>
      </c>
      <c r="C1889" s="4" t="s">
        <v>7690</v>
      </c>
      <c r="D1889" s="4" t="s">
        <v>6798</v>
      </c>
      <c r="E1889" s="4">
        <v>2571</v>
      </c>
      <c r="F1889" s="4" t="s">
        <v>6799</v>
      </c>
      <c r="G1889" s="4" t="s">
        <v>6800</v>
      </c>
      <c r="H1889" s="4" t="s">
        <v>6801</v>
      </c>
      <c r="I1889" s="4" t="s">
        <v>1664</v>
      </c>
      <c r="J1889" s="4" t="s">
        <v>6645</v>
      </c>
      <c r="K1889" s="4">
        <v>1</v>
      </c>
      <c r="L1889" s="4">
        <v>2974</v>
      </c>
      <c r="M1889" s="9">
        <v>-126.3046667</v>
      </c>
      <c r="N1889" s="9">
        <v>54.196166669999997</v>
      </c>
      <c r="O1889" s="9">
        <v>1300</v>
      </c>
      <c r="P1889" s="9" t="s">
        <v>6798</v>
      </c>
      <c r="Q1889" s="70">
        <v>6</v>
      </c>
      <c r="R1889" s="9" t="s">
        <v>6799</v>
      </c>
      <c r="S1889" s="9" t="s">
        <v>6646</v>
      </c>
    </row>
    <row r="1890" spans="1:72" ht="14.25" customHeight="1" x14ac:dyDescent="0.2">
      <c r="B1890" s="4">
        <v>14</v>
      </c>
      <c r="C1890" s="4" t="s">
        <v>7690</v>
      </c>
      <c r="D1890" s="4" t="s">
        <v>6802</v>
      </c>
      <c r="E1890" s="4">
        <v>2513</v>
      </c>
      <c r="F1890" s="4" t="s">
        <v>6803</v>
      </c>
      <c r="G1890" s="4" t="s">
        <v>6804</v>
      </c>
      <c r="H1890" s="4" t="s">
        <v>6805</v>
      </c>
      <c r="I1890" s="4" t="s">
        <v>1664</v>
      </c>
      <c r="J1890" s="4" t="s">
        <v>6645</v>
      </c>
      <c r="K1890" s="4">
        <v>1</v>
      </c>
      <c r="L1890" s="4">
        <v>2916</v>
      </c>
      <c r="M1890" s="9">
        <v>-120.3172778</v>
      </c>
      <c r="N1890" s="9">
        <v>53.307749999999999</v>
      </c>
      <c r="O1890" s="9">
        <v>1580</v>
      </c>
      <c r="P1890" s="9" t="s">
        <v>6802</v>
      </c>
      <c r="Q1890" s="70">
        <v>5</v>
      </c>
      <c r="R1890" s="9" t="s">
        <v>6806</v>
      </c>
      <c r="S1890" s="9" t="s">
        <v>6646</v>
      </c>
      <c r="V1890" s="27"/>
      <c r="W1890" s="27"/>
      <c r="X1890" s="27"/>
      <c r="Y1890" s="27"/>
      <c r="Z1890" s="27"/>
      <c r="AA1890" s="27"/>
      <c r="AB1890" s="27"/>
      <c r="AC1890" s="27"/>
      <c r="AD1890" s="27"/>
      <c r="AE1890" s="27"/>
      <c r="AF1890" s="27"/>
      <c r="AG1890" s="27"/>
      <c r="AH1890" s="27"/>
      <c r="AI1890" s="27"/>
      <c r="AJ1890" s="27"/>
      <c r="AK1890" s="27"/>
      <c r="AL1890" s="27"/>
      <c r="AM1890" s="27"/>
      <c r="AN1890" s="27"/>
      <c r="AO1890" s="27"/>
      <c r="AP1890" s="27"/>
      <c r="AQ1890" s="27"/>
      <c r="AR1890" s="27"/>
      <c r="AS1890" s="27"/>
      <c r="AT1890" s="27"/>
      <c r="AU1890" s="27"/>
      <c r="AV1890" s="27"/>
      <c r="AW1890" s="27"/>
      <c r="AX1890" s="27"/>
      <c r="AY1890" s="27"/>
      <c r="AZ1890" s="27"/>
      <c r="BA1890" s="27"/>
      <c r="BB1890" s="27"/>
      <c r="BC1890" s="27"/>
      <c r="BD1890" s="27"/>
      <c r="BE1890" s="27"/>
      <c r="BF1890" s="27"/>
      <c r="BG1890" s="27"/>
      <c r="BH1890" s="27"/>
      <c r="BI1890" s="27"/>
      <c r="BJ1890" s="27"/>
      <c r="BK1890" s="27"/>
      <c r="BL1890" s="27"/>
      <c r="BM1890" s="27"/>
      <c r="BN1890" s="27"/>
      <c r="BO1890" s="27"/>
      <c r="BP1890" s="27"/>
      <c r="BQ1890" s="27"/>
      <c r="BR1890" s="27"/>
      <c r="BS1890" s="27"/>
      <c r="BT1890" s="27"/>
    </row>
    <row r="1891" spans="1:72" ht="14.25" customHeight="1" x14ac:dyDescent="0.2">
      <c r="B1891" s="4">
        <v>14</v>
      </c>
      <c r="C1891" s="4" t="s">
        <v>7690</v>
      </c>
      <c r="D1891" s="4" t="s">
        <v>6807</v>
      </c>
      <c r="E1891" s="4">
        <v>2554</v>
      </c>
      <c r="F1891" s="4" t="s">
        <v>6808</v>
      </c>
      <c r="G1891" s="4" t="s">
        <v>6809</v>
      </c>
      <c r="H1891" s="4" t="s">
        <v>6810</v>
      </c>
      <c r="I1891" s="4" t="s">
        <v>1664</v>
      </c>
      <c r="J1891" s="4" t="s">
        <v>6645</v>
      </c>
      <c r="K1891" s="4">
        <v>1</v>
      </c>
      <c r="L1891" s="4">
        <v>2957</v>
      </c>
      <c r="M1891" s="9">
        <v>-118.94966669999999</v>
      </c>
      <c r="N1891" s="9">
        <v>49.944666669999997</v>
      </c>
      <c r="O1891" s="9">
        <v>1780</v>
      </c>
      <c r="P1891" s="9" t="s">
        <v>6807</v>
      </c>
      <c r="Q1891" s="70">
        <v>7</v>
      </c>
      <c r="R1891" s="9" t="s">
        <v>6808</v>
      </c>
      <c r="S1891" s="9" t="s">
        <v>6646</v>
      </c>
    </row>
    <row r="1892" spans="1:72" ht="14.25" customHeight="1" x14ac:dyDescent="0.2">
      <c r="A1892" s="4" t="s">
        <v>5043</v>
      </c>
      <c r="B1892" s="4">
        <v>14</v>
      </c>
      <c r="C1892" s="8" t="s">
        <v>7696</v>
      </c>
      <c r="D1892" s="4" t="s">
        <v>6811</v>
      </c>
      <c r="E1892" s="4">
        <v>2522</v>
      </c>
      <c r="F1892" s="27" t="s">
        <v>6416</v>
      </c>
      <c r="G1892" s="4" t="s">
        <v>6812</v>
      </c>
      <c r="H1892" s="4" t="s">
        <v>6813</v>
      </c>
      <c r="I1892" s="4" t="s">
        <v>1664</v>
      </c>
      <c r="J1892" s="4" t="s">
        <v>5996</v>
      </c>
      <c r="K1892" s="4">
        <v>1</v>
      </c>
      <c r="L1892" s="4">
        <v>2925</v>
      </c>
      <c r="W1892" s="27"/>
      <c r="X1892" s="27"/>
      <c r="Y1892" s="27"/>
      <c r="Z1892" s="27"/>
      <c r="AA1892" s="27"/>
      <c r="AB1892" s="27"/>
      <c r="AC1892" s="27"/>
      <c r="AD1892" s="27"/>
      <c r="AE1892" s="27"/>
      <c r="AF1892" s="27"/>
      <c r="AG1892" s="27"/>
      <c r="AH1892" s="27"/>
      <c r="AI1892" s="27"/>
      <c r="AJ1892" s="27"/>
      <c r="AK1892" s="27"/>
      <c r="AL1892" s="27"/>
      <c r="AM1892" s="27"/>
      <c r="AN1892" s="27"/>
      <c r="AO1892" s="27"/>
      <c r="AP1892" s="27"/>
      <c r="AQ1892" s="27"/>
      <c r="AR1892" s="27"/>
      <c r="AS1892" s="27"/>
      <c r="AT1892" s="27"/>
      <c r="AU1892" s="27"/>
      <c r="AV1892" s="27"/>
      <c r="AW1892" s="27"/>
      <c r="AX1892" s="27"/>
      <c r="AY1892" s="27"/>
      <c r="AZ1892" s="27"/>
      <c r="BA1892" s="27"/>
      <c r="BB1892" s="27"/>
      <c r="BC1892" s="27"/>
      <c r="BD1892" s="27"/>
      <c r="BE1892" s="27"/>
      <c r="BF1892" s="27"/>
      <c r="BG1892" s="27"/>
      <c r="BH1892" s="27"/>
      <c r="BI1892" s="27"/>
      <c r="BJ1892" s="27"/>
      <c r="BK1892" s="27"/>
      <c r="BL1892" s="27"/>
      <c r="BM1892" s="27"/>
      <c r="BN1892" s="27"/>
      <c r="BO1892" s="27"/>
      <c r="BP1892" s="27"/>
      <c r="BQ1892" s="27"/>
      <c r="BR1892" s="27"/>
      <c r="BS1892" s="27"/>
      <c r="BT1892" s="27"/>
    </row>
    <row r="1893" spans="1:72" ht="14.25" customHeight="1" x14ac:dyDescent="0.2">
      <c r="B1893" s="4">
        <v>14</v>
      </c>
      <c r="C1893" s="4" t="s">
        <v>7690</v>
      </c>
      <c r="D1893" s="4" t="s">
        <v>6814</v>
      </c>
      <c r="E1893" s="4">
        <v>2543</v>
      </c>
      <c r="F1893" s="4" t="s">
        <v>6428</v>
      </c>
      <c r="G1893" s="4" t="s">
        <v>6815</v>
      </c>
      <c r="H1893" s="4" t="s">
        <v>6816</v>
      </c>
      <c r="I1893" s="4" t="s">
        <v>1664</v>
      </c>
      <c r="J1893" s="4" t="s">
        <v>5996</v>
      </c>
      <c r="K1893" s="4">
        <v>1</v>
      </c>
      <c r="L1893" s="4">
        <v>2946</v>
      </c>
    </row>
    <row r="1894" spans="1:72" ht="14.25" customHeight="1" x14ac:dyDescent="0.2">
      <c r="A1894" s="4" t="s">
        <v>5043</v>
      </c>
      <c r="B1894" s="4">
        <v>14</v>
      </c>
      <c r="C1894" s="8" t="s">
        <v>7696</v>
      </c>
      <c r="D1894" s="4" t="s">
        <v>6817</v>
      </c>
      <c r="E1894" s="4">
        <v>2548</v>
      </c>
      <c r="F1894" s="27" t="s">
        <v>6435</v>
      </c>
      <c r="G1894" s="4" t="s">
        <v>6818</v>
      </c>
      <c r="H1894" s="4" t="s">
        <v>6819</v>
      </c>
      <c r="I1894" s="4" t="s">
        <v>1664</v>
      </c>
      <c r="J1894" s="4" t="s">
        <v>5996</v>
      </c>
      <c r="K1894" s="4">
        <v>1</v>
      </c>
      <c r="L1894" s="4">
        <v>2951</v>
      </c>
      <c r="M1894" s="27"/>
      <c r="N1894" s="27"/>
      <c r="O1894" s="27"/>
      <c r="P1894" s="27"/>
      <c r="Q1894" s="27"/>
      <c r="R1894" s="27"/>
      <c r="S1894" s="27"/>
      <c r="T1894" s="27"/>
      <c r="U1894" s="27"/>
      <c r="V1894" s="27"/>
      <c r="W1894" s="27"/>
      <c r="X1894" s="27"/>
      <c r="Y1894" s="27"/>
      <c r="Z1894" s="27"/>
      <c r="AA1894" s="27"/>
      <c r="AB1894" s="27"/>
      <c r="AC1894" s="27"/>
      <c r="AD1894" s="27"/>
      <c r="AE1894" s="27"/>
      <c r="AF1894" s="27"/>
      <c r="AG1894" s="27"/>
      <c r="AH1894" s="27"/>
      <c r="AI1894" s="27"/>
      <c r="AJ1894" s="27"/>
      <c r="AK1894" s="27"/>
      <c r="AL1894" s="27"/>
      <c r="AM1894" s="27"/>
      <c r="AN1894" s="27"/>
      <c r="AO1894" s="27"/>
      <c r="AP1894" s="27"/>
      <c r="AQ1894" s="27"/>
      <c r="AR1894" s="27"/>
      <c r="AS1894" s="27"/>
      <c r="AT1894" s="27"/>
      <c r="AU1894" s="27"/>
      <c r="AV1894" s="27"/>
      <c r="AW1894" s="27"/>
      <c r="AX1894" s="27"/>
      <c r="AY1894" s="27"/>
      <c r="AZ1894" s="27"/>
      <c r="BA1894" s="27"/>
      <c r="BB1894" s="27"/>
      <c r="BC1894" s="27"/>
      <c r="BD1894" s="27"/>
      <c r="BE1894" s="27"/>
      <c r="BF1894" s="27"/>
      <c r="BG1894" s="27"/>
      <c r="BH1894" s="27"/>
      <c r="BI1894" s="27"/>
      <c r="BJ1894" s="27"/>
      <c r="BK1894" s="27"/>
      <c r="BL1894" s="27"/>
      <c r="BM1894" s="27"/>
      <c r="BN1894" s="27"/>
      <c r="BO1894" s="27"/>
      <c r="BP1894" s="27"/>
      <c r="BQ1894" s="27"/>
      <c r="BR1894" s="27"/>
      <c r="BS1894" s="27"/>
      <c r="BT1894" s="27"/>
    </row>
    <row r="1895" spans="1:72" ht="14.25" customHeight="1" x14ac:dyDescent="0.2">
      <c r="A1895" s="4" t="s">
        <v>5043</v>
      </c>
      <c r="B1895" s="4">
        <v>14</v>
      </c>
      <c r="C1895" s="8" t="s">
        <v>7696</v>
      </c>
      <c r="D1895" s="4" t="s">
        <v>6820</v>
      </c>
      <c r="E1895" s="4">
        <v>2547</v>
      </c>
      <c r="F1895" s="4" t="s">
        <v>6435</v>
      </c>
      <c r="G1895" s="4" t="s">
        <v>6821</v>
      </c>
      <c r="H1895" s="4" t="s">
        <v>6822</v>
      </c>
      <c r="I1895" s="4" t="s">
        <v>1664</v>
      </c>
      <c r="J1895" s="4" t="s">
        <v>6672</v>
      </c>
      <c r="K1895" s="4">
        <v>1</v>
      </c>
      <c r="L1895" s="4">
        <v>2950</v>
      </c>
    </row>
    <row r="1896" spans="1:72" ht="14.25" customHeight="1" x14ac:dyDescent="0.2">
      <c r="B1896" s="4">
        <v>14</v>
      </c>
      <c r="C1896" s="4" t="s">
        <v>7690</v>
      </c>
      <c r="D1896" s="4" t="s">
        <v>6823</v>
      </c>
      <c r="E1896" s="4">
        <v>2534</v>
      </c>
      <c r="F1896" s="4" t="s">
        <v>6824</v>
      </c>
      <c r="G1896" s="4" t="s">
        <v>6825</v>
      </c>
      <c r="H1896" s="4" t="s">
        <v>6826</v>
      </c>
      <c r="I1896" s="4" t="s">
        <v>1664</v>
      </c>
      <c r="J1896" s="4" t="s">
        <v>6645</v>
      </c>
      <c r="K1896" s="4">
        <v>1</v>
      </c>
      <c r="L1896" s="4">
        <v>2937</v>
      </c>
      <c r="M1896" s="9">
        <v>-119.3213889</v>
      </c>
      <c r="N1896" s="9">
        <v>52.182777780000002</v>
      </c>
      <c r="O1896" s="9">
        <v>1550</v>
      </c>
      <c r="P1896" s="9" t="s">
        <v>6823</v>
      </c>
      <c r="Q1896" s="70">
        <v>5</v>
      </c>
      <c r="R1896" s="9" t="s">
        <v>6824</v>
      </c>
      <c r="S1896" s="9" t="s">
        <v>6646</v>
      </c>
    </row>
    <row r="1897" spans="1:72" ht="14.25" customHeight="1" x14ac:dyDescent="0.2">
      <c r="A1897" s="4" t="s">
        <v>5043</v>
      </c>
      <c r="B1897" s="4">
        <v>14</v>
      </c>
      <c r="C1897" s="8" t="s">
        <v>7696</v>
      </c>
      <c r="D1897" s="4" t="s">
        <v>6827</v>
      </c>
      <c r="E1897" s="4">
        <v>2541</v>
      </c>
      <c r="F1897" s="4" t="s">
        <v>6444</v>
      </c>
      <c r="G1897" s="4" t="s">
        <v>6828</v>
      </c>
      <c r="H1897" s="4" t="s">
        <v>6829</v>
      </c>
      <c r="I1897" s="4" t="s">
        <v>1664</v>
      </c>
      <c r="J1897" s="4" t="s">
        <v>5996</v>
      </c>
      <c r="K1897" s="4">
        <v>1</v>
      </c>
      <c r="L1897" s="4">
        <v>2944</v>
      </c>
    </row>
    <row r="1898" spans="1:72" ht="14.25" customHeight="1" x14ac:dyDescent="0.2">
      <c r="B1898" s="4">
        <v>14</v>
      </c>
      <c r="C1898" s="4" t="s">
        <v>7690</v>
      </c>
      <c r="D1898" s="4" t="s">
        <v>6830</v>
      </c>
      <c r="E1898" s="4">
        <v>2537</v>
      </c>
      <c r="F1898" s="27" t="s">
        <v>6831</v>
      </c>
      <c r="G1898" s="4" t="s">
        <v>6832</v>
      </c>
      <c r="H1898" s="4" t="s">
        <v>6676</v>
      </c>
      <c r="I1898" s="4" t="s">
        <v>1664</v>
      </c>
      <c r="J1898" s="4" t="s">
        <v>6677</v>
      </c>
      <c r="K1898" s="4">
        <v>1</v>
      </c>
      <c r="L1898" s="4">
        <v>2940</v>
      </c>
      <c r="M1898" s="27"/>
      <c r="N1898" s="27"/>
      <c r="O1898" s="27"/>
      <c r="P1898" s="27"/>
      <c r="Q1898" s="27"/>
      <c r="R1898" s="27"/>
      <c r="S1898" s="27"/>
      <c r="T1898" s="27"/>
      <c r="U1898" s="27"/>
      <c r="V1898" s="27"/>
      <c r="W1898" s="27"/>
      <c r="X1898" s="27"/>
      <c r="Y1898" s="27"/>
      <c r="Z1898" s="27"/>
      <c r="AA1898" s="27"/>
      <c r="AB1898" s="27"/>
      <c r="AC1898" s="27"/>
      <c r="AD1898" s="27"/>
      <c r="AE1898" s="27"/>
      <c r="AF1898" s="27"/>
      <c r="AG1898" s="27"/>
      <c r="AH1898" s="27"/>
      <c r="AI1898" s="27"/>
      <c r="AJ1898" s="27"/>
      <c r="AK1898" s="27"/>
      <c r="AL1898" s="27"/>
      <c r="AM1898" s="27"/>
      <c r="AN1898" s="27"/>
      <c r="AO1898" s="27"/>
      <c r="AP1898" s="27"/>
      <c r="AQ1898" s="27"/>
      <c r="AR1898" s="27"/>
      <c r="AS1898" s="27"/>
      <c r="AT1898" s="27"/>
      <c r="AU1898" s="27"/>
      <c r="AV1898" s="27"/>
      <c r="AW1898" s="27"/>
      <c r="AX1898" s="27"/>
      <c r="AY1898" s="27"/>
      <c r="AZ1898" s="27"/>
      <c r="BA1898" s="27"/>
      <c r="BB1898" s="27"/>
      <c r="BC1898" s="27"/>
      <c r="BD1898" s="27"/>
      <c r="BE1898" s="27"/>
      <c r="BF1898" s="27"/>
      <c r="BG1898" s="27"/>
      <c r="BH1898" s="27"/>
      <c r="BI1898" s="27"/>
      <c r="BJ1898" s="27"/>
      <c r="BK1898" s="27"/>
      <c r="BL1898" s="27"/>
      <c r="BM1898" s="27"/>
      <c r="BN1898" s="27"/>
      <c r="BO1898" s="27"/>
      <c r="BP1898" s="27"/>
      <c r="BQ1898" s="27"/>
      <c r="BR1898" s="27"/>
      <c r="BS1898" s="27"/>
      <c r="BT1898" s="27"/>
    </row>
    <row r="1899" spans="1:72" ht="14.25" customHeight="1" x14ac:dyDescent="0.2">
      <c r="A1899" s="4" t="s">
        <v>422</v>
      </c>
      <c r="B1899" s="4">
        <v>14</v>
      </c>
      <c r="C1899" s="4" t="s">
        <v>7698</v>
      </c>
      <c r="D1899" s="4" t="s">
        <v>5993</v>
      </c>
      <c r="E1899" s="4">
        <v>2518</v>
      </c>
      <c r="F1899" s="4" t="s">
        <v>1680</v>
      </c>
      <c r="G1899" s="4" t="s">
        <v>5994</v>
      </c>
      <c r="H1899" s="4" t="s">
        <v>5995</v>
      </c>
      <c r="I1899" s="4" t="s">
        <v>1664</v>
      </c>
      <c r="J1899" s="4" t="s">
        <v>5996</v>
      </c>
      <c r="K1899" s="4">
        <v>1</v>
      </c>
      <c r="L1899" s="4">
        <v>2921</v>
      </c>
      <c r="V1899" s="27"/>
      <c r="W1899" s="27"/>
      <c r="X1899" s="27"/>
      <c r="Y1899" s="27"/>
      <c r="Z1899" s="27"/>
      <c r="AA1899" s="27"/>
      <c r="AB1899" s="27"/>
      <c r="AC1899" s="27"/>
      <c r="AD1899" s="27"/>
      <c r="AE1899" s="27"/>
      <c r="AF1899" s="27"/>
      <c r="AG1899" s="27"/>
      <c r="AH1899" s="27"/>
      <c r="AI1899" s="27"/>
      <c r="AJ1899" s="27"/>
      <c r="AK1899" s="27"/>
      <c r="AL1899" s="27"/>
      <c r="AM1899" s="27"/>
      <c r="AN1899" s="27"/>
      <c r="AO1899" s="27"/>
      <c r="AP1899" s="27"/>
      <c r="AQ1899" s="27"/>
      <c r="AR1899" s="27"/>
      <c r="AS1899" s="27"/>
      <c r="AT1899" s="27"/>
      <c r="AU1899" s="27"/>
      <c r="AV1899" s="27"/>
      <c r="AW1899" s="27"/>
      <c r="AX1899" s="27"/>
      <c r="AY1899" s="27"/>
      <c r="AZ1899" s="27"/>
      <c r="BA1899" s="27"/>
      <c r="BB1899" s="27"/>
      <c r="BC1899" s="27"/>
      <c r="BD1899" s="27"/>
      <c r="BE1899" s="27"/>
      <c r="BF1899" s="27"/>
      <c r="BG1899" s="27"/>
      <c r="BH1899" s="27"/>
      <c r="BI1899" s="27"/>
      <c r="BJ1899" s="27"/>
      <c r="BK1899" s="27"/>
      <c r="BL1899" s="27"/>
      <c r="BM1899" s="27"/>
      <c r="BN1899" s="27"/>
      <c r="BO1899" s="27"/>
      <c r="BP1899" s="27"/>
      <c r="BQ1899" s="27"/>
      <c r="BR1899" s="27"/>
      <c r="BS1899" s="27"/>
      <c r="BT1899" s="27"/>
    </row>
    <row r="1900" spans="1:72" ht="14.25" customHeight="1" x14ac:dyDescent="0.2">
      <c r="A1900" s="4" t="s">
        <v>6834</v>
      </c>
      <c r="B1900" s="4">
        <v>14</v>
      </c>
      <c r="C1900" s="8" t="s">
        <v>7690</v>
      </c>
      <c r="D1900" s="8" t="s">
        <v>6835</v>
      </c>
      <c r="E1900" s="4">
        <v>2549</v>
      </c>
      <c r="F1900" s="4" t="s">
        <v>6836</v>
      </c>
      <c r="G1900" s="4" t="s">
        <v>6837</v>
      </c>
      <c r="H1900" s="4" t="s">
        <v>6838</v>
      </c>
      <c r="I1900" s="4" t="s">
        <v>1664</v>
      </c>
      <c r="J1900" s="4" t="s">
        <v>6645</v>
      </c>
      <c r="K1900" s="4">
        <v>1</v>
      </c>
      <c r="L1900" s="4">
        <v>2952</v>
      </c>
      <c r="V1900" s="27"/>
      <c r="W1900" s="27"/>
      <c r="X1900" s="27"/>
      <c r="Y1900" s="27"/>
      <c r="Z1900" s="27"/>
      <c r="AA1900" s="27"/>
      <c r="AB1900" s="27"/>
      <c r="AC1900" s="27"/>
      <c r="AD1900" s="27"/>
      <c r="AE1900" s="27"/>
      <c r="AF1900" s="27"/>
      <c r="AG1900" s="27"/>
      <c r="AH1900" s="27"/>
      <c r="AI1900" s="27"/>
      <c r="AJ1900" s="27"/>
      <c r="AK1900" s="27"/>
      <c r="AL1900" s="27"/>
      <c r="AM1900" s="27"/>
      <c r="AN1900" s="27"/>
      <c r="AO1900" s="27"/>
      <c r="AP1900" s="27"/>
      <c r="AQ1900" s="27"/>
      <c r="AR1900" s="27"/>
      <c r="AS1900" s="27"/>
      <c r="AT1900" s="27"/>
      <c r="AU1900" s="27"/>
      <c r="AV1900" s="27"/>
      <c r="AW1900" s="27"/>
      <c r="AX1900" s="27"/>
      <c r="AY1900" s="27"/>
      <c r="AZ1900" s="27"/>
      <c r="BA1900" s="27"/>
      <c r="BB1900" s="27"/>
      <c r="BC1900" s="27"/>
      <c r="BD1900" s="27"/>
      <c r="BE1900" s="27"/>
      <c r="BF1900" s="27"/>
      <c r="BG1900" s="27"/>
      <c r="BH1900" s="27"/>
      <c r="BI1900" s="27"/>
      <c r="BJ1900" s="27"/>
      <c r="BK1900" s="27"/>
      <c r="BL1900" s="27"/>
      <c r="BM1900" s="27"/>
      <c r="BN1900" s="27"/>
      <c r="BO1900" s="27"/>
      <c r="BP1900" s="27"/>
      <c r="BQ1900" s="27"/>
      <c r="BR1900" s="27"/>
      <c r="BS1900" s="27"/>
      <c r="BT1900" s="27"/>
    </row>
    <row r="1901" spans="1:72" ht="14.25" customHeight="1" x14ac:dyDescent="0.2">
      <c r="A1901" s="4" t="s">
        <v>422</v>
      </c>
      <c r="B1901" s="4">
        <v>14</v>
      </c>
      <c r="C1901" s="4" t="s">
        <v>7686</v>
      </c>
      <c r="D1901" s="4" t="s">
        <v>5997</v>
      </c>
      <c r="E1901" s="4">
        <v>2520</v>
      </c>
      <c r="F1901" s="4" t="s">
        <v>5998</v>
      </c>
      <c r="G1901" s="4" t="s">
        <v>5999</v>
      </c>
      <c r="H1901" s="4" t="s">
        <v>6000</v>
      </c>
      <c r="I1901" s="4" t="s">
        <v>1664</v>
      </c>
      <c r="J1901" s="4" t="s">
        <v>5996</v>
      </c>
      <c r="K1901" s="4">
        <v>1</v>
      </c>
      <c r="L1901" s="4">
        <v>2923</v>
      </c>
    </row>
    <row r="1902" spans="1:72" ht="14.25" customHeight="1" x14ac:dyDescent="0.2">
      <c r="B1902" s="4">
        <v>14</v>
      </c>
      <c r="C1902" s="4" t="s">
        <v>7690</v>
      </c>
      <c r="D1902" s="4" t="s">
        <v>6839</v>
      </c>
      <c r="E1902" s="4">
        <v>12501</v>
      </c>
      <c r="F1902" s="4" t="s">
        <v>6840</v>
      </c>
      <c r="G1902" s="4" t="s">
        <v>6841</v>
      </c>
      <c r="H1902" s="4" t="s">
        <v>6842</v>
      </c>
      <c r="I1902" s="4" t="s">
        <v>49</v>
      </c>
      <c r="J1902" s="4" t="s">
        <v>6728</v>
      </c>
      <c r="K1902" s="4">
        <v>1</v>
      </c>
      <c r="L1902" s="4">
        <v>14523</v>
      </c>
    </row>
    <row r="1903" spans="1:72" ht="14.25" customHeight="1" x14ac:dyDescent="0.2">
      <c r="B1903" s="4">
        <v>14</v>
      </c>
      <c r="C1903" s="4" t="s">
        <v>7690</v>
      </c>
      <c r="D1903" s="4" t="s">
        <v>6843</v>
      </c>
      <c r="E1903" s="4">
        <v>2558</v>
      </c>
      <c r="F1903" s="4" t="s">
        <v>6844</v>
      </c>
      <c r="G1903" s="4" t="s">
        <v>6845</v>
      </c>
      <c r="H1903" s="4" t="s">
        <v>6846</v>
      </c>
      <c r="I1903" s="4" t="s">
        <v>1664</v>
      </c>
      <c r="J1903" s="4" t="s">
        <v>6645</v>
      </c>
      <c r="K1903" s="4">
        <v>1</v>
      </c>
      <c r="L1903" s="4">
        <v>2961</v>
      </c>
      <c r="M1903" s="9">
        <v>-124.4605</v>
      </c>
      <c r="N1903" s="9">
        <v>51.243666670000003</v>
      </c>
      <c r="O1903" s="9">
        <v>1500</v>
      </c>
      <c r="P1903" s="9" t="s">
        <v>6843</v>
      </c>
      <c r="Q1903" s="70">
        <v>7</v>
      </c>
      <c r="R1903" s="9" t="s">
        <v>6844</v>
      </c>
      <c r="S1903" s="9" t="s">
        <v>6646</v>
      </c>
    </row>
    <row r="1904" spans="1:72" ht="14.25" customHeight="1" x14ac:dyDescent="0.2">
      <c r="B1904" s="4">
        <v>14</v>
      </c>
      <c r="C1904" s="4" t="s">
        <v>7690</v>
      </c>
      <c r="D1904" s="4" t="s">
        <v>6847</v>
      </c>
      <c r="E1904" s="4">
        <v>2529</v>
      </c>
      <c r="F1904" s="4" t="s">
        <v>6848</v>
      </c>
      <c r="G1904" s="4" t="s">
        <v>6849</v>
      </c>
      <c r="H1904" s="4" t="s">
        <v>6850</v>
      </c>
      <c r="I1904" s="4" t="s">
        <v>1664</v>
      </c>
      <c r="J1904" s="4" t="s">
        <v>6672</v>
      </c>
      <c r="K1904" s="4">
        <v>1</v>
      </c>
      <c r="L1904" s="4">
        <v>2932</v>
      </c>
      <c r="M1904" s="27"/>
      <c r="N1904" s="27"/>
      <c r="O1904" s="27"/>
      <c r="P1904" s="27"/>
      <c r="Q1904" s="27"/>
      <c r="R1904" s="27"/>
      <c r="S1904" s="27"/>
      <c r="T1904" s="27"/>
      <c r="U1904" s="27"/>
      <c r="V1904" s="27"/>
      <c r="W1904" s="27"/>
      <c r="X1904" s="27"/>
      <c r="Y1904" s="27"/>
      <c r="Z1904" s="27"/>
      <c r="AA1904" s="27"/>
      <c r="AB1904" s="27"/>
      <c r="AC1904" s="27"/>
      <c r="AD1904" s="27"/>
      <c r="AE1904" s="27"/>
      <c r="AF1904" s="27"/>
      <c r="AG1904" s="27"/>
      <c r="AH1904" s="27"/>
      <c r="AI1904" s="27"/>
      <c r="AJ1904" s="27"/>
      <c r="AK1904" s="27"/>
      <c r="AL1904" s="27"/>
      <c r="AM1904" s="27"/>
      <c r="AN1904" s="27"/>
      <c r="AO1904" s="27"/>
      <c r="AP1904" s="27"/>
      <c r="AQ1904" s="27"/>
      <c r="AR1904" s="27"/>
      <c r="AS1904" s="27"/>
      <c r="AT1904" s="27"/>
      <c r="AU1904" s="27"/>
      <c r="AV1904" s="27"/>
      <c r="AW1904" s="27"/>
      <c r="AX1904" s="27"/>
      <c r="AY1904" s="27"/>
      <c r="AZ1904" s="27"/>
      <c r="BA1904" s="27"/>
      <c r="BB1904" s="27"/>
      <c r="BC1904" s="27"/>
      <c r="BD1904" s="27"/>
      <c r="BE1904" s="27"/>
      <c r="BF1904" s="27"/>
      <c r="BG1904" s="27"/>
      <c r="BH1904" s="27"/>
      <c r="BI1904" s="27"/>
      <c r="BJ1904" s="27"/>
      <c r="BK1904" s="27"/>
      <c r="BL1904" s="27"/>
      <c r="BM1904" s="27"/>
      <c r="BN1904" s="27"/>
      <c r="BO1904" s="27"/>
      <c r="BP1904" s="27"/>
      <c r="BQ1904" s="27"/>
      <c r="BR1904" s="27"/>
      <c r="BS1904" s="27"/>
      <c r="BT1904" s="27"/>
    </row>
    <row r="1905" spans="1:72" ht="14.25" customHeight="1" x14ac:dyDescent="0.2">
      <c r="A1905" s="4" t="s">
        <v>422</v>
      </c>
      <c r="B1905" s="4">
        <v>5</v>
      </c>
      <c r="C1905" s="4" t="s">
        <v>7689</v>
      </c>
      <c r="D1905" s="4" t="s">
        <v>6851</v>
      </c>
      <c r="E1905" s="4">
        <v>2491</v>
      </c>
      <c r="F1905" s="4" t="s">
        <v>6852</v>
      </c>
      <c r="G1905" s="4" t="s">
        <v>6853</v>
      </c>
      <c r="H1905" s="4" t="s">
        <v>6854</v>
      </c>
      <c r="I1905" s="4" t="s">
        <v>1664</v>
      </c>
      <c r="J1905" s="4" t="s">
        <v>6855</v>
      </c>
      <c r="K1905" s="4">
        <v>1</v>
      </c>
      <c r="L1905" s="4">
        <v>2894</v>
      </c>
    </row>
    <row r="1906" spans="1:72" ht="14.25" customHeight="1" x14ac:dyDescent="0.2">
      <c r="B1906" s="4">
        <v>14</v>
      </c>
      <c r="C1906" s="4" t="s">
        <v>7690</v>
      </c>
      <c r="D1906" s="4" t="s">
        <v>6856</v>
      </c>
      <c r="E1906" s="4">
        <v>2539</v>
      </c>
      <c r="F1906" s="4" t="s">
        <v>6852</v>
      </c>
      <c r="G1906" s="4" t="s">
        <v>6857</v>
      </c>
      <c r="H1906" s="4" t="s">
        <v>6858</v>
      </c>
      <c r="I1906" s="4" t="s">
        <v>1664</v>
      </c>
      <c r="J1906" s="4" t="s">
        <v>6645</v>
      </c>
      <c r="K1906" s="4">
        <v>1</v>
      </c>
      <c r="L1906" s="4">
        <v>2942</v>
      </c>
      <c r="M1906" s="4">
        <v>-118.6185</v>
      </c>
      <c r="N1906" s="4">
        <v>50.4495</v>
      </c>
      <c r="O1906" s="4">
        <v>1890</v>
      </c>
      <c r="P1906" s="4" t="s">
        <v>6856</v>
      </c>
      <c r="Q1906" s="4">
        <v>6</v>
      </c>
      <c r="R1906" s="4" t="s">
        <v>6852</v>
      </c>
      <c r="S1906" s="4" t="s">
        <v>6646</v>
      </c>
    </row>
    <row r="1907" spans="1:72" ht="14.25" customHeight="1" x14ac:dyDescent="0.2">
      <c r="A1907" s="4" t="s">
        <v>5043</v>
      </c>
      <c r="B1907" s="4">
        <v>14</v>
      </c>
      <c r="C1907" s="4" t="s">
        <v>7696</v>
      </c>
      <c r="D1907" s="4" t="s">
        <v>6859</v>
      </c>
      <c r="E1907" s="4">
        <v>2565</v>
      </c>
      <c r="F1907" s="4" t="s">
        <v>6495</v>
      </c>
      <c r="G1907" s="4" t="s">
        <v>6860</v>
      </c>
      <c r="H1907" s="4" t="s">
        <v>6861</v>
      </c>
      <c r="I1907" s="4" t="s">
        <v>1664</v>
      </c>
      <c r="J1907" s="4" t="s">
        <v>6640</v>
      </c>
      <c r="K1907" s="4">
        <v>1</v>
      </c>
      <c r="L1907" s="4">
        <v>2968</v>
      </c>
    </row>
    <row r="1908" spans="1:72" ht="14.25" customHeight="1" x14ac:dyDescent="0.2">
      <c r="B1908" s="4">
        <v>14</v>
      </c>
      <c r="C1908" s="4" t="s">
        <v>7690</v>
      </c>
      <c r="D1908" s="4" t="s">
        <v>6862</v>
      </c>
      <c r="E1908" s="4">
        <v>2566</v>
      </c>
      <c r="F1908" s="4" t="s">
        <v>6514</v>
      </c>
      <c r="G1908" s="4" t="s">
        <v>6863</v>
      </c>
      <c r="H1908" s="4" t="s">
        <v>6864</v>
      </c>
      <c r="I1908" s="4" t="s">
        <v>1664</v>
      </c>
      <c r="J1908" s="4" t="s">
        <v>6640</v>
      </c>
      <c r="K1908" s="4">
        <v>1</v>
      </c>
      <c r="L1908" s="4">
        <v>2969</v>
      </c>
    </row>
    <row r="1909" spans="1:72" ht="14.25" customHeight="1" x14ac:dyDescent="0.2">
      <c r="B1909" s="4">
        <v>14</v>
      </c>
      <c r="C1909" s="4" t="s">
        <v>7690</v>
      </c>
      <c r="D1909" s="4" t="s">
        <v>6865</v>
      </c>
      <c r="E1909" s="4">
        <v>2552</v>
      </c>
      <c r="F1909" s="4" t="s">
        <v>6866</v>
      </c>
      <c r="G1909" s="4" t="s">
        <v>6867</v>
      </c>
      <c r="H1909" s="4" t="s">
        <v>6868</v>
      </c>
      <c r="I1909" s="4" t="s">
        <v>1664</v>
      </c>
      <c r="J1909" s="4" t="s">
        <v>6692</v>
      </c>
      <c r="K1909" s="4">
        <v>1</v>
      </c>
      <c r="L1909" s="4">
        <v>2955</v>
      </c>
      <c r="M1909" s="9">
        <v>-117.0865</v>
      </c>
      <c r="N1909" s="9">
        <v>49.690166670000004</v>
      </c>
      <c r="O1909" s="9">
        <v>2100</v>
      </c>
      <c r="P1909" s="9" t="s">
        <v>6865</v>
      </c>
      <c r="Q1909" s="70">
        <v>7</v>
      </c>
      <c r="R1909" s="9" t="s">
        <v>6866</v>
      </c>
      <c r="S1909" s="9" t="s">
        <v>6646</v>
      </c>
    </row>
    <row r="1910" spans="1:72" ht="14.25" customHeight="1" x14ac:dyDescent="0.2">
      <c r="B1910" s="4">
        <v>14</v>
      </c>
      <c r="C1910" s="4" t="s">
        <v>7690</v>
      </c>
      <c r="D1910" s="4" t="s">
        <v>6869</v>
      </c>
      <c r="E1910" s="4">
        <v>2516</v>
      </c>
      <c r="F1910" s="27" t="s">
        <v>6870</v>
      </c>
      <c r="G1910" s="4" t="s">
        <v>6871</v>
      </c>
      <c r="H1910" s="4" t="s">
        <v>6872</v>
      </c>
      <c r="I1910" s="4" t="s">
        <v>1664</v>
      </c>
      <c r="J1910" s="4" t="s">
        <v>6783</v>
      </c>
      <c r="K1910" s="4">
        <v>1</v>
      </c>
      <c r="L1910" s="4">
        <v>2919</v>
      </c>
      <c r="M1910" s="27">
        <v>-120.37516669999999</v>
      </c>
      <c r="N1910" s="27">
        <v>53.784166669999998</v>
      </c>
      <c r="O1910" s="27">
        <v>1690</v>
      </c>
      <c r="P1910" s="27" t="s">
        <v>6869</v>
      </c>
      <c r="Q1910" s="96">
        <v>8</v>
      </c>
      <c r="R1910" s="27" t="s">
        <v>6870</v>
      </c>
      <c r="S1910" s="27" t="s">
        <v>6646</v>
      </c>
      <c r="T1910" s="27"/>
      <c r="U1910" s="27"/>
      <c r="V1910" s="27"/>
      <c r="W1910" s="27"/>
      <c r="X1910" s="27"/>
      <c r="Y1910" s="27"/>
      <c r="Z1910" s="27"/>
      <c r="AA1910" s="27"/>
      <c r="AB1910" s="27"/>
      <c r="AC1910" s="27"/>
      <c r="AD1910" s="27"/>
      <c r="AE1910" s="27"/>
      <c r="AF1910" s="27"/>
      <c r="AG1910" s="27"/>
      <c r="AH1910" s="27"/>
      <c r="AI1910" s="27"/>
      <c r="AJ1910" s="27"/>
      <c r="AK1910" s="27"/>
      <c r="AL1910" s="27"/>
      <c r="AM1910" s="27"/>
      <c r="AN1910" s="27"/>
      <c r="AO1910" s="27"/>
      <c r="AP1910" s="27"/>
      <c r="AQ1910" s="27"/>
      <c r="AR1910" s="27"/>
      <c r="AS1910" s="27"/>
      <c r="AT1910" s="27"/>
      <c r="AU1910" s="27"/>
      <c r="AV1910" s="27"/>
      <c r="AW1910" s="27"/>
      <c r="AX1910" s="27"/>
      <c r="AY1910" s="27"/>
      <c r="AZ1910" s="27"/>
      <c r="BA1910" s="27"/>
      <c r="BB1910" s="27"/>
      <c r="BC1910" s="27"/>
      <c r="BD1910" s="27"/>
      <c r="BE1910" s="27"/>
      <c r="BF1910" s="27"/>
      <c r="BG1910" s="27"/>
      <c r="BH1910" s="27"/>
      <c r="BI1910" s="27"/>
      <c r="BJ1910" s="27"/>
      <c r="BK1910" s="27"/>
      <c r="BL1910" s="27"/>
      <c r="BM1910" s="27"/>
      <c r="BN1910" s="27"/>
      <c r="BO1910" s="27"/>
      <c r="BP1910" s="27"/>
      <c r="BQ1910" s="27"/>
      <c r="BR1910" s="27"/>
      <c r="BS1910" s="27"/>
      <c r="BT1910" s="27"/>
    </row>
    <row r="1911" spans="1:72" ht="14.25" customHeight="1" x14ac:dyDescent="0.2">
      <c r="B1911" s="4">
        <v>14</v>
      </c>
      <c r="C1911" s="4" t="s">
        <v>7690</v>
      </c>
      <c r="D1911" s="4" t="s">
        <v>6873</v>
      </c>
      <c r="E1911" s="4">
        <v>2572</v>
      </c>
      <c r="F1911" s="4" t="s">
        <v>6874</v>
      </c>
      <c r="G1911" s="4" t="s">
        <v>6875</v>
      </c>
      <c r="H1911" s="4" t="s">
        <v>6876</v>
      </c>
      <c r="I1911" s="4" t="s">
        <v>1664</v>
      </c>
      <c r="J1911" s="4" t="s">
        <v>6645</v>
      </c>
      <c r="K1911" s="4">
        <v>1</v>
      </c>
      <c r="L1911" s="4">
        <v>2975</v>
      </c>
      <c r="M1911" s="9">
        <v>-127.6955</v>
      </c>
      <c r="N1911" s="9">
        <v>55.857500000000002</v>
      </c>
      <c r="O1911" s="9">
        <v>1480</v>
      </c>
      <c r="P1911" s="9" t="s">
        <v>6873</v>
      </c>
      <c r="Q1911" s="70">
        <v>7</v>
      </c>
      <c r="R1911" s="9" t="s">
        <v>6874</v>
      </c>
      <c r="S1911" s="9" t="s">
        <v>6646</v>
      </c>
    </row>
    <row r="1912" spans="1:72" ht="14.25" customHeight="1" x14ac:dyDescent="0.2">
      <c r="B1912" s="4">
        <v>14</v>
      </c>
      <c r="C1912" s="4" t="s">
        <v>7690</v>
      </c>
      <c r="D1912" s="4" t="s">
        <v>6877</v>
      </c>
      <c r="E1912" s="4">
        <v>2533</v>
      </c>
      <c r="F1912" s="8" t="s">
        <v>6878</v>
      </c>
      <c r="G1912" s="4" t="s">
        <v>6879</v>
      </c>
      <c r="H1912" s="4" t="s">
        <v>6880</v>
      </c>
      <c r="I1912" s="4" t="s">
        <v>1664</v>
      </c>
      <c r="J1912" s="4" t="s">
        <v>6645</v>
      </c>
      <c r="K1912" s="4">
        <v>1</v>
      </c>
      <c r="L1912" s="4">
        <v>2936</v>
      </c>
      <c r="M1912" s="9">
        <v>-121.65783329999999</v>
      </c>
      <c r="N1912" s="9">
        <v>49.660833330000003</v>
      </c>
      <c r="O1912" s="9">
        <v>1180</v>
      </c>
      <c r="P1912" s="9" t="s">
        <v>6877</v>
      </c>
      <c r="Q1912" s="70">
        <v>6</v>
      </c>
      <c r="R1912" s="9" t="s">
        <v>6881</v>
      </c>
      <c r="S1912" s="9" t="s">
        <v>6646</v>
      </c>
    </row>
    <row r="1913" spans="1:72" ht="14.25" customHeight="1" x14ac:dyDescent="0.2">
      <c r="B1913" s="4">
        <v>14</v>
      </c>
      <c r="C1913" s="4" t="s">
        <v>7690</v>
      </c>
      <c r="D1913" s="4" t="s">
        <v>6882</v>
      </c>
      <c r="E1913" s="4">
        <v>2546</v>
      </c>
      <c r="F1913" s="4" t="s">
        <v>6560</v>
      </c>
      <c r="G1913" s="4" t="s">
        <v>6883</v>
      </c>
      <c r="H1913" s="4" t="s">
        <v>6884</v>
      </c>
      <c r="I1913" s="4" t="s">
        <v>1664</v>
      </c>
      <c r="J1913" s="4" t="s">
        <v>5996</v>
      </c>
      <c r="K1913" s="4">
        <v>1</v>
      </c>
      <c r="L1913" s="4">
        <v>2949</v>
      </c>
    </row>
    <row r="1914" spans="1:72" ht="14.25" customHeight="1" x14ac:dyDescent="0.2">
      <c r="A1914" s="4" t="s">
        <v>422</v>
      </c>
      <c r="B1914" s="4">
        <v>14</v>
      </c>
      <c r="C1914" s="4" t="s">
        <v>7686</v>
      </c>
      <c r="D1914" s="4" t="s">
        <v>6001</v>
      </c>
      <c r="E1914" s="4">
        <v>2519</v>
      </c>
      <c r="F1914" s="4" t="s">
        <v>1685</v>
      </c>
      <c r="G1914" s="4" t="s">
        <v>6002</v>
      </c>
      <c r="H1914" s="4" t="s">
        <v>6000</v>
      </c>
      <c r="I1914" s="4" t="s">
        <v>1664</v>
      </c>
      <c r="J1914" s="4" t="s">
        <v>5996</v>
      </c>
      <c r="K1914" s="4">
        <v>1</v>
      </c>
      <c r="L1914" s="4">
        <v>2922</v>
      </c>
    </row>
    <row r="1915" spans="1:72" ht="14.25" customHeight="1" x14ac:dyDescent="0.2">
      <c r="B1915" s="4">
        <v>14</v>
      </c>
      <c r="C1915" s="4" t="s">
        <v>7690</v>
      </c>
      <c r="D1915" s="4" t="s">
        <v>6885</v>
      </c>
      <c r="E1915" s="4">
        <v>2525</v>
      </c>
      <c r="F1915" s="4" t="s">
        <v>6886</v>
      </c>
      <c r="G1915" s="4" t="s">
        <v>6887</v>
      </c>
      <c r="H1915" s="4" t="s">
        <v>6888</v>
      </c>
      <c r="I1915" s="4" t="s">
        <v>1664</v>
      </c>
      <c r="J1915" s="4" t="s">
        <v>6645</v>
      </c>
      <c r="K1915" s="4">
        <v>1</v>
      </c>
      <c r="L1915" s="4">
        <v>2928</v>
      </c>
      <c r="M1915" s="9">
        <v>-122.9398333</v>
      </c>
      <c r="N1915" s="9">
        <v>50.539499999999997</v>
      </c>
      <c r="O1915" s="9">
        <v>1680</v>
      </c>
      <c r="P1915" s="9" t="s">
        <v>6885</v>
      </c>
      <c r="Q1915" s="70">
        <v>7</v>
      </c>
      <c r="R1915" s="9" t="s">
        <v>6886</v>
      </c>
      <c r="S1915" s="9" t="s">
        <v>6646</v>
      </c>
    </row>
    <row r="1916" spans="1:72" ht="14.25" customHeight="1" x14ac:dyDescent="0.2">
      <c r="B1916" s="4">
        <v>14</v>
      </c>
      <c r="C1916" s="4" t="s">
        <v>7690</v>
      </c>
      <c r="D1916" s="4" t="s">
        <v>6889</v>
      </c>
      <c r="E1916" s="4">
        <v>2557</v>
      </c>
      <c r="F1916" s="4" t="s">
        <v>6890</v>
      </c>
      <c r="G1916" s="4" t="s">
        <v>6891</v>
      </c>
      <c r="H1916" s="4" t="s">
        <v>6737</v>
      </c>
      <c r="I1916" s="4" t="s">
        <v>1664</v>
      </c>
      <c r="J1916" s="4" t="s">
        <v>6738</v>
      </c>
      <c r="K1916" s="4">
        <v>1</v>
      </c>
      <c r="L1916" s="4">
        <v>2960</v>
      </c>
    </row>
    <row r="1917" spans="1:72" ht="14.25" customHeight="1" x14ac:dyDescent="0.2">
      <c r="B1917" s="4">
        <v>14</v>
      </c>
      <c r="C1917" s="4" t="s">
        <v>7690</v>
      </c>
      <c r="D1917" s="4" t="s">
        <v>6892</v>
      </c>
      <c r="E1917" s="4">
        <v>12509</v>
      </c>
      <c r="F1917" s="4" t="s">
        <v>6893</v>
      </c>
      <c r="G1917" s="4" t="s">
        <v>6894</v>
      </c>
      <c r="H1917" s="4" t="s">
        <v>6895</v>
      </c>
      <c r="I1917" s="4" t="s">
        <v>49</v>
      </c>
      <c r="J1917" s="4" t="s">
        <v>6728</v>
      </c>
      <c r="K1917" s="4">
        <v>1</v>
      </c>
      <c r="L1917" s="4">
        <v>14531</v>
      </c>
      <c r="M1917" s="9">
        <v>-120.18810000000001</v>
      </c>
      <c r="N1917" s="9">
        <v>49.740720000000003</v>
      </c>
      <c r="O1917" s="9">
        <v>1420</v>
      </c>
      <c r="P1917" s="9" t="s">
        <v>6892</v>
      </c>
      <c r="Q1917" s="70">
        <v>5</v>
      </c>
      <c r="R1917" s="9" t="s">
        <v>6893</v>
      </c>
      <c r="S1917" s="9" t="s">
        <v>6646</v>
      </c>
    </row>
    <row r="1918" spans="1:72" ht="14.25" customHeight="1" x14ac:dyDescent="0.2">
      <c r="B1918" s="4">
        <v>14</v>
      </c>
      <c r="C1918" s="4" t="s">
        <v>7690</v>
      </c>
      <c r="D1918" s="4" t="s">
        <v>6896</v>
      </c>
      <c r="E1918" s="4">
        <v>2573</v>
      </c>
      <c r="F1918" s="4" t="s">
        <v>6897</v>
      </c>
      <c r="G1918" s="4" t="s">
        <v>6898</v>
      </c>
      <c r="H1918" s="4" t="s">
        <v>6899</v>
      </c>
      <c r="I1918" s="4" t="s">
        <v>1664</v>
      </c>
      <c r="J1918" s="4" t="s">
        <v>6645</v>
      </c>
      <c r="K1918" s="4">
        <v>1</v>
      </c>
      <c r="L1918" s="4">
        <v>2976</v>
      </c>
      <c r="M1918" s="9">
        <v>-127.6748333</v>
      </c>
      <c r="N1918" s="9">
        <v>54.646166669999999</v>
      </c>
      <c r="O1918" s="9">
        <v>1360</v>
      </c>
      <c r="P1918" s="9" t="s">
        <v>6896</v>
      </c>
      <c r="Q1918" s="70">
        <v>7</v>
      </c>
      <c r="R1918" s="9" t="s">
        <v>6897</v>
      </c>
      <c r="S1918" s="9" t="s">
        <v>6646</v>
      </c>
    </row>
    <row r="1919" spans="1:72" ht="14.25" customHeight="1" x14ac:dyDescent="0.2">
      <c r="B1919" s="4">
        <v>14</v>
      </c>
      <c r="C1919" s="4" t="s">
        <v>7690</v>
      </c>
      <c r="D1919" s="4" t="s">
        <v>6900</v>
      </c>
      <c r="E1919" s="4">
        <v>2579</v>
      </c>
      <c r="F1919" s="4" t="s">
        <v>6901</v>
      </c>
      <c r="G1919" s="4" t="s">
        <v>6902</v>
      </c>
      <c r="H1919" s="4" t="s">
        <v>6864</v>
      </c>
      <c r="I1919" s="4" t="s">
        <v>1664</v>
      </c>
      <c r="J1919" s="4" t="s">
        <v>6640</v>
      </c>
      <c r="K1919" s="4">
        <v>1</v>
      </c>
      <c r="L1919" s="4">
        <v>2982</v>
      </c>
    </row>
    <row r="1920" spans="1:72" ht="14.25" customHeight="1" x14ac:dyDescent="0.2">
      <c r="B1920" s="4">
        <v>14</v>
      </c>
      <c r="C1920" s="4" t="s">
        <v>7690</v>
      </c>
      <c r="D1920" s="4" t="s">
        <v>6903</v>
      </c>
      <c r="E1920" s="4">
        <v>2560</v>
      </c>
      <c r="F1920" s="8" t="s">
        <v>6904</v>
      </c>
      <c r="G1920" s="4" t="s">
        <v>6905</v>
      </c>
      <c r="H1920" s="4" t="s">
        <v>6906</v>
      </c>
      <c r="I1920" s="4" t="s">
        <v>1664</v>
      </c>
      <c r="J1920" s="4" t="s">
        <v>6645</v>
      </c>
      <c r="K1920" s="4">
        <v>1</v>
      </c>
      <c r="L1920" s="4">
        <v>2963</v>
      </c>
      <c r="M1920" s="9">
        <v>-124.62050000000001</v>
      </c>
      <c r="N1920" s="9">
        <v>51.776166670000002</v>
      </c>
      <c r="O1920" s="9">
        <v>1650</v>
      </c>
      <c r="P1920" s="9" t="s">
        <v>6903</v>
      </c>
      <c r="Q1920" s="70">
        <v>8</v>
      </c>
      <c r="R1920" s="9" t="s">
        <v>6907</v>
      </c>
      <c r="S1920" s="9" t="s">
        <v>6646</v>
      </c>
    </row>
    <row r="1921" spans="1:34" ht="14.25" customHeight="1" x14ac:dyDescent="0.2">
      <c r="B1921" s="4">
        <v>14</v>
      </c>
      <c r="C1921" s="4" t="s">
        <v>7690</v>
      </c>
      <c r="D1921" s="4" t="s">
        <v>6908</v>
      </c>
      <c r="E1921" s="4">
        <v>2568</v>
      </c>
      <c r="F1921" s="4" t="s">
        <v>6909</v>
      </c>
      <c r="G1921" s="4" t="s">
        <v>6910</v>
      </c>
      <c r="H1921" s="4" t="s">
        <v>6911</v>
      </c>
      <c r="I1921" s="4" t="s">
        <v>1664</v>
      </c>
      <c r="J1921" s="4" t="s">
        <v>6733</v>
      </c>
      <c r="K1921" s="4">
        <v>1</v>
      </c>
      <c r="L1921" s="4">
        <v>2971</v>
      </c>
    </row>
    <row r="1922" spans="1:34" ht="14.25" customHeight="1" x14ac:dyDescent="0.2">
      <c r="B1922" s="4">
        <v>14</v>
      </c>
      <c r="C1922" s="4" t="s">
        <v>7690</v>
      </c>
      <c r="D1922" s="4" t="s">
        <v>6912</v>
      </c>
      <c r="E1922" s="4">
        <v>2561</v>
      </c>
      <c r="F1922" s="4" t="s">
        <v>6913</v>
      </c>
      <c r="G1922" s="4" t="s">
        <v>6914</v>
      </c>
      <c r="H1922" s="4" t="s">
        <v>6915</v>
      </c>
      <c r="I1922" s="4" t="s">
        <v>1664</v>
      </c>
      <c r="J1922" s="4" t="s">
        <v>6645</v>
      </c>
      <c r="K1922" s="4">
        <v>1</v>
      </c>
      <c r="L1922" s="4">
        <v>2964</v>
      </c>
      <c r="M1922" s="9">
        <v>-123.4360167</v>
      </c>
      <c r="N1922" s="9">
        <v>50.154083329999999</v>
      </c>
      <c r="O1922" s="9">
        <v>1340</v>
      </c>
      <c r="P1922" s="9" t="s">
        <v>6912</v>
      </c>
      <c r="Q1922" s="70">
        <v>7</v>
      </c>
      <c r="R1922" s="9" t="s">
        <v>6916</v>
      </c>
      <c r="S1922" s="9" t="s">
        <v>6646</v>
      </c>
    </row>
    <row r="1923" spans="1:34" ht="14.25" customHeight="1" x14ac:dyDescent="0.2">
      <c r="B1923" s="4">
        <v>14</v>
      </c>
      <c r="C1923" s="4" t="s">
        <v>7690</v>
      </c>
      <c r="D1923" s="4" t="s">
        <v>6917</v>
      </c>
      <c r="E1923" s="4">
        <v>2581</v>
      </c>
      <c r="F1923" s="4" t="s">
        <v>6918</v>
      </c>
      <c r="G1923" s="4" t="s">
        <v>6919</v>
      </c>
      <c r="H1923" s="4" t="s">
        <v>6920</v>
      </c>
      <c r="I1923" s="4" t="s">
        <v>1664</v>
      </c>
      <c r="J1923" s="4" t="s">
        <v>6663</v>
      </c>
      <c r="K1923" s="4">
        <v>1</v>
      </c>
      <c r="L1923" s="4">
        <v>2984</v>
      </c>
    </row>
    <row r="1924" spans="1:34" ht="14.25" customHeight="1" x14ac:dyDescent="0.2">
      <c r="B1924" s="4">
        <v>14</v>
      </c>
      <c r="C1924" s="4" t="s">
        <v>7690</v>
      </c>
      <c r="D1924" s="4" t="s">
        <v>6921</v>
      </c>
      <c r="E1924" s="4">
        <v>2582</v>
      </c>
      <c r="F1924" s="4" t="s">
        <v>6922</v>
      </c>
      <c r="G1924" s="4" t="s">
        <v>6923</v>
      </c>
      <c r="H1924" s="4" t="s">
        <v>6924</v>
      </c>
      <c r="I1924" s="4" t="s">
        <v>1664</v>
      </c>
      <c r="J1924" s="4" t="s">
        <v>6706</v>
      </c>
      <c r="K1924" s="4">
        <v>1</v>
      </c>
      <c r="L1924" s="4">
        <v>2985</v>
      </c>
    </row>
    <row r="1925" spans="1:34" ht="14.25" customHeight="1" x14ac:dyDescent="0.2">
      <c r="A1925" s="4" t="s">
        <v>5043</v>
      </c>
      <c r="B1925" s="4">
        <v>14</v>
      </c>
      <c r="C1925" s="4" t="s">
        <v>7696</v>
      </c>
      <c r="D1925" s="4" t="s">
        <v>6925</v>
      </c>
      <c r="E1925" s="4">
        <v>2526</v>
      </c>
      <c r="F1925" s="4" t="s">
        <v>6926</v>
      </c>
      <c r="G1925" s="4" t="s">
        <v>6927</v>
      </c>
      <c r="H1925" s="4" t="s">
        <v>6928</v>
      </c>
      <c r="I1925" s="4" t="s">
        <v>1664</v>
      </c>
      <c r="J1925" s="4" t="s">
        <v>6929</v>
      </c>
      <c r="K1925" s="4">
        <v>1</v>
      </c>
      <c r="L1925" s="4">
        <v>2929</v>
      </c>
    </row>
    <row r="1926" spans="1:34" ht="14.25" customHeight="1" x14ac:dyDescent="0.2">
      <c r="B1926" s="4">
        <v>14</v>
      </c>
      <c r="C1926" s="4" t="s">
        <v>7690</v>
      </c>
      <c r="D1926" s="4" t="s">
        <v>6930</v>
      </c>
      <c r="E1926" s="4">
        <v>2562</v>
      </c>
      <c r="F1926" s="4" t="s">
        <v>6931</v>
      </c>
      <c r="G1926" s="4" t="s">
        <v>6932</v>
      </c>
      <c r="H1926" s="4" t="s">
        <v>6933</v>
      </c>
      <c r="I1926" s="4" t="s">
        <v>1664</v>
      </c>
      <c r="J1926" s="4" t="s">
        <v>5996</v>
      </c>
      <c r="K1926" s="4">
        <v>1</v>
      </c>
      <c r="L1926" s="4">
        <v>2965</v>
      </c>
    </row>
    <row r="1927" spans="1:34" ht="14.25" customHeight="1" x14ac:dyDescent="0.2">
      <c r="B1927" s="4">
        <v>14</v>
      </c>
      <c r="C1927" s="4" t="s">
        <v>7690</v>
      </c>
      <c r="D1927" s="4" t="s">
        <v>6934</v>
      </c>
      <c r="E1927" s="4">
        <v>2524</v>
      </c>
      <c r="F1927" s="4" t="s">
        <v>6935</v>
      </c>
      <c r="G1927" s="4" t="s">
        <v>6936</v>
      </c>
      <c r="H1927" s="4" t="s">
        <v>6937</v>
      </c>
      <c r="I1927" s="4" t="s">
        <v>1664</v>
      </c>
      <c r="J1927" s="4" t="s">
        <v>6645</v>
      </c>
      <c r="K1927" s="4">
        <v>1</v>
      </c>
      <c r="L1927" s="4">
        <v>2927</v>
      </c>
      <c r="M1927" s="9">
        <v>-121.3548333</v>
      </c>
      <c r="N1927" s="9">
        <v>52.831666669999997</v>
      </c>
      <c r="O1927" s="9">
        <v>1670</v>
      </c>
      <c r="P1927" s="9" t="s">
        <v>6934</v>
      </c>
      <c r="Q1927" s="70">
        <v>5</v>
      </c>
      <c r="R1927" s="9" t="s">
        <v>6938</v>
      </c>
      <c r="S1927" s="9" t="s">
        <v>6646</v>
      </c>
    </row>
    <row r="1928" spans="1:34" ht="14.25" customHeight="1" x14ac:dyDescent="0.2">
      <c r="B1928" s="4">
        <v>14</v>
      </c>
      <c r="C1928" s="4" t="s">
        <v>7690</v>
      </c>
      <c r="D1928" s="4" t="s">
        <v>6939</v>
      </c>
      <c r="E1928" s="4">
        <v>2512</v>
      </c>
      <c r="F1928" s="4" t="s">
        <v>1377</v>
      </c>
      <c r="G1928" s="4" t="s">
        <v>6940</v>
      </c>
      <c r="H1928" s="4" t="s">
        <v>6941</v>
      </c>
      <c r="I1928" s="4" t="s">
        <v>1664</v>
      </c>
      <c r="J1928" s="4" t="s">
        <v>6645</v>
      </c>
      <c r="K1928" s="4">
        <v>1</v>
      </c>
      <c r="L1928" s="4">
        <v>2915</v>
      </c>
      <c r="M1928" s="9">
        <v>-118.54766669999999</v>
      </c>
      <c r="N1928" s="9">
        <v>52.90666667</v>
      </c>
      <c r="O1928" s="9">
        <v>1860</v>
      </c>
      <c r="P1928" s="9" t="s">
        <v>6939</v>
      </c>
      <c r="Q1928" s="70">
        <v>6</v>
      </c>
      <c r="R1928" s="9" t="s">
        <v>6942</v>
      </c>
      <c r="S1928" s="9" t="s">
        <v>6646</v>
      </c>
    </row>
    <row r="1929" spans="1:34" ht="14.25" customHeight="1" x14ac:dyDescent="0.2">
      <c r="A1929" s="100" t="s">
        <v>1908</v>
      </c>
      <c r="B1929" s="100">
        <v>14</v>
      </c>
      <c r="C1929" s="100" t="s">
        <v>7690</v>
      </c>
      <c r="D1929" s="100" t="s">
        <v>6943</v>
      </c>
      <c r="E1929" s="100">
        <v>12954</v>
      </c>
      <c r="F1929" s="10" t="s">
        <v>6944</v>
      </c>
      <c r="G1929" s="10" t="s">
        <v>6945</v>
      </c>
      <c r="H1929" s="4" t="s">
        <v>6946</v>
      </c>
      <c r="I1929" s="4" t="s">
        <v>49</v>
      </c>
      <c r="J1929" s="4" t="s">
        <v>6728</v>
      </c>
      <c r="K1929" s="4">
        <v>1</v>
      </c>
      <c r="L1929" s="4">
        <v>14886</v>
      </c>
      <c r="M1929" s="9">
        <v>-119.0621</v>
      </c>
      <c r="N1929" s="9">
        <v>50.371360000000003</v>
      </c>
      <c r="O1929" s="9">
        <v>1839</v>
      </c>
      <c r="P1929" s="9" t="s">
        <v>6943</v>
      </c>
      <c r="Q1929" s="70">
        <v>6</v>
      </c>
      <c r="R1929" s="9" t="s">
        <v>6947</v>
      </c>
      <c r="S1929" s="9" t="s">
        <v>6646</v>
      </c>
      <c r="AF1929" s="101"/>
      <c r="AG1929" s="101"/>
      <c r="AH1929" s="101"/>
    </row>
    <row r="1930" spans="1:34" ht="14.25" customHeight="1" x14ac:dyDescent="0.2">
      <c r="A1930" s="4" t="s">
        <v>6948</v>
      </c>
      <c r="B1930" s="4">
        <v>14</v>
      </c>
      <c r="C1930" s="4" t="s">
        <v>7690</v>
      </c>
      <c r="D1930" s="4" t="s">
        <v>6949</v>
      </c>
      <c r="E1930" s="4">
        <v>13008</v>
      </c>
      <c r="F1930" s="10" t="s">
        <v>6950</v>
      </c>
      <c r="G1930" s="8" t="s">
        <v>6951</v>
      </c>
      <c r="H1930" s="4" t="s">
        <v>6952</v>
      </c>
      <c r="I1930" s="4" t="s">
        <v>49</v>
      </c>
      <c r="J1930" s="4" t="s">
        <v>6953</v>
      </c>
      <c r="K1930" s="4">
        <v>1</v>
      </c>
      <c r="L1930" s="4">
        <v>14940</v>
      </c>
    </row>
    <row r="1931" spans="1:34" ht="14.25" customHeight="1" x14ac:dyDescent="0.2">
      <c r="A1931" s="4" t="s">
        <v>1908</v>
      </c>
      <c r="B1931" s="4">
        <v>14</v>
      </c>
      <c r="C1931" s="4" t="s">
        <v>7690</v>
      </c>
      <c r="D1931" s="4" t="s">
        <v>6954</v>
      </c>
      <c r="E1931" s="4">
        <v>13009</v>
      </c>
      <c r="F1931" s="10" t="s">
        <v>6955</v>
      </c>
      <c r="G1931" s="8" t="s">
        <v>6956</v>
      </c>
      <c r="H1931" s="4" t="s">
        <v>6957</v>
      </c>
      <c r="I1931" s="4" t="s">
        <v>49</v>
      </c>
      <c r="J1931" s="4" t="s">
        <v>6728</v>
      </c>
      <c r="K1931" s="4">
        <v>1</v>
      </c>
      <c r="L1931" s="4">
        <v>14941</v>
      </c>
      <c r="M1931" s="9">
        <v>-120.862891</v>
      </c>
      <c r="N1931" s="9">
        <v>49.855950999999997</v>
      </c>
      <c r="O1931" s="9">
        <v>1460</v>
      </c>
      <c r="P1931" s="9" t="s">
        <v>6954</v>
      </c>
      <c r="Q1931" s="70">
        <v>6</v>
      </c>
      <c r="R1931" s="9" t="s">
        <v>6958</v>
      </c>
      <c r="S1931" s="9" t="s">
        <v>6646</v>
      </c>
      <c r="AA1931" s="101"/>
      <c r="AB1931" s="101"/>
      <c r="AC1931" s="101"/>
      <c r="AD1931" s="101"/>
      <c r="AE1931" s="101"/>
      <c r="AF1931" s="101"/>
      <c r="AG1931" s="101"/>
      <c r="AH1931" s="101"/>
    </row>
    <row r="1932" spans="1:34" ht="14.25" customHeight="1" x14ac:dyDescent="0.2">
      <c r="A1932" s="4" t="s">
        <v>6959</v>
      </c>
      <c r="B1932" s="101">
        <v>5</v>
      </c>
      <c r="C1932" s="10" t="s">
        <v>7687</v>
      </c>
      <c r="D1932" s="10" t="s">
        <v>6960</v>
      </c>
      <c r="F1932" s="10" t="s">
        <v>6961</v>
      </c>
      <c r="G1932" s="10" t="s">
        <v>6962</v>
      </c>
      <c r="M1932" s="9">
        <v>-115.7673333</v>
      </c>
      <c r="N1932" s="9">
        <v>49.252166670000001</v>
      </c>
      <c r="O1932" s="9">
        <v>1930</v>
      </c>
      <c r="P1932" s="90" t="s">
        <v>6963</v>
      </c>
      <c r="Q1932" s="70">
        <v>7</v>
      </c>
      <c r="R1932" s="9" t="s">
        <v>6836</v>
      </c>
      <c r="S1932" s="9" t="s">
        <v>6009</v>
      </c>
    </row>
    <row r="1933" spans="1:34" ht="14.25" customHeight="1" x14ac:dyDescent="0.2">
      <c r="A1933" s="4" t="s">
        <v>138</v>
      </c>
      <c r="B1933" s="101">
        <v>5</v>
      </c>
      <c r="C1933" s="10" t="s">
        <v>7687</v>
      </c>
      <c r="D1933" s="10" t="s">
        <v>6964</v>
      </c>
      <c r="F1933" s="10" t="s">
        <v>6965</v>
      </c>
      <c r="G1933" s="10" t="s">
        <v>6966</v>
      </c>
      <c r="M1933" s="9">
        <v>-125.2881667</v>
      </c>
      <c r="N1933" s="9">
        <v>49.605361109999997</v>
      </c>
      <c r="O1933" s="9">
        <v>280</v>
      </c>
      <c r="P1933" s="16" t="s">
        <v>6967</v>
      </c>
      <c r="Q1933" s="70">
        <v>5</v>
      </c>
      <c r="R1933" s="9" t="s">
        <v>6968</v>
      </c>
      <c r="S1933" s="9" t="s">
        <v>6009</v>
      </c>
    </row>
    <row r="1934" spans="1:34" ht="14.25" customHeight="1" x14ac:dyDescent="0.2">
      <c r="A1934" s="4" t="s">
        <v>138</v>
      </c>
      <c r="B1934" s="101">
        <v>14</v>
      </c>
      <c r="C1934" s="10" t="s">
        <v>7699</v>
      </c>
      <c r="D1934" s="10" t="s">
        <v>6970</v>
      </c>
      <c r="F1934" s="10" t="s">
        <v>6971</v>
      </c>
      <c r="G1934" s="8" t="str">
        <f t="shared" ref="G1934:G1951" si="15">TEXT(CONCATENATE("-&gt; ",-1*M1934," W, ", N1934, "N, Elev. ",O1934," m"),1)</f>
        <v>-&gt; 121.08547 W, 49.70764N, Elev. 1860 m</v>
      </c>
      <c r="M1934" s="9">
        <v>-121.08547</v>
      </c>
      <c r="N1934" s="9">
        <v>49.707639999999998</v>
      </c>
      <c r="O1934" s="9">
        <v>1860</v>
      </c>
      <c r="P1934" s="9" t="s">
        <v>6972</v>
      </c>
      <c r="Q1934" s="70">
        <v>8</v>
      </c>
      <c r="R1934" s="9" t="s">
        <v>6973</v>
      </c>
      <c r="S1934" s="9" t="s">
        <v>6646</v>
      </c>
    </row>
    <row r="1935" spans="1:34" ht="14.25" customHeight="1" x14ac:dyDescent="0.2">
      <c r="A1935" s="4" t="s">
        <v>138</v>
      </c>
      <c r="B1935" s="101">
        <v>14</v>
      </c>
      <c r="C1935" s="10" t="s">
        <v>7699</v>
      </c>
      <c r="D1935" s="10" t="s">
        <v>6974</v>
      </c>
      <c r="F1935" s="10" t="s">
        <v>6975</v>
      </c>
      <c r="G1935" s="8" t="str">
        <f t="shared" si="15"/>
        <v>-&gt; 120.28227 W, 49.948639N, Elev. 1640 m</v>
      </c>
      <c r="M1935" s="9">
        <v>-120.28227</v>
      </c>
      <c r="N1935" s="9">
        <v>49.948639</v>
      </c>
      <c r="O1935" s="9">
        <v>1640</v>
      </c>
      <c r="P1935" s="9" t="s">
        <v>6976</v>
      </c>
      <c r="Q1935" s="70">
        <v>7</v>
      </c>
      <c r="R1935" s="9" t="s">
        <v>6977</v>
      </c>
      <c r="S1935" s="9" t="s">
        <v>6646</v>
      </c>
    </row>
    <row r="1936" spans="1:34" ht="14.25" customHeight="1" x14ac:dyDescent="0.2">
      <c r="A1936" s="4" t="s">
        <v>138</v>
      </c>
      <c r="B1936" s="101">
        <v>14</v>
      </c>
      <c r="C1936" s="10" t="s">
        <v>7699</v>
      </c>
      <c r="D1936" s="10" t="s">
        <v>6978</v>
      </c>
      <c r="F1936" s="10" t="s">
        <v>6979</v>
      </c>
      <c r="G1936" s="8" t="str">
        <f t="shared" si="15"/>
        <v>-&gt; 120.60969 W, 51.09851N, Elev. 1430 m</v>
      </c>
      <c r="M1936" s="9">
        <v>-120.60969</v>
      </c>
      <c r="N1936" s="9">
        <v>51.098509999999997</v>
      </c>
      <c r="O1936" s="9">
        <v>1430</v>
      </c>
      <c r="P1936" s="9" t="s">
        <v>6980</v>
      </c>
      <c r="Q1936" s="70">
        <v>6</v>
      </c>
      <c r="R1936" s="9" t="s">
        <v>6981</v>
      </c>
      <c r="S1936" s="9" t="s">
        <v>6646</v>
      </c>
    </row>
    <row r="1937" spans="1:39" ht="14.25" customHeight="1" x14ac:dyDescent="0.2">
      <c r="A1937" s="4" t="s">
        <v>138</v>
      </c>
      <c r="B1937" s="101">
        <v>14</v>
      </c>
      <c r="C1937" s="10" t="s">
        <v>7699</v>
      </c>
      <c r="D1937" s="10" t="s">
        <v>6982</v>
      </c>
      <c r="F1937" s="10" t="s">
        <v>6983</v>
      </c>
      <c r="G1937" s="8" t="str">
        <f t="shared" si="15"/>
        <v>-&gt; 120.56057 W, 52.74882N, Elev. 1740 m</v>
      </c>
      <c r="M1937" s="9">
        <v>-120.56057</v>
      </c>
      <c r="N1937" s="9">
        <v>52.748820000000002</v>
      </c>
      <c r="O1937" s="9">
        <v>1740</v>
      </c>
      <c r="P1937" s="9" t="s">
        <v>6984</v>
      </c>
      <c r="Q1937" s="70">
        <v>6</v>
      </c>
      <c r="R1937" s="9" t="s">
        <v>6985</v>
      </c>
      <c r="S1937" s="9" t="s">
        <v>6646</v>
      </c>
    </row>
    <row r="1938" spans="1:39" ht="14.25" customHeight="1" x14ac:dyDescent="0.2">
      <c r="A1938" s="4" t="s">
        <v>138</v>
      </c>
      <c r="B1938" s="101">
        <v>14</v>
      </c>
      <c r="C1938" s="10" t="s">
        <v>7699</v>
      </c>
      <c r="D1938" s="10" t="s">
        <v>6986</v>
      </c>
      <c r="F1938" s="10" t="s">
        <v>6987</v>
      </c>
      <c r="G1938" s="8" t="str">
        <f t="shared" si="15"/>
        <v>-&gt; 124.15273 W, 52.109N, Elev. 920 m</v>
      </c>
      <c r="M1938" s="9">
        <v>-124.15273000000001</v>
      </c>
      <c r="N1938" s="9">
        <v>52.109000000000002</v>
      </c>
      <c r="O1938" s="9">
        <v>920</v>
      </c>
      <c r="P1938" s="9" t="s">
        <v>6988</v>
      </c>
      <c r="Q1938" s="70">
        <v>2</v>
      </c>
      <c r="R1938" s="9" t="s">
        <v>6989</v>
      </c>
      <c r="S1938" s="9" t="s">
        <v>6646</v>
      </c>
    </row>
    <row r="1939" spans="1:39" ht="14.25" customHeight="1" x14ac:dyDescent="0.2">
      <c r="A1939" s="4" t="s">
        <v>138</v>
      </c>
      <c r="B1939" s="101">
        <v>14</v>
      </c>
      <c r="C1939" s="10" t="s">
        <v>7699</v>
      </c>
      <c r="D1939" s="10" t="s">
        <v>6990</v>
      </c>
      <c r="F1939" s="10" t="s">
        <v>6991</v>
      </c>
      <c r="G1939" s="8" t="str">
        <f t="shared" si="15"/>
        <v>-&gt; 121.25604 W, 51.90453N, Elev. 1630 m</v>
      </c>
      <c r="M1939" s="9">
        <v>-121.25604</v>
      </c>
      <c r="N1939" s="9">
        <v>51.904530000000001</v>
      </c>
      <c r="O1939" s="9">
        <v>1630</v>
      </c>
      <c r="P1939" s="9" t="s">
        <v>6992</v>
      </c>
      <c r="Q1939" s="70">
        <v>8</v>
      </c>
      <c r="R1939" s="9" t="s">
        <v>6993</v>
      </c>
      <c r="S1939" s="9" t="s">
        <v>6646</v>
      </c>
    </row>
    <row r="1940" spans="1:39" ht="14.25" customHeight="1" x14ac:dyDescent="0.2">
      <c r="A1940" s="4" t="s">
        <v>138</v>
      </c>
      <c r="B1940" s="101">
        <v>14</v>
      </c>
      <c r="C1940" s="10" t="s">
        <v>7699</v>
      </c>
      <c r="D1940" s="10" t="s">
        <v>6994</v>
      </c>
      <c r="F1940" s="10" t="s">
        <v>6995</v>
      </c>
      <c r="G1940" s="8" t="str">
        <f t="shared" si="15"/>
        <v>-&gt; 121.443056 W, 53.95083N, Elev. 1693 m</v>
      </c>
      <c r="M1940" s="9">
        <v>-121.443056</v>
      </c>
      <c r="N1940" s="9">
        <v>53.950830000000003</v>
      </c>
      <c r="O1940" s="9">
        <v>1693</v>
      </c>
      <c r="P1940" s="9" t="s">
        <v>6996</v>
      </c>
      <c r="Q1940" s="70">
        <v>8</v>
      </c>
      <c r="R1940" s="9" t="s">
        <v>6997</v>
      </c>
      <c r="S1940" s="9" t="s">
        <v>6646</v>
      </c>
    </row>
    <row r="1941" spans="1:39" ht="14.25" customHeight="1" x14ac:dyDescent="0.2">
      <c r="A1941" s="4" t="s">
        <v>138</v>
      </c>
      <c r="B1941" s="101">
        <v>14</v>
      </c>
      <c r="C1941" s="10" t="s">
        <v>7699</v>
      </c>
      <c r="D1941" s="10" t="s">
        <v>6998</v>
      </c>
      <c r="F1941" s="10" t="s">
        <v>6999</v>
      </c>
      <c r="G1941" s="8" t="str">
        <f t="shared" si="15"/>
        <v>-&gt; 119.940639 W, 51.808369N, Elev. 1880 m</v>
      </c>
      <c r="M1941" s="9">
        <v>-119.940639</v>
      </c>
      <c r="N1941" s="9">
        <v>51.808368999999999</v>
      </c>
      <c r="O1941" s="9">
        <v>1880</v>
      </c>
      <c r="P1941" s="9" t="s">
        <v>7000</v>
      </c>
      <c r="Q1941" s="70">
        <v>6</v>
      </c>
      <c r="R1941" s="9" t="s">
        <v>7001</v>
      </c>
      <c r="S1941" s="9" t="s">
        <v>6646</v>
      </c>
    </row>
    <row r="1942" spans="1:39" ht="14.25" customHeight="1" x14ac:dyDescent="0.2">
      <c r="A1942" s="4" t="s">
        <v>138</v>
      </c>
      <c r="B1942" s="101">
        <v>14</v>
      </c>
      <c r="C1942" s="10" t="s">
        <v>7699</v>
      </c>
      <c r="D1942" s="10" t="s">
        <v>7002</v>
      </c>
      <c r="F1942" s="10" t="s">
        <v>7003</v>
      </c>
      <c r="G1942" s="8" t="str">
        <f t="shared" si="15"/>
        <v>-&gt; 118.13016 W, 49.27017N, Elev. 1230 m</v>
      </c>
      <c r="M1942" s="9">
        <v>-118.13016</v>
      </c>
      <c r="N1942" s="9">
        <v>49.27017</v>
      </c>
      <c r="O1942" s="9">
        <v>1230</v>
      </c>
      <c r="P1942" s="9" t="s">
        <v>7004</v>
      </c>
      <c r="Q1942" s="70">
        <v>3</v>
      </c>
      <c r="R1942" s="9" t="s">
        <v>7005</v>
      </c>
      <c r="S1942" s="9" t="s">
        <v>6646</v>
      </c>
    </row>
    <row r="1943" spans="1:39" ht="14.25" customHeight="1" x14ac:dyDescent="0.2">
      <c r="A1943" s="4" t="s">
        <v>138</v>
      </c>
      <c r="B1943" s="101">
        <v>14</v>
      </c>
      <c r="C1943" s="10" t="s">
        <v>7699</v>
      </c>
      <c r="D1943" s="10" t="s">
        <v>7006</v>
      </c>
      <c r="F1943" s="10" t="s">
        <v>7007</v>
      </c>
      <c r="G1943" s="8" t="str">
        <f t="shared" si="15"/>
        <v>-&gt; 116.6788 W, 49.61142N, Elev. 1650 m</v>
      </c>
      <c r="M1943" s="9">
        <v>-116.6788</v>
      </c>
      <c r="N1943" s="9">
        <v>49.611420000000003</v>
      </c>
      <c r="O1943" s="9">
        <v>1650</v>
      </c>
      <c r="P1943" s="9" t="s">
        <v>7008</v>
      </c>
      <c r="Q1943" s="70">
        <v>5</v>
      </c>
      <c r="R1943" s="9" t="s">
        <v>7009</v>
      </c>
      <c r="S1943" s="9" t="s">
        <v>6646</v>
      </c>
    </row>
    <row r="1944" spans="1:39" ht="14.25" customHeight="1" x14ac:dyDescent="0.2">
      <c r="A1944" s="4" t="s">
        <v>138</v>
      </c>
      <c r="B1944" s="101">
        <v>14</v>
      </c>
      <c r="C1944" s="10" t="s">
        <v>7699</v>
      </c>
      <c r="D1944" s="10" t="s">
        <v>7010</v>
      </c>
      <c r="F1944" s="10" t="s">
        <v>7011</v>
      </c>
      <c r="G1944" s="8" t="str">
        <f t="shared" si="15"/>
        <v>-&gt; 116.6584 W, 49.61656N, Elev. 1930 m</v>
      </c>
      <c r="M1944" s="9">
        <v>-116.6584</v>
      </c>
      <c r="N1944" s="9">
        <v>49.61656</v>
      </c>
      <c r="O1944" s="9">
        <v>1930</v>
      </c>
      <c r="P1944" s="9" t="s">
        <v>7012</v>
      </c>
      <c r="Q1944" s="70">
        <v>7</v>
      </c>
      <c r="R1944" s="9" t="s">
        <v>7013</v>
      </c>
      <c r="S1944" s="9" t="s">
        <v>6646</v>
      </c>
    </row>
    <row r="1945" spans="1:39" ht="14.25" customHeight="1" x14ac:dyDescent="0.2">
      <c r="A1945" s="4" t="s">
        <v>138</v>
      </c>
      <c r="B1945" s="101">
        <v>14</v>
      </c>
      <c r="C1945" s="10" t="s">
        <v>7699</v>
      </c>
      <c r="D1945" s="10" t="s">
        <v>7014</v>
      </c>
      <c r="F1945" s="10" t="s">
        <v>7015</v>
      </c>
      <c r="G1945" s="8" t="str">
        <f t="shared" si="15"/>
        <v>-&gt; 119.12403 W, 49.76731N, Elev. 1245 m</v>
      </c>
      <c r="M1945" s="9">
        <v>-119.12403</v>
      </c>
      <c r="N1945" s="9">
        <v>49.767310000000002</v>
      </c>
      <c r="O1945" s="9">
        <v>1245</v>
      </c>
      <c r="P1945" s="9" t="s">
        <v>7016</v>
      </c>
      <c r="Q1945" s="70">
        <v>4</v>
      </c>
      <c r="R1945" s="9" t="s">
        <v>997</v>
      </c>
      <c r="S1945" s="9" t="s">
        <v>6646</v>
      </c>
    </row>
    <row r="1946" spans="1:39" ht="14.25" customHeight="1" x14ac:dyDescent="0.2">
      <c r="A1946" s="4" t="s">
        <v>138</v>
      </c>
      <c r="B1946" s="101">
        <v>14</v>
      </c>
      <c r="C1946" s="10" t="s">
        <v>7699</v>
      </c>
      <c r="D1946" s="10" t="s">
        <v>7017</v>
      </c>
      <c r="F1946" s="10" t="s">
        <v>7018</v>
      </c>
      <c r="G1946" s="8" t="str">
        <f t="shared" si="15"/>
        <v>-&gt; 119.279 W, 50.11633N, Elev. 1360 m</v>
      </c>
      <c r="M1946" s="9">
        <v>-119.279</v>
      </c>
      <c r="N1946" s="9">
        <v>50.116329999999998</v>
      </c>
      <c r="O1946" s="9">
        <v>1360</v>
      </c>
      <c r="P1946" s="9" t="s">
        <v>7019</v>
      </c>
      <c r="Q1946" s="70">
        <v>5</v>
      </c>
      <c r="R1946" s="9" t="s">
        <v>7020</v>
      </c>
      <c r="S1946" s="9" t="s">
        <v>6646</v>
      </c>
    </row>
    <row r="1947" spans="1:39" ht="14.25" customHeight="1" x14ac:dyDescent="0.2">
      <c r="A1947" s="4" t="s">
        <v>138</v>
      </c>
      <c r="B1947" s="101">
        <v>14</v>
      </c>
      <c r="C1947" s="10" t="s">
        <v>7699</v>
      </c>
      <c r="D1947" s="10" t="s">
        <v>7021</v>
      </c>
      <c r="F1947" s="10" t="s">
        <v>7022</v>
      </c>
      <c r="G1947" s="8" t="str">
        <f t="shared" si="15"/>
        <v>-&gt; 119.7461 W, 50.01691N, Elev. 1795 m</v>
      </c>
      <c r="M1947" s="9">
        <v>-119.7461</v>
      </c>
      <c r="N1947" s="9">
        <v>50.016910000000003</v>
      </c>
      <c r="O1947" s="9">
        <v>1795</v>
      </c>
      <c r="P1947" s="8" t="s">
        <v>7023</v>
      </c>
      <c r="Q1947" s="70">
        <v>8</v>
      </c>
      <c r="R1947" s="9" t="s">
        <v>7024</v>
      </c>
      <c r="S1947" s="9" t="s">
        <v>6646</v>
      </c>
    </row>
    <row r="1948" spans="1:39" ht="14.25" customHeight="1" x14ac:dyDescent="0.2">
      <c r="A1948" s="4" t="s">
        <v>138</v>
      </c>
      <c r="B1948" s="101">
        <v>14</v>
      </c>
      <c r="C1948" s="10" t="s">
        <v>7699</v>
      </c>
      <c r="D1948" s="10" t="s">
        <v>7025</v>
      </c>
      <c r="F1948" s="10" t="s">
        <v>7026</v>
      </c>
      <c r="G1948" s="8" t="str">
        <f t="shared" si="15"/>
        <v>-&gt; 120.79439 W, 49.49914N, Elev. 1480 m</v>
      </c>
      <c r="M1948" s="9">
        <v>-120.79439000000001</v>
      </c>
      <c r="N1948" s="9">
        <v>49.499139999999997</v>
      </c>
      <c r="O1948" s="9">
        <v>1480</v>
      </c>
      <c r="P1948" s="9" t="s">
        <v>7027</v>
      </c>
      <c r="Q1948" s="70">
        <v>6</v>
      </c>
      <c r="R1948" s="9" t="s">
        <v>7028</v>
      </c>
      <c r="S1948" s="9" t="s">
        <v>6646</v>
      </c>
    </row>
    <row r="1949" spans="1:39" ht="14.25" customHeight="1" x14ac:dyDescent="0.2">
      <c r="A1949" s="4" t="s">
        <v>138</v>
      </c>
      <c r="B1949" s="101">
        <v>14</v>
      </c>
      <c r="C1949" s="10" t="s">
        <v>7699</v>
      </c>
      <c r="D1949" s="10" t="s">
        <v>7029</v>
      </c>
      <c r="F1949" s="10" t="s">
        <v>7030</v>
      </c>
      <c r="G1949" s="8" t="str">
        <f t="shared" si="15"/>
        <v>-&gt; 124.567776 W, 49.207376N, Elev. 1460 m</v>
      </c>
      <c r="M1949" s="9">
        <v>-124.56777599999999</v>
      </c>
      <c r="N1949" s="9">
        <v>49.207375999999996</v>
      </c>
      <c r="O1949" s="9">
        <v>1460</v>
      </c>
      <c r="P1949" s="9" t="s">
        <v>7031</v>
      </c>
      <c r="Q1949" s="70">
        <v>8</v>
      </c>
      <c r="R1949" s="9" t="s">
        <v>7032</v>
      </c>
      <c r="S1949" s="9" t="s">
        <v>6646</v>
      </c>
    </row>
    <row r="1950" spans="1:39" ht="14.25" customHeight="1" x14ac:dyDescent="0.2">
      <c r="A1950" s="4" t="s">
        <v>138</v>
      </c>
      <c r="B1950" s="101">
        <v>14</v>
      </c>
      <c r="C1950" s="10" t="s">
        <v>7699</v>
      </c>
      <c r="D1950" s="10" t="s">
        <v>7033</v>
      </c>
      <c r="F1950" s="10" t="s">
        <v>7034</v>
      </c>
      <c r="G1950" s="8" t="str">
        <f t="shared" si="15"/>
        <v>-&gt; 123.604999 W, 49.597854N, Elev. 1423 m</v>
      </c>
      <c r="M1950" s="9">
        <v>-123.60499900000001</v>
      </c>
      <c r="N1950" s="9">
        <v>49.597853999999998</v>
      </c>
      <c r="O1950" s="9">
        <v>1423</v>
      </c>
      <c r="P1950" s="9" t="s">
        <v>7035</v>
      </c>
      <c r="Q1950" s="70">
        <v>7</v>
      </c>
      <c r="R1950" s="9" t="s">
        <v>7036</v>
      </c>
      <c r="S1950" s="9" t="s">
        <v>6646</v>
      </c>
    </row>
    <row r="1951" spans="1:39" ht="14.25" customHeight="1" x14ac:dyDescent="0.2">
      <c r="A1951" s="4" t="s">
        <v>138</v>
      </c>
      <c r="B1951" s="101">
        <v>14</v>
      </c>
      <c r="C1951" s="10" t="s">
        <v>7699</v>
      </c>
      <c r="D1951" s="10" t="s">
        <v>7037</v>
      </c>
      <c r="F1951" s="10" t="s">
        <v>7038</v>
      </c>
      <c r="G1951" s="8" t="str">
        <f t="shared" si="15"/>
        <v>-&gt; 130.0661 W, 56.24674N, Elev. 790 m</v>
      </c>
      <c r="M1951" s="9">
        <v>-130.06610000000001</v>
      </c>
      <c r="N1951" s="9">
        <v>56.246740000000003</v>
      </c>
      <c r="O1951" s="9">
        <v>790</v>
      </c>
      <c r="P1951" s="9" t="s">
        <v>6749</v>
      </c>
      <c r="Q1951" s="70">
        <v>4</v>
      </c>
      <c r="R1951" s="9" t="s">
        <v>7039</v>
      </c>
      <c r="S1951" s="9" t="s">
        <v>6646</v>
      </c>
    </row>
    <row r="1952" spans="1:39" ht="14.25" customHeight="1" x14ac:dyDescent="0.2">
      <c r="A1952" s="5" t="s">
        <v>138</v>
      </c>
      <c r="C1952" s="10" t="s">
        <v>5977</v>
      </c>
      <c r="D1952" s="10" t="s">
        <v>7040</v>
      </c>
      <c r="F1952" s="10" t="s">
        <v>7041</v>
      </c>
      <c r="G1952" s="10" t="s">
        <v>7042</v>
      </c>
      <c r="M1952" s="9">
        <v>49.386666669999997</v>
      </c>
      <c r="N1952" s="9">
        <v>-123.11944440000001</v>
      </c>
      <c r="O1952" s="9" t="s">
        <v>51</v>
      </c>
      <c r="P1952" s="9" t="s">
        <v>7043</v>
      </c>
      <c r="Q1952" s="20">
        <v>2</v>
      </c>
      <c r="R1952" s="9" t="s">
        <v>7044</v>
      </c>
      <c r="S1952" s="9" t="s">
        <v>3115</v>
      </c>
      <c r="T1952" s="9">
        <v>250</v>
      </c>
      <c r="U1952" s="9"/>
      <c r="V1952" s="9" t="s">
        <v>7045</v>
      </c>
      <c r="W1952" s="9">
        <v>2002</v>
      </c>
      <c r="X1952" s="9" t="s">
        <v>3117</v>
      </c>
      <c r="Y1952" s="9" t="s">
        <v>3118</v>
      </c>
      <c r="Z1952" s="9"/>
      <c r="AA1952" s="9"/>
      <c r="AB1952" s="9"/>
      <c r="AC1952" s="9" t="s">
        <v>55</v>
      </c>
      <c r="AD1952" s="9" t="s">
        <v>56</v>
      </c>
      <c r="AE1952" s="9" t="s">
        <v>66</v>
      </c>
      <c r="AF1952" s="9"/>
      <c r="AG1952" s="9"/>
      <c r="AH1952" s="9" t="s">
        <v>3119</v>
      </c>
      <c r="AI1952" s="9"/>
      <c r="AJ1952" s="9" t="s">
        <v>59</v>
      </c>
      <c r="AK1952" s="9"/>
      <c r="AL1952" s="9"/>
      <c r="AM1952" s="9"/>
    </row>
    <row r="1953" spans="1:39" ht="14.25" customHeight="1" x14ac:dyDescent="0.2">
      <c r="A1953" s="5" t="s">
        <v>138</v>
      </c>
      <c r="C1953" s="10" t="s">
        <v>5977</v>
      </c>
      <c r="D1953" s="10" t="s">
        <v>7046</v>
      </c>
      <c r="F1953" s="10" t="s">
        <v>7047</v>
      </c>
      <c r="G1953" s="10" t="s">
        <v>7048</v>
      </c>
      <c r="M1953" s="9">
        <v>49.461599999999997</v>
      </c>
      <c r="N1953" s="9">
        <v>-123.1311</v>
      </c>
      <c r="O1953" s="9" t="s">
        <v>51</v>
      </c>
      <c r="P1953" s="9" t="s">
        <v>7049</v>
      </c>
      <c r="Q1953" s="20">
        <v>4</v>
      </c>
      <c r="R1953" s="9" t="s">
        <v>7050</v>
      </c>
      <c r="S1953" s="9" t="s">
        <v>3115</v>
      </c>
      <c r="T1953" s="9">
        <v>600</v>
      </c>
      <c r="U1953" s="9"/>
      <c r="V1953" s="9" t="s">
        <v>7051</v>
      </c>
      <c r="W1953" s="9">
        <v>2023</v>
      </c>
      <c r="X1953" s="9" t="s">
        <v>3117</v>
      </c>
      <c r="Y1953" s="9" t="s">
        <v>3118</v>
      </c>
      <c r="Z1953" s="9"/>
      <c r="AA1953" s="9"/>
      <c r="AB1953" s="9"/>
      <c r="AC1953" s="9" t="s">
        <v>55</v>
      </c>
      <c r="AD1953" s="9" t="s">
        <v>56</v>
      </c>
      <c r="AE1953" s="9" t="s">
        <v>57</v>
      </c>
      <c r="AF1953" s="9" t="s">
        <v>58</v>
      </c>
      <c r="AG1953" s="9"/>
      <c r="AH1953" s="9" t="s">
        <v>3119</v>
      </c>
      <c r="AI1953" s="9"/>
      <c r="AJ1953" s="9"/>
      <c r="AK1953" s="9"/>
      <c r="AL1953" s="9"/>
      <c r="AM1953" s="9"/>
    </row>
    <row r="1954" spans="1:39" ht="14.25" customHeight="1" x14ac:dyDescent="0.2">
      <c r="A1954" s="5" t="s">
        <v>138</v>
      </c>
      <c r="C1954" s="10" t="s">
        <v>5977</v>
      </c>
      <c r="D1954" s="10" t="s">
        <v>7052</v>
      </c>
      <c r="F1954" s="10" t="s">
        <v>7053</v>
      </c>
      <c r="G1954" s="10" t="s">
        <v>7054</v>
      </c>
      <c r="M1954" s="9">
        <v>49.485239999999997</v>
      </c>
      <c r="N1954" s="9">
        <v>-123.12674</v>
      </c>
      <c r="O1954" s="9" t="s">
        <v>51</v>
      </c>
      <c r="P1954" s="9" t="s">
        <v>7055</v>
      </c>
      <c r="Q1954" s="20">
        <v>2</v>
      </c>
      <c r="R1954" s="9" t="s">
        <v>7056</v>
      </c>
      <c r="S1954" s="9" t="s">
        <v>3115</v>
      </c>
      <c r="T1954" s="9">
        <v>305</v>
      </c>
      <c r="U1954" s="9"/>
      <c r="V1954" s="9" t="s">
        <v>7057</v>
      </c>
      <c r="W1954" s="9">
        <v>2016</v>
      </c>
      <c r="X1954" s="9" t="s">
        <v>3117</v>
      </c>
      <c r="Y1954" s="9" t="s">
        <v>3118</v>
      </c>
      <c r="Z1954" s="9"/>
      <c r="AA1954" s="9"/>
      <c r="AB1954" s="9"/>
      <c r="AC1954" s="9" t="s">
        <v>55</v>
      </c>
      <c r="AD1954" s="9" t="s">
        <v>56</v>
      </c>
      <c r="AE1954" s="9" t="s">
        <v>66</v>
      </c>
      <c r="AF1954" s="9"/>
      <c r="AG1954" s="9"/>
      <c r="AH1954" s="9"/>
      <c r="AI1954" s="9"/>
      <c r="AJ1954" s="9"/>
      <c r="AK1954" s="9"/>
      <c r="AL1954" s="9"/>
      <c r="AM1954" s="9"/>
    </row>
    <row r="1955" spans="1:39" ht="14.25" customHeight="1" x14ac:dyDescent="0.2">
      <c r="A1955" s="5" t="s">
        <v>138</v>
      </c>
      <c r="C1955" s="10" t="s">
        <v>5977</v>
      </c>
      <c r="D1955" s="10" t="s">
        <v>7058</v>
      </c>
      <c r="F1955" s="10" t="s">
        <v>7059</v>
      </c>
      <c r="G1955" s="10" t="s">
        <v>7060</v>
      </c>
      <c r="M1955" s="9">
        <v>49.366109999999999</v>
      </c>
      <c r="N1955" s="9">
        <v>-123.11360999999999</v>
      </c>
      <c r="O1955" s="9" t="s">
        <v>51</v>
      </c>
      <c r="P1955" s="9" t="s">
        <v>7061</v>
      </c>
      <c r="Q1955" s="20">
        <v>2</v>
      </c>
      <c r="R1955" s="9" t="s">
        <v>7062</v>
      </c>
      <c r="S1955" s="9" t="s">
        <v>3115</v>
      </c>
      <c r="T1955" s="9">
        <v>145</v>
      </c>
      <c r="U1955" s="9"/>
      <c r="V1955" s="9" t="s">
        <v>7063</v>
      </c>
      <c r="W1955" s="9"/>
      <c r="X1955" s="9" t="s">
        <v>3117</v>
      </c>
      <c r="Y1955" s="9" t="s">
        <v>3118</v>
      </c>
      <c r="Z1955" s="9"/>
      <c r="AA1955" s="9"/>
      <c r="AB1955" s="9"/>
      <c r="AC1955" s="9" t="s">
        <v>55</v>
      </c>
      <c r="AD1955" s="9" t="s">
        <v>56</v>
      </c>
      <c r="AE1955" s="9"/>
      <c r="AF1955" s="9"/>
      <c r="AG1955" s="9"/>
      <c r="AH1955" s="9" t="s">
        <v>3119</v>
      </c>
      <c r="AI1955" s="9"/>
      <c r="AJ1955" s="9" t="s">
        <v>7064</v>
      </c>
      <c r="AK1955" s="9"/>
      <c r="AL1955" s="9"/>
      <c r="AM1955" s="9" t="s">
        <v>7065</v>
      </c>
    </row>
    <row r="1956" spans="1:39" ht="14.25" customHeight="1" x14ac:dyDescent="0.2">
      <c r="A1956" s="5" t="s">
        <v>138</v>
      </c>
      <c r="C1956" s="10" t="s">
        <v>5977</v>
      </c>
      <c r="D1956" s="10" t="s">
        <v>7066</v>
      </c>
      <c r="F1956" s="10" t="s">
        <v>7067</v>
      </c>
      <c r="G1956" s="10" t="s">
        <v>7068</v>
      </c>
      <c r="M1956" s="9">
        <v>49.379249999999999</v>
      </c>
      <c r="N1956" s="9">
        <v>-122.99552</v>
      </c>
      <c r="O1956" s="9" t="s">
        <v>51</v>
      </c>
      <c r="P1956" s="9" t="s">
        <v>7069</v>
      </c>
      <c r="Q1956" s="20">
        <v>2</v>
      </c>
      <c r="R1956" s="9" t="s">
        <v>7070</v>
      </c>
      <c r="S1956" s="9" t="s">
        <v>3115</v>
      </c>
      <c r="T1956" s="9">
        <v>185</v>
      </c>
      <c r="U1956" s="9"/>
      <c r="V1956" s="9" t="s">
        <v>7071</v>
      </c>
      <c r="W1956" s="9"/>
      <c r="X1956" s="9" t="s">
        <v>3117</v>
      </c>
      <c r="Y1956" s="9" t="s">
        <v>3118</v>
      </c>
      <c r="Z1956" s="9"/>
      <c r="AA1956" s="9"/>
      <c r="AB1956" s="9"/>
      <c r="AC1956" s="9" t="s">
        <v>55</v>
      </c>
      <c r="AD1956" s="9" t="s">
        <v>56</v>
      </c>
      <c r="AE1956" s="9" t="s">
        <v>66</v>
      </c>
      <c r="AF1956" s="9"/>
      <c r="AG1956" s="9"/>
      <c r="AH1956" s="9" t="s">
        <v>3119</v>
      </c>
      <c r="AI1956" s="9"/>
      <c r="AJ1956" s="9" t="s">
        <v>59</v>
      </c>
      <c r="AK1956" s="9"/>
      <c r="AL1956" s="9"/>
      <c r="AM1956" s="9"/>
    </row>
    <row r="1957" spans="1:39" ht="14.25" customHeight="1" x14ac:dyDescent="0.2">
      <c r="A1957" s="5" t="s">
        <v>138</v>
      </c>
      <c r="C1957" s="10" t="s">
        <v>5977</v>
      </c>
      <c r="D1957" s="10" t="s">
        <v>7072</v>
      </c>
      <c r="F1957" s="10" t="s">
        <v>7073</v>
      </c>
      <c r="G1957" s="10" t="s">
        <v>7074</v>
      </c>
      <c r="M1957" s="9">
        <v>49.449350000000003</v>
      </c>
      <c r="N1957" s="9">
        <v>-122.96093999999999</v>
      </c>
      <c r="O1957" s="9" t="s">
        <v>51</v>
      </c>
      <c r="P1957" s="9" t="s">
        <v>7075</v>
      </c>
      <c r="Q1957" s="20">
        <v>2</v>
      </c>
      <c r="R1957" s="9" t="s">
        <v>7076</v>
      </c>
      <c r="S1957" s="9" t="s">
        <v>3115</v>
      </c>
      <c r="T1957" s="9">
        <v>214</v>
      </c>
      <c r="U1957" s="9"/>
      <c r="V1957" s="9" t="s">
        <v>7077</v>
      </c>
      <c r="W1957" s="9"/>
      <c r="X1957" s="9" t="s">
        <v>3117</v>
      </c>
      <c r="Y1957" s="9" t="s">
        <v>3118</v>
      </c>
      <c r="Z1957" s="9"/>
      <c r="AA1957" s="9"/>
      <c r="AB1957" s="9"/>
      <c r="AC1957" s="9" t="s">
        <v>55</v>
      </c>
      <c r="AD1957" s="9" t="s">
        <v>56</v>
      </c>
      <c r="AE1957" s="9"/>
      <c r="AF1957" s="9"/>
      <c r="AG1957" s="9"/>
      <c r="AH1957" s="9" t="s">
        <v>3119</v>
      </c>
      <c r="AI1957" s="9"/>
      <c r="AJ1957" s="9" t="s">
        <v>7064</v>
      </c>
      <c r="AK1957" s="9"/>
      <c r="AL1957" s="9"/>
      <c r="AM1957" s="9" t="s">
        <v>7065</v>
      </c>
    </row>
    <row r="1958" spans="1:39" ht="14.25" customHeight="1" x14ac:dyDescent="0.2">
      <c r="A1958" s="5" t="s">
        <v>138</v>
      </c>
      <c r="C1958" s="10" t="s">
        <v>5977</v>
      </c>
      <c r="D1958" s="10" t="s">
        <v>7078</v>
      </c>
      <c r="F1958" s="10" t="s">
        <v>7079</v>
      </c>
      <c r="G1958" s="10" t="s">
        <v>7080</v>
      </c>
      <c r="M1958" s="9">
        <v>49.358879999999999</v>
      </c>
      <c r="N1958" s="9">
        <v>-122.78667</v>
      </c>
      <c r="O1958" s="9" t="s">
        <v>51</v>
      </c>
      <c r="P1958" s="9" t="s">
        <v>7081</v>
      </c>
      <c r="Q1958" s="20">
        <v>2</v>
      </c>
      <c r="R1958" s="9" t="s">
        <v>7082</v>
      </c>
      <c r="S1958" s="9" t="s">
        <v>3115</v>
      </c>
      <c r="T1958" s="9">
        <v>150</v>
      </c>
      <c r="U1958" s="9"/>
      <c r="V1958" s="9" t="s">
        <v>7083</v>
      </c>
      <c r="W1958" s="9"/>
      <c r="X1958" s="9" t="s">
        <v>3117</v>
      </c>
      <c r="Y1958" s="9" t="s">
        <v>3118</v>
      </c>
      <c r="Z1958" s="9"/>
      <c r="AA1958" s="9"/>
      <c r="AB1958" s="9"/>
      <c r="AC1958" s="9" t="s">
        <v>55</v>
      </c>
      <c r="AD1958" s="9" t="s">
        <v>56</v>
      </c>
      <c r="AE1958" s="9"/>
      <c r="AF1958" s="9"/>
      <c r="AG1958" s="9"/>
      <c r="AH1958" s="9" t="s">
        <v>3119</v>
      </c>
      <c r="AI1958" s="9"/>
      <c r="AJ1958" s="9" t="s">
        <v>7064</v>
      </c>
      <c r="AK1958" s="9"/>
      <c r="AL1958" s="9"/>
      <c r="AM1958" s="9" t="s">
        <v>7065</v>
      </c>
    </row>
    <row r="1959" spans="1:39" ht="14.25" customHeight="1" x14ac:dyDescent="0.2">
      <c r="A1959" s="5" t="s">
        <v>138</v>
      </c>
      <c r="C1959" s="10" t="s">
        <v>5977</v>
      </c>
      <c r="D1959" s="10" t="s">
        <v>7084</v>
      </c>
      <c r="F1959" s="10" t="s">
        <v>7085</v>
      </c>
      <c r="G1959" s="10" t="s">
        <v>7086</v>
      </c>
      <c r="M1959" s="9">
        <v>49.396388889999997</v>
      </c>
      <c r="N1959" s="9">
        <v>-123.14583330000001</v>
      </c>
      <c r="O1959" s="9" t="s">
        <v>51</v>
      </c>
      <c r="P1959" s="9" t="s">
        <v>7087</v>
      </c>
      <c r="Q1959" s="20">
        <v>2</v>
      </c>
      <c r="R1959" s="9" t="s">
        <v>7088</v>
      </c>
      <c r="S1959" s="9" t="s">
        <v>3115</v>
      </c>
      <c r="T1959" s="9">
        <v>183</v>
      </c>
      <c r="U1959" s="9"/>
      <c r="V1959" s="9" t="s">
        <v>7089</v>
      </c>
      <c r="W1959" s="9">
        <v>1993</v>
      </c>
      <c r="X1959" s="9" t="s">
        <v>3117</v>
      </c>
      <c r="Y1959" s="9" t="s">
        <v>3118</v>
      </c>
      <c r="Z1959" s="9"/>
      <c r="AA1959" s="9"/>
      <c r="AB1959" s="9"/>
      <c r="AC1959" s="9"/>
      <c r="AD1959" s="9"/>
      <c r="AE1959" s="9" t="s">
        <v>66</v>
      </c>
      <c r="AF1959" s="9"/>
      <c r="AG1959" s="9"/>
      <c r="AH1959" s="9"/>
      <c r="AI1959" s="9"/>
      <c r="AJ1959" s="9"/>
      <c r="AK1959" s="9"/>
      <c r="AL1959" s="9"/>
      <c r="AM1959" s="9" t="s">
        <v>7090</v>
      </c>
    </row>
    <row r="1960" spans="1:39" ht="14.25" customHeight="1" x14ac:dyDescent="0.2">
      <c r="A1960" s="5" t="s">
        <v>138</v>
      </c>
      <c r="C1960" s="10" t="s">
        <v>5977</v>
      </c>
      <c r="D1960" s="10" t="s">
        <v>7091</v>
      </c>
      <c r="F1960" s="10" t="s">
        <v>7092</v>
      </c>
      <c r="G1960" s="10" t="s">
        <v>7093</v>
      </c>
      <c r="M1960" s="9">
        <v>49.453888890000002</v>
      </c>
      <c r="N1960" s="9">
        <v>-123.10972219999999</v>
      </c>
      <c r="O1960" s="9" t="s">
        <v>51</v>
      </c>
      <c r="P1960" s="9" t="s">
        <v>7094</v>
      </c>
      <c r="Q1960" s="20">
        <v>2</v>
      </c>
      <c r="R1960" s="9" t="s">
        <v>7095</v>
      </c>
      <c r="S1960" s="9" t="s">
        <v>3115</v>
      </c>
      <c r="T1960" s="9">
        <v>305</v>
      </c>
      <c r="U1960" s="9"/>
      <c r="V1960" s="9" t="s">
        <v>7096</v>
      </c>
      <c r="W1960" s="9">
        <v>1993</v>
      </c>
      <c r="X1960" s="9" t="s">
        <v>3117</v>
      </c>
      <c r="Y1960" s="9" t="s">
        <v>3118</v>
      </c>
      <c r="Z1960" s="9"/>
      <c r="AA1960" s="9"/>
      <c r="AB1960" s="9"/>
      <c r="AC1960" s="9" t="s">
        <v>55</v>
      </c>
      <c r="AD1960" s="9" t="s">
        <v>56</v>
      </c>
      <c r="AE1960" s="9" t="s">
        <v>7097</v>
      </c>
      <c r="AF1960" s="9"/>
      <c r="AG1960" s="9"/>
      <c r="AH1960" s="9"/>
      <c r="AI1960" s="9"/>
      <c r="AJ1960" s="9"/>
      <c r="AK1960" s="9" t="s">
        <v>73</v>
      </c>
      <c r="AL1960" s="9"/>
      <c r="AM1960" s="9" t="s">
        <v>7090</v>
      </c>
    </row>
    <row r="1961" spans="1:39" ht="14.25" customHeight="1" x14ac:dyDescent="0.2">
      <c r="A1961" s="5" t="s">
        <v>138</v>
      </c>
      <c r="C1961" s="10" t="s">
        <v>5977</v>
      </c>
      <c r="D1961" s="10" t="s">
        <v>7098</v>
      </c>
      <c r="F1961" s="10" t="s">
        <v>7099</v>
      </c>
      <c r="G1961" s="10" t="s">
        <v>7100</v>
      </c>
      <c r="M1961" s="9">
        <v>49.52</v>
      </c>
      <c r="N1961" s="9">
        <v>-123.00388890000001</v>
      </c>
      <c r="O1961" s="9" t="s">
        <v>51</v>
      </c>
      <c r="P1961" s="9" t="s">
        <v>7101</v>
      </c>
      <c r="Q1961" s="20">
        <v>3</v>
      </c>
      <c r="R1961" s="9" t="s">
        <v>7102</v>
      </c>
      <c r="S1961" s="9" t="s">
        <v>3115</v>
      </c>
      <c r="T1961" s="9">
        <v>320</v>
      </c>
      <c r="U1961" s="9"/>
      <c r="V1961" s="9" t="s">
        <v>7103</v>
      </c>
      <c r="W1961" s="9"/>
      <c r="X1961" s="9" t="s">
        <v>3117</v>
      </c>
      <c r="Y1961" s="9" t="s">
        <v>3118</v>
      </c>
      <c r="Z1961" s="9"/>
      <c r="AA1961" s="9"/>
      <c r="AB1961" s="9"/>
      <c r="AC1961" s="9"/>
      <c r="AD1961" s="9"/>
      <c r="AE1961" s="9" t="s">
        <v>7097</v>
      </c>
      <c r="AF1961" s="9"/>
      <c r="AG1961" s="9"/>
      <c r="AH1961" s="9"/>
      <c r="AI1961" s="9"/>
      <c r="AJ1961" s="9"/>
      <c r="AK1961" s="9"/>
      <c r="AL1961" s="9"/>
      <c r="AM1961" s="9" t="s">
        <v>7090</v>
      </c>
    </row>
    <row r="1962" spans="1:39" ht="14.25" customHeight="1" x14ac:dyDescent="0.2">
      <c r="A1962" s="5" t="s">
        <v>138</v>
      </c>
      <c r="C1962" s="10" t="s">
        <v>5977</v>
      </c>
      <c r="D1962" s="10" t="s">
        <v>7104</v>
      </c>
      <c r="F1962" s="10" t="s">
        <v>7105</v>
      </c>
      <c r="G1962" s="10" t="s">
        <v>7106</v>
      </c>
      <c r="M1962" s="9">
        <v>49.555</v>
      </c>
      <c r="N1962" s="9">
        <v>-122.75916669999999</v>
      </c>
      <c r="O1962" s="9" t="s">
        <v>51</v>
      </c>
      <c r="P1962" s="9" t="s">
        <v>6707</v>
      </c>
      <c r="Q1962" s="20">
        <v>6</v>
      </c>
      <c r="R1962" s="9" t="s">
        <v>6708</v>
      </c>
      <c r="S1962" s="9" t="s">
        <v>3115</v>
      </c>
      <c r="T1962" s="9">
        <v>1050</v>
      </c>
      <c r="U1962" s="9"/>
      <c r="V1962" s="9" t="s">
        <v>7107</v>
      </c>
      <c r="W1962" s="9">
        <v>1993</v>
      </c>
      <c r="X1962" s="9" t="s">
        <v>3117</v>
      </c>
      <c r="Y1962" s="9" t="s">
        <v>3118</v>
      </c>
      <c r="Z1962" s="9"/>
      <c r="AA1962" s="9"/>
      <c r="AB1962" s="9"/>
      <c r="AC1962" s="9" t="s">
        <v>55</v>
      </c>
      <c r="AD1962" s="9" t="s">
        <v>56</v>
      </c>
      <c r="AE1962" s="9" t="s">
        <v>7097</v>
      </c>
      <c r="AF1962" s="9" t="s">
        <v>58</v>
      </c>
      <c r="AG1962" s="9"/>
      <c r="AH1962" s="9" t="s">
        <v>3119</v>
      </c>
      <c r="AI1962" s="9"/>
      <c r="AJ1962" s="9"/>
      <c r="AK1962" s="9" t="s">
        <v>73</v>
      </c>
      <c r="AL1962" s="9"/>
      <c r="AM1962" s="9"/>
    </row>
    <row r="1963" spans="1:39" ht="14.25" customHeight="1" x14ac:dyDescent="0.2">
      <c r="A1963" s="5" t="s">
        <v>138</v>
      </c>
      <c r="C1963" s="10" t="s">
        <v>5977</v>
      </c>
      <c r="D1963" s="10" t="s">
        <v>7108</v>
      </c>
      <c r="F1963" s="10" t="s">
        <v>7109</v>
      </c>
      <c r="G1963" s="10" t="s">
        <v>7110</v>
      </c>
      <c r="M1963" s="9">
        <v>49.454444440000003</v>
      </c>
      <c r="N1963" s="9">
        <v>-123.0316667</v>
      </c>
      <c r="O1963" s="9" t="s">
        <v>51</v>
      </c>
      <c r="P1963" s="9" t="s">
        <v>7111</v>
      </c>
      <c r="Q1963" s="20">
        <v>5</v>
      </c>
      <c r="R1963" s="9" t="s">
        <v>7112</v>
      </c>
      <c r="S1963" s="9" t="s">
        <v>3115</v>
      </c>
      <c r="T1963" s="9">
        <v>900</v>
      </c>
      <c r="U1963" s="9"/>
      <c r="V1963" s="9" t="s">
        <v>7113</v>
      </c>
      <c r="W1963" s="9">
        <v>1993</v>
      </c>
      <c r="X1963" s="9" t="s">
        <v>3117</v>
      </c>
      <c r="Y1963" s="9" t="s">
        <v>3118</v>
      </c>
      <c r="Z1963" s="9"/>
      <c r="AA1963" s="9"/>
      <c r="AB1963" s="9"/>
      <c r="AC1963" s="9" t="s">
        <v>55</v>
      </c>
      <c r="AD1963" s="9" t="s">
        <v>56</v>
      </c>
      <c r="AE1963" s="9" t="s">
        <v>7114</v>
      </c>
      <c r="AF1963" s="9" t="s">
        <v>58</v>
      </c>
      <c r="AG1963" s="9" t="s">
        <v>7115</v>
      </c>
      <c r="AH1963" s="9" t="s">
        <v>3119</v>
      </c>
      <c r="AI1963" s="9"/>
      <c r="AJ1963" s="9" t="s">
        <v>7116</v>
      </c>
      <c r="AK1963" s="9"/>
      <c r="AL1963" s="9"/>
      <c r="AM1963" s="9"/>
    </row>
    <row r="1964" spans="1:39" ht="14.25" customHeight="1" x14ac:dyDescent="0.2">
      <c r="A1964" s="5" t="s">
        <v>138</v>
      </c>
      <c r="C1964" s="10" t="s">
        <v>5977</v>
      </c>
      <c r="D1964" s="10" t="s">
        <v>7117</v>
      </c>
      <c r="F1964" s="10" t="s">
        <v>7118</v>
      </c>
      <c r="G1964" s="10" t="s">
        <v>7119</v>
      </c>
      <c r="M1964" s="9">
        <v>49.53611111</v>
      </c>
      <c r="N1964" s="9">
        <v>-123.05</v>
      </c>
      <c r="O1964" s="9" t="s">
        <v>51</v>
      </c>
      <c r="P1964" s="9" t="s">
        <v>7120</v>
      </c>
      <c r="Q1964" s="20">
        <v>6</v>
      </c>
      <c r="R1964" s="9" t="s">
        <v>7121</v>
      </c>
      <c r="S1964" s="9" t="s">
        <v>3115</v>
      </c>
      <c r="T1964" s="9">
        <v>1180</v>
      </c>
      <c r="U1964" s="9"/>
      <c r="V1964" s="9" t="s">
        <v>7122</v>
      </c>
      <c r="W1964" s="9">
        <v>1972</v>
      </c>
      <c r="X1964" s="9" t="s">
        <v>3117</v>
      </c>
      <c r="Y1964" s="9" t="s">
        <v>3118</v>
      </c>
      <c r="Z1964" s="9"/>
      <c r="AA1964" s="9"/>
      <c r="AB1964" s="9"/>
      <c r="AC1964" s="9" t="s">
        <v>55</v>
      </c>
      <c r="AD1964" s="9" t="s">
        <v>56</v>
      </c>
      <c r="AE1964" s="9" t="s">
        <v>7097</v>
      </c>
      <c r="AF1964" s="9" t="s">
        <v>58</v>
      </c>
      <c r="AG1964" s="9" t="s">
        <v>7115</v>
      </c>
      <c r="AH1964" s="9" t="s">
        <v>3119</v>
      </c>
      <c r="AI1964" s="9"/>
      <c r="AJ1964" s="9" t="s">
        <v>59</v>
      </c>
      <c r="AK1964" s="9" t="s">
        <v>73</v>
      </c>
      <c r="AL1964" s="9"/>
      <c r="AM1964" s="9"/>
    </row>
    <row r="1965" spans="1:39" ht="14.25" customHeight="1" x14ac:dyDescent="0.2">
      <c r="A1965" s="5" t="s">
        <v>138</v>
      </c>
      <c r="C1965" s="10" t="s">
        <v>5977</v>
      </c>
      <c r="D1965" s="10" t="s">
        <v>7123</v>
      </c>
      <c r="F1965" s="10" t="s">
        <v>7124</v>
      </c>
      <c r="G1965" s="10" t="s">
        <v>7125</v>
      </c>
      <c r="M1965" s="9">
        <v>49.592329999999997</v>
      </c>
      <c r="N1965" s="9">
        <v>-123.04145</v>
      </c>
      <c r="O1965" s="9" t="s">
        <v>51</v>
      </c>
      <c r="P1965" s="9" t="s">
        <v>7126</v>
      </c>
      <c r="Q1965" s="20">
        <v>6</v>
      </c>
      <c r="R1965" s="9" t="s">
        <v>7127</v>
      </c>
      <c r="S1965" s="9" t="s">
        <v>3115</v>
      </c>
      <c r="T1965" s="9">
        <v>1065</v>
      </c>
      <c r="U1965" s="9"/>
      <c r="V1965" s="9" t="s">
        <v>7128</v>
      </c>
      <c r="W1965" s="9">
        <v>2019</v>
      </c>
      <c r="X1965" s="9" t="s">
        <v>3117</v>
      </c>
      <c r="Y1965" s="9" t="s">
        <v>3118</v>
      </c>
      <c r="Z1965" s="9"/>
      <c r="AA1965" s="9"/>
      <c r="AB1965" s="9"/>
      <c r="AC1965" s="9" t="s">
        <v>55</v>
      </c>
      <c r="AD1965" s="9" t="s">
        <v>56</v>
      </c>
      <c r="AE1965" s="9"/>
      <c r="AF1965" s="9" t="s">
        <v>58</v>
      </c>
      <c r="AG1965" s="9"/>
      <c r="AH1965" s="9" t="s">
        <v>3119</v>
      </c>
      <c r="AI1965" s="9"/>
      <c r="AJ1965" s="9" t="s">
        <v>7116</v>
      </c>
      <c r="AK1965" s="9"/>
      <c r="AL1965" s="9"/>
      <c r="AM1965" s="9"/>
    </row>
    <row r="1966" spans="1:39" ht="14.25" customHeight="1" x14ac:dyDescent="0.2">
      <c r="A1966" s="5" t="s">
        <v>138</v>
      </c>
      <c r="C1966" s="10" t="s">
        <v>5977</v>
      </c>
      <c r="D1966" s="10" t="s">
        <v>7129</v>
      </c>
      <c r="F1966" s="10" t="s">
        <v>7130</v>
      </c>
      <c r="G1966" s="10" t="s">
        <v>7131</v>
      </c>
      <c r="M1966" s="9">
        <v>49.380833330000002</v>
      </c>
      <c r="N1966" s="9">
        <v>-122.77666670000001</v>
      </c>
      <c r="O1966" s="9" t="s">
        <v>51</v>
      </c>
      <c r="P1966" s="9" t="s">
        <v>7132</v>
      </c>
      <c r="Q1966" s="20">
        <v>2</v>
      </c>
      <c r="R1966" s="9" t="s">
        <v>7133</v>
      </c>
      <c r="S1966" s="9" t="s">
        <v>3115</v>
      </c>
      <c r="T1966" s="9">
        <v>150</v>
      </c>
      <c r="U1966" s="9"/>
      <c r="V1966" s="9" t="s">
        <v>7134</v>
      </c>
      <c r="W1966" s="9">
        <v>2000</v>
      </c>
      <c r="X1966" s="9" t="s">
        <v>3117</v>
      </c>
      <c r="Y1966" s="9" t="s">
        <v>3118</v>
      </c>
      <c r="Z1966" s="9"/>
      <c r="AA1966" s="9"/>
      <c r="AB1966" s="9"/>
      <c r="AC1966" s="9"/>
      <c r="AD1966" s="9"/>
      <c r="AE1966" s="9" t="s">
        <v>7097</v>
      </c>
      <c r="AF1966" s="9"/>
      <c r="AG1966" s="9"/>
      <c r="AH1966" s="9"/>
      <c r="AI1966" s="9"/>
      <c r="AJ1966" s="9"/>
      <c r="AK1966" s="9"/>
      <c r="AL1966" s="9"/>
      <c r="AM1966" s="9" t="s">
        <v>7090</v>
      </c>
    </row>
    <row r="1967" spans="1:39" ht="14.25" customHeight="1" x14ac:dyDescent="0.2">
      <c r="A1967" s="4" t="s">
        <v>7135</v>
      </c>
      <c r="C1967" s="10" t="s">
        <v>7136</v>
      </c>
      <c r="D1967" s="8" t="str">
        <f t="shared" ref="D1967:D1969" si="16">CONCATENATE("'-&gt; ",P1967)</f>
        <v>'-&gt; AtlSch</v>
      </c>
      <c r="F1967" s="8" t="str">
        <f t="shared" ref="F1967:F1969" si="17">CONCATENATE("'-&gt; ",R1967)</f>
        <v>'-&gt; Atlin School</v>
      </c>
      <c r="G1967" s="8" t="str">
        <f t="shared" ref="G1967:G1969" si="18">CONCATENATE("'-&gt; ",-1*N1967," W, ",M1967," N, Elev. ",U1967," m")</f>
        <v>'-&gt; 133.687 W, 59.574 N, Elev. 705 m</v>
      </c>
      <c r="M1967" s="9">
        <v>59.573999999999998</v>
      </c>
      <c r="N1967" s="9">
        <v>-133.68700000000001</v>
      </c>
      <c r="O1967" s="9" t="s">
        <v>1577</v>
      </c>
      <c r="P1967" s="14" t="s">
        <v>7137</v>
      </c>
      <c r="Q1967" s="20">
        <v>1</v>
      </c>
      <c r="R1967" s="9" t="s">
        <v>7138</v>
      </c>
      <c r="S1967" s="11" t="str">
        <f t="shared" ref="S1967:S1994" si="19">UPPER(R1967)</f>
        <v>ATLIN SCHOOL</v>
      </c>
      <c r="T1967" s="9" t="s">
        <v>4344</v>
      </c>
      <c r="U1967" s="9">
        <v>705</v>
      </c>
      <c r="V1967" s="9"/>
      <c r="W1967" s="9"/>
      <c r="X1967" s="58" t="s">
        <v>7139</v>
      </c>
      <c r="Y1967" s="9" t="s">
        <v>7140</v>
      </c>
    </row>
    <row r="1968" spans="1:39" ht="14.25" customHeight="1" x14ac:dyDescent="0.2">
      <c r="A1968" s="4" t="s">
        <v>7135</v>
      </c>
      <c r="C1968" s="10" t="s">
        <v>7136</v>
      </c>
      <c r="D1968" s="8" t="str">
        <f t="shared" si="16"/>
        <v>'-&gt; CasWx</v>
      </c>
      <c r="F1968" s="8" t="str">
        <f t="shared" si="17"/>
        <v>'-&gt; Cassiar</v>
      </c>
      <c r="G1968" s="8" t="str">
        <f t="shared" si="18"/>
        <v>'-&gt; 129.86 W, 59.251 N, Elev. 1577 m</v>
      </c>
      <c r="M1968" s="9">
        <v>59.250999999999998</v>
      </c>
      <c r="N1968" s="9">
        <v>-129.86000000000001</v>
      </c>
      <c r="O1968" s="9" t="s">
        <v>1577</v>
      </c>
      <c r="P1968" s="9" t="s">
        <v>7141</v>
      </c>
      <c r="Q1968" s="20">
        <v>7</v>
      </c>
      <c r="R1968" s="9" t="s">
        <v>7142</v>
      </c>
      <c r="S1968" s="11" t="str">
        <f t="shared" si="19"/>
        <v>CASSIAR</v>
      </c>
      <c r="T1968" s="9" t="s">
        <v>4344</v>
      </c>
      <c r="U1968" s="9">
        <v>1577</v>
      </c>
      <c r="V1968" s="9"/>
      <c r="W1968" s="9" t="s">
        <v>7143</v>
      </c>
      <c r="X1968" s="58" t="s">
        <v>7144</v>
      </c>
      <c r="Y1968" s="9" t="s">
        <v>7140</v>
      </c>
    </row>
    <row r="1969" spans="1:25" ht="14.25" customHeight="1" x14ac:dyDescent="0.2">
      <c r="A1969" s="4" t="s">
        <v>7135</v>
      </c>
      <c r="C1969" s="10" t="s">
        <v>7136</v>
      </c>
      <c r="D1969" s="8" t="str">
        <f t="shared" si="16"/>
        <v>'-&gt; Mon1</v>
      </c>
      <c r="F1969" s="8" t="str">
        <f t="shared" si="17"/>
        <v>'-&gt; Monarch-1</v>
      </c>
      <c r="G1969" s="8" t="str">
        <f t="shared" si="18"/>
        <v>'-&gt; 133.617 W, 59.544 N, Elev. 1410 m</v>
      </c>
      <c r="M1969" s="9">
        <v>59.543999999999997</v>
      </c>
      <c r="N1969" s="9">
        <v>-133.61699999999999</v>
      </c>
      <c r="O1969" s="9" t="s">
        <v>1577</v>
      </c>
      <c r="P1969" s="9" t="s">
        <v>7145</v>
      </c>
      <c r="Q1969" s="20">
        <v>5</v>
      </c>
      <c r="R1969" s="9" t="s">
        <v>7146</v>
      </c>
      <c r="S1969" s="11" t="str">
        <f t="shared" si="19"/>
        <v>MONARCH-1</v>
      </c>
      <c r="T1969" s="9" t="s">
        <v>4344</v>
      </c>
      <c r="U1969" s="9">
        <v>1410</v>
      </c>
      <c r="V1969" s="9"/>
      <c r="W1969" s="9" t="s">
        <v>7147</v>
      </c>
      <c r="X1969" s="58" t="s">
        <v>7139</v>
      </c>
      <c r="Y1969" s="9" t="s">
        <v>7140</v>
      </c>
    </row>
    <row r="1970" spans="1:25" ht="14.25" customHeight="1" x14ac:dyDescent="0.2">
      <c r="C1970" s="9"/>
      <c r="M1970" s="102">
        <v>57.686050000000002</v>
      </c>
      <c r="N1970" s="102">
        <v>-130.48871</v>
      </c>
      <c r="O1970" s="102" t="s">
        <v>1577</v>
      </c>
      <c r="P1970" s="102" t="s">
        <v>7148</v>
      </c>
      <c r="Q1970" s="103">
        <v>7</v>
      </c>
      <c r="R1970" s="102" t="s">
        <v>7149</v>
      </c>
      <c r="S1970" s="102" t="str">
        <f t="shared" si="19"/>
        <v>MT. EDZIZA</v>
      </c>
      <c r="T1970" s="102" t="s">
        <v>4344</v>
      </c>
      <c r="U1970" s="102">
        <v>1661</v>
      </c>
      <c r="V1970" s="102"/>
      <c r="W1970" s="102" t="s">
        <v>7150</v>
      </c>
      <c r="X1970" s="104" t="s">
        <v>7151</v>
      </c>
      <c r="Y1970" s="102" t="s">
        <v>7140</v>
      </c>
    </row>
    <row r="1971" spans="1:25" ht="14.25" customHeight="1" x14ac:dyDescent="0.2">
      <c r="A1971" s="4" t="s">
        <v>7135</v>
      </c>
      <c r="C1971" s="10" t="s">
        <v>7136</v>
      </c>
      <c r="D1971" s="8" t="str">
        <f>CONCATENATE("'-&gt; ",P1971)</f>
        <v>'-&gt; NDWx</v>
      </c>
      <c r="F1971" s="8" t="str">
        <f>CONCATENATE("'-&gt; ",R1971)</f>
        <v>'-&gt; Northern Dancer</v>
      </c>
      <c r="G1971" s="8" t="str">
        <f>CONCATENATE("'-&gt; ",-1*N1971," W, ",M1971," N, Elev. ",U1971," m")</f>
        <v>'-&gt; 131.6 W, 60.008 N, Elev. 1628 m</v>
      </c>
      <c r="M1971" s="9">
        <v>60.008000000000003</v>
      </c>
      <c r="N1971" s="9">
        <v>-131.6</v>
      </c>
      <c r="O1971" s="9" t="s">
        <v>1577</v>
      </c>
      <c r="P1971" s="9" t="s">
        <v>7152</v>
      </c>
      <c r="Q1971" s="20">
        <v>7</v>
      </c>
      <c r="R1971" s="9" t="s">
        <v>7153</v>
      </c>
      <c r="S1971" s="11" t="str">
        <f t="shared" si="19"/>
        <v>NORTHERN DANCER</v>
      </c>
      <c r="T1971" s="9" t="s">
        <v>4344</v>
      </c>
      <c r="U1971" s="9">
        <v>1628</v>
      </c>
      <c r="V1971" s="9"/>
      <c r="W1971" s="9" t="s">
        <v>7154</v>
      </c>
      <c r="X1971" s="58" t="s">
        <v>7155</v>
      </c>
      <c r="Y1971" s="9" t="s">
        <v>7140</v>
      </c>
    </row>
    <row r="1972" spans="1:25" ht="14.25" customHeight="1" x14ac:dyDescent="0.2">
      <c r="C1972" s="9"/>
      <c r="M1972" s="102">
        <v>50.593600000000002</v>
      </c>
      <c r="N1972" s="102">
        <v>-119.9211</v>
      </c>
      <c r="O1972" s="102" t="s">
        <v>142</v>
      </c>
      <c r="P1972" s="102" t="s">
        <v>7156</v>
      </c>
      <c r="Q1972" s="103">
        <v>2</v>
      </c>
      <c r="R1972" s="102" t="s">
        <v>7157</v>
      </c>
      <c r="S1972" s="102" t="str">
        <f t="shared" si="19"/>
        <v>DUCK HILL RANCH (IDFXH2)</v>
      </c>
      <c r="T1972" s="102" t="s">
        <v>4344</v>
      </c>
      <c r="U1972" s="102">
        <v>700</v>
      </c>
      <c r="V1972" s="102"/>
      <c r="W1972" s="102" t="s">
        <v>7158</v>
      </c>
      <c r="X1972" s="104" t="s">
        <v>7159</v>
      </c>
      <c r="Y1972" s="102" t="s">
        <v>7160</v>
      </c>
    </row>
    <row r="1973" spans="1:25" ht="14.25" customHeight="1" x14ac:dyDescent="0.2">
      <c r="A1973" s="4" t="s">
        <v>7135</v>
      </c>
      <c r="C1973" s="10" t="s">
        <v>7136</v>
      </c>
      <c r="D1973" s="8" t="str">
        <f t="shared" ref="D1973:D1979" si="20">CONCATENATE("'-&gt; ",P1973)</f>
        <v>'-&gt; Goose</v>
      </c>
      <c r="F1973" s="8" t="str">
        <f t="shared" ref="F1973:F1979" si="21">CONCATENATE("'-&gt; ",R1973)</f>
        <v>'-&gt; Goose Lake Rd</v>
      </c>
      <c r="G1973" s="8" t="str">
        <f t="shared" ref="G1973:G1979" si="22">CONCATENATE("'-&gt; ",-1*N1973," W, ",M1973," N, Elev. ",U1973," m")</f>
        <v>'-&gt; 120.43 W, 50.5626 N, Elev. 1147 m</v>
      </c>
      <c r="M1973" s="9">
        <v>50.562600000000003</v>
      </c>
      <c r="N1973" s="9">
        <v>-120.43</v>
      </c>
      <c r="O1973" s="9" t="s">
        <v>142</v>
      </c>
      <c r="P1973" s="9" t="s">
        <v>7161</v>
      </c>
      <c r="Q1973" s="20">
        <v>3</v>
      </c>
      <c r="R1973" s="9" t="s">
        <v>7162</v>
      </c>
      <c r="S1973" s="11" t="str">
        <f t="shared" si="19"/>
        <v>GOOSE LAKE RD</v>
      </c>
      <c r="T1973" s="9" t="s">
        <v>4344</v>
      </c>
      <c r="U1973" s="9">
        <v>1147</v>
      </c>
      <c r="V1973" s="9"/>
      <c r="W1973" s="9" t="s">
        <v>7163</v>
      </c>
      <c r="X1973" s="58" t="s">
        <v>7164</v>
      </c>
      <c r="Y1973" s="9" t="s">
        <v>7160</v>
      </c>
    </row>
    <row r="1974" spans="1:25" ht="14.25" customHeight="1" x14ac:dyDescent="0.2">
      <c r="A1974" s="4" t="s">
        <v>7135</v>
      </c>
      <c r="C1974" s="10" t="s">
        <v>7136</v>
      </c>
      <c r="D1974" s="8" t="str">
        <f t="shared" si="20"/>
        <v>'-&gt; Isobel</v>
      </c>
      <c r="F1974" s="8" t="str">
        <f t="shared" si="21"/>
        <v>'-&gt; Isobel Lake (IDFxh2)</v>
      </c>
      <c r="G1974" s="8" t="str">
        <f t="shared" si="22"/>
        <v>'-&gt; 120.4231 W, 50.8406 N, Elev. 1030 m</v>
      </c>
      <c r="M1974" s="9">
        <v>50.840600000000002</v>
      </c>
      <c r="N1974" s="9">
        <v>-120.42310000000001</v>
      </c>
      <c r="O1974" s="9" t="s">
        <v>142</v>
      </c>
      <c r="P1974" s="9" t="s">
        <v>7165</v>
      </c>
      <c r="Q1974" s="20">
        <v>3</v>
      </c>
      <c r="R1974" s="9" t="s">
        <v>7166</v>
      </c>
      <c r="S1974" s="11" t="str">
        <f t="shared" si="19"/>
        <v>ISOBEL LAKE (IDFXH2)</v>
      </c>
      <c r="T1974" s="9" t="s">
        <v>4344</v>
      </c>
      <c r="U1974" s="9">
        <v>1030</v>
      </c>
      <c r="V1974" s="9"/>
      <c r="W1974" s="9" t="s">
        <v>7163</v>
      </c>
      <c r="X1974" s="58"/>
      <c r="Y1974" s="9" t="s">
        <v>7160</v>
      </c>
    </row>
    <row r="1975" spans="1:25" ht="14.25" customHeight="1" x14ac:dyDescent="0.2">
      <c r="A1975" s="4" t="s">
        <v>7135</v>
      </c>
      <c r="C1975" s="10" t="s">
        <v>7136</v>
      </c>
      <c r="D1975" s="8" t="str">
        <f t="shared" si="20"/>
        <v>'-&gt; LDBLG</v>
      </c>
      <c r="F1975" s="8" t="str">
        <f t="shared" si="21"/>
        <v>'-&gt; LDB - Lower grassland</v>
      </c>
      <c r="G1975" s="8" t="str">
        <f t="shared" si="22"/>
        <v>'-&gt; 120.4383 W, 50.7285 N, Elev. 572 m</v>
      </c>
      <c r="M1975" s="9">
        <v>50.728499999999997</v>
      </c>
      <c r="N1975" s="9">
        <v>-120.4383</v>
      </c>
      <c r="O1975" s="9" t="s">
        <v>142</v>
      </c>
      <c r="P1975" s="9" t="s">
        <v>7167</v>
      </c>
      <c r="Q1975" s="20">
        <v>1</v>
      </c>
      <c r="R1975" s="9" t="s">
        <v>7168</v>
      </c>
      <c r="S1975" s="11" t="str">
        <f t="shared" si="19"/>
        <v>LDB - LOWER GRASSLAND</v>
      </c>
      <c r="T1975" s="9" t="s">
        <v>4344</v>
      </c>
      <c r="U1975" s="9">
        <v>572</v>
      </c>
      <c r="V1975" s="9"/>
      <c r="W1975" s="9" t="s">
        <v>7169</v>
      </c>
      <c r="X1975" s="58" t="s">
        <v>7170</v>
      </c>
      <c r="Y1975" s="9" t="s">
        <v>7160</v>
      </c>
    </row>
    <row r="1976" spans="1:25" ht="14.25" customHeight="1" x14ac:dyDescent="0.2">
      <c r="A1976" s="4" t="s">
        <v>7135</v>
      </c>
      <c r="C1976" s="10" t="s">
        <v>7136</v>
      </c>
      <c r="D1976" s="8" t="str">
        <f t="shared" si="20"/>
        <v>'-&gt; LDBG1</v>
      </c>
      <c r="F1976" s="8" t="str">
        <f t="shared" si="21"/>
        <v>'-&gt; LDB - LowerUpper grassland</v>
      </c>
      <c r="G1976" s="8" t="str">
        <f t="shared" si="22"/>
        <v>'-&gt; 120.4483 W, 50.7868 N, Elev. 919 m</v>
      </c>
      <c r="M1976" s="9">
        <v>50.786799999999999</v>
      </c>
      <c r="N1976" s="9">
        <v>-120.4483</v>
      </c>
      <c r="O1976" s="9" t="s">
        <v>142</v>
      </c>
      <c r="P1976" s="9" t="s">
        <v>7171</v>
      </c>
      <c r="Q1976" s="20">
        <v>2</v>
      </c>
      <c r="R1976" s="9" t="s">
        <v>7172</v>
      </c>
      <c r="S1976" s="11" t="str">
        <f t="shared" si="19"/>
        <v>LDB - LOWERUPPER GRASSLAND</v>
      </c>
      <c r="T1976" s="9" t="s">
        <v>4344</v>
      </c>
      <c r="U1976" s="9">
        <v>919</v>
      </c>
      <c r="V1976" s="9"/>
      <c r="W1976" s="9" t="s">
        <v>7169</v>
      </c>
      <c r="X1976" s="58" t="s">
        <v>7170</v>
      </c>
      <c r="Y1976" s="9" t="s">
        <v>7160</v>
      </c>
    </row>
    <row r="1977" spans="1:25" ht="14.25" customHeight="1" x14ac:dyDescent="0.2">
      <c r="A1977" s="4" t="s">
        <v>7135</v>
      </c>
      <c r="C1977" s="10" t="s">
        <v>7136</v>
      </c>
      <c r="D1977" s="8" t="str">
        <f t="shared" si="20"/>
        <v>'-&gt; LDBMG</v>
      </c>
      <c r="F1977" s="8" t="str">
        <f t="shared" si="21"/>
        <v>'-&gt; LDB - Middle grassland</v>
      </c>
      <c r="G1977" s="8" t="str">
        <f t="shared" si="22"/>
        <v>'-&gt; 120.4158 W, 50.7533 N, Elev. 693 m</v>
      </c>
      <c r="M1977" s="9">
        <v>50.753300000000003</v>
      </c>
      <c r="N1977" s="9">
        <v>-120.4158</v>
      </c>
      <c r="O1977" s="9" t="s">
        <v>142</v>
      </c>
      <c r="P1977" s="9" t="s">
        <v>7173</v>
      </c>
      <c r="Q1977" s="20">
        <v>2</v>
      </c>
      <c r="R1977" s="9" t="s">
        <v>7174</v>
      </c>
      <c r="S1977" s="11" t="str">
        <f t="shared" si="19"/>
        <v>LDB - MIDDLE GRASSLAND</v>
      </c>
      <c r="T1977" s="9" t="s">
        <v>4344</v>
      </c>
      <c r="U1977" s="9">
        <v>693</v>
      </c>
      <c r="V1977" s="9"/>
      <c r="W1977" s="9" t="s">
        <v>7169</v>
      </c>
      <c r="X1977" s="58" t="s">
        <v>7170</v>
      </c>
      <c r="Y1977" s="9" t="s">
        <v>7160</v>
      </c>
    </row>
    <row r="1978" spans="1:25" ht="14.25" customHeight="1" x14ac:dyDescent="0.2">
      <c r="A1978" s="4" t="s">
        <v>7135</v>
      </c>
      <c r="C1978" s="10" t="s">
        <v>7136</v>
      </c>
      <c r="D1978" s="8" t="str">
        <f t="shared" si="20"/>
        <v>'-&gt; LDBUG</v>
      </c>
      <c r="F1978" s="8" t="str">
        <f t="shared" si="21"/>
        <v>'-&gt; LDB - Upper grassland</v>
      </c>
      <c r="G1978" s="8" t="str">
        <f t="shared" si="22"/>
        <v>'-&gt; 120.4383 W, 50.7285 N, Elev. 978 m</v>
      </c>
      <c r="M1978" s="9">
        <v>50.728499999999997</v>
      </c>
      <c r="N1978" s="9">
        <v>-120.4383</v>
      </c>
      <c r="O1978" s="9" t="s">
        <v>142</v>
      </c>
      <c r="P1978" s="9" t="s">
        <v>7175</v>
      </c>
      <c r="Q1978" s="20">
        <v>2</v>
      </c>
      <c r="R1978" s="9" t="s">
        <v>7176</v>
      </c>
      <c r="S1978" s="11" t="str">
        <f t="shared" si="19"/>
        <v>LDB - UPPER GRASSLAND</v>
      </c>
      <c r="T1978" s="9" t="s">
        <v>4344</v>
      </c>
      <c r="U1978" s="9">
        <v>978</v>
      </c>
      <c r="V1978" s="9"/>
      <c r="W1978" s="9" t="s">
        <v>7169</v>
      </c>
      <c r="X1978" s="58" t="s">
        <v>7170</v>
      </c>
      <c r="Y1978" s="9" t="s">
        <v>7160</v>
      </c>
    </row>
    <row r="1979" spans="1:25" ht="14.25" customHeight="1" x14ac:dyDescent="0.2">
      <c r="A1979" s="4" t="s">
        <v>7135</v>
      </c>
      <c r="C1979" s="10" t="s">
        <v>7136</v>
      </c>
      <c r="D1979" s="8" t="str">
        <f t="shared" si="20"/>
        <v>'-&gt; LDBG2</v>
      </c>
      <c r="F1979" s="8" t="str">
        <f t="shared" si="21"/>
        <v>'-&gt; LDB - UpperMiddle grassland</v>
      </c>
      <c r="G1979" s="8" t="str">
        <f t="shared" si="22"/>
        <v>'-&gt; 120.435 W, 50.7613 N, Elev. 767 m</v>
      </c>
      <c r="M1979" s="9">
        <v>50.761299999999999</v>
      </c>
      <c r="N1979" s="9">
        <v>-120.435</v>
      </c>
      <c r="O1979" s="9" t="s">
        <v>142</v>
      </c>
      <c r="P1979" s="9" t="s">
        <v>7177</v>
      </c>
      <c r="Q1979" s="20">
        <v>2</v>
      </c>
      <c r="R1979" s="9" t="s">
        <v>7178</v>
      </c>
      <c r="S1979" s="11" t="str">
        <f t="shared" si="19"/>
        <v>LDB - UPPERMIDDLE GRASSLAND</v>
      </c>
      <c r="T1979" s="9" t="s">
        <v>4344</v>
      </c>
      <c r="U1979" s="9">
        <v>767</v>
      </c>
      <c r="V1979" s="9"/>
      <c r="W1979" s="9" t="s">
        <v>7169</v>
      </c>
      <c r="X1979" s="58" t="s">
        <v>7170</v>
      </c>
      <c r="Y1979" s="9" t="s">
        <v>7160</v>
      </c>
    </row>
    <row r="1980" spans="1:25" ht="14.25" customHeight="1" x14ac:dyDescent="0.2">
      <c r="A1980" s="4" t="s">
        <v>4338</v>
      </c>
      <c r="B1980" s="4">
        <v>11</v>
      </c>
      <c r="C1980" s="4" t="s">
        <v>7700</v>
      </c>
      <c r="D1980" s="4" t="s">
        <v>7180</v>
      </c>
      <c r="E1980" s="4">
        <v>13043</v>
      </c>
      <c r="F1980" s="4" t="s">
        <v>7180</v>
      </c>
      <c r="G1980" s="8" t="s">
        <v>7181</v>
      </c>
      <c r="H1980" s="4" t="s">
        <v>84</v>
      </c>
      <c r="I1980" s="4" t="s">
        <v>49</v>
      </c>
      <c r="K1980" s="4">
        <v>1</v>
      </c>
      <c r="L1980" s="4">
        <v>14975</v>
      </c>
      <c r="M1980" s="9">
        <v>49.6233</v>
      </c>
      <c r="N1980" s="9">
        <v>-117.0436</v>
      </c>
      <c r="O1980" s="9" t="s">
        <v>170</v>
      </c>
      <c r="P1980" s="9" t="s">
        <v>7182</v>
      </c>
      <c r="Q1980" s="20">
        <v>1</v>
      </c>
      <c r="R1980" s="9" t="s">
        <v>7180</v>
      </c>
      <c r="S1980" s="11" t="str">
        <f t="shared" si="19"/>
        <v>WADF1 SEEDTREE</v>
      </c>
      <c r="T1980" s="9" t="s">
        <v>4344</v>
      </c>
      <c r="U1980" s="9">
        <v>815</v>
      </c>
      <c r="V1980" s="9" t="s">
        <v>645</v>
      </c>
      <c r="W1980" s="9" t="s">
        <v>7183</v>
      </c>
      <c r="X1980" s="58" t="s">
        <v>7184</v>
      </c>
      <c r="Y1980" s="9" t="s">
        <v>7185</v>
      </c>
    </row>
    <row r="1981" spans="1:25" ht="14.25" customHeight="1" x14ac:dyDescent="0.2">
      <c r="A1981" s="4" t="s">
        <v>4338</v>
      </c>
      <c r="B1981" s="4">
        <v>11</v>
      </c>
      <c r="C1981" s="4" t="s">
        <v>7700</v>
      </c>
      <c r="D1981" s="4" t="s">
        <v>7186</v>
      </c>
      <c r="E1981" s="4">
        <v>13044</v>
      </c>
      <c r="F1981" s="4" t="s">
        <v>7186</v>
      </c>
      <c r="G1981" s="8" t="s">
        <v>7187</v>
      </c>
      <c r="H1981" s="4" t="s">
        <v>7188</v>
      </c>
      <c r="I1981" s="4" t="s">
        <v>49</v>
      </c>
      <c r="J1981" s="4" t="s">
        <v>726</v>
      </c>
      <c r="K1981" s="4">
        <v>1</v>
      </c>
      <c r="L1981" s="4">
        <v>14976</v>
      </c>
      <c r="M1981" s="9">
        <v>49.644500000000001</v>
      </c>
      <c r="N1981" s="9">
        <v>-117.0626</v>
      </c>
      <c r="O1981" s="9" t="s">
        <v>170</v>
      </c>
      <c r="P1981" s="9" t="s">
        <v>7189</v>
      </c>
      <c r="Q1981" s="20">
        <v>3</v>
      </c>
      <c r="R1981" s="9" t="s">
        <v>7186</v>
      </c>
      <c r="S1981" s="11" t="str">
        <f t="shared" si="19"/>
        <v>WADF2 BURN</v>
      </c>
      <c r="T1981" s="9" t="s">
        <v>4344</v>
      </c>
      <c r="U1981" s="9">
        <v>1270</v>
      </c>
      <c r="V1981" s="9" t="s">
        <v>645</v>
      </c>
      <c r="W1981" s="9" t="s">
        <v>7190</v>
      </c>
      <c r="X1981" s="58" t="s">
        <v>7184</v>
      </c>
      <c r="Y1981" s="9" t="s">
        <v>7185</v>
      </c>
    </row>
    <row r="1982" spans="1:25" ht="14.25" customHeight="1" x14ac:dyDescent="0.2">
      <c r="A1982" s="4" t="s">
        <v>4338</v>
      </c>
      <c r="B1982" s="4">
        <v>11</v>
      </c>
      <c r="C1982" s="4" t="s">
        <v>7700</v>
      </c>
      <c r="D1982" s="4" t="s">
        <v>7191</v>
      </c>
      <c r="E1982" s="4">
        <v>13045</v>
      </c>
      <c r="F1982" s="4" t="s">
        <v>7191</v>
      </c>
      <c r="G1982" s="8" t="s">
        <v>7192</v>
      </c>
      <c r="H1982" s="4" t="s">
        <v>84</v>
      </c>
      <c r="I1982" s="4" t="s">
        <v>49</v>
      </c>
      <c r="K1982" s="4">
        <v>1</v>
      </c>
      <c r="L1982" s="4">
        <v>14977</v>
      </c>
      <c r="M1982" s="9">
        <v>49.6693</v>
      </c>
      <c r="N1982" s="9">
        <v>-117.0643</v>
      </c>
      <c r="O1982" s="9" t="s">
        <v>170</v>
      </c>
      <c r="P1982" s="9" t="s">
        <v>7193</v>
      </c>
      <c r="Q1982" s="20">
        <v>5</v>
      </c>
      <c r="R1982" s="9" t="s">
        <v>7191</v>
      </c>
      <c r="S1982" s="11" t="str">
        <f t="shared" si="19"/>
        <v>WADF4 CABIN</v>
      </c>
      <c r="T1982" s="9" t="s">
        <v>4344</v>
      </c>
      <c r="U1982" s="9">
        <v>1715</v>
      </c>
      <c r="V1982" s="9" t="s">
        <v>645</v>
      </c>
      <c r="W1982" s="9" t="s">
        <v>7194</v>
      </c>
      <c r="X1982" s="58" t="s">
        <v>7184</v>
      </c>
      <c r="Y1982" s="9" t="s">
        <v>7185</v>
      </c>
    </row>
    <row r="1983" spans="1:25" ht="14.25" customHeight="1" x14ac:dyDescent="0.2">
      <c r="A1983" s="4" t="s">
        <v>4338</v>
      </c>
      <c r="B1983" s="4">
        <v>11</v>
      </c>
      <c r="C1983" s="4" t="s">
        <v>7700</v>
      </c>
      <c r="D1983" s="4" t="s">
        <v>7195</v>
      </c>
      <c r="E1983" s="4">
        <v>13046</v>
      </c>
      <c r="F1983" s="4" t="s">
        <v>7195</v>
      </c>
      <c r="G1983" s="8" t="s">
        <v>7196</v>
      </c>
      <c r="H1983" s="4" t="s">
        <v>84</v>
      </c>
      <c r="I1983" s="4" t="s">
        <v>49</v>
      </c>
      <c r="K1983" s="4">
        <v>1</v>
      </c>
      <c r="L1983" s="4">
        <v>14978</v>
      </c>
      <c r="M1983" s="9">
        <v>49.69</v>
      </c>
      <c r="N1983" s="9">
        <v>-117.0865</v>
      </c>
      <c r="O1983" s="9" t="s">
        <v>170</v>
      </c>
      <c r="P1983" s="9" t="s">
        <v>7197</v>
      </c>
      <c r="Q1983" s="20">
        <v>7</v>
      </c>
      <c r="R1983" s="9" t="s">
        <v>7195</v>
      </c>
      <c r="S1983" s="11" t="str">
        <f t="shared" si="19"/>
        <v>WADF5 ALPINE</v>
      </c>
      <c r="T1983" s="9" t="s">
        <v>4344</v>
      </c>
      <c r="U1983" s="9">
        <v>2085</v>
      </c>
      <c r="V1983" s="9" t="s">
        <v>645</v>
      </c>
      <c r="W1983" s="9" t="s">
        <v>7198</v>
      </c>
      <c r="X1983" s="58" t="s">
        <v>7184</v>
      </c>
      <c r="Y1983" s="9" t="s">
        <v>7185</v>
      </c>
    </row>
    <row r="1984" spans="1:25" ht="14.25" customHeight="1" x14ac:dyDescent="0.2">
      <c r="B1984" s="4">
        <v>11</v>
      </c>
      <c r="C1984" s="4" t="s">
        <v>7700</v>
      </c>
      <c r="D1984" s="4" t="s">
        <v>7199</v>
      </c>
      <c r="E1984" s="4">
        <v>13047</v>
      </c>
      <c r="F1984" s="4" t="s">
        <v>7199</v>
      </c>
      <c r="G1984" s="4" t="s">
        <v>7200</v>
      </c>
      <c r="H1984" s="4" t="s">
        <v>84</v>
      </c>
      <c r="I1984" s="4" t="s">
        <v>49</v>
      </c>
      <c r="K1984" s="4">
        <v>1</v>
      </c>
      <c r="L1984" s="4">
        <v>14979</v>
      </c>
      <c r="M1984" s="9">
        <v>49.771599999999999</v>
      </c>
      <c r="N1984" s="9">
        <v>-117.1949</v>
      </c>
      <c r="O1984" s="9" t="s">
        <v>170</v>
      </c>
      <c r="P1984" s="9" t="s">
        <v>7201</v>
      </c>
      <c r="Q1984" s="20">
        <v>7</v>
      </c>
      <c r="R1984" s="9" t="s">
        <v>7199</v>
      </c>
      <c r="S1984" s="11" t="str">
        <f t="shared" si="19"/>
        <v>WADF7 KOKANEE</v>
      </c>
      <c r="T1984" s="9" t="s">
        <v>4344</v>
      </c>
      <c r="U1984" s="9">
        <v>1970</v>
      </c>
      <c r="V1984" s="9" t="s">
        <v>645</v>
      </c>
      <c r="W1984" s="9" t="s">
        <v>7202</v>
      </c>
      <c r="X1984" s="58" t="s">
        <v>7184</v>
      </c>
      <c r="Y1984" s="9" t="s">
        <v>7185</v>
      </c>
    </row>
    <row r="1985" spans="1:25" ht="14.25" customHeight="1" x14ac:dyDescent="0.2">
      <c r="A1985" s="4" t="s">
        <v>7135</v>
      </c>
      <c r="C1985" s="10" t="s">
        <v>7136</v>
      </c>
      <c r="D1985" s="8" t="str">
        <f t="shared" ref="D1985:D1994" si="23">CONCATENATE("'-&gt; ",P1985)</f>
        <v>'-&gt; Arrow</v>
      </c>
      <c r="F1985" s="8" t="str">
        <f t="shared" ref="F1985:F1994" si="24">CONCATENATE("'-&gt; ",R1985)</f>
        <v>'-&gt; Arrowstone</v>
      </c>
      <c r="G1985" s="8" t="str">
        <f t="shared" ref="G1985:G1994" si="25">CONCATENATE("'-&gt; ",-1*N1985," W, ",M1985," N, Elev. ",U1985," m")</f>
        <v>'-&gt; 120.301383 W, 50.906011 N, Elev. 1575 m</v>
      </c>
      <c r="M1985" s="9">
        <v>50.906010999999999</v>
      </c>
      <c r="N1985" s="9">
        <v>-120.301383</v>
      </c>
      <c r="O1985" s="9" t="s">
        <v>142</v>
      </c>
      <c r="P1985" s="14" t="s">
        <v>7203</v>
      </c>
      <c r="Q1985" s="20">
        <v>7</v>
      </c>
      <c r="R1985" s="9" t="s">
        <v>7204</v>
      </c>
      <c r="S1985" s="11" t="str">
        <f t="shared" si="19"/>
        <v>ARROWSTONE</v>
      </c>
      <c r="T1985" s="9" t="s">
        <v>4344</v>
      </c>
      <c r="U1985" s="9">
        <v>1575</v>
      </c>
      <c r="V1985" s="9"/>
      <c r="W1985" s="9" t="s">
        <v>7205</v>
      </c>
      <c r="X1985" s="58" t="s">
        <v>7159</v>
      </c>
      <c r="Y1985" s="9" t="s">
        <v>7206</v>
      </c>
    </row>
    <row r="1986" spans="1:25" ht="14.25" customHeight="1" x14ac:dyDescent="0.2">
      <c r="A1986" s="4" t="s">
        <v>7135</v>
      </c>
      <c r="C1986" s="10" t="s">
        <v>7136</v>
      </c>
      <c r="D1986" s="8" t="str">
        <f t="shared" si="23"/>
        <v>'-&gt; Chase Creek</v>
      </c>
      <c r="F1986" s="8" t="str">
        <f t="shared" si="24"/>
        <v>'-&gt; Chase Creek</v>
      </c>
      <c r="G1986" s="8" t="str">
        <f t="shared" si="25"/>
        <v>'-&gt; 119.533333 W, 50.758333 N, Elev. 700 m</v>
      </c>
      <c r="M1986" s="9">
        <v>50.758333</v>
      </c>
      <c r="N1986" s="9">
        <v>-119.533333</v>
      </c>
      <c r="O1986" s="9" t="s">
        <v>142</v>
      </c>
      <c r="P1986" s="9" t="s">
        <v>7207</v>
      </c>
      <c r="Q1986" s="20">
        <v>2</v>
      </c>
      <c r="R1986" s="9" t="s">
        <v>7207</v>
      </c>
      <c r="S1986" s="11" t="str">
        <f t="shared" si="19"/>
        <v>CHASE CREEK</v>
      </c>
      <c r="T1986" s="9" t="s">
        <v>4344</v>
      </c>
      <c r="U1986" s="9">
        <v>700</v>
      </c>
      <c r="V1986" s="9"/>
      <c r="W1986" s="9" t="s">
        <v>7208</v>
      </c>
      <c r="X1986" s="58" t="s">
        <v>7209</v>
      </c>
      <c r="Y1986" s="9" t="s">
        <v>7206</v>
      </c>
    </row>
    <row r="1987" spans="1:25" ht="14.25" customHeight="1" x14ac:dyDescent="0.2">
      <c r="A1987" s="4" t="s">
        <v>7135</v>
      </c>
      <c r="C1987" s="10" t="s">
        <v>7136</v>
      </c>
      <c r="D1987" s="8" t="str">
        <f t="shared" si="23"/>
        <v>'-&gt; WV1</v>
      </c>
      <c r="F1987" s="8" t="str">
        <f t="shared" si="24"/>
        <v>'-&gt; Sicamouse Creek - WV1</v>
      </c>
      <c r="G1987" s="8" t="str">
        <f t="shared" si="25"/>
        <v>'-&gt; 122.718656 W, 53.772719 N, Elev. 1530 m</v>
      </c>
      <c r="M1987" s="9">
        <v>53.772719000000002</v>
      </c>
      <c r="N1987" s="9">
        <v>-122.718656</v>
      </c>
      <c r="O1987" s="9" t="s">
        <v>1290</v>
      </c>
      <c r="P1987" s="9" t="s">
        <v>7210</v>
      </c>
      <c r="Q1987" s="20">
        <v>7</v>
      </c>
      <c r="R1987" s="9" t="s">
        <v>7211</v>
      </c>
      <c r="S1987" s="11" t="str">
        <f t="shared" si="19"/>
        <v>SICAMOUSE CREEK - WV1</v>
      </c>
      <c r="T1987" s="9" t="s">
        <v>4344</v>
      </c>
      <c r="U1987" s="9">
        <v>1530</v>
      </c>
      <c r="V1987" s="9"/>
      <c r="W1987" s="9" t="s">
        <v>7208</v>
      </c>
      <c r="X1987" s="58" t="s">
        <v>7212</v>
      </c>
      <c r="Y1987" s="9" t="s">
        <v>7206</v>
      </c>
    </row>
    <row r="1988" spans="1:25" ht="14.25" customHeight="1" x14ac:dyDescent="0.2">
      <c r="A1988" s="4" t="s">
        <v>7135</v>
      </c>
      <c r="C1988" s="10" t="s">
        <v>7136</v>
      </c>
      <c r="D1988" s="8" t="str">
        <f t="shared" si="23"/>
        <v>'-&gt; PK</v>
      </c>
      <c r="F1988" s="8" t="str">
        <f t="shared" si="24"/>
        <v>'-&gt; Upper Penticton - PK</v>
      </c>
      <c r="G1988" s="8" t="str">
        <f t="shared" si="25"/>
        <v>'-&gt; 119.23359 W, 49.3917 N, Elev. 1628 m</v>
      </c>
      <c r="M1988" s="9">
        <v>49.3917</v>
      </c>
      <c r="N1988" s="9">
        <v>-119.23359000000001</v>
      </c>
      <c r="O1988" s="9" t="s">
        <v>142</v>
      </c>
      <c r="P1988" s="9" t="s">
        <v>7213</v>
      </c>
      <c r="Q1988" s="20">
        <v>7</v>
      </c>
      <c r="R1988" s="9" t="s">
        <v>7214</v>
      </c>
      <c r="S1988" s="11" t="str">
        <f t="shared" si="19"/>
        <v>UPPER PENTICTON - PK</v>
      </c>
      <c r="T1988" s="9" t="s">
        <v>4344</v>
      </c>
      <c r="U1988" s="9">
        <v>1628</v>
      </c>
      <c r="V1988" s="9"/>
      <c r="W1988" s="9" t="s">
        <v>7215</v>
      </c>
      <c r="X1988" s="58" t="s">
        <v>7216</v>
      </c>
      <c r="Y1988" s="9" t="s">
        <v>7206</v>
      </c>
    </row>
    <row r="1989" spans="1:25" ht="14.25" customHeight="1" x14ac:dyDescent="0.2">
      <c r="A1989" s="4" t="s">
        <v>7135</v>
      </c>
      <c r="C1989" s="10" t="s">
        <v>7136</v>
      </c>
      <c r="D1989" s="8" t="str">
        <f t="shared" si="23"/>
        <v>'-&gt; P1</v>
      </c>
      <c r="F1989" s="8" t="str">
        <f t="shared" si="24"/>
        <v>'-&gt; Upper Penticton Creek - P1</v>
      </c>
      <c r="G1989" s="8" t="str">
        <f t="shared" si="25"/>
        <v>'-&gt; 119.398655 W, 49.651744 N, Elev. 1619 m</v>
      </c>
      <c r="M1989" s="9">
        <v>49.651744000000001</v>
      </c>
      <c r="N1989" s="9">
        <v>-119.39865500000001</v>
      </c>
      <c r="O1989" s="9" t="s">
        <v>142</v>
      </c>
      <c r="P1989" s="9" t="s">
        <v>7217</v>
      </c>
      <c r="Q1989" s="20">
        <v>7</v>
      </c>
      <c r="R1989" s="9" t="s">
        <v>7218</v>
      </c>
      <c r="S1989" s="11" t="str">
        <f t="shared" si="19"/>
        <v>UPPER PENTICTON CREEK - P1</v>
      </c>
      <c r="T1989" s="9" t="s">
        <v>4344</v>
      </c>
      <c r="U1989" s="9">
        <v>1619</v>
      </c>
      <c r="V1989" s="9" t="s">
        <v>645</v>
      </c>
      <c r="W1989" s="9" t="s">
        <v>7219</v>
      </c>
      <c r="X1989" s="58" t="s">
        <v>7220</v>
      </c>
      <c r="Y1989" s="9" t="s">
        <v>7206</v>
      </c>
    </row>
    <row r="1990" spans="1:25" ht="14.25" customHeight="1" x14ac:dyDescent="0.2">
      <c r="A1990" s="4" t="s">
        <v>7135</v>
      </c>
      <c r="C1990" s="10" t="s">
        <v>7136</v>
      </c>
      <c r="D1990" s="8" t="str">
        <f t="shared" si="23"/>
        <v>'-&gt; P5</v>
      </c>
      <c r="F1990" s="8" t="str">
        <f t="shared" si="24"/>
        <v>'-&gt; Upper Penticton Creek - P5</v>
      </c>
      <c r="G1990" s="8" t="str">
        <f t="shared" si="25"/>
        <v>'-&gt; 119.403066 W, 49.658049 N, Elev. 1673 m</v>
      </c>
      <c r="M1990" s="9">
        <v>49.658048999999998</v>
      </c>
      <c r="N1990" s="9">
        <v>-119.403066</v>
      </c>
      <c r="O1990" s="9" t="s">
        <v>142</v>
      </c>
      <c r="P1990" s="9" t="s">
        <v>7221</v>
      </c>
      <c r="Q1990" s="20">
        <v>7</v>
      </c>
      <c r="R1990" s="9" t="s">
        <v>7222</v>
      </c>
      <c r="S1990" s="11" t="str">
        <f t="shared" si="19"/>
        <v>UPPER PENTICTON CREEK - P5</v>
      </c>
      <c r="T1990" s="9" t="s">
        <v>4344</v>
      </c>
      <c r="U1990" s="9">
        <v>1673</v>
      </c>
      <c r="V1990" s="9"/>
      <c r="W1990" s="9" t="s">
        <v>7223</v>
      </c>
      <c r="X1990" s="58" t="s">
        <v>7224</v>
      </c>
      <c r="Y1990" s="9" t="s">
        <v>7206</v>
      </c>
    </row>
    <row r="1991" spans="1:25" ht="14.25" customHeight="1" x14ac:dyDescent="0.2">
      <c r="A1991" s="4" t="s">
        <v>7135</v>
      </c>
      <c r="C1991" s="10" t="s">
        <v>7136</v>
      </c>
      <c r="D1991" s="8" t="str">
        <f t="shared" si="23"/>
        <v>'-&gt; PB</v>
      </c>
      <c r="F1991" s="8" t="str">
        <f t="shared" si="24"/>
        <v>'-&gt; Upper Penticton Creek - PB</v>
      </c>
      <c r="G1991" s="8" t="str">
        <f t="shared" si="25"/>
        <v>'-&gt; 119.378929 W, 49.673323 N, Elev. 1885 m</v>
      </c>
      <c r="M1991" s="9">
        <v>49.673323000000003</v>
      </c>
      <c r="N1991" s="9">
        <v>-119.378929</v>
      </c>
      <c r="O1991" s="9" t="s">
        <v>142</v>
      </c>
      <c r="P1991" s="9" t="s">
        <v>7225</v>
      </c>
      <c r="Q1991" s="20">
        <v>8</v>
      </c>
      <c r="R1991" s="9" t="s">
        <v>7226</v>
      </c>
      <c r="S1991" s="11" t="str">
        <f t="shared" si="19"/>
        <v>UPPER PENTICTON CREEK - PB</v>
      </c>
      <c r="T1991" s="9" t="s">
        <v>4344</v>
      </c>
      <c r="U1991" s="9">
        <v>1885</v>
      </c>
      <c r="V1991" s="9" t="s">
        <v>645</v>
      </c>
      <c r="W1991" s="9" t="s">
        <v>7227</v>
      </c>
      <c r="X1991" s="58" t="s">
        <v>7228</v>
      </c>
      <c r="Y1991" s="9" t="s">
        <v>7206</v>
      </c>
    </row>
    <row r="1992" spans="1:25" ht="14.25" customHeight="1" x14ac:dyDescent="0.2">
      <c r="A1992" s="4" t="s">
        <v>7135</v>
      </c>
      <c r="C1992" s="10" t="s">
        <v>7136</v>
      </c>
      <c r="D1992" s="8" t="str">
        <f t="shared" si="23"/>
        <v>'-&gt; PC</v>
      </c>
      <c r="F1992" s="8" t="str">
        <f t="shared" si="24"/>
        <v>'-&gt; Upper Penticton Creek - PC</v>
      </c>
      <c r="G1992" s="8" t="str">
        <f t="shared" si="25"/>
        <v>'-&gt; 119.377021 W, 49.674375 N, Elev. 1917 m</v>
      </c>
      <c r="M1992" s="9">
        <v>49.674374999999998</v>
      </c>
      <c r="N1992" s="9">
        <v>-119.377021</v>
      </c>
      <c r="O1992" s="9" t="s">
        <v>142</v>
      </c>
      <c r="P1992" s="9" t="s">
        <v>7229</v>
      </c>
      <c r="Q1992" s="20">
        <v>8</v>
      </c>
      <c r="R1992" s="9" t="s">
        <v>7230</v>
      </c>
      <c r="S1992" s="11" t="str">
        <f t="shared" si="19"/>
        <v>UPPER PENTICTON CREEK - PC</v>
      </c>
      <c r="T1992" s="9" t="s">
        <v>4344</v>
      </c>
      <c r="U1992" s="9">
        <v>1917</v>
      </c>
      <c r="V1992" s="9"/>
      <c r="W1992" s="9" t="s">
        <v>7231</v>
      </c>
      <c r="X1992" s="58" t="s">
        <v>7232</v>
      </c>
      <c r="Y1992" s="9" t="s">
        <v>7206</v>
      </c>
    </row>
    <row r="1993" spans="1:25" ht="14.25" customHeight="1" x14ac:dyDescent="0.2">
      <c r="A1993" s="4" t="s">
        <v>7135</v>
      </c>
      <c r="C1993" s="10" t="s">
        <v>7136</v>
      </c>
      <c r="D1993" s="8" t="str">
        <f t="shared" si="23"/>
        <v>'-&gt; PJ</v>
      </c>
      <c r="F1993" s="8" t="str">
        <f t="shared" si="24"/>
        <v>'-&gt; Upper Penticton Creek - PJ</v>
      </c>
      <c r="G1993" s="8" t="str">
        <f t="shared" si="25"/>
        <v>'-&gt; 119.392864 W, 49.659806 N, Elev. 1677 m</v>
      </c>
      <c r="M1993" s="9">
        <v>49.659806000000003</v>
      </c>
      <c r="N1993" s="9">
        <v>-119.392864</v>
      </c>
      <c r="O1993" s="9" t="s">
        <v>142</v>
      </c>
      <c r="P1993" s="9" t="s">
        <v>7233</v>
      </c>
      <c r="Q1993" s="20">
        <v>7</v>
      </c>
      <c r="R1993" s="9" t="s">
        <v>7234</v>
      </c>
      <c r="S1993" s="11" t="str">
        <f t="shared" si="19"/>
        <v>UPPER PENTICTON CREEK - PJ</v>
      </c>
      <c r="T1993" s="9" t="s">
        <v>4344</v>
      </c>
      <c r="U1993" s="9">
        <v>1677</v>
      </c>
      <c r="V1993" s="9"/>
      <c r="W1993" s="9" t="s">
        <v>7235</v>
      </c>
      <c r="X1993" s="58" t="s">
        <v>7236</v>
      </c>
      <c r="Y1993" s="9" t="s">
        <v>7206</v>
      </c>
    </row>
    <row r="1994" spans="1:25" ht="14.25" customHeight="1" x14ac:dyDescent="0.2">
      <c r="A1994" s="4" t="s">
        <v>7135</v>
      </c>
      <c r="C1994" s="10" t="s">
        <v>7136</v>
      </c>
      <c r="D1994" s="8" t="str">
        <f t="shared" si="23"/>
        <v>'-&gt; PL</v>
      </c>
      <c r="F1994" s="8" t="str">
        <f t="shared" si="24"/>
        <v>'-&gt; Upper Penticton Creek - PL</v>
      </c>
      <c r="G1994" s="8" t="str">
        <f t="shared" si="25"/>
        <v>'-&gt; 119.376919 W, 49.670023 N, Elev. 1853 m</v>
      </c>
      <c r="M1994" s="9">
        <v>49.670023</v>
      </c>
      <c r="N1994" s="9">
        <v>-119.376919</v>
      </c>
      <c r="O1994" s="9" t="s">
        <v>142</v>
      </c>
      <c r="P1994" s="9" t="s">
        <v>7237</v>
      </c>
      <c r="Q1994" s="20">
        <v>8</v>
      </c>
      <c r="R1994" s="9" t="s">
        <v>7238</v>
      </c>
      <c r="S1994" s="11" t="str">
        <f t="shared" si="19"/>
        <v>UPPER PENTICTON CREEK - PL</v>
      </c>
      <c r="T1994" s="9" t="s">
        <v>4344</v>
      </c>
      <c r="U1994" s="9">
        <v>1853</v>
      </c>
      <c r="V1994" s="9"/>
      <c r="W1994" s="9" t="s">
        <v>7227</v>
      </c>
      <c r="X1994" s="58" t="s">
        <v>7239</v>
      </c>
      <c r="Y1994" s="9" t="s">
        <v>7206</v>
      </c>
    </row>
    <row r="1995" spans="1:25" ht="14.25" customHeight="1" x14ac:dyDescent="0.2">
      <c r="B1995" s="4">
        <v>11</v>
      </c>
      <c r="C1995" s="4" t="s">
        <v>7700</v>
      </c>
      <c r="D1995" s="4" t="s">
        <v>7240</v>
      </c>
      <c r="E1995" s="4">
        <v>13048</v>
      </c>
      <c r="F1995" s="4" t="s">
        <v>7240</v>
      </c>
      <c r="G1995" s="4" t="s">
        <v>7241</v>
      </c>
      <c r="H1995" s="4" t="s">
        <v>84</v>
      </c>
      <c r="I1995" s="4" t="s">
        <v>49</v>
      </c>
      <c r="K1995" s="4">
        <v>1</v>
      </c>
      <c r="L1995" s="4">
        <v>14980</v>
      </c>
      <c r="M1995" s="9"/>
      <c r="N1995" s="9"/>
      <c r="O1995" s="9"/>
      <c r="P1995" s="9"/>
      <c r="Q1995" s="20"/>
      <c r="R1995" s="9"/>
      <c r="S1995" s="11"/>
      <c r="T1995" s="9"/>
      <c r="U1995" s="9"/>
      <c r="V1995" s="9"/>
      <c r="W1995" s="9"/>
      <c r="X1995" s="58"/>
      <c r="Y1995" s="9" t="s">
        <v>7185</v>
      </c>
    </row>
    <row r="1996" spans="1:25" ht="14.25" customHeight="1" x14ac:dyDescent="0.2">
      <c r="B1996" s="4">
        <v>11</v>
      </c>
      <c r="C1996" s="4" t="s">
        <v>7700</v>
      </c>
      <c r="D1996" s="4" t="s">
        <v>7242</v>
      </c>
      <c r="E1996" s="4">
        <v>13049</v>
      </c>
      <c r="F1996" s="4" t="s">
        <v>7242</v>
      </c>
      <c r="G1996" s="4" t="s">
        <v>7243</v>
      </c>
      <c r="H1996" s="4" t="s">
        <v>84</v>
      </c>
      <c r="I1996" s="4" t="s">
        <v>49</v>
      </c>
      <c r="K1996" s="4">
        <v>1</v>
      </c>
      <c r="L1996" s="4">
        <v>14981</v>
      </c>
      <c r="M1996" s="9"/>
      <c r="N1996" s="9"/>
      <c r="O1996" s="9"/>
      <c r="P1996" s="9"/>
      <c r="Q1996" s="20"/>
      <c r="R1996" s="9"/>
      <c r="S1996" s="11"/>
      <c r="T1996" s="9"/>
      <c r="U1996" s="9"/>
      <c r="V1996" s="9"/>
      <c r="W1996" s="9"/>
      <c r="X1996" s="58"/>
      <c r="Y1996" s="9" t="s">
        <v>7185</v>
      </c>
    </row>
    <row r="1997" spans="1:25" ht="14.25" customHeight="1" x14ac:dyDescent="0.2">
      <c r="B1997" s="4">
        <v>11</v>
      </c>
      <c r="C1997" s="4" t="s">
        <v>7700</v>
      </c>
      <c r="D1997" s="4" t="s">
        <v>7244</v>
      </c>
      <c r="E1997" s="4">
        <v>13050</v>
      </c>
      <c r="F1997" s="4" t="s">
        <v>7244</v>
      </c>
      <c r="G1997" s="4" t="s">
        <v>7245</v>
      </c>
      <c r="H1997" s="4" t="s">
        <v>84</v>
      </c>
      <c r="I1997" s="4" t="s">
        <v>49</v>
      </c>
      <c r="K1997" s="4">
        <v>1</v>
      </c>
      <c r="L1997" s="4">
        <v>14982</v>
      </c>
      <c r="M1997" s="9"/>
      <c r="N1997" s="9"/>
      <c r="O1997" s="9"/>
      <c r="P1997" s="9"/>
      <c r="Q1997" s="20"/>
      <c r="R1997" s="9"/>
      <c r="S1997" s="11"/>
      <c r="T1997" s="9"/>
      <c r="U1997" s="9"/>
      <c r="V1997" s="9"/>
      <c r="W1997" s="9"/>
      <c r="X1997" s="58"/>
      <c r="Y1997" s="9" t="s">
        <v>7185</v>
      </c>
    </row>
    <row r="1998" spans="1:25" ht="14.25" customHeight="1" x14ac:dyDescent="0.2">
      <c r="B1998" s="4">
        <v>11</v>
      </c>
      <c r="C1998" s="4" t="s">
        <v>7700</v>
      </c>
      <c r="D1998" s="4" t="s">
        <v>7246</v>
      </c>
      <c r="E1998" s="4">
        <v>13182</v>
      </c>
      <c r="F1998" s="4" t="s">
        <v>7247</v>
      </c>
      <c r="G1998" s="4" t="s">
        <v>7248</v>
      </c>
      <c r="H1998" s="4" t="s">
        <v>7249</v>
      </c>
      <c r="I1998" s="4" t="s">
        <v>49</v>
      </c>
      <c r="J1998" s="4" t="s">
        <v>7250</v>
      </c>
      <c r="K1998" s="4">
        <v>1</v>
      </c>
      <c r="L1998" s="4">
        <v>15104</v>
      </c>
      <c r="M1998" s="9">
        <v>54.510444</v>
      </c>
      <c r="N1998" s="9">
        <v>-126.614341</v>
      </c>
      <c r="O1998" s="9" t="s">
        <v>148</v>
      </c>
      <c r="P1998" s="9" t="s">
        <v>7246</v>
      </c>
      <c r="Q1998" s="20">
        <v>4</v>
      </c>
      <c r="R1998" s="9" t="s">
        <v>7247</v>
      </c>
      <c r="S1998" s="11" t="str">
        <f t="shared" ref="S1998:S2067" si="26">UPPER(R1998)</f>
        <v>BARRENWX</v>
      </c>
      <c r="T1998" s="9" t="s">
        <v>4344</v>
      </c>
      <c r="U1998" s="9">
        <v>1051</v>
      </c>
      <c r="V1998" s="9"/>
      <c r="W1998" s="9"/>
      <c r="X1998" s="58" t="s">
        <v>7251</v>
      </c>
      <c r="Y1998" s="9" t="s">
        <v>7252</v>
      </c>
    </row>
    <row r="1999" spans="1:25" ht="14.25" customHeight="1" x14ac:dyDescent="0.2">
      <c r="A1999" s="4" t="s">
        <v>1908</v>
      </c>
      <c r="B1999" s="4">
        <v>11</v>
      </c>
      <c r="C1999" s="4" t="s">
        <v>7700</v>
      </c>
      <c r="D1999" s="4" t="s">
        <v>7253</v>
      </c>
      <c r="E1999" s="4">
        <v>12055</v>
      </c>
      <c r="F1999" s="8" t="s">
        <v>7254</v>
      </c>
      <c r="G1999" s="8" t="s">
        <v>7255</v>
      </c>
      <c r="H1999" s="4" t="s">
        <v>7256</v>
      </c>
      <c r="I1999" s="4" t="s">
        <v>641</v>
      </c>
      <c r="J1999" s="4" t="s">
        <v>7257</v>
      </c>
      <c r="K1999" s="4">
        <v>1</v>
      </c>
      <c r="L1999" s="4">
        <v>14111</v>
      </c>
      <c r="M1999" s="9">
        <v>55.078885</v>
      </c>
      <c r="N1999" s="9">
        <v>-120.352171</v>
      </c>
      <c r="O1999" s="9" t="s">
        <v>153</v>
      </c>
      <c r="P1999" s="9" t="s">
        <v>7253</v>
      </c>
      <c r="Q1999" s="20">
        <v>8</v>
      </c>
      <c r="R1999" s="9" t="s">
        <v>7258</v>
      </c>
      <c r="S1999" s="11" t="str">
        <f t="shared" si="26"/>
        <v>BLACKHAWKWX</v>
      </c>
      <c r="T1999" s="9" t="s">
        <v>4344</v>
      </c>
      <c r="U1999" s="9">
        <v>962</v>
      </c>
      <c r="V1999" s="9"/>
      <c r="W1999" s="9" t="s">
        <v>7259</v>
      </c>
      <c r="X1999" s="58" t="s">
        <v>7260</v>
      </c>
      <c r="Y1999" s="9" t="s">
        <v>7252</v>
      </c>
    </row>
    <row r="2000" spans="1:25" ht="14.25" customHeight="1" x14ac:dyDescent="0.2">
      <c r="A2000" s="4" t="s">
        <v>88</v>
      </c>
      <c r="B2000" s="6">
        <v>11</v>
      </c>
      <c r="C2000" s="4" t="s">
        <v>7700</v>
      </c>
      <c r="D2000" s="4" t="s">
        <v>7261</v>
      </c>
      <c r="E2000" s="4">
        <v>12056</v>
      </c>
      <c r="F2000" s="4" t="s">
        <v>7262</v>
      </c>
      <c r="G2000" s="8" t="s">
        <v>7263</v>
      </c>
      <c r="H2000" s="4" t="s">
        <v>7264</v>
      </c>
      <c r="I2000" s="4" t="s">
        <v>641</v>
      </c>
      <c r="J2000" s="4" t="s">
        <v>7265</v>
      </c>
      <c r="K2000" s="4">
        <v>1</v>
      </c>
      <c r="L2000" s="4">
        <v>14112</v>
      </c>
      <c r="M2000" s="9">
        <v>55.108173000000001</v>
      </c>
      <c r="N2000" s="9">
        <v>-127.37474</v>
      </c>
      <c r="O2000" s="9" t="s">
        <v>51</v>
      </c>
      <c r="P2000" s="9" t="s">
        <v>7266</v>
      </c>
      <c r="Q2000" s="20">
        <v>3</v>
      </c>
      <c r="R2000" s="9" t="s">
        <v>7267</v>
      </c>
      <c r="S2000" s="11" t="str">
        <f t="shared" si="26"/>
        <v>BOULDERWX</v>
      </c>
      <c r="T2000" s="9" t="s">
        <v>4344</v>
      </c>
      <c r="U2000" s="9">
        <v>385</v>
      </c>
      <c r="V2000" s="9"/>
      <c r="W2000" s="9" t="s">
        <v>7268</v>
      </c>
      <c r="X2000" s="58" t="s">
        <v>7269</v>
      </c>
      <c r="Y2000" s="7" t="s">
        <v>7252</v>
      </c>
    </row>
    <row r="2001" spans="1:25" ht="14.25" customHeight="1" x14ac:dyDescent="0.2">
      <c r="A2001" s="4" t="s">
        <v>2037</v>
      </c>
      <c r="B2001" s="6">
        <v>11</v>
      </c>
      <c r="C2001" s="4" t="s">
        <v>7700</v>
      </c>
      <c r="D2001" s="4" t="s">
        <v>7270</v>
      </c>
      <c r="E2001" s="4">
        <v>12438</v>
      </c>
      <c r="F2001" s="8" t="s">
        <v>7271</v>
      </c>
      <c r="G2001" s="4" t="s">
        <v>7272</v>
      </c>
      <c r="H2001" s="4" t="s">
        <v>7273</v>
      </c>
      <c r="I2001" s="4" t="s">
        <v>49</v>
      </c>
      <c r="J2001" s="4" t="s">
        <v>7257</v>
      </c>
      <c r="K2001" s="4">
        <v>1</v>
      </c>
      <c r="L2001" s="4">
        <v>14460</v>
      </c>
      <c r="M2001" s="9">
        <v>53.902110999999998</v>
      </c>
      <c r="N2001" s="9">
        <v>-122.015389</v>
      </c>
      <c r="O2001" s="9" t="s">
        <v>1290</v>
      </c>
      <c r="P2001" s="9" t="s">
        <v>7270</v>
      </c>
      <c r="Q2001" s="20">
        <v>1</v>
      </c>
      <c r="R2001" s="9" t="s">
        <v>7270</v>
      </c>
      <c r="S2001" s="11" t="str">
        <f t="shared" si="26"/>
        <v>BOWRONPIT</v>
      </c>
      <c r="T2001" s="9" t="s">
        <v>4344</v>
      </c>
      <c r="U2001" s="9">
        <v>722</v>
      </c>
      <c r="V2001" s="9"/>
      <c r="W2001" s="9" t="s">
        <v>7274</v>
      </c>
      <c r="X2001" s="58" t="s">
        <v>7275</v>
      </c>
      <c r="Y2001" s="7" t="s">
        <v>7252</v>
      </c>
    </row>
    <row r="2002" spans="1:25" ht="14.25" customHeight="1" x14ac:dyDescent="0.2">
      <c r="A2002" s="4" t="s">
        <v>88</v>
      </c>
      <c r="B2002" s="6">
        <v>11</v>
      </c>
      <c r="C2002" s="4" t="s">
        <v>7700</v>
      </c>
      <c r="D2002" s="4">
        <v>1113694</v>
      </c>
      <c r="E2002" s="4">
        <v>1604</v>
      </c>
      <c r="F2002" s="4" t="s">
        <v>7276</v>
      </c>
      <c r="G2002" s="8" t="s">
        <v>7277</v>
      </c>
      <c r="H2002" s="4" t="s">
        <v>7278</v>
      </c>
      <c r="I2002" s="4" t="s">
        <v>641</v>
      </c>
      <c r="J2002" s="4" t="s">
        <v>7279</v>
      </c>
      <c r="K2002" s="4">
        <v>1</v>
      </c>
      <c r="L2002" s="4">
        <v>2007</v>
      </c>
      <c r="M2002" s="9">
        <v>53.772182999999998</v>
      </c>
      <c r="N2002" s="9">
        <v>-122.72072900000001</v>
      </c>
      <c r="O2002" s="9" t="s">
        <v>1290</v>
      </c>
      <c r="P2002" s="9" t="s">
        <v>7280</v>
      </c>
      <c r="Q2002" s="20">
        <v>1</v>
      </c>
      <c r="R2002" s="9" t="s">
        <v>7276</v>
      </c>
      <c r="S2002" s="11" t="str">
        <f t="shared" si="26"/>
        <v>BULKLEYWX</v>
      </c>
      <c r="T2002" s="9" t="s">
        <v>4344</v>
      </c>
      <c r="U2002" s="9">
        <v>594</v>
      </c>
      <c r="V2002" s="9"/>
      <c r="W2002" s="9" t="s">
        <v>7281</v>
      </c>
      <c r="X2002" s="58" t="s">
        <v>7282</v>
      </c>
      <c r="Y2002" s="7" t="s">
        <v>7252</v>
      </c>
    </row>
    <row r="2003" spans="1:25" ht="14.25" customHeight="1" x14ac:dyDescent="0.2">
      <c r="B2003" s="6">
        <v>11</v>
      </c>
      <c r="C2003" s="4" t="s">
        <v>7700</v>
      </c>
      <c r="D2003" s="4" t="s">
        <v>7283</v>
      </c>
      <c r="E2003" s="4">
        <v>12057</v>
      </c>
      <c r="F2003" s="4" t="s">
        <v>7284</v>
      </c>
      <c r="G2003" s="4" t="s">
        <v>7285</v>
      </c>
      <c r="H2003" s="4" t="s">
        <v>7286</v>
      </c>
      <c r="I2003" s="4" t="s">
        <v>641</v>
      </c>
      <c r="J2003" s="4" t="s">
        <v>7287</v>
      </c>
      <c r="K2003" s="4">
        <v>1</v>
      </c>
      <c r="L2003" s="4">
        <v>14113</v>
      </c>
      <c r="M2003" s="9">
        <v>52.709820000000001</v>
      </c>
      <c r="N2003" s="9">
        <v>-119.19126</v>
      </c>
      <c r="O2003" s="9" t="s">
        <v>170</v>
      </c>
      <c r="P2003" s="9" t="s">
        <v>7284</v>
      </c>
      <c r="Q2003" s="20">
        <v>8</v>
      </c>
      <c r="R2003" s="9" t="s">
        <v>7284</v>
      </c>
      <c r="S2003" s="11" t="str">
        <f t="shared" si="26"/>
        <v>CANOE MOUNTAIN STN</v>
      </c>
      <c r="T2003" s="9" t="s">
        <v>4344</v>
      </c>
      <c r="U2003" s="9">
        <v>2210</v>
      </c>
      <c r="V2003" s="9"/>
      <c r="W2003" s="9" t="s">
        <v>7288</v>
      </c>
      <c r="X2003" s="58" t="s">
        <v>7289</v>
      </c>
      <c r="Y2003" s="7" t="s">
        <v>7252</v>
      </c>
    </row>
    <row r="2004" spans="1:25" ht="14.25" customHeight="1" x14ac:dyDescent="0.2">
      <c r="B2004" s="6">
        <v>11</v>
      </c>
      <c r="C2004" s="4" t="s">
        <v>7700</v>
      </c>
      <c r="D2004" s="4" t="s">
        <v>7290</v>
      </c>
      <c r="E2004" s="4">
        <v>13220</v>
      </c>
      <c r="F2004" s="4" t="s">
        <v>7290</v>
      </c>
      <c r="G2004" s="4" t="s">
        <v>7291</v>
      </c>
      <c r="H2004" s="4" t="s">
        <v>7292</v>
      </c>
      <c r="I2004" s="4" t="s">
        <v>49</v>
      </c>
      <c r="J2004" s="4" t="s">
        <v>7287</v>
      </c>
      <c r="K2004" s="4">
        <v>1</v>
      </c>
      <c r="L2004" s="4">
        <v>15136</v>
      </c>
      <c r="M2004" s="9">
        <v>58.35718</v>
      </c>
      <c r="N2004" s="9">
        <v>-129.54637</v>
      </c>
      <c r="O2004" s="9" t="s">
        <v>1577</v>
      </c>
      <c r="P2004" s="9" t="s">
        <v>7293</v>
      </c>
      <c r="Q2004" s="20">
        <v>8</v>
      </c>
      <c r="R2004" s="9" t="s">
        <v>7290</v>
      </c>
      <c r="S2004" s="11" t="str">
        <f t="shared" si="26"/>
        <v>CARIBOU PASS</v>
      </c>
      <c r="T2004" s="9" t="s">
        <v>4344</v>
      </c>
      <c r="U2004" s="9">
        <v>1744</v>
      </c>
      <c r="V2004" s="9"/>
      <c r="W2004" s="9" t="s">
        <v>7294</v>
      </c>
      <c r="X2004" s="58" t="s">
        <v>7295</v>
      </c>
      <c r="Y2004" s="7" t="s">
        <v>7252</v>
      </c>
    </row>
    <row r="2005" spans="1:25" ht="14.25" customHeight="1" x14ac:dyDescent="0.2">
      <c r="B2005" s="6">
        <v>11</v>
      </c>
      <c r="C2005" s="4" t="s">
        <v>7700</v>
      </c>
      <c r="D2005" s="4" t="s">
        <v>7296</v>
      </c>
      <c r="E2005" s="4">
        <v>13184</v>
      </c>
      <c r="F2005" s="4" t="s">
        <v>7297</v>
      </c>
      <c r="G2005" s="4" t="s">
        <v>7298</v>
      </c>
      <c r="H2005" s="4" t="s">
        <v>7299</v>
      </c>
      <c r="I2005" s="4" t="s">
        <v>49</v>
      </c>
      <c r="J2005" s="4" t="s">
        <v>7250</v>
      </c>
      <c r="K2005" s="4">
        <v>1</v>
      </c>
      <c r="L2005" s="4">
        <v>15106</v>
      </c>
      <c r="M2005" s="9">
        <v>54.883902999999997</v>
      </c>
      <c r="N2005" s="9">
        <v>-126.62353299999999</v>
      </c>
      <c r="O2005" s="9" t="s">
        <v>1290</v>
      </c>
      <c r="P2005" s="9" t="s">
        <v>7296</v>
      </c>
      <c r="Q2005" s="20">
        <v>2</v>
      </c>
      <c r="R2005" s="9" t="s">
        <v>7297</v>
      </c>
      <c r="S2005" s="11" t="str">
        <f t="shared" si="26"/>
        <v>CHAPMANWX</v>
      </c>
      <c r="T2005" s="9" t="s">
        <v>4344</v>
      </c>
      <c r="U2005" s="9">
        <v>848</v>
      </c>
      <c r="V2005" s="9"/>
      <c r="W2005" s="9"/>
      <c r="X2005" s="58" t="s">
        <v>7300</v>
      </c>
      <c r="Y2005" s="7" t="s">
        <v>7252</v>
      </c>
    </row>
    <row r="2006" spans="1:25" ht="14.25" customHeight="1" x14ac:dyDescent="0.2">
      <c r="A2006" s="4" t="s">
        <v>88</v>
      </c>
      <c r="B2006" s="6">
        <v>11</v>
      </c>
      <c r="C2006" s="4" t="s">
        <v>7700</v>
      </c>
      <c r="D2006" s="4" t="s">
        <v>7301</v>
      </c>
      <c r="E2006" s="4">
        <v>13070</v>
      </c>
      <c r="F2006" s="4" t="s">
        <v>7302</v>
      </c>
      <c r="G2006" s="8" t="s">
        <v>7303</v>
      </c>
      <c r="H2006" s="4" t="s">
        <v>7304</v>
      </c>
      <c r="I2006" s="4" t="s">
        <v>49</v>
      </c>
      <c r="J2006" s="4" t="s">
        <v>7265</v>
      </c>
      <c r="K2006" s="4">
        <v>1</v>
      </c>
      <c r="L2006" s="4">
        <v>14994</v>
      </c>
      <c r="M2006" s="9">
        <v>54.238028</v>
      </c>
      <c r="N2006" s="9">
        <v>-122.877306</v>
      </c>
      <c r="O2006" s="9" t="s">
        <v>1290</v>
      </c>
      <c r="P2006" s="9" t="s">
        <v>7305</v>
      </c>
      <c r="Q2006" s="20">
        <v>1</v>
      </c>
      <c r="R2006" s="9" t="s">
        <v>7306</v>
      </c>
      <c r="S2006" s="11" t="str">
        <f t="shared" si="26"/>
        <v>CHIEFLAKEWX</v>
      </c>
      <c r="T2006" s="9" t="s">
        <v>4344</v>
      </c>
      <c r="U2006" s="9">
        <v>720</v>
      </c>
      <c r="V2006" s="9"/>
      <c r="W2006" s="9" t="s">
        <v>7307</v>
      </c>
      <c r="X2006" s="58" t="s">
        <v>7308</v>
      </c>
      <c r="Y2006" s="7" t="s">
        <v>7252</v>
      </c>
    </row>
    <row r="2007" spans="1:25" ht="14.25" customHeight="1" x14ac:dyDescent="0.2">
      <c r="B2007" s="6">
        <v>11</v>
      </c>
      <c r="C2007" s="4" t="s">
        <v>7700</v>
      </c>
      <c r="D2007" s="4" t="s">
        <v>7309</v>
      </c>
      <c r="E2007" s="4">
        <v>12439</v>
      </c>
      <c r="F2007" s="4" t="s">
        <v>7310</v>
      </c>
      <c r="G2007" s="4" t="s">
        <v>7311</v>
      </c>
      <c r="H2007" s="4" t="s">
        <v>7312</v>
      </c>
      <c r="I2007" s="4" t="s">
        <v>49</v>
      </c>
      <c r="J2007" s="4" t="s">
        <v>7313</v>
      </c>
      <c r="K2007" s="4">
        <v>1</v>
      </c>
      <c r="L2007" s="4">
        <v>14461</v>
      </c>
      <c r="M2007" s="9">
        <v>53.741138999999997</v>
      </c>
      <c r="N2007" s="9">
        <v>-121.784639</v>
      </c>
      <c r="O2007" s="9" t="s">
        <v>170</v>
      </c>
      <c r="P2007" s="9" t="s">
        <v>7309</v>
      </c>
      <c r="Q2007" s="20">
        <v>1</v>
      </c>
      <c r="R2007" s="9" t="s">
        <v>7309</v>
      </c>
      <c r="S2007" s="11" t="str">
        <f t="shared" si="26"/>
        <v>COALMINEWX</v>
      </c>
      <c r="T2007" s="9" t="s">
        <v>4344</v>
      </c>
      <c r="U2007" s="9">
        <v>840</v>
      </c>
      <c r="V2007" s="9"/>
      <c r="W2007" s="9" t="s">
        <v>7314</v>
      </c>
      <c r="X2007" s="58" t="s">
        <v>7315</v>
      </c>
      <c r="Y2007" s="7" t="s">
        <v>7252</v>
      </c>
    </row>
    <row r="2008" spans="1:25" ht="14.25" customHeight="1" x14ac:dyDescent="0.2">
      <c r="A2008" s="4" t="s">
        <v>88</v>
      </c>
      <c r="B2008" s="6">
        <v>11</v>
      </c>
      <c r="C2008" s="4" t="s">
        <v>7700</v>
      </c>
      <c r="D2008" s="4">
        <v>1113682</v>
      </c>
      <c r="E2008" s="4">
        <v>1606</v>
      </c>
      <c r="F2008" s="4" t="s">
        <v>7316</v>
      </c>
      <c r="G2008" s="4" t="s">
        <v>7317</v>
      </c>
      <c r="H2008" s="4" t="s">
        <v>7318</v>
      </c>
      <c r="I2008" s="4" t="s">
        <v>641</v>
      </c>
      <c r="J2008" s="4" t="s">
        <v>7279</v>
      </c>
      <c r="K2008" s="4">
        <v>1</v>
      </c>
      <c r="L2008" s="4">
        <v>2009</v>
      </c>
      <c r="M2008" s="9">
        <v>53.753774999999997</v>
      </c>
      <c r="N2008" s="9">
        <v>-122.718864</v>
      </c>
      <c r="O2008" s="9" t="s">
        <v>1290</v>
      </c>
      <c r="P2008" s="9" t="s">
        <v>7319</v>
      </c>
      <c r="Q2008" s="20">
        <v>1</v>
      </c>
      <c r="R2008" s="9" t="s">
        <v>7316</v>
      </c>
      <c r="S2008" s="11" t="str">
        <f t="shared" si="26"/>
        <v>CPFWX</v>
      </c>
      <c r="T2008" s="9" t="s">
        <v>4344</v>
      </c>
      <c r="U2008" s="9">
        <v>593</v>
      </c>
      <c r="V2008" s="9"/>
      <c r="W2008" s="9" t="s">
        <v>7320</v>
      </c>
      <c r="X2008" s="58" t="s">
        <v>7321</v>
      </c>
      <c r="Y2008" s="7" t="s">
        <v>7252</v>
      </c>
    </row>
    <row r="2009" spans="1:25" ht="14.25" customHeight="1" x14ac:dyDescent="0.2">
      <c r="A2009" s="4" t="s">
        <v>7135</v>
      </c>
      <c r="B2009" s="6"/>
      <c r="C2009" s="10" t="s">
        <v>7136</v>
      </c>
      <c r="D2009" s="8" t="str">
        <f>CONCATENATE("'-&gt; ",P2009)</f>
        <v>'-&gt; CrookedLk</v>
      </c>
      <c r="F2009" s="8" t="str">
        <f>CONCATENATE("'-&gt; ",R2009)</f>
        <v>'-&gt; CrookedLk</v>
      </c>
      <c r="G2009" s="8" t="str">
        <f>CONCATENATE("'-&gt; ",-1*N2009," W, ",M2009," N, Elev. ",U2009," m")</f>
        <v>'-&gt; 126.42886 W, 59.88626 N, Elev. 669 m</v>
      </c>
      <c r="M2009" s="9">
        <v>59.88626</v>
      </c>
      <c r="N2009" s="9">
        <v>-126.42886</v>
      </c>
      <c r="O2009" s="9" t="s">
        <v>1577</v>
      </c>
      <c r="P2009" s="9" t="s">
        <v>7322</v>
      </c>
      <c r="Q2009" s="20">
        <v>1</v>
      </c>
      <c r="R2009" s="9" t="s">
        <v>7322</v>
      </c>
      <c r="S2009" s="11" t="str">
        <f t="shared" si="26"/>
        <v>CROOKEDLK</v>
      </c>
      <c r="T2009" s="9" t="s">
        <v>4344</v>
      </c>
      <c r="U2009" s="9">
        <v>669</v>
      </c>
      <c r="V2009" s="9"/>
      <c r="W2009" s="9" t="s">
        <v>7323</v>
      </c>
      <c r="X2009" s="58" t="s">
        <v>7324</v>
      </c>
      <c r="Y2009" s="7" t="s">
        <v>7252</v>
      </c>
    </row>
    <row r="2010" spans="1:25" ht="14.25" customHeight="1" x14ac:dyDescent="0.2">
      <c r="A2010" s="4" t="s">
        <v>88</v>
      </c>
      <c r="B2010" s="6">
        <v>11</v>
      </c>
      <c r="C2010" s="4" t="s">
        <v>7700</v>
      </c>
      <c r="D2010" s="4" t="s">
        <v>7325</v>
      </c>
      <c r="E2010" s="4">
        <v>12058</v>
      </c>
      <c r="F2010" s="4" t="s">
        <v>7326</v>
      </c>
      <c r="G2010" s="8" t="s">
        <v>7327</v>
      </c>
      <c r="H2010" s="4" t="s">
        <v>7328</v>
      </c>
      <c r="I2010" s="4" t="s">
        <v>641</v>
      </c>
      <c r="J2010" s="4" t="s">
        <v>7265</v>
      </c>
      <c r="K2010" s="4">
        <v>1</v>
      </c>
      <c r="L2010" s="4">
        <v>14114</v>
      </c>
      <c r="M2010" s="9">
        <v>54.423493999999998</v>
      </c>
      <c r="N2010" s="9">
        <v>-122.627844</v>
      </c>
      <c r="O2010" s="9" t="s">
        <v>1290</v>
      </c>
      <c r="P2010" s="9" t="s">
        <v>7329</v>
      </c>
      <c r="Q2010" s="20">
        <v>1</v>
      </c>
      <c r="R2010" s="9" t="s">
        <v>7330</v>
      </c>
      <c r="S2010" s="11" t="str">
        <f t="shared" si="26"/>
        <v>CRYSTALWX</v>
      </c>
      <c r="T2010" s="9" t="s">
        <v>4344</v>
      </c>
      <c r="U2010" s="9">
        <v>744</v>
      </c>
      <c r="V2010" s="9"/>
      <c r="W2010" s="9" t="s">
        <v>7331</v>
      </c>
      <c r="X2010" s="58" t="s">
        <v>7332</v>
      </c>
      <c r="Y2010" s="7" t="s">
        <v>7252</v>
      </c>
    </row>
    <row r="2011" spans="1:25" ht="14.25" customHeight="1" x14ac:dyDescent="0.2">
      <c r="A2011" s="4" t="s">
        <v>7135</v>
      </c>
      <c r="B2011" s="6"/>
      <c r="C2011" s="10" t="s">
        <v>7136</v>
      </c>
      <c r="D2011" s="8" t="str">
        <f>CONCATENATE("'-&gt; ",P2011)</f>
        <v>'-&gt; PGTISDavis</v>
      </c>
      <c r="F2011" s="8" t="str">
        <f>CONCATENATE("'-&gt; ",R2011)</f>
        <v>'-&gt; DavisPGTIS</v>
      </c>
      <c r="G2011" s="8" t="str">
        <f>CONCATENATE("'-&gt; ",-1*N2011," W, ",M2011," N, Elev. ",U2011," m")</f>
        <v>'-&gt; 122.7229 W, 53.77202 N, Elev. 613 m</v>
      </c>
      <c r="M2011" s="45">
        <v>53.772019999999998</v>
      </c>
      <c r="N2011" s="45">
        <v>-122.7229</v>
      </c>
      <c r="O2011" s="9" t="s">
        <v>1290</v>
      </c>
      <c r="P2011" s="9" t="s">
        <v>7333</v>
      </c>
      <c r="Q2011" s="20">
        <v>1</v>
      </c>
      <c r="R2011" s="9" t="s">
        <v>7334</v>
      </c>
      <c r="S2011" s="11" t="str">
        <f t="shared" si="26"/>
        <v>DAVISPGTIS</v>
      </c>
      <c r="T2011" s="9" t="s">
        <v>4344</v>
      </c>
      <c r="U2011" s="9">
        <v>613</v>
      </c>
      <c r="V2011" s="9"/>
      <c r="W2011" s="9" t="s">
        <v>7335</v>
      </c>
      <c r="X2011" s="58" t="s">
        <v>7336</v>
      </c>
      <c r="Y2011" s="7" t="s">
        <v>7252</v>
      </c>
    </row>
    <row r="2012" spans="1:25" ht="14.25" customHeight="1" x14ac:dyDescent="0.2">
      <c r="A2012" s="4" t="s">
        <v>88</v>
      </c>
      <c r="B2012" s="6">
        <v>11</v>
      </c>
      <c r="C2012" s="4" t="s">
        <v>7700</v>
      </c>
      <c r="D2012" s="4" t="s">
        <v>7337</v>
      </c>
      <c r="E2012" s="4">
        <v>13256</v>
      </c>
      <c r="F2012" s="4" t="s">
        <v>7337</v>
      </c>
      <c r="G2012" s="8" t="s">
        <v>7338</v>
      </c>
      <c r="H2012" s="4" t="s">
        <v>7339</v>
      </c>
      <c r="I2012" s="4" t="s">
        <v>49</v>
      </c>
      <c r="J2012" s="4" t="s">
        <v>7250</v>
      </c>
      <c r="K2012" s="4">
        <v>1</v>
      </c>
      <c r="L2012" s="4">
        <v>15172</v>
      </c>
      <c r="M2012" s="9">
        <v>54.782170000000001</v>
      </c>
      <c r="N2012" s="9">
        <v>-127.514341</v>
      </c>
      <c r="O2012" s="9" t="s">
        <v>148</v>
      </c>
      <c r="P2012" s="9" t="s">
        <v>7340</v>
      </c>
      <c r="Q2012" s="20">
        <v>3</v>
      </c>
      <c r="R2012" s="9" t="s">
        <v>7337</v>
      </c>
      <c r="S2012" s="11" t="str">
        <f t="shared" si="26"/>
        <v>DENNIS</v>
      </c>
      <c r="T2012" s="9" t="s">
        <v>4344</v>
      </c>
      <c r="U2012" s="9">
        <v>980</v>
      </c>
      <c r="V2012" s="9"/>
      <c r="W2012" s="9"/>
      <c r="X2012" s="58" t="s">
        <v>7341</v>
      </c>
      <c r="Y2012" s="7" t="s">
        <v>7252</v>
      </c>
    </row>
    <row r="2013" spans="1:25" ht="14.25" customHeight="1" x14ac:dyDescent="0.2">
      <c r="A2013" s="4" t="s">
        <v>1908</v>
      </c>
      <c r="B2013" s="6">
        <v>11</v>
      </c>
      <c r="C2013" s="4" t="s">
        <v>7700</v>
      </c>
      <c r="D2013" s="4" t="s">
        <v>7342</v>
      </c>
      <c r="E2013" s="4">
        <v>12059</v>
      </c>
      <c r="F2013" s="8" t="s">
        <v>7343</v>
      </c>
      <c r="G2013" s="8" t="s">
        <v>7344</v>
      </c>
      <c r="H2013" s="4" t="s">
        <v>7345</v>
      </c>
      <c r="I2013" s="4" t="s">
        <v>641</v>
      </c>
      <c r="J2013" s="4" t="s">
        <v>7257</v>
      </c>
      <c r="K2013" s="4">
        <v>1</v>
      </c>
      <c r="L2013" s="4">
        <v>14115</v>
      </c>
      <c r="M2013" s="9">
        <v>53.114908999999997</v>
      </c>
      <c r="N2013" s="9">
        <v>-119.83529299999999</v>
      </c>
      <c r="O2013" s="9" t="s">
        <v>170</v>
      </c>
      <c r="P2013" s="14" t="s">
        <v>7342</v>
      </c>
      <c r="Q2013" s="20">
        <v>1</v>
      </c>
      <c r="R2013" s="9" t="s">
        <v>7346</v>
      </c>
      <c r="S2013" s="11" t="str">
        <f t="shared" si="26"/>
        <v>DUNSTERWX</v>
      </c>
      <c r="T2013" s="9" t="s">
        <v>4344</v>
      </c>
      <c r="U2013" s="9">
        <v>890</v>
      </c>
      <c r="V2013" s="9"/>
      <c r="W2013" s="9" t="s">
        <v>7347</v>
      </c>
      <c r="X2013" s="58" t="s">
        <v>7348</v>
      </c>
      <c r="Y2013" s="7" t="s">
        <v>7252</v>
      </c>
    </row>
    <row r="2014" spans="1:25" ht="14.25" customHeight="1" x14ac:dyDescent="0.2">
      <c r="A2014" s="4" t="s">
        <v>88</v>
      </c>
      <c r="B2014" s="6">
        <v>11</v>
      </c>
      <c r="C2014" s="4" t="s">
        <v>7700</v>
      </c>
      <c r="D2014" s="4">
        <v>1159701</v>
      </c>
      <c r="E2014" s="4">
        <v>1600</v>
      </c>
      <c r="F2014" s="4" t="s">
        <v>7349</v>
      </c>
      <c r="G2014" s="8" t="s">
        <v>7350</v>
      </c>
      <c r="H2014" s="4" t="s">
        <v>7351</v>
      </c>
      <c r="I2014" s="4" t="s">
        <v>641</v>
      </c>
      <c r="J2014" s="4" t="s">
        <v>7265</v>
      </c>
      <c r="K2014" s="4">
        <v>1</v>
      </c>
      <c r="L2014" s="4">
        <v>2003</v>
      </c>
      <c r="M2014" s="9">
        <v>54.422392000000002</v>
      </c>
      <c r="N2014" s="9">
        <v>-125.991293</v>
      </c>
      <c r="O2014" s="9" t="s">
        <v>148</v>
      </c>
      <c r="P2014" s="9" t="s">
        <v>7352</v>
      </c>
      <c r="Q2014" s="20">
        <v>1</v>
      </c>
      <c r="R2014" s="9" t="s">
        <v>7349</v>
      </c>
      <c r="S2014" s="11" t="str">
        <f t="shared" si="26"/>
        <v>ENDAKOWX</v>
      </c>
      <c r="T2014" s="9" t="s">
        <v>4344</v>
      </c>
      <c r="U2014" s="9">
        <v>851</v>
      </c>
      <c r="V2014" s="9"/>
      <c r="W2014" s="9" t="s">
        <v>7353</v>
      </c>
      <c r="X2014" s="58" t="s">
        <v>7354</v>
      </c>
      <c r="Y2014" s="7" t="s">
        <v>7252</v>
      </c>
    </row>
    <row r="2015" spans="1:25" ht="14.25" customHeight="1" x14ac:dyDescent="0.2">
      <c r="A2015" s="4" t="s">
        <v>88</v>
      </c>
      <c r="B2015" s="6">
        <v>11</v>
      </c>
      <c r="C2015" s="4" t="s">
        <v>7700</v>
      </c>
      <c r="D2015" s="4">
        <v>1177893</v>
      </c>
      <c r="E2015" s="4">
        <v>1602</v>
      </c>
      <c r="F2015" s="4" t="s">
        <v>7355</v>
      </c>
      <c r="G2015" s="8" t="s">
        <v>7356</v>
      </c>
      <c r="H2015" s="4" t="s">
        <v>7357</v>
      </c>
      <c r="I2015" s="4" t="s">
        <v>641</v>
      </c>
      <c r="J2015" s="4" t="s">
        <v>7358</v>
      </c>
      <c r="K2015" s="4">
        <v>1</v>
      </c>
      <c r="L2015" s="4">
        <v>2005</v>
      </c>
      <c r="M2015" s="9">
        <v>53.883555000000001</v>
      </c>
      <c r="N2015" s="9">
        <v>-124.710668</v>
      </c>
      <c r="O2015" s="9" t="s">
        <v>148</v>
      </c>
      <c r="P2015" s="9" t="s">
        <v>7359</v>
      </c>
      <c r="Q2015" s="20">
        <v>2</v>
      </c>
      <c r="R2015" s="9" t="s">
        <v>7355</v>
      </c>
      <c r="S2015" s="11" t="str">
        <f t="shared" si="26"/>
        <v>GEORGEWX</v>
      </c>
      <c r="T2015" s="9" t="s">
        <v>4344</v>
      </c>
      <c r="U2015" s="9">
        <v>859</v>
      </c>
      <c r="V2015" s="9"/>
      <c r="W2015" s="9" t="s">
        <v>7360</v>
      </c>
      <c r="X2015" s="58" t="s">
        <v>7361</v>
      </c>
      <c r="Y2015" s="7" t="s">
        <v>7252</v>
      </c>
    </row>
    <row r="2016" spans="1:25" ht="14.25" customHeight="1" x14ac:dyDescent="0.2">
      <c r="B2016" s="6">
        <v>11</v>
      </c>
      <c r="C2016" s="4" t="s">
        <v>7700</v>
      </c>
      <c r="D2016" s="4" t="s">
        <v>7362</v>
      </c>
      <c r="E2016" s="4">
        <v>12433</v>
      </c>
      <c r="F2016" s="4" t="s">
        <v>7363</v>
      </c>
      <c r="G2016" s="4" t="s">
        <v>7364</v>
      </c>
      <c r="H2016" s="4" t="s">
        <v>7365</v>
      </c>
      <c r="I2016" s="4" t="s">
        <v>641</v>
      </c>
      <c r="J2016" s="4" t="s">
        <v>7287</v>
      </c>
      <c r="K2016" s="4">
        <v>1</v>
      </c>
      <c r="L2016" s="4">
        <v>14455</v>
      </c>
      <c r="M2016" s="9">
        <v>58.182749999999999</v>
      </c>
      <c r="N2016" s="9">
        <v>-129.89044000000001</v>
      </c>
      <c r="O2016" s="9" t="s">
        <v>1577</v>
      </c>
      <c r="P2016" s="9" t="s">
        <v>7362</v>
      </c>
      <c r="Q2016" s="20">
        <v>7</v>
      </c>
      <c r="R2016" s="9" t="s">
        <v>7362</v>
      </c>
      <c r="S2016" s="11" t="str">
        <f t="shared" si="26"/>
        <v>GNAT PASS STN</v>
      </c>
      <c r="T2016" s="9" t="s">
        <v>4344</v>
      </c>
      <c r="U2016" s="9">
        <v>1656</v>
      </c>
      <c r="V2016" s="9" t="s">
        <v>645</v>
      </c>
      <c r="W2016" s="9" t="s">
        <v>7366</v>
      </c>
      <c r="X2016" s="58" t="s">
        <v>7367</v>
      </c>
      <c r="Y2016" s="7" t="s">
        <v>7252</v>
      </c>
    </row>
    <row r="2017" spans="1:27" ht="14.25" customHeight="1" x14ac:dyDescent="0.2">
      <c r="B2017" s="6">
        <v>11</v>
      </c>
      <c r="C2017" s="4" t="s">
        <v>7700</v>
      </c>
      <c r="D2017" s="4" t="s">
        <v>7368</v>
      </c>
      <c r="E2017" s="4">
        <v>12435</v>
      </c>
      <c r="F2017" s="4" t="s">
        <v>7369</v>
      </c>
      <c r="G2017" s="4" t="s">
        <v>7370</v>
      </c>
      <c r="H2017" s="4" t="s">
        <v>7371</v>
      </c>
      <c r="I2017" s="4" t="s">
        <v>49</v>
      </c>
      <c r="J2017" s="4" t="s">
        <v>7287</v>
      </c>
      <c r="K2017" s="4">
        <v>1</v>
      </c>
      <c r="L2017" s="4">
        <v>14457</v>
      </c>
      <c r="M2017" s="9">
        <v>58.745694</v>
      </c>
      <c r="N2017" s="9">
        <v>-123.977778</v>
      </c>
      <c r="O2017" s="9" t="s">
        <v>2008</v>
      </c>
      <c r="P2017" s="9" t="s">
        <v>7368</v>
      </c>
      <c r="Q2017" s="20">
        <v>8</v>
      </c>
      <c r="R2017" s="9" t="s">
        <v>7369</v>
      </c>
      <c r="S2017" s="11" t="str">
        <f t="shared" si="26"/>
        <v>GUNNEL3</v>
      </c>
      <c r="T2017" s="9" t="s">
        <v>4344</v>
      </c>
      <c r="U2017" s="9">
        <v>1486</v>
      </c>
      <c r="V2017" s="9"/>
      <c r="W2017" s="9" t="s">
        <v>7372</v>
      </c>
      <c r="X2017" s="58" t="s">
        <v>7373</v>
      </c>
      <c r="Y2017" s="7" t="s">
        <v>7252</v>
      </c>
    </row>
    <row r="2018" spans="1:27" ht="14.25" customHeight="1" x14ac:dyDescent="0.2">
      <c r="A2018" s="4" t="s">
        <v>88</v>
      </c>
      <c r="B2018" s="6">
        <v>11</v>
      </c>
      <c r="C2018" s="4" t="s">
        <v>7700</v>
      </c>
      <c r="D2018" s="4">
        <v>1113693</v>
      </c>
      <c r="E2018" s="4">
        <v>1595</v>
      </c>
      <c r="F2018" s="4" t="s">
        <v>7374</v>
      </c>
      <c r="G2018" s="8" t="s">
        <v>7375</v>
      </c>
      <c r="H2018" s="4" t="s">
        <v>7376</v>
      </c>
      <c r="I2018" s="4" t="s">
        <v>641</v>
      </c>
      <c r="J2018" s="4" t="s">
        <v>7377</v>
      </c>
      <c r="K2018" s="4">
        <v>1</v>
      </c>
      <c r="L2018" s="4">
        <v>1998</v>
      </c>
      <c r="M2018" s="9">
        <v>58.754750000000001</v>
      </c>
      <c r="N2018" s="9">
        <v>-123.977683</v>
      </c>
      <c r="O2018" s="9" t="s">
        <v>2008</v>
      </c>
      <c r="P2018" s="9" t="s">
        <v>7378</v>
      </c>
      <c r="Q2018" s="20">
        <v>8</v>
      </c>
      <c r="R2018" s="9" t="s">
        <v>7374</v>
      </c>
      <c r="S2018" s="11" t="str">
        <f t="shared" si="26"/>
        <v>GUNNELWX</v>
      </c>
      <c r="T2018" s="9" t="s">
        <v>4344</v>
      </c>
      <c r="U2018" s="9">
        <v>1460</v>
      </c>
      <c r="V2018" s="9" t="s">
        <v>645</v>
      </c>
      <c r="W2018" s="9" t="s">
        <v>7379</v>
      </c>
      <c r="X2018" s="58" t="s">
        <v>7380</v>
      </c>
      <c r="Y2018" s="7" t="s">
        <v>7252</v>
      </c>
    </row>
    <row r="2019" spans="1:27" ht="14.25" customHeight="1" x14ac:dyDescent="0.2">
      <c r="A2019" s="4" t="s">
        <v>88</v>
      </c>
      <c r="B2019" s="6">
        <v>11</v>
      </c>
      <c r="C2019" s="4" t="s">
        <v>7700</v>
      </c>
      <c r="D2019" s="4" t="s">
        <v>7381</v>
      </c>
      <c r="E2019" s="4">
        <v>12060</v>
      </c>
      <c r="F2019" s="4" t="s">
        <v>7382</v>
      </c>
      <c r="G2019" s="8" t="s">
        <v>7383</v>
      </c>
      <c r="H2019" s="4" t="s">
        <v>7384</v>
      </c>
      <c r="I2019" s="4" t="s">
        <v>641</v>
      </c>
      <c r="J2019" s="4" t="s">
        <v>7257</v>
      </c>
      <c r="K2019" s="4">
        <v>1</v>
      </c>
      <c r="L2019" s="4">
        <v>14116</v>
      </c>
      <c r="M2019" s="9">
        <v>55.21275</v>
      </c>
      <c r="N2019" s="9">
        <v>-120.771635</v>
      </c>
      <c r="O2019" s="9" t="s">
        <v>153</v>
      </c>
      <c r="P2019" s="9" t="s">
        <v>7385</v>
      </c>
      <c r="Q2019" s="20">
        <v>8</v>
      </c>
      <c r="R2019" s="9" t="s">
        <v>7386</v>
      </c>
      <c r="S2019" s="11" t="str">
        <f t="shared" si="26"/>
        <v>HOURGLASSWX</v>
      </c>
      <c r="T2019" s="9" t="s">
        <v>4344</v>
      </c>
      <c r="U2019" s="9">
        <v>1131</v>
      </c>
      <c r="V2019" s="9"/>
      <c r="W2019" s="9" t="s">
        <v>7387</v>
      </c>
      <c r="X2019" s="58" t="s">
        <v>7388</v>
      </c>
      <c r="Y2019" s="7" t="s">
        <v>7252</v>
      </c>
    </row>
    <row r="2020" spans="1:27" ht="14.25" customHeight="1" x14ac:dyDescent="0.2">
      <c r="A2020" s="4" t="s">
        <v>88</v>
      </c>
      <c r="B2020" s="6">
        <v>11</v>
      </c>
      <c r="C2020" s="4" t="s">
        <v>7700</v>
      </c>
      <c r="D2020" s="4" t="s">
        <v>7389</v>
      </c>
      <c r="E2020" s="4">
        <v>12434</v>
      </c>
      <c r="F2020" s="4" t="s">
        <v>7390</v>
      </c>
      <c r="G2020" s="8" t="s">
        <v>7391</v>
      </c>
      <c r="H2020" s="4" t="s">
        <v>7392</v>
      </c>
      <c r="I2020" s="4" t="s">
        <v>641</v>
      </c>
      <c r="J2020" s="4" t="s">
        <v>7287</v>
      </c>
      <c r="K2020" s="4">
        <v>1</v>
      </c>
      <c r="L2020" s="4">
        <v>14456</v>
      </c>
      <c r="M2020" s="9">
        <v>54.77375</v>
      </c>
      <c r="N2020" s="9">
        <v>-127.27216</v>
      </c>
      <c r="O2020" s="9" t="s">
        <v>148</v>
      </c>
      <c r="P2020" s="9" t="s">
        <v>7389</v>
      </c>
      <c r="Q2020" s="20">
        <v>8</v>
      </c>
      <c r="R2020" s="9" t="s">
        <v>7390</v>
      </c>
      <c r="S2020" s="11" t="str">
        <f t="shared" si="26"/>
        <v>HUDSON BAY MTN2</v>
      </c>
      <c r="T2020" s="9" t="s">
        <v>4344</v>
      </c>
      <c r="U2020" s="9">
        <v>1670</v>
      </c>
      <c r="V2020" s="9"/>
      <c r="W2020" s="9" t="s">
        <v>7393</v>
      </c>
      <c r="X2020" s="58" t="s">
        <v>7394</v>
      </c>
      <c r="Y2020" s="7" t="s">
        <v>7252</v>
      </c>
    </row>
    <row r="2021" spans="1:27" ht="14.25" customHeight="1" x14ac:dyDescent="0.2">
      <c r="A2021" s="4" t="s">
        <v>7135</v>
      </c>
      <c r="B2021" s="6"/>
      <c r="C2021" s="10" t="s">
        <v>7136</v>
      </c>
      <c r="D2021" s="8" t="str">
        <f t="shared" ref="D2021:D2027" si="27">CONCATENATE("'-&gt; ",P2021)</f>
        <v>'-&gt; Hudson Bay Stn</v>
      </c>
      <c r="F2021" s="8" t="str">
        <f t="shared" ref="F2021:F2027" si="28">CONCATENATE("'-&gt; ",R2021)</f>
        <v>'-&gt; Hudson Bay Stn</v>
      </c>
      <c r="G2021" s="8" t="str">
        <f t="shared" ref="G2021:G2027" si="29">CONCATENATE("'-&gt; ",-1*N2021," W, ",M2021," N, Elev. ",U2021," m")</f>
        <v>'-&gt; 127.29603 W, 54.77684 N, Elev. 1669 m</v>
      </c>
      <c r="M2021" s="9">
        <v>54.77684</v>
      </c>
      <c r="N2021" s="9">
        <v>-127.29603</v>
      </c>
      <c r="O2021" s="9" t="s">
        <v>148</v>
      </c>
      <c r="P2021" s="9" t="s">
        <v>7395</v>
      </c>
      <c r="Q2021" s="20">
        <v>8</v>
      </c>
      <c r="R2021" s="9" t="s">
        <v>7395</v>
      </c>
      <c r="S2021" s="11" t="str">
        <f t="shared" si="26"/>
        <v>HUDSON BAY STN</v>
      </c>
      <c r="T2021" s="9" t="s">
        <v>4344</v>
      </c>
      <c r="U2021" s="9">
        <v>1669</v>
      </c>
      <c r="V2021" s="9"/>
      <c r="W2021" s="9" t="s">
        <v>7396</v>
      </c>
      <c r="X2021" s="58" t="s">
        <v>7397</v>
      </c>
      <c r="Y2021" s="7" t="s">
        <v>7252</v>
      </c>
    </row>
    <row r="2022" spans="1:27" ht="14.25" customHeight="1" x14ac:dyDescent="0.2">
      <c r="A2022" s="4" t="s">
        <v>7135</v>
      </c>
      <c r="B2022" s="6"/>
      <c r="C2022" s="10" t="s">
        <v>7136</v>
      </c>
      <c r="D2022" s="8" t="str">
        <f t="shared" si="27"/>
        <v>'-&gt; IBB1</v>
      </c>
      <c r="F2022" s="8" t="str">
        <f t="shared" si="28"/>
        <v>'-&gt; IBB1Wx</v>
      </c>
      <c r="G2022" s="8" t="str">
        <f t="shared" si="29"/>
        <v>'-&gt; 127.25169 W, 53.72029 N, Elev. 1146 m</v>
      </c>
      <c r="M2022" s="9">
        <v>53.720289999999999</v>
      </c>
      <c r="N2022" s="9">
        <v>-127.25169</v>
      </c>
      <c r="O2022" s="9" t="s">
        <v>148</v>
      </c>
      <c r="P2022" s="9" t="s">
        <v>7398</v>
      </c>
      <c r="Q2022" s="20">
        <v>5</v>
      </c>
      <c r="R2022" s="9" t="s">
        <v>7399</v>
      </c>
      <c r="S2022" s="11" t="str">
        <f t="shared" si="26"/>
        <v>IBB1WX</v>
      </c>
      <c r="T2022" s="9" t="s">
        <v>4344</v>
      </c>
      <c r="U2022" s="9">
        <v>1146</v>
      </c>
      <c r="V2022" s="9"/>
      <c r="W2022" s="9" t="s">
        <v>7400</v>
      </c>
      <c r="X2022" s="58" t="s">
        <v>7401</v>
      </c>
      <c r="Y2022" s="7" t="s">
        <v>7252</v>
      </c>
    </row>
    <row r="2023" spans="1:27" ht="14.25" customHeight="1" x14ac:dyDescent="0.2">
      <c r="A2023" s="4" t="s">
        <v>7135</v>
      </c>
      <c r="B2023" s="6"/>
      <c r="C2023" s="10" t="s">
        <v>7136</v>
      </c>
      <c r="D2023" s="8" t="str">
        <f t="shared" si="27"/>
        <v>'-&gt; IBB2</v>
      </c>
      <c r="F2023" s="8" t="str">
        <f t="shared" si="28"/>
        <v>'-&gt; IBB2Wx</v>
      </c>
      <c r="G2023" s="8" t="str">
        <f t="shared" si="29"/>
        <v>'-&gt; 126.92067 W, 54.81127 N, Elev. 967 m</v>
      </c>
      <c r="M2023" s="45">
        <v>54.81127</v>
      </c>
      <c r="N2023" s="45">
        <v>-126.92067</v>
      </c>
      <c r="O2023" s="9" t="s">
        <v>148</v>
      </c>
      <c r="P2023" s="9" t="s">
        <v>7402</v>
      </c>
      <c r="Q2023" s="20">
        <v>3</v>
      </c>
      <c r="R2023" s="9" t="s">
        <v>7403</v>
      </c>
      <c r="S2023" s="11" t="str">
        <f t="shared" si="26"/>
        <v>IBB2WX</v>
      </c>
      <c r="T2023" s="9" t="s">
        <v>4344</v>
      </c>
      <c r="U2023" s="9">
        <v>967</v>
      </c>
      <c r="V2023" s="9"/>
      <c r="W2023" s="9" t="s">
        <v>7404</v>
      </c>
      <c r="X2023" s="58" t="s">
        <v>7405</v>
      </c>
      <c r="Y2023" s="7" t="s">
        <v>7252</v>
      </c>
    </row>
    <row r="2024" spans="1:27" ht="14.25" customHeight="1" x14ac:dyDescent="0.2">
      <c r="A2024" s="4" t="s">
        <v>7135</v>
      </c>
      <c r="B2024" s="6"/>
      <c r="C2024" s="10" t="s">
        <v>7136</v>
      </c>
      <c r="D2024" s="8" t="str">
        <f t="shared" si="27"/>
        <v>'-&gt; IBB3</v>
      </c>
      <c r="F2024" s="8" t="str">
        <f t="shared" si="28"/>
        <v>'-&gt; IBB3Wx</v>
      </c>
      <c r="G2024" s="8" t="str">
        <f t="shared" si="29"/>
        <v>'-&gt; 127.30577 W, 54.71172 N, Elev. 960 m</v>
      </c>
      <c r="M2024" s="45">
        <v>54.71172</v>
      </c>
      <c r="N2024" s="45">
        <v>-127.30577</v>
      </c>
      <c r="O2024" s="9" t="s">
        <v>148</v>
      </c>
      <c r="P2024" s="9" t="s">
        <v>7406</v>
      </c>
      <c r="Q2024" s="20">
        <v>3</v>
      </c>
      <c r="R2024" s="9" t="s">
        <v>7407</v>
      </c>
      <c r="S2024" s="11" t="str">
        <f t="shared" si="26"/>
        <v>IBB3WX</v>
      </c>
      <c r="T2024" s="9" t="s">
        <v>4344</v>
      </c>
      <c r="U2024" s="9">
        <v>960</v>
      </c>
      <c r="V2024" s="9"/>
      <c r="W2024" s="9" t="s">
        <v>7408</v>
      </c>
      <c r="X2024" s="58" t="s">
        <v>7409</v>
      </c>
      <c r="Y2024" s="7" t="s">
        <v>7252</v>
      </c>
    </row>
    <row r="2025" spans="1:27" ht="14.25" customHeight="1" x14ac:dyDescent="0.2">
      <c r="A2025" s="4" t="s">
        <v>7135</v>
      </c>
      <c r="B2025" s="6"/>
      <c r="C2025" s="10" t="s">
        <v>7136</v>
      </c>
      <c r="D2025" s="8" t="str">
        <f t="shared" si="27"/>
        <v>'-&gt; Inklin</v>
      </c>
      <c r="F2025" s="8" t="str">
        <f t="shared" si="28"/>
        <v>'-&gt; Inklin</v>
      </c>
      <c r="G2025" s="8" t="str">
        <f t="shared" si="29"/>
        <v>'-&gt; 133.140416 W, 58.900859 N, Elev. 101 m</v>
      </c>
      <c r="M2025" s="9">
        <v>58.900858999999997</v>
      </c>
      <c r="N2025" s="9">
        <v>-133.14041599999999</v>
      </c>
      <c r="O2025" s="9" t="s">
        <v>1577</v>
      </c>
      <c r="P2025" s="9" t="s">
        <v>7410</v>
      </c>
      <c r="Q2025" s="20">
        <v>1</v>
      </c>
      <c r="R2025" s="9" t="s">
        <v>7410</v>
      </c>
      <c r="S2025" s="11" t="str">
        <f t="shared" si="26"/>
        <v>INKLIN</v>
      </c>
      <c r="T2025" s="9" t="s">
        <v>4344</v>
      </c>
      <c r="U2025" s="9">
        <v>101</v>
      </c>
      <c r="V2025" s="9"/>
      <c r="W2025" s="9" t="s">
        <v>7411</v>
      </c>
      <c r="X2025" s="58" t="s">
        <v>7412</v>
      </c>
      <c r="Y2025" s="7" t="s">
        <v>7252</v>
      </c>
    </row>
    <row r="2026" spans="1:27" ht="14.25" customHeight="1" x14ac:dyDescent="0.2">
      <c r="A2026" s="4" t="s">
        <v>7135</v>
      </c>
      <c r="B2026" s="6"/>
      <c r="C2026" s="10" t="s">
        <v>7136</v>
      </c>
      <c r="D2026" s="8" t="str">
        <f t="shared" si="27"/>
        <v>'-&gt; KennedySidingCC</v>
      </c>
      <c r="F2026" s="8" t="str">
        <f t="shared" si="28"/>
        <v>'-&gt; KennedySidingCC</v>
      </c>
      <c r="G2026" s="8" t="str">
        <f t="shared" si="29"/>
        <v>'-&gt; 122.818003 W, 55.112303 N, Elev. 737 m</v>
      </c>
      <c r="M2026" s="9">
        <v>55.112302999999997</v>
      </c>
      <c r="N2026" s="9">
        <v>-122.818003</v>
      </c>
      <c r="O2026" s="9" t="s">
        <v>1290</v>
      </c>
      <c r="P2026" s="9" t="s">
        <v>7413</v>
      </c>
      <c r="Q2026" s="20">
        <v>1</v>
      </c>
      <c r="R2026" s="9" t="s">
        <v>7413</v>
      </c>
      <c r="S2026" s="11" t="str">
        <f t="shared" si="26"/>
        <v>KENNEDYSIDINGCC</v>
      </c>
      <c r="T2026" s="9" t="s">
        <v>4344</v>
      </c>
      <c r="U2026" s="9">
        <v>737</v>
      </c>
      <c r="V2026" s="9"/>
      <c r="W2026" s="9" t="s">
        <v>7414</v>
      </c>
      <c r="X2026" s="58" t="s">
        <v>7415</v>
      </c>
      <c r="Y2026" s="7" t="s">
        <v>7252</v>
      </c>
    </row>
    <row r="2027" spans="1:27" ht="14.25" customHeight="1" x14ac:dyDescent="0.2">
      <c r="A2027" s="4" t="s">
        <v>7135</v>
      </c>
      <c r="B2027" s="6"/>
      <c r="C2027" s="10" t="s">
        <v>7136</v>
      </c>
      <c r="D2027" s="8" t="str">
        <f t="shared" si="27"/>
        <v>'-&gt; KennedySidingFor</v>
      </c>
      <c r="F2027" s="8" t="str">
        <f t="shared" si="28"/>
        <v>'-&gt; KennedySidingFor</v>
      </c>
      <c r="G2027" s="8" t="str">
        <f t="shared" si="29"/>
        <v>'-&gt; 122.841542 W, 55.111059 N, Elev. 745 m</v>
      </c>
      <c r="M2027" s="9">
        <v>55.111058999999997</v>
      </c>
      <c r="N2027" s="9">
        <v>-122.841542</v>
      </c>
      <c r="O2027" s="9" t="s">
        <v>1290</v>
      </c>
      <c r="P2027" s="9" t="s">
        <v>7416</v>
      </c>
      <c r="Q2027" s="20">
        <v>1</v>
      </c>
      <c r="R2027" s="9" t="s">
        <v>7416</v>
      </c>
      <c r="S2027" s="11" t="str">
        <f t="shared" si="26"/>
        <v>KENNEDYSIDINGFOR</v>
      </c>
      <c r="T2027" s="9" t="s">
        <v>4344</v>
      </c>
      <c r="U2027" s="9">
        <v>745</v>
      </c>
      <c r="V2027" s="9"/>
      <c r="W2027" s="9" t="s">
        <v>7417</v>
      </c>
      <c r="X2027" s="58" t="s">
        <v>7418</v>
      </c>
      <c r="Y2027" s="7" t="s">
        <v>7252</v>
      </c>
    </row>
    <row r="2028" spans="1:27" ht="14.25" customHeight="1" x14ac:dyDescent="0.2">
      <c r="A2028" s="4" t="s">
        <v>88</v>
      </c>
      <c r="B2028" s="6">
        <v>11</v>
      </c>
      <c r="C2028" s="4" t="s">
        <v>7700</v>
      </c>
      <c r="D2028" s="4" t="s">
        <v>7419</v>
      </c>
      <c r="E2028" s="4">
        <v>12061</v>
      </c>
      <c r="F2028" s="4" t="s">
        <v>7419</v>
      </c>
      <c r="G2028" s="8" t="s">
        <v>7420</v>
      </c>
      <c r="H2028" s="4" t="s">
        <v>7421</v>
      </c>
      <c r="I2028" s="4" t="s">
        <v>641</v>
      </c>
      <c r="J2028" s="4" t="s">
        <v>7313</v>
      </c>
      <c r="K2028" s="4">
        <v>1</v>
      </c>
      <c r="L2028" s="4">
        <v>14117</v>
      </c>
      <c r="M2028" s="9">
        <v>53.397852</v>
      </c>
      <c r="N2028" s="9">
        <v>-124.513069</v>
      </c>
      <c r="O2028" s="9" t="s">
        <v>148</v>
      </c>
      <c r="P2028" s="9" t="s">
        <v>7701</v>
      </c>
      <c r="Q2028" s="20">
        <v>4</v>
      </c>
      <c r="R2028" s="9" t="s">
        <v>7419</v>
      </c>
      <c r="S2028" s="11" t="str">
        <f t="shared" si="26"/>
        <v>KLUSKUS</v>
      </c>
      <c r="T2028" s="9" t="s">
        <v>4344</v>
      </c>
      <c r="U2028" s="9">
        <v>1110</v>
      </c>
      <c r="V2028" s="9"/>
      <c r="W2028" s="9" t="s">
        <v>7423</v>
      </c>
      <c r="X2028" s="58" t="s">
        <v>7424</v>
      </c>
      <c r="Y2028" s="7" t="s">
        <v>7252</v>
      </c>
    </row>
    <row r="2029" spans="1:27" ht="14.25" customHeight="1" x14ac:dyDescent="0.2">
      <c r="A2029" s="4" t="s">
        <v>1908</v>
      </c>
      <c r="B2029" s="6">
        <v>11</v>
      </c>
      <c r="C2029" s="4" t="s">
        <v>7700</v>
      </c>
      <c r="D2029" s="4" t="s">
        <v>7425</v>
      </c>
      <c r="E2029" s="4">
        <v>12062</v>
      </c>
      <c r="F2029" s="8" t="s">
        <v>7426</v>
      </c>
      <c r="G2029" s="8" t="s">
        <v>7427</v>
      </c>
      <c r="H2029" s="4" t="s">
        <v>7428</v>
      </c>
      <c r="I2029" s="4" t="s">
        <v>641</v>
      </c>
      <c r="J2029" s="4" t="s">
        <v>7265</v>
      </c>
      <c r="K2029" s="4">
        <v>1</v>
      </c>
      <c r="L2029" s="4">
        <v>14118</v>
      </c>
      <c r="M2029" s="9">
        <v>55.137858000000001</v>
      </c>
      <c r="N2029" s="9">
        <v>-122.977243</v>
      </c>
      <c r="O2029" s="9" t="s">
        <v>1290</v>
      </c>
      <c r="P2029" s="9" t="s">
        <v>7429</v>
      </c>
      <c r="Q2029" s="20">
        <v>1</v>
      </c>
      <c r="R2029" s="9" t="s">
        <v>7430</v>
      </c>
      <c r="S2029" s="11" t="str">
        <f t="shared" si="26"/>
        <v>MACJXNWX</v>
      </c>
      <c r="T2029" s="9" t="s">
        <v>4344</v>
      </c>
      <c r="U2029" s="9">
        <v>719</v>
      </c>
      <c r="V2029" s="9"/>
      <c r="W2029" s="9" t="s">
        <v>7431</v>
      </c>
      <c r="X2029" s="58" t="s">
        <v>7432</v>
      </c>
      <c r="Y2029" s="7" t="s">
        <v>7252</v>
      </c>
    </row>
    <row r="2030" spans="1:27" ht="14.25" customHeight="1" x14ac:dyDescent="0.2">
      <c r="B2030" s="6">
        <v>11</v>
      </c>
      <c r="C2030" s="4" t="s">
        <v>7700</v>
      </c>
      <c r="D2030" s="8" t="str">
        <f t="shared" ref="D2030:D2031" si="30">CONCATENATE("'-&gt; ",P2030)</f>
        <v>'-&gt; MF1</v>
      </c>
      <c r="E2030" s="4">
        <v>1596</v>
      </c>
      <c r="F2030" s="4" t="s">
        <v>7433</v>
      </c>
      <c r="G2030" s="4" t="s">
        <v>7434</v>
      </c>
      <c r="H2030" s="4" t="s">
        <v>7435</v>
      </c>
      <c r="I2030" s="4" t="s">
        <v>641</v>
      </c>
      <c r="J2030" s="4" t="s">
        <v>7313</v>
      </c>
      <c r="K2030" s="4">
        <v>1</v>
      </c>
      <c r="L2030" s="4">
        <v>1999</v>
      </c>
      <c r="M2030" s="9">
        <v>57.550916999999998</v>
      </c>
      <c r="N2030" s="9">
        <v>-122.7963</v>
      </c>
      <c r="O2030" s="9" t="s">
        <v>2008</v>
      </c>
      <c r="P2030" s="9" t="s">
        <v>7436</v>
      </c>
      <c r="Q2030" s="20">
        <v>8</v>
      </c>
      <c r="R2030" s="9" t="s">
        <v>7433</v>
      </c>
      <c r="S2030" s="11" t="str">
        <f t="shared" si="26"/>
        <v>MIDDLEFORKWX</v>
      </c>
      <c r="T2030" s="9" t="s">
        <v>4344</v>
      </c>
      <c r="U2030" s="9">
        <v>972</v>
      </c>
      <c r="V2030" s="9"/>
      <c r="W2030" s="9" t="s">
        <v>7437</v>
      </c>
      <c r="X2030" s="58" t="s">
        <v>7438</v>
      </c>
      <c r="Y2030" s="7" t="s">
        <v>7252</v>
      </c>
    </row>
    <row r="2031" spans="1:27" ht="14.25" customHeight="1" x14ac:dyDescent="0.2">
      <c r="B2031" s="6">
        <v>11</v>
      </c>
      <c r="C2031" s="4" t="s">
        <v>7700</v>
      </c>
      <c r="D2031" s="8" t="str">
        <f t="shared" si="30"/>
        <v>'-&gt; Nonda1</v>
      </c>
      <c r="E2031" s="4">
        <v>1594</v>
      </c>
      <c r="F2031" s="4" t="s">
        <v>7439</v>
      </c>
      <c r="G2031" s="4" t="s">
        <v>7440</v>
      </c>
      <c r="H2031" s="4" t="s">
        <v>7441</v>
      </c>
      <c r="I2031" s="4" t="s">
        <v>641</v>
      </c>
      <c r="J2031" s="4" t="s">
        <v>7287</v>
      </c>
      <c r="K2031" s="4">
        <v>1</v>
      </c>
      <c r="L2031" s="4">
        <v>1997</v>
      </c>
      <c r="M2031" s="9">
        <v>59.002110999999999</v>
      </c>
      <c r="N2031" s="9">
        <v>-125.509361</v>
      </c>
      <c r="O2031" s="9" t="s">
        <v>1577</v>
      </c>
      <c r="P2031" s="9" t="s">
        <v>7442</v>
      </c>
      <c r="Q2031" s="20">
        <v>7</v>
      </c>
      <c r="R2031" s="9" t="s">
        <v>7439</v>
      </c>
      <c r="S2031" s="11" t="str">
        <f t="shared" si="26"/>
        <v>NONDAWX</v>
      </c>
      <c r="T2031" s="9" t="s">
        <v>4344</v>
      </c>
      <c r="U2031" s="9">
        <v>1683</v>
      </c>
      <c r="V2031" s="9" t="s">
        <v>645</v>
      </c>
      <c r="W2031" s="9" t="s">
        <v>7443</v>
      </c>
      <c r="X2031" s="58" t="s">
        <v>7444</v>
      </c>
      <c r="Y2031" s="7" t="s">
        <v>7252</v>
      </c>
    </row>
    <row r="2032" spans="1:27" ht="14.25" customHeight="1" x14ac:dyDescent="0.2">
      <c r="B2032" s="6">
        <v>11</v>
      </c>
      <c r="C2032" s="4" t="s">
        <v>7700</v>
      </c>
      <c r="D2032" s="4" t="s">
        <v>7445</v>
      </c>
      <c r="E2032" s="4">
        <v>12436</v>
      </c>
      <c r="F2032" s="4" t="s">
        <v>7445</v>
      </c>
      <c r="G2032" s="4" t="s">
        <v>7446</v>
      </c>
      <c r="H2032" s="4" t="s">
        <v>7447</v>
      </c>
      <c r="I2032" s="4" t="s">
        <v>49</v>
      </c>
      <c r="J2032" s="4" t="s">
        <v>7287</v>
      </c>
      <c r="K2032" s="4">
        <v>1</v>
      </c>
      <c r="L2032" s="4">
        <v>14458</v>
      </c>
      <c r="M2032" s="54">
        <v>51.812959999999997</v>
      </c>
      <c r="N2032" s="54">
        <v>-125.03981</v>
      </c>
      <c r="O2032" s="54" t="s">
        <v>142</v>
      </c>
      <c r="P2032" s="54" t="s">
        <v>7445</v>
      </c>
      <c r="Q2032" s="55">
        <v>8</v>
      </c>
      <c r="R2032" s="54" t="s">
        <v>7445</v>
      </c>
      <c r="S2032" s="54" t="str">
        <f t="shared" si="26"/>
        <v>PERKINS PEAK STN</v>
      </c>
      <c r="T2032" s="54" t="s">
        <v>4344</v>
      </c>
      <c r="U2032" s="54">
        <v>2092</v>
      </c>
      <c r="V2032" s="54"/>
      <c r="W2032" s="54" t="s">
        <v>7448</v>
      </c>
      <c r="X2032" s="105" t="s">
        <v>7449</v>
      </c>
      <c r="Y2032" s="57" t="s">
        <v>7252</v>
      </c>
      <c r="Z2032" s="54"/>
      <c r="AA2032" s="54"/>
    </row>
    <row r="2033" spans="1:25" ht="14.25" customHeight="1" x14ac:dyDescent="0.2">
      <c r="A2033" s="4" t="s">
        <v>88</v>
      </c>
      <c r="B2033" s="6">
        <v>11</v>
      </c>
      <c r="C2033" s="4" t="s">
        <v>7700</v>
      </c>
      <c r="D2033" s="4">
        <v>1113696</v>
      </c>
      <c r="E2033" s="4">
        <v>1597</v>
      </c>
      <c r="F2033" s="4" t="s">
        <v>7450</v>
      </c>
      <c r="G2033" s="8" t="s">
        <v>7451</v>
      </c>
      <c r="H2033" s="4" t="s">
        <v>7452</v>
      </c>
      <c r="I2033" s="4" t="s">
        <v>641</v>
      </c>
      <c r="J2033" s="4" t="s">
        <v>7287</v>
      </c>
      <c r="K2033" s="4">
        <v>1</v>
      </c>
      <c r="L2033" s="4">
        <v>2000</v>
      </c>
      <c r="M2033" s="9">
        <v>57.061630000000001</v>
      </c>
      <c r="N2033" s="9">
        <v>-122.86490999999999</v>
      </c>
      <c r="O2033" s="9" t="s">
        <v>1577</v>
      </c>
      <c r="P2033" s="9" t="s">
        <v>7453</v>
      </c>
      <c r="Q2033" s="20">
        <v>8</v>
      </c>
      <c r="R2033" s="9" t="s">
        <v>7450</v>
      </c>
      <c r="S2033" s="11" t="str">
        <f t="shared" si="26"/>
        <v>PINKWX</v>
      </c>
      <c r="T2033" s="9" t="s">
        <v>4344</v>
      </c>
      <c r="U2033" s="9">
        <v>1756</v>
      </c>
      <c r="V2033" s="9" t="s">
        <v>645</v>
      </c>
      <c r="W2033" s="9" t="s">
        <v>7454</v>
      </c>
      <c r="X2033" s="58" t="s">
        <v>7455</v>
      </c>
      <c r="Y2033" s="7" t="s">
        <v>7252</v>
      </c>
    </row>
    <row r="2034" spans="1:25" ht="14.25" customHeight="1" x14ac:dyDescent="0.2">
      <c r="A2034" s="4" t="s">
        <v>88</v>
      </c>
      <c r="B2034" s="6">
        <v>11</v>
      </c>
      <c r="C2034" s="4" t="s">
        <v>7700</v>
      </c>
      <c r="D2034" s="4">
        <v>1113683</v>
      </c>
      <c r="E2034" s="4">
        <v>1598</v>
      </c>
      <c r="F2034" s="4" t="s">
        <v>7456</v>
      </c>
      <c r="G2034" s="8" t="s">
        <v>7457</v>
      </c>
      <c r="H2034" s="4" t="s">
        <v>7458</v>
      </c>
      <c r="I2034" s="4" t="s">
        <v>641</v>
      </c>
      <c r="J2034" s="4" t="s">
        <v>7459</v>
      </c>
      <c r="K2034" s="4">
        <v>1</v>
      </c>
      <c r="L2034" s="4">
        <v>2001</v>
      </c>
      <c r="M2034" s="9">
        <v>54.027523000000002</v>
      </c>
      <c r="N2034" s="9">
        <v>-123.300774</v>
      </c>
      <c r="O2034" s="9" t="s">
        <v>1290</v>
      </c>
      <c r="P2034" s="9" t="s">
        <v>7460</v>
      </c>
      <c r="Q2034" s="20">
        <v>1</v>
      </c>
      <c r="R2034" s="9" t="s">
        <v>7456</v>
      </c>
      <c r="S2034" s="11" t="str">
        <f t="shared" si="26"/>
        <v>SAXTONWX</v>
      </c>
      <c r="T2034" s="9" t="s">
        <v>4344</v>
      </c>
      <c r="U2034" s="9">
        <v>718</v>
      </c>
      <c r="V2034" s="9"/>
      <c r="W2034" s="9" t="s">
        <v>7461</v>
      </c>
      <c r="X2034" s="58" t="s">
        <v>7462</v>
      </c>
      <c r="Y2034" s="7" t="s">
        <v>7252</v>
      </c>
    </row>
    <row r="2035" spans="1:25" ht="14.25" customHeight="1" x14ac:dyDescent="0.2">
      <c r="A2035" s="4" t="s">
        <v>138</v>
      </c>
      <c r="B2035" s="6"/>
      <c r="C2035" s="10" t="s">
        <v>7136</v>
      </c>
      <c r="D2035" s="8" t="str">
        <f>CONCATENATE("'-&gt; ",P2035)</f>
        <v>'-&gt; Seebach</v>
      </c>
      <c r="F2035" s="8" t="str">
        <f>CONCATENATE("'-&gt; ",R2035)</f>
        <v>'-&gt; SeebachWx</v>
      </c>
      <c r="G2035" s="8" t="str">
        <f>CONCATENATE("'-&gt; ",-1*N2035," W, ",M2035," N, Elev. ",U2035," m")</f>
        <v>'-&gt; -122.058 W, 54.355 N, Elev. 780 m</v>
      </c>
      <c r="M2035" s="9">
        <v>54.354999999999997</v>
      </c>
      <c r="N2035" s="9">
        <v>122.05800000000001</v>
      </c>
      <c r="O2035" s="9" t="s">
        <v>1290</v>
      </c>
      <c r="P2035" s="9" t="s">
        <v>7463</v>
      </c>
      <c r="Q2035" s="20">
        <v>2</v>
      </c>
      <c r="R2035" s="9" t="s">
        <v>7464</v>
      </c>
      <c r="S2035" s="11" t="str">
        <f t="shared" si="26"/>
        <v>SEEBACHWX</v>
      </c>
      <c r="T2035" s="9" t="s">
        <v>4344</v>
      </c>
      <c r="U2035" s="9">
        <v>780</v>
      </c>
      <c r="V2035" s="9"/>
      <c r="W2035" s="9" t="s">
        <v>7465</v>
      </c>
      <c r="X2035" s="58" t="s">
        <v>7466</v>
      </c>
      <c r="Y2035" s="7" t="s">
        <v>7252</v>
      </c>
    </row>
    <row r="2036" spans="1:25" ht="14.25" customHeight="1" x14ac:dyDescent="0.2">
      <c r="B2036" s="6">
        <v>11</v>
      </c>
      <c r="C2036" s="4" t="s">
        <v>7700</v>
      </c>
      <c r="D2036" s="4">
        <v>1113697</v>
      </c>
      <c r="E2036" s="4">
        <v>1599</v>
      </c>
      <c r="F2036" s="4" t="s">
        <v>7467</v>
      </c>
      <c r="G2036" s="4" t="s">
        <v>7468</v>
      </c>
      <c r="H2036" s="4" t="s">
        <v>7469</v>
      </c>
      <c r="I2036" s="4" t="s">
        <v>641</v>
      </c>
      <c r="J2036" s="4" t="s">
        <v>7287</v>
      </c>
      <c r="K2036" s="4">
        <v>1</v>
      </c>
      <c r="L2036" s="4">
        <v>2002</v>
      </c>
      <c r="M2036" s="9">
        <v>54.773403000000002</v>
      </c>
      <c r="N2036" s="9">
        <v>-127.139994</v>
      </c>
      <c r="O2036" s="9" t="s">
        <v>148</v>
      </c>
      <c r="P2036" s="9" t="s">
        <v>7467</v>
      </c>
      <c r="Q2036" s="20">
        <v>1</v>
      </c>
      <c r="R2036" s="9" t="s">
        <v>7470</v>
      </c>
      <c r="S2036" s="11" t="str">
        <f t="shared" si="26"/>
        <v>SMITHERCMPD</v>
      </c>
      <c r="T2036" s="9" t="s">
        <v>4344</v>
      </c>
      <c r="U2036" s="9">
        <v>484</v>
      </c>
      <c r="V2036" s="9"/>
      <c r="W2036" s="9" t="s">
        <v>7471</v>
      </c>
      <c r="X2036" s="58" t="s">
        <v>7472</v>
      </c>
      <c r="Y2036" s="7" t="s">
        <v>7252</v>
      </c>
    </row>
    <row r="2037" spans="1:25" ht="14.25" customHeight="1" x14ac:dyDescent="0.2">
      <c r="A2037" s="4" t="s">
        <v>7135</v>
      </c>
      <c r="B2037" s="6"/>
      <c r="C2037" s="10" t="s">
        <v>7136</v>
      </c>
      <c r="D2037" s="8" t="str">
        <f>CONCATENATE("'-&gt; ",P2037)</f>
        <v>'-&gt; SummitLk</v>
      </c>
      <c r="F2037" s="8" t="str">
        <f>CONCATENATE("'-&gt; ",R2037)</f>
        <v>'-&gt; SumWxCC</v>
      </c>
      <c r="G2037" s="8" t="str">
        <f>CONCATENATE("'-&gt; ",-1*N2037," W, ",M2037," N, Elev. ",U2037," m")</f>
        <v>'-&gt; 122.615111 W, 54.22704 N, Elev. 690 m</v>
      </c>
      <c r="M2037" s="9">
        <v>54.227040000000002</v>
      </c>
      <c r="N2037" s="9">
        <v>-122.615111</v>
      </c>
      <c r="O2037" s="9" t="s">
        <v>1290</v>
      </c>
      <c r="P2037" s="9" t="s">
        <v>7473</v>
      </c>
      <c r="Q2037" s="20">
        <v>1</v>
      </c>
      <c r="R2037" s="9" t="s">
        <v>7474</v>
      </c>
      <c r="S2037" s="11" t="str">
        <f t="shared" si="26"/>
        <v>SUMWXCC</v>
      </c>
      <c r="T2037" s="9" t="s">
        <v>4344</v>
      </c>
      <c r="U2037" s="9">
        <v>690</v>
      </c>
      <c r="V2037" s="9"/>
      <c r="W2037" s="9" t="s">
        <v>7475</v>
      </c>
      <c r="X2037" s="58" t="s">
        <v>7415</v>
      </c>
      <c r="Y2037" s="7" t="s">
        <v>7252</v>
      </c>
    </row>
    <row r="2038" spans="1:25" ht="14.25" customHeight="1" x14ac:dyDescent="0.2">
      <c r="A2038" s="4" t="s">
        <v>7476</v>
      </c>
      <c r="B2038" s="6">
        <v>11</v>
      </c>
      <c r="C2038" s="4" t="s">
        <v>7700</v>
      </c>
      <c r="D2038" s="4" t="s">
        <v>7477</v>
      </c>
      <c r="E2038" s="4">
        <v>13069</v>
      </c>
      <c r="F2038" s="4" t="s">
        <v>7477</v>
      </c>
      <c r="G2038" s="4" t="s">
        <v>7478</v>
      </c>
      <c r="H2038" s="4" t="s">
        <v>7479</v>
      </c>
      <c r="I2038" s="4" t="s">
        <v>49</v>
      </c>
      <c r="J2038" s="4" t="s">
        <v>7287</v>
      </c>
      <c r="K2038" s="4">
        <v>1</v>
      </c>
      <c r="L2038" s="4">
        <v>14993</v>
      </c>
      <c r="M2038" s="9">
        <v>53.33869</v>
      </c>
      <c r="N2038" s="9">
        <v>-120.12108000000001</v>
      </c>
      <c r="O2038" s="9" t="s">
        <v>170</v>
      </c>
      <c r="P2038" s="9" t="s">
        <v>7480</v>
      </c>
      <c r="Q2038" s="20">
        <v>7</v>
      </c>
      <c r="R2038" s="9" t="s">
        <v>7477</v>
      </c>
      <c r="S2038" s="11" t="str">
        <f t="shared" si="26"/>
        <v>SUNBEAM</v>
      </c>
      <c r="T2038" s="9" t="s">
        <v>4344</v>
      </c>
      <c r="U2038" s="9">
        <v>2000</v>
      </c>
      <c r="V2038" s="9"/>
      <c r="W2038" s="9" t="s">
        <v>7481</v>
      </c>
      <c r="X2038" s="58" t="s">
        <v>7482</v>
      </c>
      <c r="Y2038" s="7" t="s">
        <v>7252</v>
      </c>
    </row>
    <row r="2039" spans="1:25" ht="14.25" customHeight="1" x14ac:dyDescent="0.2">
      <c r="A2039" s="4" t="s">
        <v>7135</v>
      </c>
      <c r="B2039" s="6"/>
      <c r="C2039" s="10" t="s">
        <v>7136</v>
      </c>
      <c r="D2039" s="8" t="str">
        <f>CONCATENATE("'-&gt; ",P2039)</f>
        <v>'-&gt; Bednesti</v>
      </c>
      <c r="F2039" s="8" t="str">
        <f>CONCATENATE("'-&gt; ",R2039)</f>
        <v>'-&gt; Tamarac</v>
      </c>
      <c r="G2039" s="8" t="str">
        <f>CONCATENATE("'-&gt; ",-1*N2039," W, ",M2039," N, Elev. ",U2039," m")</f>
        <v>'-&gt; 123.370441 W, 53.871334 N, Elev. 865 m</v>
      </c>
      <c r="M2039" s="9">
        <v>53.871333999999997</v>
      </c>
      <c r="N2039" s="9">
        <v>-123.370441</v>
      </c>
      <c r="O2039" s="9" t="s">
        <v>148</v>
      </c>
      <c r="P2039" s="9" t="s">
        <v>7483</v>
      </c>
      <c r="Q2039" s="20">
        <v>2</v>
      </c>
      <c r="R2039" s="9" t="s">
        <v>1301</v>
      </c>
      <c r="S2039" s="11" t="str">
        <f t="shared" si="26"/>
        <v>TAMARAC</v>
      </c>
      <c r="T2039" s="9" t="s">
        <v>4344</v>
      </c>
      <c r="U2039" s="9">
        <v>865</v>
      </c>
      <c r="V2039" s="9"/>
      <c r="W2039" s="9"/>
      <c r="X2039" s="58" t="s">
        <v>7484</v>
      </c>
      <c r="Y2039" s="7" t="s">
        <v>7252</v>
      </c>
    </row>
    <row r="2040" spans="1:25" ht="14.25" customHeight="1" x14ac:dyDescent="0.2">
      <c r="A2040" s="4" t="s">
        <v>7485</v>
      </c>
      <c r="B2040" s="6">
        <v>11</v>
      </c>
      <c r="C2040" s="4" t="s">
        <v>7700</v>
      </c>
      <c r="D2040" s="4">
        <v>1163628</v>
      </c>
      <c r="E2040" s="4">
        <v>1601</v>
      </c>
      <c r="F2040" s="4" t="s">
        <v>7486</v>
      </c>
      <c r="G2040" s="8" t="s">
        <v>7487</v>
      </c>
      <c r="H2040" s="4" t="s">
        <v>7488</v>
      </c>
      <c r="I2040" s="4" t="s">
        <v>641</v>
      </c>
      <c r="J2040" s="4" t="s">
        <v>7358</v>
      </c>
      <c r="K2040" s="4">
        <v>1</v>
      </c>
      <c r="L2040" s="4">
        <v>2004</v>
      </c>
      <c r="M2040" s="9">
        <v>54.333114999999999</v>
      </c>
      <c r="N2040" s="9">
        <v>-126.099445</v>
      </c>
      <c r="O2040" s="9" t="s">
        <v>148</v>
      </c>
      <c r="P2040" s="9" t="s">
        <v>7489</v>
      </c>
      <c r="Q2040" s="20">
        <v>2</v>
      </c>
      <c r="R2040" s="9" t="s">
        <v>7486</v>
      </c>
      <c r="S2040" s="11" t="str">
        <f t="shared" si="26"/>
        <v>THOMPSONWX</v>
      </c>
      <c r="T2040" s="9" t="s">
        <v>4344</v>
      </c>
      <c r="U2040" s="9">
        <v>869</v>
      </c>
      <c r="V2040" s="9"/>
      <c r="W2040" s="9" t="s">
        <v>7490</v>
      </c>
      <c r="X2040" s="58" t="s">
        <v>7491</v>
      </c>
      <c r="Y2040" s="7" t="s">
        <v>7252</v>
      </c>
    </row>
    <row r="2041" spans="1:25" ht="14.25" customHeight="1" x14ac:dyDescent="0.2">
      <c r="A2041" s="4" t="s">
        <v>88</v>
      </c>
      <c r="B2041" s="6">
        <v>11</v>
      </c>
      <c r="C2041" s="4" t="s">
        <v>7700</v>
      </c>
      <c r="D2041" s="4">
        <v>1095439</v>
      </c>
      <c r="E2041" s="4">
        <v>1605</v>
      </c>
      <c r="F2041" s="4" t="s">
        <v>7492</v>
      </c>
      <c r="G2041" s="8" t="s">
        <v>7493</v>
      </c>
      <c r="H2041" s="4" t="s">
        <v>7278</v>
      </c>
      <c r="I2041" s="4" t="s">
        <v>49</v>
      </c>
      <c r="J2041" s="4" t="s">
        <v>7279</v>
      </c>
      <c r="K2041" s="4">
        <v>1</v>
      </c>
      <c r="L2041" s="4">
        <v>2008</v>
      </c>
      <c r="M2041" s="9">
        <v>53.772576999999998</v>
      </c>
      <c r="N2041" s="9">
        <v>-122.72463399999999</v>
      </c>
      <c r="O2041" s="9" t="s">
        <v>1290</v>
      </c>
      <c r="P2041" s="9" t="s">
        <v>7494</v>
      </c>
      <c r="Q2041" s="20">
        <v>1</v>
      </c>
      <c r="R2041" s="9" t="s">
        <v>7492</v>
      </c>
      <c r="S2041" s="11" t="str">
        <f t="shared" si="26"/>
        <v>WILLOW-BOWRONWX</v>
      </c>
      <c r="T2041" s="9" t="s">
        <v>4344</v>
      </c>
      <c r="U2041" s="9">
        <v>596</v>
      </c>
      <c r="V2041" s="9"/>
      <c r="W2041" s="9" t="s">
        <v>7495</v>
      </c>
      <c r="X2041" s="58" t="s">
        <v>7282</v>
      </c>
      <c r="Y2041" s="7" t="s">
        <v>7252</v>
      </c>
    </row>
    <row r="2042" spans="1:25" ht="14.25" customHeight="1" x14ac:dyDescent="0.2">
      <c r="A2042" s="4" t="s">
        <v>7135</v>
      </c>
      <c r="B2042" s="6"/>
      <c r="C2042" s="10" t="s">
        <v>7136</v>
      </c>
      <c r="D2042" s="8" t="str">
        <f t="shared" ref="D2042:D2067" si="31">CONCATENATE("'-&gt; ",P2042)</f>
        <v>'-&gt; 3C09P</v>
      </c>
      <c r="F2042" s="8" t="str">
        <f t="shared" ref="F2042:F2067" si="32">CONCATENATE("'-&gt; ",R2042)</f>
        <v>'-&gt; Ape Lake</v>
      </c>
      <c r="G2042" s="8" t="str">
        <f t="shared" ref="G2042:G2067" si="33">CONCATENATE("'-&gt; ",-1*N2042," W, ",M2042," N, Elev. ",U2042," m")</f>
        <v>'-&gt; 126.2626806 W, 52.1345694 N, Elev. 1423 m</v>
      </c>
      <c r="M2042" s="9">
        <v>52.134569399999997</v>
      </c>
      <c r="N2042" s="9">
        <v>-126.2626806</v>
      </c>
      <c r="O2042" s="9" t="s">
        <v>51</v>
      </c>
      <c r="P2042" s="14" t="s">
        <v>4519</v>
      </c>
      <c r="Q2042" s="70">
        <v>7</v>
      </c>
      <c r="R2042" s="9" t="s">
        <v>4520</v>
      </c>
      <c r="S2042" s="11" t="str">
        <f t="shared" si="26"/>
        <v>APE LAKE</v>
      </c>
      <c r="T2042" s="9" t="s">
        <v>4344</v>
      </c>
      <c r="U2042" s="9">
        <v>1423</v>
      </c>
      <c r="V2042" s="9"/>
      <c r="W2042" s="9" t="s">
        <v>4345</v>
      </c>
      <c r="X2042" s="58" t="s">
        <v>4521</v>
      </c>
      <c r="Y2042" s="7" t="s">
        <v>4347</v>
      </c>
    </row>
    <row r="2043" spans="1:25" ht="14.25" customHeight="1" x14ac:dyDescent="0.2">
      <c r="A2043" s="4" t="s">
        <v>7135</v>
      </c>
      <c r="B2043" s="6"/>
      <c r="C2043" s="10" t="s">
        <v>7136</v>
      </c>
      <c r="D2043" s="8" t="str">
        <f t="shared" si="31"/>
        <v>'-&gt; 3B28P</v>
      </c>
      <c r="F2043" s="8" t="str">
        <f t="shared" si="32"/>
        <v>'-&gt; Cain Ridge_Run</v>
      </c>
      <c r="G2043" s="8" t="str">
        <f t="shared" si="33"/>
        <v>'-&gt; 126.3515 W, 50.2265 N, Elev. 1330 m</v>
      </c>
      <c r="M2043" s="9">
        <v>50.226500000000001</v>
      </c>
      <c r="N2043" s="9">
        <v>-126.3515</v>
      </c>
      <c r="O2043" s="9" t="s">
        <v>51</v>
      </c>
      <c r="P2043" s="9" t="s">
        <v>7496</v>
      </c>
      <c r="Q2043" s="70">
        <v>7</v>
      </c>
      <c r="R2043" s="9" t="s">
        <v>7497</v>
      </c>
      <c r="S2043" s="11" t="str">
        <f t="shared" si="26"/>
        <v>CAIN RIDGE_RUN</v>
      </c>
      <c r="T2043" s="9" t="s">
        <v>4344</v>
      </c>
      <c r="U2043" s="9">
        <v>1330</v>
      </c>
      <c r="V2043" s="9" t="s">
        <v>645</v>
      </c>
      <c r="W2043" s="9" t="s">
        <v>7498</v>
      </c>
      <c r="X2043" s="58" t="s">
        <v>7499</v>
      </c>
      <c r="Y2043" s="7" t="s">
        <v>4347</v>
      </c>
    </row>
    <row r="2044" spans="1:25" ht="14.25" customHeight="1" x14ac:dyDescent="0.2">
      <c r="A2044" s="4" t="s">
        <v>7135</v>
      </c>
      <c r="B2044" s="6"/>
      <c r="C2044" s="10" t="s">
        <v>7136</v>
      </c>
      <c r="D2044" s="8" t="str">
        <f t="shared" si="31"/>
        <v>'-&gt; 3C10P</v>
      </c>
      <c r="F2044" s="8" t="str">
        <f t="shared" si="32"/>
        <v>'-&gt; CLAYTON FALLS</v>
      </c>
      <c r="G2044" s="8" t="str">
        <f t="shared" si="33"/>
        <v>'-&gt; 126.890543 W, 52.279579 N, Elev. 1260 m</v>
      </c>
      <c r="M2044" s="9">
        <v>52.279578999999998</v>
      </c>
      <c r="N2044" s="9">
        <v>-126.89054299999999</v>
      </c>
      <c r="O2044" s="9" t="s">
        <v>51</v>
      </c>
      <c r="P2044" s="9" t="s">
        <v>4343</v>
      </c>
      <c r="Q2044" s="70">
        <v>6</v>
      </c>
      <c r="R2044" s="9" t="s">
        <v>4340</v>
      </c>
      <c r="S2044" s="11" t="str">
        <f t="shared" si="26"/>
        <v>CLAYTON FALLS</v>
      </c>
      <c r="T2044" s="9" t="s">
        <v>4344</v>
      </c>
      <c r="U2044" s="9">
        <v>1260</v>
      </c>
      <c r="V2044" s="9"/>
      <c r="W2044" s="9" t="s">
        <v>4345</v>
      </c>
      <c r="X2044" s="58" t="s">
        <v>4346</v>
      </c>
      <c r="Y2044" s="7" t="s">
        <v>4347</v>
      </c>
    </row>
    <row r="2045" spans="1:25" ht="14.25" customHeight="1" x14ac:dyDescent="0.2">
      <c r="A2045" s="4" t="s">
        <v>7135</v>
      </c>
      <c r="B2045" s="6"/>
      <c r="C2045" s="10" t="s">
        <v>7136</v>
      </c>
      <c r="D2045" s="8" t="str">
        <f t="shared" si="31"/>
        <v>'-&gt; Datla</v>
      </c>
      <c r="F2045" s="8" t="str">
        <f t="shared" si="32"/>
        <v>'-&gt; Datlaman Pass</v>
      </c>
      <c r="G2045" s="8" t="str">
        <f t="shared" si="33"/>
        <v>'-&gt; 132.584234 W, 53.545561 N, Elev. 287 m</v>
      </c>
      <c r="M2045" s="9">
        <v>53.545560999999999</v>
      </c>
      <c r="N2045" s="9">
        <v>-132.58423400000001</v>
      </c>
      <c r="O2045" s="9" t="s">
        <v>51</v>
      </c>
      <c r="P2045" s="9" t="s">
        <v>7500</v>
      </c>
      <c r="Q2045" s="70">
        <v>2</v>
      </c>
      <c r="R2045" s="9" t="s">
        <v>7501</v>
      </c>
      <c r="S2045" s="11" t="str">
        <f t="shared" si="26"/>
        <v>DATLAMAN PASS</v>
      </c>
      <c r="T2045" s="9" t="s">
        <v>4344</v>
      </c>
      <c r="U2045" s="9">
        <v>287</v>
      </c>
      <c r="V2045" s="9"/>
      <c r="W2045" s="9" t="s">
        <v>7502</v>
      </c>
      <c r="X2045" s="58" t="s">
        <v>7503</v>
      </c>
      <c r="Y2045" s="7" t="s">
        <v>4347</v>
      </c>
    </row>
    <row r="2046" spans="1:25" ht="14.25" customHeight="1" x14ac:dyDescent="0.2">
      <c r="A2046" s="4" t="s">
        <v>7135</v>
      </c>
      <c r="B2046" s="6"/>
      <c r="C2046" s="10" t="s">
        <v>7136</v>
      </c>
      <c r="D2046" s="8" t="str">
        <f t="shared" si="31"/>
        <v>'-&gt; 3A30P</v>
      </c>
      <c r="F2046" s="8" t="str">
        <f t="shared" si="32"/>
        <v>'-&gt; Homathko</v>
      </c>
      <c r="G2046" s="8" t="str">
        <f t="shared" si="33"/>
        <v>'-&gt; 124.950181 W, 51.10187 N, Elev. 1481 m</v>
      </c>
      <c r="M2046" s="106">
        <v>51.101869999999998</v>
      </c>
      <c r="N2046" s="106">
        <v>-124.950181</v>
      </c>
      <c r="O2046" s="9" t="s">
        <v>51</v>
      </c>
      <c r="P2046" s="9" t="s">
        <v>7504</v>
      </c>
      <c r="Q2046" s="70">
        <v>7</v>
      </c>
      <c r="R2046" s="9" t="s">
        <v>7505</v>
      </c>
      <c r="S2046" s="11" t="str">
        <f t="shared" si="26"/>
        <v>HOMATHKO</v>
      </c>
      <c r="T2046" s="9" t="s">
        <v>4344</v>
      </c>
      <c r="U2046" s="9">
        <v>1481</v>
      </c>
      <c r="V2046" s="9"/>
      <c r="W2046" s="9" t="s">
        <v>7506</v>
      </c>
      <c r="X2046" s="58" t="s">
        <v>7507</v>
      </c>
      <c r="Y2046" s="7" t="s">
        <v>4347</v>
      </c>
    </row>
    <row r="2047" spans="1:25" ht="14.25" customHeight="1" x14ac:dyDescent="0.2">
      <c r="A2047" s="4" t="s">
        <v>7135</v>
      </c>
      <c r="B2047" s="6"/>
      <c r="C2047" s="10" t="s">
        <v>7136</v>
      </c>
      <c r="D2047" s="8" t="str">
        <f t="shared" si="31"/>
        <v>'-&gt; 3C11P</v>
      </c>
      <c r="F2047" s="8" t="str">
        <f t="shared" si="32"/>
        <v>'-&gt; Klinakllini</v>
      </c>
      <c r="G2047" s="8" t="str">
        <f t="shared" si="33"/>
        <v>'-&gt; 125.76953 W, 51.38002 N, Elev. 1532 m</v>
      </c>
      <c r="M2047" s="107">
        <v>51.380020000000002</v>
      </c>
      <c r="N2047" s="108">
        <v>-125.76953</v>
      </c>
      <c r="O2047" s="9" t="s">
        <v>51</v>
      </c>
      <c r="P2047" s="9" t="s">
        <v>7508</v>
      </c>
      <c r="Q2047" s="70">
        <v>7</v>
      </c>
      <c r="R2047" s="9" t="s">
        <v>7509</v>
      </c>
      <c r="S2047" s="11" t="str">
        <f t="shared" si="26"/>
        <v>KLINAKLLINI</v>
      </c>
      <c r="T2047" s="9" t="s">
        <v>4344</v>
      </c>
      <c r="U2047" s="9">
        <v>1532</v>
      </c>
      <c r="V2047" s="9"/>
      <c r="W2047" s="9" t="s">
        <v>7506</v>
      </c>
      <c r="X2047" s="58" t="s">
        <v>7510</v>
      </c>
      <c r="Y2047" s="7" t="s">
        <v>4347</v>
      </c>
    </row>
    <row r="2048" spans="1:25" ht="14.25" customHeight="1" x14ac:dyDescent="0.2">
      <c r="A2048" s="4" t="s">
        <v>7135</v>
      </c>
      <c r="B2048" s="6"/>
      <c r="C2048" s="10" t="s">
        <v>7136</v>
      </c>
      <c r="D2048" s="8" t="str">
        <f t="shared" si="31"/>
        <v>'-&gt; 3B29P</v>
      </c>
      <c r="F2048" s="8" t="str">
        <f t="shared" si="32"/>
        <v>'-&gt; Lower Cain</v>
      </c>
      <c r="G2048" s="8" t="str">
        <f t="shared" si="33"/>
        <v>'-&gt; 126.3563 W, 50.22575 N, Elev. 1260 m</v>
      </c>
      <c r="M2048" s="107">
        <v>50.225749999999998</v>
      </c>
      <c r="N2048" s="109">
        <v>-126.3563</v>
      </c>
      <c r="O2048" s="9" t="s">
        <v>51</v>
      </c>
      <c r="P2048" s="9" t="s">
        <v>7511</v>
      </c>
      <c r="Q2048" s="70">
        <v>6</v>
      </c>
      <c r="R2048" s="9" t="s">
        <v>7512</v>
      </c>
      <c r="S2048" s="11" t="str">
        <f t="shared" si="26"/>
        <v>LOWER CAIN</v>
      </c>
      <c r="T2048" s="9" t="s">
        <v>4344</v>
      </c>
      <c r="U2048" s="9">
        <v>1260</v>
      </c>
      <c r="V2048" s="9"/>
      <c r="W2048" s="9" t="s">
        <v>7513</v>
      </c>
      <c r="X2048" s="58" t="s">
        <v>7514</v>
      </c>
      <c r="Y2048" s="7" t="s">
        <v>4347</v>
      </c>
    </row>
    <row r="2049" spans="1:25" ht="14.25" customHeight="1" x14ac:dyDescent="0.2">
      <c r="A2049" s="4" t="s">
        <v>7135</v>
      </c>
      <c r="B2049" s="6"/>
      <c r="C2049" s="10" t="s">
        <v>7136</v>
      </c>
      <c r="D2049" s="8" t="str">
        <f t="shared" si="31"/>
        <v>'-&gt; 3C12P</v>
      </c>
      <c r="F2049" s="8" t="str">
        <f t="shared" si="32"/>
        <v>'-&gt; Machmell Kliniklini</v>
      </c>
      <c r="G2049" s="8" t="str">
        <f t="shared" si="33"/>
        <v>'-&gt; 126.140744 W, 51.6555806 N, Elev. 1601 m</v>
      </c>
      <c r="M2049" s="9">
        <v>51.6555806</v>
      </c>
      <c r="N2049" s="9">
        <v>-126.140744</v>
      </c>
      <c r="O2049" s="9" t="s">
        <v>51</v>
      </c>
      <c r="P2049" s="9" t="s">
        <v>7515</v>
      </c>
      <c r="Q2049" s="70">
        <v>7</v>
      </c>
      <c r="R2049" s="9" t="s">
        <v>7516</v>
      </c>
      <c r="S2049" s="11" t="str">
        <f t="shared" si="26"/>
        <v>MACHMELL KLINIKLINI</v>
      </c>
      <c r="T2049" s="9" t="s">
        <v>4344</v>
      </c>
      <c r="U2049" s="9">
        <v>1601</v>
      </c>
      <c r="V2049" s="9"/>
      <c r="W2049" s="9" t="s">
        <v>7517</v>
      </c>
      <c r="X2049" s="58" t="s">
        <v>4521</v>
      </c>
      <c r="Y2049" s="7" t="s">
        <v>4347</v>
      </c>
    </row>
    <row r="2050" spans="1:25" ht="14.25" customHeight="1" x14ac:dyDescent="0.2">
      <c r="A2050" s="4" t="s">
        <v>7135</v>
      </c>
      <c r="B2050" s="6"/>
      <c r="C2050" s="10" t="s">
        <v>7136</v>
      </c>
      <c r="D2050" s="8" t="str">
        <f t="shared" si="31"/>
        <v>'-&gt; Mount Buxton</v>
      </c>
      <c r="F2050" s="8" t="str">
        <f t="shared" si="32"/>
        <v>'-&gt; Mount Buxton</v>
      </c>
      <c r="G2050" s="8" t="str">
        <f t="shared" si="33"/>
        <v>'-&gt; 127.975 W, 51.5899 N, Elev. 738 m</v>
      </c>
      <c r="M2050" s="9">
        <v>51.5899</v>
      </c>
      <c r="N2050" s="9">
        <v>-127.97499999999999</v>
      </c>
      <c r="O2050" s="9" t="s">
        <v>51</v>
      </c>
      <c r="P2050" s="9" t="s">
        <v>7518</v>
      </c>
      <c r="Q2050" s="70">
        <v>4</v>
      </c>
      <c r="R2050" s="9" t="s">
        <v>7518</v>
      </c>
      <c r="S2050" s="11" t="str">
        <f t="shared" si="26"/>
        <v>MOUNT BUXTON</v>
      </c>
      <c r="T2050" s="9" t="s">
        <v>4344</v>
      </c>
      <c r="U2050" s="9">
        <v>738</v>
      </c>
      <c r="V2050" s="9" t="s">
        <v>645</v>
      </c>
      <c r="W2050" s="9" t="s">
        <v>7519</v>
      </c>
      <c r="X2050" s="58" t="s">
        <v>7348</v>
      </c>
      <c r="Y2050" s="7" t="s">
        <v>4347</v>
      </c>
    </row>
    <row r="2051" spans="1:25" ht="14.25" customHeight="1" x14ac:dyDescent="0.2">
      <c r="A2051" s="4" t="s">
        <v>7135</v>
      </c>
      <c r="B2051" s="6"/>
      <c r="C2051" s="10" t="s">
        <v>7136</v>
      </c>
      <c r="D2051" s="8" t="str">
        <f t="shared" si="31"/>
        <v>'-&gt; 3A31P</v>
      </c>
      <c r="F2051" s="8" t="str">
        <f t="shared" si="32"/>
        <v>'-&gt; Mount Cayley</v>
      </c>
      <c r="G2051" s="8" t="str">
        <f t="shared" si="33"/>
        <v>'-&gt; 123.27747 W, 50.070953 N, Elev. 1588 m</v>
      </c>
      <c r="M2051" s="9">
        <v>50.070953000000003</v>
      </c>
      <c r="N2051" s="9">
        <v>-123.27746999999999</v>
      </c>
      <c r="O2051" s="9" t="s">
        <v>51</v>
      </c>
      <c r="P2051" s="9" t="s">
        <v>7520</v>
      </c>
      <c r="Q2051" s="70">
        <v>7</v>
      </c>
      <c r="R2051" s="9" t="s">
        <v>7521</v>
      </c>
      <c r="S2051" s="11" t="str">
        <f t="shared" si="26"/>
        <v>MOUNT CAYLEY</v>
      </c>
      <c r="T2051" s="9" t="s">
        <v>4344</v>
      </c>
      <c r="U2051" s="9">
        <v>1588</v>
      </c>
      <c r="V2051" s="9"/>
      <c r="W2051" s="9" t="s">
        <v>7522</v>
      </c>
      <c r="X2051" s="58" t="s">
        <v>7523</v>
      </c>
      <c r="Y2051" s="7" t="s">
        <v>4347</v>
      </c>
    </row>
    <row r="2052" spans="1:25" ht="14.25" customHeight="1" x14ac:dyDescent="0.2">
      <c r="A2052" s="4" t="s">
        <v>7135</v>
      </c>
      <c r="B2052" s="6"/>
      <c r="C2052" s="10" t="s">
        <v>7136</v>
      </c>
      <c r="D2052" s="8" t="str">
        <f t="shared" si="31"/>
        <v>'-&gt; 3C13P</v>
      </c>
      <c r="F2052" s="8" t="str">
        <f t="shared" si="32"/>
        <v>'-&gt; Mount Maya</v>
      </c>
      <c r="G2052" s="8" t="str">
        <f t="shared" si="33"/>
        <v>'-&gt; 126.073 W, 52.287 N, Elev. 1692 m</v>
      </c>
      <c r="M2052" s="9">
        <v>52.286999999999999</v>
      </c>
      <c r="N2052" s="9">
        <v>-126.07299999999999</v>
      </c>
      <c r="O2052" s="9" t="s">
        <v>51</v>
      </c>
      <c r="P2052" s="9" t="s">
        <v>7524</v>
      </c>
      <c r="Q2052" s="70">
        <v>8</v>
      </c>
      <c r="R2052" s="9" t="s">
        <v>7525</v>
      </c>
      <c r="S2052" s="11" t="str">
        <f t="shared" si="26"/>
        <v>MOUNT MAYA</v>
      </c>
      <c r="T2052" s="9" t="s">
        <v>4344</v>
      </c>
      <c r="U2052" s="9">
        <v>1692</v>
      </c>
      <c r="V2052" s="9" t="s">
        <v>645</v>
      </c>
      <c r="W2052" s="9" t="s">
        <v>7526</v>
      </c>
      <c r="X2052" s="58" t="s">
        <v>7527</v>
      </c>
      <c r="Y2052" s="7" t="s">
        <v>4347</v>
      </c>
    </row>
    <row r="2053" spans="1:25" ht="14.25" customHeight="1" x14ac:dyDescent="0.2">
      <c r="A2053" s="4" t="s">
        <v>7135</v>
      </c>
      <c r="B2053" s="6"/>
      <c r="C2053" s="10" t="s">
        <v>7136</v>
      </c>
      <c r="D2053" s="8" t="str">
        <f t="shared" si="31"/>
        <v>'-&gt; 3a29P</v>
      </c>
      <c r="F2053" s="8" t="str">
        <f t="shared" si="32"/>
        <v>'-&gt; Perseverence Creek</v>
      </c>
      <c r="G2053" s="8" t="str">
        <f t="shared" si="33"/>
        <v>'-&gt; 125.131 W, 49.594 N, Elev. 970 m</v>
      </c>
      <c r="M2053" s="110">
        <v>49.594000000000001</v>
      </c>
      <c r="N2053" s="111">
        <v>-125.131</v>
      </c>
      <c r="O2053" s="9" t="s">
        <v>51</v>
      </c>
      <c r="P2053" s="9" t="s">
        <v>7528</v>
      </c>
      <c r="Q2053" s="70">
        <v>5</v>
      </c>
      <c r="R2053" s="9" t="s">
        <v>7529</v>
      </c>
      <c r="S2053" s="11" t="str">
        <f t="shared" si="26"/>
        <v>PERSEVERENCE CREEK</v>
      </c>
      <c r="T2053" s="9" t="s">
        <v>4344</v>
      </c>
      <c r="U2053" s="9">
        <v>970</v>
      </c>
      <c r="V2053" s="9"/>
      <c r="W2053" s="9" t="s">
        <v>7530</v>
      </c>
      <c r="X2053" s="58" t="s">
        <v>7510</v>
      </c>
      <c r="Y2053" s="7" t="s">
        <v>4347</v>
      </c>
    </row>
    <row r="2054" spans="1:25" ht="14.25" customHeight="1" x14ac:dyDescent="0.2">
      <c r="A2054" s="4" t="s">
        <v>7135</v>
      </c>
      <c r="B2054" s="6"/>
      <c r="C2054" s="10" t="s">
        <v>7136</v>
      </c>
      <c r="D2054" s="8" t="str">
        <f t="shared" si="31"/>
        <v>'-&gt; 1D20P</v>
      </c>
      <c r="F2054" s="8" t="str">
        <f t="shared" si="32"/>
        <v>'-&gt; Place Glacier</v>
      </c>
      <c r="G2054" s="8" t="str">
        <f t="shared" si="33"/>
        <v>'-&gt; 122.61442 W, 50.420312 N, Elev. 2300 m</v>
      </c>
      <c r="M2054" s="9">
        <v>50.420312000000003</v>
      </c>
      <c r="N2054" s="9">
        <v>-122.61442</v>
      </c>
      <c r="O2054" s="9" t="s">
        <v>142</v>
      </c>
      <c r="P2054" s="9" t="s">
        <v>7531</v>
      </c>
      <c r="Q2054" s="20">
        <v>8</v>
      </c>
      <c r="R2054" s="9" t="s">
        <v>7532</v>
      </c>
      <c r="S2054" s="11" t="str">
        <f t="shared" si="26"/>
        <v>PLACE GLACIER</v>
      </c>
      <c r="T2054" s="9" t="s">
        <v>4344</v>
      </c>
      <c r="U2054" s="9">
        <v>2300</v>
      </c>
      <c r="V2054" s="9"/>
      <c r="W2054" s="9"/>
      <c r="X2054" s="58"/>
      <c r="Y2054" s="7" t="s">
        <v>4347</v>
      </c>
    </row>
    <row r="2055" spans="1:25" ht="14.25" customHeight="1" x14ac:dyDescent="0.2">
      <c r="A2055" s="4" t="s">
        <v>7135</v>
      </c>
      <c r="B2055" s="6"/>
      <c r="C2055" s="10" t="s">
        <v>7136</v>
      </c>
      <c r="D2055" s="8" t="str">
        <f t="shared" si="31"/>
        <v>'-&gt; 3A32P</v>
      </c>
      <c r="F2055" s="8" t="str">
        <f t="shared" si="32"/>
        <v>'-&gt; Plummer Hut</v>
      </c>
      <c r="G2055" s="8" t="str">
        <f t="shared" si="33"/>
        <v>'-&gt; 125.1645 W, 51.3735 N, Elev. 2680 m</v>
      </c>
      <c r="M2055" s="112">
        <v>51.3735</v>
      </c>
      <c r="N2055" s="112">
        <v>-125.1645</v>
      </c>
      <c r="O2055" s="9" t="s">
        <v>51</v>
      </c>
      <c r="P2055" s="9" t="s">
        <v>7533</v>
      </c>
      <c r="Q2055" s="70">
        <v>8</v>
      </c>
      <c r="R2055" s="9" t="s">
        <v>7534</v>
      </c>
      <c r="S2055" s="11" t="str">
        <f t="shared" si="26"/>
        <v>PLUMMER HUT</v>
      </c>
      <c r="T2055" s="9" t="s">
        <v>4344</v>
      </c>
      <c r="U2055" s="9">
        <v>2680</v>
      </c>
      <c r="V2055" s="9"/>
      <c r="W2055" s="9" t="s">
        <v>7535</v>
      </c>
      <c r="X2055" s="58" t="s">
        <v>7536</v>
      </c>
      <c r="Y2055" s="7" t="s">
        <v>4347</v>
      </c>
    </row>
    <row r="2056" spans="1:25" ht="14.25" customHeight="1" x14ac:dyDescent="0.2">
      <c r="A2056" s="4" t="s">
        <v>7135</v>
      </c>
      <c r="B2056" s="6"/>
      <c r="C2056" s="10" t="s">
        <v>7136</v>
      </c>
      <c r="D2056" s="8" t="str">
        <f t="shared" si="31"/>
        <v>'-&gt; RennellP</v>
      </c>
      <c r="F2056" s="8" t="str">
        <f t="shared" si="32"/>
        <v>'-&gt; Rennell Pass</v>
      </c>
      <c r="G2056" s="8" t="str">
        <f t="shared" si="33"/>
        <v>'-&gt; 132.3655 W, 53.3434 N, Elev. 316 m</v>
      </c>
      <c r="M2056" s="9">
        <v>53.343400000000003</v>
      </c>
      <c r="N2056" s="9">
        <v>-132.3655</v>
      </c>
      <c r="O2056" s="9" t="s">
        <v>51</v>
      </c>
      <c r="P2056" s="9" t="s">
        <v>7537</v>
      </c>
      <c r="Q2056" s="70">
        <v>3</v>
      </c>
      <c r="R2056" s="9" t="s">
        <v>7538</v>
      </c>
      <c r="S2056" s="11" t="str">
        <f t="shared" si="26"/>
        <v>RENNELL PASS</v>
      </c>
      <c r="T2056" s="9" t="s">
        <v>4344</v>
      </c>
      <c r="U2056" s="9">
        <v>316</v>
      </c>
      <c r="V2056" s="9" t="s">
        <v>645</v>
      </c>
      <c r="W2056" s="9" t="s">
        <v>7539</v>
      </c>
      <c r="X2056" s="58" t="s">
        <v>7540</v>
      </c>
      <c r="Y2056" s="7" t="s">
        <v>4347</v>
      </c>
    </row>
    <row r="2057" spans="1:25" ht="14.25" customHeight="1" x14ac:dyDescent="0.2">
      <c r="A2057" s="4" t="s">
        <v>7135</v>
      </c>
      <c r="B2057" s="6"/>
      <c r="C2057" s="10" t="s">
        <v>7136</v>
      </c>
      <c r="D2057" s="8" t="str">
        <f t="shared" si="31"/>
        <v>'-&gt; Russell_Main</v>
      </c>
      <c r="F2057" s="8" t="str">
        <f t="shared" si="32"/>
        <v>'-&gt; Russell at mouth</v>
      </c>
      <c r="G2057" s="8" t="str">
        <f t="shared" si="33"/>
        <v>'-&gt; 126.41 W, 50.3251 N, Elev. 280 m</v>
      </c>
      <c r="M2057" s="9">
        <v>50.325099999999999</v>
      </c>
      <c r="N2057" s="9">
        <v>-126.41</v>
      </c>
      <c r="O2057" s="9" t="s">
        <v>51</v>
      </c>
      <c r="P2057" s="9" t="s">
        <v>7541</v>
      </c>
      <c r="Q2057" s="70">
        <v>2</v>
      </c>
      <c r="R2057" s="9" t="s">
        <v>7542</v>
      </c>
      <c r="S2057" s="11" t="str">
        <f t="shared" si="26"/>
        <v>RUSSELL AT MOUTH</v>
      </c>
      <c r="T2057" s="9" t="s">
        <v>4344</v>
      </c>
      <c r="U2057" s="9">
        <v>280</v>
      </c>
      <c r="V2057" s="9"/>
      <c r="W2057" s="9" t="s">
        <v>7543</v>
      </c>
      <c r="X2057" s="58" t="s">
        <v>7544</v>
      </c>
      <c r="Y2057" s="7" t="s">
        <v>4347</v>
      </c>
    </row>
    <row r="2058" spans="1:25" ht="14.25" customHeight="1" x14ac:dyDescent="0.2">
      <c r="A2058" s="4" t="s">
        <v>7135</v>
      </c>
      <c r="B2058" s="6"/>
      <c r="C2058" s="10" t="s">
        <v>7136</v>
      </c>
      <c r="D2058" s="8" t="str">
        <f t="shared" si="31"/>
        <v>'-&gt; STEPH_1</v>
      </c>
      <c r="F2058" s="8" t="str">
        <f t="shared" si="32"/>
        <v>'-&gt; Stephanie 1</v>
      </c>
      <c r="G2058" s="8" t="str">
        <f t="shared" si="33"/>
        <v>'-&gt; 126.35681 W, 50.306645 N, Elev. 1516 m</v>
      </c>
      <c r="M2058" s="9">
        <v>50.306645000000003</v>
      </c>
      <c r="N2058" s="9">
        <v>-126.35681</v>
      </c>
      <c r="O2058" s="9" t="s">
        <v>51</v>
      </c>
      <c r="P2058" s="9" t="s">
        <v>7545</v>
      </c>
      <c r="Q2058" s="70">
        <v>7</v>
      </c>
      <c r="R2058" s="9" t="s">
        <v>7546</v>
      </c>
      <c r="S2058" s="11" t="str">
        <f t="shared" si="26"/>
        <v>STEPHANIE 1</v>
      </c>
      <c r="T2058" s="9" t="s">
        <v>4344</v>
      </c>
      <c r="U2058" s="9">
        <v>1516</v>
      </c>
      <c r="V2058" s="9" t="s">
        <v>645</v>
      </c>
      <c r="W2058" s="9" t="s">
        <v>7547</v>
      </c>
      <c r="X2058" s="58" t="s">
        <v>7548</v>
      </c>
      <c r="Y2058" s="7" t="s">
        <v>4347</v>
      </c>
    </row>
    <row r="2059" spans="1:25" ht="14.25" customHeight="1" x14ac:dyDescent="0.2">
      <c r="A2059" s="4" t="s">
        <v>7135</v>
      </c>
      <c r="B2059" s="6"/>
      <c r="C2059" s="10" t="s">
        <v>7136</v>
      </c>
      <c r="D2059" s="8" t="str">
        <f t="shared" si="31"/>
        <v>'-&gt; STEPH_2</v>
      </c>
      <c r="F2059" s="8" t="str">
        <f t="shared" si="32"/>
        <v>'-&gt; Stephanie 2</v>
      </c>
      <c r="G2059" s="8" t="str">
        <f t="shared" si="33"/>
        <v>'-&gt; 126.3627 W, 50.3124 N, Elev. 1164 m</v>
      </c>
      <c r="M2059" s="9">
        <v>50.312399999999997</v>
      </c>
      <c r="N2059" s="9">
        <v>-126.3627</v>
      </c>
      <c r="O2059" s="9" t="s">
        <v>51</v>
      </c>
      <c r="P2059" s="9" t="s">
        <v>7549</v>
      </c>
      <c r="Q2059" s="70">
        <v>6</v>
      </c>
      <c r="R2059" s="9" t="s">
        <v>7550</v>
      </c>
      <c r="S2059" s="11" t="str">
        <f t="shared" si="26"/>
        <v>STEPHANIE 2</v>
      </c>
      <c r="T2059" s="9" t="s">
        <v>4344</v>
      </c>
      <c r="U2059" s="9">
        <v>1164</v>
      </c>
      <c r="V2059" s="9"/>
      <c r="W2059" s="9" t="s">
        <v>7551</v>
      </c>
      <c r="X2059" s="58" t="s">
        <v>7552</v>
      </c>
      <c r="Y2059" s="7" t="s">
        <v>4347</v>
      </c>
    </row>
    <row r="2060" spans="1:25" ht="14.25" customHeight="1" x14ac:dyDescent="0.2">
      <c r="A2060" s="4" t="s">
        <v>7135</v>
      </c>
      <c r="B2060" s="6"/>
      <c r="C2060" s="10" t="s">
        <v>7136</v>
      </c>
      <c r="D2060" s="8" t="str">
        <f t="shared" si="31"/>
        <v>'-&gt; STEPH_3</v>
      </c>
      <c r="F2060" s="8" t="str">
        <f t="shared" si="32"/>
        <v>'-&gt; Stephanie 3</v>
      </c>
      <c r="G2060" s="8" t="str">
        <f t="shared" si="33"/>
        <v>'-&gt; 126.3631 W, 50.3181 N, Elev. 1030 m</v>
      </c>
      <c r="M2060" s="9">
        <v>50.318100000000001</v>
      </c>
      <c r="N2060" s="9">
        <v>-126.3631</v>
      </c>
      <c r="O2060" s="9" t="s">
        <v>51</v>
      </c>
      <c r="P2060" s="9" t="s">
        <v>7553</v>
      </c>
      <c r="Q2060" s="70">
        <v>5</v>
      </c>
      <c r="R2060" s="9" t="s">
        <v>7554</v>
      </c>
      <c r="S2060" s="11" t="str">
        <f t="shared" si="26"/>
        <v>STEPHANIE 3</v>
      </c>
      <c r="T2060" s="9" t="s">
        <v>4344</v>
      </c>
      <c r="U2060" s="9">
        <v>1030</v>
      </c>
      <c r="V2060" s="9"/>
      <c r="W2060" s="9" t="s">
        <v>7555</v>
      </c>
      <c r="X2060" s="58" t="s">
        <v>7552</v>
      </c>
      <c r="Y2060" s="7" t="s">
        <v>4347</v>
      </c>
    </row>
    <row r="2061" spans="1:25" ht="14.25" customHeight="1" x14ac:dyDescent="0.2">
      <c r="A2061" s="4" t="s">
        <v>7135</v>
      </c>
      <c r="B2061" s="6"/>
      <c r="C2061" s="10" t="s">
        <v>7136</v>
      </c>
      <c r="D2061" s="8" t="str">
        <f t="shared" si="31"/>
        <v>'-&gt; STEPH_4</v>
      </c>
      <c r="F2061" s="8" t="str">
        <f t="shared" si="32"/>
        <v>'-&gt; Stephanie 4</v>
      </c>
      <c r="G2061" s="8" t="str">
        <f t="shared" si="33"/>
        <v>'-&gt; 126.355 W, 50.3171 N, Elev. 950 m</v>
      </c>
      <c r="M2061" s="9">
        <v>50.317100000000003</v>
      </c>
      <c r="N2061" s="9">
        <v>-126.355</v>
      </c>
      <c r="O2061" s="9" t="s">
        <v>51</v>
      </c>
      <c r="P2061" s="9" t="s">
        <v>7556</v>
      </c>
      <c r="Q2061" s="70">
        <v>5</v>
      </c>
      <c r="R2061" s="9" t="s">
        <v>7557</v>
      </c>
      <c r="S2061" s="11" t="str">
        <f t="shared" si="26"/>
        <v>STEPHANIE 4</v>
      </c>
      <c r="T2061" s="9" t="s">
        <v>4344</v>
      </c>
      <c r="U2061" s="9">
        <v>950</v>
      </c>
      <c r="V2061" s="9"/>
      <c r="W2061" s="9" t="s">
        <v>7558</v>
      </c>
      <c r="X2061" s="58" t="s">
        <v>7552</v>
      </c>
      <c r="Y2061" s="7" t="s">
        <v>4347</v>
      </c>
    </row>
    <row r="2062" spans="1:25" ht="14.25" customHeight="1" x14ac:dyDescent="0.2">
      <c r="A2062" s="4" t="s">
        <v>7135</v>
      </c>
      <c r="B2062" s="6"/>
      <c r="C2062" s="10" t="s">
        <v>7136</v>
      </c>
      <c r="D2062" s="8" t="str">
        <f t="shared" si="31"/>
        <v>'-&gt; STEPH_6</v>
      </c>
      <c r="F2062" s="8" t="str">
        <f t="shared" si="32"/>
        <v>'-&gt; Stephanie 6</v>
      </c>
      <c r="G2062" s="8" t="str">
        <f t="shared" si="33"/>
        <v>'-&gt; 126.35 W, 50.3186 N, Elev. 820 m</v>
      </c>
      <c r="M2062" s="9">
        <v>50.318600000000004</v>
      </c>
      <c r="N2062" s="9">
        <v>-126.35</v>
      </c>
      <c r="O2062" s="9" t="s">
        <v>51</v>
      </c>
      <c r="P2062" s="9" t="s">
        <v>7559</v>
      </c>
      <c r="Q2062" s="70">
        <v>5</v>
      </c>
      <c r="R2062" s="9" t="s">
        <v>7560</v>
      </c>
      <c r="S2062" s="11" t="str">
        <f t="shared" si="26"/>
        <v>STEPHANIE 6</v>
      </c>
      <c r="T2062" s="9" t="s">
        <v>4344</v>
      </c>
      <c r="U2062" s="9">
        <v>820</v>
      </c>
      <c r="V2062" s="9" t="s">
        <v>645</v>
      </c>
      <c r="W2062" s="9" t="s">
        <v>7561</v>
      </c>
      <c r="X2062" s="58" t="s">
        <v>7562</v>
      </c>
      <c r="Y2062" s="7" t="s">
        <v>4347</v>
      </c>
    </row>
    <row r="2063" spans="1:25" ht="14.25" customHeight="1" x14ac:dyDescent="0.2">
      <c r="A2063" s="4" t="s">
        <v>7135</v>
      </c>
      <c r="B2063" s="6"/>
      <c r="C2063" s="10" t="s">
        <v>7136</v>
      </c>
      <c r="D2063" s="8" t="str">
        <f t="shared" si="31"/>
        <v>'-&gt; STEPH_7</v>
      </c>
      <c r="F2063" s="8" t="str">
        <f t="shared" si="32"/>
        <v>'-&gt; Stephanie 7</v>
      </c>
      <c r="G2063" s="8" t="str">
        <f t="shared" si="33"/>
        <v>'-&gt; 126.3574 W, 50.3257 N, Elev. 718 m</v>
      </c>
      <c r="M2063" s="9">
        <v>50.325699999999998</v>
      </c>
      <c r="N2063" s="9">
        <v>-126.3574</v>
      </c>
      <c r="O2063" s="9" t="s">
        <v>51</v>
      </c>
      <c r="P2063" s="9" t="s">
        <v>7563</v>
      </c>
      <c r="Q2063" s="70">
        <v>4</v>
      </c>
      <c r="R2063" s="9" t="s">
        <v>7564</v>
      </c>
      <c r="S2063" s="11" t="str">
        <f t="shared" si="26"/>
        <v>STEPHANIE 7</v>
      </c>
      <c r="T2063" s="9" t="s">
        <v>4344</v>
      </c>
      <c r="U2063" s="9">
        <v>718</v>
      </c>
      <c r="V2063" s="9"/>
      <c r="W2063" s="9" t="s">
        <v>7565</v>
      </c>
      <c r="X2063" s="58" t="s">
        <v>7566</v>
      </c>
      <c r="Y2063" s="7" t="s">
        <v>4347</v>
      </c>
    </row>
    <row r="2064" spans="1:25" ht="14.25" customHeight="1" x14ac:dyDescent="0.2">
      <c r="A2064" s="4" t="s">
        <v>7135</v>
      </c>
      <c r="B2064" s="6"/>
      <c r="C2064" s="10" t="s">
        <v>7136</v>
      </c>
      <c r="D2064" s="8" t="str">
        <f t="shared" si="31"/>
        <v>'-&gt; STEPH_8</v>
      </c>
      <c r="F2064" s="8" t="str">
        <f t="shared" si="32"/>
        <v>'-&gt; Stephanie 8</v>
      </c>
      <c r="G2064" s="8" t="str">
        <f t="shared" si="33"/>
        <v>'-&gt; 126.3652 W, 50.3329 N, Elev. 593 m</v>
      </c>
      <c r="M2064" s="9">
        <v>50.332900000000002</v>
      </c>
      <c r="N2064" s="9">
        <v>-126.3652</v>
      </c>
      <c r="O2064" s="9" t="s">
        <v>51</v>
      </c>
      <c r="P2064" s="9" t="s">
        <v>7567</v>
      </c>
      <c r="Q2064" s="70">
        <v>4</v>
      </c>
      <c r="R2064" s="9" t="s">
        <v>7568</v>
      </c>
      <c r="S2064" s="11" t="str">
        <f t="shared" si="26"/>
        <v>STEPHANIE 8</v>
      </c>
      <c r="T2064" s="9" t="s">
        <v>4344</v>
      </c>
      <c r="U2064" s="9">
        <v>593</v>
      </c>
      <c r="V2064" s="9"/>
      <c r="W2064" s="9" t="s">
        <v>7565</v>
      </c>
      <c r="X2064" s="58" t="s">
        <v>7569</v>
      </c>
      <c r="Y2064" s="7" t="s">
        <v>4347</v>
      </c>
    </row>
    <row r="2065" spans="1:26" ht="14.25" customHeight="1" x14ac:dyDescent="0.2">
      <c r="A2065" s="4" t="s">
        <v>7135</v>
      </c>
      <c r="B2065" s="6"/>
      <c r="C2065" s="10" t="s">
        <v>7136</v>
      </c>
      <c r="D2065" s="8" t="str">
        <f t="shared" si="31"/>
        <v>'-&gt; 3B27P</v>
      </c>
      <c r="F2065" s="8" t="str">
        <f t="shared" si="32"/>
        <v>'-&gt; Upper Cruickshank</v>
      </c>
      <c r="G2065" s="8" t="str">
        <f t="shared" si="33"/>
        <v>'-&gt; 125.361 W, 49.669 N, Elev. 1348 m</v>
      </c>
      <c r="M2065" s="110">
        <v>49.668999999999997</v>
      </c>
      <c r="N2065" s="111">
        <v>-125.361</v>
      </c>
      <c r="O2065" s="9" t="s">
        <v>51</v>
      </c>
      <c r="P2065" s="9" t="s">
        <v>7570</v>
      </c>
      <c r="Q2065" s="70">
        <v>7</v>
      </c>
      <c r="R2065" s="9" t="s">
        <v>7571</v>
      </c>
      <c r="S2065" s="11" t="str">
        <f t="shared" si="26"/>
        <v>UPPER CRUICKSHANK</v>
      </c>
      <c r="T2065" s="9" t="s">
        <v>4344</v>
      </c>
      <c r="U2065" s="9">
        <v>1348</v>
      </c>
      <c r="V2065" s="9"/>
      <c r="W2065" s="9" t="s">
        <v>7572</v>
      </c>
      <c r="X2065" s="58" t="s">
        <v>7573</v>
      </c>
      <c r="Y2065" s="7" t="s">
        <v>4347</v>
      </c>
    </row>
    <row r="2066" spans="1:26" ht="14.25" customHeight="1" x14ac:dyDescent="0.2">
      <c r="A2066" s="4" t="s">
        <v>7135</v>
      </c>
      <c r="B2066" s="6"/>
      <c r="C2066" s="10" t="s">
        <v>7136</v>
      </c>
      <c r="D2066" s="8" t="str">
        <f t="shared" si="31"/>
        <v>'-&gt; Upper_Russell</v>
      </c>
      <c r="F2066" s="8" t="str">
        <f t="shared" si="32"/>
        <v>'-&gt; Upper Russell</v>
      </c>
      <c r="G2066" s="8" t="str">
        <f t="shared" si="33"/>
        <v>'-&gt; 126.3616 W, 50.3447 N, Elev. 493 m</v>
      </c>
      <c r="M2066" s="9">
        <v>50.344700000000003</v>
      </c>
      <c r="N2066" s="9">
        <v>-126.3616</v>
      </c>
      <c r="O2066" s="9" t="s">
        <v>51</v>
      </c>
      <c r="P2066" s="9" t="s">
        <v>7574</v>
      </c>
      <c r="Q2066" s="70">
        <v>3</v>
      </c>
      <c r="R2066" s="9" t="s">
        <v>7575</v>
      </c>
      <c r="S2066" s="11" t="str">
        <f t="shared" si="26"/>
        <v>UPPER RUSSELL</v>
      </c>
      <c r="T2066" s="9" t="s">
        <v>4344</v>
      </c>
      <c r="U2066" s="9">
        <v>493</v>
      </c>
      <c r="V2066" s="9"/>
      <c r="W2066" s="9" t="s">
        <v>7576</v>
      </c>
      <c r="X2066" s="58" t="s">
        <v>7562</v>
      </c>
      <c r="Y2066" s="7" t="s">
        <v>4347</v>
      </c>
    </row>
    <row r="2067" spans="1:26" ht="14.25" customHeight="1" x14ac:dyDescent="0.2">
      <c r="A2067" s="4" t="s">
        <v>7135</v>
      </c>
      <c r="B2067" s="6"/>
      <c r="C2067" s="10" t="s">
        <v>7136</v>
      </c>
      <c r="D2067" s="8" t="str">
        <f t="shared" si="31"/>
        <v>'-&gt; 4B19P</v>
      </c>
      <c r="F2067" s="8" t="str">
        <f t="shared" si="32"/>
        <v>'-&gt; Upper Skeena</v>
      </c>
      <c r="G2067" s="4" t="str">
        <f t="shared" si="33"/>
        <v>'-&gt; 127.655889 W, 56.539786 N, Elev. 1571 m</v>
      </c>
      <c r="M2067" s="9">
        <v>56.539785999999999</v>
      </c>
      <c r="N2067" s="9">
        <v>-127.655889</v>
      </c>
      <c r="O2067" s="9" t="s">
        <v>1290</v>
      </c>
      <c r="P2067" s="9" t="s">
        <v>7577</v>
      </c>
      <c r="Q2067" s="70">
        <v>7</v>
      </c>
      <c r="R2067" s="9" t="s">
        <v>7578</v>
      </c>
      <c r="S2067" s="11" t="str">
        <f t="shared" si="26"/>
        <v>UPPER SKEENA</v>
      </c>
      <c r="T2067" s="9" t="s">
        <v>4344</v>
      </c>
      <c r="U2067" s="9">
        <v>1571</v>
      </c>
      <c r="V2067" s="9"/>
      <c r="W2067" s="9" t="s">
        <v>7579</v>
      </c>
      <c r="X2067" s="58" t="s">
        <v>7580</v>
      </c>
      <c r="Y2067" s="7" t="s">
        <v>4347</v>
      </c>
    </row>
    <row r="2068" spans="1:26" ht="14.25" customHeight="1" x14ac:dyDescent="0.2">
      <c r="B2068" s="6">
        <v>11</v>
      </c>
      <c r="C2068" s="4" t="s">
        <v>7700</v>
      </c>
      <c r="D2068" s="4" t="s">
        <v>7581</v>
      </c>
      <c r="E2068" s="4">
        <v>13183</v>
      </c>
      <c r="F2068" s="4" t="s">
        <v>7422</v>
      </c>
      <c r="G2068" s="4" t="s">
        <v>7582</v>
      </c>
      <c r="H2068" s="4" t="s">
        <v>7583</v>
      </c>
      <c r="I2068" s="4" t="s">
        <v>49</v>
      </c>
      <c r="J2068" s="4" t="s">
        <v>7584</v>
      </c>
      <c r="K2068" s="4">
        <v>1</v>
      </c>
      <c r="L2068" s="4">
        <v>15105</v>
      </c>
      <c r="Y2068" s="7"/>
    </row>
    <row r="2069" spans="1:26" ht="14.25" customHeight="1" x14ac:dyDescent="0.2">
      <c r="B2069" s="6">
        <v>11</v>
      </c>
      <c r="C2069" s="4" t="s">
        <v>7700</v>
      </c>
      <c r="D2069" s="4" t="s">
        <v>7585</v>
      </c>
      <c r="E2069" s="4">
        <v>3352</v>
      </c>
      <c r="F2069" s="4" t="s">
        <v>7586</v>
      </c>
      <c r="G2069" s="4" t="s">
        <v>7587</v>
      </c>
      <c r="H2069" s="4" t="s">
        <v>7588</v>
      </c>
      <c r="I2069" s="4" t="s">
        <v>49</v>
      </c>
      <c r="J2069" s="4" t="s">
        <v>7589</v>
      </c>
      <c r="K2069" s="4">
        <v>1</v>
      </c>
      <c r="L2069" s="4">
        <v>4192</v>
      </c>
      <c r="Y2069" s="7"/>
    </row>
    <row r="2070" spans="1:26" ht="14.25" customHeight="1" x14ac:dyDescent="0.2">
      <c r="B2070" s="6">
        <v>11</v>
      </c>
      <c r="C2070" s="4" t="s">
        <v>7700</v>
      </c>
      <c r="D2070" s="4" t="s">
        <v>7590</v>
      </c>
      <c r="E2070" s="4">
        <v>3354</v>
      </c>
      <c r="F2070" s="4" t="s">
        <v>7591</v>
      </c>
      <c r="G2070" s="4" t="s">
        <v>7592</v>
      </c>
      <c r="H2070" s="4" t="s">
        <v>7593</v>
      </c>
      <c r="I2070" s="4" t="s">
        <v>49</v>
      </c>
      <c r="J2070" s="4" t="s">
        <v>7594</v>
      </c>
      <c r="K2070" s="4">
        <v>1</v>
      </c>
      <c r="L2070" s="4">
        <v>4194</v>
      </c>
      <c r="Y2070" s="7"/>
    </row>
    <row r="2071" spans="1:26" ht="14.25" customHeight="1" x14ac:dyDescent="0.2">
      <c r="B2071" s="6">
        <v>11</v>
      </c>
      <c r="C2071" s="4" t="s">
        <v>7700</v>
      </c>
      <c r="D2071" s="4" t="s">
        <v>7595</v>
      </c>
      <c r="E2071" s="4">
        <v>3353</v>
      </c>
      <c r="F2071" s="4" t="s">
        <v>7596</v>
      </c>
      <c r="G2071" s="4" t="s">
        <v>7597</v>
      </c>
      <c r="H2071" s="4" t="s">
        <v>7598</v>
      </c>
      <c r="I2071" s="4" t="s">
        <v>49</v>
      </c>
      <c r="J2071" s="4" t="s">
        <v>7599</v>
      </c>
      <c r="K2071" s="4">
        <v>1</v>
      </c>
      <c r="L2071" s="4">
        <v>4193</v>
      </c>
      <c r="M2071" s="9"/>
      <c r="N2071" s="9"/>
      <c r="O2071" s="9"/>
      <c r="P2071" s="9"/>
      <c r="Q2071" s="20"/>
      <c r="R2071" s="9"/>
      <c r="S2071" s="11"/>
      <c r="T2071" s="9"/>
      <c r="U2071" s="9"/>
      <c r="V2071" s="9"/>
      <c r="W2071" s="9"/>
      <c r="X2071" s="58"/>
      <c r="Y2071" s="7"/>
    </row>
    <row r="2072" spans="1:26" ht="14.25" customHeight="1" x14ac:dyDescent="0.2">
      <c r="B2072" s="6">
        <v>11</v>
      </c>
      <c r="C2072" s="4" t="s">
        <v>7700</v>
      </c>
      <c r="D2072" s="4" t="s">
        <v>7600</v>
      </c>
      <c r="E2072" s="4">
        <v>3355</v>
      </c>
      <c r="F2072" s="4" t="s">
        <v>7601</v>
      </c>
      <c r="G2072" s="4" t="s">
        <v>7602</v>
      </c>
      <c r="H2072" s="4" t="s">
        <v>7603</v>
      </c>
      <c r="I2072" s="4" t="s">
        <v>49</v>
      </c>
      <c r="J2072" s="4" t="s">
        <v>7604</v>
      </c>
      <c r="K2072" s="4">
        <v>2</v>
      </c>
      <c r="L2072" s="4" t="s">
        <v>7605</v>
      </c>
      <c r="Y2072" s="7"/>
    </row>
    <row r="2073" spans="1:26" ht="14.25" customHeight="1" x14ac:dyDescent="0.2">
      <c r="B2073" s="6">
        <v>11</v>
      </c>
      <c r="C2073" s="4" t="s">
        <v>7700</v>
      </c>
      <c r="D2073" s="4" t="s">
        <v>7606</v>
      </c>
      <c r="E2073" s="4">
        <v>3356</v>
      </c>
      <c r="F2073" s="4" t="s">
        <v>7601</v>
      </c>
      <c r="G2073" s="4" t="s">
        <v>7607</v>
      </c>
      <c r="H2073" s="4" t="s">
        <v>7608</v>
      </c>
      <c r="I2073" s="4" t="s">
        <v>49</v>
      </c>
      <c r="J2073" s="4" t="s">
        <v>7589</v>
      </c>
      <c r="K2073" s="4">
        <v>1</v>
      </c>
      <c r="L2073" s="4">
        <v>4196</v>
      </c>
      <c r="Y2073" s="7"/>
    </row>
    <row r="2074" spans="1:26" ht="14.25" customHeight="1" x14ac:dyDescent="0.2">
      <c r="B2074" s="6">
        <v>11</v>
      </c>
      <c r="C2074" s="4" t="s">
        <v>7700</v>
      </c>
      <c r="D2074" s="4" t="s">
        <v>7609</v>
      </c>
      <c r="E2074" s="4">
        <v>3357</v>
      </c>
      <c r="F2074" s="4" t="s">
        <v>7601</v>
      </c>
      <c r="G2074" s="4" t="s">
        <v>7610</v>
      </c>
      <c r="H2074" s="4" t="s">
        <v>7611</v>
      </c>
      <c r="I2074" s="4" t="s">
        <v>49</v>
      </c>
      <c r="J2074" s="4" t="s">
        <v>7589</v>
      </c>
      <c r="K2074" s="4">
        <v>1</v>
      </c>
      <c r="L2074" s="4">
        <v>4197</v>
      </c>
      <c r="Y2074" s="7"/>
    </row>
    <row r="2075" spans="1:26" ht="14.25" customHeight="1" x14ac:dyDescent="0.2">
      <c r="B2075" s="6">
        <v>11</v>
      </c>
      <c r="C2075" s="4" t="s">
        <v>7700</v>
      </c>
      <c r="D2075" s="4" t="s">
        <v>7612</v>
      </c>
      <c r="E2075" s="4">
        <v>3358</v>
      </c>
      <c r="F2075" s="4" t="s">
        <v>7613</v>
      </c>
      <c r="G2075" s="4" t="s">
        <v>7614</v>
      </c>
      <c r="H2075" s="4" t="s">
        <v>7615</v>
      </c>
      <c r="I2075" s="4" t="s">
        <v>49</v>
      </c>
      <c r="J2075" s="4" t="s">
        <v>7594</v>
      </c>
      <c r="K2075" s="4">
        <v>1</v>
      </c>
      <c r="L2075" s="4">
        <v>4198</v>
      </c>
      <c r="Y2075" s="7"/>
    </row>
    <row r="2076" spans="1:26" ht="14.25" customHeight="1" x14ac:dyDescent="0.2">
      <c r="A2076" s="4" t="s">
        <v>7616</v>
      </c>
      <c r="B2076" s="6">
        <v>11</v>
      </c>
      <c r="C2076" s="4" t="s">
        <v>7700</v>
      </c>
      <c r="D2076" s="4" t="s">
        <v>7617</v>
      </c>
      <c r="E2076" s="4">
        <v>12063</v>
      </c>
      <c r="F2076" s="4" t="s">
        <v>7480</v>
      </c>
      <c r="G2076" s="4" t="s">
        <v>7618</v>
      </c>
      <c r="H2076" s="4" t="s">
        <v>7619</v>
      </c>
      <c r="I2076" s="4" t="s">
        <v>641</v>
      </c>
      <c r="J2076" s="4" t="s">
        <v>7287</v>
      </c>
      <c r="K2076" s="4">
        <v>1</v>
      </c>
      <c r="L2076" s="4">
        <v>14119</v>
      </c>
      <c r="M2076" s="9"/>
      <c r="N2076" s="9"/>
      <c r="O2076" s="9"/>
      <c r="P2076" s="9"/>
      <c r="Q2076" s="20"/>
      <c r="R2076" s="9"/>
      <c r="S2076" s="11"/>
      <c r="T2076" s="9"/>
      <c r="U2076" s="9"/>
      <c r="V2076" s="9"/>
      <c r="W2076" s="9"/>
      <c r="X2076" s="58"/>
      <c r="Y2076" s="7"/>
    </row>
    <row r="2077" spans="1:26" ht="14.25" customHeight="1" x14ac:dyDescent="0.2">
      <c r="B2077" s="6">
        <v>11</v>
      </c>
      <c r="C2077" s="4" t="s">
        <v>7700</v>
      </c>
      <c r="D2077" s="4" t="s">
        <v>7340</v>
      </c>
      <c r="E2077" s="4">
        <v>13185</v>
      </c>
      <c r="F2077" s="4" t="s">
        <v>7620</v>
      </c>
      <c r="G2077" s="4" t="s">
        <v>7621</v>
      </c>
      <c r="H2077" s="4" t="s">
        <v>7622</v>
      </c>
      <c r="I2077" s="4" t="s">
        <v>49</v>
      </c>
      <c r="J2077" s="4" t="s">
        <v>7250</v>
      </c>
      <c r="K2077" s="4">
        <v>1</v>
      </c>
      <c r="L2077" s="4">
        <v>15107</v>
      </c>
      <c r="M2077" s="9"/>
      <c r="N2077" s="9"/>
      <c r="O2077" s="9"/>
      <c r="P2077" s="9"/>
      <c r="Q2077" s="20"/>
      <c r="R2077" s="9"/>
      <c r="S2077" s="11"/>
      <c r="T2077" s="9"/>
      <c r="U2077" s="9"/>
      <c r="V2077" s="9"/>
      <c r="W2077" s="9"/>
      <c r="X2077" s="58"/>
      <c r="Y2077" s="7"/>
    </row>
    <row r="2078" spans="1:26" ht="14.25" customHeight="1" x14ac:dyDescent="0.2">
      <c r="B2078" s="6">
        <v>11</v>
      </c>
      <c r="C2078" s="4" t="s">
        <v>7700</v>
      </c>
      <c r="D2078" s="4" t="s">
        <v>7623</v>
      </c>
      <c r="E2078" s="4">
        <v>13186</v>
      </c>
      <c r="F2078" s="4" t="s">
        <v>7623</v>
      </c>
      <c r="G2078" s="4" t="s">
        <v>7624</v>
      </c>
      <c r="H2078" s="4" t="s">
        <v>7625</v>
      </c>
      <c r="I2078" s="4" t="s">
        <v>49</v>
      </c>
      <c r="J2078" s="4" t="s">
        <v>7626</v>
      </c>
      <c r="K2078" s="4">
        <v>1</v>
      </c>
      <c r="L2078" s="4">
        <v>15108</v>
      </c>
      <c r="M2078" s="9"/>
      <c r="N2078" s="9"/>
      <c r="O2078" s="9"/>
      <c r="P2078" s="9"/>
      <c r="Q2078" s="20"/>
      <c r="R2078" s="9"/>
      <c r="S2078" s="11"/>
      <c r="T2078" s="9"/>
      <c r="U2078" s="9"/>
      <c r="V2078" s="9"/>
      <c r="W2078" s="9"/>
      <c r="X2078" s="58"/>
      <c r="Y2078" s="7"/>
    </row>
    <row r="2079" spans="1:26" ht="14.25" customHeight="1" x14ac:dyDescent="0.2">
      <c r="B2079" s="6">
        <v>11</v>
      </c>
      <c r="C2079" s="4" t="s">
        <v>7700</v>
      </c>
      <c r="D2079" s="4" t="s">
        <v>7627</v>
      </c>
      <c r="E2079" s="4">
        <v>13187</v>
      </c>
      <c r="F2079" s="4" t="s">
        <v>7627</v>
      </c>
      <c r="G2079" s="4" t="s">
        <v>7628</v>
      </c>
      <c r="H2079" s="4" t="s">
        <v>7629</v>
      </c>
      <c r="I2079" s="4" t="s">
        <v>49</v>
      </c>
      <c r="J2079" s="4" t="s">
        <v>7630</v>
      </c>
      <c r="K2079" s="4">
        <v>1</v>
      </c>
      <c r="L2079" s="4">
        <v>15109</v>
      </c>
      <c r="M2079" s="9"/>
      <c r="N2079" s="9"/>
      <c r="O2079" s="9"/>
      <c r="P2079" s="9"/>
      <c r="Q2079" s="20"/>
      <c r="R2079" s="9"/>
      <c r="S2079" s="11"/>
      <c r="T2079" s="9"/>
      <c r="U2079" s="9"/>
      <c r="V2079" s="9"/>
      <c r="W2079" s="9"/>
      <c r="X2079" s="58"/>
      <c r="Y2079" s="7"/>
    </row>
    <row r="2080" spans="1:26" ht="14.25" customHeight="1" x14ac:dyDescent="0.2">
      <c r="A2080" s="4" t="s">
        <v>7135</v>
      </c>
      <c r="B2080" s="6"/>
      <c r="C2080" s="10" t="s">
        <v>7136</v>
      </c>
      <c r="D2080" s="8" t="str">
        <f t="shared" ref="D2080:D2084" si="34">CONCATENATE("'-&gt; ",P2080)</f>
        <v>'-&gt; M2</v>
      </c>
      <c r="F2080" s="8" t="str">
        <f t="shared" ref="F2080:F2084" si="35">CONCATENATE("'-&gt; ",R2080)</f>
        <v>'-&gt; Mayson Lake - M2</v>
      </c>
      <c r="G2080" s="8" t="str">
        <f t="shared" ref="G2080:G2084" si="36">CONCATENATE("'-&gt; ",-1*N2080," W, ",M2080," N, Elev. ",U2080," m")</f>
        <v>'-&gt; 120.388667 W, 51.216528 N, Elev. 1277 m</v>
      </c>
      <c r="M2080" s="4">
        <v>51.216527999999997</v>
      </c>
      <c r="N2080" s="4">
        <v>-120.388667</v>
      </c>
      <c r="O2080" s="4" t="s">
        <v>7631</v>
      </c>
      <c r="P2080" s="4" t="s">
        <v>7632</v>
      </c>
      <c r="R2080" s="4" t="s">
        <v>7633</v>
      </c>
      <c r="S2080" s="4" t="s">
        <v>7634</v>
      </c>
      <c r="U2080" s="4">
        <v>1277</v>
      </c>
      <c r="V2080" s="4" t="s">
        <v>7635</v>
      </c>
      <c r="W2080" s="4" t="s">
        <v>7636</v>
      </c>
      <c r="X2080" s="4" t="s">
        <v>7637</v>
      </c>
      <c r="Z2080" s="7" t="s">
        <v>7638</v>
      </c>
    </row>
    <row r="2081" spans="1:26" ht="14.25" customHeight="1" x14ac:dyDescent="0.2">
      <c r="A2081" s="4" t="s">
        <v>7135</v>
      </c>
      <c r="B2081" s="6"/>
      <c r="C2081" s="10" t="s">
        <v>7136</v>
      </c>
      <c r="D2081" s="8" t="str">
        <f t="shared" si="34"/>
        <v>'-&gt; M3</v>
      </c>
      <c r="F2081" s="8" t="str">
        <f t="shared" si="35"/>
        <v>'-&gt; Mayson Lake - M3</v>
      </c>
      <c r="G2081" s="8" t="str">
        <f t="shared" si="36"/>
        <v>'-&gt; 120.401694 W, 51.217611 N, Elev. 1290 m</v>
      </c>
      <c r="M2081" s="4">
        <v>51.217610999999998</v>
      </c>
      <c r="N2081" s="4">
        <v>-120.40169400000001</v>
      </c>
      <c r="O2081" s="4" t="s">
        <v>7631</v>
      </c>
      <c r="P2081" s="4" t="s">
        <v>7639</v>
      </c>
      <c r="R2081" s="4" t="s">
        <v>7640</v>
      </c>
      <c r="S2081" s="4" t="s">
        <v>7641</v>
      </c>
      <c r="U2081" s="4">
        <v>1290</v>
      </c>
      <c r="V2081" s="4" t="s">
        <v>7635</v>
      </c>
      <c r="W2081" s="4" t="s">
        <v>7636</v>
      </c>
      <c r="X2081" s="4" t="s">
        <v>7637</v>
      </c>
      <c r="Z2081" s="7" t="s">
        <v>7638</v>
      </c>
    </row>
    <row r="2082" spans="1:26" ht="14.25" customHeight="1" x14ac:dyDescent="0.2">
      <c r="A2082" s="4" t="s">
        <v>7135</v>
      </c>
      <c r="B2082" s="6"/>
      <c r="C2082" s="10" t="s">
        <v>7136</v>
      </c>
      <c r="D2082" s="8" t="str">
        <f t="shared" si="34"/>
        <v>'-&gt; M4</v>
      </c>
      <c r="F2082" s="8" t="str">
        <f t="shared" si="35"/>
        <v>'-&gt; Mayson Lake - M4</v>
      </c>
      <c r="G2082" s="8" t="str">
        <f t="shared" si="36"/>
        <v>'-&gt; 120.403278 W, 51.219111 N, Elev.   m</v>
      </c>
      <c r="M2082" s="4">
        <v>51.219110999999998</v>
      </c>
      <c r="N2082" s="4">
        <v>-120.403278</v>
      </c>
      <c r="O2082" s="4" t="s">
        <v>7631</v>
      </c>
      <c r="P2082" s="4" t="s">
        <v>7642</v>
      </c>
      <c r="R2082" s="4" t="s">
        <v>7643</v>
      </c>
      <c r="S2082" s="4" t="s">
        <v>7644</v>
      </c>
      <c r="U2082" s="4" t="s">
        <v>7645</v>
      </c>
      <c r="V2082" s="4" t="s">
        <v>7635</v>
      </c>
      <c r="W2082" s="4" t="s">
        <v>7636</v>
      </c>
      <c r="X2082" s="4" t="s">
        <v>7637</v>
      </c>
      <c r="Z2082" s="7" t="s">
        <v>7638</v>
      </c>
    </row>
    <row r="2083" spans="1:26" ht="14.25" customHeight="1" x14ac:dyDescent="0.2">
      <c r="A2083" s="4" t="s">
        <v>7135</v>
      </c>
      <c r="B2083" s="6"/>
      <c r="C2083" s="10" t="s">
        <v>7136</v>
      </c>
      <c r="D2083" s="8" t="str">
        <f t="shared" si="34"/>
        <v>'-&gt; M5</v>
      </c>
      <c r="F2083" s="8" t="str">
        <f t="shared" si="35"/>
        <v>'-&gt; Mayson Lake - M5</v>
      </c>
      <c r="G2083" s="8" t="str">
        <f t="shared" si="36"/>
        <v>'-&gt; 120.412222 W, 51.212361 N, Elev. 1314 m</v>
      </c>
      <c r="M2083" s="4">
        <v>51.212361000000001</v>
      </c>
      <c r="N2083" s="4">
        <v>-120.412222</v>
      </c>
      <c r="O2083" s="4" t="s">
        <v>7631</v>
      </c>
      <c r="P2083" s="4" t="s">
        <v>7646</v>
      </c>
      <c r="R2083" s="4" t="s">
        <v>7647</v>
      </c>
      <c r="S2083" s="4" t="s">
        <v>7648</v>
      </c>
      <c r="U2083" s="4">
        <v>1314</v>
      </c>
      <c r="V2083" s="4" t="s">
        <v>7649</v>
      </c>
      <c r="W2083" s="4" t="s">
        <v>7636</v>
      </c>
      <c r="X2083" s="4" t="s">
        <v>7637</v>
      </c>
      <c r="Z2083" s="7" t="s">
        <v>7638</v>
      </c>
    </row>
    <row r="2084" spans="1:26" ht="14.25" customHeight="1" x14ac:dyDescent="0.2">
      <c r="A2084" s="4" t="s">
        <v>7135</v>
      </c>
      <c r="B2084" s="6"/>
      <c r="C2084" s="10" t="s">
        <v>7136</v>
      </c>
      <c r="D2084" s="8" t="str">
        <f t="shared" si="34"/>
        <v>'-&gt; M8</v>
      </c>
      <c r="F2084" s="8" t="str">
        <f t="shared" si="35"/>
        <v>'-&gt; Mayson Lake - M8</v>
      </c>
      <c r="G2084" s="8" t="str">
        <f t="shared" si="36"/>
        <v>'-&gt; 120.384583 W, 51.022475 N, Elev. 1270 m</v>
      </c>
      <c r="M2084" s="4">
        <v>51.022475</v>
      </c>
      <c r="N2084" s="4">
        <v>-120.38458300000001</v>
      </c>
      <c r="O2084" s="4" t="s">
        <v>7631</v>
      </c>
      <c r="P2084" s="4" t="s">
        <v>7650</v>
      </c>
      <c r="R2084" s="4" t="s">
        <v>7651</v>
      </c>
      <c r="S2084" s="4" t="s">
        <v>7652</v>
      </c>
      <c r="U2084" s="4">
        <v>1270</v>
      </c>
      <c r="V2084" s="4" t="s">
        <v>7653</v>
      </c>
      <c r="W2084" s="4" t="s">
        <v>7636</v>
      </c>
      <c r="X2084" s="4" t="s">
        <v>7637</v>
      </c>
      <c r="Z2084" s="7" t="s">
        <v>7638</v>
      </c>
    </row>
    <row r="2085" spans="1:26" ht="14.25" customHeight="1" x14ac:dyDescent="0.2">
      <c r="A2085" s="5" t="s">
        <v>328</v>
      </c>
      <c r="B2085" s="6"/>
      <c r="C2085" s="10" t="s">
        <v>7702</v>
      </c>
      <c r="D2085" s="10" t="s">
        <v>7655</v>
      </c>
      <c r="F2085" s="10" t="s">
        <v>7656</v>
      </c>
      <c r="G2085" s="10" t="s">
        <v>7657</v>
      </c>
      <c r="Y2085" s="7"/>
    </row>
  </sheetData>
  <autoFilter ref="A2:BT2085" xr:uid="{00000000-0009-0000-0000-000001000000}"/>
  <mergeCells count="1">
    <mergeCell ref="A1:L1"/>
  </mergeCells>
  <conditionalFormatting sqref="S225:S226 S287 S327:S328 S330 S332:S333 S343 S348:S349 S351 S353 S355 S357 S361:S363 S365:S368 S371:S372">
    <cfRule type="endsWith" dxfId="49" priority="1" operator="endsWith" text=" ">
      <formula>RIGHT((S225),LEN(" "))=(" ")</formula>
    </cfRule>
    <cfRule type="beginsWith" dxfId="48" priority="2" operator="beginsWith" text=" ">
      <formula>LEFT((S225),LEN(" "))=(" ")</formula>
    </cfRule>
  </conditionalFormatting>
  <conditionalFormatting sqref="S322 S324 S337:S338 S340:S341">
    <cfRule type="endsWith" dxfId="47" priority="3" operator="endsWith" text=" ">
      <formula>RIGHT((S322),LEN(" "))=(" ")</formula>
    </cfRule>
    <cfRule type="beginsWith" dxfId="46" priority="4" operator="beginsWith" text=" ">
      <formula>LEFT((S322),LEN(" "))=(" ")</formula>
    </cfRule>
  </conditionalFormatting>
  <conditionalFormatting sqref="S375 S379 S386 S390 S405 S408 S412 S432 S437 S449:S450">
    <cfRule type="endsWith" dxfId="45" priority="5" operator="endsWith" text=" ">
      <formula>RIGHT((S375),LEN(" "))=(" ")</formula>
    </cfRule>
    <cfRule type="beginsWith" dxfId="44" priority="6" operator="beginsWith" text=" ">
      <formula>LEFT((S375),LEN(" "))=(" ")</formula>
    </cfRule>
  </conditionalFormatting>
  <conditionalFormatting sqref="S453">
    <cfRule type="endsWith" dxfId="43" priority="7" operator="endsWith" text=" ">
      <formula>RIGHT((S453),LEN(" "))=(" ")</formula>
    </cfRule>
    <cfRule type="beginsWith" dxfId="42" priority="8" operator="beginsWith" text=" ">
      <formula>LEFT((S453),LEN(" "))=(" ")</formula>
    </cfRule>
  </conditionalFormatting>
  <conditionalFormatting sqref="S455:S462">
    <cfRule type="endsWith" dxfId="41" priority="9" operator="endsWith" text=" ">
      <formula>RIGHT((S455),LEN(" "))=(" ")</formula>
    </cfRule>
    <cfRule type="beginsWith" dxfId="40" priority="10" operator="beginsWith" text=" ">
      <formula>LEFT((S455),LEN(" "))=(" ")</formula>
    </cfRule>
  </conditionalFormatting>
  <conditionalFormatting sqref="S983 S1246:S1251 S1253:S1288">
    <cfRule type="endsWith" dxfId="39" priority="11" operator="endsWith" text=" ">
      <formula>RIGHT((S983),LEN(" "))=(" ")</formula>
    </cfRule>
    <cfRule type="beginsWith" dxfId="38" priority="12" operator="beginsWith" text=" ">
      <formula>LEFT((S983),LEN(" "))=(" ")</formula>
    </cfRule>
  </conditionalFormatting>
  <conditionalFormatting sqref="S986">
    <cfRule type="endsWith" dxfId="37" priority="13" operator="endsWith" text=" ">
      <formula>RIGHT((S986),LEN(" "))=(" ")</formula>
    </cfRule>
    <cfRule type="beginsWith" dxfId="36" priority="14" operator="beginsWith" text=" ">
      <formula>LEFT((S986),LEN(" "))=(" ")</formula>
    </cfRule>
  </conditionalFormatting>
  <conditionalFormatting sqref="S995">
    <cfRule type="endsWith" dxfId="35" priority="15" operator="endsWith" text=" ">
      <formula>RIGHT((S995),LEN(" "))=(" ")</formula>
    </cfRule>
    <cfRule type="beginsWith" dxfId="34" priority="16" operator="beginsWith" text=" ">
      <formula>LEFT((S995),LEN(" "))=(" ")</formula>
    </cfRule>
  </conditionalFormatting>
  <conditionalFormatting sqref="S998">
    <cfRule type="endsWith" dxfId="33" priority="17" operator="endsWith" text=" ">
      <formula>RIGHT((S998),LEN(" "))=(" ")</formula>
    </cfRule>
    <cfRule type="beginsWith" dxfId="32" priority="18" operator="beginsWith" text=" ">
      <formula>LEFT((S998),LEN(" "))=(" ")</formula>
    </cfRule>
  </conditionalFormatting>
  <conditionalFormatting sqref="S1135:S1163 S1876 S1976:S1980 T2004:T2017 T2023:T2085">
    <cfRule type="endsWith" dxfId="31" priority="19" operator="endsWith" text=" ">
      <formula>RIGHT((S1135),LEN(" "))=(" ")</formula>
    </cfRule>
    <cfRule type="beginsWith" dxfId="30" priority="20" operator="beginsWith" text=" ">
      <formula>LEFT((S1135),LEN(" "))=(" ")</formula>
    </cfRule>
  </conditionalFormatting>
  <conditionalFormatting sqref="S1207:S1208">
    <cfRule type="endsWith" dxfId="29" priority="21" operator="endsWith" text=" ">
      <formula>RIGHT((S1207),LEN(" "))=(" ")</formula>
    </cfRule>
    <cfRule type="beginsWith" dxfId="28" priority="22" operator="beginsWith" text=" ">
      <formula>LEFT((S1207),LEN(" "))=(" ")</formula>
    </cfRule>
  </conditionalFormatting>
  <conditionalFormatting sqref="S1212:S1213">
    <cfRule type="endsWith" dxfId="27" priority="23" operator="endsWith" text=" ">
      <formula>RIGHT((S1212),LEN(" "))=(" ")</formula>
    </cfRule>
    <cfRule type="beginsWith" dxfId="26" priority="24" operator="beginsWith" text=" ">
      <formula>LEFT((S1212),LEN(" "))=(" ")</formula>
    </cfRule>
  </conditionalFormatting>
  <conditionalFormatting sqref="S1242:S1244">
    <cfRule type="endsWith" dxfId="25" priority="25" operator="endsWith" text=" ">
      <formula>RIGHT((S1242),LEN(" "))=(" ")</formula>
    </cfRule>
    <cfRule type="beginsWith" dxfId="24" priority="26" operator="beginsWith" text=" ">
      <formula>LEFT((S1242),LEN(" "))=(" ")</formula>
    </cfRule>
  </conditionalFormatting>
  <conditionalFormatting sqref="S1820 S1853 S1873 S1883 S1888:S1889 S1891 S1893 S1895 S1897 S1901:S1903 S1905:S1908 S1911:S1912">
    <cfRule type="endsWith" dxfId="23" priority="27" operator="endsWith" text=" ">
      <formula>RIGHT((S1820),LEN(" "))=(" ")</formula>
    </cfRule>
    <cfRule type="beginsWith" dxfId="22" priority="28" operator="beginsWith" text=" ">
      <formula>LEFT((S1820),LEN(" "))=(" ")</formula>
    </cfRule>
  </conditionalFormatting>
  <conditionalFormatting sqref="S1878 S1880:S1881">
    <cfRule type="endsWith" dxfId="21" priority="29" operator="endsWith" text=" ">
      <formula>RIGHT((S1878),LEN(" "))=(" ")</formula>
    </cfRule>
    <cfRule type="beginsWith" dxfId="20" priority="30" operator="beginsWith" text=" ">
      <formula>LEFT((S1878),LEN(" "))=(" ")</formula>
    </cfRule>
  </conditionalFormatting>
  <conditionalFormatting sqref="S1915 S1919 S1926 S1930 S1940 S1943 S1947 S1966 S1972">
    <cfRule type="endsWith" dxfId="19" priority="31" operator="endsWith" text=" ">
      <formula>RIGHT((S1915),LEN(" "))=(" ")</formula>
    </cfRule>
    <cfRule type="beginsWith" dxfId="18" priority="32" operator="beginsWith" text=" ">
      <formula>LEFT((S1915),LEN(" "))=(" ")</formula>
    </cfRule>
  </conditionalFormatting>
  <conditionalFormatting sqref="S1974">
    <cfRule type="endsWith" dxfId="17" priority="33" operator="endsWith" text=" ">
      <formula>RIGHT((S1974),LEN(" "))=(" ")</formula>
    </cfRule>
    <cfRule type="beginsWith" dxfId="16" priority="34" operator="beginsWith" text=" ">
      <formula>LEFT((S1974),LEN(" "))=(" ")</formula>
    </cfRule>
  </conditionalFormatting>
  <conditionalFormatting sqref="S987:T987 S1090:S1091 S1093:S1103 S1105:S1133 S1165:S1179 S1181:S1202 S1204:S1205 S1219">
    <cfRule type="endsWith" dxfId="15" priority="35" operator="endsWith" text=" ">
      <formula>RIGHT((S987),LEN(" "))=(" ")</formula>
    </cfRule>
    <cfRule type="beginsWith" dxfId="14" priority="36" operator="beginsWith" text=" ">
      <formula>LEFT((S987),LEN(" "))=(" ")</formula>
    </cfRule>
  </conditionalFormatting>
  <conditionalFormatting sqref="T489:T492 T494:T515 T518 T523:T601">
    <cfRule type="endsWith" dxfId="13" priority="37" operator="endsWith" text=" ">
      <formula>RIGHT((T489),LEN(" "))=(" ")</formula>
    </cfRule>
    <cfRule type="beginsWith" dxfId="12" priority="38" operator="beginsWith" text=" ">
      <formula>LEFT((T489),LEN(" "))=(" ")</formula>
    </cfRule>
  </conditionalFormatting>
  <conditionalFormatting sqref="T770:T772 AC770:AC772 T776:T782 AC776:AC782 T784:T785 AC784:AC785 T787:T799 AC787:AC799 T801 AC801 T804 AC804 T806:T826 AC806:AC826 T828:T841 AC828:AC841 T843:T857 AC843:AC858 T924 AC924 T950:T953 AC950:AC953 T960 AC960 T962 AC962">
    <cfRule type="endsWith" dxfId="11" priority="39" operator="endsWith" text=" ">
      <formula>RIGHT((T770),LEN(" "))=(" ")</formula>
    </cfRule>
    <cfRule type="beginsWith" dxfId="10" priority="40" operator="beginsWith" text=" ">
      <formula>LEFT((T770),LEN(" "))=(" ")</formula>
    </cfRule>
  </conditionalFormatting>
  <conditionalFormatting sqref="T2000:T2002">
    <cfRule type="endsWith" dxfId="9" priority="41" operator="endsWith" text=" ">
      <formula>RIGHT((T2000),LEN(" "))=(" ")</formula>
    </cfRule>
    <cfRule type="beginsWith" dxfId="8" priority="42" operator="beginsWith" text=" ">
      <formula>LEFT((T2000),LEN(" "))=(" ")</formula>
    </cfRule>
  </conditionalFormatting>
  <conditionalFormatting sqref="U2080:U2084">
    <cfRule type="endsWith" dxfId="7" priority="43" operator="endsWith" text=" ">
      <formula>RIGHT((U2080),LEN(" "))=(" ")</formula>
    </cfRule>
    <cfRule type="beginsWith" dxfId="6" priority="44" operator="beginsWith" text=" ">
      <formula>LEFT((U2080),LEN(" "))=(" ")</formula>
    </cfRule>
  </conditionalFormatting>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R1000"/>
  <sheetViews>
    <sheetView workbookViewId="0"/>
  </sheetViews>
  <sheetFormatPr baseColWidth="10" defaultColWidth="12.6640625" defaultRowHeight="15" customHeight="1" x14ac:dyDescent="0.2"/>
  <cols>
    <col min="1" max="2" width="8.6640625" customWidth="1"/>
    <col min="3" max="3" width="36.6640625" customWidth="1"/>
    <col min="4" max="4" width="21.6640625" customWidth="1"/>
    <col min="5" max="5" width="8.6640625" customWidth="1"/>
    <col min="6" max="6" width="23.33203125" customWidth="1"/>
    <col min="7" max="9" width="8.6640625" customWidth="1"/>
    <col min="10" max="10" width="7.6640625" customWidth="1"/>
    <col min="11" max="26" width="8.6640625" customWidth="1"/>
  </cols>
  <sheetData>
    <row r="1" spans="2:18" ht="14.25" customHeight="1" x14ac:dyDescent="0.2">
      <c r="B1" s="4" t="s">
        <v>7703</v>
      </c>
      <c r="E1" s="381" t="s">
        <v>7704</v>
      </c>
      <c r="F1" s="382"/>
      <c r="K1" s="47"/>
      <c r="L1" s="47"/>
    </row>
    <row r="2" spans="2:18" ht="14.25" customHeight="1" x14ac:dyDescent="0.2">
      <c r="B2" s="383" t="s">
        <v>7705</v>
      </c>
      <c r="C2" s="382"/>
      <c r="D2" s="373" t="s">
        <v>7706</v>
      </c>
      <c r="E2" s="369" t="s">
        <v>7707</v>
      </c>
      <c r="F2" s="384" t="s">
        <v>7</v>
      </c>
      <c r="G2" s="385" t="s">
        <v>7708</v>
      </c>
      <c r="H2" s="386"/>
      <c r="I2" s="386"/>
      <c r="J2" s="387"/>
      <c r="K2" s="379" t="s">
        <v>7709</v>
      </c>
      <c r="L2" s="374"/>
    </row>
    <row r="3" spans="2:18" ht="14.25" customHeight="1" x14ac:dyDescent="0.2">
      <c r="B3" s="113" t="s">
        <v>7707</v>
      </c>
      <c r="C3" s="114" t="s">
        <v>7710</v>
      </c>
      <c r="D3" s="376"/>
      <c r="E3" s="357"/>
      <c r="F3" s="354"/>
      <c r="G3" s="388" t="s">
        <v>7711</v>
      </c>
      <c r="H3" s="377"/>
      <c r="I3" s="389" t="s">
        <v>7712</v>
      </c>
      <c r="J3" s="390"/>
      <c r="K3" s="376"/>
      <c r="L3" s="377"/>
    </row>
    <row r="4" spans="2:18" ht="14.25" customHeight="1" x14ac:dyDescent="0.2">
      <c r="B4" s="355" t="s">
        <v>7713</v>
      </c>
      <c r="C4" s="406" t="s">
        <v>7660</v>
      </c>
      <c r="D4" s="115"/>
      <c r="E4" s="369" t="s">
        <v>7714</v>
      </c>
      <c r="F4" s="352" t="s">
        <v>450</v>
      </c>
      <c r="G4" s="341" t="s">
        <v>7660</v>
      </c>
      <c r="H4" s="374"/>
      <c r="I4" s="361" t="s">
        <v>450</v>
      </c>
      <c r="J4" s="362"/>
      <c r="K4" s="391" t="s">
        <v>7715</v>
      </c>
      <c r="L4" s="374"/>
      <c r="M4" s="116" t="s">
        <v>7716</v>
      </c>
    </row>
    <row r="5" spans="2:18" ht="14.25" customHeight="1" x14ac:dyDescent="0.2">
      <c r="B5" s="357"/>
      <c r="C5" s="354"/>
      <c r="D5" s="115" t="s">
        <v>145</v>
      </c>
      <c r="E5" s="356"/>
      <c r="F5" s="354"/>
      <c r="G5" s="343"/>
      <c r="H5" s="377"/>
      <c r="I5" s="365"/>
      <c r="J5" s="366"/>
      <c r="K5" s="343"/>
      <c r="L5" s="377"/>
      <c r="M5" s="116" t="s">
        <v>7717</v>
      </c>
    </row>
    <row r="6" spans="2:18" ht="14.25" customHeight="1" x14ac:dyDescent="0.2">
      <c r="B6" s="407" t="s">
        <v>7718</v>
      </c>
      <c r="C6" s="114" t="s">
        <v>7719</v>
      </c>
      <c r="D6" s="115" t="s">
        <v>7720</v>
      </c>
      <c r="E6" s="356"/>
      <c r="F6" s="117" t="s">
        <v>7721</v>
      </c>
      <c r="G6" s="380" t="s">
        <v>7678</v>
      </c>
      <c r="H6" s="348"/>
      <c r="I6" s="370" t="s">
        <v>4969</v>
      </c>
      <c r="J6" s="371"/>
      <c r="K6" s="372" t="s">
        <v>7722</v>
      </c>
      <c r="L6" s="348"/>
      <c r="M6" s="116" t="s">
        <v>7723</v>
      </c>
    </row>
    <row r="7" spans="2:18" ht="14.25" customHeight="1" x14ac:dyDescent="0.2">
      <c r="B7" s="356"/>
      <c r="C7" s="114" t="s">
        <v>7724</v>
      </c>
      <c r="D7" s="115" t="s">
        <v>6646</v>
      </c>
      <c r="E7" s="356"/>
      <c r="F7" s="117" t="s">
        <v>7725</v>
      </c>
      <c r="G7" s="373" t="s">
        <v>7690</v>
      </c>
      <c r="H7" s="374"/>
      <c r="I7" s="361" t="s">
        <v>6099</v>
      </c>
      <c r="J7" s="362"/>
      <c r="K7" s="379" t="s">
        <v>7726</v>
      </c>
      <c r="L7" s="374"/>
      <c r="M7" s="378" t="s">
        <v>7727</v>
      </c>
      <c r="N7" s="340"/>
      <c r="O7" s="340"/>
      <c r="P7" s="340"/>
      <c r="Q7" s="340"/>
      <c r="R7" s="340"/>
    </row>
    <row r="8" spans="2:18" ht="14.25" customHeight="1" x14ac:dyDescent="0.2">
      <c r="B8" s="356"/>
      <c r="C8" s="114" t="s">
        <v>7728</v>
      </c>
      <c r="D8" s="115" t="s">
        <v>7729</v>
      </c>
      <c r="E8" s="356"/>
      <c r="F8" s="117" t="s">
        <v>7730</v>
      </c>
      <c r="G8" s="340"/>
      <c r="H8" s="375"/>
      <c r="I8" s="363"/>
      <c r="J8" s="364"/>
      <c r="K8" s="340"/>
      <c r="L8" s="375"/>
      <c r="M8" s="363"/>
      <c r="N8" s="340"/>
      <c r="O8" s="340"/>
      <c r="P8" s="340"/>
      <c r="Q8" s="340"/>
      <c r="R8" s="340"/>
    </row>
    <row r="9" spans="2:18" ht="14.25" customHeight="1" x14ac:dyDescent="0.2">
      <c r="B9" s="357"/>
      <c r="C9" s="114" t="s">
        <v>645</v>
      </c>
      <c r="D9" s="115" t="s">
        <v>7731</v>
      </c>
      <c r="E9" s="356"/>
      <c r="F9" s="117" t="s">
        <v>645</v>
      </c>
      <c r="G9" s="376"/>
      <c r="H9" s="377"/>
      <c r="I9" s="365"/>
      <c r="J9" s="366"/>
      <c r="K9" s="376"/>
      <c r="L9" s="377"/>
      <c r="M9" s="363"/>
      <c r="N9" s="340"/>
      <c r="O9" s="340"/>
      <c r="P9" s="340"/>
      <c r="Q9" s="340"/>
      <c r="R9" s="340"/>
    </row>
    <row r="10" spans="2:18" ht="14.25" customHeight="1" x14ac:dyDescent="0.2">
      <c r="B10" s="407" t="s">
        <v>7732</v>
      </c>
      <c r="C10" s="114" t="s">
        <v>7733</v>
      </c>
      <c r="D10" s="115" t="s">
        <v>4045</v>
      </c>
      <c r="E10" s="356"/>
      <c r="F10" s="117" t="s">
        <v>7734</v>
      </c>
      <c r="G10" s="373" t="s">
        <v>7666</v>
      </c>
      <c r="H10" s="374"/>
      <c r="I10" s="370" t="s">
        <v>7735</v>
      </c>
      <c r="J10" s="371"/>
      <c r="K10" s="379" t="s">
        <v>7736</v>
      </c>
      <c r="L10" s="374"/>
      <c r="M10" s="116" t="s">
        <v>7737</v>
      </c>
    </row>
    <row r="11" spans="2:18" ht="14.25" customHeight="1" x14ac:dyDescent="0.2">
      <c r="B11" s="356"/>
      <c r="C11" s="114" t="s">
        <v>7738</v>
      </c>
      <c r="D11" s="115" t="s">
        <v>1737</v>
      </c>
      <c r="E11" s="356"/>
      <c r="F11" s="117" t="s">
        <v>7739</v>
      </c>
      <c r="G11" s="376"/>
      <c r="H11" s="377"/>
      <c r="I11" s="370" t="s">
        <v>1711</v>
      </c>
      <c r="J11" s="371"/>
      <c r="K11" s="376"/>
      <c r="L11" s="377"/>
    </row>
    <row r="12" spans="2:18" ht="14.25" customHeight="1" x14ac:dyDescent="0.2">
      <c r="B12" s="357"/>
      <c r="C12" s="114" t="s">
        <v>7740</v>
      </c>
      <c r="D12" s="115" t="s">
        <v>4344</v>
      </c>
      <c r="E12" s="356"/>
      <c r="F12" s="117" t="s">
        <v>7741</v>
      </c>
      <c r="G12" s="380" t="s">
        <v>7742</v>
      </c>
      <c r="H12" s="348"/>
      <c r="I12" s="370" t="s">
        <v>7179</v>
      </c>
      <c r="J12" s="371"/>
      <c r="K12" s="347"/>
      <c r="L12" s="348"/>
      <c r="M12" s="116" t="s">
        <v>7743</v>
      </c>
    </row>
    <row r="13" spans="2:18" ht="14.25" customHeight="1" x14ac:dyDescent="0.2">
      <c r="B13" s="355" t="s">
        <v>7744</v>
      </c>
      <c r="C13" s="406" t="s">
        <v>7745</v>
      </c>
      <c r="D13" s="349" t="s">
        <v>7746</v>
      </c>
      <c r="E13" s="356"/>
      <c r="F13" s="352" t="s">
        <v>7747</v>
      </c>
      <c r="G13" s="355" t="s">
        <v>7661</v>
      </c>
      <c r="H13" s="358" t="s">
        <v>7748</v>
      </c>
      <c r="I13" s="361" t="s">
        <v>637</v>
      </c>
      <c r="J13" s="362"/>
      <c r="K13" s="341" t="s">
        <v>7749</v>
      </c>
      <c r="L13" s="344" t="s">
        <v>7750</v>
      </c>
      <c r="M13" s="116" t="s">
        <v>7751</v>
      </c>
    </row>
    <row r="14" spans="2:18" ht="14.25" customHeight="1" x14ac:dyDescent="0.2">
      <c r="B14" s="356"/>
      <c r="C14" s="353"/>
      <c r="D14" s="350"/>
      <c r="E14" s="356"/>
      <c r="F14" s="353"/>
      <c r="G14" s="356"/>
      <c r="H14" s="359"/>
      <c r="I14" s="363"/>
      <c r="J14" s="364"/>
      <c r="K14" s="342"/>
      <c r="L14" s="345"/>
      <c r="M14" s="116" t="s">
        <v>7752</v>
      </c>
    </row>
    <row r="15" spans="2:18" ht="14.25" customHeight="1" x14ac:dyDescent="0.2">
      <c r="B15" s="357"/>
      <c r="C15" s="354"/>
      <c r="D15" s="351"/>
      <c r="E15" s="356"/>
      <c r="F15" s="354"/>
      <c r="G15" s="357"/>
      <c r="H15" s="360"/>
      <c r="I15" s="365"/>
      <c r="J15" s="366"/>
      <c r="K15" s="343"/>
      <c r="L15" s="346"/>
      <c r="M15" s="116" t="s">
        <v>7753</v>
      </c>
    </row>
    <row r="16" spans="2:18" ht="14.25" customHeight="1" x14ac:dyDescent="0.2">
      <c r="B16" s="113" t="s">
        <v>7754</v>
      </c>
      <c r="C16" s="114" t="s">
        <v>7755</v>
      </c>
      <c r="D16" s="115"/>
      <c r="E16" s="356"/>
      <c r="F16" s="117" t="s">
        <v>7755</v>
      </c>
      <c r="G16" s="380" t="s">
        <v>7754</v>
      </c>
      <c r="H16" s="348"/>
      <c r="I16" s="370" t="s">
        <v>7754</v>
      </c>
      <c r="J16" s="371"/>
      <c r="K16" s="401"/>
      <c r="L16" s="374"/>
      <c r="M16" s="116" t="s">
        <v>7756</v>
      </c>
      <c r="Q16" s="116" t="s">
        <v>7757</v>
      </c>
    </row>
    <row r="17" spans="2:13" ht="14.25" customHeight="1" x14ac:dyDescent="0.2">
      <c r="B17" s="113" t="s">
        <v>7758</v>
      </c>
      <c r="C17" s="114" t="s">
        <v>7759</v>
      </c>
      <c r="D17" s="115"/>
      <c r="E17" s="357"/>
      <c r="F17" s="117" t="s">
        <v>7759</v>
      </c>
      <c r="G17" s="380" t="s">
        <v>7758</v>
      </c>
      <c r="H17" s="348"/>
      <c r="I17" s="370" t="s">
        <v>7758</v>
      </c>
      <c r="J17" s="371"/>
      <c r="K17" s="343"/>
      <c r="L17" s="377"/>
      <c r="M17" s="116" t="s">
        <v>7760</v>
      </c>
    </row>
    <row r="18" spans="2:13" ht="14.25" customHeight="1" x14ac:dyDescent="0.2">
      <c r="B18" s="407" t="s">
        <v>7761</v>
      </c>
      <c r="C18" s="114" t="s">
        <v>7762</v>
      </c>
      <c r="D18" s="115" t="s">
        <v>6009</v>
      </c>
      <c r="E18" s="369" t="s">
        <v>7761</v>
      </c>
      <c r="F18" s="118" t="s">
        <v>7763</v>
      </c>
      <c r="G18" s="373" t="s">
        <v>7688</v>
      </c>
      <c r="H18" s="374"/>
      <c r="I18" s="370" t="s">
        <v>6010</v>
      </c>
      <c r="J18" s="371"/>
      <c r="K18" s="367" t="s">
        <v>7764</v>
      </c>
      <c r="L18" s="368"/>
      <c r="M18" s="116" t="s">
        <v>7765</v>
      </c>
    </row>
    <row r="19" spans="2:13" ht="14.25" customHeight="1" x14ac:dyDescent="0.2">
      <c r="B19" s="357"/>
      <c r="C19" s="114" t="s">
        <v>7766</v>
      </c>
      <c r="D19" s="115" t="s">
        <v>6036</v>
      </c>
      <c r="E19" s="357"/>
      <c r="F19" s="119"/>
      <c r="G19" s="376"/>
      <c r="H19" s="377"/>
      <c r="I19" s="370" t="s">
        <v>7767</v>
      </c>
      <c r="J19" s="371"/>
      <c r="K19" s="347"/>
      <c r="L19" s="348"/>
    </row>
    <row r="20" spans="2:13" ht="14.25" customHeight="1" x14ac:dyDescent="0.2">
      <c r="B20" s="355" t="s">
        <v>7768</v>
      </c>
      <c r="C20" s="406" t="s">
        <v>7762</v>
      </c>
      <c r="D20" s="349" t="s">
        <v>4415</v>
      </c>
      <c r="E20" s="369" t="s">
        <v>7769</v>
      </c>
      <c r="F20" s="120" t="s">
        <v>7770</v>
      </c>
      <c r="G20" s="115"/>
      <c r="H20" s="121"/>
      <c r="I20" s="396" t="s">
        <v>7771</v>
      </c>
      <c r="J20" s="371"/>
      <c r="K20" s="347"/>
      <c r="L20" s="348"/>
    </row>
    <row r="21" spans="2:13" ht="14.25" customHeight="1" x14ac:dyDescent="0.2">
      <c r="B21" s="357"/>
      <c r="C21" s="354"/>
      <c r="D21" s="351"/>
      <c r="E21" s="356"/>
      <c r="F21" s="117" t="s">
        <v>7772</v>
      </c>
      <c r="G21" s="397"/>
      <c r="H21" s="348"/>
      <c r="I21" s="370" t="s">
        <v>7773</v>
      </c>
      <c r="J21" s="371"/>
      <c r="K21" s="393" t="s">
        <v>7774</v>
      </c>
      <c r="L21" s="348"/>
    </row>
    <row r="22" spans="2:13" ht="14.25" customHeight="1" x14ac:dyDescent="0.2">
      <c r="B22" s="407" t="s">
        <v>7775</v>
      </c>
      <c r="C22" s="114" t="s">
        <v>7776</v>
      </c>
      <c r="D22" s="115" t="s">
        <v>7777</v>
      </c>
      <c r="E22" s="356"/>
      <c r="F22" s="117" t="s">
        <v>7778</v>
      </c>
      <c r="G22" s="404" t="s">
        <v>7779</v>
      </c>
      <c r="H22" s="402" t="s">
        <v>7780</v>
      </c>
      <c r="I22" s="403" t="s">
        <v>7779</v>
      </c>
      <c r="J22" s="384" t="s">
        <v>7781</v>
      </c>
      <c r="K22" s="355"/>
      <c r="L22" s="400"/>
      <c r="M22" s="116" t="s">
        <v>7782</v>
      </c>
    </row>
    <row r="23" spans="2:13" ht="14.25" customHeight="1" x14ac:dyDescent="0.2">
      <c r="B23" s="356"/>
      <c r="C23" s="114" t="s">
        <v>7783</v>
      </c>
      <c r="D23" s="115" t="s">
        <v>7784</v>
      </c>
      <c r="E23" s="356"/>
      <c r="F23" s="122" t="s">
        <v>7785</v>
      </c>
      <c r="G23" s="375"/>
      <c r="H23" s="359"/>
      <c r="I23" s="359"/>
      <c r="J23" s="353"/>
      <c r="K23" s="356"/>
      <c r="L23" s="359"/>
      <c r="M23" s="116" t="s">
        <v>7786</v>
      </c>
    </row>
    <row r="24" spans="2:13" ht="14.25" customHeight="1" x14ac:dyDescent="0.2">
      <c r="B24" s="356"/>
      <c r="C24" s="114" t="s">
        <v>7787</v>
      </c>
      <c r="D24" s="115" t="s">
        <v>7788</v>
      </c>
      <c r="E24" s="356"/>
      <c r="F24" s="117" t="s">
        <v>7789</v>
      </c>
      <c r="G24" s="375"/>
      <c r="H24" s="359"/>
      <c r="I24" s="359"/>
      <c r="J24" s="353"/>
      <c r="K24" s="356"/>
      <c r="L24" s="359"/>
      <c r="M24" s="116" t="s">
        <v>7790</v>
      </c>
    </row>
    <row r="25" spans="2:13" ht="14.25" customHeight="1" x14ac:dyDescent="0.2">
      <c r="B25" s="357"/>
      <c r="C25" s="114" t="s">
        <v>7791</v>
      </c>
      <c r="D25" s="115" t="s">
        <v>7792</v>
      </c>
      <c r="E25" s="357"/>
      <c r="F25" s="117" t="s">
        <v>7793</v>
      </c>
      <c r="G25" s="377"/>
      <c r="H25" s="360"/>
      <c r="I25" s="360"/>
      <c r="J25" s="354"/>
      <c r="K25" s="357"/>
      <c r="L25" s="360"/>
      <c r="M25" s="116" t="s">
        <v>7794</v>
      </c>
    </row>
    <row r="26" spans="2:13" ht="14.25" customHeight="1" x14ac:dyDescent="0.2">
      <c r="B26" s="113" t="s">
        <v>7658</v>
      </c>
      <c r="C26" s="114"/>
      <c r="D26" s="115" t="s">
        <v>44</v>
      </c>
      <c r="E26" s="123" t="s">
        <v>7658</v>
      </c>
      <c r="F26" s="117" t="s">
        <v>7795</v>
      </c>
      <c r="G26" s="380" t="s">
        <v>7658</v>
      </c>
      <c r="H26" s="348"/>
      <c r="I26" s="370" t="s">
        <v>44</v>
      </c>
      <c r="J26" s="371"/>
      <c r="K26" s="124" t="s">
        <v>7796</v>
      </c>
      <c r="L26" s="125"/>
      <c r="M26" s="116" t="s">
        <v>7797</v>
      </c>
    </row>
    <row r="27" spans="2:13" ht="14.25" customHeight="1" x14ac:dyDescent="0.2">
      <c r="B27" s="113" t="s">
        <v>7798</v>
      </c>
      <c r="C27" s="114" t="s">
        <v>7799</v>
      </c>
      <c r="D27" s="115" t="s">
        <v>7800</v>
      </c>
      <c r="E27" s="123" t="s">
        <v>7801</v>
      </c>
      <c r="F27" s="117" t="s">
        <v>7802</v>
      </c>
      <c r="G27" s="380" t="s">
        <v>7803</v>
      </c>
      <c r="H27" s="348"/>
      <c r="I27" s="380" t="s">
        <v>7803</v>
      </c>
      <c r="J27" s="348"/>
      <c r="K27" s="347"/>
      <c r="L27" s="348"/>
      <c r="M27" s="116" t="s">
        <v>7804</v>
      </c>
    </row>
    <row r="28" spans="2:13" ht="14.25" customHeight="1" x14ac:dyDescent="0.2">
      <c r="B28" s="407" t="s">
        <v>5983</v>
      </c>
      <c r="C28" s="114" t="s">
        <v>7805</v>
      </c>
      <c r="D28" s="115" t="s">
        <v>7806</v>
      </c>
      <c r="E28" s="405" t="s">
        <v>5983</v>
      </c>
      <c r="F28" s="117" t="s">
        <v>7721</v>
      </c>
      <c r="G28" s="373" t="s">
        <v>7807</v>
      </c>
      <c r="H28" s="374"/>
      <c r="I28" s="361" t="s">
        <v>5983</v>
      </c>
      <c r="J28" s="362"/>
      <c r="K28" s="392" t="s">
        <v>7808</v>
      </c>
      <c r="L28" s="374"/>
    </row>
    <row r="29" spans="2:13" ht="14.25" customHeight="1" x14ac:dyDescent="0.2">
      <c r="B29" s="357"/>
      <c r="C29" s="114" t="s">
        <v>7809</v>
      </c>
      <c r="D29" s="115" t="s">
        <v>7810</v>
      </c>
      <c r="E29" s="357"/>
      <c r="F29" s="117" t="s">
        <v>7795</v>
      </c>
      <c r="G29" s="376"/>
      <c r="H29" s="377"/>
      <c r="I29" s="365"/>
      <c r="J29" s="366"/>
      <c r="K29" s="343"/>
      <c r="L29" s="377"/>
      <c r="M29" s="116" t="s">
        <v>7811</v>
      </c>
    </row>
    <row r="30" spans="2:13" ht="14.25" customHeight="1" x14ac:dyDescent="0.2">
      <c r="B30" s="113" t="s">
        <v>7812</v>
      </c>
      <c r="C30" s="114" t="s">
        <v>7813</v>
      </c>
      <c r="D30" s="115" t="s">
        <v>7814</v>
      </c>
      <c r="E30" s="123" t="s">
        <v>7812</v>
      </c>
      <c r="F30" s="117" t="s">
        <v>7812</v>
      </c>
      <c r="G30" s="397"/>
      <c r="H30" s="348"/>
      <c r="I30" s="126"/>
      <c r="J30" s="127"/>
      <c r="K30" s="347"/>
      <c r="L30" s="348"/>
    </row>
    <row r="31" spans="2:13" ht="14.25" customHeight="1" x14ac:dyDescent="0.2">
      <c r="B31" s="113" t="s">
        <v>1659</v>
      </c>
      <c r="C31" s="114" t="s">
        <v>7815</v>
      </c>
      <c r="D31" s="115" t="s">
        <v>1659</v>
      </c>
      <c r="E31" s="123" t="s">
        <v>7815</v>
      </c>
      <c r="F31" s="117" t="s">
        <v>7795</v>
      </c>
      <c r="G31" s="380" t="s">
        <v>1659</v>
      </c>
      <c r="H31" s="348"/>
      <c r="I31" s="370" t="s">
        <v>1659</v>
      </c>
      <c r="J31" s="371"/>
      <c r="K31" s="393" t="s">
        <v>7816</v>
      </c>
      <c r="L31" s="348"/>
      <c r="M31" s="116" t="s">
        <v>7817</v>
      </c>
    </row>
    <row r="32" spans="2:13" ht="14.25" customHeight="1" x14ac:dyDescent="0.2">
      <c r="B32" s="128" t="s">
        <v>7818</v>
      </c>
      <c r="C32" s="129"/>
      <c r="D32" s="115" t="s">
        <v>7818</v>
      </c>
      <c r="E32" s="130" t="s">
        <v>7818</v>
      </c>
      <c r="F32" s="131" t="s">
        <v>7818</v>
      </c>
      <c r="G32" s="394" t="s">
        <v>7818</v>
      </c>
      <c r="H32" s="395"/>
      <c r="I32" s="398" t="s">
        <v>7819</v>
      </c>
      <c r="J32" s="399"/>
      <c r="K32" s="347"/>
      <c r="L32" s="348"/>
      <c r="M32" s="116" t="s">
        <v>7820</v>
      </c>
    </row>
    <row r="33" spans="5:13" ht="14.25" customHeight="1" x14ac:dyDescent="0.2">
      <c r="E33" s="132" t="s">
        <v>7821</v>
      </c>
      <c r="F33" s="133" t="s">
        <v>7822</v>
      </c>
      <c r="I33" s="134" t="s">
        <v>7822</v>
      </c>
      <c r="K33" s="47"/>
      <c r="L33" s="47"/>
    </row>
    <row r="34" spans="5:13" ht="14.25" customHeight="1" x14ac:dyDescent="0.2">
      <c r="K34" s="47"/>
      <c r="L34" s="47"/>
      <c r="M34" s="116" t="s">
        <v>7823</v>
      </c>
    </row>
    <row r="35" spans="5:13" ht="14.25" customHeight="1" x14ac:dyDescent="0.2">
      <c r="K35" s="47"/>
      <c r="L35" s="47"/>
      <c r="M35" s="116" t="s">
        <v>7824</v>
      </c>
    </row>
    <row r="36" spans="5:13" ht="14.25" customHeight="1" x14ac:dyDescent="0.2">
      <c r="K36" s="47"/>
      <c r="L36" s="47"/>
      <c r="M36" s="116" t="s">
        <v>7825</v>
      </c>
    </row>
    <row r="37" spans="5:13" ht="14.25" customHeight="1" x14ac:dyDescent="0.2">
      <c r="K37" s="47"/>
      <c r="L37" s="47"/>
      <c r="M37" s="116" t="s">
        <v>7826</v>
      </c>
    </row>
    <row r="38" spans="5:13" ht="14.25" customHeight="1" x14ac:dyDescent="0.2"/>
    <row r="39" spans="5:13" ht="14.25" customHeight="1" x14ac:dyDescent="0.2"/>
    <row r="40" spans="5:13" ht="14.25" customHeight="1" x14ac:dyDescent="0.2"/>
    <row r="41" spans="5:13" ht="14.25" customHeight="1" x14ac:dyDescent="0.2"/>
    <row r="42" spans="5:13" ht="14.25" customHeight="1" x14ac:dyDescent="0.2"/>
    <row r="43" spans="5:13" ht="14.25" customHeight="1" x14ac:dyDescent="0.2"/>
    <row r="44" spans="5:13" ht="14.25" customHeight="1" x14ac:dyDescent="0.2"/>
    <row r="45" spans="5:13" ht="14.25" customHeight="1" x14ac:dyDescent="0.2"/>
    <row r="46" spans="5:13" ht="14.25" customHeight="1" x14ac:dyDescent="0.2"/>
    <row r="47" spans="5:13" ht="14.25" customHeight="1" x14ac:dyDescent="0.2"/>
    <row r="48" spans="5:13"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mergeCells count="87">
    <mergeCell ref="B18:B19"/>
    <mergeCell ref="B4:B5"/>
    <mergeCell ref="C4:C5"/>
    <mergeCell ref="B6:B9"/>
    <mergeCell ref="B10:B12"/>
    <mergeCell ref="B13:B15"/>
    <mergeCell ref="C13:C15"/>
    <mergeCell ref="E28:E29"/>
    <mergeCell ref="B20:B21"/>
    <mergeCell ref="C20:C21"/>
    <mergeCell ref="D20:D21"/>
    <mergeCell ref="B22:B25"/>
    <mergeCell ref="B28:B29"/>
    <mergeCell ref="K21:L21"/>
    <mergeCell ref="L22:L25"/>
    <mergeCell ref="G16:H16"/>
    <mergeCell ref="I16:J16"/>
    <mergeCell ref="K16:L17"/>
    <mergeCell ref="G17:H17"/>
    <mergeCell ref="I17:J17"/>
    <mergeCell ref="H22:H25"/>
    <mergeCell ref="I22:I25"/>
    <mergeCell ref="J22:J25"/>
    <mergeCell ref="K22:K25"/>
    <mergeCell ref="G22:G25"/>
    <mergeCell ref="G32:H32"/>
    <mergeCell ref="I18:J18"/>
    <mergeCell ref="I19:J19"/>
    <mergeCell ref="I20:J20"/>
    <mergeCell ref="G21:H21"/>
    <mergeCell ref="I21:J21"/>
    <mergeCell ref="I31:J31"/>
    <mergeCell ref="I32:J32"/>
    <mergeCell ref="I26:J26"/>
    <mergeCell ref="I27:J27"/>
    <mergeCell ref="G26:H26"/>
    <mergeCell ref="G27:H27"/>
    <mergeCell ref="G28:H29"/>
    <mergeCell ref="G30:H30"/>
    <mergeCell ref="G31:H31"/>
    <mergeCell ref="G18:H19"/>
    <mergeCell ref="K27:L27"/>
    <mergeCell ref="I28:J29"/>
    <mergeCell ref="K28:L29"/>
    <mergeCell ref="K30:L30"/>
    <mergeCell ref="K31:L31"/>
    <mergeCell ref="K32:L32"/>
    <mergeCell ref="E1:F1"/>
    <mergeCell ref="B2:C2"/>
    <mergeCell ref="D2:D3"/>
    <mergeCell ref="E2:E3"/>
    <mergeCell ref="F2:F3"/>
    <mergeCell ref="G2:J2"/>
    <mergeCell ref="K2:L3"/>
    <mergeCell ref="G3:H3"/>
    <mergeCell ref="I3:J3"/>
    <mergeCell ref="F4:F5"/>
    <mergeCell ref="G4:H5"/>
    <mergeCell ref="I4:J5"/>
    <mergeCell ref="K4:L5"/>
    <mergeCell ref="G6:H6"/>
    <mergeCell ref="K7:L9"/>
    <mergeCell ref="I7:J9"/>
    <mergeCell ref="M7:R9"/>
    <mergeCell ref="K10:L11"/>
    <mergeCell ref="K12:L12"/>
    <mergeCell ref="G10:H11"/>
    <mergeCell ref="G12:H12"/>
    <mergeCell ref="I12:J12"/>
    <mergeCell ref="I10:J10"/>
    <mergeCell ref="I11:J11"/>
    <mergeCell ref="K13:K15"/>
    <mergeCell ref="L13:L15"/>
    <mergeCell ref="K19:L19"/>
    <mergeCell ref="K20:L20"/>
    <mergeCell ref="D13:D15"/>
    <mergeCell ref="F13:F15"/>
    <mergeCell ref="G13:G15"/>
    <mergeCell ref="H13:H15"/>
    <mergeCell ref="I13:J15"/>
    <mergeCell ref="K18:L18"/>
    <mergeCell ref="E4:E17"/>
    <mergeCell ref="E18:E19"/>
    <mergeCell ref="E20:E25"/>
    <mergeCell ref="I6:J6"/>
    <mergeCell ref="K6:L6"/>
    <mergeCell ref="G7:H9"/>
  </mergeCells>
  <conditionalFormatting sqref="B6 B10 B13:C13 B16:B17 B20 B22 B26:B28 C29:C30 B31:B32">
    <cfRule type="endsWith" dxfId="5" priority="1" operator="endsWith" text=" ">
      <formula>RIGHT((B6),LEN(" "))=(" ")</formula>
    </cfRule>
    <cfRule type="beginsWith" dxfId="4" priority="2" operator="beginsWith" text=" ">
      <formula>LEFT((B6),LEN(" "))=(" ")</formula>
    </cfRule>
  </conditionalFormatting>
  <conditionalFormatting sqref="C19">
    <cfRule type="endsWith" dxfId="3" priority="3" operator="endsWith" text=" ">
      <formula>RIGHT((C19),LEN(" "))=(" ")</formula>
    </cfRule>
    <cfRule type="beginsWith" dxfId="2" priority="4" operator="beginsWith" text=" ">
      <formula>LEFT((C19),LEN(" "))=(" ")</formula>
    </cfRule>
  </conditionalFormatting>
  <conditionalFormatting sqref="D22">
    <cfRule type="endsWith" dxfId="1" priority="5" operator="endsWith" text=" ">
      <formula>RIGHT((D22),LEN(" "))=(" ")</formula>
    </cfRule>
    <cfRule type="beginsWith" dxfId="0" priority="6" operator="beginsWith" text=" ">
      <formula>LEFT((D22),LEN(" "))=(" ")</formula>
    </cfRule>
  </conditionalFormatting>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NewORGNames</vt:lpstr>
      <vt:lpstr>OldORGNames</vt:lpstr>
      <vt:lpstr>ORG NAME CHANGES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Weick, Ted J ENV:EX</dc:creator>
  <cp:lastModifiedBy>Tong Li</cp:lastModifiedBy>
  <dcterms:created xsi:type="dcterms:W3CDTF">2025-09-17T20:56:36Z</dcterms:created>
  <dcterms:modified xsi:type="dcterms:W3CDTF">2026-01-05T17:10:43Z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0x010100B3783C8262DABF4D890A36527736A65F</vt:lpwstr>
  </property>
  <property fmtid="{D5CDD505-2E9C-101B-9397-08002B2CF9AE}" pid="3" name="MediaServiceImageTags">
    <vt:lpwstr/>
  </property>
</Properties>
</file>