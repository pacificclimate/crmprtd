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tongli1997/crmprtd/update_sheet/"/>
    </mc:Choice>
  </mc:AlternateContent>
  <xr:revisionPtr revIDLastSave="0" documentId="13_ncr:1_{74476FF2-A9A8-664D-B0C6-022622B58485}" xr6:coauthVersionLast="47" xr6:coauthVersionMax="47" xr10:uidLastSave="{00000000-0000-0000-0000-000000000000}"/>
  <bookViews>
    <workbookView xWindow="38400" yWindow="2620" windowWidth="30240" windowHeight="17540" firstSheet="2" activeTab="2" xr2:uid="{85369634-0034-462B-8914-4C66A0092986}"/>
  </bookViews>
  <sheets>
    <sheet name="Stations" sheetId="1" r:id="rId1"/>
    <sheet name="Parameters" sheetId="2" r:id="rId2"/>
    <sheet name="NetworkAnnotation" sheetId="3" r:id="rId3"/>
  </sheets>
  <definedNames>
    <definedName name="_xlnm._FilterDatabase" localSheetId="0" hidden="1">Stations!$A$1:$AC$1206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4" i="1" l="1"/>
  <c r="G1113" i="1"/>
  <c r="G188" i="1"/>
  <c r="G187" i="1"/>
  <c r="G277" i="1"/>
  <c r="G208" i="1"/>
  <c r="G278" i="1"/>
  <c r="G486" i="1"/>
  <c r="G128" i="1"/>
  <c r="G271" i="1"/>
  <c r="G270" i="1"/>
  <c r="G269" i="1"/>
  <c r="G430" i="1"/>
  <c r="G1025" i="1"/>
  <c r="G563" i="1"/>
  <c r="G599" i="1"/>
  <c r="G602" i="1"/>
  <c r="G601" i="1"/>
  <c r="G163" i="1"/>
  <c r="G549" i="1"/>
  <c r="G818" i="1"/>
  <c r="G248" i="1"/>
  <c r="G819" i="1"/>
  <c r="G547" i="1"/>
  <c r="G503" i="1"/>
  <c r="G649" i="1"/>
  <c r="G517" i="1"/>
  <c r="G533" i="1"/>
  <c r="G567" i="1"/>
  <c r="G510" i="1"/>
  <c r="G281" i="1"/>
  <c r="G539" i="1"/>
  <c r="G553" i="1"/>
  <c r="G577" i="1"/>
  <c r="G815" i="1"/>
  <c r="G287" i="1"/>
  <c r="G103" i="1"/>
  <c r="G289" i="1"/>
  <c r="G600" i="1"/>
  <c r="G814" i="1"/>
  <c r="G283" i="1"/>
  <c r="G292" i="1"/>
  <c r="G562" i="1"/>
  <c r="G656" i="1"/>
  <c r="G299" i="1"/>
  <c r="G306" i="1"/>
  <c r="G318" i="1"/>
  <c r="G491" i="1"/>
  <c r="G307" i="1"/>
  <c r="G276" i="1"/>
  <c r="G302" i="1"/>
  <c r="G305" i="1"/>
  <c r="G291" i="1"/>
  <c r="G303" i="1"/>
  <c r="G294" i="1"/>
  <c r="G308" i="1"/>
  <c r="G296" i="1"/>
  <c r="G174" i="1"/>
  <c r="G465" i="1"/>
  <c r="G560" i="1"/>
  <c r="G230" i="1"/>
  <c r="G558" i="1"/>
  <c r="G586" i="1"/>
  <c r="G1200" i="1"/>
  <c r="G284" i="1"/>
  <c r="G282" i="1"/>
  <c r="G286" i="1"/>
  <c r="G106" i="1"/>
  <c r="G198" i="1"/>
  <c r="G179" i="1"/>
  <c r="G288" i="1"/>
  <c r="G197" i="1"/>
  <c r="G770" i="1"/>
  <c r="G784" i="1"/>
  <c r="G555" i="1"/>
  <c r="G170" i="1"/>
  <c r="G176" i="1"/>
  <c r="G205" i="1"/>
  <c r="G228" i="1"/>
  <c r="G772" i="1"/>
  <c r="G543" i="1"/>
  <c r="G771" i="1"/>
  <c r="G988" i="1"/>
  <c r="G565" i="1"/>
  <c r="G1024" i="1"/>
  <c r="G1169" i="1"/>
  <c r="G1178" i="1"/>
  <c r="G293" i="1"/>
  <c r="G240" i="1"/>
  <c r="G987" i="1"/>
  <c r="G1188" i="1"/>
  <c r="G989" i="1"/>
  <c r="G295" i="1"/>
  <c r="G559" i="1"/>
  <c r="G114" i="1"/>
  <c r="G149" i="1"/>
  <c r="G143" i="1"/>
  <c r="G221" i="1"/>
  <c r="G104" i="1"/>
  <c r="G268" i="1"/>
  <c r="G990" i="1"/>
  <c r="G475" i="1"/>
  <c r="G108" i="1"/>
  <c r="G219" i="1"/>
  <c r="G117" i="1"/>
  <c r="G218" i="1"/>
  <c r="G220" i="1"/>
  <c r="G816" i="1"/>
  <c r="G107" i="1"/>
  <c r="G122" i="1"/>
  <c r="G932" i="1"/>
  <c r="G817" i="1"/>
  <c r="G478" i="1"/>
  <c r="G1060" i="1"/>
  <c r="G508" i="1"/>
  <c r="G725" i="1"/>
  <c r="G388" i="1"/>
  <c r="G406" i="1"/>
  <c r="G748" i="1"/>
  <c r="G428" i="1"/>
  <c r="G756" i="1"/>
  <c r="G1044" i="1"/>
  <c r="G171" i="1"/>
  <c r="G1059" i="1"/>
  <c r="G501" i="1"/>
  <c r="G722" i="1"/>
  <c r="G427" i="1"/>
  <c r="G766" i="1"/>
  <c r="G754" i="1"/>
  <c r="G506" i="1"/>
  <c r="G580" i="1"/>
  <c r="G1039" i="1"/>
  <c r="G627" i="1"/>
  <c r="G524" i="1"/>
  <c r="G246" i="1"/>
  <c r="G723" i="1"/>
  <c r="G767" i="1"/>
  <c r="G1190" i="1"/>
  <c r="G518" i="1"/>
  <c r="G1046" i="1"/>
  <c r="G206" i="1"/>
  <c r="G734" i="1"/>
  <c r="G1045" i="1"/>
  <c r="G712" i="1"/>
  <c r="G1047" i="1"/>
  <c r="G243" i="1"/>
  <c r="G1040" i="1"/>
  <c r="G622" i="1"/>
  <c r="G550" i="1"/>
  <c r="G1038" i="1"/>
  <c r="G626" i="1"/>
  <c r="G552" i="1"/>
  <c r="G1061" i="1"/>
  <c r="G1041" i="1"/>
  <c r="G621" i="1"/>
  <c r="G617" i="1"/>
  <c r="G937" i="1"/>
  <c r="G356" i="1"/>
  <c r="G596" i="1"/>
  <c r="G628" i="1"/>
  <c r="G551" i="1"/>
  <c r="G554" i="1"/>
  <c r="G741" i="1"/>
  <c r="G540" i="1"/>
  <c r="G633" i="1"/>
  <c r="G603" i="1"/>
  <c r="G574" i="1"/>
  <c r="G765" i="1"/>
  <c r="G619" i="1"/>
  <c r="G757" i="1"/>
  <c r="G247" i="1"/>
  <c r="G776" i="1"/>
  <c r="G610" i="1"/>
  <c r="G467" i="1"/>
  <c r="G625" i="1"/>
  <c r="G432" i="1"/>
  <c r="G1051" i="1"/>
  <c r="G618" i="1"/>
  <c r="G495" i="1"/>
  <c r="G753" i="1"/>
  <c r="G412" i="1"/>
  <c r="G1036" i="1"/>
  <c r="G714" i="1"/>
  <c r="G597" i="1"/>
  <c r="G461" i="1"/>
  <c r="G916" i="1"/>
  <c r="G433" i="1"/>
  <c r="G762" i="1"/>
  <c r="G718" i="1"/>
  <c r="G1049" i="1"/>
  <c r="G616" i="1"/>
  <c r="G719" i="1"/>
  <c r="G347" i="1"/>
  <c r="G623" i="1"/>
  <c r="G436" i="1"/>
  <c r="G598" i="1"/>
  <c r="G355" i="1"/>
  <c r="G605" i="1"/>
  <c r="G742" i="1"/>
  <c r="G400" i="1"/>
  <c r="G405" i="1"/>
  <c r="G392" i="1"/>
  <c r="G435" i="1"/>
  <c r="G434" i="1"/>
  <c r="G351" i="1"/>
  <c r="G736" i="1"/>
  <c r="G396" i="1"/>
  <c r="G449" i="1"/>
  <c r="G146" i="1"/>
  <c r="G925" i="1"/>
  <c r="G1042" i="1"/>
  <c r="G410" i="1"/>
  <c r="G1053" i="1"/>
  <c r="G385" i="1"/>
  <c r="G386" i="1"/>
  <c r="G381" i="1"/>
  <c r="G900" i="1"/>
  <c r="G620" i="1"/>
  <c r="G1054" i="1"/>
  <c r="G1056" i="1"/>
  <c r="G244" i="1"/>
  <c r="G735" i="1"/>
  <c r="G404" i="1"/>
  <c r="G624" i="1"/>
  <c r="G720" i="1"/>
  <c r="G382" i="1"/>
  <c r="G777" i="1"/>
  <c r="G322" i="1"/>
  <c r="G413" i="1"/>
  <c r="G530" i="1"/>
  <c r="G348" i="1"/>
  <c r="G751" i="1"/>
  <c r="G1141" i="1"/>
  <c r="G749" i="1"/>
  <c r="G787" i="1"/>
  <c r="G743" i="1"/>
  <c r="G1015" i="1"/>
  <c r="G747" i="1"/>
  <c r="G482" i="1"/>
  <c r="G1055" i="1"/>
  <c r="G445" i="1"/>
  <c r="G352" i="1"/>
  <c r="G522" i="1"/>
  <c r="G407" i="1"/>
  <c r="G401" i="1"/>
  <c r="G724" i="1"/>
  <c r="G442" i="1"/>
  <c r="G489" i="1"/>
  <c r="G336" i="1"/>
  <c r="G759" i="1"/>
  <c r="G721" i="1"/>
  <c r="G740" i="1"/>
  <c r="G446" i="1"/>
  <c r="G350" i="1"/>
  <c r="G739" i="1"/>
  <c r="G731" i="1"/>
  <c r="G744" i="1"/>
  <c r="G390" i="1"/>
  <c r="G353" i="1"/>
  <c r="G1058" i="1"/>
  <c r="G387" i="1"/>
  <c r="G755" i="1"/>
  <c r="G716" i="1"/>
  <c r="G317" i="1"/>
  <c r="G403" i="1"/>
  <c r="G414" i="1"/>
  <c r="G393" i="1"/>
  <c r="G730" i="1"/>
  <c r="G733" i="1"/>
  <c r="G354" i="1"/>
  <c r="G483" i="1"/>
  <c r="G319" i="1"/>
  <c r="G786" i="1"/>
  <c r="G137" i="1"/>
  <c r="G1167" i="1"/>
  <c r="G440" i="1"/>
  <c r="G1014" i="1"/>
  <c r="G1043" i="1"/>
  <c r="G732" i="1"/>
  <c r="G769" i="1"/>
  <c r="G409" i="1"/>
  <c r="G768" i="1"/>
  <c r="G182" i="1"/>
  <c r="G923" i="1"/>
  <c r="G443" i="1"/>
  <c r="G764" i="1"/>
  <c r="G738" i="1"/>
  <c r="G729" i="1"/>
  <c r="G321" i="1"/>
  <c r="G398" i="1"/>
  <c r="G441" i="1"/>
  <c r="G710" i="1"/>
  <c r="G922" i="1"/>
  <c r="G411" i="1"/>
  <c r="G177" i="1"/>
  <c r="G1050" i="1"/>
  <c r="G737" i="1"/>
  <c r="G439" i="1"/>
  <c r="G245" i="1"/>
  <c r="G728" i="1"/>
  <c r="G458" i="1"/>
  <c r="G571" i="1"/>
  <c r="G389" i="1"/>
  <c r="G499" i="1"/>
  <c r="G745" i="1"/>
  <c r="G746" i="1"/>
  <c r="G115" i="1"/>
  <c r="G391" i="1"/>
  <c r="G785" i="1"/>
  <c r="G1021" i="1"/>
  <c r="G1152" i="1"/>
  <c r="G727" i="1"/>
  <c r="G408" i="1"/>
  <c r="G93" i="1"/>
  <c r="G516" i="1"/>
  <c r="G935" i="1"/>
  <c r="G448" i="1"/>
  <c r="G134" i="1"/>
  <c r="G1189" i="1"/>
  <c r="G12" i="1"/>
  <c r="G1203" i="1"/>
  <c r="G773" i="1"/>
  <c r="G402" i="1"/>
  <c r="G538" i="1"/>
  <c r="G320" i="1"/>
  <c r="G29" i="1"/>
  <c r="G763" i="1"/>
  <c r="G713" i="1"/>
  <c r="G463" i="1"/>
  <c r="G1147" i="1"/>
  <c r="G1034" i="1"/>
  <c r="G384" i="1"/>
  <c r="G26" i="1"/>
  <c r="G556" i="1"/>
  <c r="G758" i="1"/>
  <c r="G31" i="1"/>
  <c r="G89" i="1"/>
  <c r="G1033" i="1"/>
  <c r="G345" i="1"/>
  <c r="G528" i="1"/>
  <c r="G752" i="1"/>
  <c r="G726" i="1"/>
  <c r="G30" i="1"/>
  <c r="G147" i="1"/>
  <c r="G512" i="1"/>
  <c r="G711" i="1"/>
  <c r="G926" i="1"/>
  <c r="G525" i="1"/>
  <c r="G761" i="1"/>
  <c r="G921" i="1"/>
  <c r="G1013" i="1"/>
  <c r="G760" i="1"/>
  <c r="G513" i="1"/>
  <c r="G920" i="1"/>
  <c r="G680" i="1"/>
  <c r="G27" i="1"/>
  <c r="G1032" i="1"/>
  <c r="G1052" i="1"/>
  <c r="G32" i="1"/>
  <c r="G520" i="1"/>
  <c r="G1012" i="1"/>
  <c r="G380" i="1"/>
  <c r="G1146" i="1"/>
  <c r="G918" i="1"/>
  <c r="G383" i="1"/>
  <c r="G100" i="1"/>
  <c r="G101" i="1"/>
  <c r="G750" i="1"/>
  <c r="G1020" i="1"/>
  <c r="G1163" i="1"/>
  <c r="G1022" i="1"/>
  <c r="G919" i="1"/>
  <c r="G112" i="1"/>
  <c r="G111" i="1"/>
  <c r="G681" i="1"/>
  <c r="G682" i="1"/>
  <c r="G699" i="1"/>
  <c r="G150" i="1"/>
  <c r="G217" i="1"/>
  <c r="G637" i="1"/>
  <c r="G216" i="1"/>
  <c r="G700" i="1"/>
  <c r="G215" i="1"/>
  <c r="G687" i="1"/>
  <c r="G225" i="1"/>
  <c r="G545" i="1"/>
  <c r="G515" i="1"/>
  <c r="G636" i="1"/>
  <c r="G529" i="1"/>
  <c r="G374" i="1"/>
  <c r="G631" i="1"/>
  <c r="G546" i="1"/>
  <c r="G707" i="1"/>
  <c r="G378" i="1"/>
  <c r="G613" i="1"/>
  <c r="G223" i="1"/>
  <c r="G214" i="1"/>
  <c r="G611" i="1"/>
  <c r="G224" i="1"/>
  <c r="G213" i="1"/>
  <c r="G164" i="1"/>
  <c r="G453" i="1"/>
  <c r="G632" i="1"/>
  <c r="G349" i="1"/>
  <c r="G472" i="1"/>
  <c r="G473" i="1"/>
  <c r="G497" i="1"/>
  <c r="G638" i="1"/>
  <c r="G359" i="1"/>
  <c r="G634" i="1"/>
  <c r="G608" i="1"/>
  <c r="G376" i="1"/>
  <c r="G609" i="1"/>
  <c r="G629" i="1"/>
  <c r="G357" i="1"/>
  <c r="G394" i="1"/>
  <c r="G690" i="1"/>
  <c r="G480" i="1"/>
  <c r="G498" i="1"/>
  <c r="G361" i="1"/>
  <c r="G635" i="1"/>
  <c r="G701" i="1"/>
  <c r="G676" i="1"/>
  <c r="G459" i="1"/>
  <c r="G678" i="1"/>
  <c r="G692" i="1"/>
  <c r="G709" i="1"/>
  <c r="G444" i="1"/>
  <c r="G630" i="1"/>
  <c r="G373" i="1"/>
  <c r="G481" i="1"/>
  <c r="G370" i="1"/>
  <c r="G717" i="1"/>
  <c r="G369" i="1"/>
  <c r="G476" i="1"/>
  <c r="G186" i="1"/>
  <c r="G371" i="1"/>
  <c r="G715" i="1"/>
  <c r="G697" i="1"/>
  <c r="G379" i="1"/>
  <c r="G366" i="1"/>
  <c r="G691" i="1"/>
  <c r="G708" i="1"/>
  <c r="G196" i="1"/>
  <c r="G534" i="1"/>
  <c r="G677" i="1"/>
  <c r="G50" i="1"/>
  <c r="G203" i="1"/>
  <c r="G367" i="1"/>
  <c r="G35" i="1"/>
  <c r="G693" i="1"/>
  <c r="G914" i="1"/>
  <c r="G199" i="1"/>
  <c r="G471" i="1"/>
  <c r="G466" i="1"/>
  <c r="G686" i="1"/>
  <c r="G454" i="1"/>
  <c r="G438" i="1"/>
  <c r="G689" i="1"/>
  <c r="G395" i="1"/>
  <c r="G375" i="1"/>
  <c r="G688" i="1"/>
  <c r="G200" i="1"/>
  <c r="G703" i="1"/>
  <c r="G49" i="1"/>
  <c r="G42" i="1"/>
  <c r="G33" i="1"/>
  <c r="G1149" i="1"/>
  <c r="G175" i="1"/>
  <c r="G181" i="1"/>
  <c r="G1030" i="1"/>
  <c r="G202" i="1"/>
  <c r="G698" i="1"/>
  <c r="G364" i="1"/>
  <c r="G90" i="1"/>
  <c r="G360" i="1"/>
  <c r="G936" i="1"/>
  <c r="G363" i="1"/>
  <c r="G397" i="1"/>
  <c r="G399" i="1"/>
  <c r="G99" i="1"/>
  <c r="G28" i="1"/>
  <c r="G1009" i="1"/>
  <c r="G88" i="1"/>
  <c r="G201" i="1"/>
  <c r="G684" i="1"/>
  <c r="G72" i="1"/>
  <c r="G685" i="1"/>
  <c r="G45" i="1"/>
  <c r="G47" i="1"/>
  <c r="G63" i="1"/>
  <c r="G68" i="1"/>
  <c r="G40" i="1"/>
  <c r="G54" i="1"/>
  <c r="G43" i="1"/>
  <c r="G79" i="1"/>
  <c r="G95" i="1"/>
  <c r="G34" i="1"/>
  <c r="G60" i="1"/>
  <c r="G917" i="1"/>
  <c r="G80" i="1"/>
  <c r="G86" i="1"/>
  <c r="G1011" i="1"/>
  <c r="G113" i="1"/>
  <c r="G70" i="1"/>
  <c r="G51" i="1"/>
  <c r="G844" i="1"/>
  <c r="G58" i="1"/>
  <c r="G1008" i="1"/>
  <c r="G61" i="1"/>
  <c r="G74" i="1"/>
  <c r="G344" i="1"/>
  <c r="G39" i="1"/>
  <c r="G59" i="1"/>
  <c r="G24" i="1"/>
  <c r="G1031" i="1"/>
  <c r="G46" i="1"/>
  <c r="G1017" i="1"/>
  <c r="G53" i="1"/>
  <c r="G57" i="1"/>
  <c r="G56" i="1"/>
  <c r="G1157" i="1"/>
  <c r="G377" i="1"/>
  <c r="G71" i="1"/>
  <c r="G457" i="1"/>
  <c r="G55" i="1"/>
  <c r="G62" i="1"/>
  <c r="G484" i="1"/>
  <c r="G81" i="1"/>
  <c r="G64" i="1"/>
  <c r="G358" i="1"/>
  <c r="G76" i="1"/>
  <c r="G679" i="1"/>
  <c r="G48" i="1"/>
  <c r="G41" i="1"/>
  <c r="G702" i="1"/>
  <c r="G119" i="1"/>
  <c r="G683" i="1"/>
  <c r="G52" i="1"/>
  <c r="G67" i="1"/>
  <c r="G25" i="1"/>
  <c r="G915" i="1"/>
  <c r="G1035" i="1"/>
  <c r="G674" i="1"/>
  <c r="G141" i="1"/>
  <c r="G362" i="1"/>
  <c r="G1156" i="1"/>
  <c r="G1019" i="1"/>
  <c r="G1174" i="1"/>
  <c r="G69" i="1"/>
  <c r="G66" i="1"/>
  <c r="G1016" i="1"/>
  <c r="G78" i="1"/>
  <c r="G44" i="1"/>
  <c r="G572" i="1"/>
  <c r="G65" i="1"/>
  <c r="G1010" i="1"/>
  <c r="G673" i="1"/>
  <c r="G1006" i="1"/>
  <c r="G1007" i="1"/>
  <c r="G1140" i="1"/>
  <c r="G222" i="1"/>
  <c r="G561" i="1"/>
  <c r="G172" i="1"/>
  <c r="G212" i="1"/>
  <c r="G232" i="1"/>
  <c r="G185" i="1"/>
  <c r="G211" i="1"/>
  <c r="G173" i="1"/>
  <c r="G585" i="1"/>
  <c r="G541" i="1"/>
  <c r="G536" i="1"/>
  <c r="G654" i="1"/>
  <c r="G209" i="1"/>
  <c r="G573" i="1"/>
  <c r="G521" i="1"/>
  <c r="G566" i="1"/>
  <c r="G652" i="1"/>
  <c r="G285" i="1"/>
  <c r="G544" i="1"/>
  <c r="G653" i="1"/>
  <c r="G290" i="1"/>
  <c r="G584" i="1"/>
  <c r="G822" i="1"/>
  <c r="G823" i="1"/>
  <c r="G655" i="1"/>
  <c r="G267" i="1"/>
  <c r="G469" i="1"/>
  <c r="G1137" i="1"/>
  <c r="G820" i="1"/>
  <c r="G821" i="1"/>
  <c r="G1150" i="1"/>
  <c r="G1037" i="1"/>
  <c r="G264" i="1"/>
  <c r="G490" i="1"/>
  <c r="G424" i="1"/>
  <c r="G426" i="1"/>
  <c r="G266" i="1"/>
  <c r="G275" i="1"/>
  <c r="G523" i="1"/>
  <c r="G535" i="1"/>
  <c r="G165" i="1"/>
  <c r="G425" i="1"/>
  <c r="G178" i="1"/>
  <c r="G423" i="1"/>
  <c r="G265" i="1"/>
  <c r="G824" i="1"/>
  <c r="G195" i="1"/>
  <c r="G488" i="1"/>
  <c r="G852" i="1"/>
  <c r="G861" i="1"/>
  <c r="G860" i="1"/>
  <c r="G864" i="1"/>
  <c r="G849" i="1"/>
  <c r="G862" i="1"/>
  <c r="G863" i="1"/>
  <c r="G855" i="1"/>
  <c r="G848" i="1"/>
  <c r="G859" i="1"/>
  <c r="G854" i="1"/>
  <c r="G851" i="1"/>
  <c r="G853" i="1"/>
  <c r="G856" i="1"/>
  <c r="G857" i="1"/>
  <c r="G858" i="1"/>
  <c r="G582" i="1"/>
  <c r="G645" i="1"/>
  <c r="G643" i="1"/>
  <c r="G839" i="1"/>
  <c r="G73" i="1"/>
  <c r="G75" i="1"/>
  <c r="G479" i="1"/>
  <c r="G250" i="1"/>
  <c r="G496" i="1"/>
  <c r="G942" i="1"/>
  <c r="G1089" i="1"/>
  <c r="G494" i="1"/>
  <c r="G829" i="1"/>
  <c r="G833" i="1"/>
  <c r="G568" i="1"/>
  <c r="G569" i="1"/>
  <c r="G519" i="1"/>
  <c r="G578" i="1"/>
  <c r="G908" i="1"/>
  <c r="G1095" i="1"/>
  <c r="G450" i="1"/>
  <c r="G946" i="1"/>
  <c r="G866" i="1"/>
  <c r="G1003" i="1"/>
  <c r="G663" i="1"/>
  <c r="G509" i="1"/>
  <c r="G907" i="1"/>
  <c r="G257" i="1"/>
  <c r="G662" i="1"/>
  <c r="G867" i="1"/>
  <c r="G505" i="1"/>
  <c r="G870" i="1"/>
  <c r="G930" i="1"/>
  <c r="G667" i="1"/>
  <c r="G1161" i="1"/>
  <c r="G933" i="1"/>
  <c r="G962" i="1"/>
  <c r="G493" i="1"/>
  <c r="G961" i="1"/>
  <c r="G1092" i="1"/>
  <c r="G830" i="1"/>
  <c r="G928" i="1"/>
  <c r="G1088" i="1"/>
  <c r="G254" i="1"/>
  <c r="G671" i="1"/>
  <c r="G1144" i="1"/>
  <c r="G1084" i="1"/>
  <c r="G1094" i="1"/>
  <c r="G462" i="1"/>
  <c r="G834" i="1"/>
  <c r="G468" i="1"/>
  <c r="G252" i="1"/>
  <c r="G665" i="1"/>
  <c r="G84" i="1"/>
  <c r="G1098" i="1"/>
  <c r="G963" i="1"/>
  <c r="G669" i="1"/>
  <c r="G1090" i="1"/>
  <c r="G1026" i="1"/>
  <c r="G906" i="1"/>
  <c r="G1107" i="1"/>
  <c r="G865" i="1"/>
  <c r="G138" i="1"/>
  <c r="G874" i="1"/>
  <c r="G1097" i="1"/>
  <c r="G1096" i="1"/>
  <c r="G1104" i="1"/>
  <c r="G1109" i="1"/>
  <c r="G886" i="1"/>
  <c r="G1130" i="1"/>
  <c r="G950" i="1"/>
  <c r="G1117" i="1"/>
  <c r="G668" i="1"/>
  <c r="G949" i="1"/>
  <c r="G1171" i="1"/>
  <c r="G955" i="1"/>
  <c r="G1103" i="1"/>
  <c r="G1106" i="1"/>
  <c r="G1100" i="1"/>
  <c r="G904" i="1"/>
  <c r="G83" i="1"/>
  <c r="G873" i="1"/>
  <c r="G995" i="1"/>
  <c r="G868" i="1"/>
  <c r="G943" i="1"/>
  <c r="G1110" i="1"/>
  <c r="G927" i="1"/>
  <c r="G664" i="1"/>
  <c r="G82" i="1"/>
  <c r="G1111" i="1"/>
  <c r="G1102" i="1"/>
  <c r="G140" i="1"/>
  <c r="G884" i="1"/>
  <c r="G133" i="1"/>
  <c r="G903" i="1"/>
  <c r="G255" i="1"/>
  <c r="G92" i="1"/>
  <c r="G1145" i="1"/>
  <c r="G132" i="1"/>
  <c r="G947" i="1"/>
  <c r="G945" i="1"/>
  <c r="G1108" i="1"/>
  <c r="G96" i="1"/>
  <c r="G94" i="1"/>
  <c r="G1175" i="1"/>
  <c r="G992" i="1"/>
  <c r="G939" i="1"/>
  <c r="G118" i="1"/>
  <c r="G537" i="1"/>
  <c r="G869" i="1"/>
  <c r="G253" i="1"/>
  <c r="G998" i="1"/>
  <c r="G951" i="1"/>
  <c r="G1004" i="1"/>
  <c r="G1087" i="1"/>
  <c r="G1077" i="1"/>
  <c r="G999" i="1"/>
  <c r="G1158" i="1"/>
  <c r="G912" i="1"/>
  <c r="G23" i="1"/>
  <c r="G3" i="1"/>
  <c r="G872" i="1"/>
  <c r="G952" i="1"/>
  <c r="G944" i="1"/>
  <c r="G1000" i="1"/>
  <c r="G1027" i="1"/>
  <c r="G85" i="1"/>
  <c r="G948" i="1"/>
  <c r="G885" i="1"/>
  <c r="G910" i="1"/>
  <c r="G1112" i="1"/>
  <c r="G1086" i="1"/>
  <c r="G1105" i="1"/>
  <c r="G997" i="1"/>
  <c r="G929" i="1"/>
  <c r="G666" i="1"/>
  <c r="G1164" i="1"/>
  <c r="G1085" i="1"/>
  <c r="G1093" i="1"/>
  <c r="G1091" i="1"/>
  <c r="G670" i="1"/>
  <c r="G938" i="1"/>
  <c r="G1159" i="1"/>
  <c r="G996" i="1"/>
  <c r="G934" i="1"/>
  <c r="G36" i="1"/>
  <c r="G38" i="1"/>
  <c r="G940" i="1"/>
  <c r="G1002" i="1"/>
  <c r="G905" i="1"/>
  <c r="G1001" i="1"/>
  <c r="G1179" i="1"/>
  <c r="G1101" i="1"/>
  <c r="G911" i="1"/>
  <c r="G960" i="1"/>
  <c r="G1153" i="1"/>
  <c r="G37" i="1"/>
  <c r="G850" i="1"/>
  <c r="G941" i="1"/>
  <c r="G1165" i="1"/>
  <c r="G154" i="1"/>
  <c r="G795" i="1"/>
  <c r="G612" i="1"/>
  <c r="G913" i="1"/>
  <c r="G695" i="1"/>
  <c r="G162" i="1"/>
  <c r="G696" i="1"/>
  <c r="G675" i="1"/>
  <c r="G161" i="1"/>
  <c r="G614" i="1"/>
  <c r="G153" i="1"/>
  <c r="G160" i="1"/>
  <c r="G233" i="1"/>
  <c r="G794" i="1"/>
  <c r="G152" i="1"/>
  <c r="G581" i="1"/>
  <c r="G806" i="1"/>
  <c r="G158" i="1"/>
  <c r="G642" i="1"/>
  <c r="G1185" i="1"/>
  <c r="G372" i="1"/>
  <c r="G650" i="1"/>
  <c r="G155" i="1"/>
  <c r="G641" i="1"/>
  <c r="G156" i="1"/>
  <c r="G1186" i="1"/>
  <c r="G660" i="1"/>
  <c r="G159" i="1"/>
  <c r="G157" i="1"/>
  <c r="G694" i="1"/>
  <c r="G659" i="1"/>
  <c r="G542" i="1"/>
  <c r="G644" i="1"/>
  <c r="G615" i="1"/>
  <c r="G1134" i="1"/>
  <c r="G234" i="1"/>
  <c r="G791" i="1"/>
  <c r="G514" i="1"/>
  <c r="G909" i="1"/>
  <c r="G1135" i="1"/>
  <c r="G1132" i="1"/>
  <c r="G235" i="1"/>
  <c r="G800" i="1"/>
  <c r="G500" i="1"/>
  <c r="G1196" i="1"/>
  <c r="G151" i="1"/>
  <c r="G236" i="1"/>
  <c r="G1071" i="1"/>
  <c r="G575" i="1"/>
  <c r="G1133" i="1"/>
  <c r="G651" i="1"/>
  <c r="G994" i="1"/>
  <c r="G811" i="1"/>
  <c r="G1124" i="1"/>
  <c r="G237" i="1"/>
  <c r="G527" i="1"/>
  <c r="G647" i="1"/>
  <c r="G810" i="1"/>
  <c r="G210" i="1"/>
  <c r="G807" i="1"/>
  <c r="G238" i="1"/>
  <c r="G1057" i="1"/>
  <c r="G249" i="1"/>
  <c r="G1064" i="1"/>
  <c r="G993" i="1"/>
  <c r="G1139" i="1"/>
  <c r="G579" i="1"/>
  <c r="G837" i="1"/>
  <c r="G452" i="1"/>
  <c r="G1063" i="1"/>
  <c r="G1116" i="1"/>
  <c r="G470" i="1"/>
  <c r="G239" i="1"/>
  <c r="G455" i="1"/>
  <c r="G1069" i="1"/>
  <c r="G460" i="1"/>
  <c r="G797" i="1"/>
  <c r="G836" i="1"/>
  <c r="G1067" i="1"/>
  <c r="G421" i="1"/>
  <c r="G657" i="1"/>
  <c r="G242" i="1"/>
  <c r="G1062" i="1"/>
  <c r="G1073" i="1"/>
  <c r="G1081" i="1"/>
  <c r="G798" i="1"/>
  <c r="G832" i="1"/>
  <c r="G1065" i="1"/>
  <c r="G419" i="1"/>
  <c r="G511" i="1"/>
  <c r="G420" i="1"/>
  <c r="G169" i="1"/>
  <c r="G1121" i="1"/>
  <c r="G796" i="1"/>
  <c r="G801" i="1"/>
  <c r="G845" i="1"/>
  <c r="G1126" i="1"/>
  <c r="G416" i="1"/>
  <c r="G261" i="1"/>
  <c r="G1083" i="1"/>
  <c r="G802" i="1"/>
  <c r="G658" i="1"/>
  <c r="G1131" i="1"/>
  <c r="G226" i="1"/>
  <c r="G477" i="1"/>
  <c r="G1118" i="1"/>
  <c r="G1129" i="1"/>
  <c r="G418" i="1"/>
  <c r="G835" i="1"/>
  <c r="G1114" i="1"/>
  <c r="G507" i="1"/>
  <c r="G846" i="1"/>
  <c r="G180" i="1"/>
  <c r="G804" i="1"/>
  <c r="G227" i="1"/>
  <c r="G1068" i="1"/>
  <c r="G417" i="1"/>
  <c r="G340" i="1"/>
  <c r="G1115" i="1"/>
  <c r="G464" i="1"/>
  <c r="G672" i="1"/>
  <c r="G262" i="1"/>
  <c r="G77" i="1"/>
  <c r="G570" i="1"/>
  <c r="G805" i="1"/>
  <c r="G1170" i="1"/>
  <c r="G1125" i="1"/>
  <c r="G847" i="1"/>
  <c r="G983" i="1"/>
  <c r="G365" i="1"/>
  <c r="G982" i="1"/>
  <c r="G1070" i="1"/>
  <c r="G485" i="1"/>
  <c r="G1123" i="1"/>
  <c r="G415" i="1"/>
  <c r="G1120" i="1"/>
  <c r="G1128" i="1"/>
  <c r="G1066" i="1"/>
  <c r="G251" i="1"/>
  <c r="G842" i="1"/>
  <c r="G502" i="1"/>
  <c r="G1136" i="1"/>
  <c r="G1127" i="1"/>
  <c r="G1122" i="1"/>
  <c r="G1119" i="1"/>
  <c r="G841" i="1"/>
  <c r="G803" i="1"/>
  <c r="G838" i="1"/>
  <c r="G492" i="1"/>
  <c r="G259" i="1"/>
  <c r="G813" i="1"/>
  <c r="G958" i="1"/>
  <c r="G976" i="1"/>
  <c r="G883" i="1"/>
  <c r="G98" i="1"/>
  <c r="G959" i="1"/>
  <c r="G840" i="1"/>
  <c r="G964" i="1"/>
  <c r="G894" i="1"/>
  <c r="G130" i="1"/>
  <c r="G124" i="1"/>
  <c r="G263" i="1"/>
  <c r="G843" i="1"/>
  <c r="G661" i="1"/>
  <c r="G1202" i="1"/>
  <c r="G1075" i="1"/>
  <c r="G896" i="1"/>
  <c r="G897" i="1"/>
  <c r="G1028" i="1"/>
  <c r="G447" i="1"/>
  <c r="G966" i="1"/>
  <c r="G1138" i="1"/>
  <c r="G1078" i="1"/>
  <c r="G887" i="1"/>
  <c r="G1082" i="1"/>
  <c r="G1099" i="1"/>
  <c r="G148" i="1"/>
  <c r="G1005" i="1"/>
  <c r="G1154" i="1"/>
  <c r="G256" i="1"/>
  <c r="G880" i="1"/>
  <c r="G969" i="1"/>
  <c r="G1143" i="1"/>
  <c r="G1160" i="1"/>
  <c r="G831" i="1"/>
  <c r="G812" i="1"/>
  <c r="G882" i="1"/>
  <c r="G978" i="1"/>
  <c r="G875" i="1"/>
  <c r="G970" i="1"/>
  <c r="G1142" i="1"/>
  <c r="G1048" i="1"/>
  <c r="G977" i="1"/>
  <c r="G871" i="1"/>
  <c r="G1177" i="1"/>
  <c r="G142" i="1"/>
  <c r="G888" i="1"/>
  <c r="G881" i="1"/>
  <c r="G898" i="1"/>
  <c r="G793" i="1"/>
  <c r="G1074" i="1"/>
  <c r="G474" i="1"/>
  <c r="G954" i="1"/>
  <c r="G121" i="1"/>
  <c r="G260" i="1"/>
  <c r="G1079" i="1"/>
  <c r="G895" i="1"/>
  <c r="G890" i="1"/>
  <c r="G799" i="1"/>
  <c r="G135" i="1"/>
  <c r="G879" i="1"/>
  <c r="G965" i="1"/>
  <c r="G892" i="1"/>
  <c r="G974" i="1"/>
  <c r="G878" i="1"/>
  <c r="G931" i="1"/>
  <c r="G1029" i="1"/>
  <c r="G971" i="1"/>
  <c r="G1080" i="1"/>
  <c r="G808" i="1"/>
  <c r="G809" i="1"/>
  <c r="G972" i="1"/>
  <c r="G97" i="1"/>
  <c r="G877" i="1"/>
  <c r="G889" i="1"/>
  <c r="G258" i="1"/>
  <c r="G504" i="1"/>
  <c r="G526" i="1"/>
  <c r="G973" i="1"/>
  <c r="G893" i="1"/>
  <c r="G1181" i="1"/>
  <c r="G979" i="1"/>
  <c r="G956" i="1"/>
  <c r="G967" i="1"/>
  <c r="G968" i="1"/>
  <c r="G1176" i="1"/>
  <c r="G131" i="1"/>
  <c r="G1180" i="1"/>
  <c r="G876" i="1"/>
  <c r="G975" i="1"/>
  <c r="G120" i="1"/>
  <c r="G1076" i="1"/>
  <c r="G891" i="1"/>
  <c r="G953" i="1"/>
  <c r="G1072" i="1"/>
  <c r="G105" i="1"/>
  <c r="G957" i="1"/>
  <c r="G123" i="1"/>
  <c r="G557" i="1"/>
  <c r="G607" i="1"/>
  <c r="G333" i="1"/>
  <c r="G189" i="1"/>
  <c r="G191" i="1"/>
  <c r="G332" i="1"/>
  <c r="G640" i="1"/>
  <c r="G604" i="1"/>
  <c r="G346" i="1"/>
  <c r="G639" i="1"/>
  <c r="G1184" i="1"/>
  <c r="G646" i="1"/>
  <c r="G451" i="1"/>
  <c r="G368" i="1"/>
  <c r="G648" i="1"/>
  <c r="G429" i="1"/>
  <c r="G314" i="1"/>
  <c r="G330" i="1"/>
  <c r="G706" i="1"/>
  <c r="G342" i="1"/>
  <c r="G341" i="1"/>
  <c r="G331" i="1"/>
  <c r="G192" i="1"/>
  <c r="G301" i="1"/>
  <c r="G1155" i="1"/>
  <c r="G339" i="1"/>
  <c r="G901" i="1"/>
  <c r="G229" i="1"/>
  <c r="G300" i="1"/>
  <c r="G437" i="1"/>
  <c r="G329" i="1"/>
  <c r="G705" i="1"/>
  <c r="G788" i="1"/>
  <c r="G304" i="1"/>
  <c r="G323" i="1"/>
  <c r="G1197" i="1"/>
  <c r="G343" i="1"/>
  <c r="G328" i="1"/>
  <c r="G1018" i="1"/>
  <c r="G1195" i="1"/>
  <c r="G166" i="1"/>
  <c r="G704" i="1"/>
  <c r="G902" i="1"/>
  <c r="G337" i="1"/>
  <c r="G127" i="1"/>
  <c r="G207" i="1"/>
  <c r="G792" i="1"/>
  <c r="G193" i="1"/>
  <c r="G431" i="1"/>
  <c r="G194" i="1"/>
  <c r="G310" i="1"/>
  <c r="G324" i="1"/>
  <c r="G297" i="1"/>
  <c r="G1166" i="1"/>
  <c r="G1205" i="1"/>
  <c r="G924" i="1"/>
  <c r="G606" i="1"/>
  <c r="G1199" i="1"/>
  <c r="G1198" i="1"/>
  <c r="G335" i="1"/>
  <c r="G327" i="1"/>
  <c r="G984" i="1"/>
  <c r="G326" i="1"/>
  <c r="G1192" i="1"/>
  <c r="G1187" i="1"/>
  <c r="G241" i="1"/>
  <c r="G167" i="1"/>
  <c r="G985" i="1"/>
  <c r="G1182" i="1"/>
  <c r="G981" i="1"/>
  <c r="G184" i="1"/>
  <c r="G1183" i="1"/>
  <c r="G775" i="1"/>
  <c r="G183" i="1"/>
  <c r="G313" i="1"/>
  <c r="G828" i="1"/>
  <c r="G312" i="1"/>
  <c r="G334" i="1"/>
  <c r="G825" i="1"/>
  <c r="G316" i="1"/>
  <c r="G311" i="1"/>
  <c r="G783" i="1"/>
  <c r="G790" i="1"/>
  <c r="G325" i="1"/>
  <c r="G1191" i="1"/>
  <c r="G309" i="1"/>
  <c r="G1194" i="1"/>
  <c r="G1204" i="1"/>
  <c r="G1193" i="1"/>
  <c r="G789" i="1"/>
  <c r="G1201" i="1"/>
  <c r="G827" i="1"/>
  <c r="G1206" i="1"/>
  <c r="G986" i="1"/>
  <c r="G102" i="1"/>
  <c r="G338" i="1"/>
  <c r="G125" i="1"/>
  <c r="G2" i="1"/>
  <c r="G774" i="1"/>
  <c r="G136" i="1"/>
  <c r="G315" i="1"/>
  <c r="G298" i="1"/>
  <c r="G91" i="1"/>
  <c r="G899" i="1"/>
  <c r="G991" i="1"/>
  <c r="G1162" i="1"/>
  <c r="G1172" i="1"/>
  <c r="G980" i="1"/>
  <c r="G116" i="1"/>
  <c r="G145" i="1"/>
  <c r="G4" i="1"/>
  <c r="G139" i="1"/>
  <c r="G231" i="1"/>
  <c r="G826" i="1"/>
  <c r="G564" i="1"/>
  <c r="G190" i="1"/>
  <c r="G576" i="1"/>
  <c r="G422" i="1"/>
  <c r="G280" i="1"/>
  <c r="G168" i="1"/>
  <c r="G583" i="1"/>
  <c r="G13" i="1"/>
  <c r="G780" i="1"/>
  <c r="G272" i="1"/>
  <c r="G21" i="1"/>
  <c r="G274" i="1"/>
  <c r="G778" i="1"/>
  <c r="G5" i="1"/>
  <c r="G779" i="1"/>
  <c r="G781" i="1"/>
  <c r="G20" i="1"/>
  <c r="G17" i="1"/>
  <c r="G8" i="1"/>
  <c r="G273" i="1"/>
  <c r="G14" i="1"/>
  <c r="G87" i="1"/>
  <c r="G18" i="1"/>
  <c r="G9" i="1"/>
  <c r="G19" i="1"/>
  <c r="G279" i="1"/>
  <c r="G456" i="1"/>
  <c r="G1168" i="1"/>
  <c r="G15" i="1"/>
  <c r="G10" i="1"/>
  <c r="G1023" i="1"/>
  <c r="G109" i="1"/>
  <c r="G593" i="1"/>
  <c r="G129" i="1"/>
  <c r="G11" i="1"/>
  <c r="G22" i="1"/>
  <c r="G6" i="1"/>
  <c r="G126" i="1"/>
  <c r="G16" i="1"/>
  <c r="G532" i="1"/>
  <c r="G1151" i="1"/>
  <c r="G595" i="1"/>
  <c r="G589" i="1"/>
  <c r="G487" i="1"/>
  <c r="G1148" i="1"/>
  <c r="G7" i="1"/>
  <c r="G548" i="1"/>
  <c r="G592" i="1"/>
  <c r="G144" i="1"/>
  <c r="G782" i="1"/>
  <c r="G531" i="1"/>
  <c r="G588" i="1"/>
  <c r="G590" i="1"/>
  <c r="G110" i="1"/>
  <c r="G591" i="1"/>
  <c r="G587" i="1"/>
  <c r="G594" i="1"/>
  <c r="G117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tc={5FBDCA42-8681-46F8-8AC1-B959EF639E55}</author>
    <author>tc={6B59AFE8-C726-4E76-8369-A01A47323000}</author>
    <author>tc={DA1815B0-D651-4B06-92A8-4E1A1EA3794F}</author>
    <author>tc={3CD23CCD-5A72-4BD1-97A7-0AA1C658D0FE}</author>
    <author>tc={09614693-E683-46E5-A286-556D6A3D92E5}</author>
    <author>tc={1B321A40-D886-45F4-9173-DDA44EF68016}</author>
    <author>tc={888086F8-BBB5-4FF5-A2B4-6DD945571152}</author>
    <author>tc={079A2400-7DA2-4D13-BC87-4B464C9C7D7C}</author>
  </authors>
  <commentList>
    <comment ref="F587" authorId="0" shapeId="0" xr:uid="{5FBDCA42-8681-46F8-8AC1-B959EF639E55}">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88" authorId="1" shapeId="0" xr:uid="{6B59AFE8-C726-4E76-8369-A01A4732300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89" authorId="2" shapeId="0" xr:uid="{DA1815B0-D651-4B06-92A8-4E1A1EA3794F}">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0" authorId="3" shapeId="0" xr:uid="{3CD23CCD-5A72-4BD1-97A7-0AA1C658D0FE}">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1" authorId="4" shapeId="0" xr:uid="{09614693-E683-46E5-A286-556D6A3D92E5}">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2" authorId="5" shapeId="0" xr:uid="{1B321A40-D886-45F4-9173-DDA44EF68016}">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4" authorId="6" shapeId="0" xr:uid="{888086F8-BBB5-4FF5-A2B4-6DD945571152}">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5" authorId="7" shapeId="0" xr:uid="{079A2400-7DA2-4D13-BC87-4B464C9C7D7C}">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List>
</comments>
</file>

<file path=xl/sharedStrings.xml><?xml version="1.0" encoding="utf-8"?>
<sst xmlns="http://schemas.openxmlformats.org/spreadsheetml/2006/main" count="13977" uniqueCount="3160">
  <si>
    <t>lat</t>
  </si>
  <si>
    <t>lon</t>
  </si>
  <si>
    <t>ECO Province</t>
  </si>
  <si>
    <t>native_id</t>
  </si>
  <si>
    <t>Eco Province Octile</t>
  </si>
  <si>
    <t>Station_name</t>
  </si>
  <si>
    <t>Uppercase Station_Name</t>
  </si>
  <si>
    <t>Agency-Subnetwork</t>
  </si>
  <si>
    <t>elev</t>
  </si>
  <si>
    <t>ClimateDesignated</t>
  </si>
  <si>
    <t>Site_Description</t>
  </si>
  <si>
    <t>Commissioned</t>
  </si>
  <si>
    <t>Contact_Name</t>
  </si>
  <si>
    <t>Contact_Phone</t>
  </si>
  <si>
    <t>Data_URL</t>
  </si>
  <si>
    <t>Additional Comments</t>
  </si>
  <si>
    <t>MetaDataLastCollected</t>
  </si>
  <si>
    <t>Temperature</t>
  </si>
  <si>
    <t>Humidity</t>
  </si>
  <si>
    <t>Precipitation</t>
  </si>
  <si>
    <t>SnowDepth</t>
  </si>
  <si>
    <t>SnowWater</t>
  </si>
  <si>
    <t>Winds</t>
  </si>
  <si>
    <t>Pressure</t>
  </si>
  <si>
    <t>Radiation</t>
  </si>
  <si>
    <t>Soil</t>
  </si>
  <si>
    <t>Non Shef Code parameter</t>
  </si>
  <si>
    <t>Water</t>
  </si>
  <si>
    <t>Notes</t>
  </si>
  <si>
    <t>CENTRAL INTERIOR</t>
  </si>
  <si>
    <t>AGAL001</t>
  </si>
  <si>
    <t>Alkali Lake</t>
  </si>
  <si>
    <t>BC AGRIWeather</t>
  </si>
  <si>
    <t>Stephanie Tam, Extension and Support Services Branch</t>
  </si>
  <si>
    <t>778 666-0572</t>
  </si>
  <si>
    <t>https://bcagriweather.ca/</t>
  </si>
  <si>
    <t>TA</t>
  </si>
  <si>
    <t>XR</t>
  </si>
  <si>
    <t>PP(TBRG)</t>
  </si>
  <si>
    <t>SD</t>
  </si>
  <si>
    <t>USUW</t>
  </si>
  <si>
    <t>GEORGIA DEPRESSION</t>
  </si>
  <si>
    <t>AGBB003</t>
  </si>
  <si>
    <t>Boundary Bay</t>
  </si>
  <si>
    <t>AGBCPRBFLT</t>
  </si>
  <si>
    <t>Bearflats</t>
  </si>
  <si>
    <t>BOREAL PLAINS</t>
  </si>
  <si>
    <t>AGBCPRBUIK</t>
  </si>
  <si>
    <t>Buick</t>
  </si>
  <si>
    <t>AGBCPRDNCK</t>
  </si>
  <si>
    <t>BCGPA Dawson Creek</t>
  </si>
  <si>
    <t>AGBCPRDORV</t>
  </si>
  <si>
    <t>Doe River</t>
  </si>
  <si>
    <t>AGBCPRFLHT</t>
  </si>
  <si>
    <t>Fellers Heights</t>
  </si>
  <si>
    <t>AGBCPRFMTN</t>
  </si>
  <si>
    <t>Farmington</t>
  </si>
  <si>
    <t>AGBCPRFRCK</t>
  </si>
  <si>
    <t>Flatrock</t>
  </si>
  <si>
    <t>AGBCPRGDLW</t>
  </si>
  <si>
    <t>Goodlow</t>
  </si>
  <si>
    <t>SOUTHERN INTERIOR MOUNTAINS</t>
  </si>
  <si>
    <t>AGBCPRGNDB</t>
  </si>
  <si>
    <t>Groundbirch</t>
  </si>
  <si>
    <t>AGBCPRKYLK</t>
  </si>
  <si>
    <t>Kelly Lake</t>
  </si>
  <si>
    <t>AGBCPRLNPR</t>
  </si>
  <si>
    <t>Lone Prairie</t>
  </si>
  <si>
    <t>AGBCPRMNBK</t>
  </si>
  <si>
    <t>Montney - Bickfords</t>
  </si>
  <si>
    <t>AGBCPRPCCP</t>
  </si>
  <si>
    <t>Pouce Coupe</t>
  </si>
  <si>
    <t>AGBCPRPPTO</t>
  </si>
  <si>
    <t>Prespatou</t>
  </si>
  <si>
    <t>AGBCPRROLA</t>
  </si>
  <si>
    <t>Rolla</t>
  </si>
  <si>
    <t>AGBCPRRSPR</t>
  </si>
  <si>
    <t>Rose Prairie</t>
  </si>
  <si>
    <t>AGBCPRTMLK</t>
  </si>
  <si>
    <t>Tomslake</t>
  </si>
  <si>
    <t>AGBCPRTWLK</t>
  </si>
  <si>
    <t>Tower Lake</t>
  </si>
  <si>
    <t>AGBCPRUPHW</t>
  </si>
  <si>
    <t>Upper Halfway</t>
  </si>
  <si>
    <t>AGBCSUMASP</t>
  </si>
  <si>
    <t>Sumas Prairie</t>
  </si>
  <si>
    <t>SOUTHERN INTERIOR</t>
  </si>
  <si>
    <t>AGBP002</t>
  </si>
  <si>
    <t>Bonaparte</t>
  </si>
  <si>
    <t>Old Mill Road (Ashcroft)</t>
  </si>
  <si>
    <t>AGCH005</t>
  </si>
  <si>
    <t>Chase</t>
  </si>
  <si>
    <t>5973 VLA Flats Road</t>
  </si>
  <si>
    <t>AGCRESCNYN</t>
  </si>
  <si>
    <t>Canyon</t>
  </si>
  <si>
    <t>AGCRESFLAT</t>
  </si>
  <si>
    <t>Creston Flats</t>
  </si>
  <si>
    <t>AGCRESGRFK</t>
  </si>
  <si>
    <t>North Grand Forks</t>
  </si>
  <si>
    <t>AGCRESNEKN</t>
  </si>
  <si>
    <t>North Erickson</t>
  </si>
  <si>
    <t>AGCRESRIVW</t>
  </si>
  <si>
    <t>North Lister (Riverview)</t>
  </si>
  <si>
    <t>AGCRESSEKN</t>
  </si>
  <si>
    <t>South Erickson</t>
  </si>
  <si>
    <t>AGCRESWNDL</t>
  </si>
  <si>
    <t>Wynndel</t>
  </si>
  <si>
    <t>AGCW006</t>
  </si>
  <si>
    <t>Coldwater</t>
  </si>
  <si>
    <t>Box 2933 V1K 1B8, Coldwater, Merritt</t>
  </si>
  <si>
    <t>AGDC007</t>
  </si>
  <si>
    <t>Deep Creek</t>
  </si>
  <si>
    <t>16 Deep Creek Rd, Enderby</t>
  </si>
  <si>
    <t>AGDL009</t>
  </si>
  <si>
    <t>Douglas Lake</t>
  </si>
  <si>
    <t xml:space="preserve">Douglas Lake Road in the pasture above Chapperon Lake </t>
  </si>
  <si>
    <t>AGDLTACRES</t>
  </si>
  <si>
    <t>Crescent Island</t>
  </si>
  <si>
    <t>AGDLTALDNR</t>
  </si>
  <si>
    <t xml:space="preserve">Ladner </t>
  </si>
  <si>
    <t>AGDLTATWSN</t>
  </si>
  <si>
    <t>Tsawwassen</t>
  </si>
  <si>
    <t>AGDS008</t>
  </si>
  <si>
    <t>Diamond S (Lilloett)</t>
  </si>
  <si>
    <t>AGGF011</t>
  </si>
  <si>
    <t>Grand Forks</t>
  </si>
  <si>
    <t>AGGR012</t>
  </si>
  <si>
    <t>Grindrod</t>
  </si>
  <si>
    <t>Springbend Farms Ltd., 127 Salts Rd</t>
  </si>
  <si>
    <t>AGHC014</t>
  </si>
  <si>
    <t>Hat Creek (DFO)</t>
  </si>
  <si>
    <t>457 - 7092, Cache Creek</t>
  </si>
  <si>
    <t>AGHE015</t>
  </si>
  <si>
    <t>Hullcar Rd East</t>
  </si>
  <si>
    <t>AGHR013</t>
  </si>
  <si>
    <t>Halfway Ranch (Lytton-Lilloett)</t>
  </si>
  <si>
    <t>AGHW016</t>
  </si>
  <si>
    <t>Hullcar Rd West</t>
  </si>
  <si>
    <t>AGKD017</t>
  </si>
  <si>
    <t>Kaleden</t>
  </si>
  <si>
    <t>AGLN018</t>
  </si>
  <si>
    <t>Sunshine Valley</t>
  </si>
  <si>
    <t>On Hwy 8 at Sunshine Valley Road</t>
  </si>
  <si>
    <t>AGMC021</t>
  </si>
  <si>
    <t>Monte Creek</t>
  </si>
  <si>
    <t>2420 Miner's Bluff Road, Monte Creek, BC V0E 2MO</t>
  </si>
  <si>
    <t>AGML019</t>
  </si>
  <si>
    <t>Mable Lake</t>
  </si>
  <si>
    <t>2856 Mable Lake Road, Lumby V0E 2G6</t>
  </si>
  <si>
    <t>AGML020</t>
  </si>
  <si>
    <t>Mamit Lake</t>
  </si>
  <si>
    <t>South end of Mamit Lake on Hwy 97C/Mamit Lake Road</t>
  </si>
  <si>
    <t>AGOKNGBLGO</t>
  </si>
  <si>
    <t>Belgo 2</t>
  </si>
  <si>
    <t>AGOKNGBNVN</t>
  </si>
  <si>
    <t>Benvoulin</t>
  </si>
  <si>
    <t>AGOKNGBVST</t>
  </si>
  <si>
    <t>Bella Vista</t>
  </si>
  <si>
    <t>AGOKNGCRFD</t>
  </si>
  <si>
    <t>North Crawford Rd</t>
  </si>
  <si>
    <t>AGOKNGCWSTB</t>
  </si>
  <si>
    <t>Cawston Bench</t>
  </si>
  <si>
    <t>AGOKNGEKLN</t>
  </si>
  <si>
    <t>East Kelowna</t>
  </si>
  <si>
    <t>AGOKNGELSN</t>
  </si>
  <si>
    <t>Ellison</t>
  </si>
  <si>
    <t>AGOKNGGDVW</t>
  </si>
  <si>
    <t>Grandview Flats</t>
  </si>
  <si>
    <t>AGOKNGGLMR</t>
  </si>
  <si>
    <t>Glenmore</t>
  </si>
  <si>
    <t>AGOKNGJNFT</t>
  </si>
  <si>
    <t>Summerland North (Jones Flat)</t>
  </si>
  <si>
    <t>AGOKNGKMBP</t>
  </si>
  <si>
    <t>Keremeos Bipass</t>
  </si>
  <si>
    <t>AGOKNGKMOS</t>
  </si>
  <si>
    <t>Keremeos</t>
  </si>
  <si>
    <t>AGOKNGLVTN</t>
  </si>
  <si>
    <t>Lavington</t>
  </si>
  <si>
    <t>AGOKNGMNTA</t>
  </si>
  <si>
    <t>Naramata Bench</t>
  </si>
  <si>
    <t>AGOKNGOLVS</t>
  </si>
  <si>
    <t>Oliver South</t>
  </si>
  <si>
    <t>AGOKNGOSSN</t>
  </si>
  <si>
    <t>Osoyoos North</t>
  </si>
  <si>
    <t>AGOKNGOSUB</t>
  </si>
  <si>
    <t>Osoyoos Upper Bench</t>
  </si>
  <si>
    <t>AGOKNGOYMA</t>
  </si>
  <si>
    <t>Oyama</t>
  </si>
  <si>
    <t>AGOKNGPNRA</t>
  </si>
  <si>
    <t>Oliver (Panorama)</t>
  </si>
  <si>
    <t>AGOKNGSKLN</t>
  </si>
  <si>
    <t>South Kelowna</t>
  </si>
  <si>
    <t>AGOKNGSLFB</t>
  </si>
  <si>
    <t>Summerland Front Bench</t>
  </si>
  <si>
    <t>AGOKNGSLUS</t>
  </si>
  <si>
    <t>Summerland Upper South</t>
  </si>
  <si>
    <t>AGOKNGVNBX</t>
  </si>
  <si>
    <t>Vernon BX</t>
  </si>
  <si>
    <t>AGOKNGWFDN</t>
  </si>
  <si>
    <t>Winfield North</t>
  </si>
  <si>
    <t>AGOKNGWFDS</t>
  </si>
  <si>
    <t>Winfield South</t>
  </si>
  <si>
    <t>AGPE010</t>
  </si>
  <si>
    <t>Penticton East</t>
  </si>
  <si>
    <t>COAST AND MOUNTAINS</t>
  </si>
  <si>
    <t>AGPM022</t>
  </si>
  <si>
    <t>Permberton Meadows</t>
  </si>
  <si>
    <t>AGQC023</t>
  </si>
  <si>
    <t>Quilchena</t>
  </si>
  <si>
    <t xml:space="preserve">Along the Princeton Kamloops Highway (Hwy 5A) in the hayfield </t>
  </si>
  <si>
    <t>AGSC026</t>
  </si>
  <si>
    <t>Spius Creek</t>
  </si>
  <si>
    <t>DFO Spius Creek Hatchery       4369 Sunshine Valley Road West</t>
  </si>
  <si>
    <t>AGSH024</t>
  </si>
  <si>
    <t>Silver Hills Ranch (Cherryville)</t>
  </si>
  <si>
    <t xml:space="preserve">1010 Shuswap River Road, Lumby BC V0E 2G0 (PO Box 326) </t>
  </si>
  <si>
    <t>AGST025</t>
  </si>
  <si>
    <t>South Thompson</t>
  </si>
  <si>
    <t>3120 East Shuswap Road, Pritchard</t>
  </si>
  <si>
    <t>AGVISLKKSL</t>
  </si>
  <si>
    <t>Koksilah</t>
  </si>
  <si>
    <t>AGVISLMRVL</t>
  </si>
  <si>
    <t>Merville</t>
  </si>
  <si>
    <t>AGVISLSCTN</t>
  </si>
  <si>
    <t>Saanichton</t>
  </si>
  <si>
    <t>AGWI027</t>
  </si>
  <si>
    <t>Westham Island</t>
  </si>
  <si>
    <t>AGWK004</t>
  </si>
  <si>
    <t>West Kelowna (ROM)</t>
  </si>
  <si>
    <t>BCPRCCLK</t>
  </si>
  <si>
    <t>Cecil Lake</t>
  </si>
  <si>
    <t>BLUSPRNG</t>
  </si>
  <si>
    <t>Blue Springs</t>
  </si>
  <si>
    <t>CRESCEKN</t>
  </si>
  <si>
    <t>Central Erickson</t>
  </si>
  <si>
    <t>WESTWOLD</t>
  </si>
  <si>
    <t>Westwold</t>
  </si>
  <si>
    <t>Houston Firehall</t>
  </si>
  <si>
    <t>BC-AIR</t>
  </si>
  <si>
    <t>3382 11th Street</t>
  </si>
  <si>
    <t>Ryan Wiederick</t>
  </si>
  <si>
    <t>778-698-4431</t>
  </si>
  <si>
    <t>www.BCAirquality.ca</t>
  </si>
  <si>
    <t>USUW(23.3)</t>
  </si>
  <si>
    <t>Victoria Topaz</t>
  </si>
  <si>
    <t>923 Topaz Avenue</t>
  </si>
  <si>
    <t>USUW(28)</t>
  </si>
  <si>
    <t>Golden Lady Grey School</t>
  </si>
  <si>
    <t>670 9th Street S</t>
  </si>
  <si>
    <t>USUW(12.5)</t>
  </si>
  <si>
    <t>Crofton Substation</t>
  </si>
  <si>
    <t>8541 Hay Road</t>
  </si>
  <si>
    <t>Grand Forks Airport</t>
  </si>
  <si>
    <t>Climate</t>
  </si>
  <si>
    <t>Cameron Ave</t>
  </si>
  <si>
    <t>PP(Wgt)</t>
  </si>
  <si>
    <t>USUW(8.2)</t>
  </si>
  <si>
    <t>BP</t>
  </si>
  <si>
    <t>Harmac Pacific</t>
  </si>
  <si>
    <t>333 Haliburton Street</t>
  </si>
  <si>
    <t>Kitimat Haul Road</t>
  </si>
  <si>
    <t>Haulage Road</t>
  </si>
  <si>
    <t>Kitimat Whitesail</t>
  </si>
  <si>
    <t>1332 Lahakas Blvd N</t>
  </si>
  <si>
    <t>Merritt Parcel Street</t>
  </si>
  <si>
    <t>1301 Parcel Street</t>
  </si>
  <si>
    <t>USUW(10)</t>
  </si>
  <si>
    <t>Birch Bank Golf Course</t>
  </si>
  <si>
    <t>South End of Golf Course</t>
  </si>
  <si>
    <t>Celgar Pulp</t>
  </si>
  <si>
    <t>Burns Lake Fire Centre</t>
  </si>
  <si>
    <t>#8 4th Avenue</t>
  </si>
  <si>
    <t>SUB-BOREAL INTERIOR</t>
  </si>
  <si>
    <t>Pine River Gas Plant</t>
  </si>
  <si>
    <t>Gas Plant at end of Airstrip</t>
  </si>
  <si>
    <t>Pine River Hasler</t>
  </si>
  <si>
    <t>Gas Plant next to Pumphouse</t>
  </si>
  <si>
    <t>Port Mellon</t>
  </si>
  <si>
    <t>Howe Sound Pulp &amp; Paper</t>
  </si>
  <si>
    <t>Prince George Glenview School</t>
  </si>
  <si>
    <t>7310 Cluff</t>
  </si>
  <si>
    <t>USUW(21)</t>
  </si>
  <si>
    <t>Prince George Plaza 400</t>
  </si>
  <si>
    <t>1011 4th Avenue</t>
  </si>
  <si>
    <t>USUW(39)</t>
  </si>
  <si>
    <t>Prince George Pulp</t>
  </si>
  <si>
    <t>PG Pulpmill Road</t>
  </si>
  <si>
    <t>USUW(22)</t>
  </si>
  <si>
    <t>Taylor South Hill</t>
  </si>
  <si>
    <t>Pingle Creek Road</t>
  </si>
  <si>
    <t>Taylor Townsite</t>
  </si>
  <si>
    <t>McMahon Complex, Alaska Highway</t>
  </si>
  <si>
    <t>Trail Butler Park</t>
  </si>
  <si>
    <t>1875 Columbia Avenue</t>
  </si>
  <si>
    <t>Trail Columbia Gardens Airport</t>
  </si>
  <si>
    <t>Highway 22A</t>
  </si>
  <si>
    <t>Vernon Science Centre</t>
  </si>
  <si>
    <t>2704 Highway #6</t>
  </si>
  <si>
    <t>USUW(15)</t>
  </si>
  <si>
    <t>Vanderhoof Courthouse</t>
  </si>
  <si>
    <t>2441 Bute Road</t>
  </si>
  <si>
    <t>USUW(13.9)</t>
  </si>
  <si>
    <t>Valemount</t>
  </si>
  <si>
    <t>38 Dogwood Street</t>
  </si>
  <si>
    <t>USUW(13.5)</t>
  </si>
  <si>
    <t>Telkwa</t>
  </si>
  <si>
    <t>1304 Birch Street</t>
  </si>
  <si>
    <t>PG Marsulex</t>
  </si>
  <si>
    <t>3025 Industrial Way</t>
  </si>
  <si>
    <t>Port Alberni Elementary</t>
  </si>
  <si>
    <t>4645 Helen Street</t>
  </si>
  <si>
    <t xml:space="preserve">Kamloops Federal Building </t>
  </si>
  <si>
    <t>317 Seymour Street</t>
  </si>
  <si>
    <t>USUW(20)</t>
  </si>
  <si>
    <t>Kitimat Haisla Village</t>
  </si>
  <si>
    <t>347 Haisla Avenue</t>
  </si>
  <si>
    <t>Kitimat Riverlodge</t>
  </si>
  <si>
    <t>651 Columbia Street</t>
  </si>
  <si>
    <t>Prince George Exploration Place</t>
  </si>
  <si>
    <t>333 Becott Place</t>
  </si>
  <si>
    <t>Kitimat Yacht Club</t>
  </si>
  <si>
    <t>Access Road to Plant</t>
  </si>
  <si>
    <t>Prince Rupert Roosevelt Park School</t>
  </si>
  <si>
    <t>800 Summit</t>
  </si>
  <si>
    <t>USUW(25)</t>
  </si>
  <si>
    <t>Burns Lake Sheraton East</t>
  </si>
  <si>
    <t>Bessborough 237 Road</t>
  </si>
  <si>
    <t>237 Road</t>
  </si>
  <si>
    <t>Fraser Lake Endako Mines</t>
  </si>
  <si>
    <t>TAIGA PLAINS</t>
  </si>
  <si>
    <t>Farmington Community Hall</t>
  </si>
  <si>
    <t>4794 Parkland Road</t>
  </si>
  <si>
    <t>Fort St John Key Learning Centre</t>
  </si>
  <si>
    <t>10511 99 Ave</t>
  </si>
  <si>
    <t>Terrace Skeena Middle School</t>
  </si>
  <si>
    <t>3411 Munro Street</t>
  </si>
  <si>
    <t>Squamish Elementary</t>
  </si>
  <si>
    <t>38370 Buckley Avenue</t>
  </si>
  <si>
    <t>Courtenay Elementary School</t>
  </si>
  <si>
    <t>1540 McPhee Avenue</t>
  </si>
  <si>
    <t>Duncan College Street</t>
  </si>
  <si>
    <t>1050 College Street</t>
  </si>
  <si>
    <t>USUW(9.8)</t>
  </si>
  <si>
    <t>Skookumchuck Farstad Way</t>
  </si>
  <si>
    <t>Near Tembec Mill on Farstad</t>
  </si>
  <si>
    <t>Prince Rupert Fairview</t>
  </si>
  <si>
    <t>Fairview Container Terminal</t>
  </si>
  <si>
    <t>Williams Lake Columneetza School</t>
  </si>
  <si>
    <t>1045 Western Avenue</t>
  </si>
  <si>
    <t>Cranbrook Muriel Baxter</t>
  </si>
  <si>
    <t>3rd St. S, 20 Ave S.</t>
  </si>
  <si>
    <t>USUW(7.6)</t>
  </si>
  <si>
    <t>Colwood City Hall</t>
  </si>
  <si>
    <t>3300 Wishart Road</t>
  </si>
  <si>
    <t>USUW(9)</t>
  </si>
  <si>
    <t>Smithers Muheim Memorial</t>
  </si>
  <si>
    <t>1188 King Street</t>
  </si>
  <si>
    <t>USUW(10.3)</t>
  </si>
  <si>
    <t>RW</t>
  </si>
  <si>
    <t>Crofton Elementary</t>
  </si>
  <si>
    <t>8017 York Ave</t>
  </si>
  <si>
    <t>Kelowna KLO Road</t>
  </si>
  <si>
    <t>1450 Klo Rd</t>
  </si>
  <si>
    <t>Kitimat Industrial Avenue</t>
  </si>
  <si>
    <t>6th Street and Industrial Avenue</t>
  </si>
  <si>
    <t>Willow Creek Mine</t>
  </si>
  <si>
    <t xml:space="preserve">235 Front St. </t>
  </si>
  <si>
    <t>Taylor Farm 247 Road</t>
  </si>
  <si>
    <t>Peaceview Road and 247 Road</t>
  </si>
  <si>
    <t>Quesnel Johnston Avenue</t>
  </si>
  <si>
    <t>322 Johnston Ave</t>
  </si>
  <si>
    <t>Elkford Rocky Mountain Elementary School</t>
  </si>
  <si>
    <t>2500 Balmer Road</t>
  </si>
  <si>
    <t>Warfield Haley Park</t>
  </si>
  <si>
    <t>100 Bingay Road</t>
  </si>
  <si>
    <t>Port Edwards Sunset Drive</t>
  </si>
  <si>
    <t>655 Sunset Dr</t>
  </si>
  <si>
    <t xml:space="preserve">Willow Flats Compressor Station2 </t>
  </si>
  <si>
    <t>42km west of Chetwynd on highway 97</t>
  </si>
  <si>
    <t>1D20P</t>
  </si>
  <si>
    <t>Place Glacier</t>
  </si>
  <si>
    <t>BC-FERN</t>
  </si>
  <si>
    <t>William Floyd, Coast Office</t>
  </si>
  <si>
    <t>250-616-3262</t>
  </si>
  <si>
    <t>http://viu-hydromet-wx.ca/graph/</t>
  </si>
  <si>
    <t>3A29P</t>
  </si>
  <si>
    <t>Perseverence Creek</t>
  </si>
  <si>
    <t>upper perseverance watershed</t>
  </si>
  <si>
    <t>2018/09/28</t>
  </si>
  <si>
    <t>PP(TBRG); PP(SP)</t>
  </si>
  <si>
    <t>SW(sc)</t>
  </si>
  <si>
    <t>USUW(8.5)</t>
  </si>
  <si>
    <t>RN</t>
  </si>
  <si>
    <t>3A30P</t>
  </si>
  <si>
    <t>Homathko</t>
  </si>
  <si>
    <t>CryoNode</t>
  </si>
  <si>
    <t>2018/09/27</t>
  </si>
  <si>
    <t>3A31P</t>
  </si>
  <si>
    <t>Mount Cayley</t>
  </si>
  <si>
    <t>South Coast, fire weather site</t>
  </si>
  <si>
    <t>2015/08/01</t>
  </si>
  <si>
    <t xml:space="preserve"> BP</t>
  </si>
  <si>
    <t>3A32P</t>
  </si>
  <si>
    <t>Plummer Hut</t>
  </si>
  <si>
    <t>CryoNode, Near Claw Peak, located at Pluumer Hut</t>
  </si>
  <si>
    <t>2020/10/01</t>
  </si>
  <si>
    <t>3B27P</t>
  </si>
  <si>
    <t>Upper Cruickshank</t>
  </si>
  <si>
    <t>Upper Cruiskshank watershed, near strathcona park boundary</t>
  </si>
  <si>
    <t>2020/11/07</t>
  </si>
  <si>
    <t>3B28P</t>
  </si>
  <si>
    <t>Cain Ridge_Run</t>
  </si>
  <si>
    <t>Located on lower Ridge Runner at Mount Cain</t>
  </si>
  <si>
    <t>2009/01/01</t>
  </si>
  <si>
    <t>3B29P</t>
  </si>
  <si>
    <t>Lower Cain</t>
  </si>
  <si>
    <t>on skin up trail from west bowl</t>
  </si>
  <si>
    <t>2019/12/01</t>
  </si>
  <si>
    <t>3C09P</t>
  </si>
  <si>
    <t>Ape Lake</t>
  </si>
  <si>
    <t>Central coast</t>
  </si>
  <si>
    <t>2016/10/05</t>
  </si>
  <si>
    <t>3C10P</t>
  </si>
  <si>
    <t>CLAYTON FALLS</t>
  </si>
  <si>
    <t>2014/10/05</t>
  </si>
  <si>
    <t>USUW(7.5)</t>
  </si>
  <si>
    <t>3C11P</t>
  </si>
  <si>
    <t>Klinakllini</t>
  </si>
  <si>
    <t>3C12P</t>
  </si>
  <si>
    <t>Machmell Kliniklini</t>
  </si>
  <si>
    <t>Central Coast</t>
  </si>
  <si>
    <t>3C13P</t>
  </si>
  <si>
    <t>Mount Maya</t>
  </si>
  <si>
    <t>Mount Maya at treeline in Talkchako Watershed</t>
  </si>
  <si>
    <t>2013/10/12</t>
  </si>
  <si>
    <t>USUW(5.0)</t>
  </si>
  <si>
    <t>4B19P</t>
  </si>
  <si>
    <t>Upper Skeena</t>
  </si>
  <si>
    <t>Gitksan partner</t>
  </si>
  <si>
    <t>2021/09/02</t>
  </si>
  <si>
    <t>Arrow</t>
  </si>
  <si>
    <t>Arrowstone</t>
  </si>
  <si>
    <t>On ridge between Arrowstone and Scottie Creeks, access up Scottie Cr and 5100 Rd</t>
  </si>
  <si>
    <t>2018/05/01</t>
  </si>
  <si>
    <t>Sheena Spencer, Southern Interior Region</t>
  </si>
  <si>
    <t>778-622-6963</t>
  </si>
  <si>
    <t>https://datagarrison.com/users/300234065770410/300234065770410/plots.php</t>
  </si>
  <si>
    <t>USUW(2.5)</t>
  </si>
  <si>
    <t>TS</t>
  </si>
  <si>
    <t>NORTHERN BOREAL MOUNTAINS</t>
  </si>
  <si>
    <t>AtlSch</t>
  </si>
  <si>
    <t>Atlin School</t>
  </si>
  <si>
    <t>2010/08/01</t>
  </si>
  <si>
    <t>Alexandre Bevington, Omineca Region</t>
  </si>
  <si>
    <t>250-645-9295</t>
  </si>
  <si>
    <t>Barren</t>
  </si>
  <si>
    <t>BarrenWx</t>
  </si>
  <si>
    <t>2021/07/09</t>
  </si>
  <si>
    <t>Vanessa Foord, North Area</t>
  </si>
  <si>
    <t>778-693-3079</t>
  </si>
  <si>
    <t>USUW(3.5)</t>
  </si>
  <si>
    <t>MS; TB; TS</t>
  </si>
  <si>
    <t>Bednesti</t>
  </si>
  <si>
    <t>Tamarac</t>
  </si>
  <si>
    <t>2021/06/10</t>
  </si>
  <si>
    <t>Blackhawk</t>
  </si>
  <si>
    <t>BlackhawkWx</t>
  </si>
  <si>
    <t>10 km on Kiskatinaw FSR</t>
  </si>
  <si>
    <t>2012/05/24</t>
  </si>
  <si>
    <t>https://datagarrison.com/users/300234062103550/300234062107550/plots.php</t>
  </si>
  <si>
    <t>Boulder Creek</t>
  </si>
  <si>
    <t>BoulderWx</t>
  </si>
  <si>
    <t>42 km west of Smithers near East Boulder Creek</t>
  </si>
  <si>
    <t>2010/10/13</t>
  </si>
  <si>
    <t>MS; TB</t>
  </si>
  <si>
    <t>BowronPit</t>
  </si>
  <si>
    <t>Bowron River gravel pit/rest area</t>
  </si>
  <si>
    <t>2018/09/13</t>
  </si>
  <si>
    <t>https://datagarrison.com/users/300234062103550/300234065022520/plots.php</t>
  </si>
  <si>
    <t>Canoe Mountain Stn</t>
  </si>
  <si>
    <t>Canoe Mountain alpine</t>
  </si>
  <si>
    <t>2009/09/10</t>
  </si>
  <si>
    <t>https://datagarrison.com/users/300234062103550/300234065020820/plots.php</t>
  </si>
  <si>
    <t>CaribouPass</t>
  </si>
  <si>
    <t>Caribou Pass</t>
  </si>
  <si>
    <t>Shared with Tahltan Nation, in Tahltan territory (alpine area east of Dease Lake)</t>
  </si>
  <si>
    <t>2023/08/05</t>
  </si>
  <si>
    <t>https://datagarrison.com/users/300234062103550/300234068906430/plots.php</t>
  </si>
  <si>
    <t>CasWx</t>
  </si>
  <si>
    <t>Cassiar</t>
  </si>
  <si>
    <t>Drive to site, rough unmaintained mountain road</t>
  </si>
  <si>
    <t>2016/08/07</t>
  </si>
  <si>
    <t>Chapman</t>
  </si>
  <si>
    <t>ChapmanWx</t>
  </si>
  <si>
    <t>2021/07/08</t>
  </si>
  <si>
    <t>Chase Creek</t>
  </si>
  <si>
    <t>Clearcut</t>
  </si>
  <si>
    <t>2002/01/01</t>
  </si>
  <si>
    <t>TB</t>
  </si>
  <si>
    <t>ChiefWx</t>
  </si>
  <si>
    <t>ChiefLakeWx</t>
  </si>
  <si>
    <t>126km on 100 Rd, off ChiefLk FSR (200 Rd)</t>
  </si>
  <si>
    <t>2019/07/05</t>
  </si>
  <si>
    <t>CoalmineWx</t>
  </si>
  <si>
    <t>WillowCoalimeFSR 386km</t>
  </si>
  <si>
    <t>2018/09/14</t>
  </si>
  <si>
    <t>CrookedLk</t>
  </si>
  <si>
    <t>Shared with Kaska Dene, Kaska Dene territory (old Smith River airport)</t>
  </si>
  <si>
    <t>2023/08/08</t>
  </si>
  <si>
    <t>Crystal Lake</t>
  </si>
  <si>
    <t>CrystalWx</t>
  </si>
  <si>
    <t>1 km on Crystal Lake Rd, north of Summit Lake on Hwy 97</t>
  </si>
  <si>
    <t>2010//04/29</t>
  </si>
  <si>
    <t>Datla</t>
  </si>
  <si>
    <t>Datlaman Pass</t>
  </si>
  <si>
    <t>Haida Gwaii</t>
  </si>
  <si>
    <t>2014/09/01</t>
  </si>
  <si>
    <t>Duck</t>
  </si>
  <si>
    <t>Duck Hill Ranch (IDFxh2)</t>
  </si>
  <si>
    <t>Access from private land</t>
  </si>
  <si>
    <t>Brian Wallace, Thompson-Okanagan Region</t>
  </si>
  <si>
    <t>250-371-3953</t>
  </si>
  <si>
    <t>Dunster</t>
  </si>
  <si>
    <t>DunsterWx</t>
  </si>
  <si>
    <t>Dunster Trailhead</t>
  </si>
  <si>
    <t>2013/09/05</t>
  </si>
  <si>
    <t>https://datagarrison.com/users/300234062103550/300534063019060/plots.php</t>
  </si>
  <si>
    <t>Endako</t>
  </si>
  <si>
    <t>EndakoWx</t>
  </si>
  <si>
    <t>off Endako Forest Service Rd, Nadina District (NW of Burns Lake)</t>
  </si>
  <si>
    <t>2007/09/13</t>
  </si>
  <si>
    <t>George</t>
  </si>
  <si>
    <t>GeorgeWx</t>
  </si>
  <si>
    <t>3.5 km off 1100 Rd, Vanderhood district</t>
  </si>
  <si>
    <t>2007/09/14</t>
  </si>
  <si>
    <t>Gnat Pass Stn</t>
  </si>
  <si>
    <t>BAFA</t>
  </si>
  <si>
    <t>2009/09/02</t>
  </si>
  <si>
    <t>Goose</t>
  </si>
  <si>
    <t>Goose Lake Rd</t>
  </si>
  <si>
    <t>Drive to site on good FSR road</t>
  </si>
  <si>
    <t>2016/06/01</t>
  </si>
  <si>
    <t>Gunnel1</t>
  </si>
  <si>
    <t>GunnelWx</t>
  </si>
  <si>
    <t>Alpine Mt. Gunnel, near Steamboat, helicopter access</t>
  </si>
  <si>
    <t>2008/09/04</t>
  </si>
  <si>
    <t>GunnelReal</t>
  </si>
  <si>
    <t>Gunnel3</t>
  </si>
  <si>
    <t>Second station on Mt. Gunnel, alpine</t>
  </si>
  <si>
    <t>2018/08/15</t>
  </si>
  <si>
    <t>https://datagarrison.com/users/300234062103550/300234065873520/plots.php</t>
  </si>
  <si>
    <t>HBMtn2</t>
  </si>
  <si>
    <t>Hudson Bay Mtn2</t>
  </si>
  <si>
    <t>Hudson Bay Mtn, alpine</t>
  </si>
  <si>
    <t>2017/08/25</t>
  </si>
  <si>
    <t>https://datagarrison.com/users/300234062103550/300234065724550/plots.php</t>
  </si>
  <si>
    <t xml:space="preserve">Hourglass </t>
  </si>
  <si>
    <t>HourglassWx</t>
  </si>
  <si>
    <t>4km on Hourglass FSR</t>
  </si>
  <si>
    <t>2012/05/23</t>
  </si>
  <si>
    <t>https://datagarrison.com/users/300234062103550/300234062105500/plots.php</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</si>
  <si>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</si>
  <si>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</si>
  <si>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</si>
  <si>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</si>
  <si>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</si>
  <si>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</si>
  <si>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</si>
  <si>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</si>
  <si>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</si>
  <si>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</si>
  <si>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</si>
  <si>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</si>
  <si>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</si>
  <si>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</si>
  <si>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</si>
  <si>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</si>
  <si>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</si>
  <si>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</si>
  <si>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Isobel</t>
  </si>
  <si>
    <t>Isobel Lake (IDFxh2)</t>
  </si>
  <si>
    <t>cellular data cloud upload (private, available upon request)</t>
  </si>
  <si>
    <t>KennedySidingCC</t>
  </si>
  <si>
    <t>Kennedy Siding clearcut</t>
  </si>
  <si>
    <t>2009/07/30</t>
  </si>
  <si>
    <t>KennedySidingFor</t>
  </si>
  <si>
    <t>Kennedy Siding forest</t>
  </si>
  <si>
    <t>2007/10/30</t>
  </si>
  <si>
    <t>LDBG1</t>
  </si>
  <si>
    <t>LDB - LowerUpper grassland</t>
  </si>
  <si>
    <t>Drive to site with MOE permission (permit)</t>
  </si>
  <si>
    <t>2017/04/01</t>
  </si>
  <si>
    <t>LDBG2</t>
  </si>
  <si>
    <t>LDB - UpperMiddle grassland</t>
  </si>
  <si>
    <t>LDBLG</t>
  </si>
  <si>
    <t>LDB - Lower grassland</t>
  </si>
  <si>
    <t>LDBMG</t>
  </si>
  <si>
    <t>LDB - Middle grassland</t>
  </si>
  <si>
    <t>LDBUG</t>
  </si>
  <si>
    <t>LDB - Upper grassland</t>
  </si>
  <si>
    <t>M2</t>
  </si>
  <si>
    <t>Mayson Lake - M2</t>
  </si>
  <si>
    <t>Sheena Spencer</t>
  </si>
  <si>
    <t>Mackenzie Jxn</t>
  </si>
  <si>
    <t>MacJxnWx</t>
  </si>
  <si>
    <t>2 km on Hwy 39 from the junction with Hwy 97</t>
  </si>
  <si>
    <t>2010/04/28</t>
  </si>
  <si>
    <t>Mcbride Mountain Stn</t>
  </si>
  <si>
    <t>Sunbeam</t>
  </si>
  <si>
    <t>Alpine, McBride Peak</t>
  </si>
  <si>
    <t>2009/09/09</t>
  </si>
  <si>
    <t>http://datagarrison.com/users/300234062103550/300234064336030/plots.php</t>
  </si>
  <si>
    <t>McDonn</t>
  </si>
  <si>
    <t>Dennis</t>
  </si>
  <si>
    <t>2021/07/07</t>
  </si>
  <si>
    <t>MF1</t>
  </si>
  <si>
    <t>MiddleforkWx</t>
  </si>
  <si>
    <t>At Middlefork Creek, NE of Buckinghorse River</t>
  </si>
  <si>
    <t>2007/07/11</t>
  </si>
  <si>
    <t>Mon1</t>
  </si>
  <si>
    <t>Monarch-1</t>
  </si>
  <si>
    <t>Monarch mtn</t>
  </si>
  <si>
    <t>Mount Buxton</t>
  </si>
  <si>
    <t>East Ridge of Mount Buxton at tree line on Calvert Island</t>
  </si>
  <si>
    <t>NDWx</t>
  </si>
  <si>
    <t>Northern Dancer</t>
  </si>
  <si>
    <t>Hike in, Yukon</t>
  </si>
  <si>
    <t>2007/08/01</t>
  </si>
  <si>
    <t>Nonda1</t>
  </si>
  <si>
    <t>NondaWx</t>
  </si>
  <si>
    <t>NW of Toad River, alpine site at end of Nonda Creek rd</t>
  </si>
  <si>
    <t>2007/07/12</t>
  </si>
  <si>
    <t>http://datagarrison.com/users/300234062103550/300234065500940/plots.php</t>
  </si>
  <si>
    <t>TB; TS</t>
  </si>
  <si>
    <t>P1</t>
  </si>
  <si>
    <t>Upper Penticton Creek - P1</t>
  </si>
  <si>
    <t>Clearcut by trailer</t>
  </si>
  <si>
    <t>1991/08/22</t>
  </si>
  <si>
    <t>https://doi.org/10.5281/zenodo.5520109</t>
  </si>
  <si>
    <t>USUW(4.0)</t>
  </si>
  <si>
    <t>P5</t>
  </si>
  <si>
    <t>Upper Penticton Creek - P5</t>
  </si>
  <si>
    <t>240 Cr mature pine</t>
  </si>
  <si>
    <t>1996/01/01</t>
  </si>
  <si>
    <t>PB</t>
  </si>
  <si>
    <t>Upper Penticton Creek - PB</t>
  </si>
  <si>
    <t>241 Cr upper clearcut</t>
  </si>
  <si>
    <t>1999/07/22</t>
  </si>
  <si>
    <t>USUW(3.0)</t>
  </si>
  <si>
    <t>PC</t>
  </si>
  <si>
    <t>Upper Penticton Creek - PC</t>
  </si>
  <si>
    <t>241 upper mature pine</t>
  </si>
  <si>
    <t>1999/09/01</t>
  </si>
  <si>
    <t>Perkins Peak Stn</t>
  </si>
  <si>
    <t>Alpine, Perkins Peak</t>
  </si>
  <si>
    <t>2009/09/12</t>
  </si>
  <si>
    <t>PGTIS1</t>
  </si>
  <si>
    <t>BulkleyWx</t>
  </si>
  <si>
    <t>At the Prince George Tree Improvement Stn, Bulkley Orchard</t>
  </si>
  <si>
    <t>2007/07/31</t>
  </si>
  <si>
    <t>PGTIS2</t>
  </si>
  <si>
    <t>Willow-BowronWx</t>
  </si>
  <si>
    <t>At the Prince George Tree Improvement Stn, Willow Bowron Orchard</t>
  </si>
  <si>
    <t>PGTIS3</t>
  </si>
  <si>
    <t>CPFWx</t>
  </si>
  <si>
    <t>At the Prince George Tree Improvement Stn, Central Plateau Finlay Orchard</t>
  </si>
  <si>
    <t>2007/08/09</t>
  </si>
  <si>
    <t>PGTISDavis</t>
  </si>
  <si>
    <t>DavisPGTIS</t>
  </si>
  <si>
    <t>Open field at MoF Prince George Tree Improvement Station</t>
  </si>
  <si>
    <t>2019/07/04</t>
  </si>
  <si>
    <t xml:space="preserve">Public Access on Davis WeatherLink app, or via login at weatherlink.com </t>
  </si>
  <si>
    <t>Pink1</t>
  </si>
  <si>
    <t>PinkWx</t>
  </si>
  <si>
    <t>Alpine, Pink Mountain</t>
  </si>
  <si>
    <t>2008/09/08</t>
  </si>
  <si>
    <t>http://datagarrison.com/users/300234062103550/300234065506710/plots.php</t>
  </si>
  <si>
    <t>PJ</t>
  </si>
  <si>
    <t>Upper Penticton Creek - PJ</t>
  </si>
  <si>
    <t>241 Cr lower 2 clearcut now young forest</t>
  </si>
  <si>
    <t>2005/10/22</t>
  </si>
  <si>
    <t>PK</t>
  </si>
  <si>
    <t>Upper Penticton - PK</t>
  </si>
  <si>
    <t xml:space="preserve">241 Cr Clearing </t>
  </si>
  <si>
    <t>2017/09/20</t>
  </si>
  <si>
    <t>PL</t>
  </si>
  <si>
    <t>Upper Penticton Creek - PL</t>
  </si>
  <si>
    <t>2019/01/01</t>
  </si>
  <si>
    <t>https://datagarrison.com/users/300234065770410/300234065724520/plots.php</t>
  </si>
  <si>
    <t>PP(TBRG); PP(Wgt)</t>
  </si>
  <si>
    <t>MS</t>
  </si>
  <si>
    <t>RennellP</t>
  </si>
  <si>
    <t>Rennell Pass</t>
  </si>
  <si>
    <t>Queen Charlotte Islands -Located at pass on road (8.5km) to Rennell Sound as part of Rennell Sound Long Term Research</t>
  </si>
  <si>
    <t>2009/08/01</t>
  </si>
  <si>
    <t>PP(SP)</t>
  </si>
  <si>
    <t>Russell_Main</t>
  </si>
  <si>
    <t>Russell at mouth</t>
  </si>
  <si>
    <t>Located in Russell Creek Experimental Watershed on Tsitika FSR km 5.5</t>
  </si>
  <si>
    <t>1991/07/01</t>
  </si>
  <si>
    <t>not real time</t>
  </si>
  <si>
    <t>Saxton</t>
  </si>
  <si>
    <t>SaxtonWx</t>
  </si>
  <si>
    <t>Saxton Lake, off NW of end of Chief Lk Rd, near Prince George</t>
  </si>
  <si>
    <t>2007/06/29</t>
  </si>
  <si>
    <t>SBSmc3Wx</t>
  </si>
  <si>
    <t>Kluskus</t>
  </si>
  <si>
    <t>94.5 km on Kluskus FSR</t>
  </si>
  <si>
    <t>2010/07/15</t>
  </si>
  <si>
    <t>Seebach</t>
  </si>
  <si>
    <t>SeebachWx</t>
  </si>
  <si>
    <t>0.2 km on Hayden FSR (north of jxn with Seebach FSR)</t>
  </si>
  <si>
    <t>2023/07/13</t>
  </si>
  <si>
    <t>SmithersCmpd</t>
  </si>
  <si>
    <t>SmitherCmpd</t>
  </si>
  <si>
    <t>Ministry of Forests Skeena district office compound, Smithers</t>
  </si>
  <si>
    <t>2006/06/26</t>
  </si>
  <si>
    <t>SpectrumWx</t>
  </si>
  <si>
    <t>Mt. Edziza</t>
  </si>
  <si>
    <t>Helicopter access</t>
  </si>
  <si>
    <t>2015/09/10</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</si>
  <si>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</si>
  <si>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</si>
  <si>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</si>
  <si>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</si>
  <si>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</si>
  <si>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</si>
  <si>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</si>
  <si>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</si>
  <si>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</si>
  <si>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</si>
  <si>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</si>
  <si>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</si>
  <si>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</si>
  <si>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</si>
  <si>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</si>
  <si>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</si>
  <si>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</si>
  <si>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</si>
  <si>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</si>
  <si>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</si>
  <si>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</si>
  <si>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</si>
  <si>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</si>
  <si>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</si>
  <si>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</si>
  <si>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SummitLk</t>
  </si>
  <si>
    <t>SumWxCC</t>
  </si>
  <si>
    <t>Located in cleared logged stand near Tay Cr, south of Summit Lake, DPG</t>
  </si>
  <si>
    <t>Thompson</t>
  </si>
  <si>
    <t>ThompsonWx</t>
  </si>
  <si>
    <t>off Thompson FSR, Nadina District, SW of Burns Lk</t>
  </si>
  <si>
    <t>2007/09/12</t>
  </si>
  <si>
    <t>Upper_Russell</t>
  </si>
  <si>
    <t>Upper Russell</t>
  </si>
  <si>
    <t>Located in Russell Creek Experimental watershed at junction of TS120 and Llatlos Rd.  Site is adjacent to Upper Russell stream gauge</t>
  </si>
  <si>
    <t>WK01AL</t>
  </si>
  <si>
    <t>WADF7 Kokanee</t>
  </si>
  <si>
    <t>Kokanee Glacier Provincial Park, Replaces former ranger station site</t>
  </si>
  <si>
    <t>1992/10/01</t>
  </si>
  <si>
    <t>Sarah Crookshanks, Kootenay Boundary Region</t>
  </si>
  <si>
    <t>778 671-9191</t>
  </si>
  <si>
    <t>USUW(8.0)</t>
  </si>
  <si>
    <t>WR01CC</t>
  </si>
  <si>
    <t>WADF2 Burn</t>
  </si>
  <si>
    <t>Redfish Cr, in 1990 clearcut</t>
  </si>
  <si>
    <t>WR02CC</t>
  </si>
  <si>
    <t>WADF1 Seedtree</t>
  </si>
  <si>
    <t>On east face of Redfish Cr, in 1985 clearcut</t>
  </si>
  <si>
    <t>WR04AL</t>
  </si>
  <si>
    <t>WADF5 Alpine</t>
  </si>
  <si>
    <t>Alpine site also includes MoE Snow Pillow 2D14P</t>
  </si>
  <si>
    <t xml:space="preserve"> SD</t>
  </si>
  <si>
    <t>WR05CC</t>
  </si>
  <si>
    <t>WADF4 Cabin</t>
  </si>
  <si>
    <t>Redfish Cr, in 1973 clearcut</t>
  </si>
  <si>
    <t>WV1</t>
  </si>
  <si>
    <t>Sicamouse Creek - WV1</t>
  </si>
  <si>
    <t>1993/07/16</t>
  </si>
  <si>
    <t>USUW(6.0)</t>
  </si>
  <si>
    <t>SUMMIT</t>
  </si>
  <si>
    <t>BC-FWx</t>
  </si>
  <si>
    <t>David Gaspar, BC Wildfire Service</t>
  </si>
  <si>
    <t>778-696-8237</t>
  </si>
  <si>
    <t>MENZIES CAMP</t>
  </si>
  <si>
    <t>WOSS CAMP</t>
  </si>
  <si>
    <t>Standpipe</t>
  </si>
  <si>
    <t>BEAVER CREEK</t>
  </si>
  <si>
    <t>Potential Pluvio</t>
  </si>
  <si>
    <t>SALTSPRING 2</t>
  </si>
  <si>
    <t>Pluvio2/SR50a</t>
  </si>
  <si>
    <t>BOWSER</t>
  </si>
  <si>
    <t>CEDAR</t>
  </si>
  <si>
    <t>HAIG CAMP</t>
  </si>
  <si>
    <t>UBC RESEARCH</t>
  </si>
  <si>
    <t>TOBA CAMP</t>
  </si>
  <si>
    <t>SCAR CREEK</t>
  </si>
  <si>
    <t>HONNA</t>
  </si>
  <si>
    <t>MACHMELL</t>
  </si>
  <si>
    <t>ROSSWOOD</t>
  </si>
  <si>
    <t>KITPARK</t>
  </si>
  <si>
    <t>DEASE LAKE FS</t>
  </si>
  <si>
    <t>TELEGRAPH CREEK</t>
  </si>
  <si>
    <t>ATLIN</t>
  </si>
  <si>
    <t>ISKUT</t>
  </si>
  <si>
    <t>BOB QUINN LAKE</t>
  </si>
  <si>
    <t>SIERRA</t>
  </si>
  <si>
    <t>HELMUT</t>
  </si>
  <si>
    <t>NELSON FORKS</t>
  </si>
  <si>
    <t>SILVER</t>
  </si>
  <si>
    <t>PADDY</t>
  </si>
  <si>
    <t>GRAHAM</t>
  </si>
  <si>
    <t>TOAD RIVER</t>
  </si>
  <si>
    <t>TUMBLER(DENISON)</t>
  </si>
  <si>
    <t>PINK MOUNTAIN</t>
  </si>
  <si>
    <t>MUSKWA</t>
  </si>
  <si>
    <t>HUDSON HOPE</t>
  </si>
  <si>
    <t>WONOWON</t>
  </si>
  <si>
    <t>RED DEER</t>
  </si>
  <si>
    <t>LEMORAY</t>
  </si>
  <si>
    <t>MANSON</t>
  </si>
  <si>
    <t>TABLE RIVER</t>
  </si>
  <si>
    <t>INGENIKA POINT</t>
  </si>
  <si>
    <t>FORT ST JAMES</t>
  </si>
  <si>
    <t>BLACKPINE</t>
  </si>
  <si>
    <t>BEAR LAKE</t>
  </si>
  <si>
    <t>NABESHE</t>
  </si>
  <si>
    <t>SIFTON</t>
  </si>
  <si>
    <t>MCLEOD LAKE</t>
  </si>
  <si>
    <t>WITCH</t>
  </si>
  <si>
    <t>MACKENZIE FS</t>
  </si>
  <si>
    <t>SUSTUT</t>
  </si>
  <si>
    <t>VANDERHOOF HUB</t>
  </si>
  <si>
    <t>Pluvio2&amp;Q*-RT</t>
  </si>
  <si>
    <t>NORTH CHILCO</t>
  </si>
  <si>
    <t>GRASSY PLAINS HUB</t>
  </si>
  <si>
    <t>Pluvio2-RT</t>
  </si>
  <si>
    <t>HOUSTON(DUNGATE)</t>
  </si>
  <si>
    <t>LOVELL COVE</t>
  </si>
  <si>
    <t>MOOSE LAKE</t>
  </si>
  <si>
    <t>RTA planned 2014</t>
  </si>
  <si>
    <t>KLUSKUS</t>
  </si>
  <si>
    <t>AUGIER LAKE</t>
  </si>
  <si>
    <t>UPPER FULTON</t>
  </si>
  <si>
    <t>EAST OOTSA</t>
  </si>
  <si>
    <t>LEO CREEK</t>
  </si>
  <si>
    <t>NILKITKWA</t>
  </si>
  <si>
    <t>NORTH BABINE</t>
  </si>
  <si>
    <t>Potential ST</t>
  </si>
  <si>
    <t>BEDNESTI</t>
  </si>
  <si>
    <t>PEDEN</t>
  </si>
  <si>
    <t>Pluvio-RT</t>
  </si>
  <si>
    <t>NADINA</t>
  </si>
  <si>
    <t>MCBRIDE LAKE</t>
  </si>
  <si>
    <t>BURNS LAKE 850M</t>
  </si>
  <si>
    <t>GANOKWA</t>
  </si>
  <si>
    <t>PARROTT</t>
  </si>
  <si>
    <t>HIXON</t>
  </si>
  <si>
    <t>CHILAKO</t>
  </si>
  <si>
    <t>JERRY</t>
  </si>
  <si>
    <t>MCGREGOR 2</t>
  </si>
  <si>
    <t>BOWRON HAGGEN</t>
  </si>
  <si>
    <t>MCBRIDE HUB</t>
  </si>
  <si>
    <t>CATFISH</t>
  </si>
  <si>
    <t>VALEMOUNT 2</t>
  </si>
  <si>
    <t>TAUTRI</t>
  </si>
  <si>
    <t>TATLA LAKE HUB</t>
  </si>
  <si>
    <t>ALEXIS CREEK</t>
  </si>
  <si>
    <t>RISKE CREEK</t>
  </si>
  <si>
    <t>NAZKO</t>
  </si>
  <si>
    <t>PLACE LAKE</t>
  </si>
  <si>
    <t>ANAHIM LAKE HUB</t>
  </si>
  <si>
    <t>NEMIAH</t>
  </si>
  <si>
    <t>LONE BUTTE</t>
  </si>
  <si>
    <t>BALDFACE</t>
  </si>
  <si>
    <t>GASPARD</t>
  </si>
  <si>
    <t>KNIFE</t>
  </si>
  <si>
    <t>MIDDLE LAKE</t>
  </si>
  <si>
    <t>GAVIN</t>
  </si>
  <si>
    <t>BENSON</t>
  </si>
  <si>
    <t>HORSEFLY</t>
  </si>
  <si>
    <t>COLDSCAUR LAKE</t>
  </si>
  <si>
    <t>TALCHAKO</t>
  </si>
  <si>
    <t>TIMOTHY</t>
  </si>
  <si>
    <t>YOUNG LAKE</t>
  </si>
  <si>
    <t>MEADOW LAKE</t>
  </si>
  <si>
    <t>CLEARWATER HUB</t>
  </si>
  <si>
    <t>EAST BARRIERE</t>
  </si>
  <si>
    <t>WINDY MOUNTAIN</t>
  </si>
  <si>
    <t>HARBOUR LAKE</t>
  </si>
  <si>
    <t>DECEPTION</t>
  </si>
  <si>
    <t>CAHILTY</t>
  </si>
  <si>
    <t>LIKELY RS</t>
  </si>
  <si>
    <t>BIG VALLEY</t>
  </si>
  <si>
    <t>MATHEW</t>
  </si>
  <si>
    <t>PRAIRIE CREEK</t>
  </si>
  <si>
    <t>WELLS GRAY</t>
  </si>
  <si>
    <t>BERRY</t>
  </si>
  <si>
    <t>GOSNEL</t>
  </si>
  <si>
    <t>THYNNE</t>
  </si>
  <si>
    <t>LILLOOET</t>
  </si>
  <si>
    <t>BRENDA MINES</t>
  </si>
  <si>
    <t>TURTLE</t>
  </si>
  <si>
    <t>GLIMPSE</t>
  </si>
  <si>
    <t>D'ARCY</t>
  </si>
  <si>
    <t>MERRITT HUB</t>
  </si>
  <si>
    <t>FINTRY</t>
  </si>
  <si>
    <t>PEMBERTON BASE</t>
  </si>
  <si>
    <t>ASPEN GROVE</t>
  </si>
  <si>
    <t>SPARKS LAKE</t>
  </si>
  <si>
    <t>FRENCH BAR</t>
  </si>
  <si>
    <t>LEIGHTON LAKE</t>
  </si>
  <si>
    <t>GWYNETH LAKE</t>
  </si>
  <si>
    <t>MCLEAN LAKE</t>
  </si>
  <si>
    <t>NAHATLATCH</t>
  </si>
  <si>
    <t>ALLISON PASS</t>
  </si>
  <si>
    <t>GREENSTONE HUB</t>
  </si>
  <si>
    <t>AFTON</t>
  </si>
  <si>
    <t>PASKA LAKE</t>
  </si>
  <si>
    <t>PENTICTON RS</t>
  </si>
  <si>
    <t>ASHNOLA</t>
  </si>
  <si>
    <t>MCCUDDY</t>
  </si>
  <si>
    <t>SEYMOUR ARM</t>
  </si>
  <si>
    <t>CURWEN CREEK</t>
  </si>
  <si>
    <t>TSAR CREEK</t>
  </si>
  <si>
    <t>MABEL LAKE 2</t>
  </si>
  <si>
    <t>REVELSTOKE</t>
  </si>
  <si>
    <t>WHISKEY</t>
  </si>
  <si>
    <t>MARION</t>
  </si>
  <si>
    <t>SUCCOUR CREEK</t>
  </si>
  <si>
    <t>TABERNACLE (WIND)</t>
  </si>
  <si>
    <t>GOLD HILL</t>
  </si>
  <si>
    <t>POWDER CREEK</t>
  </si>
  <si>
    <t>FALLS CREEK</t>
  </si>
  <si>
    <t>DUNCAN</t>
  </si>
  <si>
    <t>TROUT LAKE</t>
  </si>
  <si>
    <t>KETTLE 2</t>
  </si>
  <si>
    <t>BEAVERDELL</t>
  </si>
  <si>
    <t>EIGHT MILE</t>
  </si>
  <si>
    <t>GRAND FORKS</t>
  </si>
  <si>
    <t>NICOLL</t>
  </si>
  <si>
    <t>ROCK CREEK</t>
  </si>
  <si>
    <t>OCTOPUS CREEK</t>
  </si>
  <si>
    <t>GOATFELL</t>
  </si>
  <si>
    <t>PENDOREILLE</t>
  </si>
  <si>
    <t>SMALLWOOD</t>
  </si>
  <si>
    <t>SLOCAN</t>
  </si>
  <si>
    <t>NANCY GREENE</t>
  </si>
  <si>
    <t>NORNS (WIND)</t>
  </si>
  <si>
    <t>PALLISER</t>
  </si>
  <si>
    <t>ELKO</t>
  </si>
  <si>
    <t>TOBY HUB</t>
  </si>
  <si>
    <t>FLATHEAD 2</t>
  </si>
  <si>
    <t>JOHNSON LAKE</t>
  </si>
  <si>
    <t>DEWAR CREEK</t>
  </si>
  <si>
    <t>EMILY CREEK</t>
  </si>
  <si>
    <t>CRANBROOK FS</t>
  </si>
  <si>
    <t>NASS CAMP</t>
  </si>
  <si>
    <t>KISPIOX HUB</t>
  </si>
  <si>
    <t>CEDARVALE</t>
  </si>
  <si>
    <t>VAN DYKE</t>
  </si>
  <si>
    <t>UPPER KISPIOX</t>
  </si>
  <si>
    <t>BELL-IRVING</t>
  </si>
  <si>
    <t>CRANBERRY</t>
  </si>
  <si>
    <t>NOEL</t>
  </si>
  <si>
    <t>ELK MOUNTAIN</t>
  </si>
  <si>
    <t>FIRESIDE</t>
  </si>
  <si>
    <t>KETCHIKA</t>
  </si>
  <si>
    <t>BOYA LAKE</t>
  </si>
  <si>
    <t>FROTH (WIND)</t>
  </si>
  <si>
    <t>BAKER EAST/WEST HUB</t>
  </si>
  <si>
    <t>BEGBIE SF</t>
  </si>
  <si>
    <t>FORT NELSON FS</t>
  </si>
  <si>
    <t>HOLY CROSS 2</t>
  </si>
  <si>
    <t>ROUND PRAIRIE</t>
  </si>
  <si>
    <t>BIGATTINI</t>
  </si>
  <si>
    <t>WHITE RIVER</t>
  </si>
  <si>
    <t>CHERRY LAKE</t>
  </si>
  <si>
    <t>CARIBOO CREEK</t>
  </si>
  <si>
    <t>CHURN CREEK</t>
  </si>
  <si>
    <t>AUGUST LAKE</t>
  </si>
  <si>
    <t>AKOKLI CREEK</t>
  </si>
  <si>
    <t>BRISCO</t>
  </si>
  <si>
    <t>BLAEBERRY</t>
  </si>
  <si>
    <t>BIG MOUTH 2</t>
  </si>
  <si>
    <t>CRAWFORD</t>
  </si>
  <si>
    <t>IDA BELL LAKE 3</t>
  </si>
  <si>
    <t>SICAMOUS</t>
  </si>
  <si>
    <t>GOATHAVEN</t>
  </si>
  <si>
    <t>HAGENSBORG 2</t>
  </si>
  <si>
    <t>DOWNIE</t>
  </si>
  <si>
    <t>GOLDSTREAM 2</t>
  </si>
  <si>
    <t>MESACHIE 2</t>
  </si>
  <si>
    <t>PINE CREEK</t>
  </si>
  <si>
    <t>ANDERSON CREEK</t>
  </si>
  <si>
    <t>SKOONKA</t>
  </si>
  <si>
    <t>FIVE MILE</t>
  </si>
  <si>
    <t>BIG SILVER 2</t>
  </si>
  <si>
    <t>OSBORN</t>
  </si>
  <si>
    <t>SPLINTLUM</t>
  </si>
  <si>
    <t>KOOCANUSA</t>
  </si>
  <si>
    <t>MAYSON</t>
  </si>
  <si>
    <t>MEAGER CREEK</t>
  </si>
  <si>
    <t>RORY CREEK</t>
  </si>
  <si>
    <t>QUINSAM BASE FWX (TRIAL)</t>
  </si>
  <si>
    <t>BLUE RIVER 2</t>
  </si>
  <si>
    <t>FORD MOUNTAIN</t>
  </si>
  <si>
    <t>SEVEREID</t>
  </si>
  <si>
    <t>MUDPIT</t>
  </si>
  <si>
    <t>DARKWOODS</t>
  </si>
  <si>
    <t>POWELL RIVER WEST LAKE</t>
  </si>
  <si>
    <t>OLD FADDY</t>
  </si>
  <si>
    <t>CHEAKAMUS</t>
  </si>
  <si>
    <t>LARCH HILLS WEST</t>
  </si>
  <si>
    <t>LODESTONE EXT</t>
  </si>
  <si>
    <t>GRIZZLY EXT</t>
  </si>
  <si>
    <t>BOOTHROYD</t>
  </si>
  <si>
    <t>SAWTOOTH</t>
  </si>
  <si>
    <t>STATION BAY 2</t>
  </si>
  <si>
    <t>FRANK CREEK</t>
  </si>
  <si>
    <t>FORRESTKERR</t>
  </si>
  <si>
    <t>CHEF CREEK TEST</t>
  </si>
  <si>
    <t>INKANEEP 2 EXT</t>
  </si>
  <si>
    <t>SPARWOOD</t>
  </si>
  <si>
    <t>ROCKINGHAM</t>
  </si>
  <si>
    <t>GOATLICK</t>
  </si>
  <si>
    <t>LITTLE CHOPEKA</t>
  </si>
  <si>
    <t>TERRACE</t>
  </si>
  <si>
    <t>KOMIE</t>
  </si>
  <si>
    <t>CHETWYND</t>
  </si>
  <si>
    <t>KASIKS PNG</t>
  </si>
  <si>
    <t>BLUEBERRY</t>
  </si>
  <si>
    <t>AKI</t>
  </si>
  <si>
    <t>Akie River near the 760 m contour</t>
  </si>
  <si>
    <t>BCH-GSO-HMP</t>
  </si>
  <si>
    <t>1981</t>
  </si>
  <si>
    <t>Frank Weber, Hydrometeorologic Monitoring and Data Management</t>
  </si>
  <si>
    <t>604-528-8329</t>
  </si>
  <si>
    <t>https://www.bchydro.com/energy-in-bc/operations/transmission-reservoir-data/hydrometeorologic-data.html</t>
  </si>
  <si>
    <t>HG;QR</t>
  </si>
  <si>
    <t>AKN</t>
  </si>
  <si>
    <t>Aiken Lake</t>
  </si>
  <si>
    <t>1980</t>
  </si>
  <si>
    <t>SW(Pl)</t>
  </si>
  <si>
    <t>ALM</t>
  </si>
  <si>
    <t>Alouette Dam East Embankment</t>
  </si>
  <si>
    <t>2024-09-25</t>
  </si>
  <si>
    <t xml:space="preserve">PP </t>
  </si>
  <si>
    <t>ALU</t>
  </si>
  <si>
    <t>Alouette Lake Forebay</t>
  </si>
  <si>
    <t>1983</t>
  </si>
  <si>
    <t>HG</t>
  </si>
  <si>
    <t>ASH</t>
  </si>
  <si>
    <t>Elsie Lake Forebay</t>
  </si>
  <si>
    <t>BAR</t>
  </si>
  <si>
    <t>Barnes Creek</t>
  </si>
  <si>
    <t>BCK</t>
  </si>
  <si>
    <t>Bear Creek Reservoir</t>
  </si>
  <si>
    <t>HG;TW</t>
  </si>
  <si>
    <t>BGP</t>
  </si>
  <si>
    <t>Bridge Glacier Proglacial Lake</t>
  </si>
  <si>
    <t>604-230-5840</t>
  </si>
  <si>
    <t>BLO</t>
  </si>
  <si>
    <t>Bralorne</t>
  </si>
  <si>
    <t>2017</t>
  </si>
  <si>
    <t>BUL</t>
  </si>
  <si>
    <t>Bull River near Wardner</t>
  </si>
  <si>
    <t>1914</t>
  </si>
  <si>
    <t>HG;QU</t>
  </si>
  <si>
    <t>CAC</t>
  </si>
  <si>
    <t>Callaghan Creek</t>
  </si>
  <si>
    <t>2018</t>
  </si>
  <si>
    <t>CCU</t>
  </si>
  <si>
    <t>Caribou Creek Upper</t>
  </si>
  <si>
    <t>2014</t>
  </si>
  <si>
    <t>CDW</t>
  </si>
  <si>
    <t>Coquitlam Dam Climate</t>
  </si>
  <si>
    <t>2020</t>
  </si>
  <si>
    <t>CHW</t>
  </si>
  <si>
    <t>Chowade Upper</t>
  </si>
  <si>
    <t>CLO</t>
  </si>
  <si>
    <t>Clowhom Falls</t>
  </si>
  <si>
    <t>CMX</t>
  </si>
  <si>
    <t>Comox Dam Forebay</t>
  </si>
  <si>
    <t>CPI</t>
  </si>
  <si>
    <t>Colpitti Creek</t>
  </si>
  <si>
    <t>CQM2</t>
  </si>
  <si>
    <t>Coquitlam River above Coquitlam Lake 2</t>
  </si>
  <si>
    <t>CRG</t>
  </si>
  <si>
    <t>Conrad Glacier</t>
  </si>
  <si>
    <t>CRU2</t>
  </si>
  <si>
    <t>Cruickshank River Near The Mouth 2</t>
  </si>
  <si>
    <t>CRY</t>
  </si>
  <si>
    <t>Crying Girl Prairie</t>
  </si>
  <si>
    <t>2012</t>
  </si>
  <si>
    <t>DAI</t>
  </si>
  <si>
    <t>Daisy Lake</t>
  </si>
  <si>
    <t>DBC2</t>
  </si>
  <si>
    <t>Duncan River below Blue Berry Creek 2</t>
  </si>
  <si>
    <t>DCD2</t>
  </si>
  <si>
    <t>Duncan Lake Dam 2</t>
  </si>
  <si>
    <t>SW(Sc)</t>
  </si>
  <si>
    <t>DIK</t>
  </si>
  <si>
    <t>Dickson Lake</t>
  </si>
  <si>
    <t>2023</t>
  </si>
  <si>
    <t>DLU</t>
  </si>
  <si>
    <t>Downton Lake Upper</t>
  </si>
  <si>
    <t>DON</t>
  </si>
  <si>
    <t>Columbia River at Donald</t>
  </si>
  <si>
    <t>1944</t>
  </si>
  <si>
    <t>HG;QR;TW</t>
  </si>
  <si>
    <t>DWL</t>
  </si>
  <si>
    <t>Dowling Creek</t>
  </si>
  <si>
    <t>EAC</t>
  </si>
  <si>
    <t>East Creek</t>
  </si>
  <si>
    <t>1984</t>
  </si>
  <si>
    <t>ECL</t>
  </si>
  <si>
    <t>Elk River above Upper Campbell Lake</t>
  </si>
  <si>
    <t>FAQ</t>
  </si>
  <si>
    <t>Fauquier Water Treatment Plant</t>
  </si>
  <si>
    <t>FDK</t>
  </si>
  <si>
    <t>Fredrickson Lake</t>
  </si>
  <si>
    <t>FER</t>
  </si>
  <si>
    <t>Fernie</t>
  </si>
  <si>
    <t>2015</t>
  </si>
  <si>
    <t>FIN</t>
  </si>
  <si>
    <t>Finlay River above Akie River</t>
  </si>
  <si>
    <t>1978</t>
  </si>
  <si>
    <t>FLK</t>
  </si>
  <si>
    <t>Floe Lake</t>
  </si>
  <si>
    <t>FLL</t>
  </si>
  <si>
    <t>Fred Laing Lower</t>
  </si>
  <si>
    <t>GLD2</t>
  </si>
  <si>
    <t>Gold River Below Ucona River 2</t>
  </si>
  <si>
    <t>GOC</t>
  </si>
  <si>
    <t>Gold Creek</t>
  </si>
  <si>
    <t>GOL2</t>
  </si>
  <si>
    <t>Goldstream River Below Old Camp Creek 2</t>
  </si>
  <si>
    <t>GRN</t>
  </si>
  <si>
    <t>Green Mountain</t>
  </si>
  <si>
    <t>GRP</t>
  </si>
  <si>
    <t>Glacier near Roger's Pass</t>
  </si>
  <si>
    <t>1982</t>
  </si>
  <si>
    <t>HFF</t>
  </si>
  <si>
    <t>Halfway River near Farrell Creek</t>
  </si>
  <si>
    <t>HFG</t>
  </si>
  <si>
    <t>Halfway River above Graham River</t>
  </si>
  <si>
    <t>1977</t>
  </si>
  <si>
    <t>HRN</t>
  </si>
  <si>
    <t>Horn Creek</t>
  </si>
  <si>
    <t>HUR2</t>
  </si>
  <si>
    <t>Hurley River Below Lone Goat Creek 2</t>
  </si>
  <si>
    <t>ING</t>
  </si>
  <si>
    <t>Ingenika River above Swannell River</t>
  </si>
  <si>
    <t>JHL</t>
  </si>
  <si>
    <t>Johanson Lake</t>
  </si>
  <si>
    <t>JHT</t>
  </si>
  <si>
    <t>John Hart Substation</t>
  </si>
  <si>
    <t>KAA</t>
  </si>
  <si>
    <t>Kaslo Airport</t>
  </si>
  <si>
    <t>KAZ</t>
  </si>
  <si>
    <t>Kaza Lake</t>
  </si>
  <si>
    <t>KEY</t>
  </si>
  <si>
    <t>Keystone Creek</t>
  </si>
  <si>
    <t>2013</t>
  </si>
  <si>
    <t>KWA</t>
  </si>
  <si>
    <t>Kwadacha North</t>
  </si>
  <si>
    <t>LCU</t>
  </si>
  <si>
    <t>Lamont Upper Creek</t>
  </si>
  <si>
    <t>LST</t>
  </si>
  <si>
    <t>Williston Lake at Lost Cabin Creek</t>
  </si>
  <si>
    <t>1976</t>
  </si>
  <si>
    <t>MCQ</t>
  </si>
  <si>
    <t>McQue Terrace</t>
  </si>
  <si>
    <t>MIS</t>
  </si>
  <si>
    <t>Mission Ridge</t>
  </si>
  <si>
    <t>MLP</t>
  </si>
  <si>
    <t>McGillivray Pass</t>
  </si>
  <si>
    <t>MNS</t>
  </si>
  <si>
    <t>Mount Sheba</t>
  </si>
  <si>
    <t>MOB</t>
  </si>
  <si>
    <t>Moberly River near Fort St. John</t>
  </si>
  <si>
    <t>MOC</t>
  </si>
  <si>
    <t>Monkman Creek</t>
  </si>
  <si>
    <t>MOL</t>
  </si>
  <si>
    <t>Molson Creek</t>
  </si>
  <si>
    <t>MOR</t>
  </si>
  <si>
    <t>Morrissey Ridge</t>
  </si>
  <si>
    <t>MOY</t>
  </si>
  <si>
    <t>Moyie Mountain</t>
  </si>
  <si>
    <t>1971/10/19</t>
  </si>
  <si>
    <t>MSK</t>
  </si>
  <si>
    <t>Muskwa-Kechika</t>
  </si>
  <si>
    <t>MTR</t>
  </si>
  <si>
    <t>Mount Revelstoke</t>
  </si>
  <si>
    <t>NAT</t>
  </si>
  <si>
    <t>Nation River near the mouth</t>
  </si>
  <si>
    <t>NDE</t>
  </si>
  <si>
    <t>New Denver East</t>
  </si>
  <si>
    <t>NTY</t>
  </si>
  <si>
    <t>North Tyaughton Creek</t>
  </si>
  <si>
    <t>OSL</t>
  </si>
  <si>
    <t>Osilinka River near End Lake</t>
  </si>
  <si>
    <t>PAK</t>
  </si>
  <si>
    <t>Pack River at outlet of McLeod Lake</t>
  </si>
  <si>
    <t>PAR</t>
  </si>
  <si>
    <t>Parsnip Upper</t>
  </si>
  <si>
    <t>PKA</t>
  </si>
  <si>
    <t>Pink Mountain Alpine</t>
  </si>
  <si>
    <t>PLL</t>
  </si>
  <si>
    <t>Philip Lake</t>
  </si>
  <si>
    <t>2019</t>
  </si>
  <si>
    <t>PMD2</t>
  </si>
  <si>
    <t>Portage Mountain Development 2</t>
  </si>
  <si>
    <t>PNK</t>
  </si>
  <si>
    <t>Pink Mountain</t>
  </si>
  <si>
    <t>PRS</t>
  </si>
  <si>
    <t>Parsnip River above Misinchinka River</t>
  </si>
  <si>
    <t>1967</t>
  </si>
  <si>
    <t>PUL</t>
  </si>
  <si>
    <t>Pulpit Lake</t>
  </si>
  <si>
    <t>PYN</t>
  </si>
  <si>
    <t>Pine Pass</t>
  </si>
  <si>
    <t>QIN2</t>
  </si>
  <si>
    <t>Quinsam River at Argonaut Bridge 2</t>
  </si>
  <si>
    <t>REC</t>
  </si>
  <si>
    <t>Rees Creek</t>
  </si>
  <si>
    <t>SBD2</t>
  </si>
  <si>
    <t>Salmon River Below Campbell Lake Diversion 2</t>
  </si>
  <si>
    <t>SCU</t>
  </si>
  <si>
    <t>Succour Creek</t>
  </si>
  <si>
    <t>2024</t>
  </si>
  <si>
    <t>SHH</t>
  </si>
  <si>
    <t>Shalalth</t>
  </si>
  <si>
    <t>SKI</t>
  </si>
  <si>
    <t>Sikanni Lake</t>
  </si>
  <si>
    <t>2016</t>
  </si>
  <si>
    <t>SLK</t>
  </si>
  <si>
    <t>St. Leon Creek</t>
  </si>
  <si>
    <t>STV</t>
  </si>
  <si>
    <t>Stave River Upper</t>
  </si>
  <si>
    <t>TNS</t>
  </si>
  <si>
    <t>Townsend</t>
  </si>
  <si>
    <t>TSY</t>
  </si>
  <si>
    <t>Tsaydaychi Lake</t>
  </si>
  <si>
    <t>UCE</t>
  </si>
  <si>
    <t>Upper Campbell Lake near Elk River Road</t>
  </si>
  <si>
    <t>WAH</t>
  </si>
  <si>
    <t>Wahleach Reservoir (Jones Lake)</t>
  </si>
  <si>
    <t>WCC</t>
  </si>
  <si>
    <t>Wildcat Creek</t>
  </si>
  <si>
    <t>WLU</t>
  </si>
  <si>
    <t>Wahleach Lake Upper</t>
  </si>
  <si>
    <t>WOL</t>
  </si>
  <si>
    <t>Wolf River Upper</t>
  </si>
  <si>
    <t>WON</t>
  </si>
  <si>
    <t>Wonowon</t>
  </si>
  <si>
    <t>WRL</t>
  </si>
  <si>
    <t>Ware Lower</t>
  </si>
  <si>
    <t>WRU</t>
  </si>
  <si>
    <t>Ware Upper</t>
  </si>
  <si>
    <t>YGS</t>
  </si>
  <si>
    <t>Germansen Landing</t>
  </si>
  <si>
    <t>AFL</t>
  </si>
  <si>
    <t>Attachie Flat Lower Terrace</t>
  </si>
  <si>
    <t>BCH-SITEC</t>
  </si>
  <si>
    <t>Environmental Engineer, Site C</t>
  </si>
  <si>
    <t>604 695 5236</t>
  </si>
  <si>
    <t>AFU</t>
  </si>
  <si>
    <t>Attachie Flat Upper Terrace</t>
  </si>
  <si>
    <t>ATP</t>
  </si>
  <si>
    <t>Attachie Plateau</t>
  </si>
  <si>
    <t>BEF</t>
  </si>
  <si>
    <t>Bear Flat</t>
  </si>
  <si>
    <t>FLC</t>
  </si>
  <si>
    <t>Farrell Creek</t>
  </si>
  <si>
    <t>SNC</t>
  </si>
  <si>
    <t>Site C North Camp</t>
  </si>
  <si>
    <t>85A</t>
  </si>
  <si>
    <t>85th Ave</t>
  </si>
  <si>
    <t>2017-01-01</t>
  </si>
  <si>
    <t>TAB</t>
  </si>
  <si>
    <t>Taylor Bison</t>
  </si>
  <si>
    <t>TEC</t>
  </si>
  <si>
    <t>Tea Creek</t>
  </si>
  <si>
    <t>1A01P</t>
  </si>
  <si>
    <t>Yellowhead Lake</t>
  </si>
  <si>
    <t>BC-Snow</t>
  </si>
  <si>
    <t>1996/09/12</t>
  </si>
  <si>
    <t>Tony Litke, Environmental Monitoring and Analysis</t>
  </si>
  <si>
    <t xml:space="preserve"> 778 679-2655</t>
  </si>
  <si>
    <t>https://www2.gov.bc.ca/gov/content/environment/air-land-water/water/water-science-data/water-data-tools/snow-survey-data/automated-snow-weather-station-data</t>
  </si>
  <si>
    <t>1A02P</t>
  </si>
  <si>
    <t>McBride Upper</t>
  </si>
  <si>
    <t>2006/07/19</t>
  </si>
  <si>
    <t>1A03P</t>
  </si>
  <si>
    <t>Barkerville</t>
  </si>
  <si>
    <t>1968/10/04</t>
  </si>
  <si>
    <t>1A05P</t>
  </si>
  <si>
    <t>Longworth Upper</t>
  </si>
  <si>
    <t>Replaced manual survey in 2016</t>
  </si>
  <si>
    <t>2016/09/09</t>
  </si>
  <si>
    <t>1A14P</t>
  </si>
  <si>
    <t>Hedrick Lake</t>
  </si>
  <si>
    <t>1999/09/24</t>
  </si>
  <si>
    <t>1A15B</t>
  </si>
  <si>
    <t>Knudson Lake</t>
  </si>
  <si>
    <t>2016/03/30</t>
  </si>
  <si>
    <t>1A17P</t>
  </si>
  <si>
    <t>Revolution Creek</t>
  </si>
  <si>
    <t>1984/12/01</t>
  </si>
  <si>
    <t>1A19P</t>
  </si>
  <si>
    <t>Dome Mountain</t>
  </si>
  <si>
    <t>2005/10/01</t>
  </si>
  <si>
    <t>1C17P</t>
  </si>
  <si>
    <t>Mount Timothy</t>
  </si>
  <si>
    <t>2023/08/01</t>
  </si>
  <si>
    <t>1C20P</t>
  </si>
  <si>
    <t>Boss Mountain Mine</t>
  </si>
  <si>
    <t>1993/10/01</t>
  </si>
  <si>
    <t>1C22AP</t>
  </si>
  <si>
    <t>Puntzi</t>
  </si>
  <si>
    <t>2023/09/14</t>
  </si>
  <si>
    <t>SW(Gm)</t>
  </si>
  <si>
    <t>1C23P</t>
  </si>
  <si>
    <t>Penfold Creek</t>
  </si>
  <si>
    <t>2022/11/08</t>
  </si>
  <si>
    <t>1C29P</t>
  </si>
  <si>
    <t>Shovelnose</t>
  </si>
  <si>
    <t>1C32P</t>
  </si>
  <si>
    <t>Deadman River</t>
  </si>
  <si>
    <t>2022/09/01</t>
  </si>
  <si>
    <t>1C41P</t>
  </si>
  <si>
    <t>Yanks Peak</t>
  </si>
  <si>
    <t>1996/08/23</t>
  </si>
  <si>
    <t>1C44P</t>
  </si>
  <si>
    <t>Paradise Lake</t>
  </si>
  <si>
    <t>2023/09/01</t>
  </si>
  <si>
    <t>1C45P</t>
  </si>
  <si>
    <t>July Mountain</t>
  </si>
  <si>
    <t>2021-10-01</t>
  </si>
  <si>
    <t>1D06P</t>
  </si>
  <si>
    <t>Tenquille Lake</t>
  </si>
  <si>
    <t>2000/08/31</t>
  </si>
  <si>
    <t>1D17P</t>
  </si>
  <si>
    <t>Chilliwack River</t>
  </si>
  <si>
    <t>1991/10/01</t>
  </si>
  <si>
    <t>1D19P</t>
  </si>
  <si>
    <t>Spuzzum Creek</t>
  </si>
  <si>
    <t>2003/10/01</t>
  </si>
  <si>
    <t>1E02P</t>
  </si>
  <si>
    <t>Mount Cook</t>
  </si>
  <si>
    <t>1999/10/21</t>
  </si>
  <si>
    <t>1E03AP</t>
  </si>
  <si>
    <t>Trophy Mountain</t>
  </si>
  <si>
    <t>2023/09/19</t>
  </si>
  <si>
    <t>1E08P</t>
  </si>
  <si>
    <t>Azure River</t>
  </si>
  <si>
    <t>1996/09/14</t>
  </si>
  <si>
    <t>1E10P</t>
  </si>
  <si>
    <t>Kostal Lake</t>
  </si>
  <si>
    <t>1984/10/10</t>
  </si>
  <si>
    <t>1E14P</t>
  </si>
  <si>
    <t>Cook Creek</t>
  </si>
  <si>
    <t>1999/09/19</t>
  </si>
  <si>
    <t>1F03P</t>
  </si>
  <si>
    <t>Park Mountain</t>
  </si>
  <si>
    <t>1984/10/29</t>
  </si>
  <si>
    <t>1F04P</t>
  </si>
  <si>
    <t>Enderby</t>
  </si>
  <si>
    <t>2016/08/11</t>
  </si>
  <si>
    <t>1F06P</t>
  </si>
  <si>
    <t>Celista</t>
  </si>
  <si>
    <t>2004/10/02</t>
  </si>
  <si>
    <t>2B02AP</t>
  </si>
  <si>
    <t>Farron</t>
  </si>
  <si>
    <t>2024/06/13</t>
  </si>
  <si>
    <t>2D05P</t>
  </si>
  <si>
    <t>Gray Creek Lower</t>
  </si>
  <si>
    <t>2020/09/15</t>
  </si>
  <si>
    <t>2D10P</t>
  </si>
  <si>
    <t>Gray Creek Upper</t>
  </si>
  <si>
    <t>2D14P</t>
  </si>
  <si>
    <t>Redfish Creek</t>
  </si>
  <si>
    <t>2001/07/16</t>
  </si>
  <si>
    <t>2E07P</t>
  </si>
  <si>
    <t>Grano Creek</t>
  </si>
  <si>
    <t>1997/07/24</t>
  </si>
  <si>
    <t>2F01AP</t>
  </si>
  <si>
    <t>Trout Creek West</t>
  </si>
  <si>
    <t>2017/11/04</t>
  </si>
  <si>
    <t>2F03AP</t>
  </si>
  <si>
    <t>McCulloch</t>
  </si>
  <si>
    <t>2024/10/07</t>
  </si>
  <si>
    <t>2F05P</t>
  </si>
  <si>
    <t>Mission Creek</t>
  </si>
  <si>
    <t>1969/10/20</t>
  </si>
  <si>
    <t>2F08P</t>
  </si>
  <si>
    <t>Greyback Resevoir</t>
  </si>
  <si>
    <t>2016/08/19</t>
  </si>
  <si>
    <t>2F10P</t>
  </si>
  <si>
    <t>Silverstar Mountain</t>
  </si>
  <si>
    <t>2015/07/21</t>
  </si>
  <si>
    <t>2F18P</t>
  </si>
  <si>
    <t>Brenda Mines</t>
  </si>
  <si>
    <t>2F19P</t>
  </si>
  <si>
    <t>Oyama Lake</t>
  </si>
  <si>
    <t>2020/09/01</t>
  </si>
  <si>
    <t>2FO9P</t>
  </si>
  <si>
    <t>Whiterocks Mountain</t>
  </si>
  <si>
    <t>2022/07/14</t>
  </si>
  <si>
    <t>2G03P</t>
  </si>
  <si>
    <t>Blackwall Peak</t>
  </si>
  <si>
    <t>1967/10/01</t>
  </si>
  <si>
    <t>2G06P</t>
  </si>
  <si>
    <t>Hamilton Hill</t>
  </si>
  <si>
    <t>2024/10/26</t>
  </si>
  <si>
    <t>3A22P</t>
  </si>
  <si>
    <t>Nostetuko River</t>
  </si>
  <si>
    <t>1988/10/25</t>
  </si>
  <si>
    <t>3A24P</t>
  </si>
  <si>
    <t>Mosely Creek Upper</t>
  </si>
  <si>
    <t>1998/10/25</t>
  </si>
  <si>
    <t>3A25P</t>
  </si>
  <si>
    <t>Squamish River Upper</t>
  </si>
  <si>
    <t>1989/11/22</t>
  </si>
  <si>
    <t>3A28P</t>
  </si>
  <si>
    <t>Tetrahedron</t>
  </si>
  <si>
    <t>3B23P</t>
  </si>
  <si>
    <t>Jump Creek</t>
  </si>
  <si>
    <t>1995/11/15</t>
  </si>
  <si>
    <t>3B24P</t>
  </si>
  <si>
    <t>Heather Mountain Upper</t>
  </si>
  <si>
    <t>2015/03/07</t>
  </si>
  <si>
    <t>3B26P</t>
  </si>
  <si>
    <t>Mount Arrowsmith</t>
  </si>
  <si>
    <t>2016/06/03</t>
  </si>
  <si>
    <t>3C08P</t>
  </si>
  <si>
    <t>Burnt Bridge Creek</t>
  </si>
  <si>
    <t>1997/10/02</t>
  </si>
  <si>
    <t>4B12P</t>
  </si>
  <si>
    <t>Granduc</t>
  </si>
  <si>
    <t>Reactivated in 2016 as joint project with Pretivm Mining</t>
  </si>
  <si>
    <t>2001/10/01</t>
  </si>
  <si>
    <t>4B15P</t>
  </si>
  <si>
    <t>Lu Lake</t>
  </si>
  <si>
    <t>1997/07/12</t>
  </si>
  <si>
    <t>4B16P</t>
  </si>
  <si>
    <t>Shedin Creek</t>
  </si>
  <si>
    <t>1995/10/01</t>
  </si>
  <si>
    <t>4B17P</t>
  </si>
  <si>
    <t>Tsai Creek</t>
  </si>
  <si>
    <t>4B18P</t>
  </si>
  <si>
    <t>Cedar-Kiteen</t>
  </si>
  <si>
    <t>2000/07/08</t>
  </si>
  <si>
    <t>4C09P</t>
  </si>
  <si>
    <t>Deadwood River</t>
  </si>
  <si>
    <t>1990/10/02</t>
  </si>
  <si>
    <t>4D11P</t>
  </si>
  <si>
    <t>Kinaskan Lake</t>
  </si>
  <si>
    <t>Reactivated in 2015</t>
  </si>
  <si>
    <t>1990/10/01</t>
  </si>
  <si>
    <t>4D14P</t>
  </si>
  <si>
    <t>Wade Lake</t>
  </si>
  <si>
    <t>1989/10/01</t>
  </si>
  <si>
    <t>4E01P</t>
  </si>
  <si>
    <t>Log Cabin</t>
  </si>
  <si>
    <t>CLIMPARS001</t>
  </si>
  <si>
    <t>Crocker Creek</t>
  </si>
  <si>
    <t>Ted Weick, Environmental and Climate Monitoring</t>
  </si>
  <si>
    <t>778-698-4446</t>
  </si>
  <si>
    <t>Brandywine</t>
  </si>
  <si>
    <t>BC-TRAN</t>
  </si>
  <si>
    <t>W side of Hwy99, 18.5 km S of Whistler Creek</t>
  </si>
  <si>
    <t>Simon Walker, Avalanche and Weather Program</t>
  </si>
  <si>
    <t>778-974-5376</t>
  </si>
  <si>
    <t>https://prdoas6.pub-apps.th.gov.bc.ca/saw-paws/weatherstation</t>
  </si>
  <si>
    <t>PP(SP); PP(D)</t>
  </si>
  <si>
    <t>USUW(10.0)</t>
  </si>
  <si>
    <t>Tantalus</t>
  </si>
  <si>
    <t>E side of Hwy 99 at Batt Creek, 100m south of entrance to upper Tantalus viewpoint</t>
  </si>
  <si>
    <t xml:space="preserve">Mt. Strachan Precip </t>
  </si>
  <si>
    <t>Northeast of base of Sky Chair, Cypress Bowl</t>
  </si>
  <si>
    <t>Deeks Peak</t>
  </si>
  <si>
    <t>Ridgetop East side of Hwy 99 Southeast of Porteau Cove.</t>
  </si>
  <si>
    <t>Porteau Cove</t>
  </si>
  <si>
    <t>W side of Hwy 99 at Porteau Cove Road southbound offramp.</t>
  </si>
  <si>
    <t>Eagle Ridge</t>
  </si>
  <si>
    <t>West side of Hwy 99, 500 m north of Larsen Creek</t>
  </si>
  <si>
    <t>Trout Lake</t>
  </si>
  <si>
    <t>South side of Hwy 101, 10 km north of Sechelt</t>
  </si>
  <si>
    <t>PP(Opt)</t>
  </si>
  <si>
    <t>Port Mann Bridge Mid Span</t>
  </si>
  <si>
    <t>Hwy 1 westbound at mid span of the Port Mann Bridge</t>
  </si>
  <si>
    <t>USUW(15.0)</t>
  </si>
  <si>
    <t>Port Mann Bridge Johnson Hill</t>
  </si>
  <si>
    <t>Hwy 1 Westbound at Toll Gantry Compund</t>
  </si>
  <si>
    <t>PP(Wgt); PP(D)</t>
  </si>
  <si>
    <t>Ricemill Road</t>
  </si>
  <si>
    <t>North side of Ricemill Road, 110 m northeast of Hwy 99.</t>
  </si>
  <si>
    <t>Alex Fraser Top</t>
  </si>
  <si>
    <t>Top of northeast tower on the Alex Fraser Bridge</t>
  </si>
  <si>
    <t>Alex Fraser Bridge</t>
  </si>
  <si>
    <t>Mid-span, northbound side of Alex Fraser Bridge</t>
  </si>
  <si>
    <t>Alex Fraser Crossbeam</t>
  </si>
  <si>
    <t>On the cross beam of the North Tower of the Alex Fraser Bridge</t>
  </si>
  <si>
    <t>Annicis Island</t>
  </si>
  <si>
    <t>Bradner Road</t>
  </si>
  <si>
    <t>North side of highway #1.  East of Bradner road underpass.  Between Hwy 1 and Downes Road.</t>
  </si>
  <si>
    <t>Nicolum Creek</t>
  </si>
  <si>
    <t>N side of Hwy 3, 300m E of the offramp from Hwy 5</t>
  </si>
  <si>
    <t>Hells Gate Roadside</t>
  </si>
  <si>
    <t>W side of Hwy 1 on Bradley Hill</t>
  </si>
  <si>
    <t>USUW(6.6)</t>
  </si>
  <si>
    <t>Jackass</t>
  </si>
  <si>
    <t>Hwy 1, 17 km S of Lytton</t>
  </si>
  <si>
    <t>USUW(9.6)</t>
  </si>
  <si>
    <t>Foundation Mines</t>
  </si>
  <si>
    <t>Ridgetop, North side of Hwy 3, 33km East of Hope</t>
  </si>
  <si>
    <t>Allison Pass</t>
  </si>
  <si>
    <t>Hwy  3 at the Allison Pass summit maintenance yard</t>
  </si>
  <si>
    <t>Similkameen Falls</t>
  </si>
  <si>
    <t>South side of Hwy 3 at Similkameen Falls</t>
  </si>
  <si>
    <t>Walloper</t>
  </si>
  <si>
    <t>Hwy 5 at Walloper Pit 12 km S of Northbound brake check</t>
  </si>
  <si>
    <t>USUW(10.9)</t>
  </si>
  <si>
    <t>Barriere</t>
  </si>
  <si>
    <t>West side of Hwy 5, 3.5 km S of Louis Creek (S of Barriere)</t>
  </si>
  <si>
    <t>USUW(5.1)</t>
  </si>
  <si>
    <t>Mad River</t>
  </si>
  <si>
    <t>South side of Hwy 5, 17.5 km northeast of Vavenby</t>
  </si>
  <si>
    <t>Annis Pit</t>
  </si>
  <si>
    <t>South side of Hwy 1 at Annis Pit, 8 km SE of Sicamous</t>
  </si>
  <si>
    <t>Malakwa</t>
  </si>
  <si>
    <t>Hwy 1 E of Sicamous at junction of Malakwa Loop</t>
  </si>
  <si>
    <t>USUW(10.4)</t>
  </si>
  <si>
    <t>Squilax</t>
  </si>
  <si>
    <t>S side of Hwy 1, 1km E of Squilax Bridge</t>
  </si>
  <si>
    <t>USUW(5.4)</t>
  </si>
  <si>
    <t>Kalamalka Lookout</t>
  </si>
  <si>
    <t>E side of Hwy 97 at Vista Rd turnoff, S of Vernon</t>
  </si>
  <si>
    <t>USUW(5.5)</t>
  </si>
  <si>
    <t>Bromley Rock</t>
  </si>
  <si>
    <t>N side of Hwy 3, 1 km South of Bromley Rock Provincial Park</t>
  </si>
  <si>
    <t>Racetrack</t>
  </si>
  <si>
    <t>East side of Hwy 5N, 1 km south of Allison Lake</t>
  </si>
  <si>
    <t>Apex Roadside</t>
  </si>
  <si>
    <t>In gravel pit, North side of Apex Mtn Rd at Rock Oven Pass</t>
  </si>
  <si>
    <t>USUW(14.0)</t>
  </si>
  <si>
    <t>Yellow Lake</t>
  </si>
  <si>
    <t>South Side Hwy 3A, 150m West of Sheep Creek Road</t>
  </si>
  <si>
    <t>Red Bluffs</t>
  </si>
  <si>
    <t>Princeton - Tulameen Hwy, 7km SE of Coalmont</t>
  </si>
  <si>
    <t>USUW(6.9)</t>
  </si>
  <si>
    <t>Helmer Lk</t>
  </si>
  <si>
    <t>E side of Hwy 5, 24km N or Merritt at Helmer Interchange</t>
  </si>
  <si>
    <t>USUW(10.8)</t>
  </si>
  <si>
    <t>Larson Hill</t>
  </si>
  <si>
    <t>N side of Hwy 5 at Larson Hill interchange</t>
  </si>
  <si>
    <t>Desmond Hill</t>
  </si>
  <si>
    <t>East side of Hwy 5, 7 km South of Hwy 97D junction.</t>
  </si>
  <si>
    <t>Comstock</t>
  </si>
  <si>
    <t>South side of Hwy 5, 1.3 km West of Comstock Interchange</t>
  </si>
  <si>
    <t>Coquihalla Summit</t>
  </si>
  <si>
    <t>North side of Hwy 5 in clearing at West end of Boston Bar Creek Rest Area</t>
  </si>
  <si>
    <t>USUW(10/0)</t>
  </si>
  <si>
    <t>Great Bear</t>
  </si>
  <si>
    <t>Great Bear Summit above snowshed</t>
  </si>
  <si>
    <t>Little Bear</t>
  </si>
  <si>
    <t>Col between Gr Bear and Iago Summit</t>
  </si>
  <si>
    <t>Bluenose</t>
  </si>
  <si>
    <t>Mid mountain elevation knoll east of the Bluenose avalanche path 42.0.</t>
  </si>
  <si>
    <t>Goldbridge</t>
  </si>
  <si>
    <t>Gold Bridge Maintenance Yard</t>
  </si>
  <si>
    <t>Blowdown Peak</t>
  </si>
  <si>
    <t>Mountain top, South side of Hwy 99 at East end of Duffey Lake.</t>
  </si>
  <si>
    <t>Blowdown Mid</t>
  </si>
  <si>
    <t>Mid mountain, South side of Hwy 99 at East end of Duffey Lake.</t>
  </si>
  <si>
    <t>Cayoosh Summit</t>
  </si>
  <si>
    <t>S side of Hwy 99 at Cayoosh Summit</t>
  </si>
  <si>
    <t>Fountain Slide</t>
  </si>
  <si>
    <t>Hwy 99 at the Fountain Slide</t>
  </si>
  <si>
    <t>Highline</t>
  </si>
  <si>
    <t>Highline Road, 11 km northwest of D'Arcy</t>
  </si>
  <si>
    <t>USUW(11.5)</t>
  </si>
  <si>
    <t>Big Bar</t>
  </si>
  <si>
    <t>East side of Hwy 97 at the Big Bar Rest Area</t>
  </si>
  <si>
    <t>Chasm Road</t>
  </si>
  <si>
    <t>West sid of Hwy 97 at Chasm Road</t>
  </si>
  <si>
    <t>Begbie Summit</t>
  </si>
  <si>
    <t>W side of Hwy 97 on old right of way 200m S of Begbie Summit</t>
  </si>
  <si>
    <t>Pennask Summit</t>
  </si>
  <si>
    <t>S side of Hwy 97C at Pennask Summit</t>
  </si>
  <si>
    <t>Pothole Lake</t>
  </si>
  <si>
    <t>S side of Hwy 97C, 7 km W of Aspen Grove</t>
  </si>
  <si>
    <t>Brenda Mine</t>
  </si>
  <si>
    <t>S side of Hwy 97C at Brenda Mine exit.</t>
  </si>
  <si>
    <t>Hall Creek</t>
  </si>
  <si>
    <t>W side of Hwy 6, 200m N of Hall Creek</t>
  </si>
  <si>
    <t>Beasley Bluffs</t>
  </si>
  <si>
    <t>South side of Hwy 6, 2.8 km west of Taghum Bridge.</t>
  </si>
  <si>
    <t>USUW(10.5)</t>
  </si>
  <si>
    <t>Southridge</t>
  </si>
  <si>
    <t>Ridgetop, East side of Apex Cr, top of avalanche path 5.0 Southridge 4.</t>
  </si>
  <si>
    <t>Meadows Junction</t>
  </si>
  <si>
    <t>South side of Hwy 3B, 1.4 km West of Meadows Junction</t>
  </si>
  <si>
    <t>USUW(11.2)</t>
  </si>
  <si>
    <t>Strawberry Pass</t>
  </si>
  <si>
    <t>S side of Hwy 3A at Strawberry Pass summit</t>
  </si>
  <si>
    <t>USUW(7.2)</t>
  </si>
  <si>
    <t>Anarchist Summit</t>
  </si>
  <si>
    <t>N side of Hwy 3 in gravel pit at Anarchist summit</t>
  </si>
  <si>
    <t>USUW(5.3)</t>
  </si>
  <si>
    <t>Eholt</t>
  </si>
  <si>
    <t>East side of Hwy 3, 1.8 km north of Eholt Summit</t>
  </si>
  <si>
    <t>W side of Hwy 33 at McCuloch Junction N of Carmi</t>
  </si>
  <si>
    <t>Blueberry</t>
  </si>
  <si>
    <t>Ridgetop, North side of Hwy 3, top of avalanche path 36.9.</t>
  </si>
  <si>
    <t>Paulson Summit</t>
  </si>
  <si>
    <t>N side of Hwy 3 at Paulson Summit (Christina Lk to Castlegar)</t>
  </si>
  <si>
    <t>Monashee Pass</t>
  </si>
  <si>
    <t>North side of Hwy 6, 32 km northwest of Edgewood Junction</t>
  </si>
  <si>
    <t>Fish Lake</t>
  </si>
  <si>
    <t>N side of Hwy 31A at E end of Fish Lake</t>
  </si>
  <si>
    <t>Dardanelle Ridge</t>
  </si>
  <si>
    <t>Ridgetop, 2.5 km south of Fish Lake</t>
  </si>
  <si>
    <t>USUW(7.9)</t>
  </si>
  <si>
    <t>London Ridge Low</t>
  </si>
  <si>
    <t>Southwest shoulder of London Ridge, North side of Hwy 31A, 15 km East of New Denver.</t>
  </si>
  <si>
    <t>Lardeau</t>
  </si>
  <si>
    <t>Ridgetop above Hwy 3A, top of avalanche path1.3.</t>
  </si>
  <si>
    <t>Lardeau High</t>
  </si>
  <si>
    <t>Ridgetop, 650 m southwest of summit of Meadow Mountain</t>
  </si>
  <si>
    <t>USUW(6.3)</t>
  </si>
  <si>
    <t>Coffee Creek</t>
  </si>
  <si>
    <t>E side of Hwy 31 1700m N of Coffee Cr bridge</t>
  </si>
  <si>
    <t>USUW(6.5)</t>
  </si>
  <si>
    <t>Summit Lake</t>
  </si>
  <si>
    <t>N side of Hwy 6, 4.5 Km S of Summit Lk Prov Park</t>
  </si>
  <si>
    <t>USUW(8.3)</t>
  </si>
  <si>
    <t>Slocan Lake</t>
  </si>
  <si>
    <t>Highway 6, 4km South of Slocan Lake View Point.</t>
  </si>
  <si>
    <t>Canal Flats</t>
  </si>
  <si>
    <t>E side of Hwy 93, 10km N of Skookumchuck</t>
  </si>
  <si>
    <t>Moyie</t>
  </si>
  <si>
    <t>W side of Hwy 3 approx 5 km north of Moyie at Jones Corner</t>
  </si>
  <si>
    <t>Kimberley</t>
  </si>
  <si>
    <t>E side of Hwy 95A, 3 km S of Kimberley city centre</t>
  </si>
  <si>
    <t>Irishman</t>
  </si>
  <si>
    <t>East side of Hwy 3, 21 km soutwest of Moyie</t>
  </si>
  <si>
    <t>USUW(8.6)</t>
  </si>
  <si>
    <t>Morrissey</t>
  </si>
  <si>
    <t xml:space="preserve"> W side of Hwy 3 approx 10 km south of Fernie at Morrissey Junction</t>
  </si>
  <si>
    <t>Morrissey High</t>
  </si>
  <si>
    <t>Ridgetop, 2.6 km southwest of Morrissey</t>
  </si>
  <si>
    <t>Line Creek</t>
  </si>
  <si>
    <t>West side of Hwy 43 at Line Creek Mine Road</t>
  </si>
  <si>
    <t>Crowsnest</t>
  </si>
  <si>
    <t>N side of Hwy 3, 2 km West of the Alberta Border</t>
  </si>
  <si>
    <t>Steamboat</t>
  </si>
  <si>
    <t>South side of Hwy 3, 200 m west of HaHa Creek Road</t>
  </si>
  <si>
    <t>USUW(9.7)</t>
  </si>
  <si>
    <t>Vermillion Pit</t>
  </si>
  <si>
    <t>E side of Hwy95 at Kindersley Cr approx 12 km N of Radium</t>
  </si>
  <si>
    <t>USUW(9.0)</t>
  </si>
  <si>
    <t>Nordic 2</t>
  </si>
  <si>
    <t>S side of Hwy 1, 10.4km E of Glacier National Pk, East boundary</t>
  </si>
  <si>
    <t>USUW(9.5)</t>
  </si>
  <si>
    <t>Quartz Creek</t>
  </si>
  <si>
    <t>N side of Hwy 1 at east end of Quartz Creek bridge.</t>
  </si>
  <si>
    <t>Kicking Horse</t>
  </si>
  <si>
    <t>Near mountain top, North side of Hwy 1, 7 km East of Golden.</t>
  </si>
  <si>
    <t>Kicking Horse Solar</t>
  </si>
  <si>
    <t>Mid mountain, North side of Hwy 1, 7 km East of Golden.</t>
  </si>
  <si>
    <t>Top of Ten Mile 2</t>
  </si>
  <si>
    <t>N side of Hwy 1, 17km E of Golden</t>
  </si>
  <si>
    <t>Black Wall2</t>
  </si>
  <si>
    <t>North side of Hwy 1, 5 km east of Golden</t>
  </si>
  <si>
    <t>Blaeberry</t>
  </si>
  <si>
    <t xml:space="preserve">East side of Hwy 1, N end of Blaeberry River Bridge, 15 km N of Golden </t>
  </si>
  <si>
    <t>Quinn Creek</t>
  </si>
  <si>
    <t>East side of Hwy 95, 8.6 km south of Parson</t>
  </si>
  <si>
    <t>Toby Creek</t>
  </si>
  <si>
    <t>Toby Cr Rd, approx 1 km from Panorama bridge.</t>
  </si>
  <si>
    <t>Little Dragon</t>
  </si>
  <si>
    <t>Ridgetop above Little Dragon avalanche path</t>
  </si>
  <si>
    <t>USUW(4.5)</t>
  </si>
  <si>
    <t>Panorama</t>
  </si>
  <si>
    <t>South side of Toby Creek Road at Panorama Fire Hall</t>
  </si>
  <si>
    <t>Revelstoke Yard</t>
  </si>
  <si>
    <t>Revelstoke Maintenance Yard</t>
  </si>
  <si>
    <t>3 Valley Remote</t>
  </si>
  <si>
    <t>Ridgetop South side of Hwy 1 above avalanche path 19.1.</t>
  </si>
  <si>
    <t>Clanwilliam</t>
  </si>
  <si>
    <t>S side of Hwy 1, 14 km W of Revelstoke</t>
  </si>
  <si>
    <t>Corbin Pass Low</t>
  </si>
  <si>
    <t>Mid mountain North side of Hwy 1, 43 km NE of Revelstoke</t>
  </si>
  <si>
    <t>Corbin Pass High</t>
  </si>
  <si>
    <t xml:space="preserve">Ridgetop North side of Hwy 1 above avalanche path 46.4 Helen's, 43 km NE of Revelstoke </t>
  </si>
  <si>
    <t>Albert Canyon</t>
  </si>
  <si>
    <t>N side of Hwy1, at NE end of Albert Canyon brake check, 42km NE of Revelstoke</t>
  </si>
  <si>
    <t>Laurie</t>
  </si>
  <si>
    <t>Ridgetop  west start zone path 49.7, S side of Hwy 1 at Glacier Nat'l Park boundary</t>
  </si>
  <si>
    <t>Caribou Ridge</t>
  </si>
  <si>
    <t>On ridge East side of Hwy 23N, 65 km North of Revelstoke.</t>
  </si>
  <si>
    <t>50 Mile</t>
  </si>
  <si>
    <t>W side of Hwy 23N, N of Downie Loop</t>
  </si>
  <si>
    <t>Fred Laing Ridge</t>
  </si>
  <si>
    <t>Mid mountain, East side of Hwy 23N, 3.5 km North of Mica Creek.</t>
  </si>
  <si>
    <t>Mica</t>
  </si>
  <si>
    <t>W side of Hwy 23N, 5.5km S of Mica Creek village</t>
  </si>
  <si>
    <t>E side of Hwy 23N, south end of Mica Village</t>
  </si>
  <si>
    <t>Galena Pass</t>
  </si>
  <si>
    <t>Ridge top, North side of Hwy 31, 15 km Northeast of Galena Bay ferry landing.</t>
  </si>
  <si>
    <t>USUW(8.7)</t>
  </si>
  <si>
    <t>Blanket</t>
  </si>
  <si>
    <t>East side of Hwy 23S, 3.2 km south of Blanket Creek</t>
  </si>
  <si>
    <t>Galena Road</t>
  </si>
  <si>
    <t>South side of Hwy 31 in Galena Pass</t>
  </si>
  <si>
    <t>PP(SP); PP(Opt)</t>
  </si>
  <si>
    <t>Kootenay Pass</t>
  </si>
  <si>
    <t>South side of Hwy 3 at Kootenay Pass Maintenance Yard</t>
  </si>
  <si>
    <t>Stagleap</t>
  </si>
  <si>
    <t>Stagleap Peak, North side of Hwy 3, West of Kootenay Pass summit.</t>
  </si>
  <si>
    <t>USUW(8.1)</t>
  </si>
  <si>
    <t>Crags Ridge</t>
  </si>
  <si>
    <t>Ridgetop, 2.3 km north of The Crags peak</t>
  </si>
  <si>
    <t>Goatfell</t>
  </si>
  <si>
    <t>South side of Hwy 3, 4.9 km east of Curzon Jct.</t>
  </si>
  <si>
    <t>West Twin Creek</t>
  </si>
  <si>
    <t>N side of Hwy 16 at West end of West Twin Creek Bridge</t>
  </si>
  <si>
    <t>Link Creek</t>
  </si>
  <si>
    <t>S side of Hwy 97, W of Link Cr bridge, 90km W of Chetwynd</t>
  </si>
  <si>
    <t>Whiskers Point</t>
  </si>
  <si>
    <t>W side of Hwy 97, 0.5km S of Provincial Park entrance</t>
  </si>
  <si>
    <t>N side of Hwy 16, approx 30km W of Prince George</t>
  </si>
  <si>
    <t>Slim Creek</t>
  </si>
  <si>
    <t>North side of Hwy 16, 400 m east of Slim Creek Rest Area</t>
  </si>
  <si>
    <t>Dragon Lake</t>
  </si>
  <si>
    <t>E side of Hwy 97 10.5km South of Quesnel</t>
  </si>
  <si>
    <t>Hush Lake</t>
  </si>
  <si>
    <t>East side of Hwy 97, 400 m North of Hush Lake Park</t>
  </si>
  <si>
    <t>Sliding Mountain</t>
  </si>
  <si>
    <t>Sliding Mountain southeast side of Bowron Lake Rd, 12 km Northeast of Junction of Hwy 26.</t>
  </si>
  <si>
    <t>Sliding Mountain Precip</t>
  </si>
  <si>
    <t>South side of Bowron Lake Park Road, 10 km northeast of Barkerville</t>
  </si>
  <si>
    <t>Braden Road</t>
  </si>
  <si>
    <t>N side of Hwy 97 W of Dawson Creek near Braden Rd</t>
  </si>
  <si>
    <t>Tupper</t>
  </si>
  <si>
    <t>South side of Hwy 2, East of the Hwy 52 Junction</t>
  </si>
  <si>
    <t>73 Mile</t>
  </si>
  <si>
    <t>W side of Hwy 97 at 73Mile, junction of Beatton River Airport Rd</t>
  </si>
  <si>
    <t>South Taylor Hill</t>
  </si>
  <si>
    <t>West side of Hwy 97 at the South Taylor Hill chainoff area</t>
  </si>
  <si>
    <t>Powell Road</t>
  </si>
  <si>
    <t>South side of Hwy 29 at Powell Road</t>
  </si>
  <si>
    <t>Fort Fraser Hills</t>
  </si>
  <si>
    <t>South side of Hwy 16, 5 km east of Fort Fraser</t>
  </si>
  <si>
    <t>Spencer Pitt</t>
  </si>
  <si>
    <t>Northeast side of Hwy 27 at Spencer Pit</t>
  </si>
  <si>
    <t>Chappel Creek</t>
  </si>
  <si>
    <t>E side of Hwy 5, 300m N of Chappel Cr bridge (~33km N of Blue River)</t>
  </si>
  <si>
    <t>Robson Roadside</t>
  </si>
  <si>
    <t>N side of Hwy 16 in Red Pass, 600m E of Overlander Rest Area</t>
  </si>
  <si>
    <t>Yellowhead</t>
  </si>
  <si>
    <t>N side of Hwy 16, 1 km W of Alberta Border.</t>
  </si>
  <si>
    <t>Lee's Hill</t>
  </si>
  <si>
    <t>N side of Hwy 20 approx 50km W of Williams Lake</t>
  </si>
  <si>
    <t>Enterprise</t>
  </si>
  <si>
    <t>W side of Hwy 97, 37km S of Williams Lake</t>
  </si>
  <si>
    <t>Bull Mountain Road</t>
  </si>
  <si>
    <t>East side of Hwy 97, 200m south of Bull Mountain Road</t>
  </si>
  <si>
    <t xml:space="preserve">Bella Coola </t>
  </si>
  <si>
    <t>Flat spot on Northeast ridge of Boathouse Hill, East side of avalanche path 1.7 Boathouse Hill 0.</t>
  </si>
  <si>
    <t>Heckman Pass</t>
  </si>
  <si>
    <t>North side of Hwy 20 in Heckman Pass, 50 km West of Anahim</t>
  </si>
  <si>
    <t>Bella Coola Precip</t>
  </si>
  <si>
    <t>Near RCMP detachment, Bella Coola</t>
  </si>
  <si>
    <t>Windy Point Upper</t>
  </si>
  <si>
    <t>Ridgeline, above Misty avalanche path 40.9, 16 km West of Meziadin Junction.</t>
  </si>
  <si>
    <t>Disraeli</t>
  </si>
  <si>
    <t>Ridgetop above South side of Hwy 37A, 5.5 km West of toe of Bear Glacier.</t>
  </si>
  <si>
    <t>Endgoal</t>
  </si>
  <si>
    <t>South side of Hwy 37A, 15.5 km West of Meziadin Jct</t>
  </si>
  <si>
    <t>USUW(9.3)</t>
  </si>
  <si>
    <t>Summit Sluff Wind</t>
  </si>
  <si>
    <t>Mid mountain, North side of Hwy 37A, 1 km East of toe of Bear Glacier.</t>
  </si>
  <si>
    <t>Kettle Hole</t>
  </si>
  <si>
    <t>South side of Hwy 37A, 2.4 km East of toe of Bear Glacier.</t>
  </si>
  <si>
    <t>Stewart</t>
  </si>
  <si>
    <t>Stewart Maintenance Yard</t>
  </si>
  <si>
    <t>Windy Point Lower Snow</t>
  </si>
  <si>
    <t>Just below treeline at Windy Point, North side of Hwy 37A, 16 km West of Meziadin Junction. (100 m N of old Windy Low station)</t>
  </si>
  <si>
    <t>Cranberry Junction</t>
  </si>
  <si>
    <t>E side of Hwy 37N,  85.5 km North of Kitwanga</t>
  </si>
  <si>
    <t>USUW(7.4)</t>
  </si>
  <si>
    <t>Gitanyow</t>
  </si>
  <si>
    <t>East side of Hwy 37N, 21 km north of Hwy 16 junction</t>
  </si>
  <si>
    <t>Legate Creek</t>
  </si>
  <si>
    <t>N side of Hwy 16 approx. 40 km east of Terrace</t>
  </si>
  <si>
    <t>Rosswood</t>
  </si>
  <si>
    <t>E side of Nisga'a Hwy, N of Rosswood village</t>
  </si>
  <si>
    <t>Onion Lake</t>
  </si>
  <si>
    <t>W side of Hwy 37S at Onion Lk X-C ski trails</t>
  </si>
  <si>
    <t>Kasiks High</t>
  </si>
  <si>
    <t>Summit of Kasiks Mtn., North side of Hwy 16, 62 km West of Terrace</t>
  </si>
  <si>
    <t>Kasiks Low</t>
  </si>
  <si>
    <t>Mid mountain, East shoulder of Kasiks Mountain.</t>
  </si>
  <si>
    <t>Salvus</t>
  </si>
  <si>
    <t>N side of Hwy 16 at Salvus Camp, approx 60km W of Terrace</t>
  </si>
  <si>
    <t>Rainbow East</t>
  </si>
  <si>
    <t>Entrance to Green River Pit, South side of Hwy 16 East of Rainbow Summit</t>
  </si>
  <si>
    <t>Shames</t>
  </si>
  <si>
    <t>Mid mountain elevation at the base of the Shames Mountain ski area</t>
  </si>
  <si>
    <t>USUW(12.0)</t>
  </si>
  <si>
    <t>Iknouk</t>
  </si>
  <si>
    <t>Ridgetop at timberline, immediately East of confluence of Iknouk and Nass Rivers</t>
  </si>
  <si>
    <t>USUW(12.3)</t>
  </si>
  <si>
    <t>Iknouk Road</t>
  </si>
  <si>
    <t>North side of Hwy 113, 5.0 km west of Xnukw bridge.</t>
  </si>
  <si>
    <t>Grizzly Hill</t>
  </si>
  <si>
    <t>N side of Hwy 113, 3 km W of Greenville</t>
  </si>
  <si>
    <t>Snowbank Mid</t>
  </si>
  <si>
    <t>At treeline, South of Snowbank Creek, West side of Hwy 37</t>
  </si>
  <si>
    <t>Gamma</t>
  </si>
  <si>
    <t>Just below treeline on Ningunsaw Mtn., South of headwaters of Gamma Creek.</t>
  </si>
  <si>
    <t>Snowbank Road</t>
  </si>
  <si>
    <t>Pullout on West side of Hwy 37, 10 km North of Bell 2</t>
  </si>
  <si>
    <t>Carl's Corner</t>
  </si>
  <si>
    <t>East side of Hwy 37, 34 km North of Bell 2</t>
  </si>
  <si>
    <t>Gamma High</t>
  </si>
  <si>
    <t>Ridgetop, upper start zone of path 14.0</t>
  </si>
  <si>
    <t>Revision</t>
  </si>
  <si>
    <t>Ridgetop north of Red Flat Creek, west side of Hwy 37 in Snowbank Creek Avalanche Area</t>
  </si>
  <si>
    <t xml:space="preserve">Dease Lake </t>
  </si>
  <si>
    <t>Dease Lake Ministry Office compound</t>
  </si>
  <si>
    <t>North Burrage</t>
  </si>
  <si>
    <t>West side of Hwy 37N at Burrage North brake check</t>
  </si>
  <si>
    <t>Jade City</t>
  </si>
  <si>
    <t>North side of Hwy 37 behind bunkhouse, opposite Maintenance Yard in Jade City</t>
  </si>
  <si>
    <t>Jade City Wind</t>
  </si>
  <si>
    <t>South sdie of Hwy 37, 2.5 km northeast of Jade City Maintenance Yard</t>
  </si>
  <si>
    <t>Telegraph</t>
  </si>
  <si>
    <t>In maintenance yard on Hwy 51.</t>
  </si>
  <si>
    <t>Hungry Hill</t>
  </si>
  <si>
    <t>E side of Hwy 16 at Anderson Road 14 km NW of Houston</t>
  </si>
  <si>
    <t>Trout Creek</t>
  </si>
  <si>
    <t>South side of Hwy 16, 22 km northwest of Smithers</t>
  </si>
  <si>
    <t>Stearns</t>
  </si>
  <si>
    <t>S side of Hwy 16, 18.5km E of Burns Lk Post Office</t>
  </si>
  <si>
    <t>6 Mile Hill</t>
  </si>
  <si>
    <t>North side of Hwy 16, 39 km west of Burns Lake</t>
  </si>
  <si>
    <t>Malahat</t>
  </si>
  <si>
    <t>South side of Hwy 1, 300 m East of Malahat Summit</t>
  </si>
  <si>
    <t>Cochrane</t>
  </si>
  <si>
    <t>SW side of Hwy 19, 70m SE of Horne Lk Rd Interchange (Exit 75)</t>
  </si>
  <si>
    <t>Kennedy Lake</t>
  </si>
  <si>
    <t>E side of Hwy 4, 18.4 km E of Ucluelet - Tofino Jct.</t>
  </si>
  <si>
    <t>USUW(11.0)</t>
  </si>
  <si>
    <t>Tsitika Summit</t>
  </si>
  <si>
    <t>S side of Hwy 19, approx 39km W of turnoff to Sayward</t>
  </si>
  <si>
    <t>Menzies Hill</t>
  </si>
  <si>
    <t xml:space="preserve">Southwest side of Hwy 19, 7 km southeast of Roberts Lake </t>
  </si>
  <si>
    <t>North Courtenay</t>
  </si>
  <si>
    <t>SE corner of junction Hwy 19 and Hamm Rd</t>
  </si>
  <si>
    <t>TS SAN JUAN</t>
  </si>
  <si>
    <t>BC-TS</t>
  </si>
  <si>
    <t>TS NAKA CREEK</t>
  </si>
  <si>
    <t>TS EFFINGHAM</t>
  </si>
  <si>
    <t>TS ARTLISH</t>
  </si>
  <si>
    <t>TS ELPHINSTONE</t>
  </si>
  <si>
    <t>TS THEODOSIA</t>
  </si>
  <si>
    <t>TS MAURELLE</t>
  </si>
  <si>
    <t>TS MCNABB</t>
  </si>
  <si>
    <t>TS BURMAN</t>
  </si>
  <si>
    <t>TS ATLUCK</t>
  </si>
  <si>
    <t>TS NAHMINT</t>
  </si>
  <si>
    <t>TS BLACKWATER</t>
  </si>
  <si>
    <t>TS TSITIKA</t>
  </si>
  <si>
    <t>MARINE</t>
  </si>
  <si>
    <t>4570D75A</t>
  </si>
  <si>
    <t>West Sea Otter</t>
  </si>
  <si>
    <t>Canada-MSC-Buoy</t>
  </si>
  <si>
    <t>Braden Bunce, ECCC_MSC Pacific &amp; Yukon</t>
  </si>
  <si>
    <t>587-357-2418</t>
  </si>
  <si>
    <t>http://www.meds-sdmm.dfo-mpo.gc.ca/isdm-gdsi/waves-vagues/index-eng.htm</t>
  </si>
  <si>
    <t>Tw= water temp Wvh=wave height, Wvhp=peak wave height, Wvp = wave period</t>
  </si>
  <si>
    <t>TW</t>
  </si>
  <si>
    <t>4570E2C0</t>
  </si>
  <si>
    <t>North Hecate Strait</t>
  </si>
  <si>
    <t>457282D2</t>
  </si>
  <si>
    <t>Patricia Bay</t>
  </si>
  <si>
    <t>46C067FA</t>
  </si>
  <si>
    <t>Sentry Shoal</t>
  </si>
  <si>
    <t>46C0BF40</t>
  </si>
  <si>
    <t>Central Dixon Entran</t>
  </si>
  <si>
    <t>46C0C9D0</t>
  </si>
  <si>
    <t>South Brooks</t>
  </si>
  <si>
    <t>4742B27C</t>
  </si>
  <si>
    <t>East Dellwood</t>
  </si>
  <si>
    <t>4746B746</t>
  </si>
  <si>
    <t>South Moresby</t>
  </si>
  <si>
    <t>474AD33C</t>
  </si>
  <si>
    <t>Halibut Bank</t>
  </si>
  <si>
    <t>474AE6A6</t>
  </si>
  <si>
    <t>La Perouse Bank</t>
  </si>
  <si>
    <t>474AF5D0</t>
  </si>
  <si>
    <t>South Nomad</t>
  </si>
  <si>
    <t>474B07AE</t>
  </si>
  <si>
    <t>Middle Nomad</t>
  </si>
  <si>
    <t>474B14D8</t>
  </si>
  <si>
    <t>North Nomad</t>
  </si>
  <si>
    <t>474B2142</t>
  </si>
  <si>
    <t>West Dixon Entrance</t>
  </si>
  <si>
    <t>474B3234</t>
  </si>
  <si>
    <t>West Moresby</t>
  </si>
  <si>
    <t>474B6248</t>
  </si>
  <si>
    <t>South Hecate Strait</t>
  </si>
  <si>
    <t>474B713E</t>
  </si>
  <si>
    <t>Nanakwa Shoal</t>
  </si>
  <si>
    <t>1011500</t>
  </si>
  <si>
    <t>CHEMAINUS</t>
  </si>
  <si>
    <t>Canada-MSC-DlyClm</t>
  </si>
  <si>
    <t>CCN,,,Primary operator is a human.,,</t>
  </si>
  <si>
    <t>1919/01/01</t>
  </si>
  <si>
    <t>http://climate.weatheroffice.gc.ca/advanceSearch/searchHistoricData_e.html?</t>
  </si>
  <si>
    <t>TX; TN</t>
  </si>
  <si>
    <t>1012055</t>
  </si>
  <si>
    <t>LAKE COWICHAN</t>
  </si>
  <si>
    <t>1960/01/01</t>
  </si>
  <si>
    <t>1015105</t>
  </si>
  <si>
    <t>METCHOSIN</t>
  </si>
  <si>
    <t>1911/11/01</t>
  </si>
  <si>
    <t>1015628</t>
  </si>
  <si>
    <t>NORTH COWICHAN</t>
  </si>
  <si>
    <t>CCN,,,Primary operator is a human.,</t>
  </si>
  <si>
    <t>1981/01/01</t>
  </si>
  <si>
    <t>1015638</t>
  </si>
  <si>
    <t>NORTH PENDER ISLAND</t>
  </si>
  <si>
    <t>1972/01/01</t>
  </si>
  <si>
    <t>1017230</t>
  </si>
  <si>
    <t>SHAWNIGAN LAKE</t>
  </si>
  <si>
    <t>1911/01/01</t>
  </si>
  <si>
    <t>1021480</t>
  </si>
  <si>
    <t>CHATHAM POINT</t>
  </si>
  <si>
    <t>CCN</t>
  </si>
  <si>
    <t>1958/01/01</t>
  </si>
  <si>
    <t>1026565</t>
  </si>
  <si>
    <t>QUALICUM R FISH RESEARCH</t>
  </si>
  <si>
    <t>1962/01/01</t>
  </si>
  <si>
    <t>1026639</t>
  </si>
  <si>
    <t>QUINSAM RIVER HATCHERY</t>
  </si>
  <si>
    <t>1975/01/01</t>
  </si>
  <si>
    <t>1030230</t>
  </si>
  <si>
    <t>ALBERNI ROBERTSON CREEK</t>
  </si>
  <si>
    <t>daily data may be delayed due keypunching,,,Primary operator is a human.,,</t>
  </si>
  <si>
    <t>1961/01/01</t>
  </si>
  <si>
    <t>1031316</t>
  </si>
  <si>
    <t>CAPE BEALE LIGHT</t>
  </si>
  <si>
    <t>1984/01/01</t>
  </si>
  <si>
    <t>1032730</t>
  </si>
  <si>
    <t>ESTEVAN POINT</t>
  </si>
  <si>
    <t>1908/01/01</t>
  </si>
  <si>
    <t>1034600</t>
  </si>
  <si>
    <t>LENNARD ISLAND</t>
  </si>
  <si>
    <t>1980/01/01</t>
  </si>
  <si>
    <t>1035612</t>
  </si>
  <si>
    <t>NITINAT RIVER HATCHERY</t>
  </si>
  <si>
    <t>1035614</t>
  </si>
  <si>
    <t>NOOTKA LIGHTSTATION</t>
  </si>
  <si>
    <t>1978/01/01</t>
  </si>
  <si>
    <t>1035940</t>
  </si>
  <si>
    <t>PACHENA POINT</t>
  </si>
  <si>
    <t>1924/01/01</t>
  </si>
  <si>
    <t>1036572</t>
  </si>
  <si>
    <t>QUATSINO LIGHTSTATION</t>
  </si>
  <si>
    <t>1038332</t>
  </si>
  <si>
    <t>UCLUELET KENNEDY CAMP</t>
  </si>
  <si>
    <t>1964/06/01</t>
  </si>
  <si>
    <t>1039035</t>
  </si>
  <si>
    <t>ZEBALLOS MURAUDE CREEK</t>
  </si>
  <si>
    <t>2010/07/16</t>
  </si>
  <si>
    <t>1043152</t>
  </si>
  <si>
    <t>GIBSONS GOWER POINT</t>
  </si>
  <si>
    <t>CCN,,,Primary operator is a human.,daily data may be delayed due to keypunching,</t>
  </si>
  <si>
    <t>1045100</t>
  </si>
  <si>
    <t>MERRY ISLAND LIGHTSTATION</t>
  </si>
  <si>
    <t>1954/01/01</t>
  </si>
  <si>
    <t>1046115</t>
  </si>
  <si>
    <t>PENDER HARBOUR</t>
  </si>
  <si>
    <t>1961/05/10</t>
  </si>
  <si>
    <t>1054500</t>
  </si>
  <si>
    <t>LANGARA</t>
  </si>
  <si>
    <t>1936/01/01</t>
  </si>
  <si>
    <t>1060080</t>
  </si>
  <si>
    <t>ADDENBROKE ISLAND</t>
  </si>
  <si>
    <t>1060901</t>
  </si>
  <si>
    <t>BOAT BLUFF</t>
  </si>
  <si>
    <t>1974/01/01</t>
  </si>
  <si>
    <t>1060902</t>
  </si>
  <si>
    <t>BONILLA ISLAND</t>
  </si>
  <si>
    <t>1062544</t>
  </si>
  <si>
    <t>DRYAD POINT</t>
  </si>
  <si>
    <t>1977/01/01</t>
  </si>
  <si>
    <t>1062646</t>
  </si>
  <si>
    <t>EGG ISLAND</t>
  </si>
  <si>
    <t>1965/01/01</t>
  </si>
  <si>
    <t>1063690</t>
  </si>
  <si>
    <t>IVORY ISLAND</t>
  </si>
  <si>
    <t>1948/01/01</t>
  </si>
  <si>
    <t>1064020</t>
  </si>
  <si>
    <t>KEMANO</t>
  </si>
  <si>
    <t>1951/01/01</t>
  </si>
  <si>
    <t>1064321</t>
  </si>
  <si>
    <t>KITIMAT 2</t>
  </si>
  <si>
    <t>1966/01/01</t>
  </si>
  <si>
    <t>1066488</t>
  </si>
  <si>
    <t>PRINCE RUPERT MONT CIRC</t>
  </si>
  <si>
    <t>1959/01/01</t>
  </si>
  <si>
    <t>1068131</t>
  </si>
  <si>
    <t>TERRACE PCC</t>
  </si>
  <si>
    <t>1968/01/01</t>
  </si>
  <si>
    <t>1068250</t>
  </si>
  <si>
    <t>TRIPLE ISLAND</t>
  </si>
  <si>
    <t>1953/01/01</t>
  </si>
  <si>
    <t>1073615</t>
  </si>
  <si>
    <t>HOUSTON</t>
  </si>
  <si>
    <t>CCN,,,Primary operator is a human.,,slight relocation to a better siting in 2015</t>
  </si>
  <si>
    <t>1957/01/01</t>
  </si>
  <si>
    <t>1090660</t>
  </si>
  <si>
    <t>BARKERVILLE</t>
  </si>
  <si>
    <t>1888/02/01</t>
  </si>
  <si>
    <t>1095018</t>
  </si>
  <si>
    <t>MCLEESE LAKE GRANITE MT</t>
  </si>
  <si>
    <t>1097646</t>
  </si>
  <si>
    <t>SPOKIN LAKE 4E</t>
  </si>
  <si>
    <t>1983/01/01</t>
  </si>
  <si>
    <t>1101571</t>
  </si>
  <si>
    <t>CHILLIWACK SOUTH</t>
  </si>
  <si>
    <t>CCN,,,Primary operator is a human.,daily data delayed due to keypunching,</t>
  </si>
  <si>
    <t>1101708</t>
  </si>
  <si>
    <t>CLOVERDALE EAST</t>
  </si>
  <si>
    <t>1964/01/01</t>
  </si>
  <si>
    <t>1102425</t>
  </si>
  <si>
    <t>DELTA TSAWWASSEN BEACH</t>
  </si>
  <si>
    <t>1971/01/01</t>
  </si>
  <si>
    <t>1102912</t>
  </si>
  <si>
    <t>FORT LANGLEY TELEGRAPH TRAIL</t>
  </si>
  <si>
    <t>2005/04/01</t>
  </si>
  <si>
    <t>1103332</t>
  </si>
  <si>
    <t>HANEY UBC RF ADMIN</t>
  </si>
  <si>
    <t>1105192</t>
  </si>
  <si>
    <t>MISSION WEST ABBEY</t>
  </si>
  <si>
    <t>1105658</t>
  </si>
  <si>
    <t>N VANC GROUSE MTN RESORT</t>
  </si>
  <si>
    <t>1105669</t>
  </si>
  <si>
    <t>N VANCOUVER WHARVES</t>
  </si>
  <si>
    <t>1106764</t>
  </si>
  <si>
    <t>RICHMOND DALLYN 2</t>
  </si>
  <si>
    <t>1963/01/01</t>
  </si>
  <si>
    <t>1107785</t>
  </si>
  <si>
    <t>SUMAS CANAL</t>
  </si>
  <si>
    <t>1108906</t>
  </si>
  <si>
    <t>WHISTLER ROUNDHOUSE</t>
  </si>
  <si>
    <t>1972/11/01</t>
  </si>
  <si>
    <t>1123721</t>
  </si>
  <si>
    <t>JELLICOE</t>
  </si>
  <si>
    <t>1995/08/01</t>
  </si>
  <si>
    <t>1126070</t>
  </si>
  <si>
    <t>PEACHLAND</t>
  </si>
  <si>
    <t>CCN AD,,,Primary operator is a human.,,</t>
  </si>
  <si>
    <t>1973/01/01</t>
  </si>
  <si>
    <t>1128584</t>
  </si>
  <si>
    <t>VERNON SILVER STAR LODGE</t>
  </si>
  <si>
    <t>1970/01/01</t>
  </si>
  <si>
    <t>1140876</t>
  </si>
  <si>
    <t>BILLINGS</t>
  </si>
  <si>
    <t>1141455</t>
  </si>
  <si>
    <t>CASTLEGAR A</t>
  </si>
  <si>
    <t>1954/01/12</t>
  </si>
  <si>
    <t>1141457</t>
  </si>
  <si>
    <t>CASTLEGAR BCHPA DAM</t>
  </si>
  <si>
    <t>1969/01/01</t>
  </si>
  <si>
    <t>1142574</t>
  </si>
  <si>
    <t>DUNCAN LAKE DAM</t>
  </si>
  <si>
    <t>1145460</t>
  </si>
  <si>
    <t>NEW DENVER</t>
  </si>
  <si>
    <t>1153034</t>
  </si>
  <si>
    <t>FT STEELE DANDY CRK</t>
  </si>
  <si>
    <t>1154203</t>
  </si>
  <si>
    <t>KIMBERLEY PCC</t>
  </si>
  <si>
    <t>1975/06/01</t>
  </si>
  <si>
    <t>1165793</t>
  </si>
  <si>
    <t>100 MILE HOUSE 6NE</t>
  </si>
  <si>
    <t>1987/01/01</t>
  </si>
  <si>
    <t>1173191</t>
  </si>
  <si>
    <t>GLACIER NP ROGERS PASS</t>
  </si>
  <si>
    <t>1175122</t>
  </si>
  <si>
    <t>MICA DAM</t>
  </si>
  <si>
    <t>1016RM0</t>
  </si>
  <si>
    <t>SAANICHTON MT NEWTON</t>
  </si>
  <si>
    <t>10253G0</t>
  </si>
  <si>
    <t>NANAIMO CITY YARD</t>
  </si>
  <si>
    <t>102BFHH</t>
  </si>
  <si>
    <t>ENTRANCE ISLAND</t>
  </si>
  <si>
    <t>104091B</t>
  </si>
  <si>
    <t>BOWEN ISLAND SUNSET PARK</t>
  </si>
  <si>
    <t>1992/01/01</t>
  </si>
  <si>
    <t>106D289</t>
  </si>
  <si>
    <t>KITIMAT HATCHERY</t>
  </si>
  <si>
    <t>1995/05/01</t>
  </si>
  <si>
    <t>107G879</t>
  </si>
  <si>
    <t>SUSKWA VALLEY</t>
  </si>
  <si>
    <t>1982/01/01</t>
  </si>
  <si>
    <t>1106CL2</t>
  </si>
  <si>
    <t>PORT MOODY GLENAYRE</t>
  </si>
  <si>
    <t>1106PF7</t>
  </si>
  <si>
    <t>RICHMOND NATURE PARK</t>
  </si>
  <si>
    <t>114EMDM</t>
  </si>
  <si>
    <t>NELSON RIXEN CREEK</t>
  </si>
  <si>
    <t>1990/01/01</t>
  </si>
  <si>
    <t>116C8P0</t>
  </si>
  <si>
    <t>KAMLOOPS PRATT ROAD</t>
  </si>
  <si>
    <t>1986/01/01</t>
  </si>
  <si>
    <t>117CA90</t>
  </si>
  <si>
    <t>GLACIER NP MT FIDELITY</t>
  </si>
  <si>
    <t>SISTERS ISLAND</t>
  </si>
  <si>
    <t>Canada-MSC-SfcWx</t>
  </si>
  <si>
    <t>ECCC Climate</t>
  </si>
  <si>
    <t>AUTO-OTHER,71781</t>
  </si>
  <si>
    <t>USUW(23.8)</t>
  </si>
  <si>
    <t>1012475</t>
  </si>
  <si>
    <t>DISCOVERY ISLAND</t>
  </si>
  <si>
    <t>AUTO-OTHER,71031,WDR,Primary operator is a machine.,,</t>
  </si>
  <si>
    <t>1997/01/02</t>
  </si>
  <si>
    <t>USUW(16.3)</t>
  </si>
  <si>
    <t>1012710</t>
  </si>
  <si>
    <t>ESQUIMALT HARBOUR</t>
  </si>
  <si>
    <t>AUTO-OTHER,71798,WPF,Primary operator is a machine.,,</t>
  </si>
  <si>
    <t>1013998</t>
  </si>
  <si>
    <t>KELP REEFS</t>
  </si>
  <si>
    <t>AUTO-OTHER,,WZO,Primary operator is a machine.,,</t>
  </si>
  <si>
    <t>1994/02/01</t>
  </si>
  <si>
    <t>USUW(13.7)</t>
  </si>
  <si>
    <t>1014820</t>
  </si>
  <si>
    <t>MALAHAT</t>
  </si>
  <si>
    <t>AUTO-OTHER,71774,WKH,Primary operator is a machine.,,</t>
  </si>
  <si>
    <t>1920/01/01</t>
  </si>
  <si>
    <t>1015630</t>
  </si>
  <si>
    <t>AUTO-OTHER,71927,VOO,Primary operator is a machine.,,</t>
  </si>
  <si>
    <t>2007/11/01</t>
  </si>
  <si>
    <t>1016640</t>
  </si>
  <si>
    <t xml:space="preserve">RACE ROCKS </t>
  </si>
  <si>
    <t>AUTO-OTHER,71778,WQK,Primary operator is a machine.,,</t>
  </si>
  <si>
    <t>1984/02/08</t>
  </si>
  <si>
    <t>USUW(30)</t>
  </si>
  <si>
    <t>SAANICHTON CFIA</t>
  </si>
  <si>
    <t>AUTO-RCS,73028</t>
  </si>
  <si>
    <t>PP(Wgt) PP(TBRG)</t>
  </si>
  <si>
    <t>1017099</t>
  </si>
  <si>
    <t>SATURNA CAPMON CS</t>
  </si>
  <si>
    <t>AUTO-RCS,71914,VTS,Primary operator is a machine.,,colocated with air quality capmon site and brewer</t>
  </si>
  <si>
    <t>1991/01/01</t>
  </si>
  <si>
    <t>1017101</t>
  </si>
  <si>
    <t>SATURNA ISLAND CS</t>
  </si>
  <si>
    <t>AUTO-OTHER,71473,WEZ,Primary operator is a machine.,,Go To Saturna CAPMON site for precipitation</t>
  </si>
  <si>
    <t>SHERINGHAM POINT</t>
  </si>
  <si>
    <t>AUTO-OTHER,71780</t>
  </si>
  <si>
    <t>1018598</t>
  </si>
  <si>
    <t>VICTORIA UNIVERSITY CS</t>
  </si>
  <si>
    <t>AUTO-OTHER,71783,WYJ,Primary operator is a machine.,,</t>
  </si>
  <si>
    <t>1018611</t>
  </si>
  <si>
    <t>VICTORIA GONZALES CS</t>
  </si>
  <si>
    <t>AUTO-RCS,71200,WLM,Primary operator is a machine.,,continues the climate record of victoria gonzales hts 1018610 (which goes back to 1898 - same location). Siting is not great.</t>
  </si>
  <si>
    <t>1020590</t>
  </si>
  <si>
    <t>BALLENAS ISLAND</t>
  </si>
  <si>
    <t>AUTO-OTHER,71769,WGB,Primary operator is a machine.,,</t>
  </si>
  <si>
    <t>1966/12/01</t>
  </si>
  <si>
    <t>1022689</t>
  </si>
  <si>
    <t xml:space="preserve">ENTRANCE ISLAND </t>
  </si>
  <si>
    <t>AUTO-OTHER,71772,WEL,Primary operator is a machine.,,</t>
  </si>
  <si>
    <t>1992/05/01</t>
  </si>
  <si>
    <t>1022795</t>
  </si>
  <si>
    <t>FANNY ISLAND</t>
  </si>
  <si>
    <t>AUTO-OTHER,71568,XFA,Primary operator is a machine.,,</t>
  </si>
  <si>
    <t>2000/04/01</t>
  </si>
  <si>
    <t>PORT HARDY AIRPORT</t>
  </si>
  <si>
    <t>2023/03/22</t>
  </si>
  <si>
    <t>1026562</t>
  </si>
  <si>
    <t>QUALICUM BEACH AIRPORT</t>
  </si>
  <si>
    <t>AUTO-OTHER,71766,VOQ,Primary operator is a machine.,,this is an msc autostation not an airport station, but is located at the airport.</t>
  </si>
  <si>
    <t>2006/11/01</t>
  </si>
  <si>
    <t>1032731</t>
  </si>
  <si>
    <t>ESTEVAN POINT CS</t>
  </si>
  <si>
    <t>AUTO-RCS,71894,WEB,Primary operator is a machine.,,</t>
  </si>
  <si>
    <t>1993/01/18</t>
  </si>
  <si>
    <t>USUW(32)</t>
  </si>
  <si>
    <t>1036570</t>
  </si>
  <si>
    <t>QUATSINO</t>
  </si>
  <si>
    <t>1895/06/22</t>
  </si>
  <si>
    <t>Lighthouses are a weird thing, technically we only audit observations and the only equipment we provided are the thermometers</t>
  </si>
  <si>
    <t>1037090</t>
  </si>
  <si>
    <t>SARTINE ISLAND (AUT)</t>
  </si>
  <si>
    <t>AUTO-OTHER,71478,WFG,Primary operator is a machine.,,</t>
  </si>
  <si>
    <t>SOLANDER ISLAND (AUT)</t>
  </si>
  <si>
    <t>AUTO-OTHER,71479</t>
  </si>
  <si>
    <t>USUW(8)</t>
  </si>
  <si>
    <t>1043304</t>
  </si>
  <si>
    <t>GRIEF POINT</t>
  </si>
  <si>
    <t>AUTO-OTHER,,WKA,Primary operator is a machine.,,</t>
  </si>
  <si>
    <t>USUW(6)</t>
  </si>
  <si>
    <t>1046332</t>
  </si>
  <si>
    <t>PORT MELLON</t>
  </si>
  <si>
    <t>AUTO-OTHER,71605,VOM,Primary operator is a machine.,,</t>
  </si>
  <si>
    <t>2006/07/28</t>
  </si>
  <si>
    <t>1046392</t>
  </si>
  <si>
    <t>POWELL RIVER</t>
  </si>
  <si>
    <t>AUTO-OTHER,71720,VOP,Primary operator is a machine.,,</t>
  </si>
  <si>
    <t>2007/07/10</t>
  </si>
  <si>
    <t>1047172</t>
  </si>
  <si>
    <t>SECHELT</t>
  </si>
  <si>
    <t>AUTO-OTHER,71638,VOU,Primary operator is a machine.,,</t>
  </si>
  <si>
    <t>1051351</t>
  </si>
  <si>
    <t>CAPE ST JAMES CS</t>
  </si>
  <si>
    <t>AUTO-RCS,71107,WZV,Primary operator is a machine.,,</t>
  </si>
  <si>
    <t>1992/11/01</t>
  </si>
  <si>
    <t>1054222</t>
  </si>
  <si>
    <t>KINDAKUN ROCKS (AUT)</t>
  </si>
  <si>
    <t>AUTO-OTHER,71472,WQS,Primary operator is a machine.,,</t>
  </si>
  <si>
    <t>1054503</t>
  </si>
  <si>
    <t>LANGARA ISLAND RCS</t>
  </si>
  <si>
    <t>AUTO-RCS,71903,WJU,Primary operator is a machine.,,</t>
  </si>
  <si>
    <t>1056869</t>
  </si>
  <si>
    <t>ROSE SPIT (AUT)</t>
  </si>
  <si>
    <t>AUTO-OTHER,71477,WRO,Primary operator is a machine.,,</t>
  </si>
  <si>
    <t>1994/05/11</t>
  </si>
  <si>
    <t>1057051</t>
  </si>
  <si>
    <t>SANDSPIT AIRPORT AUTO</t>
  </si>
  <si>
    <t>AUTO-RCS,71101,VZP,Primary operator is a machine.,,</t>
  </si>
  <si>
    <t>2012/02/21</t>
  </si>
  <si>
    <t>PP(Wgt); PP(TBRG)</t>
  </si>
  <si>
    <t>1060844</t>
  </si>
  <si>
    <t xml:space="preserve">BELLA COOLA </t>
  </si>
  <si>
    <t>AUTO-RCS,1192948,VBL,Primary operator is a machine.,new reference climate autostation installation late 2015 to continue the "old" YBD climate record (1060841 since 1895/01/01)</t>
  </si>
  <si>
    <t>2015/09/15</t>
  </si>
  <si>
    <t>1061458</t>
  </si>
  <si>
    <t>CATHEDRAL POINT (AUT)</t>
  </si>
  <si>
    <t>AUTO-OTHER,71482,WME,Primary operator is a machine.,,</t>
  </si>
  <si>
    <t>USUW(11.3)</t>
  </si>
  <si>
    <t>1062251</t>
  </si>
  <si>
    <t>CUMSHEWA ISLAND</t>
  </si>
  <si>
    <t>AUTO-OTHER,71771,WZL,Primary operator is a machine.,,</t>
  </si>
  <si>
    <t>1063298</t>
  </si>
  <si>
    <t>GREEN ISLAND</t>
  </si>
  <si>
    <t>LIGHTHOUSE,,,Primary operator is a human.,,</t>
  </si>
  <si>
    <t>1063303</t>
  </si>
  <si>
    <t>GREY ISLET (AUT)</t>
  </si>
  <si>
    <t>AUTO-OTHER,71476,WEK,Primary operator is a machine.,,</t>
  </si>
  <si>
    <t>USUW(12.2)</t>
  </si>
  <si>
    <t>1063461</t>
  </si>
  <si>
    <t>HERBERT ISLAND (AUT)</t>
  </si>
  <si>
    <t>AUTO-OTHER,71485,WLP,Primary operator is a machine.,,</t>
  </si>
  <si>
    <t>1063496</t>
  </si>
  <si>
    <t>HOLLAND ROCK</t>
  </si>
  <si>
    <t>AUTO-OTHER,71219,WHL,Primary operator is a machine.,,</t>
  </si>
  <si>
    <t>USUW(6.4)</t>
  </si>
  <si>
    <t>KITIMAT FOREST AVE</t>
  </si>
  <si>
    <t>AUTO-OTHER,73007</t>
  </si>
  <si>
    <t>1064728</t>
  </si>
  <si>
    <t>LUCY ISLAND LIGHTSTATION</t>
  </si>
  <si>
    <t>AUTO-OTHER,71220,WLC,Primary operator is a machine.,,</t>
  </si>
  <si>
    <t>USUW(63)</t>
  </si>
  <si>
    <t>1065010</t>
  </si>
  <si>
    <t>MCINNES ISLAND</t>
  </si>
  <si>
    <t>LIGHTHOUSE,71897,WMS,Primary operator is a human.,,</t>
  </si>
  <si>
    <t>STEWART Airport</t>
  </si>
  <si>
    <t>AUTO</t>
  </si>
  <si>
    <t>PP ; PP(TBRG)</t>
  </si>
  <si>
    <t>SMITHERS AIRPORT AUTO</t>
  </si>
  <si>
    <t>AUTO-RCS,71268</t>
  </si>
  <si>
    <t>1085836</t>
  </si>
  <si>
    <t>OOTSA LAKESKINS LAKE CLIMATE</t>
  </si>
  <si>
    <t>Q* - RT</t>
  </si>
  <si>
    <t>2005/08/22</t>
  </si>
  <si>
    <t>1086081</t>
  </si>
  <si>
    <t>PEMBERTON AIRPORT (WIND)</t>
  </si>
  <si>
    <t>AUTO-OTHER,,WPN,Primary operator is a machine.,,</t>
  </si>
  <si>
    <t>2007/11/27</t>
  </si>
  <si>
    <t>1086082</t>
  </si>
  <si>
    <t>PEMBERTON AIRPORT CS</t>
  </si>
  <si>
    <t>AUTO-OTHER,71777,WGP,Primary operator is a machine.,,</t>
  </si>
  <si>
    <t>1086558</t>
  </si>
  <si>
    <t>PUNTZI MOUNTAIN (AUT)</t>
  </si>
  <si>
    <t>AUTO-OTHER,71050,WPU,Primary operator is a machine.,,</t>
  </si>
  <si>
    <t>1993/03/25</t>
  </si>
  <si>
    <t>TATLAYOKO  LAKE</t>
  </si>
  <si>
    <t>AUTO-RCS,71028</t>
  </si>
  <si>
    <t>1091174</t>
  </si>
  <si>
    <t>BURNS LAKE DECKER LAKE</t>
  </si>
  <si>
    <t>AUTO-RCS,71952,WPZ,Primary operator is a machine.,,</t>
  </si>
  <si>
    <t>1092975</t>
  </si>
  <si>
    <t>FORT ST JAMES AUTO</t>
  </si>
  <si>
    <t>AUTO-RCS,71933,VFS,Primary operator is a machine.,,</t>
  </si>
  <si>
    <t>2013/05/24</t>
  </si>
  <si>
    <t>PP(TBRG); PP(TBRG)</t>
  </si>
  <si>
    <t>USUW(3.7)</t>
  </si>
  <si>
    <t>FORT ST JAMES GOLF CLUB</t>
  </si>
  <si>
    <t>AUTO-OTHER, 73047</t>
  </si>
  <si>
    <t>1096453</t>
  </si>
  <si>
    <t>PRINCE GEORGE AIRPORT AUTO</t>
  </si>
  <si>
    <t>AUTO-RCS,71302,VXS,Primary operator is a machine.,,</t>
  </si>
  <si>
    <t>1942/01/01</t>
  </si>
  <si>
    <t>1096454</t>
  </si>
  <si>
    <t>PRINCE GEORGE MASSEY AUTO</t>
  </si>
  <si>
    <t>AUTO-RCS,,VPX,Primary operator is a machine.,,</t>
  </si>
  <si>
    <t>2012/04/16</t>
  </si>
  <si>
    <t>1096631</t>
  </si>
  <si>
    <t>QUESNEL AIRPORT AUTO</t>
  </si>
  <si>
    <t>AUTO-RCS,71779,VQZ,Primary operator is a machine.,,</t>
  </si>
  <si>
    <t>2009/08/19</t>
  </si>
  <si>
    <t>1100119</t>
  </si>
  <si>
    <t>AGASSIZ CS</t>
  </si>
  <si>
    <t>AUTO-RCS,71113,WZA,Primary operator is a machine.,,</t>
  </si>
  <si>
    <t>1988/01/01</t>
  </si>
  <si>
    <t>1100875</t>
  </si>
  <si>
    <t>WHISTLER - NESTERS</t>
  </si>
  <si>
    <t>AUTO-OTHER,71687,VOC,Primary operator is a machine.,,colocated with whistler WAE</t>
  </si>
  <si>
    <t>2005/01/17</t>
  </si>
  <si>
    <t>USUW(3.2)</t>
  </si>
  <si>
    <t>1101300</t>
  </si>
  <si>
    <t>CALLAGHAN VALLEY</t>
  </si>
  <si>
    <t>AUTO-OTHER,71688,VOD,Primary operator is a machine.,,</t>
  </si>
  <si>
    <t>2005/01/18</t>
  </si>
  <si>
    <t>1102221</t>
  </si>
  <si>
    <t>CULTUS LAKE</t>
  </si>
  <si>
    <t>AUTO-OTHER AD,,VCL,Primary operator is a machine.,DFO autostation, hourly data only</t>
  </si>
  <si>
    <t>2012/05/06</t>
  </si>
  <si>
    <t>1102415</t>
  </si>
  <si>
    <t>DELTA BURNS BOG</t>
  </si>
  <si>
    <t>AUTO-OTHER,71042,VBB,Primary operator is a machine.,,</t>
  </si>
  <si>
    <t>2010/11/19</t>
  </si>
  <si>
    <t>1106178</t>
  </si>
  <si>
    <t>PITT MEADOWS CS</t>
  </si>
  <si>
    <t>AUTO-OTHER,71775,WMM,Primary operator is a machine.,,</t>
  </si>
  <si>
    <t>1993/01/01</t>
  </si>
  <si>
    <t>1106200</t>
  </si>
  <si>
    <t>POINT ATKINSON</t>
  </si>
  <si>
    <t>AUTO-OTHER,71037,WSB,Primary operator is a machine.,,</t>
  </si>
  <si>
    <t>USUW(4.3)</t>
  </si>
  <si>
    <t>1107010</t>
  </si>
  <si>
    <t>SANDHEADS CS</t>
  </si>
  <si>
    <t>AUTO-OTHER,71209,WVF,Primary operator is a machine.,,</t>
  </si>
  <si>
    <t>1108291</t>
  </si>
  <si>
    <t>TSAWWASSEN FERRY AUTO</t>
  </si>
  <si>
    <t>AUTO-OTHER,,VTF,Primary operator is a machine.,,</t>
  </si>
  <si>
    <t>1108380</t>
  </si>
  <si>
    <t>VANCOUVER SEA ISLAND CCG</t>
  </si>
  <si>
    <t>AUTO-RCS,71608,VVR,Primary operator is a machine.,,continues the climate record of the old YVR station 1108447</t>
  </si>
  <si>
    <t>2013/04/25</t>
  </si>
  <si>
    <t>USUW(5)</t>
  </si>
  <si>
    <t>1108446</t>
  </si>
  <si>
    <t>VANCOUVER HARBOUR CS</t>
  </si>
  <si>
    <t>AUTO-OTHER,71201,WHC,Primary operator is a machine.,,</t>
  </si>
  <si>
    <t>1925/01/01</t>
  </si>
  <si>
    <t>1108824</t>
  </si>
  <si>
    <t>WEST VANCOUVER AUT</t>
  </si>
  <si>
    <t>AUTO-OTHER,71784,WWA,Primary operator is a machine.,,</t>
  </si>
  <si>
    <t>1108910</t>
  </si>
  <si>
    <t>WHITE ROCK CAMPBELL SCIENTIFIC</t>
  </si>
  <si>
    <t>AUTO-OTHER,71785,WWK,Primary operator is a machine.,,</t>
  </si>
  <si>
    <t>1929/01/01</t>
  </si>
  <si>
    <t>1113543</t>
  </si>
  <si>
    <t>HOPE AIRPORT</t>
  </si>
  <si>
    <t>AUTO-OTHER,71114,VPE,Primary operator is a machine.,,continued climate record from 1113541</t>
  </si>
  <si>
    <t>2012/08/02</t>
  </si>
  <si>
    <t>1114619</t>
  </si>
  <si>
    <t>AUTO-OTHER,71999,WKF,Primary operator is a machine.,,</t>
  </si>
  <si>
    <t>1997/11/20</t>
  </si>
  <si>
    <t>1114746</t>
  </si>
  <si>
    <t>LYTTON RCS</t>
  </si>
  <si>
    <t>AUTO-RCS,71765,VLY,Primary operator is a machine.,,</t>
  </si>
  <si>
    <t>2006/05/01</t>
  </si>
  <si>
    <t>1123996</t>
  </si>
  <si>
    <t>KELOWNA UBCO</t>
  </si>
  <si>
    <t>AUTO-OTHER,71644,VKU,Primary operator is a machine.,,this is the best autostation to use in the kelowna area. Full EC autostation.</t>
  </si>
  <si>
    <t>2012/12/13</t>
  </si>
  <si>
    <t>1125073</t>
  </si>
  <si>
    <t>MERRITT</t>
  </si>
  <si>
    <t>AUTO-OTHER,71557,VME,Primary operator is a machine.,,</t>
  </si>
  <si>
    <t>2011/05/15</t>
  </si>
  <si>
    <t>1125852</t>
  </si>
  <si>
    <t>OSOYOOS CS</t>
  </si>
  <si>
    <t>AUTO-OTHER,71215,WYY,Primary operator is a machine.,,</t>
  </si>
  <si>
    <t>1128582</t>
  </si>
  <si>
    <t>VERNON AUTO</t>
  </si>
  <si>
    <t>AUTO-RCS,71115,WJV,Primary operator is a machine.,,</t>
  </si>
  <si>
    <t>2005/01/01</t>
  </si>
  <si>
    <t>1145297</t>
  </si>
  <si>
    <t>NAKUSP CS</t>
  </si>
  <si>
    <t>AUTO-RCS,71216,WNP,Primary operator is a machine.,,</t>
  </si>
  <si>
    <t>1148705</t>
  </si>
  <si>
    <t>WARFIELD RCS</t>
  </si>
  <si>
    <t>AUTO-RCS,71401,XWF,Primary operator is a machine.,,</t>
  </si>
  <si>
    <t>2001/06/26</t>
  </si>
  <si>
    <t>1152106</t>
  </si>
  <si>
    <t>CRANBROOK AIRPORT AUTO</t>
  </si>
  <si>
    <t>AUTO-RCS,71660,VXC,Primary operator is a machine.,this full reference climate station takes over the climate record for the adjacent airport (1152102 established 1968),</t>
  </si>
  <si>
    <t>2013/11/13</t>
  </si>
  <si>
    <t>SPARWOOD CS</t>
  </si>
  <si>
    <t>AUTO-OTHER,71782</t>
  </si>
  <si>
    <t>1160515</t>
  </si>
  <si>
    <t>ASHCROFT</t>
  </si>
  <si>
    <t>AUTO-OTHER,71681,VAS,Primary operator is a machine.,,</t>
  </si>
  <si>
    <t>1912/01/01</t>
  </si>
  <si>
    <t>1161650</t>
  </si>
  <si>
    <t>CLEARWATER AUTO</t>
  </si>
  <si>
    <t>AUTO-OTHER,71645,VCW,Primary operator is a machine.,station installed by the district of Clearwater, meets RCS standards</t>
  </si>
  <si>
    <t>2014/07/13</t>
  </si>
  <si>
    <t>1161663</t>
  </si>
  <si>
    <t>CLINTON RCS</t>
  </si>
  <si>
    <t>AUTO-RCS,71657,NCN,Primary operator is a machine.,new full RCS station installed on same site as former Clinton stations latest climate ident1161661 WCL with data going back to 1972,</t>
  </si>
  <si>
    <t>2015/03/27</t>
  </si>
  <si>
    <t>1163842</t>
  </si>
  <si>
    <t>KAMLOOPS AUT</t>
  </si>
  <si>
    <t>AUTO-RCS,71741,ZKA,Primary operator is a machine.,,</t>
  </si>
  <si>
    <t>2006/04/01</t>
  </si>
  <si>
    <t>1168520</t>
  </si>
  <si>
    <t>VAVENBY</t>
  </si>
  <si>
    <t>CCN-RCS,,,Primary operator is a human.,,</t>
  </si>
  <si>
    <t>1913/01/01</t>
  </si>
  <si>
    <t>1173210</t>
  </si>
  <si>
    <t>GOLDEN</t>
  </si>
  <si>
    <t>1176755</t>
  </si>
  <si>
    <t>REVELSTOKE AIRPORT AUTO</t>
  </si>
  <si>
    <t>AUTO-RCS,71882,VRA,Primary operator is a machine.,,continues climate record from 1176749</t>
  </si>
  <si>
    <t>2011/07/06</t>
  </si>
  <si>
    <t>Fort ST John Airport</t>
  </si>
  <si>
    <t>,2021/06/18</t>
  </si>
  <si>
    <t>1184793</t>
  </si>
  <si>
    <t>MACKENZIE AIRPORT AUTO</t>
  </si>
  <si>
    <t>AUTO-RCS,71944,VZY,Primary operator is a machine.,,continues climate record from 1184790</t>
  </si>
  <si>
    <t>2013/05/15</t>
  </si>
  <si>
    <t>1192948</t>
  </si>
  <si>
    <t>FORT NELSON</t>
  </si>
  <si>
    <t>AUTO-RCS,71594,VFN,Primary operator is a machine.,new reference climate autostation installation sept 2015 to continue the "old" YYE climate record (1192940 since 01/01/1937)</t>
  </si>
  <si>
    <t>1036B06</t>
  </si>
  <si>
    <t>PORT ALBERNI (AUT)</t>
  </si>
  <si>
    <t>AUTO-OTHER,71475,WQC,Primary operator is a machine.,,</t>
  </si>
  <si>
    <t>1992/12/11</t>
  </si>
  <si>
    <t>10459NN</t>
  </si>
  <si>
    <t>HOWE SOUND - PAM ROCKS</t>
  </si>
  <si>
    <t>AUTO-OTHER,71211,WAS,Primary operator is a machine.,,</t>
  </si>
  <si>
    <t>USUW(8.4)</t>
  </si>
  <si>
    <t>10476F0</t>
  </si>
  <si>
    <t>SQUAMISH AIRPORT</t>
  </si>
  <si>
    <t>AUTO-OTHER,71207</t>
  </si>
  <si>
    <t>1060R0K</t>
  </si>
  <si>
    <t>BONILLA ISLAND (AUT)</t>
  </si>
  <si>
    <t>AUTO-OTHER,71484,WWL,Primary operator is a machine.,,</t>
  </si>
  <si>
    <t>112FN0M</t>
  </si>
  <si>
    <t>PRINCETON CS</t>
  </si>
  <si>
    <t>2013/07/11</t>
  </si>
  <si>
    <t>112G8L1</t>
  </si>
  <si>
    <t>SUMMERLAND CS</t>
  </si>
  <si>
    <t>AUTO-RCS,71768</t>
  </si>
  <si>
    <t>1145M29</t>
  </si>
  <si>
    <t>NELSON CS</t>
  </si>
  <si>
    <t>AUTO-OTHER,71776,WNM,Primary operator is a machine.,,</t>
  </si>
  <si>
    <t>114B1F0</t>
  </si>
  <si>
    <t>CRESTON CAMPBELL SCIENTIFIC</t>
  </si>
  <si>
    <t>AUTO-RCS,71770,WJR,Primary operator is a machine.,,</t>
  </si>
  <si>
    <t>1160H99</t>
  </si>
  <si>
    <t>BLUE RIVER CS</t>
  </si>
  <si>
    <t>AUTO-OTHER,71883,WSV,Primary operator is a machine., climate quality. Can be considered to be continuing the record of the old staffed station YCP climate ident 1160899 (started 1969/01/01,</t>
  </si>
  <si>
    <t>1992/12/02</t>
  </si>
  <si>
    <t>116FRMN</t>
  </si>
  <si>
    <t>SALMON ARM CS</t>
  </si>
  <si>
    <t>AUTO-OTHER,71218,WSL,Primary operator is a machine.,,</t>
  </si>
  <si>
    <t>11790J1</t>
  </si>
  <si>
    <t>YOHO PARK</t>
  </si>
  <si>
    <t>AUTO-OTHER,71786,WYL,Primary operator is a machine.,,</t>
  </si>
  <si>
    <t>119BLM0</t>
  </si>
  <si>
    <t>DEASE LAKE (AUT)</t>
  </si>
  <si>
    <t>AUTO-RCS,71222,WKX,Primary operator is a machine.,,</t>
  </si>
  <si>
    <t>MacDonald West Shoulder</t>
  </si>
  <si>
    <t>Canada-Prks-Aval</t>
  </si>
  <si>
    <t>Nov 1986</t>
  </si>
  <si>
    <t>Kate Ryan</t>
  </si>
  <si>
    <t>250-814-5208</t>
  </si>
  <si>
    <t>http://data.avalanche.ca/MacDWShLast24Hof60M.htm</t>
  </si>
  <si>
    <t>Round Hill</t>
  </si>
  <si>
    <t>http://data.avalanche.ca/RoundHillLast24Hof60M.htm</t>
  </si>
  <si>
    <t>Hermit</t>
  </si>
  <si>
    <t>http://data.avalanche.ca/HermitLast24Hof60M.htm</t>
  </si>
  <si>
    <t>PP(sp)</t>
  </si>
  <si>
    <t xml:space="preserve">Fidelity </t>
  </si>
  <si>
    <t>http://data.avalanche.ca/FidelityLast24Hof60M.htm</t>
  </si>
  <si>
    <t>Rogers Pass</t>
  </si>
  <si>
    <t>http://data.avalanche.ca/RogersPassLast24Hof60M.htm</t>
  </si>
  <si>
    <t>Heather Hill</t>
  </si>
  <si>
    <t>Nov 2000</t>
  </si>
  <si>
    <t>http://data.avalanche.ca/HeatherHillLast24Hof60M.htm</t>
  </si>
  <si>
    <t>Rockfall</t>
  </si>
  <si>
    <t>Nov 1999</t>
  </si>
  <si>
    <t>http://data.avalanche.ca/RockfallLast24Hof60M.htm</t>
  </si>
  <si>
    <t>Abbott</t>
  </si>
  <si>
    <t>Nov 2005</t>
  </si>
  <si>
    <t>http://data.avalanche.ca/AbbottLast24Hof60M.htm</t>
  </si>
  <si>
    <t>PP(Sp)</t>
  </si>
  <si>
    <t>Asulkan</t>
  </si>
  <si>
    <t>Nov 2011</t>
  </si>
  <si>
    <t>http://data.avalanche.ca/AsulkanLast24Hof60M.htm</t>
  </si>
  <si>
    <t>Klotz</t>
  </si>
  <si>
    <t>Nov 2023</t>
  </si>
  <si>
    <t>Not currently publically available</t>
  </si>
  <si>
    <t>C2B10A78</t>
  </si>
  <si>
    <t>Tofino PCA</t>
  </si>
  <si>
    <t>Canada-Prks-FWx</t>
  </si>
  <si>
    <t>Jay Zakaluzny</t>
  </si>
  <si>
    <t>CBA18740</t>
  </si>
  <si>
    <t>Caribou Corner</t>
  </si>
  <si>
    <t>Kiera Macauley</t>
  </si>
  <si>
    <t>CBA19436</t>
  </si>
  <si>
    <t>Lower Beaver</t>
  </si>
  <si>
    <t>CBA1B2DA</t>
  </si>
  <si>
    <t>Upper Beaver</t>
  </si>
  <si>
    <t>CBA1E2A6</t>
  </si>
  <si>
    <t>One Mile</t>
  </si>
  <si>
    <t>CBA1F1D0</t>
  </si>
  <si>
    <t>Fidelity</t>
  </si>
  <si>
    <t>CBA47004</t>
  </si>
  <si>
    <t>David Tavernini, Parks Canada</t>
  </si>
  <si>
    <t>CBA48080</t>
  </si>
  <si>
    <t>McLeod Meadows</t>
  </si>
  <si>
    <t>CBA4A66C</t>
  </si>
  <si>
    <t>Vermillion Crossing</t>
  </si>
  <si>
    <t>CBA4C38A</t>
  </si>
  <si>
    <t>Bennett</t>
  </si>
  <si>
    <t>Jeni Rudisill</t>
  </si>
  <si>
    <t>CBA572FE</t>
  </si>
  <si>
    <t>Redstreak</t>
  </si>
  <si>
    <t>CBA5910C</t>
  </si>
  <si>
    <t>Bosworth Lower</t>
  </si>
  <si>
    <t>Ian Jackson</t>
  </si>
  <si>
    <t>CBA5B7E0</t>
  </si>
  <si>
    <t>Bosworth Upper</t>
  </si>
  <si>
    <t>CBA5C170</t>
  </si>
  <si>
    <t>Stanley Lower</t>
  </si>
  <si>
    <t>FW001</t>
  </si>
  <si>
    <t>14G</t>
  </si>
  <si>
    <t>CRD-WS</t>
  </si>
  <si>
    <t>Goldstream Water Supply Area (WSA)</t>
  </si>
  <si>
    <t>Tobi Gardner, Capital Regional District</t>
  </si>
  <si>
    <t>250-474-9679</t>
  </si>
  <si>
    <t>USUW(26.8); USUW (10.0)</t>
  </si>
  <si>
    <t>FW003</t>
  </si>
  <si>
    <t>31N</t>
  </si>
  <si>
    <t>Goldstream WSA, Upper Elevation</t>
  </si>
  <si>
    <t>USUW(21.3); USUW (10.0)</t>
  </si>
  <si>
    <t>FW004</t>
  </si>
  <si>
    <t>4RW6</t>
  </si>
  <si>
    <t>Sooke WSA, Upper Elevation</t>
  </si>
  <si>
    <t>MS; TS</t>
  </si>
  <si>
    <t>FW005</t>
  </si>
  <si>
    <t>Mt McDonald</t>
  </si>
  <si>
    <t>Off-Catchment, CRD Parks</t>
  </si>
  <si>
    <t>USUW(30.5)</t>
  </si>
  <si>
    <t>FW006</t>
  </si>
  <si>
    <t>Sooke Dam</t>
  </si>
  <si>
    <t>Sooke Lake, Sooke WSA</t>
  </si>
  <si>
    <t>PP(TBRG); PP(SP); PP(TBRG)</t>
  </si>
  <si>
    <t>RW; RPAR</t>
  </si>
  <si>
    <t>FW007</t>
  </si>
  <si>
    <t>Martin's Gulch</t>
  </si>
  <si>
    <t>Leech WSA, Mid-elevation, off-catchment</t>
  </si>
  <si>
    <t>USUW(9.1)</t>
  </si>
  <si>
    <t>FW008</t>
  </si>
  <si>
    <t>North Basin</t>
  </si>
  <si>
    <t>Sooke WSA, Low Elevation, N of Sooke Lake</t>
  </si>
  <si>
    <t>TS; MS</t>
  </si>
  <si>
    <t>FW009</t>
  </si>
  <si>
    <t>Chris Creek</t>
  </si>
  <si>
    <t>Leech WSA, Mid-elevation</t>
  </si>
  <si>
    <t>HY002</t>
  </si>
  <si>
    <t>Judge Creek</t>
  </si>
  <si>
    <t>Hydrometric Stn, Sooke WSA</t>
  </si>
  <si>
    <t>HG;QR;TW;WT</t>
  </si>
  <si>
    <t>HY031</t>
  </si>
  <si>
    <t>Survey Mountain</t>
  </si>
  <si>
    <t>Leech WSA, Upper elevation</t>
  </si>
  <si>
    <t>USUW(6.0); USUW (6.0)</t>
  </si>
  <si>
    <t>ethel_</t>
  </si>
  <si>
    <t>ethel</t>
  </si>
  <si>
    <t>HAKAI</t>
  </si>
  <si>
    <t>Emily Haughton &lt;emily.haughton@hakai.org&gt;</t>
  </si>
  <si>
    <t>hecate</t>
  </si>
  <si>
    <t>koeye_</t>
  </si>
  <si>
    <t>koeye</t>
  </si>
  <si>
    <t>Lookou</t>
  </si>
  <si>
    <t>lookout</t>
  </si>
  <si>
    <t>pruthd</t>
  </si>
  <si>
    <t>pruthdock</t>
  </si>
  <si>
    <t>quardr</t>
  </si>
  <si>
    <t>quadra</t>
  </si>
  <si>
    <t>refstn</t>
  </si>
  <si>
    <t>PP(TPRG); PP(Stndp)</t>
  </si>
  <si>
    <t>SSN101</t>
  </si>
  <si>
    <t>SSN1015PWR</t>
  </si>
  <si>
    <t>SSN626</t>
  </si>
  <si>
    <t>SSN626PWR</t>
  </si>
  <si>
    <t>WSN693</t>
  </si>
  <si>
    <t>WSN693_703</t>
  </si>
  <si>
    <t>WSN703</t>
  </si>
  <si>
    <t>WSN819</t>
  </si>
  <si>
    <t>WSN819_1015</t>
  </si>
  <si>
    <t>T004</t>
  </si>
  <si>
    <t>Burnaby-Kensington Park</t>
  </si>
  <si>
    <t>MVRD-AIR</t>
  </si>
  <si>
    <t>Ken Reid, Air Quality Policy and Management</t>
  </si>
  <si>
    <t>604-436-6878</t>
  </si>
  <si>
    <t>T006</t>
  </si>
  <si>
    <t>N. Vancouver-2nd Narrows</t>
  </si>
  <si>
    <t>T009</t>
  </si>
  <si>
    <t>Port Moody</t>
  </si>
  <si>
    <t>T012</t>
  </si>
  <si>
    <t>Chilliwack</t>
  </si>
  <si>
    <t>T013</t>
  </si>
  <si>
    <t>North Delta</t>
  </si>
  <si>
    <t>T014</t>
  </si>
  <si>
    <t>Burnaby Mountain</t>
  </si>
  <si>
    <t>T015</t>
  </si>
  <si>
    <t>Surrey East</t>
  </si>
  <si>
    <t>T017</t>
  </si>
  <si>
    <t>Richmond South</t>
  </si>
  <si>
    <t>T018</t>
  </si>
  <si>
    <t>Burnaby South</t>
  </si>
  <si>
    <t>T020</t>
  </si>
  <si>
    <t>Pitt Meadows</t>
  </si>
  <si>
    <t>T022</t>
  </si>
  <si>
    <t>Burnaby-Burmount</t>
  </si>
  <si>
    <t>T023</t>
  </si>
  <si>
    <t>Burnaby-Capitol Hill</t>
  </si>
  <si>
    <t>T024</t>
  </si>
  <si>
    <t>Burnaby North</t>
  </si>
  <si>
    <t>T026</t>
  </si>
  <si>
    <t>N. Vancouver-Mahon Park</t>
  </si>
  <si>
    <t>T027</t>
  </si>
  <si>
    <t>Langley</t>
  </si>
  <si>
    <t>T029</t>
  </si>
  <si>
    <t>Hope</t>
  </si>
  <si>
    <t>T030</t>
  </si>
  <si>
    <t>Maple Ridge</t>
  </si>
  <si>
    <t>T031</t>
  </si>
  <si>
    <t>Richmond-Airport</t>
  </si>
  <si>
    <t>T032</t>
  </si>
  <si>
    <t>Coquitlam</t>
  </si>
  <si>
    <t>T033</t>
  </si>
  <si>
    <t>Abbotsford-Mill Lake</t>
  </si>
  <si>
    <t>T035</t>
  </si>
  <si>
    <t>Horseshoe Bay</t>
  </si>
  <si>
    <t>T038</t>
  </si>
  <si>
    <t>Annacis Island</t>
  </si>
  <si>
    <t>T039</t>
  </si>
  <si>
    <t>T043</t>
  </si>
  <si>
    <t>Mission</t>
  </si>
  <si>
    <t>T044</t>
  </si>
  <si>
    <t>Agassiz</t>
  </si>
  <si>
    <t>T045</t>
  </si>
  <si>
    <t>Abbotsford Airport</t>
  </si>
  <si>
    <t>T046</t>
  </si>
  <si>
    <t>New Westiminister</t>
  </si>
  <si>
    <t>T048</t>
  </si>
  <si>
    <t>Vancouver-Templeton</t>
  </si>
  <si>
    <t>T049</t>
  </si>
  <si>
    <t>Vancouver-Portside</t>
  </si>
  <si>
    <t>T050</t>
  </si>
  <si>
    <t>Vancouver Clark Drive</t>
  </si>
  <si>
    <t>01FW01</t>
  </si>
  <si>
    <t>Capilano Fire Weather</t>
  </si>
  <si>
    <t>MVRD-WS</t>
  </si>
  <si>
    <t>In an opening at near Clyde's Pit</t>
  </si>
  <si>
    <t>Peter Marshall, Watersheds &amp; Environment</t>
  </si>
  <si>
    <t>604-318-7115</t>
  </si>
  <si>
    <t>01FW02</t>
  </si>
  <si>
    <t>Lower Capilano Fire Weather</t>
  </si>
  <si>
    <t>Off mid-lake branch, east side of Cap Lake</t>
  </si>
  <si>
    <t>01FW04</t>
  </si>
  <si>
    <t>Hesketh MET station</t>
  </si>
  <si>
    <t>At the end of the active Hesketh Branch road</t>
  </si>
  <si>
    <t>01HY02</t>
  </si>
  <si>
    <t>Capilano River at Cable Pool</t>
  </si>
  <si>
    <t>Below the hatchery near the walking bridge</t>
  </si>
  <si>
    <t>01HY03</t>
  </si>
  <si>
    <t>Enchantment Creek</t>
  </si>
  <si>
    <t>Capilano mainline at 19km. Under powerlines</t>
  </si>
  <si>
    <t>01WQ01</t>
  </si>
  <si>
    <t>Capilano Lake Raft</t>
  </si>
  <si>
    <t>On Capilano Lake, southwest side</t>
  </si>
  <si>
    <t>RPAR</t>
  </si>
  <si>
    <t>02FW01</t>
  </si>
  <si>
    <t>Lower Seymour Fire Weather</t>
  </si>
  <si>
    <t>In the spur 2 pit in LSCR</t>
  </si>
  <si>
    <t>02FW02</t>
  </si>
  <si>
    <t>Seymour Fire Weather</t>
  </si>
  <si>
    <t>At the end of Eldee Branch on the east side of Seymour Lake</t>
  </si>
  <si>
    <t>02HY02</t>
  </si>
  <si>
    <t>Seymour River at Spur 4</t>
  </si>
  <si>
    <t>Under the spur 4 bridge</t>
  </si>
  <si>
    <t>02HY04</t>
  </si>
  <si>
    <t>Seymour River at Bear Island</t>
  </si>
  <si>
    <t>Two separate channels below the dam at bear island</t>
  </si>
  <si>
    <t>03DM01</t>
  </si>
  <si>
    <t>Burwell Lake</t>
  </si>
  <si>
    <t>On the south side of the Burwell Lake dam</t>
  </si>
  <si>
    <t>03WQ01</t>
  </si>
  <si>
    <t>Seymour Lake Raft</t>
  </si>
  <si>
    <t>On Seymour Lake, southeast side</t>
  </si>
  <si>
    <t>04FW01</t>
  </si>
  <si>
    <t>Coquitlam Fire Weather</t>
  </si>
  <si>
    <t>At the junction of Or and Ford branches. Station has moved two times</t>
  </si>
  <si>
    <t>04WQ03</t>
  </si>
  <si>
    <t>Coquitlam Lake Raft 3</t>
  </si>
  <si>
    <t>On Coquitlam Lake, southeast side</t>
  </si>
  <si>
    <t>08GA010</t>
  </si>
  <si>
    <t>Capilano River above Lakehead</t>
  </si>
  <si>
    <t xml:space="preserve">At the north end of Cap Lake </t>
  </si>
  <si>
    <t>HG;TW;WT</t>
  </si>
  <si>
    <t>08GA026</t>
  </si>
  <si>
    <t>Capilano River at Mid Valley</t>
  </si>
  <si>
    <t>At the junction of Cap mainline and East cap branch</t>
  </si>
  <si>
    <t>08GA031</t>
  </si>
  <si>
    <t>Capilano River at Canyon</t>
  </si>
  <si>
    <t>At the pumphouse below the dam</t>
  </si>
  <si>
    <t>08GA077</t>
  </si>
  <si>
    <t>Seymour river below Orchid Creek</t>
  </si>
  <si>
    <t>Approx. 23 km on Seymour Mainline</t>
  </si>
  <si>
    <t>1D18P</t>
  </si>
  <si>
    <t>Disappointment Lake</t>
  </si>
  <si>
    <t>At the outflow from Disappointment Lake</t>
  </si>
  <si>
    <t>3A09P</t>
  </si>
  <si>
    <t xml:space="preserve">Pallisade Lake </t>
  </si>
  <si>
    <t>At the south end of Palisade dam</t>
  </si>
  <si>
    <t>3A19P</t>
  </si>
  <si>
    <t xml:space="preserve">Orchid Lake </t>
  </si>
  <si>
    <t>On open and broad ridge east of Orchid Lake</t>
  </si>
  <si>
    <t>Loch Lomond</t>
  </si>
  <si>
    <t>On island outcrop on west side of lake. Wind exposed</t>
  </si>
  <si>
    <t>8MH166</t>
  </si>
  <si>
    <t>Cedar Creek above the Mouth</t>
  </si>
  <si>
    <t>At bridge on Coquitlam mainline at Cedar Creek</t>
  </si>
  <si>
    <t>1195250</t>
  </si>
  <si>
    <t>MUNCHO LAKE</t>
  </si>
  <si>
    <t>NAVCAN</t>
  </si>
  <si>
    <t>RCS NC HWOS,,WWQ,Primary operator is a human.,,</t>
  </si>
  <si>
    <t>Navcan</t>
  </si>
  <si>
    <t>CBBC</t>
  </si>
  <si>
    <t>Bella Bella Campbell Island</t>
  </si>
  <si>
    <t>CWAE</t>
  </si>
  <si>
    <t>Whistler</t>
  </si>
  <si>
    <t>CWLY</t>
  </si>
  <si>
    <t>Lytton</t>
  </si>
  <si>
    <t>CWSW</t>
  </si>
  <si>
    <t>Sparwood</t>
  </si>
  <si>
    <t>CYAZ</t>
  </si>
  <si>
    <t>Tofino Long Beach</t>
  </si>
  <si>
    <t>CYBD</t>
  </si>
  <si>
    <t>Bella Coola</t>
  </si>
  <si>
    <t>CYBL</t>
  </si>
  <si>
    <t>Campbell River</t>
  </si>
  <si>
    <t>CYCD</t>
  </si>
  <si>
    <t>Nanaimo</t>
  </si>
  <si>
    <t>CYCG</t>
  </si>
  <si>
    <t>Castlegar west Kootney Regional</t>
  </si>
  <si>
    <t>CYCP</t>
  </si>
  <si>
    <t>Blue River</t>
  </si>
  <si>
    <t>CYCQ</t>
  </si>
  <si>
    <t>Chetwynd</t>
  </si>
  <si>
    <t>CYDC</t>
  </si>
  <si>
    <t>Princeton</t>
  </si>
  <si>
    <t>CYDL</t>
  </si>
  <si>
    <t>Dease Lake</t>
  </si>
  <si>
    <t>CYDQ</t>
  </si>
  <si>
    <t>Dawson Creek</t>
  </si>
  <si>
    <t>CYGE</t>
  </si>
  <si>
    <t>Golden</t>
  </si>
  <si>
    <t>CYHC</t>
  </si>
  <si>
    <t>Vancouver Harbour</t>
  </si>
  <si>
    <t>CYHE</t>
  </si>
  <si>
    <t>CYIN</t>
  </si>
  <si>
    <t>Clinton Bleibler Ranch</t>
  </si>
  <si>
    <t>CYKA</t>
  </si>
  <si>
    <t>Kamloops</t>
  </si>
  <si>
    <t>CYLW</t>
  </si>
  <si>
    <t>Kelowna</t>
  </si>
  <si>
    <t>CYNJ</t>
  </si>
  <si>
    <t>Langley Regional</t>
  </si>
  <si>
    <t>CYPK</t>
  </si>
  <si>
    <t>CYPR</t>
  </si>
  <si>
    <t>Prince Rupert</t>
  </si>
  <si>
    <t>CYPW</t>
  </si>
  <si>
    <t>Powell River</t>
  </si>
  <si>
    <t>CYQZ</t>
  </si>
  <si>
    <t>Quesnel</t>
  </si>
  <si>
    <t>CYRV</t>
  </si>
  <si>
    <t>Revelstoke</t>
  </si>
  <si>
    <t>CYVR</t>
  </si>
  <si>
    <t>Vancouver Intl</t>
  </si>
  <si>
    <t>CYWH</t>
  </si>
  <si>
    <t>Victoria Harbour</t>
  </si>
  <si>
    <t>CYWL</t>
  </si>
  <si>
    <t>Williaws Lake</t>
  </si>
  <si>
    <t>CYXC</t>
  </si>
  <si>
    <t>Cranbrook</t>
  </si>
  <si>
    <t>CYXJ</t>
  </si>
  <si>
    <t>Fort St John</t>
  </si>
  <si>
    <t>CYXS</t>
  </si>
  <si>
    <t>Prince George</t>
  </si>
  <si>
    <t>CYXT</t>
  </si>
  <si>
    <t>Terrace</t>
  </si>
  <si>
    <t>CYXX</t>
  </si>
  <si>
    <t>Abbotsford</t>
  </si>
  <si>
    <t>CYYD</t>
  </si>
  <si>
    <t>Smithers</t>
  </si>
  <si>
    <t>CYYE</t>
  </si>
  <si>
    <t>Fort Nelson</t>
  </si>
  <si>
    <t>CYYF</t>
  </si>
  <si>
    <t>Penticton</t>
  </si>
  <si>
    <t>CYYJ</t>
  </si>
  <si>
    <t>Victoria Intl</t>
  </si>
  <si>
    <t>CYZP</t>
  </si>
  <si>
    <t>Sandspit</t>
  </si>
  <si>
    <t>CYZT</t>
  </si>
  <si>
    <t>Port Hardy</t>
  </si>
  <si>
    <t>CYZY</t>
  </si>
  <si>
    <t>Mackenzie</t>
  </si>
  <si>
    <t>CZBB</t>
  </si>
  <si>
    <t>Vancouver Boundary Bay</t>
  </si>
  <si>
    <t>CZMT</t>
  </si>
  <si>
    <t>Masset</t>
  </si>
  <si>
    <t>CZST</t>
  </si>
  <si>
    <t>EUTK</t>
  </si>
  <si>
    <t>Eutsuk</t>
  </si>
  <si>
    <t>RT</t>
  </si>
  <si>
    <t>Station was down between 2013 and 2020</t>
  </si>
  <si>
    <t>Richard Loubier</t>
  </si>
  <si>
    <t>581-447-1775</t>
  </si>
  <si>
    <t>PP(Wgt); PP(SP)</t>
  </si>
  <si>
    <t>USUW(4.1)</t>
  </si>
  <si>
    <t>KENN</t>
  </si>
  <si>
    <t>Kenney Dam</t>
  </si>
  <si>
    <t>MTWL</t>
  </si>
  <si>
    <t>Mount Wells</t>
  </si>
  <si>
    <t>POND</t>
  </si>
  <si>
    <t>Mount Pondosy</t>
  </si>
  <si>
    <t>TAHL</t>
  </si>
  <si>
    <t>Tahtsa Lake</t>
  </si>
  <si>
    <t>TAWH</t>
  </si>
  <si>
    <t>Tahtsa Intake</t>
  </si>
  <si>
    <t>AlezaLk</t>
  </si>
  <si>
    <t>Aleza Lake</t>
  </si>
  <si>
    <t>UNBC-CAM</t>
  </si>
  <si>
    <t>This station is located at the Aleza Lake Research Forest approximately 60km NE of Prince George</t>
  </si>
  <si>
    <t>2003</t>
  </si>
  <si>
    <t>Stephen Dery</t>
  </si>
  <si>
    <t>250-960-5193</t>
  </si>
  <si>
    <t>https://doi.org/10.5281/zenodo.1195043</t>
  </si>
  <si>
    <t>ANCIENT</t>
  </si>
  <si>
    <t>Ancient Forest</t>
  </si>
  <si>
    <t>Situated 120km east of Prince George, BC - Also Collected - Soil Temperature</t>
  </si>
  <si>
    <t>2009/01/07</t>
  </si>
  <si>
    <t>BROWNT</t>
  </si>
  <si>
    <t>Browntop</t>
  </si>
  <si>
    <t>Situated on an alpine ridge ~20km northeast of Likely, BC  - - Also Collected - Soil Temperature</t>
  </si>
  <si>
    <t>2006/08/23</t>
  </si>
  <si>
    <t>Chesl1</t>
  </si>
  <si>
    <t>Cheslatta Lake TBRG</t>
  </si>
  <si>
    <t>Along lake beyond burial site. On the way from parked car to ST site, inside tree line but still mostly visible from shoreline.</t>
  </si>
  <si>
    <t>250-960-5195</t>
  </si>
  <si>
    <t>Chesl2</t>
  </si>
  <si>
    <t>Cheslatta Lake WX</t>
  </si>
  <si>
    <t>Approx. 50 km driving from Southbank ferry terminal down Keefes Landing Rd and Cheslatta Rd. Just over 1 km north of Cheslatta Lake on private property. In middle of grass field, trees 20 m on SE side, 10 m from grassy knoll on north side.</t>
  </si>
  <si>
    <t>250-960-5194</t>
  </si>
  <si>
    <t>DOCKPT</t>
  </si>
  <si>
    <t>Dock Point</t>
  </si>
  <si>
    <t xml:space="preserve">Situated on a rocky bluff off the shoreline of Quesnel Lake’s east arm, ~80km east of Likely, BC </t>
  </si>
  <si>
    <t>2018/05/24</t>
  </si>
  <si>
    <t>WT</t>
  </si>
  <si>
    <t>GOOSEPT</t>
  </si>
  <si>
    <t>Goose Point</t>
  </si>
  <si>
    <t xml:space="preserve">Situated on a sand spit at the end of Quesnel Lake’s north arm, ~70km northeast of Likely, BC </t>
  </si>
  <si>
    <t>2018/08/03</t>
  </si>
  <si>
    <t>Huckle</t>
  </si>
  <si>
    <t>Huckleberry Mine</t>
  </si>
  <si>
    <t xml:space="preserve">At approx. 122 km mark south of Houston down Morice/Nadina FSRs. Station on bedrock hill above Huckleberry Mine cafeteria and dorms. </t>
  </si>
  <si>
    <t>250-960-5196</t>
  </si>
  <si>
    <t>PP(TBRG); PP(Rdr)</t>
  </si>
  <si>
    <t>LowerMS</t>
  </si>
  <si>
    <t>Lower Mount Sweeney TBRG</t>
  </si>
  <si>
    <t>Tipping bucket rain gauge in an old cut block on the flanks of Mt. Sweeney, above Tahtsa Lake</t>
  </si>
  <si>
    <t>250-960-5198</t>
  </si>
  <si>
    <t>Mosquito</t>
  </si>
  <si>
    <t>Mosquito Hill TBRG</t>
  </si>
  <si>
    <t xml:space="preserve">Just past the Tahtsa reach turnoff is a road on the left (north). follow the very left hand road up a single switchback and continue until reaching a overgrown cutblock road on the left hand side. </t>
  </si>
  <si>
    <t>250-960-5199</t>
  </si>
  <si>
    <t>NadinaSC</t>
  </si>
  <si>
    <t>Nadina Spawning Channel TBRG</t>
  </si>
  <si>
    <t>tripod is located on mixed gravel at the downstream end of the DFO Nadina River Spawning Channel by the locks. Found nice open spot on west end of the channel, near the Nadina River, that is road accessible. It is not too far from previous site of DFO’s weather station</t>
  </si>
  <si>
    <t>250-960-5200</t>
  </si>
  <si>
    <t>Nadina Spawning Channel Weather Station</t>
  </si>
  <si>
    <t>Weather station is situated right next to the TBRG just up the back from the river within a clearing</t>
  </si>
  <si>
    <t>250-960-5202</t>
  </si>
  <si>
    <t>PP(TBRG;ClimaVue)</t>
  </si>
  <si>
    <t>NESSLK</t>
  </si>
  <si>
    <t>Ness Lake</t>
  </si>
  <si>
    <t xml:space="preserve">Situated in Stephen Dery's backyard on Ness Lake, BC - Also Collected - Soil Moisture </t>
  </si>
  <si>
    <t>2012/07/30</t>
  </si>
  <si>
    <t>Nulki</t>
  </si>
  <si>
    <t>Nulki Lake Weather Station</t>
  </si>
  <si>
    <t>Located on the shore of Nulki Lake with full wind exposure from the West arm.</t>
  </si>
  <si>
    <t>250-960-5201</t>
  </si>
  <si>
    <t>NWUNBC</t>
  </si>
  <si>
    <t>Terrace UNBC</t>
  </si>
  <si>
    <t>Situated on the rooftop of the Terrace UNBC campus</t>
  </si>
  <si>
    <t>PLATOP</t>
  </si>
  <si>
    <t>Plato Point</t>
  </si>
  <si>
    <t>Situated on the shoreline near Plato Resort on Quesnel Lake, ~22km southeast of Likely, BC - Also Collected - Soil  Temperature</t>
  </si>
  <si>
    <t>2016/08/17</t>
  </si>
  <si>
    <t>QRCC</t>
  </si>
  <si>
    <t xml:space="preserve">QRRC </t>
  </si>
  <si>
    <t>Situated within the ground of the Quesnel River Research Centre near Likely, BC - Also Collected - Soil Moisture and Temperature</t>
  </si>
  <si>
    <t>2006/08/11</t>
  </si>
  <si>
    <t>TATUKL</t>
  </si>
  <si>
    <t>Tatuk Lake</t>
  </si>
  <si>
    <t>Situated on the grounds of Tatuk Lake Resort, ~75km southwest of Prince George, BC - Also Collected - Soil Moisture and Temperature</t>
  </si>
  <si>
    <t>2015/09/29</t>
  </si>
  <si>
    <t>CENTRAL iNTERIOR</t>
  </si>
  <si>
    <t>WestArm</t>
  </si>
  <si>
    <t>West Arm Station</t>
  </si>
  <si>
    <t>Situated on the shore of a point in the West arm of Quesnel Lake</t>
  </si>
  <si>
    <t>Old Parameter code and definitions</t>
  </si>
  <si>
    <t>SHEF Codes</t>
  </si>
  <si>
    <t>Non-SHEF Code</t>
  </si>
  <si>
    <t>New Parameter Classification</t>
  </si>
  <si>
    <t>short code</t>
  </si>
  <si>
    <t>definition</t>
  </si>
  <si>
    <t>Subtypes
/Comments</t>
  </si>
  <si>
    <t>Air Temperature</t>
  </si>
  <si>
    <t>Ta</t>
  </si>
  <si>
    <t>TX;TN</t>
  </si>
  <si>
    <t>Maximum and Minimum Air Temperature</t>
  </si>
  <si>
    <t>Tx</t>
  </si>
  <si>
    <t>Maximum Air Temperature</t>
  </si>
  <si>
    <t>Tn</t>
  </si>
  <si>
    <t>Minimum Air Temperature</t>
  </si>
  <si>
    <t xml:space="preserve">Humidity </t>
  </si>
  <si>
    <t>H</t>
  </si>
  <si>
    <t>PP</t>
  </si>
  <si>
    <t>P</t>
  </si>
  <si>
    <t>P, P(as)</t>
  </si>
  <si>
    <t>Precipitation measured with a weighing gauge (OTT Pluvio II, Geonor, Belfort)</t>
  </si>
  <si>
    <t>P(bf), P(g), P(p2)</t>
  </si>
  <si>
    <t>Precipitation measured within a standpipe</t>
  </si>
  <si>
    <t>P(sp)</t>
  </si>
  <si>
    <t>PP(Rdr)</t>
  </si>
  <si>
    <t>Precipititation as measured with a doppler radar</t>
  </si>
  <si>
    <t>P(r)</t>
  </si>
  <si>
    <t>Drisdometer or Optical methods</t>
  </si>
  <si>
    <t>P(op)</t>
  </si>
  <si>
    <t>Precipitation as measured with a tipping Bucket Rain Gauge</t>
  </si>
  <si>
    <t>P(tbrg)</t>
  </si>
  <si>
    <t>PP(Pulse)</t>
  </si>
  <si>
    <t>Precipitation as measured via specific drop size creating contact between 2 points (i.e ClimaVue)</t>
  </si>
  <si>
    <t>PP(D)</t>
  </si>
  <si>
    <t>Presence of precipitation (%hr)</t>
  </si>
  <si>
    <t>P(d)</t>
  </si>
  <si>
    <t xml:space="preserve">Snow </t>
  </si>
  <si>
    <t>Snow Depth</t>
  </si>
  <si>
    <t>SW</t>
  </si>
  <si>
    <t>Snow Water Equivalent</t>
  </si>
  <si>
    <t>SWE</t>
  </si>
  <si>
    <t>Snow water equivalent</t>
  </si>
  <si>
    <t>SW measured with a Gamma Ray Detector</t>
  </si>
  <si>
    <t>SW measured with a snow pillow</t>
  </si>
  <si>
    <t>SW measured with a snow scale</t>
  </si>
  <si>
    <t>Wind</t>
  </si>
  <si>
    <t>USUW()</t>
  </si>
  <si>
    <t>WSD</t>
  </si>
  <si>
    <t>Wind Speed and Direction</t>
  </si>
  <si>
    <t>suffixed w\Instrument Height in brackets (if available) in metres.</t>
  </si>
  <si>
    <t>Barometric Pressure (may not be tied to local standard pressure)</t>
  </si>
  <si>
    <t>Radiation (Total incoming Solar radiation fliux density)</t>
  </si>
  <si>
    <t>Kd</t>
  </si>
  <si>
    <t>Downwelling Solar Radiation</t>
  </si>
  <si>
    <t>Photosynthetically Active Radiation.</t>
  </si>
  <si>
    <t>Radiation (Solar/Longwave)</t>
  </si>
  <si>
    <t>Q*</t>
  </si>
  <si>
    <t>Net (Longwave and Solar) Radiation</t>
  </si>
  <si>
    <t>Soil Parameters</t>
  </si>
  <si>
    <t>Sm</t>
  </si>
  <si>
    <t>Soil Moisture</t>
  </si>
  <si>
    <t>Sc</t>
  </si>
  <si>
    <t>Soil Conductivity</t>
  </si>
  <si>
    <t>Dielectric constant is used to determine Soil moisture(?)</t>
  </si>
  <si>
    <t>St</t>
  </si>
  <si>
    <t>Soil Temperature (at depths)</t>
  </si>
  <si>
    <t xml:space="preserve">Soil Parameters </t>
  </si>
  <si>
    <t>Ts</t>
  </si>
  <si>
    <t xml:space="preserve">Surface Temperature </t>
  </si>
  <si>
    <t>TQg</t>
  </si>
  <si>
    <t>Qg</t>
  </si>
  <si>
    <t>Ground Heat Flux</t>
  </si>
  <si>
    <t>Water Level</t>
  </si>
  <si>
    <t>QR</t>
  </si>
  <si>
    <t>Discharge</t>
  </si>
  <si>
    <t>QU</t>
  </si>
  <si>
    <t>QR(reg)</t>
  </si>
  <si>
    <t>Regulated discharge</t>
  </si>
  <si>
    <t>Tw</t>
  </si>
  <si>
    <t>Water Temperature</t>
  </si>
  <si>
    <t>WTrb</t>
  </si>
  <si>
    <t>Water Turbidity</t>
  </si>
  <si>
    <t>Network names</t>
  </si>
  <si>
    <t>New Name</t>
  </si>
  <si>
    <t>Old Designation</t>
  </si>
  <si>
    <t>Transitionary Designation</t>
  </si>
  <si>
    <t>Agency</t>
  </si>
  <si>
    <t>Network Name</t>
  </si>
  <si>
    <t>PCIC PCDS Naming</t>
  </si>
  <si>
    <r>
      <t xml:space="preserve">DataMart Partner Directory </t>
    </r>
    <r>
      <rPr>
        <i/>
        <sz val="11"/>
        <color theme="1"/>
        <rFont val="Aptos Narrow"/>
        <family val="2"/>
        <scheme val="minor"/>
      </rPr>
      <t>(italics and Rjustified planned)</t>
    </r>
  </si>
  <si>
    <t>Network</t>
  </si>
  <si>
    <t>Current</t>
  </si>
  <si>
    <t>Suggested Network name (blanks infer no change)</t>
  </si>
  <si>
    <t>AF</t>
  </si>
  <si>
    <t>AGRI</t>
  </si>
  <si>
    <t>BC Gov</t>
  </si>
  <si>
    <t>bc-agriweather</t>
  </si>
  <si>
    <t> AGRI                   | BC Ministry of Agriculture and Foods                                                    | f</t>
  </si>
  <si>
    <t>BC AgriWeather</t>
  </si>
  <si>
    <t> MoAg_GS                | BC Ministry of Agriculture Growers Supply                                               | f</t>
  </si>
  <si>
    <t>ENV</t>
  </si>
  <si>
    <t>AIR</t>
  </si>
  <si>
    <t>ENV/AIR</t>
  </si>
  <si>
    <t>Air</t>
  </si>
  <si>
    <t>ENV-AQN</t>
  </si>
  <si>
    <t>BC-Air</t>
  </si>
  <si>
    <t>bc-env-aq</t>
  </si>
  <si>
    <t> ENV-AQN                | BC Ministry of Environment and Climate Change Strategy - Air Quality Network            | t</t>
  </si>
  <si>
    <t>ASWS</t>
  </si>
  <si>
    <t>ENV/ASWS</t>
  </si>
  <si>
    <t>Snow</t>
  </si>
  <si>
    <t>ENV-ASP</t>
  </si>
  <si>
    <t>bc-enc-snow</t>
  </si>
  <si>
    <t> ENV-ASP                | BC Ministry of Environment and Climate Change Strategy - Automated Snow Weather Network | t</t>
  </si>
  <si>
    <t>Hydrometric Agreement</t>
  </si>
  <si>
    <t>ENV/WSC</t>
  </si>
  <si>
    <t>Hydrometric</t>
  </si>
  <si>
    <t>ENV/CLIM</t>
  </si>
  <si>
    <t>FOR</t>
  </si>
  <si>
    <t>BCTS</t>
  </si>
  <si>
    <t>FOR/BCTS</t>
  </si>
  <si>
    <t>Timber Sales</t>
  </si>
  <si>
    <t>FLNRO-WMB</t>
  </si>
  <si>
    <t>bc-forestry</t>
  </si>
  <si>
    <t> FLNRO-WMB              | BC Ministry of Forests - Wildfire Service Network                                       | t</t>
  </si>
  <si>
    <t>BCWS</t>
  </si>
  <si>
    <t>FOR/FWx</t>
  </si>
  <si>
    <t>Fire Weather</t>
  </si>
  <si>
    <t>FERN</t>
  </si>
  <si>
    <t>FOR/FERN</t>
  </si>
  <si>
    <t>Forest Ecosystem Research</t>
  </si>
  <si>
    <t>FLNRO-FERN</t>
  </si>
  <si>
    <t> FLNRO-FERN             | BC Ministry of Forests - Forest Ecosystems Research Network                             | t</t>
  </si>
  <si>
    <t>MOTI or TRAN</t>
  </si>
  <si>
    <t>Ministry of Transportation and Infrastructure</t>
  </si>
  <si>
    <t>MoTT</t>
  </si>
  <si>
    <t>Avalanche &amp; Road Weather</t>
  </si>
  <si>
    <t>MoTIe</t>
  </si>
  <si>
    <t>MoTIm</t>
  </si>
  <si>
    <t>bc-tran</t>
  </si>
  <si>
    <t>Not Transferred</t>
  </si>
  <si>
    <t> MoTIm                  | Ministry of Transportation and Infrastructure - Manual stations                         | t</t>
  </si>
  <si>
    <t> MoTIe                  | Ministry of Transportation and Infrastructure - Automated stations                      | t</t>
  </si>
  <si>
    <t> MoTI                   |                                                                                         | f</t>
  </si>
  <si>
    <t>ARDA</t>
  </si>
  <si>
    <t>Agriculture Research Development Network</t>
  </si>
  <si>
    <t> ARDA                   | Agricultural and Rural Development Act Network                                          | t</t>
  </si>
  <si>
    <t> PCIC Climate Variables | Synthetic network for climate variables computed by PCIC                                | t</t>
  </si>
  <si>
    <t>FRBC</t>
  </si>
  <si>
    <t>Forest Renewal BC</t>
  </si>
  <si>
    <t> FRBC                   | Forest Renewal British Columbia                                                         | t</t>
  </si>
  <si>
    <t>BC Hydro</t>
  </si>
  <si>
    <t>Hydrometeorologic Monitoring and Data Management</t>
  </si>
  <si>
    <t>BCH/GSO-HMP</t>
  </si>
  <si>
    <t>GSO-HMP</t>
  </si>
  <si>
    <t>BCH</t>
  </si>
  <si>
    <t>bc-hydro</t>
  </si>
  <si>
    <t>BCH                    | BC Hydro                                                                                | t</t>
  </si>
  <si>
    <t>Site C</t>
  </si>
  <si>
    <t>BCH/SITEC</t>
  </si>
  <si>
    <t>BCH-SiteC</t>
  </si>
  <si>
    <t>BC Hydro/Parks Canada</t>
  </si>
  <si>
    <t>Parks Canada</t>
  </si>
  <si>
    <t>Canada</t>
  </si>
  <si>
    <t>Parks Avalanche</t>
  </si>
  <si>
    <t>PC-Aval</t>
  </si>
  <si>
    <t xml:space="preserve">Parks Fire Weather </t>
  </si>
  <si>
    <t>PC-FWx</t>
  </si>
  <si>
    <t>pc-firewx</t>
  </si>
  <si>
    <t>ECCC</t>
  </si>
  <si>
    <t>Daily Climate</t>
  </si>
  <si>
    <t>ECCC/DAILYCLIM</t>
  </si>
  <si>
    <t>MSC Daily Climate</t>
  </si>
  <si>
    <t>EC</t>
  </si>
  <si>
    <t>EC RAW</t>
  </si>
  <si>
    <t>EC-RAW</t>
  </si>
  <si>
    <t> EC                     | Environment and Climate Change Canada (Canadian Daily Climate Data 2007)                | t</t>
  </si>
  <si>
    <t>HYDAT/CLIM</t>
  </si>
  <si>
    <t>ECCC/HYDATCLIM</t>
  </si>
  <si>
    <t>No longer required</t>
  </si>
  <si>
    <t> EC_raw                 | Environment and Climate Change Canada (raw observations from "Climate Data Online")     | t</t>
  </si>
  <si>
    <t>MARINE/Moored Buoy</t>
  </si>
  <si>
    <t>ECCC/BUOY</t>
  </si>
  <si>
    <t>MSC Bouy</t>
  </si>
  <si>
    <t> EC_AHCCD               | Environment and Climate Change Canada (Adjusted and Homogenized Canadian Climate Data)  | f</t>
  </si>
  <si>
    <t>SURFACE/CLIMATE</t>
  </si>
  <si>
    <t>ECCC/SFCWx</t>
  </si>
  <si>
    <t>MSC Surface Wx</t>
  </si>
  <si>
    <t> EC_Buoy                | Environment and Climate Change Canada (Marine Buoys)                                    | f</t>
  </si>
  <si>
    <t>CRD</t>
  </si>
  <si>
    <t>Water Supply</t>
  </si>
  <si>
    <t>bc-crd</t>
  </si>
  <si>
    <t> CRD                    | Capital Regional District Water Supply Area                                             | t</t>
  </si>
  <si>
    <t>FOR-UNBC</t>
  </si>
  <si>
    <t>University of Northern British Columbia/Cariboo Alpine Mesonet</t>
  </si>
  <si>
    <t>UNBC/CAM</t>
  </si>
  <si>
    <t>UNBC</t>
  </si>
  <si>
    <t>Cariboo Alpine Monitoring</t>
  </si>
  <si>
    <t>UNBC_CAM</t>
  </si>
  <si>
    <t> UNBC_CAM               | UNBC Cariboo Alpine Mesonet                                                             | t</t>
  </si>
  <si>
    <t>MVRD</t>
  </si>
  <si>
    <t>Air Quality</t>
  </si>
  <si>
    <t>MVRD/AIR</t>
  </si>
  <si>
    <t>Mvan</t>
  </si>
  <si>
    <t>bc-mvrd</t>
  </si>
  <si>
    <t>Watershed Management Network</t>
  </si>
  <si>
    <t>MVRD/WT</t>
  </si>
  <si>
    <t> MVan                   | Metro Vancouver and Climate Change Strategy - Air Quality Network                       | t</t>
  </si>
  <si>
    <t>NAVCanada</t>
  </si>
  <si>
    <t>Nav Canada</t>
  </si>
  <si>
    <t>Rio Tinto</t>
  </si>
  <si>
    <t>bc-RioTinto</t>
  </si>
  <si>
    <t> RT                     | Rio Tinto                                                                               | t</t>
  </si>
  <si>
    <t>HAK</t>
  </si>
  <si>
    <t> HAK                    | Hakai Institute                                                                         | f</t>
  </si>
  <si>
    <t>Prince Rupert Port Authority</t>
  </si>
  <si>
    <t>PRPA</t>
  </si>
  <si>
    <t> ARD                    | Agricultural Resource Development office - Alberta                                      | f</t>
  </si>
  <si>
    <t> YT_WFM                 | Yukon Wildland Fire Management Branch                                                   | f</t>
  </si>
  <si>
    <t> YAA                    | Yukon Avalanche Association                                                             | f</t>
  </si>
  <si>
    <t> DFO_CCG_lighthouse     | Department of Fisheries and Oceans - Lighthouses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</si>
</sst>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rgb="FFFF0000"/>
      <name val="Aptos Narrow"/>
      <family val="2"/>
      <scheme val="minor"/>
    </font>
    <font>
      <sz val="11"/>
      <name val="Aptos Narrow"/>
      <family val="2"/>
      <scheme val="minor"/>
    </font>
    <font>
      <sz val="11"/>
      <color rgb="FF006100"/>
      <name val="Aptos Narrow"/>
      <family val="2"/>
      <scheme val="minor"/>
    </font>
    <font>
      <b/>
      <sz val="1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6100"/>
      <name val="Aptos Narrow"/>
      <family val="2"/>
      <scheme val="minor"/>
    </font>
    <font>
      <i/>
      <sz val="11"/>
      <color theme="1"/>
      <name val="Aptos Narrow"/>
      <family val="2"/>
      <scheme val="minor"/>
    </font>
    <font>
      <sz val="7"/>
      <color rgb="FF242424"/>
      <name val="Segoe UI"/>
      <family val="2"/>
    </font>
    <font>
      <sz val="8"/>
      <color theme="0"/>
      <name val="Aptos Narrow"/>
      <family val="2"/>
      <scheme val="minor"/>
    </font>
    <font>
      <b/>
      <i/>
      <sz val="11"/>
      <color rgb="FF0061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4.9989318521683403E-2"/>
        <bgColor indexed="64"/>
      </patternFill>
    </fill>
  </fills>
  <borders count="77">
    <border>
      <left/>
      <right/>
      <top/>
      <bottom/>
      <diagonal/>
    </border>
    <border>
      <left style="medium">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42">
    <xf numFmtId="0" fontId="0" fillId="0" borderId="0"/>
    <xf numFmtId="0" fontId="3" fillId="2" borderId="0" applyNumberFormat="0" applyBorder="0" applyAlignment="0" applyProtection="0"/>
    <xf numFmtId="0" fontId="6" fillId="0" borderId="0" applyNumberFormat="0" applyFill="0" applyBorder="0" applyAlignment="0" applyProtection="0"/>
    <xf numFmtId="0" fontId="7" fillId="0" borderId="47" applyNumberFormat="0" applyFill="0" applyAlignment="0" applyProtection="0"/>
    <xf numFmtId="0" fontId="8" fillId="0" borderId="48" applyNumberFormat="0" applyFill="0" applyAlignment="0" applyProtection="0"/>
    <xf numFmtId="0" fontId="9" fillId="0" borderId="49"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50" applyNumberFormat="0" applyAlignment="0" applyProtection="0"/>
    <xf numFmtId="0" fontId="13" fillId="6" borderId="51" applyNumberFormat="0" applyAlignment="0" applyProtection="0"/>
    <xf numFmtId="0" fontId="14" fillId="6" borderId="50" applyNumberFormat="0" applyAlignment="0" applyProtection="0"/>
    <xf numFmtId="0" fontId="15" fillId="0" borderId="52" applyNumberFormat="0" applyFill="0" applyAlignment="0" applyProtection="0"/>
    <xf numFmtId="0" fontId="16" fillId="7" borderId="53" applyNumberFormat="0" applyAlignment="0" applyProtection="0"/>
    <xf numFmtId="0" fontId="1" fillId="0" borderId="0" applyNumberFormat="0" applyFill="0" applyBorder="0" applyAlignment="0" applyProtection="0"/>
    <xf numFmtId="0" fontId="5" fillId="8" borderId="54" applyNumberFormat="0" applyFont="0" applyAlignment="0" applyProtection="0"/>
    <xf numFmtId="0" fontId="17" fillId="0" borderId="0" applyNumberFormat="0" applyFill="0" applyBorder="0" applyAlignment="0" applyProtection="0"/>
    <xf numFmtId="0" fontId="18" fillId="0" borderId="55" applyNumberFormat="0" applyFill="0" applyAlignment="0" applyProtection="0"/>
    <xf numFmtId="0" fontId="19"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9"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9"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9"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9"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9"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96">
    <xf numFmtId="0" fontId="0" fillId="0" borderId="0" xfId="0"/>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top"/>
    </xf>
    <xf numFmtId="0" fontId="4" fillId="0" borderId="0" xfId="0" applyFont="1" applyAlignment="1">
      <alignment horizontal="center" vertical="center"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0" xfId="0" applyFont="1" applyAlignment="1">
      <alignment vertical="top" wrapText="1"/>
    </xf>
    <xf numFmtId="0" fontId="2" fillId="0" borderId="8" xfId="0" applyFont="1" applyBorder="1" applyAlignment="1">
      <alignment vertical="top"/>
    </xf>
    <xf numFmtId="0" fontId="4" fillId="0" borderId="9" xfId="0" applyFont="1" applyBorder="1" applyAlignment="1">
      <alignment vertical="top"/>
    </xf>
    <xf numFmtId="0" fontId="4" fillId="0" borderId="10" xfId="0"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wrapText="1"/>
    </xf>
    <xf numFmtId="0" fontId="2" fillId="0" borderId="13" xfId="0" applyFont="1" applyBorder="1" applyAlignment="1">
      <alignment vertical="top"/>
    </xf>
    <xf numFmtId="0" fontId="2" fillId="0" borderId="0" xfId="0" applyFont="1" applyAlignment="1">
      <alignment vertical="top"/>
    </xf>
    <xf numFmtId="0" fontId="2" fillId="0" borderId="15" xfId="0" applyFont="1" applyBorder="1" applyAlignment="1">
      <alignment vertical="top"/>
    </xf>
    <xf numFmtId="0" fontId="4" fillId="0" borderId="16" xfId="0" applyFont="1" applyBorder="1" applyAlignment="1">
      <alignment vertical="top"/>
    </xf>
    <xf numFmtId="0" fontId="4" fillId="0" borderId="17" xfId="0" applyFont="1" applyBorder="1" applyAlignment="1">
      <alignment vertical="top"/>
    </xf>
    <xf numFmtId="0" fontId="2" fillId="0" borderId="18" xfId="0" applyFont="1" applyBorder="1" applyAlignment="1">
      <alignment vertical="top"/>
    </xf>
    <xf numFmtId="0" fontId="2" fillId="0" borderId="19" xfId="0" applyFont="1" applyBorder="1" applyAlignment="1">
      <alignment vertical="top" wrapText="1"/>
    </xf>
    <xf numFmtId="0" fontId="2" fillId="0" borderId="20" xfId="0" applyFont="1" applyBorder="1" applyAlignment="1">
      <alignment vertical="top"/>
    </xf>
    <xf numFmtId="0" fontId="2" fillId="0" borderId="22" xfId="0" applyFont="1" applyBorder="1" applyAlignment="1">
      <alignment vertical="top"/>
    </xf>
    <xf numFmtId="0" fontId="4" fillId="0" borderId="23" xfId="0" applyFont="1" applyBorder="1" applyAlignment="1">
      <alignment vertical="top"/>
    </xf>
    <xf numFmtId="0" fontId="4"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wrapText="1"/>
    </xf>
    <xf numFmtId="0" fontId="2" fillId="0" borderId="27" xfId="0" applyFont="1" applyBorder="1" applyAlignment="1">
      <alignment vertical="top"/>
    </xf>
    <xf numFmtId="0" fontId="2" fillId="0" borderId="28" xfId="0" applyFont="1" applyBorder="1" applyAlignment="1">
      <alignment vertical="top"/>
    </xf>
    <xf numFmtId="0" fontId="4" fillId="0" borderId="29" xfId="0" applyFont="1" applyBorder="1" applyAlignment="1">
      <alignment vertical="top"/>
    </xf>
    <xf numFmtId="0" fontId="2" fillId="0" borderId="14" xfId="0" applyFont="1" applyBorder="1" applyAlignment="1">
      <alignment vertical="top"/>
    </xf>
    <xf numFmtId="0" fontId="2" fillId="0" borderId="30" xfId="0" applyFont="1" applyBorder="1" applyAlignment="1">
      <alignment vertical="top" wrapText="1"/>
    </xf>
    <xf numFmtId="0" fontId="2" fillId="0" borderId="31" xfId="0" applyFont="1" applyBorder="1" applyAlignment="1">
      <alignment vertical="top"/>
    </xf>
    <xf numFmtId="0" fontId="2" fillId="0" borderId="15" xfId="1" applyFont="1" applyFill="1" applyBorder="1" applyAlignment="1">
      <alignment vertical="top"/>
    </xf>
    <xf numFmtId="0" fontId="2" fillId="0" borderId="16" xfId="1" applyFont="1" applyFill="1" applyBorder="1" applyAlignment="1">
      <alignment vertical="top"/>
    </xf>
    <xf numFmtId="0" fontId="2" fillId="0" borderId="17" xfId="1" applyFont="1" applyFill="1" applyBorder="1" applyAlignment="1">
      <alignment vertical="top"/>
    </xf>
    <xf numFmtId="0" fontId="2" fillId="0" borderId="18" xfId="1" applyFont="1" applyFill="1" applyBorder="1" applyAlignment="1">
      <alignment vertical="top"/>
    </xf>
    <xf numFmtId="0" fontId="2" fillId="0" borderId="19" xfId="1" applyFont="1" applyFill="1" applyBorder="1" applyAlignment="1">
      <alignment vertical="top" wrapText="1"/>
    </xf>
    <xf numFmtId="0" fontId="2" fillId="0" borderId="32" xfId="0" applyFont="1" applyBorder="1" applyAlignment="1">
      <alignment vertical="top"/>
    </xf>
    <xf numFmtId="0" fontId="2" fillId="0" borderId="2" xfId="1" applyFont="1" applyFill="1" applyBorder="1" applyAlignment="1">
      <alignment vertical="top"/>
    </xf>
    <xf numFmtId="0" fontId="2" fillId="0" borderId="3" xfId="1" applyFont="1" applyFill="1" applyBorder="1" applyAlignment="1">
      <alignment vertical="top"/>
    </xf>
    <xf numFmtId="0" fontId="2" fillId="0" borderId="4" xfId="1" applyFont="1" applyFill="1" applyBorder="1" applyAlignment="1">
      <alignment vertical="top"/>
    </xf>
    <xf numFmtId="0" fontId="2" fillId="0" borderId="5" xfId="1" applyFont="1" applyFill="1" applyBorder="1" applyAlignment="1">
      <alignment vertical="top"/>
    </xf>
    <xf numFmtId="0" fontId="2" fillId="0" borderId="6" xfId="1" applyFont="1" applyFill="1" applyBorder="1" applyAlignment="1">
      <alignment vertical="top" wrapText="1"/>
    </xf>
    <xf numFmtId="0" fontId="2" fillId="0" borderId="22" xfId="1" applyFont="1" applyFill="1" applyBorder="1" applyAlignment="1">
      <alignment vertical="top"/>
    </xf>
    <xf numFmtId="0" fontId="2" fillId="0" borderId="23" xfId="1" applyFont="1" applyFill="1" applyBorder="1" applyAlignment="1">
      <alignment vertical="top"/>
    </xf>
    <xf numFmtId="0" fontId="2" fillId="0" borderId="24" xfId="1" applyFont="1" applyFill="1" applyBorder="1" applyAlignment="1">
      <alignment vertical="top"/>
    </xf>
    <xf numFmtId="0" fontId="2" fillId="0" borderId="25" xfId="1" applyFont="1" applyFill="1" applyBorder="1" applyAlignment="1">
      <alignment vertical="top"/>
    </xf>
    <xf numFmtId="0" fontId="2" fillId="0" borderId="26" xfId="1" applyFont="1" applyFill="1" applyBorder="1" applyAlignment="1">
      <alignment vertical="top" wrapText="1"/>
    </xf>
    <xf numFmtId="0" fontId="2" fillId="0" borderId="33" xfId="0" applyFont="1" applyBorder="1" applyAlignment="1">
      <alignment horizontal="center" vertical="center"/>
    </xf>
    <xf numFmtId="0" fontId="2" fillId="0" borderId="34" xfId="0" applyFont="1" applyBorder="1" applyAlignment="1">
      <alignment vertical="top"/>
    </xf>
    <xf numFmtId="0" fontId="4" fillId="0" borderId="35" xfId="0" applyFont="1" applyBorder="1" applyAlignment="1">
      <alignment vertical="top"/>
    </xf>
    <xf numFmtId="0" fontId="4" fillId="0" borderId="36" xfId="0" applyFont="1" applyBorder="1" applyAlignment="1">
      <alignment vertical="top"/>
    </xf>
    <xf numFmtId="0" fontId="2" fillId="0" borderId="37" xfId="0" applyFont="1" applyBorder="1" applyAlignment="1">
      <alignment vertical="top"/>
    </xf>
    <xf numFmtId="0" fontId="2" fillId="0" borderId="38" xfId="0" applyFont="1" applyBorder="1" applyAlignment="1">
      <alignment vertical="top" wrapText="1"/>
    </xf>
    <xf numFmtId="0" fontId="2" fillId="0" borderId="39" xfId="0" applyFont="1" applyBorder="1" applyAlignment="1">
      <alignment vertical="top"/>
    </xf>
    <xf numFmtId="0" fontId="2" fillId="0" borderId="41" xfId="0" applyFont="1" applyBorder="1" applyAlignment="1">
      <alignment vertical="top"/>
    </xf>
    <xf numFmtId="0" fontId="4" fillId="0" borderId="42" xfId="0" applyFont="1" applyBorder="1" applyAlignment="1">
      <alignment vertical="top"/>
    </xf>
    <xf numFmtId="0" fontId="4" fillId="0" borderId="43" xfId="0" applyFont="1" applyBorder="1" applyAlignment="1">
      <alignment vertical="top"/>
    </xf>
    <xf numFmtId="0" fontId="2" fillId="0" borderId="44" xfId="0" applyFont="1" applyBorder="1" applyAlignment="1">
      <alignment vertical="top"/>
    </xf>
    <xf numFmtId="0" fontId="2" fillId="0" borderId="45" xfId="0" applyFont="1" applyBorder="1" applyAlignment="1">
      <alignment vertical="top" wrapText="1"/>
    </xf>
    <xf numFmtId="0" fontId="2" fillId="0" borderId="19" xfId="0" applyFont="1" applyBorder="1" applyAlignment="1">
      <alignment vertical="top"/>
    </xf>
    <xf numFmtId="0" fontId="2" fillId="0" borderId="2" xfId="0" applyFont="1" applyBorder="1" applyAlignment="1">
      <alignment vertical="top"/>
    </xf>
    <xf numFmtId="0" fontId="4" fillId="0" borderId="3" xfId="0" applyFont="1" applyBorder="1" applyAlignment="1">
      <alignment vertical="top"/>
    </xf>
    <xf numFmtId="0" fontId="4" fillId="0" borderId="4" xfId="0" applyFont="1" applyBorder="1" applyAlignment="1">
      <alignment vertical="top"/>
    </xf>
    <xf numFmtId="0" fontId="2" fillId="0" borderId="5" xfId="0" applyFont="1" applyBorder="1" applyAlignment="1">
      <alignment vertical="top"/>
    </xf>
    <xf numFmtId="0" fontId="2" fillId="0" borderId="6" xfId="0" applyFont="1" applyBorder="1" applyAlignment="1">
      <alignment vertical="top" wrapText="1"/>
    </xf>
    <xf numFmtId="0" fontId="2" fillId="0" borderId="42" xfId="0" applyFont="1" applyBorder="1" applyAlignment="1">
      <alignment vertical="top"/>
    </xf>
    <xf numFmtId="0" fontId="2" fillId="0" borderId="43" xfId="0" applyFont="1" applyBorder="1" applyAlignment="1">
      <alignment vertical="top"/>
    </xf>
    <xf numFmtId="0" fontId="2" fillId="0" borderId="16" xfId="0" applyFont="1" applyBorder="1" applyAlignment="1">
      <alignment vertical="top"/>
    </xf>
    <xf numFmtId="0" fontId="2" fillId="0" borderId="17" xfId="0" applyFont="1" applyBorder="1" applyAlignment="1">
      <alignment vertical="top"/>
    </xf>
    <xf numFmtId="0" fontId="2" fillId="0" borderId="3" xfId="0" applyFont="1" applyBorder="1" applyAlignment="1">
      <alignment vertical="top"/>
    </xf>
    <xf numFmtId="0" fontId="2" fillId="0" borderId="0" xfId="0" applyFont="1" applyAlignment="1">
      <alignment vertical="top" wrapText="1"/>
    </xf>
    <xf numFmtId="0" fontId="0" fillId="0" borderId="0" xfId="0" quotePrefix="1"/>
    <xf numFmtId="0" fontId="0" fillId="0" borderId="0" xfId="0" applyAlignment="1">
      <alignment horizontal="left"/>
    </xf>
    <xf numFmtId="0" fontId="0" fillId="0" borderId="16" xfId="0" applyBorder="1" applyAlignment="1">
      <alignment vertical="center" wrapText="1"/>
    </xf>
    <xf numFmtId="0" fontId="20" fillId="2" borderId="56" xfId="1" applyFont="1" applyBorder="1" applyAlignment="1">
      <alignment vertical="center" wrapText="1"/>
    </xf>
    <xf numFmtId="0" fontId="0" fillId="0" borderId="18" xfId="0" applyBorder="1" applyAlignment="1">
      <alignment vertical="center" wrapText="1"/>
    </xf>
    <xf numFmtId="0" fontId="0" fillId="0" borderId="63" xfId="0" applyBorder="1" applyAlignment="1">
      <alignment vertical="center" wrapText="1"/>
    </xf>
    <xf numFmtId="0" fontId="20" fillId="2" borderId="64" xfId="1" applyFont="1" applyBorder="1" applyAlignment="1">
      <alignment vertical="center" wrapText="1"/>
    </xf>
    <xf numFmtId="0" fontId="22" fillId="0" borderId="0" xfId="0" applyFont="1"/>
    <xf numFmtId="0" fontId="20" fillId="2" borderId="63" xfId="1" applyFont="1" applyBorder="1" applyAlignment="1">
      <alignment vertical="center" wrapText="1"/>
    </xf>
    <xf numFmtId="0" fontId="0" fillId="0" borderId="19" xfId="0" applyBorder="1" applyAlignment="1">
      <alignment vertical="center" wrapText="1"/>
    </xf>
    <xf numFmtId="0" fontId="20" fillId="2" borderId="69" xfId="1" applyFont="1" applyBorder="1" applyAlignment="1">
      <alignment horizontal="center" vertical="center" wrapText="1"/>
    </xf>
    <xf numFmtId="0" fontId="0" fillId="0" borderId="19" xfId="0" applyBorder="1" applyAlignment="1">
      <alignment horizontal="left" vertical="center" wrapText="1"/>
    </xf>
    <xf numFmtId="0" fontId="20" fillId="2" borderId="64" xfId="1" applyFont="1" applyBorder="1" applyAlignment="1">
      <alignment horizontal="left" vertical="center" wrapText="1"/>
    </xf>
    <xf numFmtId="0" fontId="23" fillId="33" borderId="15" xfId="0" applyFont="1" applyFill="1" applyBorder="1" applyAlignment="1">
      <alignment horizontal="center" vertical="center"/>
    </xf>
    <xf numFmtId="0" fontId="20" fillId="2" borderId="18" xfId="1" applyFont="1" applyBorder="1" applyAlignment="1">
      <alignment vertical="center" wrapText="1"/>
    </xf>
    <xf numFmtId="0" fontId="0" fillId="0" borderId="15" xfId="0" applyBorder="1" applyAlignment="1">
      <alignment horizontal="left"/>
    </xf>
    <xf numFmtId="0" fontId="20" fillId="2" borderId="19" xfId="1" applyFont="1" applyBorder="1" applyAlignment="1">
      <alignment horizontal="center" vertical="center" wrapText="1"/>
    </xf>
    <xf numFmtId="0" fontId="0" fillId="0" borderId="25" xfId="0" applyBorder="1" applyAlignment="1">
      <alignment vertical="center" wrapText="1"/>
    </xf>
    <xf numFmtId="0" fontId="0" fillId="0" borderId="75" xfId="0" applyBorder="1" applyAlignment="1">
      <alignment vertical="center" wrapText="1"/>
    </xf>
    <xf numFmtId="0" fontId="20" fillId="2" borderId="25" xfId="1" applyFont="1" applyBorder="1" applyAlignment="1">
      <alignment vertical="center" wrapText="1"/>
    </xf>
    <xf numFmtId="0" fontId="20" fillId="2" borderId="75" xfId="1" applyFont="1" applyBorder="1" applyAlignment="1">
      <alignment vertical="center" wrapText="1"/>
    </xf>
    <xf numFmtId="0" fontId="20" fillId="2" borderId="14" xfId="1" applyFont="1" applyBorder="1" applyAlignment="1">
      <alignment vertical="center" wrapText="1"/>
    </xf>
    <xf numFmtId="0" fontId="20" fillId="2" borderId="72" xfId="1" applyFont="1" applyBorder="1" applyAlignment="1">
      <alignment vertical="center" wrapText="1"/>
    </xf>
    <xf numFmtId="0" fontId="3" fillId="2" borderId="0" xfId="1" applyAlignment="1">
      <alignment vertical="center"/>
    </xf>
    <xf numFmtId="0" fontId="2" fillId="0" borderId="40" xfId="0" applyFont="1" applyBorder="1" applyAlignment="1">
      <alignment horizontal="center" vertical="center"/>
    </xf>
    <xf numFmtId="0" fontId="2" fillId="0" borderId="30" xfId="0" applyFont="1" applyBorder="1" applyAlignment="1">
      <alignment horizontal="center" vertical="center"/>
    </xf>
    <xf numFmtId="0" fontId="4" fillId="0" borderId="1" xfId="0" applyFont="1" applyBorder="1" applyAlignment="1">
      <alignment horizontal="center" vertical="top"/>
    </xf>
    <xf numFmtId="0" fontId="4" fillId="0" borderId="0" xfId="0" applyFont="1" applyAlignment="1">
      <alignment horizontal="center" vertical="top"/>
    </xf>
    <xf numFmtId="0" fontId="2" fillId="0" borderId="7" xfId="0" applyFont="1" applyBorder="1" applyAlignment="1">
      <alignment horizontal="center" vertical="center"/>
    </xf>
    <xf numFmtId="0" fontId="2" fillId="0" borderId="14" xfId="0" applyFont="1" applyBorder="1" applyAlignment="1">
      <alignment horizontal="center" vertical="center"/>
    </xf>
    <xf numFmtId="0" fontId="2" fillId="0" borderId="21" xfId="0" applyFont="1" applyBorder="1" applyAlignment="1">
      <alignment horizontal="center" vertical="center"/>
    </xf>
    <xf numFmtId="0" fontId="2" fillId="0" borderId="46" xfId="0" applyFont="1" applyBorder="1" applyAlignment="1">
      <alignment horizontal="center" vertical="center"/>
    </xf>
    <xf numFmtId="0" fontId="4" fillId="0" borderId="56" xfId="0" applyFont="1" applyBorder="1" applyAlignment="1">
      <alignment horizontal="left" vertical="top" wrapText="1"/>
    </xf>
    <xf numFmtId="0" fontId="4" fillId="0" borderId="57" xfId="0" applyFont="1" applyBorder="1" applyAlignment="1">
      <alignment horizontal="left" vertical="top" wrapText="1"/>
    </xf>
    <xf numFmtId="0" fontId="2" fillId="0" borderId="2" xfId="0" applyFont="1" applyBorder="1" applyAlignment="1">
      <alignment horizontal="left" vertical="top" wrapText="1"/>
    </xf>
    <xf numFmtId="0" fontId="2" fillId="0" borderId="58" xfId="0" applyFont="1" applyBorder="1" applyAlignment="1">
      <alignment horizontal="left" vertical="top" wrapText="1"/>
    </xf>
    <xf numFmtId="0" fontId="4" fillId="0" borderId="2" xfId="0" applyFont="1" applyBorder="1" applyAlignment="1">
      <alignment horizontal="center" vertical="top"/>
    </xf>
    <xf numFmtId="0" fontId="4" fillId="0" borderId="58" xfId="0" applyFont="1" applyBorder="1" applyAlignment="1">
      <alignment horizontal="center" vertical="top"/>
    </xf>
    <xf numFmtId="0" fontId="0" fillId="0" borderId="59" xfId="0" applyBorder="1" applyAlignment="1">
      <alignment horizontal="center"/>
    </xf>
    <xf numFmtId="0" fontId="0" fillId="0" borderId="60" xfId="0" applyBorder="1" applyAlignment="1">
      <alignment horizontal="center"/>
    </xf>
    <xf numFmtId="0" fontId="0" fillId="0" borderId="11" xfId="0" applyBorder="1" applyAlignment="1">
      <alignment vertical="center" wrapText="1"/>
    </xf>
    <xf numFmtId="0" fontId="0" fillId="0" borderId="61" xfId="0" applyBorder="1" applyAlignment="1">
      <alignment vertical="center" wrapText="1"/>
    </xf>
    <xf numFmtId="0" fontId="0" fillId="0" borderId="16" xfId="0" applyBorder="1" applyAlignment="1">
      <alignment vertical="center" wrapText="1"/>
    </xf>
    <xf numFmtId="0" fontId="20" fillId="2" borderId="5" xfId="1" applyFont="1" applyBorder="1" applyAlignment="1">
      <alignment horizontal="center" vertical="center" wrapText="1"/>
    </xf>
    <xf numFmtId="0" fontId="20" fillId="2" borderId="44" xfId="1" applyFont="1" applyBorder="1" applyAlignment="1">
      <alignment horizontal="center" vertical="center" wrapText="1"/>
    </xf>
    <xf numFmtId="0" fontId="20" fillId="2" borderId="56" xfId="1" applyFont="1" applyBorder="1" applyAlignment="1">
      <alignment vertical="center" wrapText="1"/>
    </xf>
    <xf numFmtId="0" fontId="20" fillId="2" borderId="64" xfId="1" applyFont="1" applyBorder="1" applyAlignment="1">
      <alignmen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42" xfId="0" applyBorder="1" applyAlignment="1">
      <alignment horizontal="left" vertical="center" wrapText="1"/>
    </xf>
    <xf numFmtId="0" fontId="0" fillId="0" borderId="45" xfId="0" applyBorder="1" applyAlignment="1">
      <alignment horizontal="left" vertical="center" wrapText="1"/>
    </xf>
    <xf numFmtId="0" fontId="0" fillId="0" borderId="42" xfId="0" applyBorder="1" applyAlignment="1">
      <alignment horizontal="center" vertical="center" wrapText="1"/>
    </xf>
    <xf numFmtId="0" fontId="0" fillId="0" borderId="45" xfId="0" applyBorder="1" applyAlignment="1">
      <alignment horizontal="center" vertical="center" wrapText="1"/>
    </xf>
    <xf numFmtId="0" fontId="20" fillId="2" borderId="43" xfId="1" applyFont="1" applyBorder="1" applyAlignment="1">
      <alignment horizontal="center" vertical="center" wrapText="1"/>
    </xf>
    <xf numFmtId="0" fontId="20" fillId="2" borderId="65" xfId="1" applyFont="1" applyBorder="1" applyAlignment="1">
      <alignment horizontal="center" vertical="center" wrapText="1"/>
    </xf>
    <xf numFmtId="0" fontId="0" fillId="0" borderId="5" xfId="0" applyBorder="1" applyAlignment="1">
      <alignment horizontal="center" vertical="center" wrapText="1"/>
    </xf>
    <xf numFmtId="0" fontId="0" fillId="0" borderId="44" xfId="0" applyBorder="1" applyAlignment="1">
      <alignment horizontal="center" vertical="center" wrapText="1"/>
    </xf>
    <xf numFmtId="0" fontId="0" fillId="0" borderId="56" xfId="0" applyBorder="1" applyAlignment="1">
      <alignment horizontal="center" vertical="center" wrapText="1"/>
    </xf>
    <xf numFmtId="0" fontId="0" fillId="0" borderId="64" xfId="0" applyBorder="1" applyAlignment="1">
      <alignment horizontal="center" vertical="center" wrapText="1"/>
    </xf>
    <xf numFmtId="0" fontId="20" fillId="2" borderId="14" xfId="1" applyFont="1" applyBorder="1" applyAlignment="1">
      <alignment horizontal="center" vertical="center" wrapText="1"/>
    </xf>
    <xf numFmtId="0" fontId="20" fillId="2" borderId="56" xfId="1" applyFont="1" applyBorder="1" applyAlignment="1">
      <alignment horizontal="center" vertical="center" wrapText="1"/>
    </xf>
    <xf numFmtId="0" fontId="20" fillId="2" borderId="64" xfId="1" applyFont="1" applyBorder="1" applyAlignment="1">
      <alignment horizontal="center" vertical="center" wrapText="1"/>
    </xf>
    <xf numFmtId="0" fontId="0" fillId="0" borderId="66" xfId="0" applyBorder="1" applyAlignment="1">
      <alignment horizontal="center" vertical="center" wrapText="1"/>
    </xf>
    <xf numFmtId="0" fontId="0" fillId="0" borderId="6" xfId="0" applyBorder="1" applyAlignment="1">
      <alignment horizontal="center" vertical="center" wrapText="1"/>
    </xf>
    <xf numFmtId="0" fontId="0" fillId="0" borderId="68" xfId="0" applyBorder="1" applyAlignment="1">
      <alignment horizontal="center" vertical="center" wrapText="1"/>
    </xf>
    <xf numFmtId="0" fontId="20" fillId="2" borderId="4" xfId="1" applyFont="1" applyBorder="1" applyAlignment="1">
      <alignment horizontal="center" vertical="center" wrapText="1"/>
    </xf>
    <xf numFmtId="0" fontId="20" fillId="2" borderId="67" xfId="1" applyFont="1" applyBorder="1" applyAlignment="1">
      <alignment horizontal="center" vertical="center" wrapText="1"/>
    </xf>
    <xf numFmtId="0" fontId="21" fillId="0" borderId="66"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68" xfId="0" applyFont="1" applyBorder="1" applyAlignment="1">
      <alignment horizontal="center" vertical="center" wrapText="1"/>
    </xf>
    <xf numFmtId="0" fontId="21" fillId="0" borderId="45" xfId="0" applyFont="1" applyBorder="1" applyAlignment="1">
      <alignment horizontal="center" vertical="center" wrapText="1"/>
    </xf>
    <xf numFmtId="0" fontId="0" fillId="0" borderId="62" xfId="0" applyBorder="1" applyAlignment="1">
      <alignment horizontal="center" vertical="center" wrapText="1"/>
    </xf>
    <xf numFmtId="0" fontId="0" fillId="0" borderId="13" xfId="0" applyBorder="1" applyAlignment="1">
      <alignment horizontal="center" vertical="center" wrapText="1"/>
    </xf>
    <xf numFmtId="0" fontId="22" fillId="0" borderId="29" xfId="0" applyFont="1" applyBorder="1" applyAlignment="1">
      <alignment horizontal="left" vertical="center"/>
    </xf>
    <xf numFmtId="0" fontId="22" fillId="0" borderId="0" xfId="0" applyFont="1" applyAlignment="1">
      <alignment horizontal="left" vertical="center"/>
    </xf>
    <xf numFmtId="0" fontId="0" fillId="0" borderId="18" xfId="0" applyBorder="1" applyAlignment="1">
      <alignment vertical="center" wrapText="1"/>
    </xf>
    <xf numFmtId="0" fontId="0" fillId="0" borderId="19" xfId="0" applyBorder="1" applyAlignment="1">
      <alignment vertical="center" wrapText="1"/>
    </xf>
    <xf numFmtId="0" fontId="0" fillId="0" borderId="15" xfId="0" applyBorder="1" applyAlignment="1">
      <alignment vertical="center" wrapText="1"/>
    </xf>
    <xf numFmtId="0" fontId="20" fillId="2" borderId="17" xfId="1" applyFont="1" applyBorder="1" applyAlignment="1">
      <alignment horizontal="center" vertical="center" wrapText="1"/>
    </xf>
    <xf numFmtId="0" fontId="20" fillId="2" borderId="69" xfId="1" applyFont="1" applyBorder="1" applyAlignment="1">
      <alignment horizontal="center" vertical="center" wrapText="1"/>
    </xf>
    <xf numFmtId="0" fontId="0" fillId="0" borderId="19" xfId="0" applyBorder="1" applyAlignment="1">
      <alignment horizontal="left" vertical="center" wrapText="1"/>
    </xf>
    <xf numFmtId="0" fontId="0" fillId="0" borderId="15" xfId="0" applyBorder="1" applyAlignment="1">
      <alignment horizontal="left" vertical="center" wrapText="1"/>
    </xf>
    <xf numFmtId="0" fontId="0" fillId="0" borderId="70" xfId="0" applyBorder="1" applyAlignment="1">
      <alignment horizontal="center" vertical="center" wrapText="1"/>
    </xf>
    <xf numFmtId="0" fontId="0" fillId="0" borderId="19" xfId="0" applyBorder="1" applyAlignment="1">
      <alignment horizontal="center" vertical="center" wrapText="1"/>
    </xf>
    <xf numFmtId="0" fontId="20" fillId="2" borderId="29" xfId="1" applyFont="1" applyBorder="1" applyAlignment="1">
      <alignment horizontal="center" vertical="center" wrapText="1"/>
    </xf>
    <xf numFmtId="0" fontId="20" fillId="2" borderId="20" xfId="1" applyFont="1" applyBorder="1" applyAlignment="1">
      <alignment horizontal="center" vertical="center" wrapText="1"/>
    </xf>
    <xf numFmtId="0" fontId="0" fillId="0" borderId="14" xfId="0" applyBorder="1" applyAlignment="1">
      <alignment horizontal="center" vertical="center" wrapText="1"/>
    </xf>
    <xf numFmtId="0" fontId="0" fillId="0" borderId="72" xfId="0" applyBorder="1" applyAlignment="1">
      <alignment horizontal="center" vertical="center" wrapText="1"/>
    </xf>
    <xf numFmtId="0" fontId="0" fillId="0" borderId="71" xfId="0" applyBorder="1" applyAlignment="1">
      <alignment horizontal="center" vertical="center" wrapText="1"/>
    </xf>
    <xf numFmtId="0" fontId="0" fillId="0" borderId="73" xfId="0" applyBorder="1" applyAlignment="1">
      <alignment horizontal="center" vertical="center" wrapText="1"/>
    </xf>
    <xf numFmtId="0" fontId="0" fillId="0" borderId="74" xfId="0" applyBorder="1" applyAlignment="1">
      <alignment horizontal="center" vertical="center" wrapText="1"/>
    </xf>
    <xf numFmtId="0" fontId="20" fillId="2" borderId="72" xfId="1" applyFont="1" applyBorder="1" applyAlignment="1">
      <alignment horizontal="center" vertical="center" wrapText="1"/>
    </xf>
    <xf numFmtId="0" fontId="0" fillId="0" borderId="1" xfId="0" applyBorder="1" applyAlignment="1">
      <alignment horizontal="center" vertical="center" wrapText="1"/>
    </xf>
    <xf numFmtId="0" fontId="23" fillId="33" borderId="6" xfId="0" applyFont="1" applyFill="1" applyBorder="1" applyAlignment="1">
      <alignment horizontal="center" vertical="center"/>
    </xf>
    <xf numFmtId="0" fontId="23" fillId="33" borderId="30" xfId="0" applyFont="1" applyFill="1" applyBorder="1" applyAlignment="1">
      <alignment horizontal="center" vertical="center"/>
    </xf>
    <xf numFmtId="0" fontId="23" fillId="33" borderId="45" xfId="0" applyFont="1" applyFill="1" applyBorder="1" applyAlignment="1">
      <alignment horizontal="center" vertical="center"/>
    </xf>
    <xf numFmtId="0" fontId="0" fillId="34" borderId="66" xfId="0" applyFill="1" applyBorder="1" applyAlignment="1">
      <alignment horizontal="center" vertical="center" wrapText="1"/>
    </xf>
    <xf numFmtId="0" fontId="0" fillId="34" borderId="6" xfId="0" applyFill="1" applyBorder="1" applyAlignment="1">
      <alignment horizontal="center" vertical="center" wrapText="1"/>
    </xf>
    <xf numFmtId="0" fontId="0" fillId="34" borderId="68" xfId="0" applyFill="1" applyBorder="1" applyAlignment="1">
      <alignment horizontal="center" vertical="center" wrapText="1"/>
    </xf>
    <xf numFmtId="0" fontId="0" fillId="34" borderId="45" xfId="0" applyFill="1" applyBorder="1" applyAlignment="1">
      <alignment horizontal="center" vertical="center" wrapText="1"/>
    </xf>
    <xf numFmtId="0" fontId="0" fillId="0" borderId="2" xfId="0" applyBorder="1" applyAlignment="1">
      <alignment horizontal="center" vertical="center" wrapText="1"/>
    </xf>
    <xf numFmtId="0" fontId="0" fillId="0" borderId="28" xfId="0" applyBorder="1" applyAlignment="1">
      <alignment horizontal="center" vertical="center" wrapText="1"/>
    </xf>
    <xf numFmtId="0" fontId="0" fillId="0" borderId="41" xfId="0" applyBorder="1" applyAlignment="1">
      <alignment horizontal="center" vertical="center" wrapText="1"/>
    </xf>
    <xf numFmtId="0" fontId="21" fillId="0" borderId="70" xfId="0" applyFont="1" applyBorder="1" applyAlignment="1">
      <alignment horizontal="right" vertical="center"/>
    </xf>
    <xf numFmtId="0" fontId="21" fillId="0" borderId="16" xfId="0" applyFont="1" applyBorder="1" applyAlignment="1">
      <alignment horizontal="right" vertical="center"/>
    </xf>
    <xf numFmtId="0" fontId="0" fillId="0" borderId="2" xfId="0" applyBorder="1" applyAlignment="1">
      <alignment horizontal="center"/>
    </xf>
    <xf numFmtId="0" fontId="0" fillId="0" borderId="28" xfId="0" applyBorder="1" applyAlignment="1">
      <alignment horizontal="center"/>
    </xf>
    <xf numFmtId="0" fontId="0" fillId="0" borderId="41" xfId="0" applyBorder="1" applyAlignment="1">
      <alignment horizontal="center"/>
    </xf>
    <xf numFmtId="0" fontId="24" fillId="2" borderId="17" xfId="1" applyFont="1" applyBorder="1" applyAlignment="1">
      <alignment horizontal="center" vertical="center" wrapText="1"/>
    </xf>
    <xf numFmtId="0" fontId="24" fillId="2" borderId="69" xfId="1" applyFont="1" applyBorder="1" applyAlignment="1">
      <alignment horizontal="center" vertical="center" wrapText="1"/>
    </xf>
    <xf numFmtId="0" fontId="0" fillId="0" borderId="16" xfId="0" applyBorder="1" applyAlignment="1">
      <alignment horizontal="center" vertical="center" wrapText="1"/>
    </xf>
    <xf numFmtId="0" fontId="0" fillId="0" borderId="70" xfId="0" applyBorder="1" applyAlignment="1">
      <alignment horizontal="left" vertical="center" wrapText="1"/>
    </xf>
    <xf numFmtId="0" fontId="20" fillId="2" borderId="15" xfId="1" applyFont="1" applyBorder="1" applyAlignment="1">
      <alignment vertical="center" wrapText="1"/>
    </xf>
    <xf numFmtId="0" fontId="20" fillId="2" borderId="63" xfId="1" applyFont="1" applyBorder="1" applyAlignment="1">
      <alignment vertical="center" wrapText="1"/>
    </xf>
    <xf numFmtId="0" fontId="20" fillId="2" borderId="18" xfId="1" applyFont="1" applyBorder="1" applyAlignment="1">
      <alignment vertical="center" wrapText="1"/>
    </xf>
    <xf numFmtId="0" fontId="0" fillId="0" borderId="66" xfId="0" applyBorder="1" applyAlignment="1">
      <alignment horizontal="left" vertical="center" wrapText="1"/>
    </xf>
    <xf numFmtId="0" fontId="0" fillId="0" borderId="68" xfId="0" applyBorder="1" applyAlignment="1">
      <alignment horizontal="left"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0" fillId="2" borderId="24" xfId="1" applyFont="1" applyBorder="1" applyAlignment="1">
      <alignment horizontal="center" vertical="center" wrapText="1"/>
    </xf>
    <xf numFmtId="0" fontId="20" fillId="2" borderId="76" xfId="1"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1"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2" builtinId="15" customBuiltin="1"/>
    <cellStyle name="Total" xfId="17" builtinId="25" customBuiltin="1"/>
    <cellStyle name="Warning Text" xfId="14" builtinId="11" customBuiltin="1"/>
  </cellStyles>
  <dxfs count="10">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Weber, Frank" id="{5D70C0B7-F71A-4879-95D5-98B5AF667B94}" userId="S::Frank.Weber@bchydro.com::b265336d-9c43-4f9f-93fe-13b18bab110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87" dT="2024-10-25T00:11:16.46" personId="{5D70C0B7-F71A-4879-95D5-98B5AF667B94}" id="{5FBDCA42-8681-46F8-8AC1-B959EF639E55}">
    <text>These are/were BC Hydro stations of the Site C network, not the HMP network.</text>
  </threadedComment>
  <threadedComment ref="F588" dT="2024-10-25T00:11:16.46" personId="{5D70C0B7-F71A-4879-95D5-98B5AF667B94}" id="{6B59AFE8-C726-4E76-8369-A01A47323000}">
    <text>These are/were BC Hydro stations of the Site C network, not the HMP network.</text>
  </threadedComment>
  <threadedComment ref="F589" dT="2024-10-25T00:11:16.46" personId="{5D70C0B7-F71A-4879-95D5-98B5AF667B94}" id="{DA1815B0-D651-4B06-92A8-4E1A1EA3794F}">
    <text>These are/were BC Hydro stations of the Site C network, not the HMP network.</text>
  </threadedComment>
  <threadedComment ref="F590" dT="2024-10-25T00:11:16.46" personId="{5D70C0B7-F71A-4879-95D5-98B5AF667B94}" id="{3CD23CCD-5A72-4BD1-97A7-0AA1C658D0FE}">
    <text>These are/were BC Hydro stations of the Site C network, not the HMP network.</text>
  </threadedComment>
  <threadedComment ref="F591" dT="2024-10-25T00:11:16.46" personId="{5D70C0B7-F71A-4879-95D5-98B5AF667B94}" id="{09614693-E683-46E5-A286-556D6A3D92E5}">
    <text>These are/were BC Hydro stations of the Site C network, not the HMP network.</text>
  </threadedComment>
  <threadedComment ref="F592" dT="2024-10-25T00:11:16.46" personId="{5D70C0B7-F71A-4879-95D5-98B5AF667B94}" id="{1B321A40-D886-45F4-9173-DDA44EF68016}">
    <text>These are/were BC Hydro stations of the Site C network, not the HMP network.</text>
  </threadedComment>
  <threadedComment ref="F594" dT="2024-10-25T00:11:16.46" personId="{5D70C0B7-F71A-4879-95D5-98B5AF667B94}" id="{888086F8-BBB5-4FF5-A2B4-6DD945571152}">
    <text>These are/were BC Hydro stations of the Site C network, not the HMP network.</text>
  </threadedComment>
  <threadedComment ref="F595" dT="2024-10-25T00:11:16.46" personId="{5D70C0B7-F71A-4879-95D5-98B5AF667B94}" id="{079A2400-7DA2-4D13-BC87-4B464C9C7D7C}">
    <text>These are/were BC Hydro stations of the Site C network, not the HMP network.</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prdoas6.pub-apps.th.gov.bc.ca/saw-paws/weatherstation" TargetMode="External"/><Relationship Id="rId21" Type="http://schemas.openxmlformats.org/officeDocument/2006/relationships/hyperlink" Target="https://doi.org/10.5281/zenodo.5520109" TargetMode="External"/><Relationship Id="rId34" Type="http://schemas.openxmlformats.org/officeDocument/2006/relationships/hyperlink" Target="https://www.bchydro.com/energy-in-bc/operations/transmission-reservoir-data/hydrometeorologic-data.html" TargetMode="External"/><Relationship Id="rId42" Type="http://schemas.openxmlformats.org/officeDocument/2006/relationships/hyperlink" Target="mailto:David.tavernini@pc.gc.ca" TargetMode="External"/><Relationship Id="rId47" Type="http://schemas.openxmlformats.org/officeDocument/2006/relationships/hyperlink" Target="https://doi.org/10.5281/zenodo.5520109" TargetMode="External"/><Relationship Id="rId50" Type="http://schemas.openxmlformats.org/officeDocument/2006/relationships/hyperlink" Target="https://bcagriweather.ca/" TargetMode="External"/><Relationship Id="rId55" Type="http://schemas.openxmlformats.org/officeDocument/2006/relationships/hyperlink" Target="https://bcagriweather.ca/" TargetMode="External"/><Relationship Id="rId63" Type="http://schemas.openxmlformats.org/officeDocument/2006/relationships/vmlDrawing" Target="../drawings/vmlDrawing1.vml"/><Relationship Id="rId7" Type="http://schemas.openxmlformats.org/officeDocument/2006/relationships/hyperlink" Target="https://bcagriweather.ca/" TargetMode="External"/><Relationship Id="rId2" Type="http://schemas.openxmlformats.org/officeDocument/2006/relationships/hyperlink" Target="https://datagarrison.com/users/300234062103550/300234065724550/plots.php" TargetMode="External"/><Relationship Id="rId16" Type="http://schemas.openxmlformats.org/officeDocument/2006/relationships/hyperlink" Target="https://datagarrison.com/users/300234062103550/300234065724550/plots.php" TargetMode="External"/><Relationship Id="rId29" Type="http://schemas.openxmlformats.org/officeDocument/2006/relationships/hyperlink" Target="https://prdoas6.pub-apps.th.gov.bc.ca/saw-paws/weatherstation" TargetMode="External"/><Relationship Id="rId11" Type="http://schemas.openxmlformats.org/officeDocument/2006/relationships/hyperlink" Target="https://datagarrison.com/users/300234062103550/300234065020820/plots.php" TargetMode="External"/><Relationship Id="rId24" Type="http://schemas.openxmlformats.org/officeDocument/2006/relationships/hyperlink" Target="https://prdoas6.pub-apps.th.gov.bc.ca/saw-paws/weatherstation" TargetMode="External"/><Relationship Id="rId32" Type="http://schemas.openxmlformats.org/officeDocument/2006/relationships/hyperlink" Target="https://www.bchydro.com/energy-in-bc/operations/transmission-reservoir-data/hydrometeorologic-data.html" TargetMode="External"/><Relationship Id="rId37" Type="http://schemas.openxmlformats.org/officeDocument/2006/relationships/hyperlink" Target="https://www.bchydro.com/energy-in-bc/operations/transmission-reservoir-data/hydrometeorologic-data.html" TargetMode="External"/><Relationship Id="rId40" Type="http://schemas.openxmlformats.org/officeDocument/2006/relationships/hyperlink" Target="http://viu-hydromet-wx.ca/graph/" TargetMode="External"/><Relationship Id="rId45" Type="http://schemas.openxmlformats.org/officeDocument/2006/relationships/hyperlink" Target="https://www.bchydro.com/energy-in-bc/operations/transmission-reservoir-data/hydrometeorologic-data.html" TargetMode="External"/><Relationship Id="rId53" Type="http://schemas.openxmlformats.org/officeDocument/2006/relationships/hyperlink" Target="https://bcagriweather.ca/" TargetMode="External"/><Relationship Id="rId58" Type="http://schemas.openxmlformats.org/officeDocument/2006/relationships/hyperlink" Target="https://bcagriweather.ca/" TargetMode="External"/><Relationship Id="rId5" Type="http://schemas.openxmlformats.org/officeDocument/2006/relationships/hyperlink" Target="https://www2.gov.bc.ca/gov/content/environment/air-land-water/air/air-quality" TargetMode="External"/><Relationship Id="rId61" Type="http://schemas.openxmlformats.org/officeDocument/2006/relationships/hyperlink" Target="https://prdoas6.pub-apps.th.gov.bc.ca/saw-paws/weatherstation" TargetMode="External"/><Relationship Id="rId19" Type="http://schemas.openxmlformats.org/officeDocument/2006/relationships/hyperlink" Target="http://datagarrison.com/users/300234062103550/300234064336030/plots.php" TargetMode="External"/><Relationship Id="rId14" Type="http://schemas.openxmlformats.org/officeDocument/2006/relationships/hyperlink" Target="https://datagarrison.com/users/300234062103550/300234065873520/plots.php" TargetMode="External"/><Relationship Id="rId22" Type="http://schemas.openxmlformats.org/officeDocument/2006/relationships/hyperlink" Target="https://datagarrison.com/users/300234065770410/300234065724520/plots.php" TargetMode="External"/><Relationship Id="rId27" Type="http://schemas.openxmlformats.org/officeDocument/2006/relationships/hyperlink" Target="https://prdoas6.pub-apps.th.gov.bc.ca/saw-paws/weatherstation" TargetMode="External"/><Relationship Id="rId30" Type="http://schemas.openxmlformats.org/officeDocument/2006/relationships/hyperlink" Target="https://www.bchydro.com/energy-in-bc/operations/transmission-reservoir-data/hydrometeorologic-data.html" TargetMode="External"/><Relationship Id="rId35" Type="http://schemas.openxmlformats.org/officeDocument/2006/relationships/hyperlink" Target="https://www.bchydro.com/energy-in-bc/operations/transmission-reservoir-data/hydrometeorologic-data.html" TargetMode="External"/><Relationship Id="rId43" Type="http://schemas.openxmlformats.org/officeDocument/2006/relationships/hyperlink" Target="mailto:David.tavernini@pc.gc.ca" TargetMode="External"/><Relationship Id="rId48" Type="http://schemas.openxmlformats.org/officeDocument/2006/relationships/hyperlink" Target="https://bcagriweather.ca/" TargetMode="External"/><Relationship Id="rId56" Type="http://schemas.openxmlformats.org/officeDocument/2006/relationships/hyperlink" Target="https://bcagriweather.ca/" TargetMode="External"/><Relationship Id="rId64" Type="http://schemas.openxmlformats.org/officeDocument/2006/relationships/comments" Target="../comments1.xml"/><Relationship Id="rId8" Type="http://schemas.openxmlformats.org/officeDocument/2006/relationships/hyperlink" Target="https://datagarrison.com/users/300234065770410/300234065770410/plots.php" TargetMode="External"/><Relationship Id="rId51" Type="http://schemas.openxmlformats.org/officeDocument/2006/relationships/hyperlink" Target="https://bcagriweather.ca/" TargetMode="External"/><Relationship Id="rId3" Type="http://schemas.openxmlformats.org/officeDocument/2006/relationships/hyperlink" Target="https://datagarrison.com/users/300234062103550/300234065724550/plots.php" TargetMode="External"/><Relationship Id="rId12" Type="http://schemas.openxmlformats.org/officeDocument/2006/relationships/hyperlink" Target="https://datagarrison.com/users/300234062103550/300234068906430/plots.php" TargetMode="External"/><Relationship Id="rId17" Type="http://schemas.openxmlformats.org/officeDocument/2006/relationships/hyperlink" Target="http://datagarrison.com/users/300234062103550/300234065500940/plots.php" TargetMode="External"/><Relationship Id="rId25" Type="http://schemas.openxmlformats.org/officeDocument/2006/relationships/hyperlink" Target="https://prdoas6.pub-apps.th.gov.bc.ca/saw-paws/weatherstation" TargetMode="External"/><Relationship Id="rId33" Type="http://schemas.openxmlformats.org/officeDocument/2006/relationships/hyperlink" Target="https://www.bchydro.com/energy-in-bc/operations/transmission-reservoir-data/hydrometeorologic-data.html" TargetMode="External"/><Relationship Id="rId38" Type="http://schemas.openxmlformats.org/officeDocument/2006/relationships/hyperlink" Target="https://www.bchydro.com/energy-in-bc/operations/transmission-reservoir-data/hydrometeorologic-data.html" TargetMode="External"/><Relationship Id="rId46" Type="http://schemas.openxmlformats.org/officeDocument/2006/relationships/hyperlink" Target="https://doi.org/10.5281/zenodo.5520109" TargetMode="External"/><Relationship Id="rId59" Type="http://schemas.openxmlformats.org/officeDocument/2006/relationships/hyperlink" Target="https://bcagriweather.ca/" TargetMode="External"/><Relationship Id="rId20" Type="http://schemas.openxmlformats.org/officeDocument/2006/relationships/hyperlink" Target="https://doi.org/10.5281/zenodo.5520109" TargetMode="External"/><Relationship Id="rId41" Type="http://schemas.openxmlformats.org/officeDocument/2006/relationships/hyperlink" Target="mailto:David.tavernini@pc.gc.ca" TargetMode="External"/><Relationship Id="rId54" Type="http://schemas.openxmlformats.org/officeDocument/2006/relationships/hyperlink" Target="https://bcagriweather.ca/" TargetMode="External"/><Relationship Id="rId62" Type="http://schemas.openxmlformats.org/officeDocument/2006/relationships/printerSettings" Target="../printerSettings/printerSettings1.bin"/><Relationship Id="rId1" Type="http://schemas.openxmlformats.org/officeDocument/2006/relationships/hyperlink" Target="https://datagarrison.com/users/300234062103550/300234065724550/plots.php" TargetMode="External"/><Relationship Id="rId6" Type="http://schemas.openxmlformats.org/officeDocument/2006/relationships/hyperlink" Target="https://bcagriweather.ca/" TargetMode="External"/><Relationship Id="rId15" Type="http://schemas.openxmlformats.org/officeDocument/2006/relationships/hyperlink" Target="https://datagarrison.com/users/300234062103550/300234062105500/plots.php" TargetMode="External"/><Relationship Id="rId23" Type="http://schemas.openxmlformats.org/officeDocument/2006/relationships/hyperlink" Target="https://prdoas6.pub-apps.th.gov.bc.ca/saw-paws/weatherstation" TargetMode="External"/><Relationship Id="rId28" Type="http://schemas.openxmlformats.org/officeDocument/2006/relationships/hyperlink" Target="https://prdoas6.pub-apps.th.gov.bc.ca/saw-paws/weatherstation" TargetMode="External"/><Relationship Id="rId36" Type="http://schemas.openxmlformats.org/officeDocument/2006/relationships/hyperlink" Target="https://www.bchydro.com/energy-in-bc/operations/transmission-reservoir-data/hydrometeorologic-data.html" TargetMode="External"/><Relationship Id="rId49" Type="http://schemas.openxmlformats.org/officeDocument/2006/relationships/hyperlink" Target="https://bcagriweather.ca/" TargetMode="External"/><Relationship Id="rId57" Type="http://schemas.openxmlformats.org/officeDocument/2006/relationships/hyperlink" Target="https://bcagriweather.ca/" TargetMode="External"/><Relationship Id="rId10" Type="http://schemas.openxmlformats.org/officeDocument/2006/relationships/hyperlink" Target="https://datagarrison.com/users/300234062103550/300234065022520/plots.php" TargetMode="External"/><Relationship Id="rId31" Type="http://schemas.openxmlformats.org/officeDocument/2006/relationships/hyperlink" Target="https://www.bchydro.com/energy-in-bc/operations/transmission-reservoir-data/hydrometeorologic-data.html" TargetMode="External"/><Relationship Id="rId44" Type="http://schemas.openxmlformats.org/officeDocument/2006/relationships/hyperlink" Target="mailto:David.tavernini@pc.gc.ca" TargetMode="External"/><Relationship Id="rId52" Type="http://schemas.openxmlformats.org/officeDocument/2006/relationships/hyperlink" Target="https://bcagriweather.ca/" TargetMode="External"/><Relationship Id="rId60" Type="http://schemas.openxmlformats.org/officeDocument/2006/relationships/hyperlink" Target="https://bcagriweather.ca/" TargetMode="External"/><Relationship Id="rId65" Type="http://schemas.microsoft.com/office/2017/10/relationships/threadedComment" Target="../threadedComments/threadedComment1.xml"/><Relationship Id="rId4" Type="http://schemas.openxmlformats.org/officeDocument/2006/relationships/hyperlink" Target="https://www2.gov.bc.ca/gov/content/environment/air-land-water/air/air-quality" TargetMode="External"/><Relationship Id="rId9" Type="http://schemas.openxmlformats.org/officeDocument/2006/relationships/hyperlink" Target="https://datagarrison.com/users/300234062103550/300234062107550/plots.php" TargetMode="External"/><Relationship Id="rId13" Type="http://schemas.openxmlformats.org/officeDocument/2006/relationships/hyperlink" Target="https://datagarrison.com/users/300234062103550/300534063019060/plots.php" TargetMode="External"/><Relationship Id="rId18" Type="http://schemas.openxmlformats.org/officeDocument/2006/relationships/hyperlink" Target="http://datagarrison.com/users/300234062103550/300234065506710/plots.php" TargetMode="External"/><Relationship Id="rId39" Type="http://schemas.openxmlformats.org/officeDocument/2006/relationships/hyperlink" Target="https://www2.gov.bc.ca/gov/content/environment/air-land-water/air/air-qualit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1CAF1-6E30-4DE7-A011-930F7EC63AF5}">
  <dimension ref="A1:AC1206"/>
  <sheetViews>
    <sheetView zoomScale="85" zoomScaleNormal="85" workbookViewId="0">
      <selection activeCell="D1176" sqref="D1176"/>
    </sheetView>
  </sheetViews>
  <sheetFormatPr baseColWidth="10" defaultColWidth="27.6640625" defaultRowHeight="15" x14ac:dyDescent="0.2"/>
  <sheetData>
    <row r="1" spans="1:29" ht="13.5"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
      <c r="A2">
        <v>51.790277779999997</v>
      </c>
      <c r="B2">
        <v>-121.2511111</v>
      </c>
      <c r="C2" t="s">
        <v>29</v>
      </c>
      <c r="D2" t="s">
        <v>30</v>
      </c>
      <c r="E2">
        <v>1</v>
      </c>
      <c r="F2" t="s">
        <v>31</v>
      </c>
      <c r="G2" t="str">
        <f t="shared" ref="G2:G65" si="0">UPPER(F2)</f>
        <v>ALKALI LAKE</v>
      </c>
      <c r="H2" t="s">
        <v>32</v>
      </c>
      <c r="I2">
        <v>677</v>
      </c>
      <c r="L2">
        <v>39814</v>
      </c>
      <c r="M2" t="s">
        <v>33</v>
      </c>
      <c r="N2" t="s">
        <v>34</v>
      </c>
      <c r="O2" t="s">
        <v>35</v>
      </c>
      <c r="R2" t="s">
        <v>36</v>
      </c>
      <c r="S2" t="s">
        <v>37</v>
      </c>
      <c r="T2" t="s">
        <v>38</v>
      </c>
      <c r="U2" t="s">
        <v>39</v>
      </c>
      <c r="W2" t="s">
        <v>40</v>
      </c>
    </row>
    <row r="3" spans="1:29" x14ac:dyDescent="0.2">
      <c r="A3">
        <v>49.079099999999997</v>
      </c>
      <c r="B3">
        <v>-122.986</v>
      </c>
      <c r="C3" t="s">
        <v>41</v>
      </c>
      <c r="D3" t="s">
        <v>42</v>
      </c>
      <c r="E3">
        <v>1</v>
      </c>
      <c r="F3" t="s">
        <v>43</v>
      </c>
      <c r="G3" t="str">
        <f t="shared" si="0"/>
        <v>BOUNDARY BAY</v>
      </c>
      <c r="H3" t="s">
        <v>32</v>
      </c>
      <c r="I3">
        <v>8</v>
      </c>
      <c r="L3">
        <v>43975</v>
      </c>
      <c r="M3" t="s">
        <v>33</v>
      </c>
      <c r="N3" t="s">
        <v>34</v>
      </c>
      <c r="O3" t="s">
        <v>35</v>
      </c>
      <c r="R3" t="s">
        <v>36</v>
      </c>
      <c r="S3" t="s">
        <v>37</v>
      </c>
      <c r="T3" t="s">
        <v>38</v>
      </c>
      <c r="U3" t="s">
        <v>39</v>
      </c>
      <c r="W3" t="s">
        <v>40</v>
      </c>
    </row>
    <row r="4" spans="1:29" x14ac:dyDescent="0.2">
      <c r="A4">
        <v>56.246099999999998</v>
      </c>
      <c r="B4">
        <v>-121.30800000000001</v>
      </c>
      <c r="C4" t="s">
        <v>29</v>
      </c>
      <c r="D4" t="s">
        <v>44</v>
      </c>
      <c r="E4">
        <v>1</v>
      </c>
      <c r="F4" t="s">
        <v>45</v>
      </c>
      <c r="G4" t="str">
        <f t="shared" si="0"/>
        <v>BEARFLATS</v>
      </c>
      <c r="H4" t="s">
        <v>32</v>
      </c>
      <c r="I4">
        <v>504</v>
      </c>
      <c r="L4">
        <v>44768</v>
      </c>
      <c r="M4" t="s">
        <v>33</v>
      </c>
      <c r="N4" t="s">
        <v>34</v>
      </c>
      <c r="O4" t="s">
        <v>35</v>
      </c>
      <c r="R4" t="s">
        <v>36</v>
      </c>
      <c r="S4" t="s">
        <v>37</v>
      </c>
      <c r="T4" t="s">
        <v>38</v>
      </c>
      <c r="U4" t="s">
        <v>39</v>
      </c>
      <c r="W4" t="s">
        <v>40</v>
      </c>
    </row>
    <row r="5" spans="1:29" x14ac:dyDescent="0.2">
      <c r="A5">
        <v>56.7637</v>
      </c>
      <c r="B5">
        <v>-121.08499999999999</v>
      </c>
      <c r="C5" t="s">
        <v>46</v>
      </c>
      <c r="D5" t="s">
        <v>47</v>
      </c>
      <c r="E5">
        <v>4</v>
      </c>
      <c r="F5" t="s">
        <v>48</v>
      </c>
      <c r="G5" t="str">
        <f t="shared" si="0"/>
        <v>BUICK</v>
      </c>
      <c r="H5" t="s">
        <v>32</v>
      </c>
      <c r="I5">
        <v>757</v>
      </c>
      <c r="L5">
        <v>44768</v>
      </c>
      <c r="M5" t="s">
        <v>33</v>
      </c>
      <c r="N5" t="s">
        <v>34</v>
      </c>
      <c r="O5" t="s">
        <v>35</v>
      </c>
      <c r="R5" t="s">
        <v>36</v>
      </c>
      <c r="S5" t="s">
        <v>37</v>
      </c>
      <c r="T5" t="s">
        <v>38</v>
      </c>
      <c r="U5" t="s">
        <v>39</v>
      </c>
      <c r="W5" t="s">
        <v>40</v>
      </c>
    </row>
    <row r="6" spans="1:29" x14ac:dyDescent="0.2">
      <c r="A6">
        <v>55.772100000000002</v>
      </c>
      <c r="B6">
        <v>-120.143</v>
      </c>
      <c r="C6" t="s">
        <v>46</v>
      </c>
      <c r="D6" t="s">
        <v>49</v>
      </c>
      <c r="E6">
        <v>2</v>
      </c>
      <c r="F6" t="s">
        <v>50</v>
      </c>
      <c r="G6" t="str">
        <f t="shared" si="0"/>
        <v>BCGPA DAWSON CREEK</v>
      </c>
      <c r="H6" t="s">
        <v>32</v>
      </c>
      <c r="I6">
        <v>673</v>
      </c>
      <c r="L6">
        <v>44822</v>
      </c>
      <c r="M6" t="s">
        <v>33</v>
      </c>
      <c r="N6" t="s">
        <v>34</v>
      </c>
      <c r="O6" t="s">
        <v>35</v>
      </c>
      <c r="R6" t="s">
        <v>36</v>
      </c>
      <c r="S6" t="s">
        <v>37</v>
      </c>
      <c r="T6" t="s">
        <v>38</v>
      </c>
      <c r="U6" t="s">
        <v>39</v>
      </c>
      <c r="W6" t="s">
        <v>40</v>
      </c>
    </row>
    <row r="7" spans="1:29" x14ac:dyDescent="0.2">
      <c r="A7">
        <v>56.088799999999999</v>
      </c>
      <c r="B7">
        <v>-120.038</v>
      </c>
      <c r="C7" t="s">
        <v>46</v>
      </c>
      <c r="D7" t="s">
        <v>51</v>
      </c>
      <c r="E7">
        <v>1</v>
      </c>
      <c r="F7" t="s">
        <v>52</v>
      </c>
      <c r="G7" t="str">
        <f t="shared" si="0"/>
        <v>DOE RIVER</v>
      </c>
      <c r="H7" t="s">
        <v>32</v>
      </c>
      <c r="I7">
        <v>606</v>
      </c>
      <c r="L7">
        <v>44768</v>
      </c>
      <c r="M7" t="s">
        <v>33</v>
      </c>
      <c r="N7" t="s">
        <v>34</v>
      </c>
      <c r="O7" t="s">
        <v>35</v>
      </c>
      <c r="R7" t="s">
        <v>36</v>
      </c>
      <c r="S7" t="s">
        <v>37</v>
      </c>
      <c r="T7" t="s">
        <v>38</v>
      </c>
      <c r="U7" t="s">
        <v>39</v>
      </c>
      <c r="W7" t="s">
        <v>40</v>
      </c>
    </row>
    <row r="8" spans="1:29" x14ac:dyDescent="0.2">
      <c r="A8">
        <v>55.605800000000002</v>
      </c>
      <c r="B8">
        <v>-120.51300000000001</v>
      </c>
      <c r="C8" t="s">
        <v>46</v>
      </c>
      <c r="D8" t="s">
        <v>53</v>
      </c>
      <c r="E8">
        <v>3</v>
      </c>
      <c r="F8" t="s">
        <v>54</v>
      </c>
      <c r="G8" t="str">
        <f t="shared" si="0"/>
        <v>FELLERS HEIGHTS</v>
      </c>
      <c r="H8" t="s">
        <v>32</v>
      </c>
      <c r="I8">
        <v>731</v>
      </c>
      <c r="L8">
        <v>44768</v>
      </c>
      <c r="M8" t="s">
        <v>33</v>
      </c>
      <c r="N8" t="s">
        <v>34</v>
      </c>
      <c r="O8" t="s">
        <v>35</v>
      </c>
      <c r="R8" t="s">
        <v>36</v>
      </c>
      <c r="S8" t="s">
        <v>37</v>
      </c>
      <c r="T8" t="s">
        <v>38</v>
      </c>
      <c r="U8" t="s">
        <v>39</v>
      </c>
      <c r="W8" t="s">
        <v>40</v>
      </c>
    </row>
    <row r="9" spans="1:29" x14ac:dyDescent="0.2">
      <c r="A9">
        <v>55.910299999999999</v>
      </c>
      <c r="B9">
        <v>-120.586</v>
      </c>
      <c r="C9" t="s">
        <v>46</v>
      </c>
      <c r="D9" t="s">
        <v>55</v>
      </c>
      <c r="E9">
        <v>3</v>
      </c>
      <c r="F9" t="s">
        <v>56</v>
      </c>
      <c r="G9" t="str">
        <f t="shared" si="0"/>
        <v>FARMINGTON</v>
      </c>
      <c r="H9" t="s">
        <v>32</v>
      </c>
      <c r="I9">
        <v>717</v>
      </c>
      <c r="L9">
        <v>44768</v>
      </c>
      <c r="M9" t="s">
        <v>33</v>
      </c>
      <c r="N9" t="s">
        <v>34</v>
      </c>
      <c r="O9" t="s">
        <v>35</v>
      </c>
      <c r="R9" t="s">
        <v>36</v>
      </c>
      <c r="S9" t="s">
        <v>37</v>
      </c>
      <c r="T9" t="s">
        <v>38</v>
      </c>
      <c r="U9" t="s">
        <v>39</v>
      </c>
      <c r="W9" t="s">
        <v>40</v>
      </c>
    </row>
    <row r="10" spans="1:29" x14ac:dyDescent="0.2">
      <c r="A10">
        <v>56.269100000000002</v>
      </c>
      <c r="B10">
        <v>-120.42100000000001</v>
      </c>
      <c r="C10" t="s">
        <v>46</v>
      </c>
      <c r="D10" t="s">
        <v>57</v>
      </c>
      <c r="E10">
        <v>2</v>
      </c>
      <c r="F10" t="s">
        <v>58</v>
      </c>
      <c r="G10" t="str">
        <f t="shared" si="0"/>
        <v>FLATROCK</v>
      </c>
      <c r="H10" t="s">
        <v>32</v>
      </c>
      <c r="I10">
        <v>693</v>
      </c>
      <c r="L10">
        <v>44768</v>
      </c>
      <c r="M10" t="s">
        <v>33</v>
      </c>
      <c r="N10" t="s">
        <v>34</v>
      </c>
      <c r="O10" t="s">
        <v>35</v>
      </c>
      <c r="R10" t="s">
        <v>36</v>
      </c>
      <c r="S10" t="s">
        <v>37</v>
      </c>
      <c r="T10" t="s">
        <v>38</v>
      </c>
      <c r="U10" t="s">
        <v>39</v>
      </c>
      <c r="W10" t="s">
        <v>40</v>
      </c>
    </row>
    <row r="11" spans="1:29" x14ac:dyDescent="0.2">
      <c r="A11">
        <v>56.333500000000001</v>
      </c>
      <c r="B11">
        <v>-120.18300000000001</v>
      </c>
      <c r="C11" t="s">
        <v>46</v>
      </c>
      <c r="D11" t="s">
        <v>59</v>
      </c>
      <c r="E11">
        <v>2</v>
      </c>
      <c r="F11" t="s">
        <v>60</v>
      </c>
      <c r="G11" t="str">
        <f t="shared" si="0"/>
        <v>GOODLOW</v>
      </c>
      <c r="H11" t="s">
        <v>32</v>
      </c>
      <c r="I11">
        <v>676</v>
      </c>
      <c r="L11">
        <v>44768</v>
      </c>
      <c r="M11" t="s">
        <v>33</v>
      </c>
      <c r="N11" t="s">
        <v>34</v>
      </c>
      <c r="O11" t="s">
        <v>35</v>
      </c>
      <c r="R11" t="s">
        <v>36</v>
      </c>
      <c r="S11" t="s">
        <v>37</v>
      </c>
      <c r="T11" t="s">
        <v>38</v>
      </c>
      <c r="U11" t="s">
        <v>39</v>
      </c>
      <c r="W11" t="s">
        <v>40</v>
      </c>
    </row>
    <row r="12" spans="1:29" x14ac:dyDescent="0.2">
      <c r="A12">
        <v>55.770299999999999</v>
      </c>
      <c r="B12">
        <v>-120.874</v>
      </c>
      <c r="C12" t="s">
        <v>61</v>
      </c>
      <c r="D12" t="s">
        <v>62</v>
      </c>
      <c r="E12">
        <v>1</v>
      </c>
      <c r="F12" t="s">
        <v>63</v>
      </c>
      <c r="G12" t="str">
        <f t="shared" si="0"/>
        <v>GROUNDBIRCH</v>
      </c>
      <c r="H12" t="s">
        <v>32</v>
      </c>
      <c r="I12">
        <v>743</v>
      </c>
      <c r="L12">
        <v>44768</v>
      </c>
      <c r="M12" t="s">
        <v>33</v>
      </c>
      <c r="N12" t="s">
        <v>34</v>
      </c>
      <c r="O12" t="s">
        <v>35</v>
      </c>
      <c r="R12" t="s">
        <v>36</v>
      </c>
      <c r="S12" t="s">
        <v>37</v>
      </c>
      <c r="T12" t="s">
        <v>38</v>
      </c>
      <c r="U12" t="s">
        <v>39</v>
      </c>
      <c r="W12" t="s">
        <v>40</v>
      </c>
    </row>
    <row r="13" spans="1:29" x14ac:dyDescent="0.2">
      <c r="A13">
        <v>55.253100000000003</v>
      </c>
      <c r="B13">
        <v>-120.07899999999999</v>
      </c>
      <c r="C13" t="s">
        <v>46</v>
      </c>
      <c r="D13" t="s">
        <v>64</v>
      </c>
      <c r="E13">
        <v>7</v>
      </c>
      <c r="F13" t="s">
        <v>65</v>
      </c>
      <c r="G13" t="str">
        <f t="shared" si="0"/>
        <v>KELLY LAKE</v>
      </c>
      <c r="H13" t="s">
        <v>32</v>
      </c>
      <c r="I13">
        <v>880</v>
      </c>
      <c r="L13">
        <v>44768</v>
      </c>
      <c r="M13" t="s">
        <v>33</v>
      </c>
      <c r="N13" t="s">
        <v>34</v>
      </c>
      <c r="O13" t="s">
        <v>35</v>
      </c>
      <c r="R13" t="s">
        <v>36</v>
      </c>
      <c r="S13" t="s">
        <v>37</v>
      </c>
      <c r="T13" t="s">
        <v>38</v>
      </c>
      <c r="U13" t="s">
        <v>39</v>
      </c>
      <c r="W13" t="s">
        <v>40</v>
      </c>
    </row>
    <row r="14" spans="1:29" x14ac:dyDescent="0.2">
      <c r="A14">
        <v>55.590299999999999</v>
      </c>
      <c r="B14">
        <v>-121.26</v>
      </c>
      <c r="C14" t="s">
        <v>46</v>
      </c>
      <c r="D14" t="s">
        <v>66</v>
      </c>
      <c r="E14">
        <v>3</v>
      </c>
      <c r="F14" t="s">
        <v>67</v>
      </c>
      <c r="G14" t="str">
        <f t="shared" si="0"/>
        <v>LONE PRAIRIE</v>
      </c>
      <c r="H14" t="s">
        <v>32</v>
      </c>
      <c r="I14">
        <v>729</v>
      </c>
      <c r="L14">
        <v>44768</v>
      </c>
      <c r="M14" t="s">
        <v>33</v>
      </c>
      <c r="N14" t="s">
        <v>34</v>
      </c>
      <c r="O14" t="s">
        <v>35</v>
      </c>
      <c r="R14" t="s">
        <v>36</v>
      </c>
      <c r="S14" t="s">
        <v>37</v>
      </c>
      <c r="T14" t="s">
        <v>38</v>
      </c>
      <c r="U14" t="s">
        <v>39</v>
      </c>
      <c r="W14" t="s">
        <v>40</v>
      </c>
    </row>
    <row r="15" spans="1:29" x14ac:dyDescent="0.2">
      <c r="A15">
        <v>56.353700000000003</v>
      </c>
      <c r="B15">
        <v>-120.878</v>
      </c>
      <c r="C15" t="s">
        <v>46</v>
      </c>
      <c r="D15" t="s">
        <v>68</v>
      </c>
      <c r="E15">
        <v>2</v>
      </c>
      <c r="F15" t="s">
        <v>69</v>
      </c>
      <c r="G15" t="str">
        <f t="shared" si="0"/>
        <v>MONTNEY - BICKFORDS</v>
      </c>
      <c r="H15" t="s">
        <v>32</v>
      </c>
      <c r="I15">
        <v>693</v>
      </c>
      <c r="L15">
        <v>44768</v>
      </c>
      <c r="M15" t="s">
        <v>33</v>
      </c>
      <c r="N15" t="s">
        <v>34</v>
      </c>
      <c r="O15" t="s">
        <v>35</v>
      </c>
      <c r="R15" t="s">
        <v>36</v>
      </c>
      <c r="S15" t="s">
        <v>37</v>
      </c>
      <c r="T15" t="s">
        <v>38</v>
      </c>
      <c r="U15" t="s">
        <v>39</v>
      </c>
      <c r="W15" t="s">
        <v>40</v>
      </c>
    </row>
    <row r="16" spans="1:29" x14ac:dyDescent="0.2">
      <c r="A16">
        <v>55.705599999999997</v>
      </c>
      <c r="B16">
        <v>-120.087</v>
      </c>
      <c r="C16" t="s">
        <v>46</v>
      </c>
      <c r="D16" t="s">
        <v>70</v>
      </c>
      <c r="E16">
        <v>2</v>
      </c>
      <c r="F16" t="s">
        <v>71</v>
      </c>
      <c r="G16" t="str">
        <f t="shared" si="0"/>
        <v>POUCE COUPE</v>
      </c>
      <c r="H16" t="s">
        <v>32</v>
      </c>
      <c r="I16">
        <v>665</v>
      </c>
      <c r="L16">
        <v>44768</v>
      </c>
      <c r="M16" t="s">
        <v>33</v>
      </c>
      <c r="N16" t="s">
        <v>34</v>
      </c>
      <c r="O16" t="s">
        <v>35</v>
      </c>
      <c r="R16" t="s">
        <v>36</v>
      </c>
      <c r="S16" t="s">
        <v>37</v>
      </c>
      <c r="T16" t="s">
        <v>38</v>
      </c>
      <c r="U16" t="s">
        <v>39</v>
      </c>
      <c r="W16" t="s">
        <v>40</v>
      </c>
    </row>
    <row r="17" spans="1:23" x14ac:dyDescent="0.2">
      <c r="A17">
        <v>56.902099999999997</v>
      </c>
      <c r="B17">
        <v>-121.062</v>
      </c>
      <c r="C17" t="s">
        <v>46</v>
      </c>
      <c r="D17" t="s">
        <v>72</v>
      </c>
      <c r="E17">
        <v>4</v>
      </c>
      <c r="F17" t="s">
        <v>73</v>
      </c>
      <c r="G17" t="str">
        <f t="shared" si="0"/>
        <v>PRESPATOU</v>
      </c>
      <c r="H17" t="s">
        <v>32</v>
      </c>
      <c r="I17">
        <v>734</v>
      </c>
      <c r="L17">
        <v>44768</v>
      </c>
      <c r="M17" t="s">
        <v>33</v>
      </c>
      <c r="N17" t="s">
        <v>34</v>
      </c>
      <c r="O17" t="s">
        <v>35</v>
      </c>
      <c r="R17" t="s">
        <v>36</v>
      </c>
      <c r="S17" t="s">
        <v>37</v>
      </c>
      <c r="T17" t="s">
        <v>38</v>
      </c>
      <c r="U17" t="s">
        <v>39</v>
      </c>
      <c r="W17" t="s">
        <v>40</v>
      </c>
    </row>
    <row r="18" spans="1:23" x14ac:dyDescent="0.2">
      <c r="A18">
        <v>55.859699999999997</v>
      </c>
      <c r="B18">
        <v>-120.196</v>
      </c>
      <c r="C18" t="s">
        <v>46</v>
      </c>
      <c r="D18" t="s">
        <v>74</v>
      </c>
      <c r="E18">
        <v>3</v>
      </c>
      <c r="F18" t="s">
        <v>75</v>
      </c>
      <c r="G18" t="str">
        <f t="shared" si="0"/>
        <v>ROLLA</v>
      </c>
      <c r="H18" t="s">
        <v>32</v>
      </c>
      <c r="I18">
        <v>718</v>
      </c>
      <c r="L18">
        <v>44768</v>
      </c>
      <c r="M18" t="s">
        <v>33</v>
      </c>
      <c r="N18" t="s">
        <v>34</v>
      </c>
      <c r="O18" t="s">
        <v>35</v>
      </c>
      <c r="R18" t="s">
        <v>36</v>
      </c>
      <c r="S18" t="s">
        <v>37</v>
      </c>
      <c r="T18" t="s">
        <v>38</v>
      </c>
      <c r="U18" t="s">
        <v>39</v>
      </c>
      <c r="W18" t="s">
        <v>40</v>
      </c>
    </row>
    <row r="19" spans="1:23" x14ac:dyDescent="0.2">
      <c r="A19">
        <v>56.537599999999998</v>
      </c>
      <c r="B19">
        <v>-120.767</v>
      </c>
      <c r="C19" t="s">
        <v>46</v>
      </c>
      <c r="D19" t="s">
        <v>76</v>
      </c>
      <c r="E19">
        <v>3</v>
      </c>
      <c r="F19" t="s">
        <v>77</v>
      </c>
      <c r="G19" t="str">
        <f t="shared" si="0"/>
        <v>ROSE PRAIRIE</v>
      </c>
      <c r="H19" t="s">
        <v>32</v>
      </c>
      <c r="I19">
        <v>713</v>
      </c>
      <c r="L19">
        <v>44768</v>
      </c>
      <c r="M19" t="s">
        <v>33</v>
      </c>
      <c r="N19" t="s">
        <v>34</v>
      </c>
      <c r="O19" t="s">
        <v>35</v>
      </c>
      <c r="R19" t="s">
        <v>36</v>
      </c>
      <c r="S19" t="s">
        <v>37</v>
      </c>
      <c r="T19" t="s">
        <v>38</v>
      </c>
      <c r="U19" t="s">
        <v>39</v>
      </c>
      <c r="W19" t="s">
        <v>40</v>
      </c>
    </row>
    <row r="20" spans="1:23" x14ac:dyDescent="0.2">
      <c r="A20">
        <v>55.569000000000003</v>
      </c>
      <c r="B20">
        <v>-120.128</v>
      </c>
      <c r="C20" t="s">
        <v>46</v>
      </c>
      <c r="D20" t="s">
        <v>78</v>
      </c>
      <c r="E20">
        <v>4</v>
      </c>
      <c r="F20" t="s">
        <v>79</v>
      </c>
      <c r="G20" t="str">
        <f t="shared" si="0"/>
        <v>TOMSLAKE</v>
      </c>
      <c r="H20" t="s">
        <v>32</v>
      </c>
      <c r="I20">
        <v>744</v>
      </c>
      <c r="L20">
        <v>44768</v>
      </c>
      <c r="M20" t="s">
        <v>33</v>
      </c>
      <c r="N20" t="s">
        <v>34</v>
      </c>
      <c r="O20" t="s">
        <v>35</v>
      </c>
      <c r="R20" t="s">
        <v>36</v>
      </c>
      <c r="S20" t="s">
        <v>37</v>
      </c>
      <c r="T20" t="s">
        <v>38</v>
      </c>
      <c r="U20" t="s">
        <v>39</v>
      </c>
      <c r="W20" t="s">
        <v>40</v>
      </c>
    </row>
    <row r="21" spans="1:23" x14ac:dyDescent="0.2">
      <c r="A21">
        <v>56.015099999999997</v>
      </c>
      <c r="B21">
        <v>-120.601</v>
      </c>
      <c r="C21" t="s">
        <v>46</v>
      </c>
      <c r="D21" t="s">
        <v>80</v>
      </c>
      <c r="E21">
        <v>7</v>
      </c>
      <c r="F21" t="s">
        <v>81</v>
      </c>
      <c r="G21" t="str">
        <f t="shared" si="0"/>
        <v>TOWER LAKE</v>
      </c>
      <c r="H21" t="s">
        <v>32</v>
      </c>
      <c r="I21">
        <v>783</v>
      </c>
      <c r="L21">
        <v>44768</v>
      </c>
      <c r="M21" t="s">
        <v>33</v>
      </c>
      <c r="N21" t="s">
        <v>34</v>
      </c>
      <c r="O21" t="s">
        <v>35</v>
      </c>
      <c r="R21" t="s">
        <v>36</v>
      </c>
      <c r="S21" t="s">
        <v>37</v>
      </c>
      <c r="T21" t="s">
        <v>38</v>
      </c>
      <c r="U21" t="s">
        <v>39</v>
      </c>
      <c r="W21" t="s">
        <v>40</v>
      </c>
    </row>
    <row r="22" spans="1:23" x14ac:dyDescent="0.2">
      <c r="A22">
        <v>56.521500000000003</v>
      </c>
      <c r="B22">
        <v>-122.313</v>
      </c>
      <c r="C22" t="s">
        <v>46</v>
      </c>
      <c r="D22" t="s">
        <v>82</v>
      </c>
      <c r="E22">
        <v>2</v>
      </c>
      <c r="F22" t="s">
        <v>83</v>
      </c>
      <c r="G22" t="str">
        <f t="shared" si="0"/>
        <v>UPPER HALFWAY</v>
      </c>
      <c r="H22" t="s">
        <v>32</v>
      </c>
      <c r="I22">
        <v>674</v>
      </c>
      <c r="L22">
        <v>44768</v>
      </c>
      <c r="M22" t="s">
        <v>33</v>
      </c>
      <c r="N22" t="s">
        <v>34</v>
      </c>
      <c r="O22" t="s">
        <v>35</v>
      </c>
      <c r="R22" t="s">
        <v>36</v>
      </c>
      <c r="S22" t="s">
        <v>37</v>
      </c>
      <c r="T22" t="s">
        <v>38</v>
      </c>
      <c r="U22" t="s">
        <v>39</v>
      </c>
      <c r="W22" t="s">
        <v>40</v>
      </c>
    </row>
    <row r="23" spans="1:23" x14ac:dyDescent="0.2">
      <c r="A23">
        <v>49.0518</v>
      </c>
      <c r="B23">
        <v>-122.14060000000001</v>
      </c>
      <c r="C23" t="s">
        <v>41</v>
      </c>
      <c r="D23" t="s">
        <v>84</v>
      </c>
      <c r="E23">
        <v>1</v>
      </c>
      <c r="F23" t="s">
        <v>85</v>
      </c>
      <c r="G23" t="str">
        <f t="shared" si="0"/>
        <v>SUMAS PRAIRIE</v>
      </c>
      <c r="H23" t="s">
        <v>32</v>
      </c>
      <c r="I23">
        <v>9</v>
      </c>
      <c r="L23">
        <v>45169</v>
      </c>
      <c r="M23" t="s">
        <v>33</v>
      </c>
      <c r="N23" t="s">
        <v>34</v>
      </c>
      <c r="O23" t="s">
        <v>35</v>
      </c>
      <c r="R23" t="s">
        <v>36</v>
      </c>
      <c r="S23" t="s">
        <v>37</v>
      </c>
      <c r="T23" t="s">
        <v>38</v>
      </c>
      <c r="U23" t="s">
        <v>39</v>
      </c>
      <c r="W23" t="s">
        <v>40</v>
      </c>
    </row>
    <row r="24" spans="1:23" x14ac:dyDescent="0.2">
      <c r="A24">
        <v>50.74472222</v>
      </c>
      <c r="B24">
        <v>-121.2794444</v>
      </c>
      <c r="C24" t="s">
        <v>86</v>
      </c>
      <c r="D24" t="s">
        <v>87</v>
      </c>
      <c r="E24">
        <v>1</v>
      </c>
      <c r="F24" t="s">
        <v>88</v>
      </c>
      <c r="G24" t="str">
        <f t="shared" si="0"/>
        <v>BONAPARTE</v>
      </c>
      <c r="H24" t="s">
        <v>32</v>
      </c>
      <c r="I24">
        <v>446</v>
      </c>
      <c r="K24" t="s">
        <v>89</v>
      </c>
      <c r="L24">
        <v>38981</v>
      </c>
      <c r="M24" t="s">
        <v>33</v>
      </c>
      <c r="N24" t="s">
        <v>34</v>
      </c>
      <c r="O24" t="s">
        <v>35</v>
      </c>
      <c r="R24" t="s">
        <v>36</v>
      </c>
      <c r="S24" t="s">
        <v>37</v>
      </c>
      <c r="T24" t="s">
        <v>38</v>
      </c>
      <c r="U24" t="s">
        <v>39</v>
      </c>
      <c r="W24" t="s">
        <v>40</v>
      </c>
    </row>
    <row r="25" spans="1:23" x14ac:dyDescent="0.2">
      <c r="A25">
        <v>50.803888890000003</v>
      </c>
      <c r="B25">
        <v>-119.70833330000001</v>
      </c>
      <c r="C25" t="s">
        <v>86</v>
      </c>
      <c r="D25" t="s">
        <v>90</v>
      </c>
      <c r="E25">
        <v>1</v>
      </c>
      <c r="F25" t="s">
        <v>91</v>
      </c>
      <c r="G25" t="str">
        <f t="shared" si="0"/>
        <v>CHASE</v>
      </c>
      <c r="H25" t="s">
        <v>32</v>
      </c>
      <c r="I25">
        <v>355</v>
      </c>
      <c r="K25" t="s">
        <v>92</v>
      </c>
      <c r="L25">
        <v>38959</v>
      </c>
      <c r="M25" t="s">
        <v>33</v>
      </c>
      <c r="N25" t="s">
        <v>34</v>
      </c>
      <c r="O25" t="s">
        <v>35</v>
      </c>
      <c r="R25" t="s">
        <v>36</v>
      </c>
      <c r="S25" t="s">
        <v>37</v>
      </c>
      <c r="T25" t="s">
        <v>38</v>
      </c>
      <c r="U25" t="s">
        <v>39</v>
      </c>
      <c r="W25" t="s">
        <v>40</v>
      </c>
    </row>
    <row r="26" spans="1:23" x14ac:dyDescent="0.2">
      <c r="A26">
        <v>49.085299999999997</v>
      </c>
      <c r="B26">
        <v>-116.44750000000001</v>
      </c>
      <c r="C26" t="s">
        <v>61</v>
      </c>
      <c r="D26" t="s">
        <v>93</v>
      </c>
      <c r="E26">
        <v>1</v>
      </c>
      <c r="F26" t="s">
        <v>94</v>
      </c>
      <c r="G26" t="str">
        <f t="shared" si="0"/>
        <v>CANYON</v>
      </c>
      <c r="H26" t="s">
        <v>32</v>
      </c>
      <c r="I26">
        <v>659</v>
      </c>
      <c r="L26">
        <v>44768</v>
      </c>
      <c r="M26" t="s">
        <v>33</v>
      </c>
      <c r="N26" t="s">
        <v>34</v>
      </c>
      <c r="O26" t="s">
        <v>35</v>
      </c>
      <c r="R26" t="s">
        <v>36</v>
      </c>
      <c r="S26" t="s">
        <v>37</v>
      </c>
      <c r="T26" t="s">
        <v>38</v>
      </c>
      <c r="U26" t="s">
        <v>39</v>
      </c>
      <c r="W26" t="s">
        <v>40</v>
      </c>
    </row>
    <row r="27" spans="1:23" x14ac:dyDescent="0.2">
      <c r="A27">
        <v>49.041800000000002</v>
      </c>
      <c r="B27">
        <v>-116.56740000000001</v>
      </c>
      <c r="C27" t="s">
        <v>61</v>
      </c>
      <c r="D27" t="s">
        <v>95</v>
      </c>
      <c r="E27">
        <v>1</v>
      </c>
      <c r="F27" t="s">
        <v>96</v>
      </c>
      <c r="G27" t="str">
        <f t="shared" si="0"/>
        <v>CRESTON FLATS</v>
      </c>
      <c r="H27" t="s">
        <v>32</v>
      </c>
      <c r="I27">
        <v>536</v>
      </c>
      <c r="L27">
        <v>44768</v>
      </c>
      <c r="M27" t="s">
        <v>33</v>
      </c>
      <c r="N27" t="s">
        <v>34</v>
      </c>
      <c r="O27" t="s">
        <v>35</v>
      </c>
      <c r="R27" t="s">
        <v>36</v>
      </c>
      <c r="S27" t="s">
        <v>37</v>
      </c>
      <c r="T27" t="s">
        <v>38</v>
      </c>
      <c r="U27" t="s">
        <v>39</v>
      </c>
      <c r="W27" t="s">
        <v>40</v>
      </c>
    </row>
    <row r="28" spans="1:23" x14ac:dyDescent="0.2">
      <c r="A28">
        <v>49.046500000000002</v>
      </c>
      <c r="B28">
        <v>-118.4845</v>
      </c>
      <c r="C28" t="s">
        <v>86</v>
      </c>
      <c r="D28" t="s">
        <v>97</v>
      </c>
      <c r="E28">
        <v>1</v>
      </c>
      <c r="F28" t="s">
        <v>98</v>
      </c>
      <c r="G28" t="str">
        <f t="shared" si="0"/>
        <v>NORTH GRAND FORKS</v>
      </c>
      <c r="H28" t="s">
        <v>32</v>
      </c>
      <c r="I28">
        <v>593</v>
      </c>
      <c r="L28">
        <v>44768</v>
      </c>
      <c r="M28" t="s">
        <v>33</v>
      </c>
      <c r="N28" t="s">
        <v>34</v>
      </c>
      <c r="O28" t="s">
        <v>35</v>
      </c>
      <c r="R28" t="s">
        <v>36</v>
      </c>
      <c r="S28" t="s">
        <v>37</v>
      </c>
      <c r="T28" t="s">
        <v>38</v>
      </c>
      <c r="U28" t="s">
        <v>39</v>
      </c>
      <c r="W28" t="s">
        <v>40</v>
      </c>
    </row>
    <row r="29" spans="1:23" x14ac:dyDescent="0.2">
      <c r="A29">
        <v>49.103999999999999</v>
      </c>
      <c r="B29">
        <v>-116.4653</v>
      </c>
      <c r="C29" t="s">
        <v>61</v>
      </c>
      <c r="D29" t="s">
        <v>99</v>
      </c>
      <c r="E29">
        <v>1</v>
      </c>
      <c r="F29" t="s">
        <v>100</v>
      </c>
      <c r="G29" t="str">
        <f t="shared" si="0"/>
        <v>NORTH ERICKSON</v>
      </c>
      <c r="H29" t="s">
        <v>32</v>
      </c>
      <c r="I29">
        <v>710</v>
      </c>
      <c r="L29">
        <v>44768</v>
      </c>
      <c r="M29" t="s">
        <v>33</v>
      </c>
      <c r="N29" t="s">
        <v>34</v>
      </c>
      <c r="O29" t="s">
        <v>35</v>
      </c>
      <c r="R29" t="s">
        <v>36</v>
      </c>
      <c r="S29" t="s">
        <v>37</v>
      </c>
      <c r="T29" t="s">
        <v>38</v>
      </c>
      <c r="U29" t="s">
        <v>39</v>
      </c>
      <c r="W29" t="s">
        <v>40</v>
      </c>
    </row>
    <row r="30" spans="1:23" x14ac:dyDescent="0.2">
      <c r="A30">
        <v>49.061799999999998</v>
      </c>
      <c r="B30">
        <v>-116.5081</v>
      </c>
      <c r="C30" t="s">
        <v>61</v>
      </c>
      <c r="D30" t="s">
        <v>101</v>
      </c>
      <c r="E30">
        <v>1</v>
      </c>
      <c r="F30" t="s">
        <v>102</v>
      </c>
      <c r="G30" t="str">
        <f t="shared" si="0"/>
        <v>NORTH LISTER (RIVERVIEW)</v>
      </c>
      <c r="H30" t="s">
        <v>32</v>
      </c>
      <c r="I30">
        <v>609</v>
      </c>
      <c r="L30">
        <v>44768</v>
      </c>
      <c r="M30" t="s">
        <v>33</v>
      </c>
      <c r="N30" t="s">
        <v>34</v>
      </c>
      <c r="O30" t="s">
        <v>35</v>
      </c>
      <c r="R30" t="s">
        <v>36</v>
      </c>
      <c r="S30" t="s">
        <v>37</v>
      </c>
      <c r="T30" t="s">
        <v>38</v>
      </c>
      <c r="U30" t="s">
        <v>39</v>
      </c>
      <c r="W30" t="s">
        <v>40</v>
      </c>
    </row>
    <row r="31" spans="1:23" x14ac:dyDescent="0.2">
      <c r="A31">
        <v>49.080300000000001</v>
      </c>
      <c r="B31">
        <v>-116.4931</v>
      </c>
      <c r="C31" t="s">
        <v>61</v>
      </c>
      <c r="D31" t="s">
        <v>103</v>
      </c>
      <c r="E31">
        <v>1</v>
      </c>
      <c r="F31" t="s">
        <v>104</v>
      </c>
      <c r="G31" t="str">
        <f t="shared" si="0"/>
        <v>SOUTH ERICKSON</v>
      </c>
      <c r="H31" t="s">
        <v>32</v>
      </c>
      <c r="I31">
        <v>650</v>
      </c>
      <c r="L31">
        <v>44656</v>
      </c>
      <c r="M31" t="s">
        <v>33</v>
      </c>
      <c r="N31" t="s">
        <v>34</v>
      </c>
      <c r="O31" t="s">
        <v>35</v>
      </c>
      <c r="R31" t="s">
        <v>36</v>
      </c>
      <c r="S31" t="s">
        <v>37</v>
      </c>
      <c r="T31" t="s">
        <v>38</v>
      </c>
      <c r="U31" t="s">
        <v>39</v>
      </c>
      <c r="W31" t="s">
        <v>40</v>
      </c>
    </row>
    <row r="32" spans="1:23" x14ac:dyDescent="0.2">
      <c r="A32">
        <v>49.1678</v>
      </c>
      <c r="B32">
        <v>-116.56959999999999</v>
      </c>
      <c r="C32" t="s">
        <v>61</v>
      </c>
      <c r="D32" t="s">
        <v>105</v>
      </c>
      <c r="E32">
        <v>1</v>
      </c>
      <c r="F32" t="s">
        <v>106</v>
      </c>
      <c r="G32" t="str">
        <f t="shared" si="0"/>
        <v>WYNNDEL</v>
      </c>
      <c r="H32" t="s">
        <v>32</v>
      </c>
      <c r="I32">
        <v>533</v>
      </c>
      <c r="L32">
        <v>44768</v>
      </c>
      <c r="M32" t="s">
        <v>33</v>
      </c>
      <c r="N32" t="s">
        <v>34</v>
      </c>
      <c r="O32" t="s">
        <v>35</v>
      </c>
      <c r="R32" t="s">
        <v>36</v>
      </c>
      <c r="S32" t="s">
        <v>37</v>
      </c>
      <c r="T32" t="s">
        <v>38</v>
      </c>
      <c r="U32" t="s">
        <v>39</v>
      </c>
      <c r="W32" t="s">
        <v>40</v>
      </c>
    </row>
    <row r="33" spans="1:23" x14ac:dyDescent="0.2">
      <c r="A33">
        <v>50.011666669999997</v>
      </c>
      <c r="B33">
        <v>-120.8911111</v>
      </c>
      <c r="C33" t="s">
        <v>86</v>
      </c>
      <c r="D33" t="s">
        <v>107</v>
      </c>
      <c r="E33">
        <v>2</v>
      </c>
      <c r="F33" t="s">
        <v>108</v>
      </c>
      <c r="G33" t="str">
        <f t="shared" si="0"/>
        <v>COLDWATER</v>
      </c>
      <c r="H33" t="s">
        <v>32</v>
      </c>
      <c r="I33">
        <v>718</v>
      </c>
      <c r="K33" t="s">
        <v>109</v>
      </c>
      <c r="L33">
        <v>39792</v>
      </c>
      <c r="M33" t="s">
        <v>33</v>
      </c>
      <c r="N33" t="s">
        <v>34</v>
      </c>
      <c r="O33" t="s">
        <v>35</v>
      </c>
      <c r="R33" t="s">
        <v>36</v>
      </c>
      <c r="T33" t="s">
        <v>38</v>
      </c>
      <c r="U33" t="s">
        <v>39</v>
      </c>
      <c r="W33" t="s">
        <v>40</v>
      </c>
    </row>
    <row r="34" spans="1:23" x14ac:dyDescent="0.2">
      <c r="A34">
        <v>50.627499999999998</v>
      </c>
      <c r="B34">
        <v>-119.1941667</v>
      </c>
      <c r="C34" t="s">
        <v>86</v>
      </c>
      <c r="D34" t="s">
        <v>110</v>
      </c>
      <c r="E34">
        <v>1</v>
      </c>
      <c r="F34" t="s">
        <v>111</v>
      </c>
      <c r="G34" t="str">
        <f t="shared" si="0"/>
        <v>DEEP CREEK</v>
      </c>
      <c r="H34" t="s">
        <v>32</v>
      </c>
      <c r="I34">
        <v>517</v>
      </c>
      <c r="K34" t="s">
        <v>112</v>
      </c>
      <c r="L34">
        <v>38974</v>
      </c>
      <c r="M34" t="s">
        <v>33</v>
      </c>
      <c r="N34" t="s">
        <v>34</v>
      </c>
      <c r="O34" t="s">
        <v>35</v>
      </c>
      <c r="R34" t="s">
        <v>36</v>
      </c>
      <c r="S34" t="s">
        <v>37</v>
      </c>
      <c r="T34" t="s">
        <v>38</v>
      </c>
      <c r="U34" t="s">
        <v>39</v>
      </c>
      <c r="W34" t="s">
        <v>40</v>
      </c>
    </row>
    <row r="35" spans="1:23" x14ac:dyDescent="0.2">
      <c r="A35">
        <v>50.204722220000001</v>
      </c>
      <c r="B35">
        <v>-120.0247222</v>
      </c>
      <c r="C35" t="s">
        <v>86</v>
      </c>
      <c r="D35" t="s">
        <v>113</v>
      </c>
      <c r="E35">
        <v>2</v>
      </c>
      <c r="F35" t="s">
        <v>114</v>
      </c>
      <c r="G35" t="str">
        <f t="shared" si="0"/>
        <v>DOUGLAS LAKE</v>
      </c>
      <c r="H35" t="s">
        <v>32</v>
      </c>
      <c r="I35">
        <v>952</v>
      </c>
      <c r="K35" t="s">
        <v>115</v>
      </c>
      <c r="L35">
        <v>38557</v>
      </c>
      <c r="M35" t="s">
        <v>33</v>
      </c>
      <c r="N35" t="s">
        <v>34</v>
      </c>
      <c r="O35" t="s">
        <v>35</v>
      </c>
      <c r="R35" t="s">
        <v>36</v>
      </c>
      <c r="S35" t="s">
        <v>37</v>
      </c>
      <c r="T35" t="s">
        <v>38</v>
      </c>
      <c r="U35" t="s">
        <v>39</v>
      </c>
      <c r="W35" t="s">
        <v>40</v>
      </c>
    </row>
    <row r="36" spans="1:23" x14ac:dyDescent="0.2">
      <c r="A36">
        <v>49.125500000000002</v>
      </c>
      <c r="B36">
        <v>-123.0348</v>
      </c>
      <c r="C36" t="s">
        <v>41</v>
      </c>
      <c r="D36" t="s">
        <v>116</v>
      </c>
      <c r="E36">
        <v>1</v>
      </c>
      <c r="F36" t="s">
        <v>117</v>
      </c>
      <c r="G36" t="str">
        <f t="shared" si="0"/>
        <v>CRESCENT ISLAND</v>
      </c>
      <c r="H36" t="s">
        <v>32</v>
      </c>
      <c r="I36">
        <v>3</v>
      </c>
      <c r="L36">
        <v>45130</v>
      </c>
      <c r="M36" t="s">
        <v>33</v>
      </c>
      <c r="N36" t="s">
        <v>34</v>
      </c>
      <c r="O36" t="s">
        <v>35</v>
      </c>
      <c r="R36" t="s">
        <v>36</v>
      </c>
      <c r="S36" t="s">
        <v>37</v>
      </c>
      <c r="T36" t="s">
        <v>38</v>
      </c>
      <c r="U36" t="s">
        <v>39</v>
      </c>
      <c r="W36" t="s">
        <v>40</v>
      </c>
    </row>
    <row r="37" spans="1:23" x14ac:dyDescent="0.2">
      <c r="A37">
        <v>49.063699999999997</v>
      </c>
      <c r="B37">
        <v>-123.0793</v>
      </c>
      <c r="C37" t="s">
        <v>41</v>
      </c>
      <c r="D37" t="s">
        <v>118</v>
      </c>
      <c r="E37">
        <v>1</v>
      </c>
      <c r="F37" t="s">
        <v>119</v>
      </c>
      <c r="G37" t="str">
        <f t="shared" si="0"/>
        <v xml:space="preserve">LADNER </v>
      </c>
      <c r="H37" t="s">
        <v>32</v>
      </c>
      <c r="I37">
        <v>0</v>
      </c>
      <c r="L37">
        <v>45130</v>
      </c>
      <c r="M37" t="s">
        <v>33</v>
      </c>
      <c r="N37" t="s">
        <v>34</v>
      </c>
      <c r="O37" t="s">
        <v>35</v>
      </c>
      <c r="R37" t="s">
        <v>36</v>
      </c>
      <c r="S37" t="s">
        <v>37</v>
      </c>
      <c r="T37" t="s">
        <v>38</v>
      </c>
      <c r="U37" t="s">
        <v>39</v>
      </c>
      <c r="W37" t="s">
        <v>40</v>
      </c>
    </row>
    <row r="38" spans="1:23" x14ac:dyDescent="0.2">
      <c r="A38">
        <v>49.039299999999997</v>
      </c>
      <c r="B38">
        <v>-123.0639</v>
      </c>
      <c r="C38" t="s">
        <v>41</v>
      </c>
      <c r="D38" t="s">
        <v>120</v>
      </c>
      <c r="E38">
        <v>1</v>
      </c>
      <c r="F38" t="s">
        <v>121</v>
      </c>
      <c r="G38" t="str">
        <f t="shared" si="0"/>
        <v>TSAWWASSEN</v>
      </c>
      <c r="H38" t="s">
        <v>32</v>
      </c>
      <c r="I38">
        <v>3</v>
      </c>
      <c r="L38">
        <v>45130</v>
      </c>
      <c r="M38" t="s">
        <v>33</v>
      </c>
      <c r="N38" t="s">
        <v>34</v>
      </c>
      <c r="O38" t="s">
        <v>35</v>
      </c>
      <c r="R38" t="s">
        <v>36</v>
      </c>
      <c r="S38" t="s">
        <v>37</v>
      </c>
      <c r="T38" t="s">
        <v>38</v>
      </c>
      <c r="U38" t="s">
        <v>39</v>
      </c>
      <c r="W38" t="s">
        <v>40</v>
      </c>
    </row>
    <row r="39" spans="1:23" x14ac:dyDescent="0.2">
      <c r="A39">
        <v>50.85166667</v>
      </c>
      <c r="B39">
        <v>-121.8672222</v>
      </c>
      <c r="C39" t="s">
        <v>86</v>
      </c>
      <c r="D39" t="s">
        <v>122</v>
      </c>
      <c r="E39">
        <v>1</v>
      </c>
      <c r="F39" t="s">
        <v>123</v>
      </c>
      <c r="G39" t="str">
        <f t="shared" si="0"/>
        <v>DIAMOND S (LILLOETT)</v>
      </c>
      <c r="H39" t="s">
        <v>32</v>
      </c>
      <c r="I39">
        <v>450</v>
      </c>
      <c r="L39">
        <v>39339</v>
      </c>
      <c r="M39" t="s">
        <v>33</v>
      </c>
      <c r="N39" t="s">
        <v>34</v>
      </c>
      <c r="O39" t="s">
        <v>35</v>
      </c>
      <c r="R39" t="s">
        <v>36</v>
      </c>
      <c r="S39" t="s">
        <v>37</v>
      </c>
      <c r="T39" t="s">
        <v>38</v>
      </c>
      <c r="U39" t="s">
        <v>39</v>
      </c>
      <c r="W39" t="s">
        <v>40</v>
      </c>
    </row>
    <row r="40" spans="1:23" x14ac:dyDescent="0.2">
      <c r="A40">
        <v>49.006</v>
      </c>
      <c r="B40">
        <v>-118.485</v>
      </c>
      <c r="C40" t="s">
        <v>86</v>
      </c>
      <c r="D40" t="s">
        <v>124</v>
      </c>
      <c r="E40">
        <v>1</v>
      </c>
      <c r="F40" t="s">
        <v>125</v>
      </c>
      <c r="G40" t="str">
        <f t="shared" si="0"/>
        <v>GRAND FORKS</v>
      </c>
      <c r="H40" t="s">
        <v>32</v>
      </c>
      <c r="I40">
        <v>536</v>
      </c>
      <c r="L40">
        <v>43649</v>
      </c>
      <c r="M40" t="s">
        <v>33</v>
      </c>
      <c r="N40" t="s">
        <v>34</v>
      </c>
      <c r="O40" t="s">
        <v>35</v>
      </c>
      <c r="R40" t="s">
        <v>36</v>
      </c>
      <c r="S40" t="s">
        <v>37</v>
      </c>
      <c r="T40" t="s">
        <v>38</v>
      </c>
      <c r="U40" t="s">
        <v>39</v>
      </c>
      <c r="W40" t="s">
        <v>40</v>
      </c>
    </row>
    <row r="41" spans="1:23" x14ac:dyDescent="0.2">
      <c r="A41">
        <v>50.600903000000002</v>
      </c>
      <c r="B41">
        <v>-119.13792599999999</v>
      </c>
      <c r="C41" t="s">
        <v>86</v>
      </c>
      <c r="D41" t="s">
        <v>126</v>
      </c>
      <c r="E41">
        <v>1</v>
      </c>
      <c r="F41" t="s">
        <v>127</v>
      </c>
      <c r="G41" t="str">
        <f t="shared" si="0"/>
        <v>GRINDROD</v>
      </c>
      <c r="H41" t="s">
        <v>32</v>
      </c>
      <c r="I41">
        <v>385</v>
      </c>
      <c r="K41" t="s">
        <v>128</v>
      </c>
      <c r="L41">
        <v>38974</v>
      </c>
      <c r="M41" t="s">
        <v>33</v>
      </c>
      <c r="N41" t="s">
        <v>34</v>
      </c>
      <c r="O41" t="s">
        <v>35</v>
      </c>
      <c r="R41" t="s">
        <v>36</v>
      </c>
      <c r="S41" t="s">
        <v>37</v>
      </c>
      <c r="T41" t="s">
        <v>38</v>
      </c>
      <c r="U41" t="s">
        <v>39</v>
      </c>
      <c r="W41" t="s">
        <v>40</v>
      </c>
    </row>
    <row r="42" spans="1:23" x14ac:dyDescent="0.2">
      <c r="A42">
        <v>50.894444440000001</v>
      </c>
      <c r="B42">
        <v>-120.8913889</v>
      </c>
      <c r="C42" t="s">
        <v>86</v>
      </c>
      <c r="D42" t="s">
        <v>129</v>
      </c>
      <c r="E42">
        <v>2</v>
      </c>
      <c r="F42" t="s">
        <v>130</v>
      </c>
      <c r="G42" t="str">
        <f t="shared" si="0"/>
        <v>HAT CREEK (DFO)</v>
      </c>
      <c r="H42" t="s">
        <v>32</v>
      </c>
      <c r="I42">
        <v>728</v>
      </c>
      <c r="K42" t="s">
        <v>131</v>
      </c>
      <c r="L42">
        <v>39927</v>
      </c>
      <c r="M42" t="s">
        <v>33</v>
      </c>
      <c r="N42" t="s">
        <v>34</v>
      </c>
      <c r="O42" t="s">
        <v>35</v>
      </c>
      <c r="R42" t="s">
        <v>36</v>
      </c>
      <c r="T42" t="s">
        <v>38</v>
      </c>
      <c r="U42" t="s">
        <v>39</v>
      </c>
      <c r="W42" t="s">
        <v>40</v>
      </c>
    </row>
    <row r="43" spans="1:23" x14ac:dyDescent="0.2">
      <c r="A43">
        <v>50.546939999999999</v>
      </c>
      <c r="B43">
        <v>-119.22888</v>
      </c>
      <c r="C43" t="s">
        <v>86</v>
      </c>
      <c r="D43" t="s">
        <v>132</v>
      </c>
      <c r="E43">
        <v>1</v>
      </c>
      <c r="F43" t="s">
        <v>133</v>
      </c>
      <c r="G43" t="str">
        <f t="shared" si="0"/>
        <v>HULLCAR RD EAST</v>
      </c>
      <c r="H43" t="s">
        <v>32</v>
      </c>
      <c r="I43">
        <v>531</v>
      </c>
      <c r="L43">
        <v>43682</v>
      </c>
      <c r="M43" t="s">
        <v>33</v>
      </c>
      <c r="N43" t="s">
        <v>34</v>
      </c>
      <c r="O43" t="s">
        <v>35</v>
      </c>
      <c r="R43" t="s">
        <v>36</v>
      </c>
      <c r="S43" t="s">
        <v>37</v>
      </c>
      <c r="T43" t="s">
        <v>38</v>
      </c>
      <c r="U43" t="s">
        <v>39</v>
      </c>
      <c r="W43" t="s">
        <v>40</v>
      </c>
    </row>
    <row r="44" spans="1:23" x14ac:dyDescent="0.2">
      <c r="A44">
        <v>50.486666669999998</v>
      </c>
      <c r="B44">
        <v>-121.71722219999999</v>
      </c>
      <c r="C44" t="s">
        <v>86</v>
      </c>
      <c r="D44" t="s">
        <v>134</v>
      </c>
      <c r="E44">
        <v>1</v>
      </c>
      <c r="F44" t="s">
        <v>135</v>
      </c>
      <c r="G44" t="str">
        <f t="shared" si="0"/>
        <v>HALFWAY RANCH (LYTTON-LILLOETT)</v>
      </c>
      <c r="H44" t="s">
        <v>32</v>
      </c>
      <c r="I44">
        <v>300</v>
      </c>
      <c r="L44">
        <v>39339</v>
      </c>
      <c r="M44" t="s">
        <v>33</v>
      </c>
      <c r="N44" t="s">
        <v>34</v>
      </c>
      <c r="O44" t="s">
        <v>35</v>
      </c>
      <c r="R44" t="s">
        <v>36</v>
      </c>
      <c r="S44" t="s">
        <v>37</v>
      </c>
      <c r="T44" t="s">
        <v>38</v>
      </c>
      <c r="U44" t="s">
        <v>39</v>
      </c>
      <c r="W44" t="s">
        <v>40</v>
      </c>
    </row>
    <row r="45" spans="1:23" x14ac:dyDescent="0.2">
      <c r="A45">
        <v>50.53416</v>
      </c>
      <c r="B45">
        <v>-119.28027</v>
      </c>
      <c r="C45" t="s">
        <v>86</v>
      </c>
      <c r="D45" t="s">
        <v>136</v>
      </c>
      <c r="E45">
        <v>1</v>
      </c>
      <c r="F45" t="s">
        <v>137</v>
      </c>
      <c r="G45" t="str">
        <f t="shared" si="0"/>
        <v>HULLCAR RD WEST</v>
      </c>
      <c r="H45" t="s">
        <v>32</v>
      </c>
      <c r="I45">
        <v>561</v>
      </c>
      <c r="L45">
        <v>43682</v>
      </c>
      <c r="M45" t="s">
        <v>33</v>
      </c>
      <c r="N45" t="s">
        <v>34</v>
      </c>
      <c r="O45" t="s">
        <v>35</v>
      </c>
      <c r="R45" t="s">
        <v>36</v>
      </c>
      <c r="S45" t="s">
        <v>37</v>
      </c>
      <c r="T45" t="s">
        <v>38</v>
      </c>
      <c r="U45" t="s">
        <v>39</v>
      </c>
      <c r="W45" t="s">
        <v>40</v>
      </c>
    </row>
    <row r="46" spans="1:23" x14ac:dyDescent="0.2">
      <c r="A46">
        <v>49.399000000000001</v>
      </c>
      <c r="B46">
        <v>-119.6045</v>
      </c>
      <c r="C46" t="s">
        <v>86</v>
      </c>
      <c r="D46" t="s">
        <v>138</v>
      </c>
      <c r="E46">
        <v>1</v>
      </c>
      <c r="F46" t="s">
        <v>139</v>
      </c>
      <c r="G46" t="str">
        <f t="shared" si="0"/>
        <v>KALEDEN</v>
      </c>
      <c r="H46" t="s">
        <v>32</v>
      </c>
      <c r="I46">
        <v>440</v>
      </c>
      <c r="L46">
        <v>44087</v>
      </c>
      <c r="M46" t="s">
        <v>33</v>
      </c>
      <c r="N46" t="s">
        <v>34</v>
      </c>
      <c r="O46" t="s">
        <v>35</v>
      </c>
      <c r="R46" t="s">
        <v>36</v>
      </c>
      <c r="S46" t="s">
        <v>37</v>
      </c>
      <c r="T46" t="s">
        <v>38</v>
      </c>
      <c r="U46" t="s">
        <v>39</v>
      </c>
      <c r="W46" t="s">
        <v>40</v>
      </c>
    </row>
    <row r="47" spans="1:23" x14ac:dyDescent="0.2">
      <c r="A47">
        <v>50.145833330000002</v>
      </c>
      <c r="B47">
        <v>-120.9333333</v>
      </c>
      <c r="C47" t="s">
        <v>86</v>
      </c>
      <c r="D47" t="s">
        <v>140</v>
      </c>
      <c r="E47">
        <v>1</v>
      </c>
      <c r="F47" t="s">
        <v>141</v>
      </c>
      <c r="G47" t="str">
        <f t="shared" si="0"/>
        <v>SUNSHINE VALLEY</v>
      </c>
      <c r="H47" t="s">
        <v>32</v>
      </c>
      <c r="I47">
        <v>561</v>
      </c>
      <c r="K47" t="s">
        <v>142</v>
      </c>
      <c r="L47">
        <v>38569</v>
      </c>
      <c r="M47" t="s">
        <v>33</v>
      </c>
      <c r="N47" t="s">
        <v>34</v>
      </c>
      <c r="O47" t="s">
        <v>35</v>
      </c>
      <c r="R47" t="s">
        <v>36</v>
      </c>
      <c r="S47" t="s">
        <v>37</v>
      </c>
      <c r="T47" t="s">
        <v>38</v>
      </c>
      <c r="U47" t="s">
        <v>39</v>
      </c>
      <c r="W47" t="s">
        <v>40</v>
      </c>
    </row>
    <row r="48" spans="1:23" ht="13.5" customHeight="1" x14ac:dyDescent="0.2">
      <c r="A48">
        <v>50.643607799999998</v>
      </c>
      <c r="B48">
        <v>-119.9330295</v>
      </c>
      <c r="C48" t="s">
        <v>86</v>
      </c>
      <c r="D48" t="s">
        <v>143</v>
      </c>
      <c r="E48">
        <v>1</v>
      </c>
      <c r="F48" t="s">
        <v>144</v>
      </c>
      <c r="G48" t="str">
        <f t="shared" si="0"/>
        <v>MONTE CREEK</v>
      </c>
      <c r="H48" t="s">
        <v>32</v>
      </c>
      <c r="I48">
        <v>385</v>
      </c>
      <c r="K48" t="s">
        <v>145</v>
      </c>
      <c r="L48">
        <v>41544</v>
      </c>
      <c r="M48" t="s">
        <v>33</v>
      </c>
      <c r="N48" t="s">
        <v>34</v>
      </c>
      <c r="O48" t="s">
        <v>35</v>
      </c>
      <c r="R48" t="s">
        <v>36</v>
      </c>
      <c r="S48" t="s">
        <v>37</v>
      </c>
      <c r="T48" t="s">
        <v>38</v>
      </c>
      <c r="U48" t="s">
        <v>39</v>
      </c>
      <c r="W48" t="s">
        <v>40</v>
      </c>
    </row>
    <row r="49" spans="1:23" x14ac:dyDescent="0.2">
      <c r="A49">
        <v>50.393611110000002</v>
      </c>
      <c r="B49">
        <v>-118.7758333</v>
      </c>
      <c r="C49" t="s">
        <v>86</v>
      </c>
      <c r="D49" t="s">
        <v>146</v>
      </c>
      <c r="E49">
        <v>2</v>
      </c>
      <c r="F49" t="s">
        <v>147</v>
      </c>
      <c r="G49" t="str">
        <f t="shared" si="0"/>
        <v>MABLE LAKE</v>
      </c>
      <c r="H49" t="s">
        <v>32</v>
      </c>
      <c r="I49">
        <v>729</v>
      </c>
      <c r="K49" t="s">
        <v>148</v>
      </c>
      <c r="L49">
        <v>39927</v>
      </c>
      <c r="M49" t="s">
        <v>33</v>
      </c>
      <c r="N49" t="s">
        <v>34</v>
      </c>
      <c r="O49" t="s">
        <v>35</v>
      </c>
      <c r="R49" t="s">
        <v>36</v>
      </c>
      <c r="T49" t="s">
        <v>38</v>
      </c>
      <c r="U49" t="s">
        <v>39</v>
      </c>
      <c r="W49" t="s">
        <v>40</v>
      </c>
    </row>
    <row r="50" spans="1:23" x14ac:dyDescent="0.2">
      <c r="A50">
        <v>50.36222222</v>
      </c>
      <c r="B50">
        <v>-120.80444439999999</v>
      </c>
      <c r="C50" t="s">
        <v>86</v>
      </c>
      <c r="D50" t="s">
        <v>149</v>
      </c>
      <c r="E50">
        <v>2</v>
      </c>
      <c r="F50" t="s">
        <v>150</v>
      </c>
      <c r="G50" t="str">
        <f t="shared" si="0"/>
        <v>MAMIT LAKE</v>
      </c>
      <c r="H50" t="s">
        <v>32</v>
      </c>
      <c r="I50">
        <v>979</v>
      </c>
      <c r="K50" t="s">
        <v>151</v>
      </c>
      <c r="L50">
        <v>38557</v>
      </c>
      <c r="M50" t="s">
        <v>33</v>
      </c>
      <c r="N50" t="s">
        <v>34</v>
      </c>
      <c r="O50" t="s">
        <v>35</v>
      </c>
      <c r="R50" t="s">
        <v>36</v>
      </c>
      <c r="S50" t="s">
        <v>37</v>
      </c>
      <c r="T50" t="s">
        <v>38</v>
      </c>
      <c r="U50" t="s">
        <v>39</v>
      </c>
      <c r="W50" t="s">
        <v>40</v>
      </c>
    </row>
    <row r="51" spans="1:23" x14ac:dyDescent="0.2">
      <c r="A51">
        <v>49.8767</v>
      </c>
      <c r="B51">
        <v>-119.384</v>
      </c>
      <c r="C51" t="s">
        <v>86</v>
      </c>
      <c r="D51" t="s">
        <v>152</v>
      </c>
      <c r="E51">
        <v>1</v>
      </c>
      <c r="F51" t="s">
        <v>153</v>
      </c>
      <c r="G51" t="str">
        <f t="shared" si="0"/>
        <v>BELGO 2</v>
      </c>
      <c r="H51" t="s">
        <v>32</v>
      </c>
      <c r="I51">
        <v>468</v>
      </c>
      <c r="L51">
        <v>45178</v>
      </c>
      <c r="M51" t="s">
        <v>33</v>
      </c>
      <c r="N51" t="s">
        <v>34</v>
      </c>
      <c r="O51" t="s">
        <v>35</v>
      </c>
      <c r="R51" t="s">
        <v>36</v>
      </c>
      <c r="S51" t="s">
        <v>37</v>
      </c>
      <c r="T51" t="s">
        <v>38</v>
      </c>
      <c r="U51" t="s">
        <v>39</v>
      </c>
      <c r="W51" t="s">
        <v>40</v>
      </c>
    </row>
    <row r="52" spans="1:23" x14ac:dyDescent="0.2">
      <c r="A52">
        <v>49.872</v>
      </c>
      <c r="B52">
        <v>-119.4491</v>
      </c>
      <c r="C52" t="s">
        <v>86</v>
      </c>
      <c r="D52" t="s">
        <v>154</v>
      </c>
      <c r="E52">
        <v>1</v>
      </c>
      <c r="F52" t="s">
        <v>155</v>
      </c>
      <c r="G52" t="str">
        <f t="shared" si="0"/>
        <v>BENVOULIN</v>
      </c>
      <c r="H52" t="s">
        <v>32</v>
      </c>
      <c r="I52">
        <v>357</v>
      </c>
      <c r="L52">
        <v>45178</v>
      </c>
      <c r="M52" t="s">
        <v>33</v>
      </c>
      <c r="N52" t="s">
        <v>34</v>
      </c>
      <c r="O52" t="s">
        <v>35</v>
      </c>
      <c r="R52" t="s">
        <v>36</v>
      </c>
      <c r="S52" t="s">
        <v>37</v>
      </c>
      <c r="T52" t="s">
        <v>38</v>
      </c>
      <c r="U52" t="s">
        <v>39</v>
      </c>
      <c r="W52" t="s">
        <v>40</v>
      </c>
    </row>
    <row r="53" spans="1:23" x14ac:dyDescent="0.2">
      <c r="A53">
        <v>50.255099999999999</v>
      </c>
      <c r="B53">
        <v>-119.3413</v>
      </c>
      <c r="C53" t="s">
        <v>86</v>
      </c>
      <c r="D53" t="s">
        <v>156</v>
      </c>
      <c r="E53">
        <v>1</v>
      </c>
      <c r="F53" t="s">
        <v>157</v>
      </c>
      <c r="G53" t="str">
        <f t="shared" si="0"/>
        <v>BELLA VISTA</v>
      </c>
      <c r="H53" t="s">
        <v>32</v>
      </c>
      <c r="I53">
        <v>437</v>
      </c>
      <c r="L53">
        <v>45179</v>
      </c>
      <c r="M53" t="s">
        <v>33</v>
      </c>
      <c r="N53" t="s">
        <v>34</v>
      </c>
      <c r="O53" t="s">
        <v>35</v>
      </c>
      <c r="R53" t="s">
        <v>36</v>
      </c>
      <c r="S53" t="s">
        <v>37</v>
      </c>
      <c r="T53" t="s">
        <v>38</v>
      </c>
      <c r="U53" t="s">
        <v>39</v>
      </c>
      <c r="W53" t="s">
        <v>40</v>
      </c>
    </row>
    <row r="54" spans="1:23" x14ac:dyDescent="0.2">
      <c r="A54">
        <v>50.482300000000002</v>
      </c>
      <c r="B54">
        <v>-119.2424</v>
      </c>
      <c r="C54" t="s">
        <v>86</v>
      </c>
      <c r="D54" t="s">
        <v>158</v>
      </c>
      <c r="E54">
        <v>1</v>
      </c>
      <c r="F54" t="s">
        <v>159</v>
      </c>
      <c r="G54" t="str">
        <f t="shared" si="0"/>
        <v>NORTH CRAWFORD RD</v>
      </c>
      <c r="H54" t="s">
        <v>32</v>
      </c>
      <c r="I54">
        <v>535</v>
      </c>
      <c r="L54">
        <v>45224</v>
      </c>
      <c r="M54" t="s">
        <v>33</v>
      </c>
      <c r="N54" t="s">
        <v>34</v>
      </c>
      <c r="O54" t="s">
        <v>35</v>
      </c>
      <c r="R54" t="s">
        <v>36</v>
      </c>
      <c r="S54" t="s">
        <v>37</v>
      </c>
      <c r="T54" t="s">
        <v>38</v>
      </c>
      <c r="U54" t="s">
        <v>39</v>
      </c>
      <c r="W54" t="s">
        <v>40</v>
      </c>
    </row>
    <row r="55" spans="1:23" x14ac:dyDescent="0.2">
      <c r="A55">
        <v>49.185099999999998</v>
      </c>
      <c r="B55">
        <v>-119.74420000000001</v>
      </c>
      <c r="C55" t="s">
        <v>86</v>
      </c>
      <c r="D55" t="s">
        <v>160</v>
      </c>
      <c r="E55">
        <v>1</v>
      </c>
      <c r="F55" t="s">
        <v>161</v>
      </c>
      <c r="G55" t="str">
        <f t="shared" si="0"/>
        <v>CAWSTON BENCH</v>
      </c>
      <c r="H55" t="s">
        <v>32</v>
      </c>
      <c r="I55">
        <v>421</v>
      </c>
      <c r="L55">
        <v>45123</v>
      </c>
      <c r="M55" t="s">
        <v>33</v>
      </c>
      <c r="N55" t="s">
        <v>34</v>
      </c>
      <c r="O55" t="s">
        <v>35</v>
      </c>
      <c r="R55" t="s">
        <v>36</v>
      </c>
      <c r="S55" t="s">
        <v>37</v>
      </c>
      <c r="T55" t="s">
        <v>38</v>
      </c>
      <c r="U55" t="s">
        <v>39</v>
      </c>
      <c r="W55" t="s">
        <v>40</v>
      </c>
    </row>
    <row r="56" spans="1:23" x14ac:dyDescent="0.2">
      <c r="A56">
        <v>49.865400000000001</v>
      </c>
      <c r="B56">
        <v>-119.42010000000001</v>
      </c>
      <c r="C56" t="s">
        <v>86</v>
      </c>
      <c r="D56" t="s">
        <v>162</v>
      </c>
      <c r="E56">
        <v>1</v>
      </c>
      <c r="F56" t="s">
        <v>163</v>
      </c>
      <c r="G56" t="str">
        <f t="shared" si="0"/>
        <v>EAST KELOWNA</v>
      </c>
      <c r="H56" t="s">
        <v>32</v>
      </c>
      <c r="I56">
        <v>434</v>
      </c>
      <c r="L56">
        <v>45178</v>
      </c>
      <c r="M56" t="s">
        <v>33</v>
      </c>
      <c r="N56" t="s">
        <v>34</v>
      </c>
      <c r="O56" t="s">
        <v>35</v>
      </c>
      <c r="R56" t="s">
        <v>36</v>
      </c>
      <c r="S56" t="s">
        <v>37</v>
      </c>
      <c r="T56" t="s">
        <v>38</v>
      </c>
      <c r="U56" t="s">
        <v>39</v>
      </c>
      <c r="W56" t="s">
        <v>40</v>
      </c>
    </row>
    <row r="57" spans="1:23" x14ac:dyDescent="0.2">
      <c r="A57">
        <v>49.950800000000001</v>
      </c>
      <c r="B57">
        <v>-119.3652</v>
      </c>
      <c r="C57" t="s">
        <v>86</v>
      </c>
      <c r="D57" t="s">
        <v>164</v>
      </c>
      <c r="E57">
        <v>1</v>
      </c>
      <c r="F57" t="s">
        <v>165</v>
      </c>
      <c r="G57" t="str">
        <f t="shared" si="0"/>
        <v>ELLISON</v>
      </c>
      <c r="H57" t="s">
        <v>32</v>
      </c>
      <c r="I57">
        <v>436</v>
      </c>
      <c r="L57">
        <v>45178</v>
      </c>
      <c r="M57" t="s">
        <v>33</v>
      </c>
      <c r="N57" t="s">
        <v>34</v>
      </c>
      <c r="O57" t="s">
        <v>35</v>
      </c>
      <c r="R57" t="s">
        <v>36</v>
      </c>
      <c r="S57" t="s">
        <v>37</v>
      </c>
      <c r="T57" t="s">
        <v>38</v>
      </c>
      <c r="U57" t="s">
        <v>39</v>
      </c>
      <c r="W57" t="s">
        <v>40</v>
      </c>
    </row>
    <row r="58" spans="1:23" x14ac:dyDescent="0.2">
      <c r="A58">
        <v>50.381999999999998</v>
      </c>
      <c r="B58">
        <v>-119.2963</v>
      </c>
      <c r="C58" t="s">
        <v>86</v>
      </c>
      <c r="D58" t="s">
        <v>166</v>
      </c>
      <c r="E58">
        <v>1</v>
      </c>
      <c r="F58" t="s">
        <v>167</v>
      </c>
      <c r="G58" t="str">
        <f t="shared" si="0"/>
        <v>GRANDVIEW FLATS</v>
      </c>
      <c r="H58" t="s">
        <v>32</v>
      </c>
      <c r="I58">
        <v>461</v>
      </c>
      <c r="L58">
        <v>45178</v>
      </c>
      <c r="M58" t="s">
        <v>33</v>
      </c>
      <c r="N58" t="s">
        <v>34</v>
      </c>
      <c r="O58" t="s">
        <v>35</v>
      </c>
      <c r="R58" t="s">
        <v>36</v>
      </c>
      <c r="S58" t="s">
        <v>37</v>
      </c>
      <c r="T58" t="s">
        <v>38</v>
      </c>
      <c r="U58" t="s">
        <v>39</v>
      </c>
      <c r="W58" t="s">
        <v>40</v>
      </c>
    </row>
    <row r="59" spans="1:23" x14ac:dyDescent="0.2">
      <c r="A59">
        <v>49.915399999999998</v>
      </c>
      <c r="B59">
        <v>-119.42230000000001</v>
      </c>
      <c r="C59" t="s">
        <v>86</v>
      </c>
      <c r="D59" t="s">
        <v>168</v>
      </c>
      <c r="E59">
        <v>1</v>
      </c>
      <c r="F59" t="s">
        <v>169</v>
      </c>
      <c r="G59" t="str">
        <f t="shared" si="0"/>
        <v>GLENMORE</v>
      </c>
      <c r="H59" t="s">
        <v>32</v>
      </c>
      <c r="I59">
        <v>447</v>
      </c>
      <c r="L59">
        <v>45210</v>
      </c>
      <c r="M59" t="s">
        <v>33</v>
      </c>
      <c r="N59" t="s">
        <v>34</v>
      </c>
      <c r="O59" t="s">
        <v>35</v>
      </c>
      <c r="R59" t="s">
        <v>36</v>
      </c>
      <c r="S59" t="s">
        <v>37</v>
      </c>
      <c r="T59" t="s">
        <v>38</v>
      </c>
      <c r="U59" t="s">
        <v>39</v>
      </c>
      <c r="W59" t="s">
        <v>40</v>
      </c>
    </row>
    <row r="60" spans="1:23" x14ac:dyDescent="0.2">
      <c r="A60">
        <v>49.614100000000001</v>
      </c>
      <c r="B60">
        <v>-119.6944</v>
      </c>
      <c r="C60" t="s">
        <v>86</v>
      </c>
      <c r="D60" t="s">
        <v>170</v>
      </c>
      <c r="E60">
        <v>1</v>
      </c>
      <c r="F60" t="s">
        <v>171</v>
      </c>
      <c r="G60" t="str">
        <f t="shared" si="0"/>
        <v>SUMMERLAND NORTH (JONES FLAT)</v>
      </c>
      <c r="H60" t="s">
        <v>32</v>
      </c>
      <c r="I60">
        <v>514</v>
      </c>
      <c r="L60">
        <v>45122</v>
      </c>
      <c r="M60" t="s">
        <v>33</v>
      </c>
      <c r="N60" t="s">
        <v>34</v>
      </c>
      <c r="O60" t="s">
        <v>35</v>
      </c>
      <c r="R60" t="s">
        <v>36</v>
      </c>
      <c r="S60" t="s">
        <v>37</v>
      </c>
      <c r="T60" t="s">
        <v>38</v>
      </c>
      <c r="U60" t="s">
        <v>39</v>
      </c>
      <c r="W60" t="s">
        <v>40</v>
      </c>
    </row>
    <row r="61" spans="1:23" x14ac:dyDescent="0.2">
      <c r="A61">
        <v>49.221800000000002</v>
      </c>
      <c r="B61">
        <v>-119.8242</v>
      </c>
      <c r="C61" t="s">
        <v>86</v>
      </c>
      <c r="D61" t="s">
        <v>172</v>
      </c>
      <c r="E61">
        <v>1</v>
      </c>
      <c r="F61" t="s">
        <v>173</v>
      </c>
      <c r="G61" t="str">
        <f t="shared" si="0"/>
        <v>KEREMEOS BIPASS</v>
      </c>
      <c r="H61" t="s">
        <v>32</v>
      </c>
      <c r="I61">
        <v>456</v>
      </c>
      <c r="L61">
        <v>45123</v>
      </c>
      <c r="M61" t="s">
        <v>33</v>
      </c>
      <c r="N61" t="s">
        <v>34</v>
      </c>
      <c r="O61" t="s">
        <v>35</v>
      </c>
      <c r="R61" t="s">
        <v>36</v>
      </c>
      <c r="S61" t="s">
        <v>37</v>
      </c>
      <c r="T61" t="s">
        <v>38</v>
      </c>
      <c r="U61" t="s">
        <v>39</v>
      </c>
      <c r="W61" t="s">
        <v>40</v>
      </c>
    </row>
    <row r="62" spans="1:23" x14ac:dyDescent="0.2">
      <c r="A62">
        <v>49.2029</v>
      </c>
      <c r="B62">
        <v>-119.8523</v>
      </c>
      <c r="C62" t="s">
        <v>86</v>
      </c>
      <c r="D62" t="s">
        <v>174</v>
      </c>
      <c r="E62">
        <v>1</v>
      </c>
      <c r="F62" t="s">
        <v>175</v>
      </c>
      <c r="G62" t="str">
        <f t="shared" si="0"/>
        <v>KEREMEOS</v>
      </c>
      <c r="H62" t="s">
        <v>32</v>
      </c>
      <c r="I62">
        <v>418</v>
      </c>
      <c r="L62">
        <v>45123</v>
      </c>
      <c r="M62" t="s">
        <v>33</v>
      </c>
      <c r="N62" t="s">
        <v>34</v>
      </c>
      <c r="O62" t="s">
        <v>35</v>
      </c>
      <c r="R62" t="s">
        <v>36</v>
      </c>
      <c r="S62" t="s">
        <v>37</v>
      </c>
      <c r="T62" t="s">
        <v>38</v>
      </c>
      <c r="U62" t="s">
        <v>39</v>
      </c>
      <c r="W62" t="s">
        <v>40</v>
      </c>
    </row>
    <row r="63" spans="1:23" x14ac:dyDescent="0.2">
      <c r="A63">
        <v>50.2254</v>
      </c>
      <c r="B63">
        <v>-119.1002</v>
      </c>
      <c r="C63" t="s">
        <v>86</v>
      </c>
      <c r="D63" t="s">
        <v>176</v>
      </c>
      <c r="E63">
        <v>1</v>
      </c>
      <c r="F63" t="s">
        <v>177</v>
      </c>
      <c r="G63" t="str">
        <f t="shared" si="0"/>
        <v>LAVINGTON</v>
      </c>
      <c r="H63" t="s">
        <v>32</v>
      </c>
      <c r="I63">
        <v>550</v>
      </c>
      <c r="L63">
        <v>45176</v>
      </c>
      <c r="M63" t="s">
        <v>33</v>
      </c>
      <c r="N63" t="s">
        <v>34</v>
      </c>
      <c r="O63" t="s">
        <v>35</v>
      </c>
      <c r="R63" t="s">
        <v>36</v>
      </c>
      <c r="S63" t="s">
        <v>37</v>
      </c>
      <c r="T63" t="s">
        <v>38</v>
      </c>
      <c r="U63" t="s">
        <v>39</v>
      </c>
      <c r="W63" t="s">
        <v>40</v>
      </c>
    </row>
    <row r="64" spans="1:23" x14ac:dyDescent="0.2">
      <c r="A64">
        <v>49.534199999999998</v>
      </c>
      <c r="B64">
        <v>-119.5672</v>
      </c>
      <c r="C64" t="s">
        <v>86</v>
      </c>
      <c r="D64" t="s">
        <v>178</v>
      </c>
      <c r="E64">
        <v>1</v>
      </c>
      <c r="F64" t="s">
        <v>179</v>
      </c>
      <c r="G64" t="str">
        <f t="shared" si="0"/>
        <v>NARAMATA BENCH</v>
      </c>
      <c r="H64" t="s">
        <v>32</v>
      </c>
      <c r="I64">
        <v>413</v>
      </c>
      <c r="L64">
        <v>45122</v>
      </c>
      <c r="M64" t="s">
        <v>33</v>
      </c>
      <c r="N64" t="s">
        <v>34</v>
      </c>
      <c r="O64" t="s">
        <v>35</v>
      </c>
      <c r="R64" t="s">
        <v>36</v>
      </c>
      <c r="S64" t="s">
        <v>37</v>
      </c>
      <c r="T64" t="s">
        <v>38</v>
      </c>
      <c r="U64" t="s">
        <v>39</v>
      </c>
      <c r="W64" t="s">
        <v>40</v>
      </c>
    </row>
    <row r="65" spans="1:23" x14ac:dyDescent="0.2">
      <c r="A65">
        <v>49.108600000000003</v>
      </c>
      <c r="B65">
        <v>-119.5715</v>
      </c>
      <c r="C65" t="s">
        <v>86</v>
      </c>
      <c r="D65" t="s">
        <v>180</v>
      </c>
      <c r="E65">
        <v>1</v>
      </c>
      <c r="F65" t="s">
        <v>181</v>
      </c>
      <c r="G65" t="str">
        <f t="shared" si="0"/>
        <v>OLIVER SOUTH</v>
      </c>
      <c r="H65" t="s">
        <v>32</v>
      </c>
      <c r="I65">
        <v>289</v>
      </c>
      <c r="L65">
        <v>45122</v>
      </c>
      <c r="M65" t="s">
        <v>33</v>
      </c>
      <c r="N65" t="s">
        <v>34</v>
      </c>
      <c r="O65" t="s">
        <v>35</v>
      </c>
      <c r="R65" t="s">
        <v>36</v>
      </c>
      <c r="S65" t="s">
        <v>37</v>
      </c>
      <c r="T65" t="s">
        <v>38</v>
      </c>
      <c r="U65" t="s">
        <v>39</v>
      </c>
      <c r="W65" t="s">
        <v>40</v>
      </c>
    </row>
    <row r="66" spans="1:23" x14ac:dyDescent="0.2">
      <c r="A66">
        <v>49.058199999999999</v>
      </c>
      <c r="B66">
        <v>-119.50879999999999</v>
      </c>
      <c r="C66" t="s">
        <v>86</v>
      </c>
      <c r="D66" t="s">
        <v>182</v>
      </c>
      <c r="E66">
        <v>1</v>
      </c>
      <c r="F66" t="s">
        <v>183</v>
      </c>
      <c r="G66" t="str">
        <f t="shared" ref="G66:G129" si="1">UPPER(F66)</f>
        <v>OSOYOOS NORTH</v>
      </c>
      <c r="H66" t="s">
        <v>32</v>
      </c>
      <c r="I66">
        <v>328</v>
      </c>
      <c r="L66">
        <v>45122</v>
      </c>
      <c r="M66" t="s">
        <v>33</v>
      </c>
      <c r="N66" t="s">
        <v>34</v>
      </c>
      <c r="O66" t="s">
        <v>35</v>
      </c>
      <c r="R66" t="s">
        <v>36</v>
      </c>
      <c r="S66" t="s">
        <v>37</v>
      </c>
      <c r="T66" t="s">
        <v>38</v>
      </c>
      <c r="U66" t="s">
        <v>39</v>
      </c>
      <c r="W66" t="s">
        <v>40</v>
      </c>
    </row>
    <row r="67" spans="1:23" x14ac:dyDescent="0.2">
      <c r="A67">
        <v>49.022399999999998</v>
      </c>
      <c r="B67">
        <v>-119.42270000000001</v>
      </c>
      <c r="C67" t="s">
        <v>86</v>
      </c>
      <c r="D67" t="s">
        <v>184</v>
      </c>
      <c r="E67">
        <v>1</v>
      </c>
      <c r="F67" t="s">
        <v>185</v>
      </c>
      <c r="G67" t="str">
        <f t="shared" si="1"/>
        <v>OSOYOOS UPPER BENCH</v>
      </c>
      <c r="H67" t="s">
        <v>32</v>
      </c>
      <c r="I67">
        <v>356</v>
      </c>
      <c r="L67">
        <v>45122</v>
      </c>
      <c r="M67" t="s">
        <v>33</v>
      </c>
      <c r="N67" t="s">
        <v>34</v>
      </c>
      <c r="O67" t="s">
        <v>35</v>
      </c>
      <c r="R67" t="s">
        <v>36</v>
      </c>
      <c r="S67" t="s">
        <v>37</v>
      </c>
      <c r="T67" t="s">
        <v>38</v>
      </c>
      <c r="U67" t="s">
        <v>39</v>
      </c>
      <c r="W67" t="s">
        <v>40</v>
      </c>
    </row>
    <row r="68" spans="1:23" x14ac:dyDescent="0.2">
      <c r="A68">
        <v>50.093000000000004</v>
      </c>
      <c r="B68">
        <v>-119.35850000000001</v>
      </c>
      <c r="C68" t="s">
        <v>86</v>
      </c>
      <c r="D68" t="s">
        <v>186</v>
      </c>
      <c r="E68">
        <v>1</v>
      </c>
      <c r="F68" t="s">
        <v>187</v>
      </c>
      <c r="G68" t="str">
        <f t="shared" si="1"/>
        <v>OYAMA</v>
      </c>
      <c r="H68" t="s">
        <v>32</v>
      </c>
      <c r="I68">
        <v>538</v>
      </c>
      <c r="L68">
        <v>45210</v>
      </c>
      <c r="M68" t="s">
        <v>33</v>
      </c>
      <c r="N68" t="s">
        <v>34</v>
      </c>
      <c r="O68" t="s">
        <v>35</v>
      </c>
      <c r="R68" t="s">
        <v>36</v>
      </c>
      <c r="S68" t="s">
        <v>37</v>
      </c>
      <c r="T68" t="s">
        <v>38</v>
      </c>
      <c r="U68" t="s">
        <v>39</v>
      </c>
      <c r="W68" t="s">
        <v>40</v>
      </c>
    </row>
    <row r="69" spans="1:23" x14ac:dyDescent="0.2">
      <c r="A69">
        <v>49.176400000000001</v>
      </c>
      <c r="B69">
        <v>-119.56189999999999</v>
      </c>
      <c r="C69" t="s">
        <v>86</v>
      </c>
      <c r="D69" t="s">
        <v>188</v>
      </c>
      <c r="E69">
        <v>1</v>
      </c>
      <c r="F69" t="s">
        <v>189</v>
      </c>
      <c r="G69" t="str">
        <f t="shared" si="1"/>
        <v>OLIVER (PANORAMA)</v>
      </c>
      <c r="H69" t="s">
        <v>32</v>
      </c>
      <c r="I69">
        <v>328</v>
      </c>
      <c r="L69">
        <v>45210</v>
      </c>
      <c r="M69" t="s">
        <v>33</v>
      </c>
      <c r="N69" t="s">
        <v>34</v>
      </c>
      <c r="O69" t="s">
        <v>35</v>
      </c>
      <c r="R69" t="s">
        <v>36</v>
      </c>
      <c r="S69" t="s">
        <v>37</v>
      </c>
      <c r="T69" t="s">
        <v>38</v>
      </c>
      <c r="U69" t="s">
        <v>39</v>
      </c>
      <c r="W69" t="s">
        <v>40</v>
      </c>
    </row>
    <row r="70" spans="1:23" x14ac:dyDescent="0.2">
      <c r="A70">
        <v>49.829900000000002</v>
      </c>
      <c r="B70">
        <v>-119.452</v>
      </c>
      <c r="C70" t="s">
        <v>86</v>
      </c>
      <c r="D70" t="s">
        <v>190</v>
      </c>
      <c r="E70">
        <v>1</v>
      </c>
      <c r="F70" t="s">
        <v>191</v>
      </c>
      <c r="G70" t="str">
        <f t="shared" si="1"/>
        <v>SOUTH KELOWNA</v>
      </c>
      <c r="H70" t="s">
        <v>32</v>
      </c>
      <c r="I70">
        <v>473</v>
      </c>
      <c r="L70">
        <v>45122</v>
      </c>
      <c r="M70" t="s">
        <v>33</v>
      </c>
      <c r="N70" t="s">
        <v>34</v>
      </c>
      <c r="O70" t="s">
        <v>35</v>
      </c>
      <c r="R70" t="s">
        <v>36</v>
      </c>
      <c r="S70" t="s">
        <v>37</v>
      </c>
      <c r="T70" t="s">
        <v>38</v>
      </c>
      <c r="U70" t="s">
        <v>39</v>
      </c>
      <c r="W70" t="s">
        <v>40</v>
      </c>
    </row>
    <row r="71" spans="1:23" x14ac:dyDescent="0.2">
      <c r="A71">
        <v>49.5794</v>
      </c>
      <c r="B71">
        <v>-119.651</v>
      </c>
      <c r="C71" t="s">
        <v>86</v>
      </c>
      <c r="D71" t="s">
        <v>192</v>
      </c>
      <c r="E71">
        <v>1</v>
      </c>
      <c r="F71" t="s">
        <v>193</v>
      </c>
      <c r="G71" t="str">
        <f t="shared" si="1"/>
        <v>SUMMERLAND FRONT BENCH</v>
      </c>
      <c r="H71" t="s">
        <v>32</v>
      </c>
      <c r="I71">
        <v>426</v>
      </c>
      <c r="L71">
        <v>45210</v>
      </c>
      <c r="M71" t="s">
        <v>33</v>
      </c>
      <c r="N71" t="s">
        <v>34</v>
      </c>
      <c r="O71" t="s">
        <v>35</v>
      </c>
      <c r="R71" t="s">
        <v>36</v>
      </c>
      <c r="S71" t="s">
        <v>37</v>
      </c>
      <c r="T71" t="s">
        <v>38</v>
      </c>
      <c r="U71" t="s">
        <v>39</v>
      </c>
      <c r="W71" t="s">
        <v>40</v>
      </c>
    </row>
    <row r="72" spans="1:23" x14ac:dyDescent="0.2">
      <c r="A72">
        <v>49.567500000000003</v>
      </c>
      <c r="B72">
        <v>-119.67959999999999</v>
      </c>
      <c r="C72" t="s">
        <v>86</v>
      </c>
      <c r="D72" t="s">
        <v>194</v>
      </c>
      <c r="E72">
        <v>1</v>
      </c>
      <c r="F72" t="s">
        <v>195</v>
      </c>
      <c r="G72" t="str">
        <f t="shared" si="1"/>
        <v>SUMMERLAND UPPER SOUTH</v>
      </c>
      <c r="H72" t="s">
        <v>32</v>
      </c>
      <c r="I72">
        <v>566</v>
      </c>
      <c r="L72">
        <v>45210</v>
      </c>
      <c r="M72" t="s">
        <v>33</v>
      </c>
      <c r="N72" t="s">
        <v>34</v>
      </c>
      <c r="O72" t="s">
        <v>35</v>
      </c>
      <c r="R72" t="s">
        <v>36</v>
      </c>
      <c r="S72" t="s">
        <v>37</v>
      </c>
      <c r="T72" t="s">
        <v>38</v>
      </c>
      <c r="U72" t="s">
        <v>39</v>
      </c>
      <c r="W72" t="s">
        <v>40</v>
      </c>
    </row>
    <row r="73" spans="1:23" x14ac:dyDescent="0.2">
      <c r="A73">
        <v>50.290100000000002</v>
      </c>
      <c r="B73">
        <v>-119.23099999999999</v>
      </c>
      <c r="C73" t="s">
        <v>41</v>
      </c>
      <c r="D73" t="s">
        <v>196</v>
      </c>
      <c r="E73">
        <v>6</v>
      </c>
      <c r="F73" t="s">
        <v>197</v>
      </c>
      <c r="G73" t="str">
        <f t="shared" si="1"/>
        <v>VERNON BX</v>
      </c>
      <c r="H73" t="s">
        <v>32</v>
      </c>
      <c r="I73">
        <v>515</v>
      </c>
      <c r="L73">
        <v>45179</v>
      </c>
      <c r="M73" t="s">
        <v>33</v>
      </c>
      <c r="N73" t="s">
        <v>34</v>
      </c>
      <c r="O73" t="s">
        <v>35</v>
      </c>
      <c r="R73" t="s">
        <v>36</v>
      </c>
      <c r="S73" t="s">
        <v>37</v>
      </c>
      <c r="T73" t="s">
        <v>38</v>
      </c>
      <c r="U73" t="s">
        <v>39</v>
      </c>
      <c r="W73" t="s">
        <v>40</v>
      </c>
    </row>
    <row r="74" spans="1:23" x14ac:dyDescent="0.2">
      <c r="A74">
        <v>50.059600000000003</v>
      </c>
      <c r="B74">
        <v>-119.43429999999999</v>
      </c>
      <c r="C74" t="s">
        <v>86</v>
      </c>
      <c r="D74" t="s">
        <v>198</v>
      </c>
      <c r="E74">
        <v>1</v>
      </c>
      <c r="F74" t="s">
        <v>199</v>
      </c>
      <c r="G74" t="str">
        <f t="shared" si="1"/>
        <v>WINFIELD NORTH</v>
      </c>
      <c r="H74" t="s">
        <v>32</v>
      </c>
      <c r="I74">
        <v>455</v>
      </c>
      <c r="L74">
        <v>45211</v>
      </c>
      <c r="M74" t="s">
        <v>33</v>
      </c>
      <c r="N74" t="s">
        <v>34</v>
      </c>
      <c r="O74" t="s">
        <v>35</v>
      </c>
      <c r="R74" t="s">
        <v>36</v>
      </c>
      <c r="S74" t="s">
        <v>37</v>
      </c>
      <c r="T74" t="s">
        <v>38</v>
      </c>
      <c r="U74" t="s">
        <v>39</v>
      </c>
      <c r="W74" t="s">
        <v>40</v>
      </c>
    </row>
    <row r="75" spans="1:23" x14ac:dyDescent="0.2">
      <c r="A75">
        <v>50.0471</v>
      </c>
      <c r="B75">
        <v>-119.4205</v>
      </c>
      <c r="C75" t="s">
        <v>41</v>
      </c>
      <c r="D75" t="s">
        <v>200</v>
      </c>
      <c r="E75">
        <v>6</v>
      </c>
      <c r="F75" t="s">
        <v>201</v>
      </c>
      <c r="G75" t="str">
        <f t="shared" si="1"/>
        <v>WINFIELD SOUTH</v>
      </c>
      <c r="H75" t="s">
        <v>32</v>
      </c>
      <c r="I75">
        <v>506</v>
      </c>
      <c r="L75">
        <v>45178</v>
      </c>
      <c r="M75" t="s">
        <v>33</v>
      </c>
      <c r="N75" t="s">
        <v>34</v>
      </c>
      <c r="O75" t="s">
        <v>35</v>
      </c>
      <c r="R75" t="s">
        <v>36</v>
      </c>
      <c r="S75" t="s">
        <v>37</v>
      </c>
      <c r="T75" t="s">
        <v>38</v>
      </c>
      <c r="U75" t="s">
        <v>39</v>
      </c>
      <c r="W75" t="s">
        <v>40</v>
      </c>
    </row>
    <row r="76" spans="1:23" x14ac:dyDescent="0.2">
      <c r="A76">
        <v>49.4617</v>
      </c>
      <c r="B76">
        <v>-119.575</v>
      </c>
      <c r="C76" t="s">
        <v>86</v>
      </c>
      <c r="D76" t="s">
        <v>202</v>
      </c>
      <c r="E76">
        <v>1</v>
      </c>
      <c r="F76" t="s">
        <v>203</v>
      </c>
      <c r="G76" t="str">
        <f t="shared" si="1"/>
        <v>PENTICTON EAST</v>
      </c>
      <c r="H76" t="s">
        <v>32</v>
      </c>
      <c r="I76">
        <v>400</v>
      </c>
      <c r="L76">
        <v>44108</v>
      </c>
      <c r="M76" t="s">
        <v>33</v>
      </c>
      <c r="N76" t="s">
        <v>34</v>
      </c>
      <c r="O76" t="s">
        <v>35</v>
      </c>
      <c r="R76" t="s">
        <v>36</v>
      </c>
      <c r="S76" t="s">
        <v>37</v>
      </c>
      <c r="T76" t="s">
        <v>38</v>
      </c>
      <c r="U76" t="s">
        <v>39</v>
      </c>
      <c r="W76" t="s">
        <v>40</v>
      </c>
    </row>
    <row r="77" spans="1:23" x14ac:dyDescent="0.2">
      <c r="A77">
        <v>50.491199999999999</v>
      </c>
      <c r="B77">
        <v>-122.9662</v>
      </c>
      <c r="C77" t="s">
        <v>204</v>
      </c>
      <c r="D77" t="s">
        <v>205</v>
      </c>
      <c r="E77">
        <v>2</v>
      </c>
      <c r="F77" t="s">
        <v>206</v>
      </c>
      <c r="G77" t="str">
        <f t="shared" si="1"/>
        <v>PERMBERTON MEADOWS</v>
      </c>
      <c r="H77" t="s">
        <v>32</v>
      </c>
      <c r="I77">
        <v>226</v>
      </c>
      <c r="L77">
        <v>43847</v>
      </c>
      <c r="M77" t="s">
        <v>33</v>
      </c>
      <c r="N77" t="s">
        <v>34</v>
      </c>
      <c r="O77" t="s">
        <v>35</v>
      </c>
      <c r="R77" t="s">
        <v>36</v>
      </c>
      <c r="S77" t="s">
        <v>37</v>
      </c>
      <c r="T77" t="s">
        <v>38</v>
      </c>
      <c r="U77" t="s">
        <v>39</v>
      </c>
      <c r="W77" t="s">
        <v>40</v>
      </c>
    </row>
    <row r="78" spans="1:23" x14ac:dyDescent="0.2">
      <c r="A78">
        <v>50.168430999999998</v>
      </c>
      <c r="B78">
        <v>-120.49610300000001</v>
      </c>
      <c r="C78" t="s">
        <v>86</v>
      </c>
      <c r="D78" t="s">
        <v>207</v>
      </c>
      <c r="E78">
        <v>1</v>
      </c>
      <c r="F78" t="s">
        <v>208</v>
      </c>
      <c r="G78" t="str">
        <f t="shared" si="1"/>
        <v>QUILCHENA</v>
      </c>
      <c r="H78" t="s">
        <v>32</v>
      </c>
      <c r="I78">
        <v>316</v>
      </c>
      <c r="K78" t="s">
        <v>209</v>
      </c>
      <c r="L78">
        <v>38557</v>
      </c>
      <c r="M78" t="s">
        <v>33</v>
      </c>
      <c r="N78" t="s">
        <v>34</v>
      </c>
      <c r="O78" t="s">
        <v>35</v>
      </c>
      <c r="R78" t="s">
        <v>36</v>
      </c>
      <c r="S78" t="s">
        <v>37</v>
      </c>
      <c r="T78" t="s">
        <v>38</v>
      </c>
      <c r="U78" t="s">
        <v>39</v>
      </c>
      <c r="W78" t="s">
        <v>40</v>
      </c>
    </row>
    <row r="79" spans="1:23" x14ac:dyDescent="0.2">
      <c r="A79">
        <v>50.141111109999997</v>
      </c>
      <c r="B79">
        <v>-121.0258333</v>
      </c>
      <c r="C79" t="s">
        <v>86</v>
      </c>
      <c r="D79" t="s">
        <v>210</v>
      </c>
      <c r="E79">
        <v>1</v>
      </c>
      <c r="F79" t="s">
        <v>211</v>
      </c>
      <c r="G79" t="str">
        <f t="shared" si="1"/>
        <v>SPIUS CREEK</v>
      </c>
      <c r="H79" t="s">
        <v>32</v>
      </c>
      <c r="I79">
        <v>531</v>
      </c>
      <c r="K79" t="s">
        <v>212</v>
      </c>
      <c r="L79">
        <v>38569</v>
      </c>
      <c r="M79" t="s">
        <v>33</v>
      </c>
      <c r="N79" t="s">
        <v>34</v>
      </c>
      <c r="O79" t="s">
        <v>35</v>
      </c>
      <c r="R79" t="s">
        <v>36</v>
      </c>
      <c r="S79" t="s">
        <v>37</v>
      </c>
      <c r="T79" t="s">
        <v>38</v>
      </c>
      <c r="U79" t="s">
        <v>39</v>
      </c>
      <c r="W79" t="s">
        <v>40</v>
      </c>
    </row>
    <row r="80" spans="1:23" x14ac:dyDescent="0.2">
      <c r="A80">
        <v>50.253333329999997</v>
      </c>
      <c r="B80">
        <v>-118.6905556</v>
      </c>
      <c r="C80" t="s">
        <v>86</v>
      </c>
      <c r="D80" t="s">
        <v>213</v>
      </c>
      <c r="E80">
        <v>1</v>
      </c>
      <c r="F80" t="s">
        <v>214</v>
      </c>
      <c r="G80" t="str">
        <f t="shared" si="1"/>
        <v>SILVER HILLS RANCH (CHERRYVILLE)</v>
      </c>
      <c r="H80" t="s">
        <v>32</v>
      </c>
      <c r="I80">
        <v>495</v>
      </c>
      <c r="K80" t="s">
        <v>215</v>
      </c>
      <c r="L80">
        <v>39555</v>
      </c>
      <c r="M80" t="s">
        <v>33</v>
      </c>
      <c r="N80" t="s">
        <v>34</v>
      </c>
      <c r="O80" t="s">
        <v>35</v>
      </c>
      <c r="R80" t="s">
        <v>36</v>
      </c>
      <c r="T80" t="s">
        <v>38</v>
      </c>
      <c r="U80" t="s">
        <v>39</v>
      </c>
      <c r="W80" t="s">
        <v>40</v>
      </c>
    </row>
    <row r="81" spans="1:24" x14ac:dyDescent="0.2">
      <c r="A81">
        <v>50.738055559999999</v>
      </c>
      <c r="B81">
        <v>-119.77444439999999</v>
      </c>
      <c r="C81" t="s">
        <v>86</v>
      </c>
      <c r="D81" t="s">
        <v>216</v>
      </c>
      <c r="E81">
        <v>1</v>
      </c>
      <c r="F81" t="s">
        <v>217</v>
      </c>
      <c r="G81" t="str">
        <f t="shared" si="1"/>
        <v>SOUTH THOMPSON</v>
      </c>
      <c r="H81" t="s">
        <v>32</v>
      </c>
      <c r="I81">
        <v>413</v>
      </c>
      <c r="K81" t="s">
        <v>218</v>
      </c>
      <c r="L81">
        <v>38959</v>
      </c>
      <c r="M81" t="s">
        <v>33</v>
      </c>
      <c r="N81" t="s">
        <v>34</v>
      </c>
      <c r="O81" t="s">
        <v>35</v>
      </c>
      <c r="R81" t="s">
        <v>36</v>
      </c>
      <c r="S81" t="s">
        <v>37</v>
      </c>
      <c r="T81" t="s">
        <v>38</v>
      </c>
      <c r="U81" t="s">
        <v>39</v>
      </c>
      <c r="W81" t="s">
        <v>40</v>
      </c>
    </row>
    <row r="82" spans="1:24" x14ac:dyDescent="0.2">
      <c r="A82">
        <v>48.731900000000003</v>
      </c>
      <c r="B82">
        <v>-123.6917</v>
      </c>
      <c r="C82" t="s">
        <v>41</v>
      </c>
      <c r="D82" t="s">
        <v>219</v>
      </c>
      <c r="E82">
        <v>2</v>
      </c>
      <c r="F82" t="s">
        <v>220</v>
      </c>
      <c r="G82" t="str">
        <f t="shared" si="1"/>
        <v>KOKSILAH</v>
      </c>
      <c r="H82" t="s">
        <v>32</v>
      </c>
      <c r="I82">
        <v>40</v>
      </c>
      <c r="L82">
        <v>45217</v>
      </c>
      <c r="M82" t="s">
        <v>33</v>
      </c>
      <c r="N82" t="s">
        <v>34</v>
      </c>
      <c r="O82" t="s">
        <v>35</v>
      </c>
      <c r="R82" t="s">
        <v>36</v>
      </c>
      <c r="S82" t="s">
        <v>37</v>
      </c>
      <c r="T82" t="s">
        <v>38</v>
      </c>
      <c r="U82" t="s">
        <v>39</v>
      </c>
      <c r="W82" t="s">
        <v>40</v>
      </c>
    </row>
    <row r="83" spans="1:24" x14ac:dyDescent="0.2">
      <c r="A83">
        <v>49.778799999999997</v>
      </c>
      <c r="B83">
        <v>-125.0485</v>
      </c>
      <c r="C83" t="s">
        <v>41</v>
      </c>
      <c r="D83" t="s">
        <v>221</v>
      </c>
      <c r="E83">
        <v>2</v>
      </c>
      <c r="F83" t="s">
        <v>222</v>
      </c>
      <c r="G83" t="str">
        <f t="shared" si="1"/>
        <v>MERVILLE</v>
      </c>
      <c r="H83" t="s">
        <v>32</v>
      </c>
      <c r="I83">
        <v>49</v>
      </c>
      <c r="L83">
        <v>45166</v>
      </c>
      <c r="M83" t="s">
        <v>33</v>
      </c>
      <c r="N83" t="s">
        <v>34</v>
      </c>
      <c r="O83" t="s">
        <v>35</v>
      </c>
      <c r="R83" t="s">
        <v>36</v>
      </c>
      <c r="S83" t="s">
        <v>37</v>
      </c>
      <c r="T83" t="s">
        <v>38</v>
      </c>
      <c r="U83" t="s">
        <v>39</v>
      </c>
      <c r="W83" t="s">
        <v>40</v>
      </c>
    </row>
    <row r="84" spans="1:24" x14ac:dyDescent="0.2">
      <c r="A84">
        <v>48.556399999999996</v>
      </c>
      <c r="B84">
        <v>-123.4153</v>
      </c>
      <c r="C84" t="s">
        <v>41</v>
      </c>
      <c r="D84" t="s">
        <v>223</v>
      </c>
      <c r="E84">
        <v>3</v>
      </c>
      <c r="F84" t="s">
        <v>224</v>
      </c>
      <c r="G84" t="str">
        <f t="shared" si="1"/>
        <v>SAANICHTON</v>
      </c>
      <c r="H84" t="s">
        <v>32</v>
      </c>
      <c r="I84">
        <v>90</v>
      </c>
      <c r="L84">
        <v>45217</v>
      </c>
      <c r="M84" t="s">
        <v>33</v>
      </c>
      <c r="N84" t="s">
        <v>34</v>
      </c>
      <c r="O84" t="s">
        <v>35</v>
      </c>
      <c r="R84" t="s">
        <v>36</v>
      </c>
      <c r="S84" t="s">
        <v>37</v>
      </c>
      <c r="T84" t="s">
        <v>38</v>
      </c>
      <c r="U84" t="s">
        <v>39</v>
      </c>
      <c r="W84" t="s">
        <v>40</v>
      </c>
    </row>
    <row r="85" spans="1:24" x14ac:dyDescent="0.2">
      <c r="A85">
        <v>49.082700000000003</v>
      </c>
      <c r="B85">
        <v>-123.158</v>
      </c>
      <c r="C85" t="s">
        <v>41</v>
      </c>
      <c r="D85" t="s">
        <v>225</v>
      </c>
      <c r="E85">
        <v>1</v>
      </c>
      <c r="F85" t="s">
        <v>226</v>
      </c>
      <c r="G85" t="str">
        <f t="shared" si="1"/>
        <v>WESTHAM ISLAND</v>
      </c>
      <c r="H85" t="s">
        <v>32</v>
      </c>
      <c r="I85">
        <v>7</v>
      </c>
      <c r="L85">
        <v>43975</v>
      </c>
      <c r="M85" t="s">
        <v>33</v>
      </c>
      <c r="N85" t="s">
        <v>34</v>
      </c>
      <c r="O85" t="s">
        <v>35</v>
      </c>
      <c r="R85" t="s">
        <v>36</v>
      </c>
      <c r="S85" t="s">
        <v>37</v>
      </c>
      <c r="T85" t="s">
        <v>38</v>
      </c>
      <c r="U85" t="s">
        <v>39</v>
      </c>
      <c r="W85" t="s">
        <v>40</v>
      </c>
    </row>
    <row r="86" spans="1:24" x14ac:dyDescent="0.2">
      <c r="A86">
        <v>49.868000000000002</v>
      </c>
      <c r="B86">
        <v>-119.5746</v>
      </c>
      <c r="C86" t="s">
        <v>86</v>
      </c>
      <c r="D86" t="s">
        <v>227</v>
      </c>
      <c r="E86">
        <v>1</v>
      </c>
      <c r="F86" t="s">
        <v>228</v>
      </c>
      <c r="G86" t="str">
        <f t="shared" si="1"/>
        <v>WEST KELOWNA (ROM)</v>
      </c>
      <c r="H86" t="s">
        <v>32</v>
      </c>
      <c r="I86">
        <v>487</v>
      </c>
      <c r="L86">
        <v>43655</v>
      </c>
      <c r="M86" t="s">
        <v>33</v>
      </c>
      <c r="N86" t="s">
        <v>34</v>
      </c>
      <c r="O86" t="s">
        <v>35</v>
      </c>
      <c r="R86" t="s">
        <v>36</v>
      </c>
      <c r="S86" t="s">
        <v>37</v>
      </c>
      <c r="T86" t="s">
        <v>38</v>
      </c>
      <c r="U86" t="s">
        <v>39</v>
      </c>
      <c r="W86" t="s">
        <v>40</v>
      </c>
    </row>
    <row r="87" spans="1:24" x14ac:dyDescent="0.2">
      <c r="A87">
        <v>56.306199999999997</v>
      </c>
      <c r="B87">
        <v>-120.53100000000001</v>
      </c>
      <c r="C87" t="s">
        <v>46</v>
      </c>
      <c r="D87" t="s">
        <v>229</v>
      </c>
      <c r="E87">
        <v>3</v>
      </c>
      <c r="F87" t="s">
        <v>230</v>
      </c>
      <c r="G87" t="str">
        <f t="shared" si="1"/>
        <v>CECIL LAKE</v>
      </c>
      <c r="H87" t="s">
        <v>32</v>
      </c>
      <c r="I87">
        <v>718</v>
      </c>
      <c r="L87">
        <v>44768</v>
      </c>
      <c r="M87" t="s">
        <v>33</v>
      </c>
      <c r="N87" t="s">
        <v>34</v>
      </c>
      <c r="O87" t="s">
        <v>35</v>
      </c>
      <c r="R87" t="s">
        <v>36</v>
      </c>
      <c r="S87" t="s">
        <v>37</v>
      </c>
      <c r="T87" t="s">
        <v>38</v>
      </c>
      <c r="U87" t="s">
        <v>39</v>
      </c>
      <c r="W87" t="s">
        <v>40</v>
      </c>
    </row>
    <row r="88" spans="1:24" x14ac:dyDescent="0.2">
      <c r="A88">
        <v>50.247999999999998</v>
      </c>
      <c r="B88">
        <v>-118.87</v>
      </c>
      <c r="C88" t="s">
        <v>86</v>
      </c>
      <c r="D88" t="s">
        <v>231</v>
      </c>
      <c r="E88">
        <v>1</v>
      </c>
      <c r="F88" t="s">
        <v>232</v>
      </c>
      <c r="G88" t="str">
        <f t="shared" si="1"/>
        <v>BLUE SPRINGS</v>
      </c>
      <c r="H88" t="s">
        <v>32</v>
      </c>
      <c r="I88">
        <v>580</v>
      </c>
      <c r="M88" t="s">
        <v>33</v>
      </c>
      <c r="N88" t="s">
        <v>34</v>
      </c>
      <c r="O88" t="s">
        <v>35</v>
      </c>
      <c r="R88" t="s">
        <v>36</v>
      </c>
      <c r="S88" t="s">
        <v>37</v>
      </c>
      <c r="T88" t="s">
        <v>38</v>
      </c>
      <c r="U88" t="s">
        <v>39</v>
      </c>
      <c r="W88" t="s">
        <v>40</v>
      </c>
    </row>
    <row r="89" spans="1:24" x14ac:dyDescent="0.2">
      <c r="A89">
        <v>49.0884</v>
      </c>
      <c r="B89">
        <v>-116.4851</v>
      </c>
      <c r="C89" t="s">
        <v>61</v>
      </c>
      <c r="D89" t="s">
        <v>233</v>
      </c>
      <c r="E89">
        <v>1</v>
      </c>
      <c r="F89" t="s">
        <v>234</v>
      </c>
      <c r="G89" t="str">
        <f t="shared" si="1"/>
        <v>CENTRAL ERICKSON</v>
      </c>
      <c r="H89" t="s">
        <v>32</v>
      </c>
      <c r="I89">
        <v>648</v>
      </c>
      <c r="L89">
        <v>44656</v>
      </c>
      <c r="M89" t="s">
        <v>33</v>
      </c>
      <c r="N89" t="s">
        <v>34</v>
      </c>
      <c r="O89" t="s">
        <v>35</v>
      </c>
      <c r="R89" t="s">
        <v>36</v>
      </c>
      <c r="S89" t="s">
        <v>37</v>
      </c>
      <c r="T89" t="s">
        <v>38</v>
      </c>
      <c r="U89" t="s">
        <v>39</v>
      </c>
      <c r="W89" t="s">
        <v>40</v>
      </c>
    </row>
    <row r="90" spans="1:24" x14ac:dyDescent="0.2">
      <c r="A90">
        <v>50.4788</v>
      </c>
      <c r="B90">
        <v>-119.77</v>
      </c>
      <c r="C90" t="s">
        <v>86</v>
      </c>
      <c r="D90" t="s">
        <v>235</v>
      </c>
      <c r="E90">
        <v>1</v>
      </c>
      <c r="F90" t="s">
        <v>236</v>
      </c>
      <c r="G90" t="str">
        <f t="shared" si="1"/>
        <v>WESTWOLD</v>
      </c>
      <c r="H90" t="s">
        <v>32</v>
      </c>
      <c r="I90">
        <v>654</v>
      </c>
      <c r="M90" t="s">
        <v>33</v>
      </c>
      <c r="N90" t="s">
        <v>34</v>
      </c>
      <c r="O90" t="s">
        <v>35</v>
      </c>
      <c r="R90" t="s">
        <v>36</v>
      </c>
      <c r="S90" t="s">
        <v>37</v>
      </c>
      <c r="T90" t="s">
        <v>38</v>
      </c>
      <c r="U90" t="s">
        <v>39</v>
      </c>
      <c r="W90" t="s">
        <v>40</v>
      </c>
    </row>
    <row r="91" spans="1:24" x14ac:dyDescent="0.2">
      <c r="A91">
        <v>54.398288999999998</v>
      </c>
      <c r="B91">
        <v>-126.641604</v>
      </c>
      <c r="C91" t="s">
        <v>29</v>
      </c>
      <c r="D91">
        <v>3</v>
      </c>
      <c r="E91">
        <v>1</v>
      </c>
      <c r="F91" t="s">
        <v>237</v>
      </c>
      <c r="G91" t="str">
        <f t="shared" si="1"/>
        <v>HOUSTON FIREHALL</v>
      </c>
      <c r="H91" t="s">
        <v>238</v>
      </c>
      <c r="I91">
        <v>602</v>
      </c>
      <c r="K91" t="s">
        <v>239</v>
      </c>
      <c r="L91">
        <v>34659</v>
      </c>
      <c r="M91" t="s">
        <v>240</v>
      </c>
      <c r="N91" t="s">
        <v>241</v>
      </c>
      <c r="O91" t="s">
        <v>242</v>
      </c>
      <c r="R91" t="s">
        <v>36</v>
      </c>
      <c r="S91" t="s">
        <v>37</v>
      </c>
      <c r="W91" t="s">
        <v>243</v>
      </c>
    </row>
    <row r="92" spans="1:24" x14ac:dyDescent="0.2">
      <c r="A92">
        <v>48.441941999999997</v>
      </c>
      <c r="B92">
        <v>-123.363165</v>
      </c>
      <c r="C92" t="s">
        <v>41</v>
      </c>
      <c r="D92">
        <v>8</v>
      </c>
      <c r="E92">
        <v>1</v>
      </c>
      <c r="F92" t="s">
        <v>244</v>
      </c>
      <c r="G92" t="str">
        <f t="shared" si="1"/>
        <v>VICTORIA TOPAZ</v>
      </c>
      <c r="H92" t="s">
        <v>238</v>
      </c>
      <c r="I92">
        <v>29</v>
      </c>
      <c r="K92" t="s">
        <v>245</v>
      </c>
      <c r="L92">
        <v>35916</v>
      </c>
      <c r="M92" t="s">
        <v>240</v>
      </c>
      <c r="N92" t="s">
        <v>241</v>
      </c>
      <c r="O92" t="s">
        <v>242</v>
      </c>
      <c r="R92" t="s">
        <v>36</v>
      </c>
      <c r="S92" t="s">
        <v>37</v>
      </c>
      <c r="W92" t="s">
        <v>246</v>
      </c>
    </row>
    <row r="93" spans="1:24" x14ac:dyDescent="0.2">
      <c r="A93">
        <v>51.2956</v>
      </c>
      <c r="B93">
        <v>-116.9717</v>
      </c>
      <c r="C93" t="s">
        <v>61</v>
      </c>
      <c r="D93">
        <v>19</v>
      </c>
      <c r="E93">
        <v>1</v>
      </c>
      <c r="F93" t="s">
        <v>247</v>
      </c>
      <c r="G93" t="str">
        <f t="shared" si="1"/>
        <v>GOLDEN LADY GREY SCHOOL</v>
      </c>
      <c r="H93" t="s">
        <v>238</v>
      </c>
      <c r="I93">
        <v>773</v>
      </c>
      <c r="K93" t="s">
        <v>248</v>
      </c>
      <c r="L93">
        <v>36852</v>
      </c>
      <c r="M93" t="s">
        <v>240</v>
      </c>
      <c r="N93" t="s">
        <v>241</v>
      </c>
      <c r="O93" t="s">
        <v>242</v>
      </c>
      <c r="R93" t="s">
        <v>36</v>
      </c>
      <c r="S93" t="s">
        <v>37</v>
      </c>
      <c r="W93" t="s">
        <v>249</v>
      </c>
    </row>
    <row r="94" spans="1:24" x14ac:dyDescent="0.2">
      <c r="A94">
        <v>48.874529000000003</v>
      </c>
      <c r="B94">
        <v>-123.65392900000001</v>
      </c>
      <c r="C94" t="s">
        <v>41</v>
      </c>
      <c r="D94">
        <v>39</v>
      </c>
      <c r="E94">
        <v>1</v>
      </c>
      <c r="F94" t="s">
        <v>250</v>
      </c>
      <c r="G94" t="str">
        <f t="shared" si="1"/>
        <v>CROFTON SUBSTATION</v>
      </c>
      <c r="H94" t="s">
        <v>238</v>
      </c>
      <c r="I94">
        <v>22</v>
      </c>
      <c r="K94" t="s">
        <v>251</v>
      </c>
      <c r="L94">
        <v>34565</v>
      </c>
      <c r="M94" t="s">
        <v>240</v>
      </c>
      <c r="N94" t="s">
        <v>241</v>
      </c>
      <c r="O94" t="s">
        <v>242</v>
      </c>
      <c r="R94" t="s">
        <v>36</v>
      </c>
      <c r="S94" t="s">
        <v>37</v>
      </c>
      <c r="W94" t="s">
        <v>40</v>
      </c>
    </row>
    <row r="95" spans="1:24" x14ac:dyDescent="0.2">
      <c r="A95">
        <v>49.014722220000003</v>
      </c>
      <c r="B95">
        <v>-118.4269444</v>
      </c>
      <c r="C95" t="s">
        <v>86</v>
      </c>
      <c r="D95">
        <v>55</v>
      </c>
      <c r="E95">
        <v>1</v>
      </c>
      <c r="F95" t="s">
        <v>252</v>
      </c>
      <c r="G95" t="str">
        <f t="shared" si="1"/>
        <v>GRAND FORKS AIRPORT</v>
      </c>
      <c r="H95" t="s">
        <v>238</v>
      </c>
      <c r="I95">
        <v>520</v>
      </c>
      <c r="J95" t="s">
        <v>253</v>
      </c>
      <c r="K95" t="s">
        <v>254</v>
      </c>
      <c r="L95">
        <v>38820</v>
      </c>
      <c r="M95" t="s">
        <v>240</v>
      </c>
      <c r="N95" t="s">
        <v>241</v>
      </c>
      <c r="O95" t="s">
        <v>242</v>
      </c>
      <c r="R95" t="s">
        <v>36</v>
      </c>
      <c r="S95" t="s">
        <v>37</v>
      </c>
      <c r="T95" t="s">
        <v>255</v>
      </c>
      <c r="U95" t="s">
        <v>39</v>
      </c>
      <c r="W95" t="s">
        <v>256</v>
      </c>
      <c r="X95" t="s">
        <v>257</v>
      </c>
    </row>
    <row r="96" spans="1:24" x14ac:dyDescent="0.2">
      <c r="A96">
        <v>49.135300000000001</v>
      </c>
      <c r="B96">
        <v>-123.8475</v>
      </c>
      <c r="C96" t="s">
        <v>41</v>
      </c>
      <c r="D96">
        <v>60</v>
      </c>
      <c r="E96">
        <v>1</v>
      </c>
      <c r="F96" t="s">
        <v>258</v>
      </c>
      <c r="G96" t="str">
        <f t="shared" si="1"/>
        <v>HARMAC PACIFIC</v>
      </c>
      <c r="H96" t="s">
        <v>238</v>
      </c>
      <c r="I96">
        <v>23</v>
      </c>
      <c r="K96" t="s">
        <v>259</v>
      </c>
      <c r="L96">
        <v>34755</v>
      </c>
      <c r="M96" t="s">
        <v>240</v>
      </c>
      <c r="N96" t="s">
        <v>241</v>
      </c>
      <c r="O96" t="s">
        <v>242</v>
      </c>
      <c r="R96" t="s">
        <v>36</v>
      </c>
      <c r="W96" t="s">
        <v>40</v>
      </c>
    </row>
    <row r="97" spans="1:23" x14ac:dyDescent="0.2">
      <c r="A97">
        <v>54.029193999999997</v>
      </c>
      <c r="B97">
        <v>-128.70268999999999</v>
      </c>
      <c r="C97" t="s">
        <v>204</v>
      </c>
      <c r="D97">
        <v>75</v>
      </c>
      <c r="E97">
        <v>1</v>
      </c>
      <c r="F97" t="s">
        <v>260</v>
      </c>
      <c r="G97" t="str">
        <f t="shared" si="1"/>
        <v>KITIMAT HAUL ROAD</v>
      </c>
      <c r="H97" t="s">
        <v>238</v>
      </c>
      <c r="I97">
        <v>11</v>
      </c>
      <c r="K97" t="s">
        <v>261</v>
      </c>
      <c r="L97">
        <v>35342</v>
      </c>
      <c r="M97" t="s">
        <v>240</v>
      </c>
      <c r="N97" t="s">
        <v>241</v>
      </c>
      <c r="O97" t="s">
        <v>242</v>
      </c>
      <c r="R97" t="s">
        <v>36</v>
      </c>
      <c r="W97" t="s">
        <v>40</v>
      </c>
    </row>
    <row r="98" spans="1:23" x14ac:dyDescent="0.2">
      <c r="A98">
        <v>54.066909000000003</v>
      </c>
      <c r="B98">
        <v>-128.63913099999999</v>
      </c>
      <c r="C98" t="s">
        <v>204</v>
      </c>
      <c r="D98">
        <v>80</v>
      </c>
      <c r="E98">
        <v>1</v>
      </c>
      <c r="F98" t="s">
        <v>262</v>
      </c>
      <c r="G98" t="str">
        <f t="shared" si="1"/>
        <v>KITIMAT WHITESAIL</v>
      </c>
      <c r="H98" t="s">
        <v>238</v>
      </c>
      <c r="I98">
        <v>94</v>
      </c>
      <c r="K98" t="s">
        <v>263</v>
      </c>
      <c r="L98">
        <v>35398</v>
      </c>
      <c r="M98" t="s">
        <v>240</v>
      </c>
      <c r="N98" t="s">
        <v>241</v>
      </c>
      <c r="O98" t="s">
        <v>242</v>
      </c>
      <c r="R98" t="s">
        <v>36</v>
      </c>
      <c r="S98" t="s">
        <v>37</v>
      </c>
      <c r="W98" t="s">
        <v>40</v>
      </c>
    </row>
    <row r="99" spans="1:23" x14ac:dyDescent="0.2">
      <c r="A99">
        <v>50.105083999999998</v>
      </c>
      <c r="B99">
        <v>-120.792136</v>
      </c>
      <c r="C99" t="s">
        <v>86</v>
      </c>
      <c r="D99">
        <v>94</v>
      </c>
      <c r="E99">
        <v>1</v>
      </c>
      <c r="F99" t="s">
        <v>264</v>
      </c>
      <c r="G99" t="str">
        <f t="shared" si="1"/>
        <v>MERRITT PARCEL STREET</v>
      </c>
      <c r="H99" t="s">
        <v>238</v>
      </c>
      <c r="I99">
        <v>603</v>
      </c>
      <c r="K99" t="s">
        <v>265</v>
      </c>
      <c r="L99">
        <v>39055</v>
      </c>
      <c r="M99" t="s">
        <v>240</v>
      </c>
      <c r="N99" t="s">
        <v>241</v>
      </c>
      <c r="O99" t="s">
        <v>242</v>
      </c>
      <c r="R99" t="s">
        <v>36</v>
      </c>
      <c r="S99" t="s">
        <v>37</v>
      </c>
      <c r="W99" t="s">
        <v>266</v>
      </c>
    </row>
    <row r="100" spans="1:23" x14ac:dyDescent="0.2">
      <c r="A100">
        <v>49.158055560000001</v>
      </c>
      <c r="B100">
        <v>-117.7330556</v>
      </c>
      <c r="C100" t="s">
        <v>61</v>
      </c>
      <c r="D100">
        <v>97</v>
      </c>
      <c r="E100">
        <v>1</v>
      </c>
      <c r="F100" t="s">
        <v>267</v>
      </c>
      <c r="G100" t="str">
        <f t="shared" si="1"/>
        <v>BIRCH BANK GOLF COURSE</v>
      </c>
      <c r="H100" t="s">
        <v>238</v>
      </c>
      <c r="I100">
        <v>483</v>
      </c>
      <c r="K100" t="s">
        <v>268</v>
      </c>
      <c r="L100">
        <v>38299</v>
      </c>
      <c r="M100" t="s">
        <v>240</v>
      </c>
      <c r="N100" t="s">
        <v>241</v>
      </c>
      <c r="O100" t="s">
        <v>242</v>
      </c>
      <c r="R100" t="s">
        <v>36</v>
      </c>
      <c r="S100" t="s">
        <v>37</v>
      </c>
      <c r="W100" t="s">
        <v>40</v>
      </c>
    </row>
    <row r="101" spans="1:23" x14ac:dyDescent="0.2">
      <c r="A101">
        <v>49.333333330000002</v>
      </c>
      <c r="B101">
        <v>-117.7188889</v>
      </c>
      <c r="C101" t="s">
        <v>61</v>
      </c>
      <c r="D101">
        <v>98</v>
      </c>
      <c r="E101">
        <v>1</v>
      </c>
      <c r="F101" t="s">
        <v>269</v>
      </c>
      <c r="G101" t="str">
        <f t="shared" si="1"/>
        <v>CELGAR PULP</v>
      </c>
      <c r="H101" t="s">
        <v>238</v>
      </c>
      <c r="I101">
        <v>449</v>
      </c>
      <c r="L101">
        <v>34466</v>
      </c>
      <c r="M101" t="s">
        <v>240</v>
      </c>
      <c r="N101" t="s">
        <v>241</v>
      </c>
      <c r="O101" t="s">
        <v>242</v>
      </c>
      <c r="R101" t="s">
        <v>36</v>
      </c>
      <c r="W101" t="s">
        <v>40</v>
      </c>
    </row>
    <row r="102" spans="1:23" x14ac:dyDescent="0.2">
      <c r="A102">
        <v>54.230833330000003</v>
      </c>
      <c r="B102">
        <v>-125.7644444</v>
      </c>
      <c r="C102" t="s">
        <v>29</v>
      </c>
      <c r="D102">
        <v>104</v>
      </c>
      <c r="E102">
        <v>1</v>
      </c>
      <c r="F102" t="s">
        <v>270</v>
      </c>
      <c r="G102" t="str">
        <f t="shared" si="1"/>
        <v>BURNS LAKE FIRE CENTRE</v>
      </c>
      <c r="H102" t="s">
        <v>238</v>
      </c>
      <c r="I102">
        <v>710</v>
      </c>
      <c r="K102" t="s">
        <v>271</v>
      </c>
      <c r="L102">
        <v>35490</v>
      </c>
      <c r="M102" t="s">
        <v>240</v>
      </c>
      <c r="N102" t="s">
        <v>241</v>
      </c>
      <c r="O102" t="s">
        <v>242</v>
      </c>
      <c r="R102" t="s">
        <v>36</v>
      </c>
      <c r="S102" t="s">
        <v>37</v>
      </c>
      <c r="W102" t="s">
        <v>40</v>
      </c>
    </row>
    <row r="103" spans="1:23" x14ac:dyDescent="0.2">
      <c r="A103">
        <v>55.574629999999999</v>
      </c>
      <c r="B103">
        <v>-121.921476</v>
      </c>
      <c r="C103" t="s">
        <v>272</v>
      </c>
      <c r="D103">
        <v>107</v>
      </c>
      <c r="E103">
        <v>5</v>
      </c>
      <c r="F103" t="s">
        <v>273</v>
      </c>
      <c r="G103" t="str">
        <f t="shared" si="1"/>
        <v>PINE RIVER GAS PLANT</v>
      </c>
      <c r="H103" t="s">
        <v>238</v>
      </c>
      <c r="I103">
        <v>1113</v>
      </c>
      <c r="K103" t="s">
        <v>274</v>
      </c>
      <c r="L103">
        <v>34060</v>
      </c>
      <c r="M103" t="s">
        <v>240</v>
      </c>
      <c r="N103" t="s">
        <v>241</v>
      </c>
      <c r="O103" t="s">
        <v>242</v>
      </c>
      <c r="R103" t="s">
        <v>36</v>
      </c>
      <c r="S103" t="s">
        <v>37</v>
      </c>
      <c r="W103" t="s">
        <v>40</v>
      </c>
    </row>
    <row r="104" spans="1:23" x14ac:dyDescent="0.2">
      <c r="A104">
        <v>55.605559999999997</v>
      </c>
      <c r="B104">
        <v>-121.97346899999999</v>
      </c>
      <c r="C104" t="s">
        <v>272</v>
      </c>
      <c r="D104">
        <v>110</v>
      </c>
      <c r="E104">
        <v>1</v>
      </c>
      <c r="F104" t="s">
        <v>275</v>
      </c>
      <c r="G104" t="str">
        <f t="shared" si="1"/>
        <v>PINE RIVER HASLER</v>
      </c>
      <c r="H104" t="s">
        <v>238</v>
      </c>
      <c r="I104">
        <v>610</v>
      </c>
      <c r="K104" t="s">
        <v>276</v>
      </c>
      <c r="L104">
        <v>36306</v>
      </c>
      <c r="M104" t="s">
        <v>240</v>
      </c>
      <c r="N104" t="s">
        <v>241</v>
      </c>
      <c r="O104" t="s">
        <v>242</v>
      </c>
      <c r="R104" t="s">
        <v>36</v>
      </c>
      <c r="S104" t="s">
        <v>37</v>
      </c>
      <c r="W104" t="s">
        <v>40</v>
      </c>
    </row>
    <row r="105" spans="1:23" x14ac:dyDescent="0.2">
      <c r="A105">
        <v>49.522777779999998</v>
      </c>
      <c r="B105">
        <v>-123.4822222</v>
      </c>
      <c r="C105" t="s">
        <v>204</v>
      </c>
      <c r="D105">
        <v>117</v>
      </c>
      <c r="E105">
        <v>1</v>
      </c>
      <c r="F105" t="s">
        <v>277</v>
      </c>
      <c r="G105" t="str">
        <f t="shared" si="1"/>
        <v>PORT MELLON</v>
      </c>
      <c r="H105" t="s">
        <v>238</v>
      </c>
      <c r="I105">
        <v>3</v>
      </c>
      <c r="K105" t="s">
        <v>278</v>
      </c>
      <c r="L105">
        <v>35577</v>
      </c>
      <c r="M105" t="s">
        <v>240</v>
      </c>
      <c r="N105" t="s">
        <v>241</v>
      </c>
      <c r="O105" t="s">
        <v>242</v>
      </c>
      <c r="R105" t="s">
        <v>36</v>
      </c>
      <c r="W105" t="s">
        <v>40</v>
      </c>
    </row>
    <row r="106" spans="1:23" x14ac:dyDescent="0.2">
      <c r="A106">
        <v>53.995559999999998</v>
      </c>
      <c r="B106">
        <v>-122.77556</v>
      </c>
      <c r="C106" t="s">
        <v>272</v>
      </c>
      <c r="D106">
        <v>138</v>
      </c>
      <c r="E106">
        <v>1</v>
      </c>
      <c r="F106" t="s">
        <v>279</v>
      </c>
      <c r="G106" t="str">
        <f t="shared" si="1"/>
        <v>PRINCE GEORGE GLENVIEW SCHOOL</v>
      </c>
      <c r="H106" t="s">
        <v>238</v>
      </c>
      <c r="I106">
        <v>750</v>
      </c>
      <c r="K106" t="s">
        <v>280</v>
      </c>
      <c r="L106">
        <v>35410</v>
      </c>
      <c r="M106" t="s">
        <v>240</v>
      </c>
      <c r="N106" t="s">
        <v>241</v>
      </c>
      <c r="O106" t="s">
        <v>242</v>
      </c>
      <c r="R106" t="s">
        <v>36</v>
      </c>
      <c r="S106" t="s">
        <v>37</v>
      </c>
      <c r="W106" t="s">
        <v>281</v>
      </c>
    </row>
    <row r="107" spans="1:23" x14ac:dyDescent="0.2">
      <c r="A107">
        <v>53.914720000000003</v>
      </c>
      <c r="B107">
        <v>-122.74194</v>
      </c>
      <c r="C107" t="s">
        <v>272</v>
      </c>
      <c r="D107">
        <v>144</v>
      </c>
      <c r="E107">
        <v>1</v>
      </c>
      <c r="F107" t="s">
        <v>282</v>
      </c>
      <c r="G107" t="str">
        <f t="shared" si="1"/>
        <v>PRINCE GEORGE PLAZA 400</v>
      </c>
      <c r="H107" t="s">
        <v>238</v>
      </c>
      <c r="I107">
        <v>588</v>
      </c>
      <c r="K107" t="s">
        <v>283</v>
      </c>
      <c r="L107">
        <v>31033</v>
      </c>
      <c r="M107" t="s">
        <v>240</v>
      </c>
      <c r="N107" t="s">
        <v>241</v>
      </c>
      <c r="O107" t="s">
        <v>242</v>
      </c>
      <c r="R107" t="s">
        <v>36</v>
      </c>
      <c r="S107" t="s">
        <v>37</v>
      </c>
      <c r="W107" t="s">
        <v>284</v>
      </c>
    </row>
    <row r="108" spans="1:23" x14ac:dyDescent="0.2">
      <c r="A108">
        <v>53.924444440000002</v>
      </c>
      <c r="B108">
        <v>-122.68611110000001</v>
      </c>
      <c r="C108" t="s">
        <v>272</v>
      </c>
      <c r="D108">
        <v>146</v>
      </c>
      <c r="E108">
        <v>1</v>
      </c>
      <c r="F108" t="s">
        <v>285</v>
      </c>
      <c r="G108" t="str">
        <f t="shared" si="1"/>
        <v>PRINCE GEORGE PULP</v>
      </c>
      <c r="H108" t="s">
        <v>238</v>
      </c>
      <c r="I108">
        <v>600</v>
      </c>
      <c r="K108" t="s">
        <v>286</v>
      </c>
      <c r="L108">
        <v>31951</v>
      </c>
      <c r="M108" t="s">
        <v>240</v>
      </c>
      <c r="N108" t="s">
        <v>241</v>
      </c>
      <c r="O108" t="s">
        <v>242</v>
      </c>
      <c r="R108" t="s">
        <v>36</v>
      </c>
      <c r="W108" t="s">
        <v>287</v>
      </c>
    </row>
    <row r="109" spans="1:23" x14ac:dyDescent="0.2">
      <c r="A109">
        <v>56.105871</v>
      </c>
      <c r="B109">
        <v>-120.662779</v>
      </c>
      <c r="C109" t="s">
        <v>46</v>
      </c>
      <c r="D109">
        <v>176</v>
      </c>
      <c r="E109">
        <v>2</v>
      </c>
      <c r="F109" t="s">
        <v>288</v>
      </c>
      <c r="G109" t="str">
        <f t="shared" si="1"/>
        <v>TAYLOR SOUTH HILL</v>
      </c>
      <c r="H109" t="s">
        <v>238</v>
      </c>
      <c r="I109">
        <v>689</v>
      </c>
      <c r="K109" t="s">
        <v>289</v>
      </c>
      <c r="L109">
        <v>35829</v>
      </c>
      <c r="M109" t="s">
        <v>240</v>
      </c>
      <c r="N109" t="s">
        <v>241</v>
      </c>
      <c r="O109" t="s">
        <v>242</v>
      </c>
      <c r="R109" t="s">
        <v>36</v>
      </c>
      <c r="S109" t="s">
        <v>37</v>
      </c>
      <c r="W109" t="s">
        <v>40</v>
      </c>
    </row>
    <row r="110" spans="1:23" x14ac:dyDescent="0.2">
      <c r="A110">
        <v>56.150185999999998</v>
      </c>
      <c r="B110">
        <v>-120.68698500000001</v>
      </c>
      <c r="C110" t="s">
        <v>46</v>
      </c>
      <c r="D110">
        <v>179</v>
      </c>
      <c r="E110">
        <v>1</v>
      </c>
      <c r="F110" t="s">
        <v>290</v>
      </c>
      <c r="G110" t="str">
        <f t="shared" si="1"/>
        <v>TAYLOR TOWNSITE</v>
      </c>
      <c r="H110" t="s">
        <v>238</v>
      </c>
      <c r="I110">
        <v>474</v>
      </c>
      <c r="K110" t="s">
        <v>291</v>
      </c>
      <c r="L110">
        <v>34060</v>
      </c>
      <c r="M110" t="s">
        <v>240</v>
      </c>
      <c r="N110" t="s">
        <v>241</v>
      </c>
      <c r="O110" t="s">
        <v>242</v>
      </c>
      <c r="R110" t="s">
        <v>36</v>
      </c>
      <c r="S110" t="s">
        <v>37</v>
      </c>
      <c r="W110" t="s">
        <v>40</v>
      </c>
    </row>
    <row r="111" spans="1:23" x14ac:dyDescent="0.2">
      <c r="A111">
        <v>49.096218</v>
      </c>
      <c r="B111">
        <v>-117.697828</v>
      </c>
      <c r="C111" t="s">
        <v>61</v>
      </c>
      <c r="D111">
        <v>189</v>
      </c>
      <c r="E111">
        <v>1</v>
      </c>
      <c r="F111" t="s">
        <v>292</v>
      </c>
      <c r="G111" t="str">
        <f t="shared" si="1"/>
        <v>TRAIL BUTLER PARK</v>
      </c>
      <c r="H111" t="s">
        <v>238</v>
      </c>
      <c r="I111">
        <v>423</v>
      </c>
      <c r="K111" t="s">
        <v>293</v>
      </c>
      <c r="L111">
        <v>31337</v>
      </c>
      <c r="M111" t="s">
        <v>240</v>
      </c>
      <c r="N111" t="s">
        <v>241</v>
      </c>
      <c r="O111" t="s">
        <v>242</v>
      </c>
      <c r="R111" t="s">
        <v>36</v>
      </c>
      <c r="S111" t="s">
        <v>37</v>
      </c>
      <c r="W111" t="s">
        <v>40</v>
      </c>
    </row>
    <row r="112" spans="1:23" x14ac:dyDescent="0.2">
      <c r="A112">
        <v>49.046050000000001</v>
      </c>
      <c r="B112">
        <v>-117.60711000000001</v>
      </c>
      <c r="C112" t="s">
        <v>61</v>
      </c>
      <c r="D112">
        <v>192</v>
      </c>
      <c r="E112">
        <v>1</v>
      </c>
      <c r="F112" t="s">
        <v>294</v>
      </c>
      <c r="G112" t="str">
        <f t="shared" si="1"/>
        <v>TRAIL COLUMBIA GARDENS AIRPORT</v>
      </c>
      <c r="H112" t="s">
        <v>238</v>
      </c>
      <c r="I112">
        <v>428</v>
      </c>
      <c r="K112" t="s">
        <v>295</v>
      </c>
      <c r="L112">
        <v>36348</v>
      </c>
      <c r="M112" t="s">
        <v>240</v>
      </c>
      <c r="N112" t="s">
        <v>241</v>
      </c>
      <c r="O112" t="s">
        <v>242</v>
      </c>
      <c r="R112" t="s">
        <v>36</v>
      </c>
      <c r="S112" t="s">
        <v>37</v>
      </c>
      <c r="W112" t="s">
        <v>40</v>
      </c>
    </row>
    <row r="113" spans="1:24" x14ac:dyDescent="0.2">
      <c r="A113">
        <v>50.260617000000003</v>
      </c>
      <c r="B113">
        <v>-119.270723</v>
      </c>
      <c r="C113" t="s">
        <v>86</v>
      </c>
      <c r="D113">
        <v>194</v>
      </c>
      <c r="E113">
        <v>1</v>
      </c>
      <c r="F113" t="s">
        <v>296</v>
      </c>
      <c r="G113" t="str">
        <f t="shared" si="1"/>
        <v>VERNON SCIENCE CENTRE</v>
      </c>
      <c r="H113" t="s">
        <v>238</v>
      </c>
      <c r="I113">
        <v>476</v>
      </c>
      <c r="K113" t="s">
        <v>297</v>
      </c>
      <c r="L113">
        <v>37544</v>
      </c>
      <c r="M113" t="s">
        <v>240</v>
      </c>
      <c r="N113" t="s">
        <v>241</v>
      </c>
      <c r="O113" t="s">
        <v>242</v>
      </c>
      <c r="R113" t="s">
        <v>36</v>
      </c>
      <c r="S113" t="s">
        <v>37</v>
      </c>
      <c r="W113" t="s">
        <v>298</v>
      </c>
    </row>
    <row r="114" spans="1:24" x14ac:dyDescent="0.2">
      <c r="A114">
        <v>54.016475999999997</v>
      </c>
      <c r="B114">
        <v>-124.005724</v>
      </c>
      <c r="C114" t="s">
        <v>272</v>
      </c>
      <c r="D114">
        <v>207</v>
      </c>
      <c r="E114">
        <v>1</v>
      </c>
      <c r="F114" t="s">
        <v>299</v>
      </c>
      <c r="G114" t="str">
        <f t="shared" si="1"/>
        <v>VANDERHOOF COURTHOUSE</v>
      </c>
      <c r="H114" t="s">
        <v>238</v>
      </c>
      <c r="I114">
        <v>637</v>
      </c>
      <c r="K114" t="s">
        <v>300</v>
      </c>
      <c r="L114">
        <v>39360</v>
      </c>
      <c r="M114" t="s">
        <v>240</v>
      </c>
      <c r="N114" t="s">
        <v>241</v>
      </c>
      <c r="O114" t="s">
        <v>242</v>
      </c>
      <c r="R114" t="s">
        <v>36</v>
      </c>
      <c r="S114" t="s">
        <v>37</v>
      </c>
      <c r="W114" t="s">
        <v>301</v>
      </c>
      <c r="X114" t="s">
        <v>257</v>
      </c>
    </row>
    <row r="115" spans="1:24" x14ac:dyDescent="0.2">
      <c r="A115">
        <v>52.833055559999998</v>
      </c>
      <c r="B115">
        <v>-119.2680556</v>
      </c>
      <c r="C115" t="s">
        <v>61</v>
      </c>
      <c r="D115">
        <v>209</v>
      </c>
      <c r="E115">
        <v>1</v>
      </c>
      <c r="F115" t="s">
        <v>302</v>
      </c>
      <c r="G115" t="str">
        <f t="shared" si="1"/>
        <v>VALEMOUNT</v>
      </c>
      <c r="H115" t="s">
        <v>238</v>
      </c>
      <c r="I115">
        <v>792</v>
      </c>
      <c r="K115" t="s">
        <v>303</v>
      </c>
      <c r="L115">
        <v>39753</v>
      </c>
      <c r="M115" t="s">
        <v>240</v>
      </c>
      <c r="N115" t="s">
        <v>241</v>
      </c>
      <c r="O115" t="s">
        <v>242</v>
      </c>
      <c r="R115" t="s">
        <v>36</v>
      </c>
      <c r="S115" t="s">
        <v>37</v>
      </c>
      <c r="W115" t="s">
        <v>304</v>
      </c>
    </row>
    <row r="116" spans="1:24" x14ac:dyDescent="0.2">
      <c r="A116">
        <v>54.691482000000001</v>
      </c>
      <c r="B116">
        <v>-127.054334</v>
      </c>
      <c r="C116" t="s">
        <v>29</v>
      </c>
      <c r="D116">
        <v>213</v>
      </c>
      <c r="E116">
        <v>1</v>
      </c>
      <c r="F116" t="s">
        <v>305</v>
      </c>
      <c r="G116" t="str">
        <f t="shared" si="1"/>
        <v>TELKWA</v>
      </c>
      <c r="H116" t="s">
        <v>238</v>
      </c>
      <c r="I116">
        <v>514</v>
      </c>
      <c r="K116" t="s">
        <v>306</v>
      </c>
      <c r="L116">
        <v>35815</v>
      </c>
      <c r="M116" t="s">
        <v>240</v>
      </c>
      <c r="N116" t="s">
        <v>241</v>
      </c>
      <c r="O116" t="s">
        <v>242</v>
      </c>
      <c r="R116" t="s">
        <v>36</v>
      </c>
      <c r="S116" t="s">
        <v>37</v>
      </c>
      <c r="W116" t="s">
        <v>40</v>
      </c>
    </row>
    <row r="117" spans="1:24" x14ac:dyDescent="0.2">
      <c r="A117">
        <v>53.845173000000003</v>
      </c>
      <c r="B117">
        <v>-122.73394999999999</v>
      </c>
      <c r="C117" t="s">
        <v>272</v>
      </c>
      <c r="D117">
        <v>233</v>
      </c>
      <c r="E117">
        <v>1</v>
      </c>
      <c r="F117" t="s">
        <v>307</v>
      </c>
      <c r="G117" t="str">
        <f t="shared" si="1"/>
        <v>PG MARSULEX</v>
      </c>
      <c r="H117" t="s">
        <v>238</v>
      </c>
      <c r="I117">
        <v>595</v>
      </c>
      <c r="K117" t="s">
        <v>308</v>
      </c>
      <c r="L117">
        <v>40298</v>
      </c>
      <c r="M117" t="s">
        <v>240</v>
      </c>
      <c r="N117" t="s">
        <v>241</v>
      </c>
      <c r="O117" t="s">
        <v>242</v>
      </c>
      <c r="R117" t="s">
        <v>36</v>
      </c>
      <c r="S117" t="s">
        <v>37</v>
      </c>
      <c r="W117" t="s">
        <v>40</v>
      </c>
    </row>
    <row r="118" spans="1:24" x14ac:dyDescent="0.2">
      <c r="A118">
        <v>49.261014000000003</v>
      </c>
      <c r="B118">
        <v>-124.806628</v>
      </c>
      <c r="C118" t="s">
        <v>41</v>
      </c>
      <c r="D118">
        <v>263</v>
      </c>
      <c r="E118">
        <v>1</v>
      </c>
      <c r="F118" t="s">
        <v>309</v>
      </c>
      <c r="G118" t="str">
        <f t="shared" si="1"/>
        <v>PORT ALBERNI ELEMENTARY</v>
      </c>
      <c r="H118" t="s">
        <v>238</v>
      </c>
      <c r="I118">
        <v>17</v>
      </c>
      <c r="K118" t="s">
        <v>310</v>
      </c>
      <c r="L118">
        <v>41194</v>
      </c>
      <c r="M118" t="s">
        <v>240</v>
      </c>
      <c r="N118" t="s">
        <v>241</v>
      </c>
      <c r="O118" t="s">
        <v>242</v>
      </c>
      <c r="R118" t="s">
        <v>36</v>
      </c>
      <c r="S118" t="s">
        <v>37</v>
      </c>
      <c r="W118" t="s">
        <v>40</v>
      </c>
    </row>
    <row r="119" spans="1:24" x14ac:dyDescent="0.2">
      <c r="A119">
        <v>50.674770000000002</v>
      </c>
      <c r="B119">
        <v>-120.33401600000001</v>
      </c>
      <c r="C119" t="s">
        <v>86</v>
      </c>
      <c r="D119">
        <v>267</v>
      </c>
      <c r="E119">
        <v>1</v>
      </c>
      <c r="F119" t="s">
        <v>311</v>
      </c>
      <c r="G119" t="str">
        <f t="shared" si="1"/>
        <v xml:space="preserve">KAMLOOPS FEDERAL BUILDING </v>
      </c>
      <c r="H119" t="s">
        <v>238</v>
      </c>
      <c r="I119">
        <v>377</v>
      </c>
      <c r="K119" t="s">
        <v>312</v>
      </c>
      <c r="L119">
        <v>28552</v>
      </c>
      <c r="M119" t="s">
        <v>240</v>
      </c>
      <c r="N119" t="s">
        <v>241</v>
      </c>
      <c r="O119" t="s">
        <v>242</v>
      </c>
      <c r="R119" t="s">
        <v>36</v>
      </c>
      <c r="S119" t="s">
        <v>37</v>
      </c>
      <c r="W119" t="s">
        <v>313</v>
      </c>
    </row>
    <row r="120" spans="1:24" x14ac:dyDescent="0.2">
      <c r="A120">
        <v>53.973227999999999</v>
      </c>
      <c r="B120">
        <v>-128.650768</v>
      </c>
      <c r="C120" t="s">
        <v>204</v>
      </c>
      <c r="D120">
        <v>271</v>
      </c>
      <c r="E120">
        <v>1</v>
      </c>
      <c r="F120" t="s">
        <v>314</v>
      </c>
      <c r="G120" t="str">
        <f t="shared" si="1"/>
        <v>KITIMAT HAISLA VILLAGE</v>
      </c>
      <c r="H120" t="s">
        <v>238</v>
      </c>
      <c r="I120">
        <v>5</v>
      </c>
      <c r="K120" t="s">
        <v>315</v>
      </c>
      <c r="L120">
        <v>40610</v>
      </c>
      <c r="M120" t="s">
        <v>240</v>
      </c>
      <c r="N120" t="s">
        <v>241</v>
      </c>
      <c r="O120" t="s">
        <v>242</v>
      </c>
      <c r="R120" t="s">
        <v>36</v>
      </c>
      <c r="W120" t="s">
        <v>40</v>
      </c>
    </row>
    <row r="121" spans="1:24" x14ac:dyDescent="0.2">
      <c r="A121">
        <v>54.053890000000003</v>
      </c>
      <c r="B121">
        <v>-128.671436</v>
      </c>
      <c r="C121" t="s">
        <v>204</v>
      </c>
      <c r="D121">
        <v>279</v>
      </c>
      <c r="E121">
        <v>1</v>
      </c>
      <c r="F121" t="s">
        <v>316</v>
      </c>
      <c r="G121" t="str">
        <f t="shared" si="1"/>
        <v>KITIMAT RIVERLODGE</v>
      </c>
      <c r="H121" t="s">
        <v>238</v>
      </c>
      <c r="I121">
        <v>18</v>
      </c>
      <c r="K121" t="s">
        <v>317</v>
      </c>
      <c r="L121">
        <v>40687</v>
      </c>
      <c r="M121" t="s">
        <v>240</v>
      </c>
      <c r="N121" t="s">
        <v>241</v>
      </c>
      <c r="O121" t="s">
        <v>242</v>
      </c>
      <c r="R121" t="s">
        <v>36</v>
      </c>
      <c r="W121" t="s">
        <v>40</v>
      </c>
    </row>
    <row r="122" spans="1:24" x14ac:dyDescent="0.2">
      <c r="A122">
        <v>53.905138999999998</v>
      </c>
      <c r="B122">
        <v>-122.734049</v>
      </c>
      <c r="C122" t="s">
        <v>272</v>
      </c>
      <c r="D122">
        <v>280</v>
      </c>
      <c r="E122">
        <v>1</v>
      </c>
      <c r="F122" t="s">
        <v>318</v>
      </c>
      <c r="G122" t="str">
        <f t="shared" si="1"/>
        <v>PRINCE GEORGE EXPLORATION PLACE</v>
      </c>
      <c r="H122" t="s">
        <v>238</v>
      </c>
      <c r="I122">
        <v>577</v>
      </c>
      <c r="K122" t="s">
        <v>319</v>
      </c>
      <c r="L122">
        <v>41452</v>
      </c>
      <c r="M122" t="s">
        <v>240</v>
      </c>
      <c r="N122" t="s">
        <v>241</v>
      </c>
      <c r="O122" t="s">
        <v>242</v>
      </c>
      <c r="R122" t="s">
        <v>36</v>
      </c>
      <c r="W122" t="s">
        <v>40</v>
      </c>
    </row>
    <row r="123" spans="1:24" x14ac:dyDescent="0.2">
      <c r="A123">
        <v>53.984699999999997</v>
      </c>
      <c r="B123">
        <v>-128.6917</v>
      </c>
      <c r="C123" t="s">
        <v>204</v>
      </c>
      <c r="D123">
        <v>418</v>
      </c>
      <c r="E123">
        <v>1</v>
      </c>
      <c r="F123" t="s">
        <v>320</v>
      </c>
      <c r="G123" t="str">
        <f t="shared" si="1"/>
        <v>KITIMAT YACHT CLUB</v>
      </c>
      <c r="H123" t="s">
        <v>238</v>
      </c>
      <c r="I123">
        <v>2</v>
      </c>
      <c r="K123" t="s">
        <v>321</v>
      </c>
      <c r="L123">
        <v>40708</v>
      </c>
      <c r="M123" t="s">
        <v>240</v>
      </c>
      <c r="N123" t="s">
        <v>241</v>
      </c>
      <c r="O123" t="s">
        <v>242</v>
      </c>
      <c r="R123" t="s">
        <v>36</v>
      </c>
      <c r="W123" t="s">
        <v>40</v>
      </c>
    </row>
    <row r="124" spans="1:24" x14ac:dyDescent="0.2">
      <c r="A124">
        <v>54.306399999999996</v>
      </c>
      <c r="B124">
        <v>-130.32689999999999</v>
      </c>
      <c r="C124" t="s">
        <v>204</v>
      </c>
      <c r="D124">
        <v>425</v>
      </c>
      <c r="E124">
        <v>1</v>
      </c>
      <c r="F124" t="s">
        <v>322</v>
      </c>
      <c r="G124" t="str">
        <f t="shared" si="1"/>
        <v>PRINCE RUPERT ROOSEVELT PARK SCHOOL</v>
      </c>
      <c r="H124" t="s">
        <v>238</v>
      </c>
      <c r="I124">
        <v>80</v>
      </c>
      <c r="K124" t="s">
        <v>323</v>
      </c>
      <c r="L124">
        <v>40939</v>
      </c>
      <c r="M124" t="s">
        <v>240</v>
      </c>
      <c r="N124" t="s">
        <v>241</v>
      </c>
      <c r="O124" t="s">
        <v>242</v>
      </c>
      <c r="R124" t="s">
        <v>36</v>
      </c>
      <c r="S124" t="s">
        <v>37</v>
      </c>
      <c r="W124" t="s">
        <v>324</v>
      </c>
    </row>
    <row r="125" spans="1:24" x14ac:dyDescent="0.2">
      <c r="A125">
        <v>54.152700000000003</v>
      </c>
      <c r="B125">
        <v>-125.4495</v>
      </c>
      <c r="C125" t="s">
        <v>29</v>
      </c>
      <c r="D125">
        <v>439</v>
      </c>
      <c r="E125">
        <v>1</v>
      </c>
      <c r="F125" t="s">
        <v>325</v>
      </c>
      <c r="G125" t="str">
        <f t="shared" si="1"/>
        <v>BURNS LAKE SHERATON EAST</v>
      </c>
      <c r="H125" t="s">
        <v>238</v>
      </c>
      <c r="I125">
        <v>679</v>
      </c>
      <c r="L125">
        <v>41284</v>
      </c>
      <c r="M125" t="s">
        <v>240</v>
      </c>
      <c r="N125" t="s">
        <v>241</v>
      </c>
      <c r="O125" t="s">
        <v>242</v>
      </c>
      <c r="R125" t="s">
        <v>36</v>
      </c>
      <c r="S125" t="s">
        <v>37</v>
      </c>
      <c r="W125" t="s">
        <v>40</v>
      </c>
    </row>
    <row r="126" spans="1:24" x14ac:dyDescent="0.2">
      <c r="A126">
        <v>55.791944000000001</v>
      </c>
      <c r="B126">
        <v>-120.483611</v>
      </c>
      <c r="C126" t="s">
        <v>46</v>
      </c>
      <c r="D126">
        <v>450</v>
      </c>
      <c r="E126">
        <v>1</v>
      </c>
      <c r="F126" t="s">
        <v>326</v>
      </c>
      <c r="G126" t="str">
        <f t="shared" si="1"/>
        <v>BESSBOROUGH 237 ROAD</v>
      </c>
      <c r="H126" t="s">
        <v>238</v>
      </c>
      <c r="I126">
        <v>665</v>
      </c>
      <c r="K126" t="s">
        <v>327</v>
      </c>
      <c r="L126">
        <v>41604</v>
      </c>
      <c r="M126" t="s">
        <v>240</v>
      </c>
      <c r="N126" t="s">
        <v>241</v>
      </c>
      <c r="O126" t="s">
        <v>242</v>
      </c>
      <c r="R126" t="s">
        <v>36</v>
      </c>
      <c r="W126" t="s">
        <v>40</v>
      </c>
    </row>
    <row r="127" spans="1:24" x14ac:dyDescent="0.2">
      <c r="A127">
        <v>54.034444000000001</v>
      </c>
      <c r="B127">
        <v>-125.095833</v>
      </c>
      <c r="C127" t="s">
        <v>29</v>
      </c>
      <c r="D127">
        <v>452</v>
      </c>
      <c r="E127">
        <v>3</v>
      </c>
      <c r="F127" t="s">
        <v>328</v>
      </c>
      <c r="G127" t="str">
        <f t="shared" si="1"/>
        <v>FRASER LAKE ENDAKO MINES</v>
      </c>
      <c r="H127" t="s">
        <v>238</v>
      </c>
      <c r="I127">
        <v>1005</v>
      </c>
      <c r="L127">
        <v>41286</v>
      </c>
      <c r="M127" t="s">
        <v>240</v>
      </c>
      <c r="N127" t="s">
        <v>241</v>
      </c>
      <c r="O127" t="s">
        <v>242</v>
      </c>
      <c r="R127" t="s">
        <v>36</v>
      </c>
      <c r="S127" t="s">
        <v>37</v>
      </c>
      <c r="T127" t="s">
        <v>255</v>
      </c>
      <c r="W127" t="s">
        <v>40</v>
      </c>
      <c r="X127" t="s">
        <v>257</v>
      </c>
    </row>
    <row r="128" spans="1:24" x14ac:dyDescent="0.2">
      <c r="A128">
        <v>55.913232600000001</v>
      </c>
      <c r="B128">
        <v>-120.53157</v>
      </c>
      <c r="C128" t="s">
        <v>329</v>
      </c>
      <c r="D128">
        <v>464</v>
      </c>
      <c r="E128">
        <v>7</v>
      </c>
      <c r="F128" t="s">
        <v>330</v>
      </c>
      <c r="G128" t="str">
        <f t="shared" si="1"/>
        <v>FARMINGTON COMMUNITY HALL</v>
      </c>
      <c r="H128" t="s">
        <v>238</v>
      </c>
      <c r="I128">
        <v>696</v>
      </c>
      <c r="K128" t="s">
        <v>331</v>
      </c>
      <c r="L128">
        <v>41643</v>
      </c>
      <c r="M128" t="s">
        <v>240</v>
      </c>
      <c r="N128" t="s">
        <v>241</v>
      </c>
      <c r="O128" t="s">
        <v>242</v>
      </c>
      <c r="R128" t="s">
        <v>36</v>
      </c>
      <c r="S128" t="s">
        <v>37</v>
      </c>
      <c r="W128" t="s">
        <v>40</v>
      </c>
    </row>
    <row r="129" spans="1:25" x14ac:dyDescent="0.2">
      <c r="A129">
        <v>56.244722000000003</v>
      </c>
      <c r="B129">
        <v>-120.856111</v>
      </c>
      <c r="C129" t="s">
        <v>46</v>
      </c>
      <c r="D129">
        <v>469</v>
      </c>
      <c r="E129">
        <v>2</v>
      </c>
      <c r="F129" t="s">
        <v>332</v>
      </c>
      <c r="G129" t="str">
        <f t="shared" si="1"/>
        <v>FORT ST JOHN KEY LEARNING CENTRE</v>
      </c>
      <c r="H129" t="s">
        <v>238</v>
      </c>
      <c r="I129">
        <v>679</v>
      </c>
      <c r="K129" t="s">
        <v>333</v>
      </c>
      <c r="L129">
        <v>42047</v>
      </c>
      <c r="M129" t="s">
        <v>240</v>
      </c>
      <c r="N129" t="s">
        <v>241</v>
      </c>
      <c r="O129" t="s">
        <v>242</v>
      </c>
      <c r="R129" t="s">
        <v>36</v>
      </c>
      <c r="S129" t="s">
        <v>37</v>
      </c>
      <c r="W129" t="s">
        <v>40</v>
      </c>
    </row>
    <row r="130" spans="1:25" x14ac:dyDescent="0.2">
      <c r="A130">
        <v>54.521700000000003</v>
      </c>
      <c r="B130">
        <v>-128.60749999999999</v>
      </c>
      <c r="C130" t="s">
        <v>204</v>
      </c>
      <c r="D130">
        <v>473</v>
      </c>
      <c r="E130">
        <v>1</v>
      </c>
      <c r="F130" t="s">
        <v>334</v>
      </c>
      <c r="G130" t="str">
        <f t="shared" ref="G130:G193" si="2">UPPER(F130)</f>
        <v>TERRACE SKEENA MIDDLE SCHOOL</v>
      </c>
      <c r="H130" t="s">
        <v>238</v>
      </c>
      <c r="I130">
        <v>81</v>
      </c>
      <c r="K130" t="s">
        <v>335</v>
      </c>
      <c r="L130">
        <v>41971</v>
      </c>
      <c r="M130" t="s">
        <v>240</v>
      </c>
      <c r="N130" t="s">
        <v>241</v>
      </c>
      <c r="O130" t="s">
        <v>242</v>
      </c>
      <c r="R130" t="s">
        <v>36</v>
      </c>
      <c r="S130" t="s">
        <v>37</v>
      </c>
      <c r="W130" t="s">
        <v>266</v>
      </c>
    </row>
    <row r="131" spans="1:25" x14ac:dyDescent="0.2">
      <c r="A131">
        <v>49.705159999999999</v>
      </c>
      <c r="B131">
        <v>-123.15133</v>
      </c>
      <c r="C131" t="s">
        <v>204</v>
      </c>
      <c r="D131">
        <v>493</v>
      </c>
      <c r="E131">
        <v>1</v>
      </c>
      <c r="F131" t="s">
        <v>336</v>
      </c>
      <c r="G131" t="str">
        <f t="shared" si="2"/>
        <v>SQUAMISH ELEMENTARY</v>
      </c>
      <c r="H131" t="s">
        <v>238</v>
      </c>
      <c r="I131">
        <v>6</v>
      </c>
      <c r="K131" t="s">
        <v>337</v>
      </c>
      <c r="L131">
        <v>31184</v>
      </c>
      <c r="M131" t="s">
        <v>240</v>
      </c>
      <c r="N131" t="s">
        <v>241</v>
      </c>
      <c r="O131" t="s">
        <v>242</v>
      </c>
      <c r="R131" t="s">
        <v>36</v>
      </c>
      <c r="S131" t="s">
        <v>37</v>
      </c>
      <c r="W131" t="s">
        <v>266</v>
      </c>
    </row>
    <row r="132" spans="1:25" x14ac:dyDescent="0.2">
      <c r="A132">
        <v>49.682603</v>
      </c>
      <c r="B132">
        <v>-124.996222</v>
      </c>
      <c r="C132" t="s">
        <v>41</v>
      </c>
      <c r="D132">
        <v>526</v>
      </c>
      <c r="E132">
        <v>1</v>
      </c>
      <c r="F132" t="s">
        <v>338</v>
      </c>
      <c r="G132" t="str">
        <f t="shared" si="2"/>
        <v>COURTENAY ELEMENTARY SCHOOL</v>
      </c>
      <c r="H132" t="s">
        <v>238</v>
      </c>
      <c r="I132">
        <v>27</v>
      </c>
      <c r="K132" t="s">
        <v>339</v>
      </c>
      <c r="L132">
        <v>41158</v>
      </c>
      <c r="M132" t="s">
        <v>240</v>
      </c>
      <c r="N132" t="s">
        <v>241</v>
      </c>
      <c r="O132" t="s">
        <v>242</v>
      </c>
      <c r="R132" t="s">
        <v>36</v>
      </c>
      <c r="S132" t="s">
        <v>37</v>
      </c>
      <c r="W132" t="s">
        <v>266</v>
      </c>
    </row>
    <row r="133" spans="1:25" x14ac:dyDescent="0.2">
      <c r="A133">
        <v>48.786113999999998</v>
      </c>
      <c r="B133">
        <v>-123.71730700000001</v>
      </c>
      <c r="C133" t="s">
        <v>41</v>
      </c>
      <c r="D133">
        <v>537</v>
      </c>
      <c r="E133">
        <v>1</v>
      </c>
      <c r="F133" t="s">
        <v>340</v>
      </c>
      <c r="G133" t="str">
        <f t="shared" si="2"/>
        <v>DUNCAN COLLEGE STREET</v>
      </c>
      <c r="H133" t="s">
        <v>238</v>
      </c>
      <c r="I133">
        <v>32</v>
      </c>
      <c r="K133" t="s">
        <v>341</v>
      </c>
      <c r="L133">
        <v>43120</v>
      </c>
      <c r="M133" t="s">
        <v>240</v>
      </c>
      <c r="N133" t="s">
        <v>241</v>
      </c>
      <c r="O133" t="s">
        <v>242</v>
      </c>
      <c r="R133" t="s">
        <v>36</v>
      </c>
      <c r="S133" t="s">
        <v>37</v>
      </c>
      <c r="W133" t="s">
        <v>342</v>
      </c>
    </row>
    <row r="134" spans="1:25" x14ac:dyDescent="0.2">
      <c r="A134">
        <v>49.905403999999997</v>
      </c>
      <c r="B134">
        <v>-115.755613</v>
      </c>
      <c r="C134" t="s">
        <v>61</v>
      </c>
      <c r="D134">
        <v>543</v>
      </c>
      <c r="E134">
        <v>1</v>
      </c>
      <c r="F134" t="s">
        <v>343</v>
      </c>
      <c r="G134" t="str">
        <f t="shared" si="2"/>
        <v>SKOOKUMCHUCK FARSTAD WAY</v>
      </c>
      <c r="H134" t="s">
        <v>238</v>
      </c>
      <c r="I134">
        <v>746</v>
      </c>
      <c r="K134" t="s">
        <v>344</v>
      </c>
      <c r="L134">
        <v>43140</v>
      </c>
      <c r="M134" t="s">
        <v>240</v>
      </c>
      <c r="N134" t="s">
        <v>241</v>
      </c>
      <c r="O134" t="s">
        <v>242</v>
      </c>
      <c r="R134" t="s">
        <v>36</v>
      </c>
      <c r="S134" t="s">
        <v>37</v>
      </c>
      <c r="W134" t="s">
        <v>40</v>
      </c>
    </row>
    <row r="135" spans="1:25" x14ac:dyDescent="0.2">
      <c r="A135">
        <v>54.292614999999998</v>
      </c>
      <c r="B135">
        <v>-130.35218800000001</v>
      </c>
      <c r="C135" t="s">
        <v>204</v>
      </c>
      <c r="D135">
        <v>547</v>
      </c>
      <c r="E135">
        <v>1</v>
      </c>
      <c r="F135" t="s">
        <v>345</v>
      </c>
      <c r="G135" t="str">
        <f t="shared" si="2"/>
        <v>PRINCE RUPERT FAIRVIEW</v>
      </c>
      <c r="H135" t="s">
        <v>238</v>
      </c>
      <c r="I135">
        <v>15</v>
      </c>
      <c r="K135" t="s">
        <v>346</v>
      </c>
      <c r="L135">
        <v>42942</v>
      </c>
      <c r="M135" t="s">
        <v>240</v>
      </c>
      <c r="N135" t="s">
        <v>241</v>
      </c>
      <c r="O135" t="s">
        <v>242</v>
      </c>
      <c r="R135" t="s">
        <v>36</v>
      </c>
      <c r="S135" t="s">
        <v>37</v>
      </c>
      <c r="W135" t="s">
        <v>40</v>
      </c>
    </row>
    <row r="136" spans="1:25" x14ac:dyDescent="0.2">
      <c r="A136">
        <v>52.144280000000002</v>
      </c>
      <c r="B136">
        <v>-122.150391</v>
      </c>
      <c r="C136" t="s">
        <v>29</v>
      </c>
      <c r="D136">
        <v>549</v>
      </c>
      <c r="E136">
        <v>1</v>
      </c>
      <c r="F136" t="s">
        <v>347</v>
      </c>
      <c r="G136" t="str">
        <f t="shared" si="2"/>
        <v>WILLIAMS LAKE COLUMNEETZA SCHOOL</v>
      </c>
      <c r="H136" t="s">
        <v>238</v>
      </c>
      <c r="I136">
        <v>631</v>
      </c>
      <c r="K136" t="s">
        <v>348</v>
      </c>
      <c r="L136">
        <v>43313</v>
      </c>
      <c r="M136" t="s">
        <v>240</v>
      </c>
      <c r="N136" t="s">
        <v>241</v>
      </c>
      <c r="O136" t="s">
        <v>242</v>
      </c>
      <c r="R136" t="s">
        <v>36</v>
      </c>
      <c r="S136" t="s">
        <v>37</v>
      </c>
      <c r="T136" t="s">
        <v>255</v>
      </c>
      <c r="U136" t="s">
        <v>39</v>
      </c>
      <c r="W136" t="s">
        <v>266</v>
      </c>
    </row>
    <row r="137" spans="1:25" x14ac:dyDescent="0.2">
      <c r="A137">
        <v>49.507103000000001</v>
      </c>
      <c r="B137">
        <v>-115.753682</v>
      </c>
      <c r="C137" t="s">
        <v>61</v>
      </c>
      <c r="D137">
        <v>551</v>
      </c>
      <c r="E137">
        <v>2</v>
      </c>
      <c r="F137" t="s">
        <v>349</v>
      </c>
      <c r="G137" t="str">
        <f t="shared" si="2"/>
        <v>CRANBROOK MURIEL BAXTER</v>
      </c>
      <c r="H137" t="s">
        <v>238</v>
      </c>
      <c r="I137">
        <v>941</v>
      </c>
      <c r="K137" t="s">
        <v>350</v>
      </c>
      <c r="L137">
        <v>43328</v>
      </c>
      <c r="M137" t="s">
        <v>240</v>
      </c>
      <c r="N137" t="s">
        <v>241</v>
      </c>
      <c r="O137" t="s">
        <v>242</v>
      </c>
      <c r="R137" t="s">
        <v>36</v>
      </c>
      <c r="S137" t="s">
        <v>37</v>
      </c>
      <c r="W137" t="s">
        <v>351</v>
      </c>
    </row>
    <row r="138" spans="1:25" x14ac:dyDescent="0.2">
      <c r="A138">
        <v>48.42389</v>
      </c>
      <c r="B138">
        <v>-123.49278</v>
      </c>
      <c r="C138" t="s">
        <v>41</v>
      </c>
      <c r="D138">
        <v>553</v>
      </c>
      <c r="E138">
        <v>2</v>
      </c>
      <c r="F138" t="s">
        <v>352</v>
      </c>
      <c r="G138" t="str">
        <f t="shared" si="2"/>
        <v>COLWOOD CITY HALL</v>
      </c>
      <c r="H138" t="s">
        <v>238</v>
      </c>
      <c r="I138">
        <v>75</v>
      </c>
      <c r="K138" t="s">
        <v>353</v>
      </c>
      <c r="L138">
        <v>43349</v>
      </c>
      <c r="M138" t="s">
        <v>240</v>
      </c>
      <c r="N138" t="s">
        <v>241</v>
      </c>
      <c r="O138" t="s">
        <v>242</v>
      </c>
      <c r="R138" t="s">
        <v>36</v>
      </c>
      <c r="S138" t="s">
        <v>37</v>
      </c>
      <c r="W138" t="s">
        <v>354</v>
      </c>
    </row>
    <row r="139" spans="1:25" x14ac:dyDescent="0.2">
      <c r="A139">
        <v>54.778486100000002</v>
      </c>
      <c r="B139">
        <v>-127.168542</v>
      </c>
      <c r="C139" t="s">
        <v>29</v>
      </c>
      <c r="D139">
        <v>563</v>
      </c>
      <c r="E139">
        <v>1</v>
      </c>
      <c r="F139" t="s">
        <v>355</v>
      </c>
      <c r="G139" t="str">
        <f t="shared" si="2"/>
        <v>SMITHERS MUHEIM MEMORIAL</v>
      </c>
      <c r="H139" t="s">
        <v>238</v>
      </c>
      <c r="I139">
        <v>496</v>
      </c>
      <c r="K139" t="s">
        <v>356</v>
      </c>
      <c r="L139">
        <v>43497</v>
      </c>
      <c r="M139" t="s">
        <v>240</v>
      </c>
      <c r="N139" t="s">
        <v>241</v>
      </c>
      <c r="O139" t="s">
        <v>242</v>
      </c>
      <c r="R139" t="s">
        <v>36</v>
      </c>
      <c r="S139" t="s">
        <v>37</v>
      </c>
      <c r="W139" t="s">
        <v>357</v>
      </c>
      <c r="X139" t="s">
        <v>257</v>
      </c>
      <c r="Y139" t="s">
        <v>358</v>
      </c>
    </row>
    <row r="140" spans="1:25" x14ac:dyDescent="0.2">
      <c r="A140">
        <v>48.86</v>
      </c>
      <c r="B140">
        <v>-123.64388889999999</v>
      </c>
      <c r="C140" t="s">
        <v>41</v>
      </c>
      <c r="D140">
        <v>564</v>
      </c>
      <c r="E140">
        <v>2</v>
      </c>
      <c r="F140" t="s">
        <v>359</v>
      </c>
      <c r="G140" t="str">
        <f t="shared" si="2"/>
        <v>CROFTON ELEMENTARY</v>
      </c>
      <c r="H140" t="s">
        <v>238</v>
      </c>
      <c r="I140">
        <v>38</v>
      </c>
      <c r="K140" t="s">
        <v>360</v>
      </c>
      <c r="L140">
        <v>43626</v>
      </c>
      <c r="M140" t="s">
        <v>240</v>
      </c>
      <c r="N140" t="s">
        <v>241</v>
      </c>
      <c r="O140" t="s">
        <v>242</v>
      </c>
      <c r="R140" t="s">
        <v>36</v>
      </c>
      <c r="S140" t="s">
        <v>37</v>
      </c>
      <c r="W140" t="s">
        <v>40</v>
      </c>
    </row>
    <row r="141" spans="1:25" x14ac:dyDescent="0.2">
      <c r="A141">
        <v>49.862119</v>
      </c>
      <c r="B141">
        <v>-119.467461</v>
      </c>
      <c r="C141" t="s">
        <v>86</v>
      </c>
      <c r="D141">
        <v>571</v>
      </c>
      <c r="E141">
        <v>1</v>
      </c>
      <c r="F141" t="s">
        <v>361</v>
      </c>
      <c r="G141" t="str">
        <f t="shared" si="2"/>
        <v>KELOWNA KLO ROAD</v>
      </c>
      <c r="H141" t="s">
        <v>238</v>
      </c>
      <c r="I141">
        <v>350</v>
      </c>
      <c r="K141" t="s">
        <v>362</v>
      </c>
      <c r="L141">
        <v>43739</v>
      </c>
      <c r="M141" t="s">
        <v>240</v>
      </c>
      <c r="N141" t="s">
        <v>241</v>
      </c>
      <c r="O141" t="s">
        <v>242</v>
      </c>
      <c r="R141" t="s">
        <v>36</v>
      </c>
      <c r="S141" t="s">
        <v>37</v>
      </c>
      <c r="W141" t="s">
        <v>266</v>
      </c>
    </row>
    <row r="142" spans="1:25" x14ac:dyDescent="0.2">
      <c r="A142">
        <v>54.061</v>
      </c>
      <c r="B142">
        <v>-128.68799999999999</v>
      </c>
      <c r="C142" t="s">
        <v>204</v>
      </c>
      <c r="D142">
        <v>576</v>
      </c>
      <c r="E142">
        <v>1</v>
      </c>
      <c r="F142" t="s">
        <v>363</v>
      </c>
      <c r="G142" t="str">
        <f t="shared" si="2"/>
        <v>KITIMAT INDUSTRIAL AVENUE</v>
      </c>
      <c r="H142" t="s">
        <v>238</v>
      </c>
      <c r="I142">
        <v>21</v>
      </c>
      <c r="K142" t="s">
        <v>364</v>
      </c>
      <c r="L142">
        <v>43960</v>
      </c>
      <c r="M142" t="s">
        <v>240</v>
      </c>
      <c r="N142" t="s">
        <v>241</v>
      </c>
      <c r="O142" t="s">
        <v>242</v>
      </c>
      <c r="R142" t="s">
        <v>36</v>
      </c>
      <c r="S142" t="s">
        <v>37</v>
      </c>
      <c r="W142" t="s">
        <v>40</v>
      </c>
    </row>
    <row r="143" spans="1:25" x14ac:dyDescent="0.2">
      <c r="A143">
        <v>55.6355</v>
      </c>
      <c r="B143">
        <v>-122.23563900000001</v>
      </c>
      <c r="C143" t="s">
        <v>272</v>
      </c>
      <c r="D143">
        <v>579</v>
      </c>
      <c r="E143">
        <v>1</v>
      </c>
      <c r="F143" t="s">
        <v>365</v>
      </c>
      <c r="G143" t="str">
        <f t="shared" si="2"/>
        <v>WILLOW CREEK MINE</v>
      </c>
      <c r="H143" t="s">
        <v>238</v>
      </c>
      <c r="I143">
        <v>626</v>
      </c>
      <c r="K143" t="s">
        <v>366</v>
      </c>
      <c r="L143">
        <v>44834</v>
      </c>
      <c r="M143" t="s">
        <v>240</v>
      </c>
      <c r="N143" t="s">
        <v>241</v>
      </c>
      <c r="O143" t="s">
        <v>242</v>
      </c>
      <c r="R143" t="s">
        <v>36</v>
      </c>
      <c r="S143" t="s">
        <v>37</v>
      </c>
      <c r="T143" t="s">
        <v>38</v>
      </c>
      <c r="U143" t="s">
        <v>39</v>
      </c>
      <c r="W143" t="s">
        <v>40</v>
      </c>
      <c r="Y143" t="s">
        <v>358</v>
      </c>
    </row>
    <row r="144" spans="1:25" x14ac:dyDescent="0.2">
      <c r="A144">
        <v>56.153199999999998</v>
      </c>
      <c r="B144">
        <v>-120.61</v>
      </c>
      <c r="C144" t="s">
        <v>46</v>
      </c>
      <c r="D144">
        <v>582</v>
      </c>
      <c r="E144">
        <v>1</v>
      </c>
      <c r="F144" t="s">
        <v>367</v>
      </c>
      <c r="G144" t="str">
        <f t="shared" si="2"/>
        <v>TAYLOR FARM 247 ROAD</v>
      </c>
      <c r="H144" t="s">
        <v>238</v>
      </c>
      <c r="I144">
        <v>582</v>
      </c>
      <c r="K144" t="s">
        <v>368</v>
      </c>
      <c r="L144">
        <v>44456</v>
      </c>
      <c r="M144" t="s">
        <v>240</v>
      </c>
      <c r="N144" t="s">
        <v>241</v>
      </c>
      <c r="O144" t="s">
        <v>242</v>
      </c>
      <c r="R144" t="s">
        <v>36</v>
      </c>
      <c r="S144" t="s">
        <v>37</v>
      </c>
      <c r="W144" t="s">
        <v>40</v>
      </c>
    </row>
    <row r="145" spans="1:25" x14ac:dyDescent="0.2">
      <c r="A145">
        <v>52.969360000000002</v>
      </c>
      <c r="B145">
        <v>122.49339999999999</v>
      </c>
      <c r="C145" t="s">
        <v>29</v>
      </c>
      <c r="D145">
        <v>583</v>
      </c>
      <c r="E145">
        <v>1</v>
      </c>
      <c r="F145" t="s">
        <v>369</v>
      </c>
      <c r="G145" t="str">
        <f t="shared" si="2"/>
        <v>QUESNEL JOHNSTON AVENUE</v>
      </c>
      <c r="H145" t="s">
        <v>238</v>
      </c>
      <c r="I145">
        <v>505</v>
      </c>
      <c r="K145" t="s">
        <v>370</v>
      </c>
      <c r="L145">
        <v>44505</v>
      </c>
      <c r="M145" t="s">
        <v>240</v>
      </c>
      <c r="N145" t="s">
        <v>241</v>
      </c>
      <c r="O145" t="s">
        <v>242</v>
      </c>
      <c r="R145" t="s">
        <v>36</v>
      </c>
      <c r="S145" t="s">
        <v>37</v>
      </c>
      <c r="W145" t="s">
        <v>40</v>
      </c>
    </row>
    <row r="146" spans="1:25" x14ac:dyDescent="0.2">
      <c r="A146">
        <v>50.007794400000002</v>
      </c>
      <c r="B146">
        <v>-114.93342</v>
      </c>
      <c r="C146" t="s">
        <v>61</v>
      </c>
      <c r="D146">
        <v>585</v>
      </c>
      <c r="E146">
        <v>3</v>
      </c>
      <c r="F146" t="s">
        <v>371</v>
      </c>
      <c r="G146" t="str">
        <f t="shared" si="2"/>
        <v>ELKFORD ROCKY MOUNTAIN ELEMENTARY SCHOOL</v>
      </c>
      <c r="H146" t="s">
        <v>238</v>
      </c>
      <c r="I146">
        <v>1333</v>
      </c>
      <c r="K146" t="s">
        <v>372</v>
      </c>
      <c r="L146">
        <v>44531</v>
      </c>
      <c r="M146" t="s">
        <v>240</v>
      </c>
      <c r="N146" t="s">
        <v>241</v>
      </c>
      <c r="O146" t="s">
        <v>242</v>
      </c>
      <c r="R146" t="s">
        <v>36</v>
      </c>
      <c r="T146" t="s">
        <v>255</v>
      </c>
      <c r="W146" t="s">
        <v>40</v>
      </c>
    </row>
    <row r="147" spans="1:25" x14ac:dyDescent="0.2">
      <c r="A147">
        <v>49.097285999999997</v>
      </c>
      <c r="B147">
        <v>-117.74366000000001</v>
      </c>
      <c r="C147" t="s">
        <v>61</v>
      </c>
      <c r="D147">
        <v>587</v>
      </c>
      <c r="E147">
        <v>1</v>
      </c>
      <c r="F147" t="s">
        <v>373</v>
      </c>
      <c r="G147" t="str">
        <f t="shared" si="2"/>
        <v>WARFIELD HALEY PARK</v>
      </c>
      <c r="H147" t="s">
        <v>238</v>
      </c>
      <c r="I147">
        <v>600</v>
      </c>
      <c r="K147" t="s">
        <v>374</v>
      </c>
      <c r="L147">
        <v>44615</v>
      </c>
      <c r="M147" t="s">
        <v>240</v>
      </c>
      <c r="N147" t="s">
        <v>241</v>
      </c>
      <c r="O147" t="s">
        <v>242</v>
      </c>
      <c r="R147" t="s">
        <v>36</v>
      </c>
      <c r="S147" t="s">
        <v>37</v>
      </c>
      <c r="W147" t="s">
        <v>40</v>
      </c>
    </row>
    <row r="148" spans="1:25" x14ac:dyDescent="0.2">
      <c r="A148">
        <v>54.223199899999997</v>
      </c>
      <c r="B148">
        <v>-130.29044999999999</v>
      </c>
      <c r="C148" t="s">
        <v>204</v>
      </c>
      <c r="D148">
        <v>589</v>
      </c>
      <c r="E148">
        <v>1</v>
      </c>
      <c r="F148" t="s">
        <v>375</v>
      </c>
      <c r="G148" t="str">
        <f t="shared" si="2"/>
        <v>PORT EDWARDS SUNSET DRIVE</v>
      </c>
      <c r="H148" t="s">
        <v>238</v>
      </c>
      <c r="I148">
        <v>39</v>
      </c>
      <c r="K148" t="s">
        <v>376</v>
      </c>
      <c r="L148">
        <v>44634</v>
      </c>
      <c r="M148" t="s">
        <v>240</v>
      </c>
      <c r="N148" t="s">
        <v>241</v>
      </c>
      <c r="O148" t="s">
        <v>242</v>
      </c>
      <c r="R148" t="s">
        <v>36</v>
      </c>
      <c r="S148" t="s">
        <v>37</v>
      </c>
      <c r="W148" t="s">
        <v>40</v>
      </c>
    </row>
    <row r="149" spans="1:25" x14ac:dyDescent="0.2">
      <c r="A149">
        <v>55.647799999999997</v>
      </c>
      <c r="B149">
        <v>-122.2039</v>
      </c>
      <c r="C149" t="s">
        <v>272</v>
      </c>
      <c r="D149">
        <v>590</v>
      </c>
      <c r="E149">
        <v>1</v>
      </c>
      <c r="F149" t="s">
        <v>377</v>
      </c>
      <c r="G149" t="str">
        <f t="shared" si="2"/>
        <v xml:space="preserve">WILLOW FLATS COMPRESSOR STATION2 </v>
      </c>
      <c r="H149" t="s">
        <v>238</v>
      </c>
      <c r="I149">
        <v>630</v>
      </c>
      <c r="K149" t="s">
        <v>378</v>
      </c>
      <c r="L149">
        <v>44713</v>
      </c>
      <c r="M149" t="s">
        <v>240</v>
      </c>
      <c r="N149" t="s">
        <v>241</v>
      </c>
      <c r="O149" t="s">
        <v>242</v>
      </c>
      <c r="R149" t="s">
        <v>36</v>
      </c>
      <c r="S149" t="s">
        <v>37</v>
      </c>
      <c r="W149" t="s">
        <v>40</v>
      </c>
      <c r="X149" t="s">
        <v>257</v>
      </c>
    </row>
    <row r="150" spans="1:25" x14ac:dyDescent="0.2">
      <c r="A150">
        <v>50.420312000000003</v>
      </c>
      <c r="B150">
        <v>-122.61442</v>
      </c>
      <c r="C150" t="s">
        <v>86</v>
      </c>
      <c r="D150" t="s">
        <v>379</v>
      </c>
      <c r="E150">
        <v>8</v>
      </c>
      <c r="F150" t="s">
        <v>380</v>
      </c>
      <c r="G150" t="str">
        <f t="shared" si="2"/>
        <v>PLACE GLACIER</v>
      </c>
      <c r="H150" t="s">
        <v>381</v>
      </c>
      <c r="I150">
        <v>2300</v>
      </c>
      <c r="M150" t="s">
        <v>382</v>
      </c>
      <c r="N150" t="s">
        <v>383</v>
      </c>
      <c r="O150" t="s">
        <v>384</v>
      </c>
      <c r="R150" t="s">
        <v>36</v>
      </c>
      <c r="U150" t="s">
        <v>39</v>
      </c>
      <c r="W150" t="s">
        <v>40</v>
      </c>
    </row>
    <row r="151" spans="1:25" x14ac:dyDescent="0.2">
      <c r="A151">
        <v>49.594000000000001</v>
      </c>
      <c r="B151">
        <v>-125.131</v>
      </c>
      <c r="C151" t="s">
        <v>204</v>
      </c>
      <c r="D151" t="s">
        <v>385</v>
      </c>
      <c r="E151">
        <v>5</v>
      </c>
      <c r="F151" t="s">
        <v>386</v>
      </c>
      <c r="G151" t="str">
        <f t="shared" si="2"/>
        <v>PERSEVERENCE CREEK</v>
      </c>
      <c r="H151" t="s">
        <v>381</v>
      </c>
      <c r="I151">
        <v>970</v>
      </c>
      <c r="K151" t="s">
        <v>387</v>
      </c>
      <c r="L151" t="s">
        <v>388</v>
      </c>
      <c r="M151" t="s">
        <v>382</v>
      </c>
      <c r="N151" t="s">
        <v>383</v>
      </c>
      <c r="O151" t="s">
        <v>384</v>
      </c>
      <c r="R151" t="s">
        <v>36</v>
      </c>
      <c r="S151" t="s">
        <v>37</v>
      </c>
      <c r="T151" t="s">
        <v>389</v>
      </c>
      <c r="U151" t="s">
        <v>39</v>
      </c>
      <c r="V151" t="s">
        <v>390</v>
      </c>
      <c r="W151" t="s">
        <v>391</v>
      </c>
      <c r="Y151" t="s">
        <v>392</v>
      </c>
    </row>
    <row r="152" spans="1:25" x14ac:dyDescent="0.2">
      <c r="A152">
        <v>51.101869999999998</v>
      </c>
      <c r="B152" s="75">
        <v>-124.950181</v>
      </c>
      <c r="C152" t="s">
        <v>204</v>
      </c>
      <c r="D152" t="s">
        <v>393</v>
      </c>
      <c r="E152">
        <v>7</v>
      </c>
      <c r="F152" t="s">
        <v>394</v>
      </c>
      <c r="G152" t="str">
        <f t="shared" si="2"/>
        <v>HOMATHKO</v>
      </c>
      <c r="H152" t="s">
        <v>381</v>
      </c>
      <c r="I152">
        <v>1481</v>
      </c>
      <c r="K152" t="s">
        <v>395</v>
      </c>
      <c r="L152" t="s">
        <v>396</v>
      </c>
      <c r="M152" t="s">
        <v>382</v>
      </c>
      <c r="N152" t="s">
        <v>383</v>
      </c>
      <c r="O152" t="s">
        <v>384</v>
      </c>
      <c r="R152" t="s">
        <v>36</v>
      </c>
      <c r="S152" t="s">
        <v>37</v>
      </c>
      <c r="T152" t="s">
        <v>389</v>
      </c>
      <c r="U152" t="s">
        <v>39</v>
      </c>
      <c r="V152" t="s">
        <v>390</v>
      </c>
      <c r="W152" t="s">
        <v>391</v>
      </c>
      <c r="Y152" t="s">
        <v>392</v>
      </c>
    </row>
    <row r="153" spans="1:25" x14ac:dyDescent="0.2">
      <c r="A153">
        <v>50.070953000000003</v>
      </c>
      <c r="B153">
        <v>-123.27746999999999</v>
      </c>
      <c r="C153" t="s">
        <v>204</v>
      </c>
      <c r="D153" t="s">
        <v>397</v>
      </c>
      <c r="E153">
        <v>7</v>
      </c>
      <c r="F153" t="s">
        <v>398</v>
      </c>
      <c r="G153" t="str">
        <f t="shared" si="2"/>
        <v>MOUNT CAYLEY</v>
      </c>
      <c r="H153" t="s">
        <v>381</v>
      </c>
      <c r="I153">
        <v>1588</v>
      </c>
      <c r="K153" t="s">
        <v>399</v>
      </c>
      <c r="L153" t="s">
        <v>400</v>
      </c>
      <c r="M153" t="s">
        <v>382</v>
      </c>
      <c r="N153" t="s">
        <v>383</v>
      </c>
      <c r="O153" t="s">
        <v>384</v>
      </c>
      <c r="R153" t="s">
        <v>36</v>
      </c>
      <c r="S153" t="s">
        <v>37</v>
      </c>
      <c r="T153" t="s">
        <v>38</v>
      </c>
      <c r="U153" t="s">
        <v>39</v>
      </c>
      <c r="W153" t="s">
        <v>391</v>
      </c>
      <c r="X153" t="s">
        <v>401</v>
      </c>
      <c r="Y153" t="s">
        <v>358</v>
      </c>
    </row>
    <row r="154" spans="1:25" x14ac:dyDescent="0.2">
      <c r="A154">
        <v>51.3735</v>
      </c>
      <c r="B154">
        <v>-125.1645</v>
      </c>
      <c r="C154" t="s">
        <v>204</v>
      </c>
      <c r="D154" t="s">
        <v>402</v>
      </c>
      <c r="E154">
        <v>8</v>
      </c>
      <c r="F154" t="s">
        <v>403</v>
      </c>
      <c r="G154" t="str">
        <f t="shared" si="2"/>
        <v>PLUMMER HUT</v>
      </c>
      <c r="H154" t="s">
        <v>381</v>
      </c>
      <c r="I154">
        <v>2680</v>
      </c>
      <c r="K154" t="s">
        <v>404</v>
      </c>
      <c r="L154" t="s">
        <v>405</v>
      </c>
      <c r="M154" t="s">
        <v>382</v>
      </c>
      <c r="N154" t="s">
        <v>383</v>
      </c>
      <c r="O154" t="s">
        <v>384</v>
      </c>
      <c r="R154" t="s">
        <v>36</v>
      </c>
      <c r="S154" t="s">
        <v>37</v>
      </c>
      <c r="T154" t="s">
        <v>389</v>
      </c>
      <c r="U154" t="s">
        <v>39</v>
      </c>
      <c r="W154" t="s">
        <v>391</v>
      </c>
      <c r="Y154" t="s">
        <v>392</v>
      </c>
    </row>
    <row r="155" spans="1:25" x14ac:dyDescent="0.2">
      <c r="A155">
        <v>49.668999999999997</v>
      </c>
      <c r="B155">
        <v>-125.361</v>
      </c>
      <c r="C155" t="s">
        <v>204</v>
      </c>
      <c r="D155" t="s">
        <v>406</v>
      </c>
      <c r="E155">
        <v>7</v>
      </c>
      <c r="F155" t="s">
        <v>407</v>
      </c>
      <c r="G155" t="str">
        <f t="shared" si="2"/>
        <v>UPPER CRUICKSHANK</v>
      </c>
      <c r="H155" t="s">
        <v>381</v>
      </c>
      <c r="I155">
        <v>1348</v>
      </c>
      <c r="K155" t="s">
        <v>408</v>
      </c>
      <c r="L155" t="s">
        <v>409</v>
      </c>
      <c r="M155" t="s">
        <v>382</v>
      </c>
      <c r="N155" t="s">
        <v>383</v>
      </c>
      <c r="O155" t="s">
        <v>384</v>
      </c>
      <c r="R155" t="s">
        <v>36</v>
      </c>
      <c r="S155" t="s">
        <v>37</v>
      </c>
      <c r="T155" t="s">
        <v>389</v>
      </c>
      <c r="U155" t="s">
        <v>39</v>
      </c>
      <c r="V155" t="s">
        <v>390</v>
      </c>
      <c r="W155" t="s">
        <v>391</v>
      </c>
      <c r="Y155" t="s">
        <v>392</v>
      </c>
    </row>
    <row r="156" spans="1:25" x14ac:dyDescent="0.2">
      <c r="A156">
        <v>50.226500000000001</v>
      </c>
      <c r="B156">
        <v>-126.3515</v>
      </c>
      <c r="C156" t="s">
        <v>204</v>
      </c>
      <c r="D156" t="s">
        <v>410</v>
      </c>
      <c r="E156">
        <v>7</v>
      </c>
      <c r="F156" t="s">
        <v>411</v>
      </c>
      <c r="G156" t="str">
        <f t="shared" si="2"/>
        <v>CAIN RIDGE_RUN</v>
      </c>
      <c r="H156" t="s">
        <v>381</v>
      </c>
      <c r="I156">
        <v>1330</v>
      </c>
      <c r="J156" t="s">
        <v>253</v>
      </c>
      <c r="K156" t="s">
        <v>412</v>
      </c>
      <c r="L156" t="s">
        <v>413</v>
      </c>
      <c r="M156" t="s">
        <v>382</v>
      </c>
      <c r="N156" t="s">
        <v>383</v>
      </c>
      <c r="O156" t="s">
        <v>384</v>
      </c>
      <c r="R156" t="s">
        <v>36</v>
      </c>
      <c r="S156" t="s">
        <v>37</v>
      </c>
      <c r="T156" t="s">
        <v>38</v>
      </c>
      <c r="U156" t="s">
        <v>39</v>
      </c>
      <c r="W156" t="s">
        <v>391</v>
      </c>
      <c r="Y156" t="s">
        <v>358</v>
      </c>
    </row>
    <row r="157" spans="1:25" x14ac:dyDescent="0.2">
      <c r="A157">
        <v>50.225749999999998</v>
      </c>
      <c r="B157">
        <v>-126.3563</v>
      </c>
      <c r="C157" t="s">
        <v>204</v>
      </c>
      <c r="D157" t="s">
        <v>414</v>
      </c>
      <c r="E157">
        <v>6</v>
      </c>
      <c r="F157" t="s">
        <v>415</v>
      </c>
      <c r="G157" t="str">
        <f t="shared" si="2"/>
        <v>LOWER CAIN</v>
      </c>
      <c r="H157" t="s">
        <v>381</v>
      </c>
      <c r="I157">
        <v>1260</v>
      </c>
      <c r="K157" t="s">
        <v>416</v>
      </c>
      <c r="L157" t="s">
        <v>417</v>
      </c>
      <c r="M157" t="s">
        <v>382</v>
      </c>
      <c r="N157" t="s">
        <v>383</v>
      </c>
      <c r="O157" t="s">
        <v>384</v>
      </c>
      <c r="R157" t="s">
        <v>36</v>
      </c>
      <c r="S157" t="s">
        <v>37</v>
      </c>
      <c r="T157" t="s">
        <v>389</v>
      </c>
      <c r="U157" t="s">
        <v>39</v>
      </c>
      <c r="V157" t="s">
        <v>390</v>
      </c>
      <c r="Y157" t="s">
        <v>358</v>
      </c>
    </row>
    <row r="158" spans="1:25" x14ac:dyDescent="0.2">
      <c r="A158">
        <v>52.134569399999997</v>
      </c>
      <c r="B158">
        <v>-126.2626806</v>
      </c>
      <c r="C158" t="s">
        <v>204</v>
      </c>
      <c r="D158" t="s">
        <v>418</v>
      </c>
      <c r="E158">
        <v>7</v>
      </c>
      <c r="F158" t="s">
        <v>419</v>
      </c>
      <c r="G158" t="str">
        <f t="shared" si="2"/>
        <v>APE LAKE</v>
      </c>
      <c r="H158" t="s">
        <v>381</v>
      </c>
      <c r="I158">
        <v>1423</v>
      </c>
      <c r="K158" t="s">
        <v>420</v>
      </c>
      <c r="L158" t="s">
        <v>421</v>
      </c>
      <c r="M158" t="s">
        <v>382</v>
      </c>
      <c r="N158" t="s">
        <v>383</v>
      </c>
      <c r="O158" t="s">
        <v>384</v>
      </c>
      <c r="R158" t="s">
        <v>36</v>
      </c>
      <c r="S158" t="s">
        <v>37</v>
      </c>
      <c r="T158" t="s">
        <v>389</v>
      </c>
      <c r="U158" t="s">
        <v>39</v>
      </c>
      <c r="V158" t="s">
        <v>390</v>
      </c>
      <c r="W158" t="s">
        <v>391</v>
      </c>
      <c r="Y158" t="s">
        <v>358</v>
      </c>
    </row>
    <row r="159" spans="1:25" x14ac:dyDescent="0.2">
      <c r="A159">
        <v>52.279578999999998</v>
      </c>
      <c r="B159">
        <v>-126.89054299999999</v>
      </c>
      <c r="C159" t="s">
        <v>204</v>
      </c>
      <c r="D159" t="s">
        <v>422</v>
      </c>
      <c r="E159">
        <v>6</v>
      </c>
      <c r="F159" t="s">
        <v>423</v>
      </c>
      <c r="G159" t="str">
        <f t="shared" si="2"/>
        <v>CLAYTON FALLS</v>
      </c>
      <c r="H159" t="s">
        <v>381</v>
      </c>
      <c r="I159">
        <v>1260</v>
      </c>
      <c r="K159" t="s">
        <v>420</v>
      </c>
      <c r="L159" t="s">
        <v>424</v>
      </c>
      <c r="M159" t="s">
        <v>382</v>
      </c>
      <c r="N159" t="s">
        <v>383</v>
      </c>
      <c r="O159" t="s">
        <v>384</v>
      </c>
      <c r="R159" t="s">
        <v>36</v>
      </c>
      <c r="S159" t="s">
        <v>37</v>
      </c>
      <c r="T159" t="s">
        <v>389</v>
      </c>
      <c r="U159" t="s">
        <v>39</v>
      </c>
      <c r="V159" t="s">
        <v>390</v>
      </c>
      <c r="W159" t="s">
        <v>425</v>
      </c>
      <c r="X159" t="s">
        <v>401</v>
      </c>
      <c r="Y159" t="s">
        <v>358</v>
      </c>
    </row>
    <row r="160" spans="1:25" x14ac:dyDescent="0.2">
      <c r="A160">
        <v>51.380020000000002</v>
      </c>
      <c r="B160">
        <v>-125.76953</v>
      </c>
      <c r="C160" t="s">
        <v>204</v>
      </c>
      <c r="D160" t="s">
        <v>426</v>
      </c>
      <c r="E160">
        <v>7</v>
      </c>
      <c r="F160" t="s">
        <v>427</v>
      </c>
      <c r="G160" t="str">
        <f t="shared" si="2"/>
        <v>KLINAKLLINI</v>
      </c>
      <c r="H160" t="s">
        <v>381</v>
      </c>
      <c r="I160">
        <v>1532</v>
      </c>
      <c r="K160" t="s">
        <v>395</v>
      </c>
      <c r="L160" t="s">
        <v>388</v>
      </c>
      <c r="M160" t="s">
        <v>382</v>
      </c>
      <c r="N160" t="s">
        <v>383</v>
      </c>
      <c r="O160" t="s">
        <v>384</v>
      </c>
      <c r="R160" t="s">
        <v>36</v>
      </c>
      <c r="S160" t="s">
        <v>37</v>
      </c>
      <c r="T160" t="s">
        <v>389</v>
      </c>
      <c r="U160" t="s">
        <v>39</v>
      </c>
      <c r="V160" t="s">
        <v>390</v>
      </c>
      <c r="W160" t="s">
        <v>391</v>
      </c>
      <c r="Y160" t="s">
        <v>392</v>
      </c>
    </row>
    <row r="161" spans="1:26" x14ac:dyDescent="0.2">
      <c r="A161">
        <v>51.6555806</v>
      </c>
      <c r="B161">
        <v>-126.140744</v>
      </c>
      <c r="C161" t="s">
        <v>204</v>
      </c>
      <c r="D161" t="s">
        <v>428</v>
      </c>
      <c r="E161">
        <v>7</v>
      </c>
      <c r="F161" t="s">
        <v>429</v>
      </c>
      <c r="G161" t="str">
        <f t="shared" si="2"/>
        <v>MACHMELL KLINIKLINI</v>
      </c>
      <c r="H161" t="s">
        <v>381</v>
      </c>
      <c r="I161">
        <v>1601</v>
      </c>
      <c r="K161" t="s">
        <v>430</v>
      </c>
      <c r="L161" t="s">
        <v>421</v>
      </c>
      <c r="M161" t="s">
        <v>382</v>
      </c>
      <c r="N161" t="s">
        <v>383</v>
      </c>
      <c r="O161" t="s">
        <v>384</v>
      </c>
      <c r="R161" t="s">
        <v>36</v>
      </c>
      <c r="S161" t="s">
        <v>37</v>
      </c>
      <c r="T161" t="s">
        <v>389</v>
      </c>
      <c r="U161" t="s">
        <v>39</v>
      </c>
      <c r="V161" t="s">
        <v>390</v>
      </c>
      <c r="W161" t="s">
        <v>391</v>
      </c>
      <c r="Y161" t="s">
        <v>358</v>
      </c>
    </row>
    <row r="162" spans="1:26" x14ac:dyDescent="0.2">
      <c r="A162">
        <v>52.286999999999999</v>
      </c>
      <c r="B162">
        <v>-126.07299999999999</v>
      </c>
      <c r="C162" t="s">
        <v>204</v>
      </c>
      <c r="D162" t="s">
        <v>431</v>
      </c>
      <c r="E162">
        <v>8</v>
      </c>
      <c r="F162" t="s">
        <v>432</v>
      </c>
      <c r="G162" t="str">
        <f t="shared" si="2"/>
        <v>MOUNT MAYA</v>
      </c>
      <c r="H162" t="s">
        <v>381</v>
      </c>
      <c r="I162">
        <v>1692</v>
      </c>
      <c r="J162" t="s">
        <v>253</v>
      </c>
      <c r="K162" t="s">
        <v>433</v>
      </c>
      <c r="L162" t="s">
        <v>434</v>
      </c>
      <c r="M162" t="s">
        <v>382</v>
      </c>
      <c r="N162" t="s">
        <v>383</v>
      </c>
      <c r="O162" t="s">
        <v>384</v>
      </c>
      <c r="R162" t="s">
        <v>36</v>
      </c>
      <c r="S162" t="s">
        <v>37</v>
      </c>
      <c r="T162" t="s">
        <v>389</v>
      </c>
      <c r="U162" t="s">
        <v>39</v>
      </c>
      <c r="W162" t="s">
        <v>435</v>
      </c>
      <c r="X162" t="s">
        <v>401</v>
      </c>
      <c r="Y162" t="s">
        <v>358</v>
      </c>
    </row>
    <row r="163" spans="1:26" x14ac:dyDescent="0.2">
      <c r="A163">
        <v>56.539785999999999</v>
      </c>
      <c r="B163">
        <v>-127.655889</v>
      </c>
      <c r="C163" t="s">
        <v>272</v>
      </c>
      <c r="D163" t="s">
        <v>436</v>
      </c>
      <c r="E163">
        <v>7</v>
      </c>
      <c r="F163" t="s">
        <v>437</v>
      </c>
      <c r="G163" t="str">
        <f t="shared" si="2"/>
        <v>UPPER SKEENA</v>
      </c>
      <c r="H163" t="s">
        <v>381</v>
      </c>
      <c r="I163">
        <v>1571</v>
      </c>
      <c r="K163" t="s">
        <v>438</v>
      </c>
      <c r="L163" t="s">
        <v>439</v>
      </c>
      <c r="M163" t="s">
        <v>382</v>
      </c>
      <c r="N163" t="s">
        <v>383</v>
      </c>
      <c r="O163" t="s">
        <v>384</v>
      </c>
      <c r="R163" t="s">
        <v>36</v>
      </c>
      <c r="S163" t="s">
        <v>37</v>
      </c>
      <c r="T163" t="s">
        <v>389</v>
      </c>
      <c r="U163" t="s">
        <v>39</v>
      </c>
      <c r="V163" t="s">
        <v>390</v>
      </c>
      <c r="W163" t="s">
        <v>391</v>
      </c>
      <c r="Y163" t="s">
        <v>392</v>
      </c>
    </row>
    <row r="164" spans="1:26" x14ac:dyDescent="0.2">
      <c r="A164">
        <v>50.906010999999999</v>
      </c>
      <c r="B164">
        <v>-120.301383</v>
      </c>
      <c r="C164" t="s">
        <v>86</v>
      </c>
      <c r="D164" t="s">
        <v>440</v>
      </c>
      <c r="E164">
        <v>7</v>
      </c>
      <c r="F164" t="s">
        <v>441</v>
      </c>
      <c r="G164" t="str">
        <f t="shared" si="2"/>
        <v>ARROWSTONE</v>
      </c>
      <c r="H164" t="s">
        <v>381</v>
      </c>
      <c r="I164">
        <v>1575</v>
      </c>
      <c r="K164" t="s">
        <v>442</v>
      </c>
      <c r="L164" t="s">
        <v>443</v>
      </c>
      <c r="M164" t="s">
        <v>444</v>
      </c>
      <c r="N164" t="s">
        <v>445</v>
      </c>
      <c r="O164" t="s">
        <v>446</v>
      </c>
      <c r="R164" t="s">
        <v>36</v>
      </c>
      <c r="S164" t="s">
        <v>37</v>
      </c>
      <c r="T164" t="s">
        <v>38</v>
      </c>
      <c r="U164" t="s">
        <v>39</v>
      </c>
      <c r="W164" t="s">
        <v>447</v>
      </c>
      <c r="X164" t="s">
        <v>257</v>
      </c>
      <c r="Y164" t="s">
        <v>358</v>
      </c>
      <c r="Z164" t="s">
        <v>448</v>
      </c>
    </row>
    <row r="165" spans="1:26" x14ac:dyDescent="0.2">
      <c r="A165">
        <v>59.573999999999998</v>
      </c>
      <c r="B165">
        <v>-133.68700000000001</v>
      </c>
      <c r="C165" t="s">
        <v>449</v>
      </c>
      <c r="D165" t="s">
        <v>450</v>
      </c>
      <c r="E165">
        <v>1</v>
      </c>
      <c r="F165" t="s">
        <v>451</v>
      </c>
      <c r="G165" t="str">
        <f t="shared" si="2"/>
        <v>ATLIN SCHOOL</v>
      </c>
      <c r="H165" t="s">
        <v>381</v>
      </c>
      <c r="I165">
        <v>705</v>
      </c>
      <c r="L165" t="s">
        <v>452</v>
      </c>
      <c r="M165" t="s">
        <v>453</v>
      </c>
      <c r="N165" t="s">
        <v>454</v>
      </c>
      <c r="R165" t="s">
        <v>36</v>
      </c>
      <c r="S165" t="s">
        <v>37</v>
      </c>
      <c r="T165" t="s">
        <v>38</v>
      </c>
      <c r="W165" t="s">
        <v>40</v>
      </c>
      <c r="X165" t="s">
        <v>401</v>
      </c>
      <c r="Y165" t="s">
        <v>358</v>
      </c>
    </row>
    <row r="166" spans="1:26" x14ac:dyDescent="0.2">
      <c r="A166">
        <v>54.510444</v>
      </c>
      <c r="B166">
        <v>-126.614341</v>
      </c>
      <c r="C166" t="s">
        <v>29</v>
      </c>
      <c r="D166" t="s">
        <v>455</v>
      </c>
      <c r="E166">
        <v>4</v>
      </c>
      <c r="F166" t="s">
        <v>456</v>
      </c>
      <c r="G166" t="str">
        <f t="shared" si="2"/>
        <v>BARRENWX</v>
      </c>
      <c r="H166" t="s">
        <v>381</v>
      </c>
      <c r="I166">
        <v>1051</v>
      </c>
      <c r="L166" t="s">
        <v>457</v>
      </c>
      <c r="M166" t="s">
        <v>458</v>
      </c>
      <c r="N166" t="s">
        <v>459</v>
      </c>
      <c r="R166" t="s">
        <v>36</v>
      </c>
      <c r="S166" t="s">
        <v>37</v>
      </c>
      <c r="T166" t="s">
        <v>38</v>
      </c>
      <c r="W166" t="s">
        <v>460</v>
      </c>
      <c r="X166" t="s">
        <v>401</v>
      </c>
      <c r="Y166" t="s">
        <v>358</v>
      </c>
      <c r="Z166" t="s">
        <v>461</v>
      </c>
    </row>
    <row r="167" spans="1:26" x14ac:dyDescent="0.2">
      <c r="A167">
        <v>53.871333999999997</v>
      </c>
      <c r="B167">
        <v>-123.370441</v>
      </c>
      <c r="C167" t="s">
        <v>29</v>
      </c>
      <c r="D167" t="s">
        <v>462</v>
      </c>
      <c r="E167">
        <v>2</v>
      </c>
      <c r="F167" t="s">
        <v>463</v>
      </c>
      <c r="G167" t="str">
        <f t="shared" si="2"/>
        <v>TAMARAC</v>
      </c>
      <c r="H167" t="s">
        <v>381</v>
      </c>
      <c r="I167">
        <v>865</v>
      </c>
      <c r="L167" t="s">
        <v>464</v>
      </c>
      <c r="M167" t="s">
        <v>458</v>
      </c>
      <c r="N167" t="s">
        <v>459</v>
      </c>
      <c r="R167" t="s">
        <v>36</v>
      </c>
      <c r="S167" t="s">
        <v>37</v>
      </c>
      <c r="T167" t="s">
        <v>38</v>
      </c>
      <c r="W167" t="s">
        <v>460</v>
      </c>
      <c r="X167" t="s">
        <v>401</v>
      </c>
      <c r="Y167" t="s">
        <v>358</v>
      </c>
      <c r="Z167" t="s">
        <v>461</v>
      </c>
    </row>
    <row r="168" spans="1:26" x14ac:dyDescent="0.2">
      <c r="A168">
        <v>55.078885</v>
      </c>
      <c r="B168">
        <v>-120.352171</v>
      </c>
      <c r="C168" t="s">
        <v>46</v>
      </c>
      <c r="D168" t="s">
        <v>465</v>
      </c>
      <c r="E168">
        <v>8</v>
      </c>
      <c r="F168" t="s">
        <v>466</v>
      </c>
      <c r="G168" t="str">
        <f t="shared" si="2"/>
        <v>BLACKHAWKWX</v>
      </c>
      <c r="H168" t="s">
        <v>381</v>
      </c>
      <c r="I168">
        <v>962</v>
      </c>
      <c r="K168" t="s">
        <v>467</v>
      </c>
      <c r="L168" t="s">
        <v>468</v>
      </c>
      <c r="M168" t="s">
        <v>458</v>
      </c>
      <c r="N168" t="s">
        <v>459</v>
      </c>
      <c r="O168" t="s">
        <v>469</v>
      </c>
      <c r="R168" t="s">
        <v>36</v>
      </c>
      <c r="S168" t="s">
        <v>37</v>
      </c>
      <c r="T168" t="s">
        <v>38</v>
      </c>
      <c r="U168" t="s">
        <v>39</v>
      </c>
      <c r="W168" t="s">
        <v>460</v>
      </c>
      <c r="X168" t="s">
        <v>401</v>
      </c>
      <c r="Y168" t="s">
        <v>358</v>
      </c>
      <c r="Z168" t="s">
        <v>461</v>
      </c>
    </row>
    <row r="169" spans="1:26" x14ac:dyDescent="0.2">
      <c r="A169">
        <v>55.108173000000001</v>
      </c>
      <c r="B169">
        <v>-127.37474</v>
      </c>
      <c r="C169" t="s">
        <v>204</v>
      </c>
      <c r="D169" t="s">
        <v>470</v>
      </c>
      <c r="E169">
        <v>3</v>
      </c>
      <c r="F169" t="s">
        <v>471</v>
      </c>
      <c r="G169" t="str">
        <f t="shared" si="2"/>
        <v>BOULDERWX</v>
      </c>
      <c r="H169" t="s">
        <v>381</v>
      </c>
      <c r="I169">
        <v>385</v>
      </c>
      <c r="K169" t="s">
        <v>472</v>
      </c>
      <c r="L169" t="s">
        <v>473</v>
      </c>
      <c r="M169" t="s">
        <v>458</v>
      </c>
      <c r="N169" t="s">
        <v>459</v>
      </c>
      <c r="R169" t="s">
        <v>36</v>
      </c>
      <c r="S169" t="s">
        <v>37</v>
      </c>
      <c r="T169" t="s">
        <v>38</v>
      </c>
      <c r="W169" t="s">
        <v>460</v>
      </c>
      <c r="X169" t="s">
        <v>401</v>
      </c>
      <c r="Y169" t="s">
        <v>358</v>
      </c>
      <c r="Z169" t="s">
        <v>474</v>
      </c>
    </row>
    <row r="170" spans="1:26" x14ac:dyDescent="0.2">
      <c r="A170">
        <v>53.902110999999998</v>
      </c>
      <c r="B170">
        <v>-122.015389</v>
      </c>
      <c r="C170" t="s">
        <v>272</v>
      </c>
      <c r="D170" t="s">
        <v>475</v>
      </c>
      <c r="E170">
        <v>1</v>
      </c>
      <c r="F170" t="s">
        <v>475</v>
      </c>
      <c r="G170" t="str">
        <f t="shared" si="2"/>
        <v>BOWRONPIT</v>
      </c>
      <c r="H170" t="s">
        <v>381</v>
      </c>
      <c r="I170">
        <v>722</v>
      </c>
      <c r="K170" t="s">
        <v>476</v>
      </c>
      <c r="L170" t="s">
        <v>477</v>
      </c>
      <c r="M170" t="s">
        <v>458</v>
      </c>
      <c r="N170" t="s">
        <v>459</v>
      </c>
      <c r="O170" t="s">
        <v>478</v>
      </c>
      <c r="R170" t="s">
        <v>36</v>
      </c>
      <c r="S170" t="s">
        <v>37</v>
      </c>
      <c r="T170" t="s">
        <v>38</v>
      </c>
      <c r="U170" t="s">
        <v>39</v>
      </c>
      <c r="W170" t="s">
        <v>460</v>
      </c>
      <c r="X170" t="s">
        <v>401</v>
      </c>
      <c r="Y170" t="s">
        <v>358</v>
      </c>
      <c r="Z170" t="s">
        <v>474</v>
      </c>
    </row>
    <row r="171" spans="1:26" x14ac:dyDescent="0.2">
      <c r="A171">
        <v>52.709820000000001</v>
      </c>
      <c r="B171">
        <v>-119.19126</v>
      </c>
      <c r="C171" t="s">
        <v>61</v>
      </c>
      <c r="D171" t="s">
        <v>479</v>
      </c>
      <c r="E171">
        <v>8</v>
      </c>
      <c r="F171" t="s">
        <v>479</v>
      </c>
      <c r="G171" t="str">
        <f t="shared" si="2"/>
        <v>CANOE MOUNTAIN STN</v>
      </c>
      <c r="H171" t="s">
        <v>381</v>
      </c>
      <c r="I171">
        <v>2210</v>
      </c>
      <c r="K171" t="s">
        <v>480</v>
      </c>
      <c r="L171" t="s">
        <v>481</v>
      </c>
      <c r="M171" t="s">
        <v>458</v>
      </c>
      <c r="N171" t="s">
        <v>459</v>
      </c>
      <c r="O171" t="s">
        <v>482</v>
      </c>
      <c r="R171" t="s">
        <v>36</v>
      </c>
      <c r="S171" t="s">
        <v>37</v>
      </c>
      <c r="T171" t="s">
        <v>38</v>
      </c>
      <c r="W171" t="s">
        <v>460</v>
      </c>
      <c r="X171" t="s">
        <v>401</v>
      </c>
      <c r="Y171" t="s">
        <v>358</v>
      </c>
      <c r="Z171" t="s">
        <v>448</v>
      </c>
    </row>
    <row r="172" spans="1:26" x14ac:dyDescent="0.2">
      <c r="A172">
        <v>58.35718</v>
      </c>
      <c r="B172">
        <v>-129.54637</v>
      </c>
      <c r="C172" t="s">
        <v>449</v>
      </c>
      <c r="D172" t="s">
        <v>483</v>
      </c>
      <c r="E172">
        <v>8</v>
      </c>
      <c r="F172" t="s">
        <v>484</v>
      </c>
      <c r="G172" t="str">
        <f t="shared" si="2"/>
        <v>CARIBOU PASS</v>
      </c>
      <c r="H172" t="s">
        <v>381</v>
      </c>
      <c r="I172">
        <v>1744</v>
      </c>
      <c r="K172" t="s">
        <v>485</v>
      </c>
      <c r="L172" t="s">
        <v>486</v>
      </c>
      <c r="M172" t="s">
        <v>458</v>
      </c>
      <c r="N172" t="s">
        <v>459</v>
      </c>
      <c r="O172" t="s">
        <v>487</v>
      </c>
      <c r="R172" t="s">
        <v>36</v>
      </c>
      <c r="S172" t="s">
        <v>37</v>
      </c>
      <c r="T172" t="s">
        <v>38</v>
      </c>
      <c r="W172" t="s">
        <v>460</v>
      </c>
      <c r="X172" t="s">
        <v>257</v>
      </c>
      <c r="Y172" t="s">
        <v>358</v>
      </c>
      <c r="Z172" t="s">
        <v>448</v>
      </c>
    </row>
    <row r="173" spans="1:26" x14ac:dyDescent="0.2">
      <c r="A173">
        <v>59.250999999999998</v>
      </c>
      <c r="B173">
        <v>-129.86000000000001</v>
      </c>
      <c r="C173" t="s">
        <v>449</v>
      </c>
      <c r="D173" t="s">
        <v>488</v>
      </c>
      <c r="E173">
        <v>7</v>
      </c>
      <c r="F173" t="s">
        <v>489</v>
      </c>
      <c r="G173" t="str">
        <f t="shared" si="2"/>
        <v>CASSIAR</v>
      </c>
      <c r="H173" t="s">
        <v>381</v>
      </c>
      <c r="I173">
        <v>1577</v>
      </c>
      <c r="K173" t="s">
        <v>490</v>
      </c>
      <c r="L173" t="s">
        <v>491</v>
      </c>
      <c r="M173" t="s">
        <v>453</v>
      </c>
      <c r="N173" t="s">
        <v>454</v>
      </c>
      <c r="R173" t="s">
        <v>36</v>
      </c>
      <c r="S173" t="s">
        <v>37</v>
      </c>
      <c r="T173" t="s">
        <v>38</v>
      </c>
      <c r="W173" t="s">
        <v>40</v>
      </c>
      <c r="X173" t="s">
        <v>401</v>
      </c>
      <c r="Y173" t="s">
        <v>358</v>
      </c>
    </row>
    <row r="174" spans="1:26" x14ac:dyDescent="0.2">
      <c r="A174">
        <v>54.883902999999997</v>
      </c>
      <c r="B174">
        <v>-126.62353299999999</v>
      </c>
      <c r="C174" t="s">
        <v>272</v>
      </c>
      <c r="D174" t="s">
        <v>492</v>
      </c>
      <c r="E174">
        <v>2</v>
      </c>
      <c r="F174" t="s">
        <v>493</v>
      </c>
      <c r="G174" t="str">
        <f t="shared" si="2"/>
        <v>CHAPMANWX</v>
      </c>
      <c r="H174" t="s">
        <v>381</v>
      </c>
      <c r="I174">
        <v>848</v>
      </c>
      <c r="L174" t="s">
        <v>494</v>
      </c>
      <c r="M174" t="s">
        <v>458</v>
      </c>
      <c r="N174" t="s">
        <v>459</v>
      </c>
      <c r="R174" t="s">
        <v>36</v>
      </c>
      <c r="S174" t="s">
        <v>37</v>
      </c>
      <c r="T174" t="s">
        <v>38</v>
      </c>
      <c r="W174" t="s">
        <v>460</v>
      </c>
      <c r="X174" t="s">
        <v>401</v>
      </c>
      <c r="Y174" t="s">
        <v>358</v>
      </c>
      <c r="Z174" t="s">
        <v>461</v>
      </c>
    </row>
    <row r="175" spans="1:26" x14ac:dyDescent="0.2">
      <c r="A175">
        <v>50.758333</v>
      </c>
      <c r="B175">
        <v>-119.533333</v>
      </c>
      <c r="C175" t="s">
        <v>86</v>
      </c>
      <c r="D175" t="s">
        <v>495</v>
      </c>
      <c r="E175">
        <v>2</v>
      </c>
      <c r="F175" t="s">
        <v>495</v>
      </c>
      <c r="G175" t="str">
        <f t="shared" si="2"/>
        <v>CHASE CREEK</v>
      </c>
      <c r="H175" t="s">
        <v>381</v>
      </c>
      <c r="I175">
        <v>700</v>
      </c>
      <c r="K175" t="s">
        <v>496</v>
      </c>
      <c r="L175" t="s">
        <v>497</v>
      </c>
      <c r="M175" t="s">
        <v>444</v>
      </c>
      <c r="N175" t="s">
        <v>445</v>
      </c>
      <c r="R175" t="s">
        <v>36</v>
      </c>
      <c r="S175" t="s">
        <v>37</v>
      </c>
      <c r="T175" t="s">
        <v>38</v>
      </c>
      <c r="U175" t="s">
        <v>39</v>
      </c>
      <c r="W175" t="s">
        <v>447</v>
      </c>
      <c r="Y175" t="s">
        <v>358</v>
      </c>
      <c r="Z175" t="s">
        <v>498</v>
      </c>
    </row>
    <row r="176" spans="1:26" x14ac:dyDescent="0.2">
      <c r="A176">
        <v>54.238028</v>
      </c>
      <c r="B176">
        <v>-122.877306</v>
      </c>
      <c r="C176" t="s">
        <v>272</v>
      </c>
      <c r="D176" t="s">
        <v>499</v>
      </c>
      <c r="E176">
        <v>1</v>
      </c>
      <c r="F176" t="s">
        <v>500</v>
      </c>
      <c r="G176" t="str">
        <f t="shared" si="2"/>
        <v>CHIEFLAKEWX</v>
      </c>
      <c r="H176" t="s">
        <v>381</v>
      </c>
      <c r="I176">
        <v>720</v>
      </c>
      <c r="K176" t="s">
        <v>501</v>
      </c>
      <c r="L176" t="s">
        <v>502</v>
      </c>
      <c r="M176" t="s">
        <v>458</v>
      </c>
      <c r="N176" t="s">
        <v>459</v>
      </c>
      <c r="R176" t="s">
        <v>36</v>
      </c>
      <c r="S176" t="s">
        <v>37</v>
      </c>
      <c r="T176" t="s">
        <v>38</v>
      </c>
      <c r="W176" t="s">
        <v>460</v>
      </c>
      <c r="X176" t="s">
        <v>401</v>
      </c>
      <c r="Y176" t="s">
        <v>358</v>
      </c>
      <c r="Z176" t="s">
        <v>474</v>
      </c>
    </row>
    <row r="177" spans="1:26" x14ac:dyDescent="0.2">
      <c r="A177">
        <v>53.741138999999997</v>
      </c>
      <c r="B177">
        <v>-121.784639</v>
      </c>
      <c r="C177" t="s">
        <v>61</v>
      </c>
      <c r="D177" t="s">
        <v>503</v>
      </c>
      <c r="E177">
        <v>1</v>
      </c>
      <c r="F177" t="s">
        <v>503</v>
      </c>
      <c r="G177" t="str">
        <f t="shared" si="2"/>
        <v>COALMINEWX</v>
      </c>
      <c r="H177" t="s">
        <v>381</v>
      </c>
      <c r="I177">
        <v>840</v>
      </c>
      <c r="K177" t="s">
        <v>504</v>
      </c>
      <c r="L177" t="s">
        <v>505</v>
      </c>
      <c r="M177" t="s">
        <v>458</v>
      </c>
      <c r="N177" t="s">
        <v>459</v>
      </c>
      <c r="R177" t="s">
        <v>36</v>
      </c>
      <c r="S177" t="s">
        <v>37</v>
      </c>
      <c r="T177" t="s">
        <v>38</v>
      </c>
      <c r="W177" t="s">
        <v>460</v>
      </c>
      <c r="X177" t="s">
        <v>401</v>
      </c>
      <c r="Y177" t="s">
        <v>358</v>
      </c>
      <c r="Z177" t="s">
        <v>474</v>
      </c>
    </row>
    <row r="178" spans="1:26" x14ac:dyDescent="0.2">
      <c r="A178">
        <v>59.88626</v>
      </c>
      <c r="B178">
        <v>-126.42886</v>
      </c>
      <c r="C178" t="s">
        <v>449</v>
      </c>
      <c r="D178" t="s">
        <v>506</v>
      </c>
      <c r="E178">
        <v>1</v>
      </c>
      <c r="F178" t="s">
        <v>506</v>
      </c>
      <c r="G178" t="str">
        <f t="shared" si="2"/>
        <v>CROOKEDLK</v>
      </c>
      <c r="H178" t="s">
        <v>381</v>
      </c>
      <c r="I178">
        <v>669</v>
      </c>
      <c r="K178" t="s">
        <v>507</v>
      </c>
      <c r="L178" t="s">
        <v>508</v>
      </c>
      <c r="M178" t="s">
        <v>458</v>
      </c>
      <c r="N178" t="s">
        <v>459</v>
      </c>
      <c r="R178" t="s">
        <v>36</v>
      </c>
      <c r="S178" t="s">
        <v>37</v>
      </c>
      <c r="T178" t="s">
        <v>38</v>
      </c>
      <c r="W178" t="s">
        <v>460</v>
      </c>
      <c r="X178" t="s">
        <v>257</v>
      </c>
      <c r="Y178" t="s">
        <v>358</v>
      </c>
    </row>
    <row r="179" spans="1:26" x14ac:dyDescent="0.2">
      <c r="A179">
        <v>54.423493999999998</v>
      </c>
      <c r="B179">
        <v>-122.627844</v>
      </c>
      <c r="C179" t="s">
        <v>272</v>
      </c>
      <c r="D179" t="s">
        <v>509</v>
      </c>
      <c r="E179">
        <v>1</v>
      </c>
      <c r="F179" t="s">
        <v>510</v>
      </c>
      <c r="G179" t="str">
        <f t="shared" si="2"/>
        <v>CRYSTALWX</v>
      </c>
      <c r="H179" t="s">
        <v>381</v>
      </c>
      <c r="I179">
        <v>744</v>
      </c>
      <c r="K179" t="s">
        <v>511</v>
      </c>
      <c r="L179" t="s">
        <v>512</v>
      </c>
      <c r="M179" t="s">
        <v>458</v>
      </c>
      <c r="N179" t="s">
        <v>459</v>
      </c>
      <c r="R179" t="s">
        <v>36</v>
      </c>
      <c r="S179" t="s">
        <v>37</v>
      </c>
      <c r="T179" t="s">
        <v>38</v>
      </c>
      <c r="W179" t="s">
        <v>460</v>
      </c>
      <c r="X179" t="s">
        <v>401</v>
      </c>
      <c r="Y179" t="s">
        <v>358</v>
      </c>
      <c r="Z179" t="s">
        <v>461</v>
      </c>
    </row>
    <row r="180" spans="1:26" x14ac:dyDescent="0.2">
      <c r="A180">
        <v>53.545560999999999</v>
      </c>
      <c r="B180">
        <v>-132.58423400000001</v>
      </c>
      <c r="C180" t="s">
        <v>204</v>
      </c>
      <c r="D180" t="s">
        <v>513</v>
      </c>
      <c r="E180">
        <v>2</v>
      </c>
      <c r="F180" t="s">
        <v>514</v>
      </c>
      <c r="G180" t="str">
        <f t="shared" si="2"/>
        <v>DATLAMAN PASS</v>
      </c>
      <c r="H180" t="s">
        <v>381</v>
      </c>
      <c r="I180">
        <v>287</v>
      </c>
      <c r="K180" t="s">
        <v>515</v>
      </c>
      <c r="L180" t="s">
        <v>516</v>
      </c>
      <c r="M180" t="s">
        <v>382</v>
      </c>
      <c r="N180" t="s">
        <v>383</v>
      </c>
      <c r="O180" t="s">
        <v>384</v>
      </c>
      <c r="R180" t="s">
        <v>36</v>
      </c>
      <c r="S180" t="s">
        <v>37</v>
      </c>
      <c r="T180" t="s">
        <v>38</v>
      </c>
      <c r="U180" t="s">
        <v>39</v>
      </c>
      <c r="W180" t="s">
        <v>40</v>
      </c>
      <c r="Y180" t="s">
        <v>358</v>
      </c>
    </row>
    <row r="181" spans="1:26" x14ac:dyDescent="0.2">
      <c r="A181">
        <v>50.593600000000002</v>
      </c>
      <c r="B181">
        <v>-119.9211</v>
      </c>
      <c r="C181" t="s">
        <v>86</v>
      </c>
      <c r="D181" t="s">
        <v>517</v>
      </c>
      <c r="E181">
        <v>2</v>
      </c>
      <c r="F181" t="s">
        <v>518</v>
      </c>
      <c r="G181" t="str">
        <f t="shared" si="2"/>
        <v>DUCK HILL RANCH (IDFXH2)</v>
      </c>
      <c r="H181" t="s">
        <v>381</v>
      </c>
      <c r="I181">
        <v>700</v>
      </c>
      <c r="K181" t="s">
        <v>519</v>
      </c>
      <c r="L181" t="s">
        <v>443</v>
      </c>
      <c r="M181" t="s">
        <v>520</v>
      </c>
      <c r="N181" t="s">
        <v>521</v>
      </c>
      <c r="R181" t="s">
        <v>36</v>
      </c>
      <c r="S181" t="s">
        <v>37</v>
      </c>
      <c r="T181" t="s">
        <v>38</v>
      </c>
      <c r="W181" t="s">
        <v>40</v>
      </c>
      <c r="X181" t="s">
        <v>257</v>
      </c>
      <c r="Y181" t="s">
        <v>358</v>
      </c>
    </row>
    <row r="182" spans="1:26" x14ac:dyDescent="0.2">
      <c r="A182">
        <v>53.114908999999997</v>
      </c>
      <c r="B182">
        <v>-119.83529299999999</v>
      </c>
      <c r="C182" t="s">
        <v>61</v>
      </c>
      <c r="D182" t="s">
        <v>522</v>
      </c>
      <c r="E182">
        <v>1</v>
      </c>
      <c r="F182" t="s">
        <v>523</v>
      </c>
      <c r="G182" t="str">
        <f t="shared" si="2"/>
        <v>DUNSTERWX</v>
      </c>
      <c r="H182" t="s">
        <v>381</v>
      </c>
      <c r="I182">
        <v>890</v>
      </c>
      <c r="K182" t="s">
        <v>524</v>
      </c>
      <c r="L182" t="s">
        <v>525</v>
      </c>
      <c r="M182" t="s">
        <v>458</v>
      </c>
      <c r="N182" t="s">
        <v>459</v>
      </c>
      <c r="O182" t="s">
        <v>526</v>
      </c>
      <c r="R182" t="s">
        <v>36</v>
      </c>
      <c r="S182" t="s">
        <v>37</v>
      </c>
      <c r="T182" t="s">
        <v>389</v>
      </c>
      <c r="U182" t="s">
        <v>39</v>
      </c>
      <c r="W182" t="s">
        <v>460</v>
      </c>
      <c r="X182" t="s">
        <v>401</v>
      </c>
      <c r="Y182" t="s">
        <v>358</v>
      </c>
      <c r="Z182" t="s">
        <v>461</v>
      </c>
    </row>
    <row r="183" spans="1:26" x14ac:dyDescent="0.2">
      <c r="A183">
        <v>54.422392000000002</v>
      </c>
      <c r="B183">
        <v>-125.991293</v>
      </c>
      <c r="C183" t="s">
        <v>29</v>
      </c>
      <c r="D183" t="s">
        <v>527</v>
      </c>
      <c r="E183">
        <v>1</v>
      </c>
      <c r="F183" t="s">
        <v>528</v>
      </c>
      <c r="G183" t="str">
        <f t="shared" si="2"/>
        <v>ENDAKOWX</v>
      </c>
      <c r="H183" t="s">
        <v>381</v>
      </c>
      <c r="I183">
        <v>851</v>
      </c>
      <c r="K183" t="s">
        <v>529</v>
      </c>
      <c r="L183" t="s">
        <v>530</v>
      </c>
      <c r="M183" t="s">
        <v>458</v>
      </c>
      <c r="N183" t="s">
        <v>459</v>
      </c>
      <c r="R183" t="s">
        <v>36</v>
      </c>
      <c r="S183" t="s">
        <v>37</v>
      </c>
      <c r="T183" t="s">
        <v>38</v>
      </c>
      <c r="W183" t="s">
        <v>460</v>
      </c>
      <c r="X183" t="s">
        <v>401</v>
      </c>
      <c r="Y183" t="s">
        <v>358</v>
      </c>
      <c r="Z183" t="s">
        <v>474</v>
      </c>
    </row>
    <row r="184" spans="1:26" x14ac:dyDescent="0.2">
      <c r="A184">
        <v>53.883555000000001</v>
      </c>
      <c r="B184">
        <v>-124.710668</v>
      </c>
      <c r="C184" t="s">
        <v>29</v>
      </c>
      <c r="D184" t="s">
        <v>531</v>
      </c>
      <c r="E184">
        <v>2</v>
      </c>
      <c r="F184" t="s">
        <v>532</v>
      </c>
      <c r="G184" t="str">
        <f t="shared" si="2"/>
        <v>GEORGEWX</v>
      </c>
      <c r="H184" t="s">
        <v>381</v>
      </c>
      <c r="I184">
        <v>859</v>
      </c>
      <c r="K184" t="s">
        <v>533</v>
      </c>
      <c r="L184" t="s">
        <v>534</v>
      </c>
      <c r="M184" t="s">
        <v>458</v>
      </c>
      <c r="N184" t="s">
        <v>459</v>
      </c>
      <c r="R184" t="s">
        <v>36</v>
      </c>
      <c r="S184" t="s">
        <v>37</v>
      </c>
      <c r="T184" t="s">
        <v>38</v>
      </c>
      <c r="W184" t="s">
        <v>460</v>
      </c>
      <c r="X184" t="s">
        <v>401</v>
      </c>
      <c r="Y184" t="s">
        <v>358</v>
      </c>
      <c r="Z184" t="s">
        <v>474</v>
      </c>
    </row>
    <row r="185" spans="1:26" x14ac:dyDescent="0.2">
      <c r="A185">
        <v>58.182749999999999</v>
      </c>
      <c r="B185">
        <v>-129.89044000000001</v>
      </c>
      <c r="C185" t="s">
        <v>449</v>
      </c>
      <c r="D185" t="s">
        <v>535</v>
      </c>
      <c r="E185">
        <v>7</v>
      </c>
      <c r="F185" t="s">
        <v>535</v>
      </c>
      <c r="G185" t="str">
        <f t="shared" si="2"/>
        <v>GNAT PASS STN</v>
      </c>
      <c r="H185" t="s">
        <v>381</v>
      </c>
      <c r="I185">
        <v>1656</v>
      </c>
      <c r="J185" t="s">
        <v>253</v>
      </c>
      <c r="K185" t="s">
        <v>536</v>
      </c>
      <c r="L185" t="s">
        <v>537</v>
      </c>
      <c r="M185" t="s">
        <v>458</v>
      </c>
      <c r="N185" t="s">
        <v>459</v>
      </c>
      <c r="R185" t="s">
        <v>36</v>
      </c>
      <c r="S185" t="s">
        <v>37</v>
      </c>
      <c r="T185" t="s">
        <v>38</v>
      </c>
      <c r="W185" t="s">
        <v>460</v>
      </c>
      <c r="X185" t="s">
        <v>401</v>
      </c>
      <c r="Y185" t="s">
        <v>358</v>
      </c>
    </row>
    <row r="186" spans="1:26" x14ac:dyDescent="0.2">
      <c r="A186">
        <v>50.562600000000003</v>
      </c>
      <c r="B186">
        <v>-120.43</v>
      </c>
      <c r="C186" t="s">
        <v>86</v>
      </c>
      <c r="D186" t="s">
        <v>538</v>
      </c>
      <c r="E186">
        <v>3</v>
      </c>
      <c r="F186" t="s">
        <v>539</v>
      </c>
      <c r="G186" t="str">
        <f t="shared" si="2"/>
        <v>GOOSE LAKE RD</v>
      </c>
      <c r="H186" t="s">
        <v>381</v>
      </c>
      <c r="I186">
        <v>1147</v>
      </c>
      <c r="K186" t="s">
        <v>540</v>
      </c>
      <c r="L186" t="s">
        <v>541</v>
      </c>
      <c r="M186" t="s">
        <v>520</v>
      </c>
      <c r="N186" t="s">
        <v>521</v>
      </c>
      <c r="R186" t="s">
        <v>36</v>
      </c>
      <c r="S186" t="s">
        <v>37</v>
      </c>
      <c r="T186" t="s">
        <v>38</v>
      </c>
      <c r="W186" t="s">
        <v>40</v>
      </c>
      <c r="X186" t="s">
        <v>401</v>
      </c>
      <c r="Y186" t="s">
        <v>358</v>
      </c>
    </row>
    <row r="187" spans="1:26" x14ac:dyDescent="0.2">
      <c r="A187">
        <v>58.754750000000001</v>
      </c>
      <c r="B187">
        <v>-123.977683</v>
      </c>
      <c r="C187" t="s">
        <v>329</v>
      </c>
      <c r="D187" t="s">
        <v>542</v>
      </c>
      <c r="E187">
        <v>8</v>
      </c>
      <c r="F187" t="s">
        <v>543</v>
      </c>
      <c r="G187" t="str">
        <f t="shared" si="2"/>
        <v>GUNNELWX</v>
      </c>
      <c r="H187" t="s">
        <v>381</v>
      </c>
      <c r="I187">
        <v>1460</v>
      </c>
      <c r="J187" t="s">
        <v>253</v>
      </c>
      <c r="K187" t="s">
        <v>544</v>
      </c>
      <c r="L187" t="s">
        <v>545</v>
      </c>
      <c r="M187" t="s">
        <v>458</v>
      </c>
      <c r="N187" t="s">
        <v>459</v>
      </c>
      <c r="R187" t="s">
        <v>36</v>
      </c>
      <c r="S187" t="s">
        <v>37</v>
      </c>
      <c r="T187" t="s">
        <v>38</v>
      </c>
      <c r="W187" t="s">
        <v>460</v>
      </c>
      <c r="X187" t="s">
        <v>401</v>
      </c>
      <c r="Y187" t="s">
        <v>358</v>
      </c>
    </row>
    <row r="188" spans="1:26" x14ac:dyDescent="0.2">
      <c r="A188">
        <v>58.745694</v>
      </c>
      <c r="B188">
        <v>-123.977778</v>
      </c>
      <c r="C188" t="s">
        <v>329</v>
      </c>
      <c r="D188" t="s">
        <v>546</v>
      </c>
      <c r="E188">
        <v>8</v>
      </c>
      <c r="F188" t="s">
        <v>547</v>
      </c>
      <c r="G188" t="str">
        <f t="shared" si="2"/>
        <v>GUNNEL3</v>
      </c>
      <c r="H188" t="s">
        <v>381</v>
      </c>
      <c r="I188">
        <v>1486</v>
      </c>
      <c r="K188" t="s">
        <v>548</v>
      </c>
      <c r="L188" t="s">
        <v>549</v>
      </c>
      <c r="M188" t="s">
        <v>458</v>
      </c>
      <c r="N188" t="s">
        <v>459</v>
      </c>
      <c r="O188" t="s">
        <v>550</v>
      </c>
      <c r="R188" t="s">
        <v>36</v>
      </c>
      <c r="S188" t="s">
        <v>37</v>
      </c>
      <c r="T188" t="s">
        <v>38</v>
      </c>
      <c r="W188" t="s">
        <v>460</v>
      </c>
      <c r="X188" t="s">
        <v>401</v>
      </c>
      <c r="Y188" t="s">
        <v>358</v>
      </c>
      <c r="Z188" t="s">
        <v>448</v>
      </c>
    </row>
    <row r="189" spans="1:26" x14ac:dyDescent="0.2">
      <c r="A189">
        <v>54.77375</v>
      </c>
      <c r="B189">
        <v>-127.27216</v>
      </c>
      <c r="C189" t="s">
        <v>29</v>
      </c>
      <c r="D189" t="s">
        <v>551</v>
      </c>
      <c r="E189">
        <v>8</v>
      </c>
      <c r="F189" t="s">
        <v>552</v>
      </c>
      <c r="G189" t="str">
        <f t="shared" si="2"/>
        <v>HUDSON BAY MTN2</v>
      </c>
      <c r="H189" t="s">
        <v>381</v>
      </c>
      <c r="I189">
        <v>1670</v>
      </c>
      <c r="K189" t="s">
        <v>553</v>
      </c>
      <c r="L189" t="s">
        <v>554</v>
      </c>
      <c r="M189" t="s">
        <v>458</v>
      </c>
      <c r="N189" t="s">
        <v>459</v>
      </c>
      <c r="O189" t="s">
        <v>555</v>
      </c>
      <c r="R189" t="s">
        <v>36</v>
      </c>
      <c r="S189" t="s">
        <v>37</v>
      </c>
      <c r="T189" t="s">
        <v>38</v>
      </c>
      <c r="W189" t="s">
        <v>460</v>
      </c>
      <c r="X189" t="s">
        <v>401</v>
      </c>
      <c r="Y189" t="s">
        <v>358</v>
      </c>
      <c r="Z189" t="s">
        <v>448</v>
      </c>
    </row>
    <row r="190" spans="1:26" x14ac:dyDescent="0.2">
      <c r="A190">
        <v>55.21275</v>
      </c>
      <c r="B190">
        <v>-120.771635</v>
      </c>
      <c r="C190" t="s">
        <v>46</v>
      </c>
      <c r="D190" t="s">
        <v>556</v>
      </c>
      <c r="E190">
        <v>8</v>
      </c>
      <c r="F190" t="s">
        <v>557</v>
      </c>
      <c r="G190" t="str">
        <f t="shared" si="2"/>
        <v>HOURGLASSWX</v>
      </c>
      <c r="H190" t="s">
        <v>381</v>
      </c>
      <c r="I190">
        <v>1131</v>
      </c>
      <c r="K190" t="s">
        <v>558</v>
      </c>
      <c r="L190" t="s">
        <v>559</v>
      </c>
      <c r="M190" t="s">
        <v>458</v>
      </c>
      <c r="N190" t="s">
        <v>459</v>
      </c>
      <c r="O190" t="s">
        <v>560</v>
      </c>
      <c r="R190" t="s">
        <v>36</v>
      </c>
      <c r="S190" t="s">
        <v>37</v>
      </c>
      <c r="T190" t="s">
        <v>38</v>
      </c>
      <c r="U190" t="s">
        <v>39</v>
      </c>
      <c r="W190" t="s">
        <v>460</v>
      </c>
      <c r="X190" t="s">
        <v>401</v>
      </c>
      <c r="Y190" t="s">
        <v>358</v>
      </c>
      <c r="Z190" t="s">
        <v>461</v>
      </c>
    </row>
    <row r="191" spans="1:26" x14ac:dyDescent="0.2">
      <c r="A191">
        <v>54.77684</v>
      </c>
      <c r="B191">
        <v>-127.29603</v>
      </c>
      <c r="C191" t="s">
        <v>29</v>
      </c>
      <c r="D191" t="s">
        <v>561</v>
      </c>
      <c r="E191">
        <v>8</v>
      </c>
      <c r="F191" t="s">
        <v>561</v>
      </c>
      <c r="G191" t="str">
        <f t="shared" si="2"/>
        <v>HUDSON BAY STN</v>
      </c>
      <c r="H191" t="s">
        <v>381</v>
      </c>
      <c r="I191">
        <v>1669</v>
      </c>
      <c r="K191" t="s">
        <v>562</v>
      </c>
      <c r="L191" t="s">
        <v>563</v>
      </c>
      <c r="M191" t="s">
        <v>458</v>
      </c>
      <c r="N191" t="s">
        <v>459</v>
      </c>
      <c r="R191" t="s">
        <v>36</v>
      </c>
      <c r="S191" t="s">
        <v>37</v>
      </c>
      <c r="T191" t="s">
        <v>38</v>
      </c>
      <c r="W191" t="s">
        <v>40</v>
      </c>
      <c r="X191" t="s">
        <v>401</v>
      </c>
      <c r="Y191" t="s">
        <v>358</v>
      </c>
    </row>
    <row r="192" spans="1:26" x14ac:dyDescent="0.2">
      <c r="A192">
        <v>53.720289999999999</v>
      </c>
      <c r="B192">
        <v>-127.25169</v>
      </c>
      <c r="C192" t="s">
        <v>29</v>
      </c>
      <c r="D192" t="s">
        <v>564</v>
      </c>
      <c r="E192">
        <v>5</v>
      </c>
      <c r="F192" t="s">
        <v>565</v>
      </c>
      <c r="G192" t="str">
        <f t="shared" si="2"/>
        <v>IBB1WX</v>
      </c>
      <c r="H192" t="s">
        <v>381</v>
      </c>
      <c r="I192">
        <v>1146</v>
      </c>
      <c r="K192" t="s">
        <v>566</v>
      </c>
      <c r="L192" t="s">
        <v>567</v>
      </c>
      <c r="M192" t="s">
        <v>458</v>
      </c>
      <c r="N192" t="s">
        <v>459</v>
      </c>
      <c r="R192" t="s">
        <v>36</v>
      </c>
      <c r="S192" t="s">
        <v>37</v>
      </c>
      <c r="T192" t="s">
        <v>38</v>
      </c>
      <c r="U192" t="s">
        <v>39</v>
      </c>
      <c r="W192" t="s">
        <v>460</v>
      </c>
      <c r="Y192" t="s">
        <v>358</v>
      </c>
      <c r="Z192" t="s">
        <v>474</v>
      </c>
    </row>
    <row r="193" spans="1:26" x14ac:dyDescent="0.2">
      <c r="A193">
        <v>54.81127</v>
      </c>
      <c r="B193">
        <v>-126.92067</v>
      </c>
      <c r="C193" t="s">
        <v>29</v>
      </c>
      <c r="D193" t="s">
        <v>568</v>
      </c>
      <c r="E193">
        <v>3</v>
      </c>
      <c r="F193" t="s">
        <v>569</v>
      </c>
      <c r="G193" t="str">
        <f t="shared" si="2"/>
        <v>IBB2WX</v>
      </c>
      <c r="H193" t="s">
        <v>381</v>
      </c>
      <c r="I193">
        <v>967</v>
      </c>
      <c r="K193" t="s">
        <v>570</v>
      </c>
      <c r="L193" t="s">
        <v>571</v>
      </c>
      <c r="M193" t="s">
        <v>458</v>
      </c>
      <c r="N193" t="s">
        <v>459</v>
      </c>
      <c r="R193" t="s">
        <v>36</v>
      </c>
      <c r="S193" t="s">
        <v>37</v>
      </c>
      <c r="T193" t="s">
        <v>38</v>
      </c>
      <c r="U193" t="s">
        <v>39</v>
      </c>
      <c r="W193" t="s">
        <v>460</v>
      </c>
      <c r="Y193" t="s">
        <v>358</v>
      </c>
      <c r="Z193" t="s">
        <v>474</v>
      </c>
    </row>
    <row r="194" spans="1:26" x14ac:dyDescent="0.2">
      <c r="A194">
        <v>54.71172</v>
      </c>
      <c r="B194">
        <v>-127.30577</v>
      </c>
      <c r="C194" t="s">
        <v>29</v>
      </c>
      <c r="D194" t="s">
        <v>572</v>
      </c>
      <c r="E194">
        <v>3</v>
      </c>
      <c r="F194" t="s">
        <v>573</v>
      </c>
      <c r="G194" t="str">
        <f t="shared" ref="G194:G257" si="3">UPPER(F194)</f>
        <v>IBB3WX</v>
      </c>
      <c r="H194" t="s">
        <v>381</v>
      </c>
      <c r="I194">
        <v>960</v>
      </c>
      <c r="K194" t="s">
        <v>574</v>
      </c>
      <c r="L194" t="s">
        <v>575</v>
      </c>
      <c r="M194" t="s">
        <v>458</v>
      </c>
      <c r="N194" t="s">
        <v>459</v>
      </c>
      <c r="R194" t="s">
        <v>36</v>
      </c>
      <c r="S194" t="s">
        <v>37</v>
      </c>
      <c r="T194" t="s">
        <v>38</v>
      </c>
      <c r="U194" t="s">
        <v>39</v>
      </c>
      <c r="W194" t="s">
        <v>460</v>
      </c>
      <c r="Y194" t="s">
        <v>358</v>
      </c>
      <c r="Z194" t="s">
        <v>474</v>
      </c>
    </row>
    <row r="195" spans="1:26" x14ac:dyDescent="0.2">
      <c r="A195">
        <v>58.900858999999997</v>
      </c>
      <c r="B195">
        <v>-133.14041599999999</v>
      </c>
      <c r="C195" t="s">
        <v>449</v>
      </c>
      <c r="D195" t="s">
        <v>576</v>
      </c>
      <c r="E195">
        <v>1</v>
      </c>
      <c r="F195" t="s">
        <v>576</v>
      </c>
      <c r="G195" t="str">
        <f t="shared" si="3"/>
        <v>INKLIN</v>
      </c>
      <c r="H195" t="s">
        <v>381</v>
      </c>
      <c r="I195">
        <v>101</v>
      </c>
      <c r="K195" t="s">
        <v>577</v>
      </c>
      <c r="L195" t="s">
        <v>578</v>
      </c>
      <c r="M195" t="s">
        <v>458</v>
      </c>
      <c r="N195" t="s">
        <v>459</v>
      </c>
      <c r="R195" t="s">
        <v>36</v>
      </c>
      <c r="S195" t="s">
        <v>37</v>
      </c>
      <c r="T195" t="s">
        <v>38</v>
      </c>
      <c r="W195" t="s">
        <v>460</v>
      </c>
      <c r="X195" t="s">
        <v>257</v>
      </c>
      <c r="Y195" t="s">
        <v>358</v>
      </c>
    </row>
    <row r="196" spans="1:26" x14ac:dyDescent="0.2">
      <c r="A196">
        <v>50.840600000000002</v>
      </c>
      <c r="B196">
        <v>-120.42310000000001</v>
      </c>
      <c r="C196" t="s">
        <v>86</v>
      </c>
      <c r="D196" t="s">
        <v>579</v>
      </c>
      <c r="E196">
        <v>3</v>
      </c>
      <c r="F196" t="s">
        <v>580</v>
      </c>
      <c r="G196" t="str">
        <f t="shared" si="3"/>
        <v>ISOBEL LAKE (IDFXH2)</v>
      </c>
      <c r="H196" t="s">
        <v>381</v>
      </c>
      <c r="I196">
        <v>1030</v>
      </c>
      <c r="K196" t="s">
        <v>540</v>
      </c>
      <c r="M196" t="s">
        <v>520</v>
      </c>
      <c r="N196" t="s">
        <v>521</v>
      </c>
      <c r="O196" t="s">
        <v>581</v>
      </c>
      <c r="R196" t="s">
        <v>36</v>
      </c>
      <c r="S196" t="s">
        <v>37</v>
      </c>
      <c r="T196" t="s">
        <v>38</v>
      </c>
      <c r="W196" t="s">
        <v>40</v>
      </c>
      <c r="X196" t="s">
        <v>401</v>
      </c>
      <c r="Y196" t="s">
        <v>358</v>
      </c>
    </row>
    <row r="197" spans="1:26" x14ac:dyDescent="0.2">
      <c r="A197">
        <v>55.112302999999997</v>
      </c>
      <c r="B197">
        <v>-122.818003</v>
      </c>
      <c r="C197" t="s">
        <v>272</v>
      </c>
      <c r="D197" t="s">
        <v>582</v>
      </c>
      <c r="E197">
        <v>1</v>
      </c>
      <c r="F197" t="s">
        <v>582</v>
      </c>
      <c r="G197" t="str">
        <f t="shared" si="3"/>
        <v>KENNEDYSIDINGCC</v>
      </c>
      <c r="H197" t="s">
        <v>381</v>
      </c>
      <c r="I197">
        <v>737</v>
      </c>
      <c r="K197" t="s">
        <v>583</v>
      </c>
      <c r="L197" t="s">
        <v>584</v>
      </c>
      <c r="M197" t="s">
        <v>458</v>
      </c>
      <c r="N197" t="s">
        <v>459</v>
      </c>
      <c r="R197" t="s">
        <v>36</v>
      </c>
      <c r="S197" t="s">
        <v>37</v>
      </c>
      <c r="T197" t="s">
        <v>38</v>
      </c>
      <c r="U197" t="s">
        <v>39</v>
      </c>
      <c r="W197" t="s">
        <v>460</v>
      </c>
      <c r="Y197" t="s">
        <v>358</v>
      </c>
      <c r="Z197" t="s">
        <v>461</v>
      </c>
    </row>
    <row r="198" spans="1:26" x14ac:dyDescent="0.2">
      <c r="A198">
        <v>55.111058999999997</v>
      </c>
      <c r="B198">
        <v>-122.841542</v>
      </c>
      <c r="C198" t="s">
        <v>272</v>
      </c>
      <c r="D198" t="s">
        <v>585</v>
      </c>
      <c r="E198">
        <v>1</v>
      </c>
      <c r="F198" t="s">
        <v>585</v>
      </c>
      <c r="G198" t="str">
        <f t="shared" si="3"/>
        <v>KENNEDYSIDINGFOR</v>
      </c>
      <c r="H198" t="s">
        <v>381</v>
      </c>
      <c r="I198">
        <v>745</v>
      </c>
      <c r="K198" t="s">
        <v>586</v>
      </c>
      <c r="L198" t="s">
        <v>587</v>
      </c>
      <c r="M198" t="s">
        <v>458</v>
      </c>
      <c r="N198" t="s">
        <v>459</v>
      </c>
      <c r="R198" t="s">
        <v>36</v>
      </c>
      <c r="S198" t="s">
        <v>37</v>
      </c>
      <c r="T198" t="s">
        <v>38</v>
      </c>
      <c r="U198" t="s">
        <v>39</v>
      </c>
      <c r="W198" t="s">
        <v>460</v>
      </c>
      <c r="Y198" t="s">
        <v>358</v>
      </c>
      <c r="Z198" t="s">
        <v>461</v>
      </c>
    </row>
    <row r="199" spans="1:26" x14ac:dyDescent="0.2">
      <c r="A199">
        <v>50.786799999999999</v>
      </c>
      <c r="B199">
        <v>-120.4483</v>
      </c>
      <c r="C199" t="s">
        <v>86</v>
      </c>
      <c r="D199" t="s">
        <v>588</v>
      </c>
      <c r="E199">
        <v>2</v>
      </c>
      <c r="F199" t="s">
        <v>589</v>
      </c>
      <c r="G199" t="str">
        <f t="shared" si="3"/>
        <v>LDB - LOWERUPPER GRASSLAND</v>
      </c>
      <c r="H199" t="s">
        <v>381</v>
      </c>
      <c r="I199">
        <v>919</v>
      </c>
      <c r="K199" t="s">
        <v>590</v>
      </c>
      <c r="L199" t="s">
        <v>591</v>
      </c>
      <c r="M199" t="s">
        <v>520</v>
      </c>
      <c r="N199" t="s">
        <v>521</v>
      </c>
      <c r="R199" t="s">
        <v>36</v>
      </c>
      <c r="S199" t="s">
        <v>37</v>
      </c>
      <c r="T199" t="s">
        <v>38</v>
      </c>
      <c r="W199" t="s">
        <v>40</v>
      </c>
      <c r="X199" t="s">
        <v>401</v>
      </c>
      <c r="Y199" t="s">
        <v>358</v>
      </c>
    </row>
    <row r="200" spans="1:26" x14ac:dyDescent="0.2">
      <c r="A200">
        <v>50.761299999999999</v>
      </c>
      <c r="B200">
        <v>-120.435</v>
      </c>
      <c r="C200" t="s">
        <v>86</v>
      </c>
      <c r="D200" t="s">
        <v>592</v>
      </c>
      <c r="E200">
        <v>2</v>
      </c>
      <c r="F200" t="s">
        <v>593</v>
      </c>
      <c r="G200" t="str">
        <f t="shared" si="3"/>
        <v>LDB - UPPERMIDDLE GRASSLAND</v>
      </c>
      <c r="H200" t="s">
        <v>381</v>
      </c>
      <c r="I200">
        <v>767</v>
      </c>
      <c r="K200" t="s">
        <v>590</v>
      </c>
      <c r="L200" t="s">
        <v>591</v>
      </c>
      <c r="M200" t="s">
        <v>520</v>
      </c>
      <c r="N200" t="s">
        <v>521</v>
      </c>
      <c r="R200" t="s">
        <v>36</v>
      </c>
      <c r="S200" t="s">
        <v>37</v>
      </c>
      <c r="T200" t="s">
        <v>38</v>
      </c>
      <c r="W200" t="s">
        <v>40</v>
      </c>
      <c r="X200" t="s">
        <v>401</v>
      </c>
      <c r="Y200" t="s">
        <v>358</v>
      </c>
    </row>
    <row r="201" spans="1:26" x14ac:dyDescent="0.2">
      <c r="A201">
        <v>50.728499999999997</v>
      </c>
      <c r="B201">
        <v>-120.4383</v>
      </c>
      <c r="C201" t="s">
        <v>86</v>
      </c>
      <c r="D201" t="s">
        <v>594</v>
      </c>
      <c r="E201">
        <v>1</v>
      </c>
      <c r="F201" t="s">
        <v>595</v>
      </c>
      <c r="G201" t="str">
        <f t="shared" si="3"/>
        <v>LDB - LOWER GRASSLAND</v>
      </c>
      <c r="H201" t="s">
        <v>381</v>
      </c>
      <c r="I201">
        <v>572</v>
      </c>
      <c r="K201" t="s">
        <v>590</v>
      </c>
      <c r="L201" t="s">
        <v>591</v>
      </c>
      <c r="M201" t="s">
        <v>520</v>
      </c>
      <c r="N201" t="s">
        <v>521</v>
      </c>
      <c r="O201" t="s">
        <v>581</v>
      </c>
      <c r="R201" t="s">
        <v>36</v>
      </c>
      <c r="S201" t="s">
        <v>37</v>
      </c>
      <c r="T201" t="s">
        <v>38</v>
      </c>
      <c r="W201" t="s">
        <v>40</v>
      </c>
      <c r="X201" t="s">
        <v>401</v>
      </c>
      <c r="Y201" t="s">
        <v>358</v>
      </c>
    </row>
    <row r="202" spans="1:26" x14ac:dyDescent="0.2">
      <c r="A202">
        <v>50.753300000000003</v>
      </c>
      <c r="B202">
        <v>-120.4158</v>
      </c>
      <c r="C202" t="s">
        <v>86</v>
      </c>
      <c r="D202" t="s">
        <v>596</v>
      </c>
      <c r="E202">
        <v>2</v>
      </c>
      <c r="F202" t="s">
        <v>597</v>
      </c>
      <c r="G202" t="str">
        <f t="shared" si="3"/>
        <v>LDB - MIDDLE GRASSLAND</v>
      </c>
      <c r="H202" t="s">
        <v>381</v>
      </c>
      <c r="I202">
        <v>693</v>
      </c>
      <c r="K202" t="s">
        <v>590</v>
      </c>
      <c r="L202" t="s">
        <v>591</v>
      </c>
      <c r="M202" t="s">
        <v>520</v>
      </c>
      <c r="N202" t="s">
        <v>521</v>
      </c>
      <c r="R202" t="s">
        <v>36</v>
      </c>
      <c r="S202" t="s">
        <v>37</v>
      </c>
      <c r="T202" t="s">
        <v>38</v>
      </c>
      <c r="W202" t="s">
        <v>40</v>
      </c>
      <c r="X202" t="s">
        <v>401</v>
      </c>
      <c r="Y202" t="s">
        <v>358</v>
      </c>
    </row>
    <row r="203" spans="1:26" x14ac:dyDescent="0.2">
      <c r="A203">
        <v>50.728499999999997</v>
      </c>
      <c r="B203">
        <v>-120.4383</v>
      </c>
      <c r="C203" t="s">
        <v>86</v>
      </c>
      <c r="D203" t="s">
        <v>598</v>
      </c>
      <c r="E203">
        <v>2</v>
      </c>
      <c r="F203" t="s">
        <v>599</v>
      </c>
      <c r="G203" t="str">
        <f t="shared" si="3"/>
        <v>LDB - UPPER GRASSLAND</v>
      </c>
      <c r="H203" t="s">
        <v>381</v>
      </c>
      <c r="I203">
        <v>978</v>
      </c>
      <c r="K203" t="s">
        <v>590</v>
      </c>
      <c r="L203" t="s">
        <v>591</v>
      </c>
      <c r="M203" t="s">
        <v>520</v>
      </c>
      <c r="N203" t="s">
        <v>521</v>
      </c>
      <c r="O203" t="s">
        <v>581</v>
      </c>
      <c r="R203" t="s">
        <v>36</v>
      </c>
      <c r="S203" t="s">
        <v>37</v>
      </c>
      <c r="T203" t="s">
        <v>38</v>
      </c>
      <c r="W203" t="s">
        <v>40</v>
      </c>
      <c r="X203" t="s">
        <v>401</v>
      </c>
      <c r="Y203" t="s">
        <v>358</v>
      </c>
    </row>
    <row r="204" spans="1:26" x14ac:dyDescent="0.2">
      <c r="A204">
        <v>51.216527999999997</v>
      </c>
      <c r="B204">
        <v>-120.388667</v>
      </c>
      <c r="C204" t="s">
        <v>86</v>
      </c>
      <c r="D204" t="s">
        <v>600</v>
      </c>
      <c r="E204">
        <v>4</v>
      </c>
      <c r="F204" t="s">
        <v>601</v>
      </c>
      <c r="G204" t="str">
        <f t="shared" si="3"/>
        <v>MAYSON LAKE - M2</v>
      </c>
      <c r="H204" t="s">
        <v>381</v>
      </c>
      <c r="I204">
        <v>1277</v>
      </c>
      <c r="M204" t="s">
        <v>602</v>
      </c>
      <c r="N204" t="s">
        <v>445</v>
      </c>
    </row>
    <row r="205" spans="1:26" x14ac:dyDescent="0.2">
      <c r="A205">
        <v>55.137858000000001</v>
      </c>
      <c r="B205">
        <v>-122.977243</v>
      </c>
      <c r="C205" t="s">
        <v>272</v>
      </c>
      <c r="D205" t="s">
        <v>603</v>
      </c>
      <c r="E205">
        <v>1</v>
      </c>
      <c r="F205" t="s">
        <v>604</v>
      </c>
      <c r="G205" t="str">
        <f t="shared" si="3"/>
        <v>MACJXNWX</v>
      </c>
      <c r="H205" t="s">
        <v>381</v>
      </c>
      <c r="I205">
        <v>719</v>
      </c>
      <c r="K205" t="s">
        <v>605</v>
      </c>
      <c r="L205" t="s">
        <v>606</v>
      </c>
      <c r="M205" t="s">
        <v>458</v>
      </c>
      <c r="N205" t="s">
        <v>459</v>
      </c>
      <c r="R205" t="s">
        <v>36</v>
      </c>
      <c r="S205" t="s">
        <v>37</v>
      </c>
      <c r="T205" t="s">
        <v>38</v>
      </c>
      <c r="W205" t="s">
        <v>460</v>
      </c>
      <c r="X205" t="s">
        <v>401</v>
      </c>
      <c r="Y205" t="s">
        <v>358</v>
      </c>
      <c r="Z205" t="s">
        <v>474</v>
      </c>
    </row>
    <row r="206" spans="1:26" x14ac:dyDescent="0.2">
      <c r="A206">
        <v>53.33869</v>
      </c>
      <c r="B206">
        <v>-120.12108000000001</v>
      </c>
      <c r="C206" t="s">
        <v>61</v>
      </c>
      <c r="D206" t="s">
        <v>607</v>
      </c>
      <c r="E206">
        <v>7</v>
      </c>
      <c r="F206" t="s">
        <v>608</v>
      </c>
      <c r="G206" t="str">
        <f t="shared" si="3"/>
        <v>SUNBEAM</v>
      </c>
      <c r="H206" t="s">
        <v>381</v>
      </c>
      <c r="I206">
        <v>2000</v>
      </c>
      <c r="K206" t="s">
        <v>609</v>
      </c>
      <c r="L206" t="s">
        <v>610</v>
      </c>
      <c r="M206" t="s">
        <v>458</v>
      </c>
      <c r="N206" t="s">
        <v>459</v>
      </c>
      <c r="O206" t="s">
        <v>611</v>
      </c>
      <c r="R206" t="s">
        <v>36</v>
      </c>
      <c r="S206" t="s">
        <v>37</v>
      </c>
      <c r="T206" t="s">
        <v>38</v>
      </c>
      <c r="U206" t="s">
        <v>39</v>
      </c>
      <c r="W206" t="s">
        <v>460</v>
      </c>
      <c r="X206" t="s">
        <v>401</v>
      </c>
      <c r="Y206" t="s">
        <v>358</v>
      </c>
      <c r="Z206" t="s">
        <v>448</v>
      </c>
    </row>
    <row r="207" spans="1:26" x14ac:dyDescent="0.2">
      <c r="A207">
        <v>54.782170000000001</v>
      </c>
      <c r="B207">
        <v>-127.514341</v>
      </c>
      <c r="C207" t="s">
        <v>29</v>
      </c>
      <c r="D207" t="s">
        <v>612</v>
      </c>
      <c r="E207">
        <v>3</v>
      </c>
      <c r="F207" t="s">
        <v>613</v>
      </c>
      <c r="G207" t="str">
        <f t="shared" si="3"/>
        <v>DENNIS</v>
      </c>
      <c r="H207" t="s">
        <v>381</v>
      </c>
      <c r="I207">
        <v>980</v>
      </c>
      <c r="L207" t="s">
        <v>614</v>
      </c>
      <c r="M207" t="s">
        <v>458</v>
      </c>
      <c r="N207" t="s">
        <v>459</v>
      </c>
      <c r="R207" t="s">
        <v>36</v>
      </c>
      <c r="S207" t="s">
        <v>37</v>
      </c>
      <c r="T207" t="s">
        <v>38</v>
      </c>
      <c r="W207" t="s">
        <v>460</v>
      </c>
      <c r="X207" t="s">
        <v>401</v>
      </c>
      <c r="Y207" t="s">
        <v>358</v>
      </c>
      <c r="Z207" t="s">
        <v>461</v>
      </c>
    </row>
    <row r="208" spans="1:26" x14ac:dyDescent="0.2">
      <c r="A208">
        <v>57.550916999999998</v>
      </c>
      <c r="B208">
        <v>-122.7963</v>
      </c>
      <c r="C208" t="s">
        <v>329</v>
      </c>
      <c r="D208" t="s">
        <v>615</v>
      </c>
      <c r="E208">
        <v>8</v>
      </c>
      <c r="F208" t="s">
        <v>616</v>
      </c>
      <c r="G208" t="str">
        <f t="shared" si="3"/>
        <v>MIDDLEFORKWX</v>
      </c>
      <c r="H208" t="s">
        <v>381</v>
      </c>
      <c r="I208">
        <v>972</v>
      </c>
      <c r="K208" t="s">
        <v>617</v>
      </c>
      <c r="L208" t="s">
        <v>618</v>
      </c>
      <c r="M208" t="s">
        <v>458</v>
      </c>
      <c r="N208" t="s">
        <v>459</v>
      </c>
      <c r="R208" t="s">
        <v>36</v>
      </c>
      <c r="S208" t="s">
        <v>37</v>
      </c>
      <c r="T208" t="s">
        <v>38</v>
      </c>
      <c r="W208" t="s">
        <v>460</v>
      </c>
      <c r="X208" t="s">
        <v>401</v>
      </c>
      <c r="Y208" t="s">
        <v>358</v>
      </c>
      <c r="Z208" t="s">
        <v>461</v>
      </c>
    </row>
    <row r="209" spans="1:26" x14ac:dyDescent="0.2">
      <c r="A209">
        <v>59.543999999999997</v>
      </c>
      <c r="B209">
        <v>-133.61699999999999</v>
      </c>
      <c r="C209" t="s">
        <v>449</v>
      </c>
      <c r="D209" t="s">
        <v>619</v>
      </c>
      <c r="E209">
        <v>5</v>
      </c>
      <c r="F209" t="s">
        <v>620</v>
      </c>
      <c r="G209" t="str">
        <f t="shared" si="3"/>
        <v>MONARCH-1</v>
      </c>
      <c r="H209" t="s">
        <v>381</v>
      </c>
      <c r="I209">
        <v>1410</v>
      </c>
      <c r="K209" t="s">
        <v>621</v>
      </c>
      <c r="L209" t="s">
        <v>452</v>
      </c>
      <c r="M209" t="s">
        <v>453</v>
      </c>
      <c r="N209" t="s">
        <v>454</v>
      </c>
      <c r="R209" t="s">
        <v>36</v>
      </c>
      <c r="S209" t="s">
        <v>37</v>
      </c>
      <c r="T209" t="s">
        <v>38</v>
      </c>
      <c r="W209" t="s">
        <v>40</v>
      </c>
      <c r="X209" t="s">
        <v>401</v>
      </c>
      <c r="Y209" t="s">
        <v>358</v>
      </c>
    </row>
    <row r="210" spans="1:26" x14ac:dyDescent="0.2">
      <c r="A210">
        <v>51.5899</v>
      </c>
      <c r="B210">
        <v>-127.97499999999999</v>
      </c>
      <c r="C210" t="s">
        <v>204</v>
      </c>
      <c r="D210" t="s">
        <v>622</v>
      </c>
      <c r="E210">
        <v>4</v>
      </c>
      <c r="F210" t="s">
        <v>622</v>
      </c>
      <c r="G210" t="str">
        <f t="shared" si="3"/>
        <v>MOUNT BUXTON</v>
      </c>
      <c r="H210" t="s">
        <v>381</v>
      </c>
      <c r="I210">
        <v>738</v>
      </c>
      <c r="J210" t="s">
        <v>253</v>
      </c>
      <c r="K210" t="s">
        <v>623</v>
      </c>
      <c r="L210" t="s">
        <v>525</v>
      </c>
      <c r="M210" t="s">
        <v>382</v>
      </c>
      <c r="N210" t="s">
        <v>383</v>
      </c>
      <c r="O210" t="s">
        <v>384</v>
      </c>
      <c r="R210" t="s">
        <v>36</v>
      </c>
      <c r="S210" t="s">
        <v>37</v>
      </c>
      <c r="T210" t="s">
        <v>389</v>
      </c>
      <c r="U210" t="s">
        <v>39</v>
      </c>
      <c r="W210" t="s">
        <v>40</v>
      </c>
      <c r="Y210" t="s">
        <v>358</v>
      </c>
    </row>
    <row r="211" spans="1:26" x14ac:dyDescent="0.2">
      <c r="A211">
        <v>60.008000000000003</v>
      </c>
      <c r="B211">
        <v>-131.6</v>
      </c>
      <c r="C211" t="s">
        <v>449</v>
      </c>
      <c r="D211" t="s">
        <v>624</v>
      </c>
      <c r="E211">
        <v>7</v>
      </c>
      <c r="F211" t="s">
        <v>625</v>
      </c>
      <c r="G211" t="str">
        <f t="shared" si="3"/>
        <v>NORTHERN DANCER</v>
      </c>
      <c r="H211" t="s">
        <v>381</v>
      </c>
      <c r="I211">
        <v>1628</v>
      </c>
      <c r="K211" t="s">
        <v>626</v>
      </c>
      <c r="L211" t="s">
        <v>627</v>
      </c>
      <c r="M211" t="s">
        <v>453</v>
      </c>
      <c r="N211" t="s">
        <v>454</v>
      </c>
      <c r="R211" t="s">
        <v>36</v>
      </c>
      <c r="S211" t="s">
        <v>37</v>
      </c>
      <c r="T211" t="s">
        <v>38</v>
      </c>
      <c r="W211" t="s">
        <v>40</v>
      </c>
      <c r="X211" t="s">
        <v>401</v>
      </c>
      <c r="Y211" t="s">
        <v>358</v>
      </c>
    </row>
    <row r="212" spans="1:26" x14ac:dyDescent="0.2">
      <c r="A212">
        <v>59.002110999999999</v>
      </c>
      <c r="B212">
        <v>-125.509361</v>
      </c>
      <c r="C212" t="s">
        <v>449</v>
      </c>
      <c r="D212" t="s">
        <v>628</v>
      </c>
      <c r="E212">
        <v>7</v>
      </c>
      <c r="F212" t="s">
        <v>629</v>
      </c>
      <c r="G212" t="str">
        <f t="shared" si="3"/>
        <v>NONDAWX</v>
      </c>
      <c r="H212" t="s">
        <v>381</v>
      </c>
      <c r="I212">
        <v>1683</v>
      </c>
      <c r="J212" t="s">
        <v>253</v>
      </c>
      <c r="K212" t="s">
        <v>630</v>
      </c>
      <c r="L212" t="s">
        <v>631</v>
      </c>
      <c r="M212" t="s">
        <v>458</v>
      </c>
      <c r="N212" t="s">
        <v>459</v>
      </c>
      <c r="O212" t="s">
        <v>632</v>
      </c>
      <c r="R212" t="s">
        <v>36</v>
      </c>
      <c r="S212" t="s">
        <v>37</v>
      </c>
      <c r="T212" t="s">
        <v>38</v>
      </c>
      <c r="W212" t="s">
        <v>460</v>
      </c>
      <c r="X212" t="s">
        <v>401</v>
      </c>
      <c r="Y212" t="s">
        <v>358</v>
      </c>
      <c r="Z212" t="s">
        <v>633</v>
      </c>
    </row>
    <row r="213" spans="1:26" x14ac:dyDescent="0.2">
      <c r="A213">
        <v>49.651744000000001</v>
      </c>
      <c r="B213">
        <v>-119.39865500000001</v>
      </c>
      <c r="C213" t="s">
        <v>86</v>
      </c>
      <c r="D213" t="s">
        <v>634</v>
      </c>
      <c r="E213">
        <v>7</v>
      </c>
      <c r="F213" t="s">
        <v>635</v>
      </c>
      <c r="G213" t="str">
        <f t="shared" si="3"/>
        <v>UPPER PENTICTON CREEK - P1</v>
      </c>
      <c r="H213" t="s">
        <v>381</v>
      </c>
      <c r="I213">
        <v>1619</v>
      </c>
      <c r="J213" t="s">
        <v>253</v>
      </c>
      <c r="K213" t="s">
        <v>636</v>
      </c>
      <c r="L213" t="s">
        <v>637</v>
      </c>
      <c r="M213" t="s">
        <v>444</v>
      </c>
      <c r="N213" t="s">
        <v>445</v>
      </c>
      <c r="O213" t="s">
        <v>638</v>
      </c>
      <c r="R213" t="s">
        <v>36</v>
      </c>
      <c r="S213" t="s">
        <v>37</v>
      </c>
      <c r="T213" t="s">
        <v>389</v>
      </c>
      <c r="U213" t="s">
        <v>39</v>
      </c>
      <c r="W213" t="s">
        <v>639</v>
      </c>
      <c r="Y213" t="s">
        <v>358</v>
      </c>
      <c r="Z213" t="s">
        <v>461</v>
      </c>
    </row>
    <row r="214" spans="1:26" x14ac:dyDescent="0.2">
      <c r="A214">
        <v>49.658048999999998</v>
      </c>
      <c r="B214">
        <v>-119.403066</v>
      </c>
      <c r="C214" t="s">
        <v>86</v>
      </c>
      <c r="D214" t="s">
        <v>640</v>
      </c>
      <c r="E214">
        <v>7</v>
      </c>
      <c r="F214" t="s">
        <v>641</v>
      </c>
      <c r="G214" t="str">
        <f t="shared" si="3"/>
        <v>UPPER PENTICTON CREEK - P5</v>
      </c>
      <c r="H214" t="s">
        <v>381</v>
      </c>
      <c r="I214">
        <v>1673</v>
      </c>
      <c r="K214" t="s">
        <v>642</v>
      </c>
      <c r="L214" t="s">
        <v>643</v>
      </c>
      <c r="M214" t="s">
        <v>444</v>
      </c>
      <c r="N214" t="s">
        <v>445</v>
      </c>
      <c r="O214" t="s">
        <v>638</v>
      </c>
      <c r="R214" t="s">
        <v>36</v>
      </c>
      <c r="S214" t="s">
        <v>37</v>
      </c>
      <c r="T214" t="s">
        <v>38</v>
      </c>
      <c r="U214" t="s">
        <v>39</v>
      </c>
      <c r="W214" t="s">
        <v>40</v>
      </c>
      <c r="Y214" t="s">
        <v>358</v>
      </c>
      <c r="Z214" t="s">
        <v>461</v>
      </c>
    </row>
    <row r="215" spans="1:26" x14ac:dyDescent="0.2">
      <c r="A215">
        <v>49.673323000000003</v>
      </c>
      <c r="B215">
        <v>-119.378929</v>
      </c>
      <c r="C215" t="s">
        <v>86</v>
      </c>
      <c r="D215" t="s">
        <v>644</v>
      </c>
      <c r="E215">
        <v>8</v>
      </c>
      <c r="F215" t="s">
        <v>645</v>
      </c>
      <c r="G215" t="str">
        <f t="shared" si="3"/>
        <v>UPPER PENTICTON CREEK - PB</v>
      </c>
      <c r="H215" t="s">
        <v>381</v>
      </c>
      <c r="I215">
        <v>1885</v>
      </c>
      <c r="J215" t="s">
        <v>253</v>
      </c>
      <c r="K215" t="s">
        <v>646</v>
      </c>
      <c r="L215" t="s">
        <v>647</v>
      </c>
      <c r="M215" t="s">
        <v>444</v>
      </c>
      <c r="N215" t="s">
        <v>445</v>
      </c>
      <c r="O215" t="s">
        <v>638</v>
      </c>
      <c r="R215" t="s">
        <v>36</v>
      </c>
      <c r="S215" t="s">
        <v>37</v>
      </c>
      <c r="T215" t="s">
        <v>38</v>
      </c>
      <c r="U215" t="s">
        <v>39</v>
      </c>
      <c r="W215" t="s">
        <v>648</v>
      </c>
      <c r="Y215" t="s">
        <v>358</v>
      </c>
      <c r="Z215" t="s">
        <v>461</v>
      </c>
    </row>
    <row r="216" spans="1:26" x14ac:dyDescent="0.2">
      <c r="A216">
        <v>49.674374999999998</v>
      </c>
      <c r="B216">
        <v>-119.377021</v>
      </c>
      <c r="C216" t="s">
        <v>86</v>
      </c>
      <c r="D216" t="s">
        <v>649</v>
      </c>
      <c r="E216">
        <v>8</v>
      </c>
      <c r="F216" t="s">
        <v>650</v>
      </c>
      <c r="G216" t="str">
        <f t="shared" si="3"/>
        <v>UPPER PENTICTON CREEK - PC</v>
      </c>
      <c r="H216" t="s">
        <v>381</v>
      </c>
      <c r="I216">
        <v>1917</v>
      </c>
      <c r="K216" t="s">
        <v>651</v>
      </c>
      <c r="L216" t="s">
        <v>652</v>
      </c>
      <c r="M216" t="s">
        <v>444</v>
      </c>
      <c r="N216" t="s">
        <v>445</v>
      </c>
      <c r="O216" t="s">
        <v>638</v>
      </c>
      <c r="R216" t="s">
        <v>36</v>
      </c>
      <c r="S216" t="s">
        <v>37</v>
      </c>
      <c r="T216" t="s">
        <v>38</v>
      </c>
      <c r="U216" t="s">
        <v>39</v>
      </c>
      <c r="W216" t="s">
        <v>40</v>
      </c>
      <c r="Y216" t="s">
        <v>358</v>
      </c>
      <c r="Z216" t="s">
        <v>461</v>
      </c>
    </row>
    <row r="217" spans="1:26" x14ac:dyDescent="0.2">
      <c r="A217">
        <v>51.812959999999997</v>
      </c>
      <c r="B217">
        <v>-125.03981</v>
      </c>
      <c r="C217" t="s">
        <v>86</v>
      </c>
      <c r="D217" t="s">
        <v>653</v>
      </c>
      <c r="E217">
        <v>8</v>
      </c>
      <c r="F217" t="s">
        <v>653</v>
      </c>
      <c r="G217" t="str">
        <f t="shared" si="3"/>
        <v>PERKINS PEAK STN</v>
      </c>
      <c r="H217" t="s">
        <v>381</v>
      </c>
      <c r="I217">
        <v>2092</v>
      </c>
      <c r="K217" t="s">
        <v>654</v>
      </c>
      <c r="L217" t="s">
        <v>655</v>
      </c>
      <c r="M217" t="s">
        <v>458</v>
      </c>
      <c r="N217" t="s">
        <v>459</v>
      </c>
      <c r="R217" t="s">
        <v>36</v>
      </c>
      <c r="S217" t="s">
        <v>37</v>
      </c>
      <c r="T217" t="s">
        <v>38</v>
      </c>
      <c r="W217" t="s">
        <v>460</v>
      </c>
      <c r="X217" t="s">
        <v>401</v>
      </c>
      <c r="Y217" t="s">
        <v>358</v>
      </c>
    </row>
    <row r="218" spans="1:26" x14ac:dyDescent="0.2">
      <c r="A218">
        <v>53.772182999999998</v>
      </c>
      <c r="B218">
        <v>-122.72072900000001</v>
      </c>
      <c r="C218" t="s">
        <v>272</v>
      </c>
      <c r="D218" t="s">
        <v>656</v>
      </c>
      <c r="E218">
        <v>1</v>
      </c>
      <c r="F218" t="s">
        <v>657</v>
      </c>
      <c r="G218" t="str">
        <f t="shared" si="3"/>
        <v>BULKLEYWX</v>
      </c>
      <c r="H218" t="s">
        <v>381</v>
      </c>
      <c r="I218">
        <v>594</v>
      </c>
      <c r="K218" t="s">
        <v>658</v>
      </c>
      <c r="L218" t="s">
        <v>659</v>
      </c>
      <c r="M218" t="s">
        <v>458</v>
      </c>
      <c r="N218" t="s">
        <v>459</v>
      </c>
      <c r="R218" t="s">
        <v>36</v>
      </c>
      <c r="S218" t="s">
        <v>37</v>
      </c>
      <c r="T218" t="s">
        <v>38</v>
      </c>
      <c r="W218" t="s">
        <v>460</v>
      </c>
      <c r="X218" t="s">
        <v>401</v>
      </c>
      <c r="Y218" t="s">
        <v>358</v>
      </c>
      <c r="Z218" t="s">
        <v>474</v>
      </c>
    </row>
    <row r="219" spans="1:26" x14ac:dyDescent="0.2">
      <c r="A219">
        <v>53.772576999999998</v>
      </c>
      <c r="B219">
        <v>-122.72463399999999</v>
      </c>
      <c r="C219" t="s">
        <v>272</v>
      </c>
      <c r="D219" t="s">
        <v>660</v>
      </c>
      <c r="E219">
        <v>1</v>
      </c>
      <c r="F219" t="s">
        <v>661</v>
      </c>
      <c r="G219" t="str">
        <f t="shared" si="3"/>
        <v>WILLOW-BOWRONWX</v>
      </c>
      <c r="H219" t="s">
        <v>381</v>
      </c>
      <c r="I219">
        <v>596</v>
      </c>
      <c r="K219" t="s">
        <v>662</v>
      </c>
      <c r="L219" t="s">
        <v>659</v>
      </c>
      <c r="M219" t="s">
        <v>458</v>
      </c>
      <c r="N219" t="s">
        <v>459</v>
      </c>
      <c r="R219" t="s">
        <v>36</v>
      </c>
      <c r="S219" t="s">
        <v>37</v>
      </c>
      <c r="T219" t="s">
        <v>38</v>
      </c>
      <c r="W219" t="s">
        <v>460</v>
      </c>
      <c r="X219" t="s">
        <v>401</v>
      </c>
      <c r="Y219" t="s">
        <v>358</v>
      </c>
    </row>
    <row r="220" spans="1:26" x14ac:dyDescent="0.2">
      <c r="A220">
        <v>53.753774999999997</v>
      </c>
      <c r="B220">
        <v>-122.718864</v>
      </c>
      <c r="C220" t="s">
        <v>272</v>
      </c>
      <c r="D220" t="s">
        <v>663</v>
      </c>
      <c r="E220">
        <v>1</v>
      </c>
      <c r="F220" t="s">
        <v>664</v>
      </c>
      <c r="G220" t="str">
        <f t="shared" si="3"/>
        <v>CPFWX</v>
      </c>
      <c r="H220" t="s">
        <v>381</v>
      </c>
      <c r="I220">
        <v>593</v>
      </c>
      <c r="K220" t="s">
        <v>665</v>
      </c>
      <c r="L220" t="s">
        <v>666</v>
      </c>
      <c r="M220" t="s">
        <v>458</v>
      </c>
      <c r="N220" t="s">
        <v>459</v>
      </c>
      <c r="R220" t="s">
        <v>36</v>
      </c>
      <c r="S220" t="s">
        <v>37</v>
      </c>
      <c r="T220" t="s">
        <v>38</v>
      </c>
      <c r="W220" t="s">
        <v>460</v>
      </c>
      <c r="X220" t="s">
        <v>401</v>
      </c>
      <c r="Y220" t="s">
        <v>358</v>
      </c>
    </row>
    <row r="221" spans="1:26" x14ac:dyDescent="0.2">
      <c r="A221">
        <v>53.772019999999998</v>
      </c>
      <c r="B221">
        <v>-122.7229</v>
      </c>
      <c r="C221" t="s">
        <v>272</v>
      </c>
      <c r="D221" t="s">
        <v>667</v>
      </c>
      <c r="E221">
        <v>1</v>
      </c>
      <c r="F221" t="s">
        <v>668</v>
      </c>
      <c r="G221" t="str">
        <f t="shared" si="3"/>
        <v>DAVISPGTIS</v>
      </c>
      <c r="H221" t="s">
        <v>381</v>
      </c>
      <c r="I221">
        <v>613</v>
      </c>
      <c r="K221" t="s">
        <v>669</v>
      </c>
      <c r="L221" t="s">
        <v>670</v>
      </c>
      <c r="M221" t="s">
        <v>458</v>
      </c>
      <c r="N221" t="s">
        <v>459</v>
      </c>
      <c r="O221" t="s">
        <v>671</v>
      </c>
      <c r="R221" t="s">
        <v>36</v>
      </c>
      <c r="S221" t="s">
        <v>37</v>
      </c>
      <c r="T221" t="s">
        <v>38</v>
      </c>
      <c r="W221" t="s">
        <v>460</v>
      </c>
      <c r="X221" t="s">
        <v>401</v>
      </c>
      <c r="Y221" t="s">
        <v>358</v>
      </c>
      <c r="Z221" t="s">
        <v>474</v>
      </c>
    </row>
    <row r="222" spans="1:26" x14ac:dyDescent="0.2">
      <c r="A222">
        <v>57.061630000000001</v>
      </c>
      <c r="B222">
        <v>-122.86490999999999</v>
      </c>
      <c r="C222" t="s">
        <v>449</v>
      </c>
      <c r="D222" t="s">
        <v>672</v>
      </c>
      <c r="E222">
        <v>8</v>
      </c>
      <c r="F222" t="s">
        <v>673</v>
      </c>
      <c r="G222" t="str">
        <f t="shared" si="3"/>
        <v>PINKWX</v>
      </c>
      <c r="H222" t="s">
        <v>381</v>
      </c>
      <c r="I222">
        <v>1756</v>
      </c>
      <c r="J222" t="s">
        <v>253</v>
      </c>
      <c r="K222" t="s">
        <v>674</v>
      </c>
      <c r="L222" t="s">
        <v>675</v>
      </c>
      <c r="M222" t="s">
        <v>458</v>
      </c>
      <c r="N222" t="s">
        <v>459</v>
      </c>
      <c r="O222" t="s">
        <v>676</v>
      </c>
      <c r="R222" t="s">
        <v>36</v>
      </c>
      <c r="S222" t="s">
        <v>37</v>
      </c>
      <c r="T222" t="s">
        <v>38</v>
      </c>
      <c r="W222" t="s">
        <v>460</v>
      </c>
      <c r="X222" t="s">
        <v>401</v>
      </c>
      <c r="Y222" t="s">
        <v>358</v>
      </c>
      <c r="Z222" t="s">
        <v>633</v>
      </c>
    </row>
    <row r="223" spans="1:26" x14ac:dyDescent="0.2">
      <c r="A223">
        <v>49.659806000000003</v>
      </c>
      <c r="B223">
        <v>-119.392864</v>
      </c>
      <c r="C223" t="s">
        <v>86</v>
      </c>
      <c r="D223" t="s">
        <v>677</v>
      </c>
      <c r="E223">
        <v>7</v>
      </c>
      <c r="F223" t="s">
        <v>678</v>
      </c>
      <c r="G223" t="str">
        <f t="shared" si="3"/>
        <v>UPPER PENTICTON CREEK - PJ</v>
      </c>
      <c r="H223" t="s">
        <v>381</v>
      </c>
      <c r="I223">
        <v>1677</v>
      </c>
      <c r="K223" t="s">
        <v>679</v>
      </c>
      <c r="L223" t="s">
        <v>680</v>
      </c>
      <c r="M223" t="s">
        <v>444</v>
      </c>
      <c r="N223" t="s">
        <v>445</v>
      </c>
      <c r="O223" t="s">
        <v>638</v>
      </c>
      <c r="R223" t="s">
        <v>36</v>
      </c>
      <c r="S223" t="s">
        <v>37</v>
      </c>
      <c r="T223" t="s">
        <v>38</v>
      </c>
      <c r="U223" t="s">
        <v>39</v>
      </c>
      <c r="W223" t="s">
        <v>648</v>
      </c>
      <c r="Y223" t="s">
        <v>358</v>
      </c>
      <c r="Z223" t="s">
        <v>461</v>
      </c>
    </row>
    <row r="224" spans="1:26" x14ac:dyDescent="0.2">
      <c r="A224">
        <v>49.3917</v>
      </c>
      <c r="B224">
        <v>-119.23359000000001</v>
      </c>
      <c r="C224" t="s">
        <v>86</v>
      </c>
      <c r="D224" t="s">
        <v>681</v>
      </c>
      <c r="E224">
        <v>7</v>
      </c>
      <c r="F224" t="s">
        <v>682</v>
      </c>
      <c r="G224" t="str">
        <f t="shared" si="3"/>
        <v>UPPER PENTICTON - PK</v>
      </c>
      <c r="H224" t="s">
        <v>381</v>
      </c>
      <c r="I224">
        <v>1628</v>
      </c>
      <c r="K224" t="s">
        <v>683</v>
      </c>
      <c r="L224" t="s">
        <v>684</v>
      </c>
      <c r="M224" t="s">
        <v>444</v>
      </c>
      <c r="N224" t="s">
        <v>445</v>
      </c>
      <c r="O224" t="s">
        <v>638</v>
      </c>
      <c r="R224" t="s">
        <v>36</v>
      </c>
      <c r="S224" t="s">
        <v>37</v>
      </c>
      <c r="T224" t="s">
        <v>38</v>
      </c>
      <c r="U224" t="s">
        <v>39</v>
      </c>
      <c r="W224" t="s">
        <v>648</v>
      </c>
      <c r="Y224" t="s">
        <v>358</v>
      </c>
      <c r="Z224" t="s">
        <v>461</v>
      </c>
    </row>
    <row r="225" spans="1:26" x14ac:dyDescent="0.2">
      <c r="A225">
        <v>49.670023</v>
      </c>
      <c r="B225">
        <v>-119.376919</v>
      </c>
      <c r="C225" t="s">
        <v>86</v>
      </c>
      <c r="D225" t="s">
        <v>685</v>
      </c>
      <c r="E225">
        <v>8</v>
      </c>
      <c r="F225" t="s">
        <v>686</v>
      </c>
      <c r="G225" t="str">
        <f t="shared" si="3"/>
        <v>UPPER PENTICTON CREEK - PL</v>
      </c>
      <c r="H225" t="s">
        <v>381</v>
      </c>
      <c r="I225">
        <v>1853</v>
      </c>
      <c r="K225" t="s">
        <v>646</v>
      </c>
      <c r="L225" t="s">
        <v>687</v>
      </c>
      <c r="M225" t="s">
        <v>444</v>
      </c>
      <c r="N225" t="s">
        <v>445</v>
      </c>
      <c r="O225" t="s">
        <v>688</v>
      </c>
      <c r="R225" t="s">
        <v>36</v>
      </c>
      <c r="S225" t="s">
        <v>37</v>
      </c>
      <c r="T225" t="s">
        <v>689</v>
      </c>
      <c r="U225" t="s">
        <v>39</v>
      </c>
      <c r="W225" t="s">
        <v>447</v>
      </c>
      <c r="Y225" t="s">
        <v>358</v>
      </c>
      <c r="Z225" t="s">
        <v>690</v>
      </c>
    </row>
    <row r="226" spans="1:26" x14ac:dyDescent="0.2">
      <c r="A226">
        <v>53.343400000000003</v>
      </c>
      <c r="B226">
        <v>-132.3655</v>
      </c>
      <c r="C226" t="s">
        <v>204</v>
      </c>
      <c r="D226" t="s">
        <v>691</v>
      </c>
      <c r="E226">
        <v>3</v>
      </c>
      <c r="F226" t="s">
        <v>692</v>
      </c>
      <c r="G226" t="str">
        <f t="shared" si="3"/>
        <v>RENNELL PASS</v>
      </c>
      <c r="H226" t="s">
        <v>381</v>
      </c>
      <c r="I226">
        <v>316</v>
      </c>
      <c r="J226" t="s">
        <v>253</v>
      </c>
      <c r="K226" t="s">
        <v>693</v>
      </c>
      <c r="L226" t="s">
        <v>694</v>
      </c>
      <c r="M226" t="s">
        <v>382</v>
      </c>
      <c r="N226" t="s">
        <v>383</v>
      </c>
      <c r="O226" t="s">
        <v>384</v>
      </c>
      <c r="R226" t="s">
        <v>36</v>
      </c>
      <c r="S226" t="s">
        <v>37</v>
      </c>
      <c r="T226" t="s">
        <v>695</v>
      </c>
      <c r="U226" t="s">
        <v>39</v>
      </c>
      <c r="W226" t="s">
        <v>40</v>
      </c>
      <c r="Y226" t="s">
        <v>358</v>
      </c>
    </row>
    <row r="227" spans="1:26" x14ac:dyDescent="0.2">
      <c r="A227">
        <v>50.325099999999999</v>
      </c>
      <c r="B227">
        <v>-126.41</v>
      </c>
      <c r="C227" t="s">
        <v>204</v>
      </c>
      <c r="D227" t="s">
        <v>696</v>
      </c>
      <c r="E227">
        <v>2</v>
      </c>
      <c r="F227" t="s">
        <v>697</v>
      </c>
      <c r="G227" t="str">
        <f t="shared" si="3"/>
        <v>RUSSELL AT MOUTH</v>
      </c>
      <c r="H227" t="s">
        <v>381</v>
      </c>
      <c r="I227">
        <v>280</v>
      </c>
      <c r="K227" t="s">
        <v>698</v>
      </c>
      <c r="L227" t="s">
        <v>699</v>
      </c>
      <c r="M227" t="s">
        <v>382</v>
      </c>
      <c r="N227" t="s">
        <v>383</v>
      </c>
      <c r="O227" t="s">
        <v>384</v>
      </c>
      <c r="P227" t="s">
        <v>700</v>
      </c>
      <c r="R227" t="s">
        <v>36</v>
      </c>
      <c r="S227" t="s">
        <v>37</v>
      </c>
      <c r="T227" t="s">
        <v>38</v>
      </c>
    </row>
    <row r="228" spans="1:26" x14ac:dyDescent="0.2">
      <c r="A228">
        <v>54.027523000000002</v>
      </c>
      <c r="B228">
        <v>-123.300774</v>
      </c>
      <c r="C228" t="s">
        <v>272</v>
      </c>
      <c r="D228" t="s">
        <v>701</v>
      </c>
      <c r="E228">
        <v>1</v>
      </c>
      <c r="F228" t="s">
        <v>702</v>
      </c>
      <c r="G228" t="str">
        <f t="shared" si="3"/>
        <v>SAXTONWX</v>
      </c>
      <c r="H228" t="s">
        <v>381</v>
      </c>
      <c r="I228">
        <v>718</v>
      </c>
      <c r="K228" t="s">
        <v>703</v>
      </c>
      <c r="L228" t="s">
        <v>704</v>
      </c>
      <c r="M228" t="s">
        <v>458</v>
      </c>
      <c r="N228" t="s">
        <v>459</v>
      </c>
      <c r="R228" t="s">
        <v>36</v>
      </c>
      <c r="S228" t="s">
        <v>37</v>
      </c>
      <c r="T228" t="s">
        <v>38</v>
      </c>
      <c r="W228" t="s">
        <v>460</v>
      </c>
      <c r="X228" t="s">
        <v>401</v>
      </c>
      <c r="Y228" t="s">
        <v>358</v>
      </c>
      <c r="Z228" t="s">
        <v>461</v>
      </c>
    </row>
    <row r="229" spans="1:26" x14ac:dyDescent="0.2">
      <c r="A229">
        <v>53.397852</v>
      </c>
      <c r="B229">
        <v>-124.513069</v>
      </c>
      <c r="C229" t="s">
        <v>29</v>
      </c>
      <c r="D229" t="s">
        <v>705</v>
      </c>
      <c r="E229">
        <v>4</v>
      </c>
      <c r="F229" t="s">
        <v>706</v>
      </c>
      <c r="G229" t="str">
        <f t="shared" si="3"/>
        <v>KLUSKUS</v>
      </c>
      <c r="H229" t="s">
        <v>381</v>
      </c>
      <c r="I229">
        <v>1110</v>
      </c>
      <c r="K229" t="s">
        <v>707</v>
      </c>
      <c r="L229" t="s">
        <v>708</v>
      </c>
      <c r="M229" t="s">
        <v>458</v>
      </c>
      <c r="N229" t="s">
        <v>459</v>
      </c>
      <c r="R229" t="s">
        <v>36</v>
      </c>
      <c r="S229" t="s">
        <v>37</v>
      </c>
      <c r="T229" t="s">
        <v>38</v>
      </c>
      <c r="W229" t="s">
        <v>460</v>
      </c>
      <c r="X229" t="s">
        <v>401</v>
      </c>
      <c r="Y229" t="s">
        <v>358</v>
      </c>
      <c r="Z229" t="s">
        <v>474</v>
      </c>
    </row>
    <row r="230" spans="1:26" x14ac:dyDescent="0.2">
      <c r="A230">
        <v>54.354999999999997</v>
      </c>
      <c r="B230">
        <v>122.05800000000001</v>
      </c>
      <c r="C230" t="s">
        <v>272</v>
      </c>
      <c r="D230" t="s">
        <v>709</v>
      </c>
      <c r="E230">
        <v>2</v>
      </c>
      <c r="F230" t="s">
        <v>710</v>
      </c>
      <c r="G230" t="str">
        <f t="shared" si="3"/>
        <v>SEEBACHWX</v>
      </c>
      <c r="H230" t="s">
        <v>381</v>
      </c>
      <c r="I230">
        <v>780</v>
      </c>
      <c r="K230" t="s">
        <v>711</v>
      </c>
      <c r="L230" t="s">
        <v>712</v>
      </c>
      <c r="M230" t="s">
        <v>458</v>
      </c>
      <c r="N230" t="s">
        <v>459</v>
      </c>
      <c r="R230" t="s">
        <v>36</v>
      </c>
      <c r="S230" t="s">
        <v>37</v>
      </c>
      <c r="T230" t="s">
        <v>38</v>
      </c>
      <c r="U230" t="s">
        <v>39</v>
      </c>
      <c r="W230" t="s">
        <v>460</v>
      </c>
      <c r="Y230" t="s">
        <v>358</v>
      </c>
      <c r="Z230" t="s">
        <v>474</v>
      </c>
    </row>
    <row r="231" spans="1:26" x14ac:dyDescent="0.2">
      <c r="A231">
        <v>54.773403000000002</v>
      </c>
      <c r="B231">
        <v>-127.139994</v>
      </c>
      <c r="C231" t="s">
        <v>29</v>
      </c>
      <c r="D231" t="s">
        <v>713</v>
      </c>
      <c r="E231">
        <v>1</v>
      </c>
      <c r="F231" t="s">
        <v>714</v>
      </c>
      <c r="G231" t="str">
        <f t="shared" si="3"/>
        <v>SMITHERCMPD</v>
      </c>
      <c r="H231" t="s">
        <v>381</v>
      </c>
      <c r="I231">
        <v>484</v>
      </c>
      <c r="K231" t="s">
        <v>715</v>
      </c>
      <c r="L231" t="s">
        <v>716</v>
      </c>
      <c r="M231" t="s">
        <v>458</v>
      </c>
      <c r="N231" t="s">
        <v>459</v>
      </c>
      <c r="R231" t="s">
        <v>36</v>
      </c>
      <c r="S231" t="s">
        <v>37</v>
      </c>
      <c r="T231" t="s">
        <v>38</v>
      </c>
      <c r="W231" t="s">
        <v>40</v>
      </c>
      <c r="X231" t="s">
        <v>401</v>
      </c>
      <c r="Y231" t="s">
        <v>358</v>
      </c>
    </row>
    <row r="232" spans="1:26" x14ac:dyDescent="0.2">
      <c r="A232">
        <v>57.686050000000002</v>
      </c>
      <c r="B232">
        <v>-130.48871</v>
      </c>
      <c r="C232" t="s">
        <v>449</v>
      </c>
      <c r="D232" t="s">
        <v>717</v>
      </c>
      <c r="E232">
        <v>7</v>
      </c>
      <c r="F232" t="s">
        <v>718</v>
      </c>
      <c r="G232" t="str">
        <f t="shared" si="3"/>
        <v>MT. EDZIZA</v>
      </c>
      <c r="H232" t="s">
        <v>381</v>
      </c>
      <c r="I232">
        <v>1661</v>
      </c>
      <c r="K232" t="s">
        <v>719</v>
      </c>
      <c r="L232" t="s">
        <v>720</v>
      </c>
      <c r="M232" t="s">
        <v>453</v>
      </c>
      <c r="N232" t="s">
        <v>454</v>
      </c>
      <c r="R232" t="s">
        <v>36</v>
      </c>
      <c r="S232" t="s">
        <v>37</v>
      </c>
      <c r="T232" t="s">
        <v>38</v>
      </c>
      <c r="W232" t="s">
        <v>40</v>
      </c>
      <c r="X232" t="s">
        <v>401</v>
      </c>
      <c r="Y232" t="s">
        <v>358</v>
      </c>
    </row>
    <row r="233" spans="1:26" x14ac:dyDescent="0.2">
      <c r="A233">
        <v>50.306645000000003</v>
      </c>
      <c r="B233">
        <v>-126.35681</v>
      </c>
      <c r="C233" t="s">
        <v>204</v>
      </c>
      <c r="D233" t="s">
        <v>721</v>
      </c>
      <c r="E233">
        <v>7</v>
      </c>
      <c r="F233" t="s">
        <v>722</v>
      </c>
      <c r="G233" t="str">
        <f t="shared" si="3"/>
        <v>STEPHANIE 1</v>
      </c>
      <c r="H233" t="s">
        <v>381</v>
      </c>
      <c r="I233">
        <v>1516</v>
      </c>
      <c r="J233" t="s">
        <v>253</v>
      </c>
      <c r="K233" t="s">
        <v>723</v>
      </c>
      <c r="L233" t="s">
        <v>724</v>
      </c>
      <c r="M233" t="s">
        <v>382</v>
      </c>
      <c r="N233" t="s">
        <v>383</v>
      </c>
      <c r="O233" t="s">
        <v>384</v>
      </c>
      <c r="P233" t="s">
        <v>700</v>
      </c>
      <c r="R233" t="s">
        <v>36</v>
      </c>
      <c r="S233" t="s">
        <v>37</v>
      </c>
      <c r="T233" t="s">
        <v>38</v>
      </c>
      <c r="U233" t="s">
        <v>39</v>
      </c>
      <c r="W233" t="s">
        <v>40</v>
      </c>
      <c r="Y233" t="s">
        <v>358</v>
      </c>
    </row>
    <row r="234" spans="1:26" x14ac:dyDescent="0.2">
      <c r="A234">
        <v>50.312399999999997</v>
      </c>
      <c r="B234">
        <v>-126.3627</v>
      </c>
      <c r="C234" t="s">
        <v>204</v>
      </c>
      <c r="D234" t="s">
        <v>725</v>
      </c>
      <c r="E234">
        <v>6</v>
      </c>
      <c r="F234" t="s">
        <v>726</v>
      </c>
      <c r="G234" t="str">
        <f t="shared" si="3"/>
        <v>STEPHANIE 2</v>
      </c>
      <c r="H234" t="s">
        <v>381</v>
      </c>
      <c r="I234">
        <v>1164</v>
      </c>
      <c r="K234" t="s">
        <v>727</v>
      </c>
      <c r="L234" t="s">
        <v>728</v>
      </c>
      <c r="M234" t="s">
        <v>382</v>
      </c>
      <c r="N234" t="s">
        <v>383</v>
      </c>
      <c r="O234" t="s">
        <v>384</v>
      </c>
      <c r="P234" t="s">
        <v>700</v>
      </c>
      <c r="R234" t="s">
        <v>36</v>
      </c>
      <c r="S234" t="s">
        <v>37</v>
      </c>
      <c r="T234" t="s">
        <v>389</v>
      </c>
      <c r="U234" t="s">
        <v>39</v>
      </c>
      <c r="W234" t="s">
        <v>40</v>
      </c>
      <c r="Y234" t="s">
        <v>358</v>
      </c>
    </row>
    <row r="235" spans="1:26" x14ac:dyDescent="0.2">
      <c r="A235">
        <v>50.318100000000001</v>
      </c>
      <c r="B235">
        <v>-126.3631</v>
      </c>
      <c r="C235" t="s">
        <v>204</v>
      </c>
      <c r="D235" t="s">
        <v>729</v>
      </c>
      <c r="E235">
        <v>5</v>
      </c>
      <c r="F235" t="s">
        <v>730</v>
      </c>
      <c r="G235" t="str">
        <f t="shared" si="3"/>
        <v>STEPHANIE 3</v>
      </c>
      <c r="H235" t="s">
        <v>381</v>
      </c>
      <c r="I235">
        <v>1030</v>
      </c>
      <c r="K235" t="s">
        <v>731</v>
      </c>
      <c r="L235" t="s">
        <v>728</v>
      </c>
      <c r="M235" t="s">
        <v>382</v>
      </c>
      <c r="N235" t="s">
        <v>383</v>
      </c>
      <c r="O235" t="s">
        <v>384</v>
      </c>
      <c r="R235" t="s">
        <v>36</v>
      </c>
      <c r="S235" t="s">
        <v>37</v>
      </c>
      <c r="T235" t="s">
        <v>38</v>
      </c>
      <c r="U235" t="s">
        <v>39</v>
      </c>
      <c r="W235" t="s">
        <v>40</v>
      </c>
      <c r="Y235" t="s">
        <v>358</v>
      </c>
    </row>
    <row r="236" spans="1:26" x14ac:dyDescent="0.2">
      <c r="A236">
        <v>50.317100000000003</v>
      </c>
      <c r="B236">
        <v>-126.355</v>
      </c>
      <c r="C236" t="s">
        <v>204</v>
      </c>
      <c r="D236" t="s">
        <v>732</v>
      </c>
      <c r="E236">
        <v>5</v>
      </c>
      <c r="F236" t="s">
        <v>733</v>
      </c>
      <c r="G236" t="str">
        <f t="shared" si="3"/>
        <v>STEPHANIE 4</v>
      </c>
      <c r="H236" t="s">
        <v>381</v>
      </c>
      <c r="I236">
        <v>950</v>
      </c>
      <c r="K236" t="s">
        <v>734</v>
      </c>
      <c r="L236" t="s">
        <v>728</v>
      </c>
      <c r="M236" t="s">
        <v>382</v>
      </c>
      <c r="N236" t="s">
        <v>383</v>
      </c>
      <c r="O236" t="s">
        <v>384</v>
      </c>
      <c r="P236" t="s">
        <v>700</v>
      </c>
      <c r="R236" t="s">
        <v>36</v>
      </c>
      <c r="S236" t="s">
        <v>37</v>
      </c>
      <c r="T236" t="s">
        <v>38</v>
      </c>
      <c r="U236" t="s">
        <v>39</v>
      </c>
      <c r="W236" t="s">
        <v>40</v>
      </c>
      <c r="Y236" t="s">
        <v>358</v>
      </c>
    </row>
    <row r="237" spans="1:26" x14ac:dyDescent="0.2">
      <c r="A237">
        <v>50.318600000000004</v>
      </c>
      <c r="B237">
        <v>-126.35</v>
      </c>
      <c r="C237" t="s">
        <v>204</v>
      </c>
      <c r="D237" t="s">
        <v>735</v>
      </c>
      <c r="E237">
        <v>5</v>
      </c>
      <c r="F237" t="s">
        <v>736</v>
      </c>
      <c r="G237" t="str">
        <f t="shared" si="3"/>
        <v>STEPHANIE 6</v>
      </c>
      <c r="H237" t="s">
        <v>381</v>
      </c>
      <c r="I237">
        <v>820</v>
      </c>
      <c r="J237" t="s">
        <v>253</v>
      </c>
      <c r="K237" t="s">
        <v>737</v>
      </c>
      <c r="L237" t="s">
        <v>738</v>
      </c>
      <c r="M237" t="s">
        <v>382</v>
      </c>
      <c r="N237" t="s">
        <v>383</v>
      </c>
      <c r="O237" t="s">
        <v>384</v>
      </c>
      <c r="R237" t="s">
        <v>36</v>
      </c>
      <c r="S237" t="s">
        <v>37</v>
      </c>
      <c r="T237" t="s">
        <v>389</v>
      </c>
      <c r="U237" t="s">
        <v>39</v>
      </c>
      <c r="W237" t="s">
        <v>40</v>
      </c>
      <c r="Y237" t="s">
        <v>358</v>
      </c>
    </row>
    <row r="238" spans="1:26" x14ac:dyDescent="0.2">
      <c r="A238">
        <v>50.325699999999998</v>
      </c>
      <c r="B238">
        <v>-126.3574</v>
      </c>
      <c r="C238" t="s">
        <v>204</v>
      </c>
      <c r="D238" t="s">
        <v>739</v>
      </c>
      <c r="E238">
        <v>4</v>
      </c>
      <c r="F238" t="s">
        <v>740</v>
      </c>
      <c r="G238" t="str">
        <f t="shared" si="3"/>
        <v>STEPHANIE 7</v>
      </c>
      <c r="H238" t="s">
        <v>381</v>
      </c>
      <c r="I238">
        <v>718</v>
      </c>
      <c r="K238" t="s">
        <v>741</v>
      </c>
      <c r="L238" t="s">
        <v>742</v>
      </c>
      <c r="M238" t="s">
        <v>382</v>
      </c>
      <c r="N238" t="s">
        <v>383</v>
      </c>
      <c r="O238" t="s">
        <v>384</v>
      </c>
      <c r="P238" t="s">
        <v>700</v>
      </c>
      <c r="R238" t="s">
        <v>36</v>
      </c>
      <c r="S238" t="s">
        <v>37</v>
      </c>
      <c r="T238" t="s">
        <v>38</v>
      </c>
      <c r="U238" t="s">
        <v>39</v>
      </c>
      <c r="W238" t="s">
        <v>40</v>
      </c>
      <c r="Y238" t="s">
        <v>358</v>
      </c>
    </row>
    <row r="239" spans="1:26" x14ac:dyDescent="0.2">
      <c r="A239">
        <v>50.332900000000002</v>
      </c>
      <c r="B239">
        <v>-126.3652</v>
      </c>
      <c r="C239" t="s">
        <v>204</v>
      </c>
      <c r="D239" t="s">
        <v>743</v>
      </c>
      <c r="E239">
        <v>4</v>
      </c>
      <c r="F239" t="s">
        <v>744</v>
      </c>
      <c r="G239" t="str">
        <f t="shared" si="3"/>
        <v>STEPHANIE 8</v>
      </c>
      <c r="H239" t="s">
        <v>381</v>
      </c>
      <c r="I239">
        <v>593</v>
      </c>
      <c r="K239" t="s">
        <v>741</v>
      </c>
      <c r="L239" t="s">
        <v>745</v>
      </c>
      <c r="M239" t="s">
        <v>382</v>
      </c>
      <c r="N239" t="s">
        <v>383</v>
      </c>
      <c r="O239" t="s">
        <v>384</v>
      </c>
      <c r="P239" t="s">
        <v>700</v>
      </c>
      <c r="R239" t="s">
        <v>36</v>
      </c>
      <c r="S239" t="s">
        <v>37</v>
      </c>
      <c r="T239" t="s">
        <v>38</v>
      </c>
      <c r="U239" t="s">
        <v>39</v>
      </c>
      <c r="W239" t="s">
        <v>40</v>
      </c>
      <c r="Y239" t="s">
        <v>358</v>
      </c>
    </row>
    <row r="240" spans="1:26" x14ac:dyDescent="0.2">
      <c r="A240">
        <v>54.227040000000002</v>
      </c>
      <c r="B240">
        <v>-122.615111</v>
      </c>
      <c r="C240" t="s">
        <v>272</v>
      </c>
      <c r="D240" t="s">
        <v>746</v>
      </c>
      <c r="E240">
        <v>1</v>
      </c>
      <c r="F240" t="s">
        <v>747</v>
      </c>
      <c r="G240" t="str">
        <f t="shared" si="3"/>
        <v>SUMWXCC</v>
      </c>
      <c r="H240" t="s">
        <v>381</v>
      </c>
      <c r="I240">
        <v>690</v>
      </c>
      <c r="K240" t="s">
        <v>748</v>
      </c>
      <c r="L240" t="s">
        <v>584</v>
      </c>
      <c r="M240" t="s">
        <v>458</v>
      </c>
      <c r="N240" t="s">
        <v>459</v>
      </c>
      <c r="R240" t="s">
        <v>36</v>
      </c>
      <c r="S240" t="s">
        <v>37</v>
      </c>
      <c r="T240" t="s">
        <v>38</v>
      </c>
      <c r="U240" t="s">
        <v>39</v>
      </c>
      <c r="W240" t="s">
        <v>460</v>
      </c>
      <c r="Y240" t="s">
        <v>358</v>
      </c>
      <c r="Z240" t="s">
        <v>461</v>
      </c>
    </row>
    <row r="241" spans="1:26" x14ac:dyDescent="0.2">
      <c r="A241">
        <v>54.333114999999999</v>
      </c>
      <c r="B241">
        <v>-126.099445</v>
      </c>
      <c r="C241" t="s">
        <v>29</v>
      </c>
      <c r="D241" t="s">
        <v>749</v>
      </c>
      <c r="E241">
        <v>2</v>
      </c>
      <c r="F241" t="s">
        <v>750</v>
      </c>
      <c r="G241" t="str">
        <f t="shared" si="3"/>
        <v>THOMPSONWX</v>
      </c>
      <c r="H241" t="s">
        <v>381</v>
      </c>
      <c r="I241">
        <v>869</v>
      </c>
      <c r="K241" t="s">
        <v>751</v>
      </c>
      <c r="L241" t="s">
        <v>752</v>
      </c>
      <c r="M241" t="s">
        <v>458</v>
      </c>
      <c r="N241" t="s">
        <v>459</v>
      </c>
      <c r="R241" t="s">
        <v>36</v>
      </c>
      <c r="S241" t="s">
        <v>37</v>
      </c>
      <c r="T241" t="s">
        <v>38</v>
      </c>
      <c r="W241" t="s">
        <v>460</v>
      </c>
      <c r="X241" t="s">
        <v>401</v>
      </c>
      <c r="Y241" t="s">
        <v>358</v>
      </c>
      <c r="Z241" t="s">
        <v>474</v>
      </c>
    </row>
    <row r="242" spans="1:26" x14ac:dyDescent="0.2">
      <c r="A242">
        <v>50.344700000000003</v>
      </c>
      <c r="B242">
        <v>-126.3616</v>
      </c>
      <c r="C242" t="s">
        <v>204</v>
      </c>
      <c r="D242" t="s">
        <v>753</v>
      </c>
      <c r="E242">
        <v>3</v>
      </c>
      <c r="F242" t="s">
        <v>754</v>
      </c>
      <c r="G242" t="str">
        <f t="shared" si="3"/>
        <v>UPPER RUSSELL</v>
      </c>
      <c r="H242" t="s">
        <v>381</v>
      </c>
      <c r="I242">
        <v>493</v>
      </c>
      <c r="K242" t="s">
        <v>755</v>
      </c>
      <c r="L242" t="s">
        <v>738</v>
      </c>
      <c r="M242" t="s">
        <v>382</v>
      </c>
      <c r="N242" t="s">
        <v>383</v>
      </c>
      <c r="O242" t="s">
        <v>384</v>
      </c>
      <c r="R242" t="s">
        <v>36</v>
      </c>
      <c r="S242" t="s">
        <v>37</v>
      </c>
      <c r="T242" t="s">
        <v>389</v>
      </c>
      <c r="W242" t="s">
        <v>40</v>
      </c>
      <c r="Y242" t="s">
        <v>392</v>
      </c>
    </row>
    <row r="243" spans="1:26" x14ac:dyDescent="0.2">
      <c r="A243">
        <v>49.771599999999999</v>
      </c>
      <c r="B243">
        <v>-117.1949</v>
      </c>
      <c r="C243" t="s">
        <v>61</v>
      </c>
      <c r="D243" t="s">
        <v>756</v>
      </c>
      <c r="E243">
        <v>7</v>
      </c>
      <c r="F243" t="s">
        <v>757</v>
      </c>
      <c r="G243" t="str">
        <f t="shared" si="3"/>
        <v>WADF7 KOKANEE</v>
      </c>
      <c r="H243" t="s">
        <v>381</v>
      </c>
      <c r="I243">
        <v>1970</v>
      </c>
      <c r="J243" t="s">
        <v>253</v>
      </c>
      <c r="K243" t="s">
        <v>758</v>
      </c>
      <c r="L243" t="s">
        <v>759</v>
      </c>
      <c r="M243" t="s">
        <v>760</v>
      </c>
      <c r="N243" t="s">
        <v>761</v>
      </c>
      <c r="R243" t="s">
        <v>36</v>
      </c>
      <c r="S243" t="s">
        <v>37</v>
      </c>
      <c r="U243" t="s">
        <v>39</v>
      </c>
      <c r="W243" t="s">
        <v>762</v>
      </c>
      <c r="X243" t="s">
        <v>401</v>
      </c>
      <c r="Y243" t="s">
        <v>358</v>
      </c>
    </row>
    <row r="244" spans="1:26" x14ac:dyDescent="0.2">
      <c r="A244">
        <v>49.644500000000001</v>
      </c>
      <c r="B244">
        <v>-117.0626</v>
      </c>
      <c r="C244" t="s">
        <v>61</v>
      </c>
      <c r="D244" t="s">
        <v>763</v>
      </c>
      <c r="E244">
        <v>3</v>
      </c>
      <c r="F244" t="s">
        <v>764</v>
      </c>
      <c r="G244" t="str">
        <f t="shared" si="3"/>
        <v>WADF2 BURN</v>
      </c>
      <c r="H244" t="s">
        <v>381</v>
      </c>
      <c r="I244">
        <v>1270</v>
      </c>
      <c r="J244" t="s">
        <v>253</v>
      </c>
      <c r="K244" t="s">
        <v>765</v>
      </c>
      <c r="L244" t="s">
        <v>759</v>
      </c>
      <c r="M244" t="s">
        <v>760</v>
      </c>
      <c r="N244" t="s">
        <v>761</v>
      </c>
      <c r="R244" t="s">
        <v>36</v>
      </c>
      <c r="S244" t="s">
        <v>37</v>
      </c>
      <c r="T244" t="s">
        <v>38</v>
      </c>
      <c r="U244" t="s">
        <v>39</v>
      </c>
      <c r="W244" t="s">
        <v>762</v>
      </c>
      <c r="Y244" t="s">
        <v>358</v>
      </c>
      <c r="Z244" t="s">
        <v>498</v>
      </c>
    </row>
    <row r="245" spans="1:26" x14ac:dyDescent="0.2">
      <c r="A245">
        <v>49.6233</v>
      </c>
      <c r="B245">
        <v>-117.0436</v>
      </c>
      <c r="C245" t="s">
        <v>61</v>
      </c>
      <c r="D245" t="s">
        <v>766</v>
      </c>
      <c r="E245">
        <v>1</v>
      </c>
      <c r="F245" t="s">
        <v>767</v>
      </c>
      <c r="G245" t="str">
        <f t="shared" si="3"/>
        <v>WADF1 SEEDTREE</v>
      </c>
      <c r="H245" t="s">
        <v>381</v>
      </c>
      <c r="I245">
        <v>815</v>
      </c>
      <c r="J245" t="s">
        <v>253</v>
      </c>
      <c r="K245" t="s">
        <v>768</v>
      </c>
      <c r="L245" t="s">
        <v>759</v>
      </c>
      <c r="M245" t="s">
        <v>760</v>
      </c>
      <c r="N245" t="s">
        <v>761</v>
      </c>
      <c r="R245" t="s">
        <v>36</v>
      </c>
      <c r="S245" t="s">
        <v>37</v>
      </c>
      <c r="T245" t="s">
        <v>38</v>
      </c>
      <c r="W245" t="s">
        <v>762</v>
      </c>
      <c r="X245" t="s">
        <v>401</v>
      </c>
      <c r="Y245" t="s">
        <v>358</v>
      </c>
      <c r="Z245" t="s">
        <v>633</v>
      </c>
    </row>
    <row r="246" spans="1:26" x14ac:dyDescent="0.2">
      <c r="A246">
        <v>49.69</v>
      </c>
      <c r="B246">
        <v>-117.0865</v>
      </c>
      <c r="C246" t="s">
        <v>61</v>
      </c>
      <c r="D246" t="s">
        <v>769</v>
      </c>
      <c r="E246">
        <v>7</v>
      </c>
      <c r="F246" t="s">
        <v>770</v>
      </c>
      <c r="G246" t="str">
        <f t="shared" si="3"/>
        <v>WADF5 ALPINE</v>
      </c>
      <c r="H246" t="s">
        <v>381</v>
      </c>
      <c r="I246">
        <v>2085</v>
      </c>
      <c r="J246" t="s">
        <v>253</v>
      </c>
      <c r="K246" t="s">
        <v>771</v>
      </c>
      <c r="L246" t="s">
        <v>759</v>
      </c>
      <c r="M246" t="s">
        <v>760</v>
      </c>
      <c r="N246" t="s">
        <v>761</v>
      </c>
      <c r="R246" t="s">
        <v>36</v>
      </c>
      <c r="S246" t="s">
        <v>37</v>
      </c>
      <c r="T246" t="s">
        <v>695</v>
      </c>
      <c r="U246" t="s">
        <v>772</v>
      </c>
      <c r="W246" t="s">
        <v>762</v>
      </c>
      <c r="X246" t="s">
        <v>401</v>
      </c>
      <c r="Y246" t="s">
        <v>358</v>
      </c>
    </row>
    <row r="247" spans="1:26" x14ac:dyDescent="0.2">
      <c r="A247">
        <v>49.6693</v>
      </c>
      <c r="B247">
        <v>-117.0643</v>
      </c>
      <c r="C247" t="s">
        <v>61</v>
      </c>
      <c r="D247" t="s">
        <v>773</v>
      </c>
      <c r="E247">
        <v>5</v>
      </c>
      <c r="F247" t="s">
        <v>774</v>
      </c>
      <c r="G247" t="str">
        <f t="shared" si="3"/>
        <v>WADF4 CABIN</v>
      </c>
      <c r="H247" t="s">
        <v>381</v>
      </c>
      <c r="I247">
        <v>1715</v>
      </c>
      <c r="J247" t="s">
        <v>253</v>
      </c>
      <c r="K247" t="s">
        <v>775</v>
      </c>
      <c r="L247" t="s">
        <v>759</v>
      </c>
      <c r="M247" t="s">
        <v>760</v>
      </c>
      <c r="N247" t="s">
        <v>761</v>
      </c>
      <c r="R247" t="s">
        <v>36</v>
      </c>
      <c r="S247" t="s">
        <v>37</v>
      </c>
      <c r="T247" t="s">
        <v>38</v>
      </c>
      <c r="W247" t="s">
        <v>762</v>
      </c>
      <c r="Y247" t="s">
        <v>358</v>
      </c>
      <c r="Z247" t="s">
        <v>633</v>
      </c>
    </row>
    <row r="248" spans="1:26" x14ac:dyDescent="0.2">
      <c r="A248">
        <v>53.772719000000002</v>
      </c>
      <c r="B248">
        <v>-122.718656</v>
      </c>
      <c r="C248" t="s">
        <v>272</v>
      </c>
      <c r="D248" t="s">
        <v>776</v>
      </c>
      <c r="E248">
        <v>7</v>
      </c>
      <c r="F248" t="s">
        <v>777</v>
      </c>
      <c r="G248" t="str">
        <f t="shared" si="3"/>
        <v>SICAMOUSE CREEK - WV1</v>
      </c>
      <c r="H248" t="s">
        <v>381</v>
      </c>
      <c r="I248">
        <v>1530</v>
      </c>
      <c r="K248" t="s">
        <v>496</v>
      </c>
      <c r="L248" t="s">
        <v>778</v>
      </c>
      <c r="M248" t="s">
        <v>444</v>
      </c>
      <c r="N248" t="s">
        <v>445</v>
      </c>
      <c r="R248" t="s">
        <v>36</v>
      </c>
      <c r="S248" t="s">
        <v>37</v>
      </c>
      <c r="T248" t="s">
        <v>38</v>
      </c>
      <c r="U248" t="s">
        <v>39</v>
      </c>
      <c r="W248" t="s">
        <v>779</v>
      </c>
      <c r="Y248" t="s">
        <v>358</v>
      </c>
      <c r="Z248" t="s">
        <v>498</v>
      </c>
    </row>
    <row r="249" spans="1:26" x14ac:dyDescent="0.2">
      <c r="A249">
        <v>48.927570000000003</v>
      </c>
      <c r="B249">
        <v>-124.6469</v>
      </c>
      <c r="C249" t="s">
        <v>204</v>
      </c>
      <c r="D249">
        <v>11</v>
      </c>
      <c r="E249">
        <v>4</v>
      </c>
      <c r="F249" t="s">
        <v>780</v>
      </c>
      <c r="G249" t="str">
        <f t="shared" si="3"/>
        <v>SUMMIT</v>
      </c>
      <c r="H249" t="s">
        <v>781</v>
      </c>
      <c r="I249">
        <v>680</v>
      </c>
      <c r="L249">
        <v>31048</v>
      </c>
      <c r="M249" t="s">
        <v>782</v>
      </c>
      <c r="N249" t="s">
        <v>783</v>
      </c>
      <c r="R249" t="s">
        <v>36</v>
      </c>
      <c r="S249" t="s">
        <v>37</v>
      </c>
      <c r="T249" t="s">
        <v>38</v>
      </c>
      <c r="W249" t="s">
        <v>40</v>
      </c>
    </row>
    <row r="250" spans="1:26" x14ac:dyDescent="0.2">
      <c r="A250">
        <v>50.048630000000003</v>
      </c>
      <c r="B250">
        <v>-125.78867</v>
      </c>
      <c r="C250" t="s">
        <v>41</v>
      </c>
      <c r="D250">
        <v>19</v>
      </c>
      <c r="E250">
        <v>6</v>
      </c>
      <c r="F250" t="s">
        <v>784</v>
      </c>
      <c r="G250" t="str">
        <f t="shared" si="3"/>
        <v>MENZIES CAMP</v>
      </c>
      <c r="H250" t="s">
        <v>781</v>
      </c>
      <c r="I250">
        <v>438</v>
      </c>
      <c r="L250">
        <v>25569</v>
      </c>
      <c r="M250" t="s">
        <v>782</v>
      </c>
      <c r="N250" t="s">
        <v>783</v>
      </c>
      <c r="R250" t="s">
        <v>36</v>
      </c>
      <c r="S250" t="s">
        <v>37</v>
      </c>
      <c r="T250" t="s">
        <v>38</v>
      </c>
      <c r="W250" t="s">
        <v>40</v>
      </c>
    </row>
    <row r="251" spans="1:26" x14ac:dyDescent="0.2">
      <c r="A251">
        <v>50.213120000000004</v>
      </c>
      <c r="B251">
        <v>-126.60705</v>
      </c>
      <c r="C251" t="s">
        <v>204</v>
      </c>
      <c r="D251">
        <v>21</v>
      </c>
      <c r="E251">
        <v>2</v>
      </c>
      <c r="F251" t="s">
        <v>785</v>
      </c>
      <c r="G251" t="str">
        <f t="shared" si="3"/>
        <v>WOSS CAMP</v>
      </c>
      <c r="H251" t="s">
        <v>781</v>
      </c>
      <c r="I251">
        <v>156</v>
      </c>
      <c r="J251" t="s">
        <v>253</v>
      </c>
      <c r="K251" t="s">
        <v>786</v>
      </c>
      <c r="L251">
        <v>25569</v>
      </c>
      <c r="M251" t="s">
        <v>782</v>
      </c>
      <c r="N251" t="s">
        <v>783</v>
      </c>
      <c r="R251" t="s">
        <v>36</v>
      </c>
      <c r="S251" t="s">
        <v>37</v>
      </c>
      <c r="T251" t="s">
        <v>389</v>
      </c>
      <c r="U251" t="s">
        <v>39</v>
      </c>
      <c r="W251" t="s">
        <v>40</v>
      </c>
    </row>
    <row r="252" spans="1:26" x14ac:dyDescent="0.2">
      <c r="A252">
        <v>49.377479999999998</v>
      </c>
      <c r="B252">
        <v>-124.93326999999999</v>
      </c>
      <c r="C252" t="s">
        <v>41</v>
      </c>
      <c r="D252">
        <v>37</v>
      </c>
      <c r="E252">
        <v>3</v>
      </c>
      <c r="F252" t="s">
        <v>787</v>
      </c>
      <c r="G252" t="str">
        <f t="shared" si="3"/>
        <v>BEAVER CREEK</v>
      </c>
      <c r="H252" t="s">
        <v>781</v>
      </c>
      <c r="I252">
        <v>100</v>
      </c>
      <c r="J252" t="s">
        <v>253</v>
      </c>
      <c r="K252" t="s">
        <v>788</v>
      </c>
      <c r="L252">
        <v>31778</v>
      </c>
      <c r="M252" t="s">
        <v>782</v>
      </c>
      <c r="N252" t="s">
        <v>783</v>
      </c>
      <c r="R252" t="s">
        <v>36</v>
      </c>
      <c r="S252" t="s">
        <v>37</v>
      </c>
      <c r="T252" t="s">
        <v>689</v>
      </c>
      <c r="W252" t="s">
        <v>40</v>
      </c>
    </row>
    <row r="253" spans="1:26" x14ac:dyDescent="0.2">
      <c r="A253">
        <v>48.773949999999999</v>
      </c>
      <c r="B253">
        <v>-123.4735</v>
      </c>
      <c r="C253" t="s">
        <v>41</v>
      </c>
      <c r="D253">
        <v>45</v>
      </c>
      <c r="E253">
        <v>1</v>
      </c>
      <c r="F253" t="s">
        <v>789</v>
      </c>
      <c r="G253" t="str">
        <f t="shared" si="3"/>
        <v>SALTSPRING 2</v>
      </c>
      <c r="H253" t="s">
        <v>781</v>
      </c>
      <c r="I253">
        <v>15</v>
      </c>
      <c r="J253" t="s">
        <v>253</v>
      </c>
      <c r="K253" t="s">
        <v>790</v>
      </c>
      <c r="L253">
        <v>36892</v>
      </c>
      <c r="M253" t="s">
        <v>782</v>
      </c>
      <c r="N253" t="s">
        <v>783</v>
      </c>
      <c r="R253" t="s">
        <v>36</v>
      </c>
      <c r="S253" t="s">
        <v>37</v>
      </c>
      <c r="T253" t="s">
        <v>689</v>
      </c>
      <c r="U253" t="s">
        <v>39</v>
      </c>
      <c r="W253" t="s">
        <v>40</v>
      </c>
    </row>
    <row r="254" spans="1:26" x14ac:dyDescent="0.2">
      <c r="A254">
        <v>49.436819999999997</v>
      </c>
      <c r="B254">
        <v>-124.70223</v>
      </c>
      <c r="C254" t="s">
        <v>41</v>
      </c>
      <c r="D254">
        <v>56</v>
      </c>
      <c r="E254">
        <v>3</v>
      </c>
      <c r="F254" t="s">
        <v>791</v>
      </c>
      <c r="G254" t="str">
        <f t="shared" si="3"/>
        <v>BOWSER</v>
      </c>
      <c r="H254" t="s">
        <v>781</v>
      </c>
      <c r="I254">
        <v>112</v>
      </c>
      <c r="L254">
        <v>31048</v>
      </c>
      <c r="M254" t="s">
        <v>782</v>
      </c>
      <c r="N254" t="s">
        <v>783</v>
      </c>
      <c r="R254" t="s">
        <v>36</v>
      </c>
      <c r="S254" t="s">
        <v>37</v>
      </c>
      <c r="T254" t="s">
        <v>38</v>
      </c>
      <c r="W254" t="s">
        <v>40</v>
      </c>
    </row>
    <row r="255" spans="1:26" x14ac:dyDescent="0.2">
      <c r="A255">
        <v>49.047620000000002</v>
      </c>
      <c r="B255">
        <v>-123.87473</v>
      </c>
      <c r="C255" t="s">
        <v>41</v>
      </c>
      <c r="D255">
        <v>59</v>
      </c>
      <c r="E255">
        <v>1</v>
      </c>
      <c r="F255" t="s">
        <v>792</v>
      </c>
      <c r="G255" t="str">
        <f t="shared" si="3"/>
        <v>CEDAR</v>
      </c>
      <c r="H255" t="s">
        <v>781</v>
      </c>
      <c r="I255">
        <v>30</v>
      </c>
      <c r="J255" t="s">
        <v>253</v>
      </c>
      <c r="K255" t="s">
        <v>788</v>
      </c>
      <c r="L255">
        <v>32509</v>
      </c>
      <c r="M255" t="s">
        <v>782</v>
      </c>
      <c r="N255" t="s">
        <v>783</v>
      </c>
      <c r="R255" t="s">
        <v>36</v>
      </c>
      <c r="S255" t="s">
        <v>37</v>
      </c>
      <c r="T255" t="s">
        <v>38</v>
      </c>
      <c r="W255" t="s">
        <v>40</v>
      </c>
    </row>
    <row r="256" spans="1:26" x14ac:dyDescent="0.2">
      <c r="A256">
        <v>49.380600000000001</v>
      </c>
      <c r="B256">
        <v>-121.52597</v>
      </c>
      <c r="C256" t="s">
        <v>204</v>
      </c>
      <c r="D256">
        <v>67</v>
      </c>
      <c r="E256">
        <v>1</v>
      </c>
      <c r="F256" t="s">
        <v>793</v>
      </c>
      <c r="G256" t="str">
        <f t="shared" si="3"/>
        <v>HAIG CAMP</v>
      </c>
      <c r="H256" t="s">
        <v>781</v>
      </c>
      <c r="I256">
        <v>38</v>
      </c>
      <c r="J256" t="s">
        <v>253</v>
      </c>
      <c r="L256">
        <v>37257</v>
      </c>
      <c r="M256" t="s">
        <v>782</v>
      </c>
      <c r="N256" t="s">
        <v>783</v>
      </c>
      <c r="R256" t="s">
        <v>36</v>
      </c>
      <c r="S256" t="s">
        <v>37</v>
      </c>
      <c r="T256" t="s">
        <v>38</v>
      </c>
      <c r="W256" t="s">
        <v>40</v>
      </c>
    </row>
    <row r="257" spans="1:25" x14ac:dyDescent="0.2">
      <c r="A257">
        <v>49.264499999999998</v>
      </c>
      <c r="B257">
        <v>-122.57328</v>
      </c>
      <c r="C257" t="s">
        <v>41</v>
      </c>
      <c r="D257">
        <v>72</v>
      </c>
      <c r="E257">
        <v>4</v>
      </c>
      <c r="F257" t="s">
        <v>794</v>
      </c>
      <c r="G257" t="str">
        <f t="shared" si="3"/>
        <v>UBC RESEARCH</v>
      </c>
      <c r="H257" t="s">
        <v>781</v>
      </c>
      <c r="I257">
        <v>146</v>
      </c>
      <c r="J257" t="s">
        <v>253</v>
      </c>
      <c r="L257">
        <v>29587</v>
      </c>
      <c r="M257" t="s">
        <v>782</v>
      </c>
      <c r="N257" t="s">
        <v>783</v>
      </c>
      <c r="R257" t="s">
        <v>36</v>
      </c>
      <c r="S257" t="s">
        <v>37</v>
      </c>
      <c r="T257" t="s">
        <v>38</v>
      </c>
      <c r="W257" t="s">
        <v>40</v>
      </c>
    </row>
    <row r="258" spans="1:25" x14ac:dyDescent="0.2">
      <c r="A258">
        <v>50.567999999999998</v>
      </c>
      <c r="B258">
        <v>-124.07299999999999</v>
      </c>
      <c r="C258" t="s">
        <v>204</v>
      </c>
      <c r="D258">
        <v>75</v>
      </c>
      <c r="E258">
        <v>1</v>
      </c>
      <c r="F258" t="s">
        <v>795</v>
      </c>
      <c r="G258" t="str">
        <f t="shared" ref="G258:G321" si="4">UPPER(F258)</f>
        <v>TOBA CAMP</v>
      </c>
      <c r="H258" t="s">
        <v>781</v>
      </c>
      <c r="I258">
        <v>10</v>
      </c>
      <c r="L258">
        <v>35796</v>
      </c>
      <c r="M258" t="s">
        <v>782</v>
      </c>
      <c r="N258" t="s">
        <v>783</v>
      </c>
      <c r="R258" t="s">
        <v>36</v>
      </c>
      <c r="S258" t="s">
        <v>37</v>
      </c>
      <c r="T258" t="s">
        <v>38</v>
      </c>
      <c r="W258" t="s">
        <v>40</v>
      </c>
      <c r="Y258" t="s">
        <v>358</v>
      </c>
    </row>
    <row r="259" spans="1:25" x14ac:dyDescent="0.2">
      <c r="A259">
        <v>51.189079999999997</v>
      </c>
      <c r="B259">
        <v>-125.02807</v>
      </c>
      <c r="C259" t="s">
        <v>204</v>
      </c>
      <c r="D259">
        <v>82</v>
      </c>
      <c r="E259">
        <v>2</v>
      </c>
      <c r="F259" t="s">
        <v>796</v>
      </c>
      <c r="G259" t="str">
        <f t="shared" si="4"/>
        <v>SCAR CREEK</v>
      </c>
      <c r="H259" t="s">
        <v>781</v>
      </c>
      <c r="I259">
        <v>126</v>
      </c>
      <c r="L259">
        <v>29952</v>
      </c>
      <c r="M259" t="s">
        <v>782</v>
      </c>
      <c r="N259" t="s">
        <v>783</v>
      </c>
      <c r="R259" t="s">
        <v>36</v>
      </c>
      <c r="S259" t="s">
        <v>37</v>
      </c>
      <c r="T259" t="s">
        <v>38</v>
      </c>
      <c r="W259" t="s">
        <v>40</v>
      </c>
    </row>
    <row r="260" spans="1:25" x14ac:dyDescent="0.2">
      <c r="A260">
        <v>53.253227780000003</v>
      </c>
      <c r="B260">
        <v>-131.88437500000001</v>
      </c>
      <c r="C260" t="s">
        <v>204</v>
      </c>
      <c r="D260">
        <v>93</v>
      </c>
      <c r="E260">
        <v>1</v>
      </c>
      <c r="F260" t="s">
        <v>797</v>
      </c>
      <c r="G260" t="str">
        <f t="shared" si="4"/>
        <v>HONNA</v>
      </c>
      <c r="H260" t="s">
        <v>781</v>
      </c>
      <c r="I260">
        <v>17</v>
      </c>
      <c r="J260" t="s">
        <v>253</v>
      </c>
      <c r="L260">
        <v>31413</v>
      </c>
      <c r="M260" t="s">
        <v>782</v>
      </c>
      <c r="N260" t="s">
        <v>783</v>
      </c>
      <c r="R260" t="s">
        <v>36</v>
      </c>
      <c r="S260" t="s">
        <v>37</v>
      </c>
      <c r="T260" t="s">
        <v>38</v>
      </c>
      <c r="W260" t="s">
        <v>40</v>
      </c>
    </row>
    <row r="261" spans="1:25" x14ac:dyDescent="0.2">
      <c r="A261">
        <v>51.593119999999999</v>
      </c>
      <c r="B261">
        <v>-126.45077000000001</v>
      </c>
      <c r="C261" t="s">
        <v>204</v>
      </c>
      <c r="D261">
        <v>101</v>
      </c>
      <c r="E261">
        <v>3</v>
      </c>
      <c r="F261" t="s">
        <v>798</v>
      </c>
      <c r="G261" t="str">
        <f t="shared" si="4"/>
        <v>MACHMELL</v>
      </c>
      <c r="H261" t="s">
        <v>781</v>
      </c>
      <c r="I261">
        <v>332</v>
      </c>
      <c r="L261">
        <v>32874</v>
      </c>
      <c r="M261" t="s">
        <v>782</v>
      </c>
      <c r="N261" t="s">
        <v>783</v>
      </c>
      <c r="R261" t="s">
        <v>36</v>
      </c>
      <c r="S261" t="s">
        <v>37</v>
      </c>
      <c r="T261" t="s">
        <v>38</v>
      </c>
      <c r="W261" t="s">
        <v>40</v>
      </c>
    </row>
    <row r="262" spans="1:25" x14ac:dyDescent="0.2">
      <c r="A262">
        <v>54.916930000000001</v>
      </c>
      <c r="B262">
        <v>-128.85964999999999</v>
      </c>
      <c r="C262" t="s">
        <v>204</v>
      </c>
      <c r="D262">
        <v>105</v>
      </c>
      <c r="E262">
        <v>2</v>
      </c>
      <c r="F262" t="s">
        <v>799</v>
      </c>
      <c r="G262" t="str">
        <f t="shared" si="4"/>
        <v>ROSSWOOD</v>
      </c>
      <c r="H262" t="s">
        <v>781</v>
      </c>
      <c r="I262">
        <v>239</v>
      </c>
      <c r="L262">
        <v>32874</v>
      </c>
      <c r="M262" t="s">
        <v>782</v>
      </c>
      <c r="N262" t="s">
        <v>783</v>
      </c>
      <c r="R262" t="s">
        <v>36</v>
      </c>
      <c r="S262" t="s">
        <v>37</v>
      </c>
      <c r="T262" t="s">
        <v>38</v>
      </c>
      <c r="W262" t="s">
        <v>40</v>
      </c>
    </row>
    <row r="263" spans="1:25" x14ac:dyDescent="0.2">
      <c r="A263">
        <v>54.169400000000003</v>
      </c>
      <c r="B263">
        <v>-128.57579999999999</v>
      </c>
      <c r="C263" t="s">
        <v>204</v>
      </c>
      <c r="D263">
        <v>106</v>
      </c>
      <c r="E263">
        <v>1</v>
      </c>
      <c r="F263" t="s">
        <v>800</v>
      </c>
      <c r="G263" t="str">
        <f t="shared" si="4"/>
        <v>KITPARK</v>
      </c>
      <c r="H263" t="s">
        <v>781</v>
      </c>
      <c r="I263">
        <v>75</v>
      </c>
      <c r="J263" t="s">
        <v>253</v>
      </c>
      <c r="K263" t="s">
        <v>790</v>
      </c>
      <c r="L263">
        <v>34700</v>
      </c>
      <c r="M263" t="s">
        <v>782</v>
      </c>
      <c r="N263" t="s">
        <v>783</v>
      </c>
      <c r="R263" t="s">
        <v>36</v>
      </c>
      <c r="S263" t="s">
        <v>37</v>
      </c>
      <c r="T263" t="s">
        <v>389</v>
      </c>
      <c r="W263" t="s">
        <v>40</v>
      </c>
    </row>
    <row r="264" spans="1:25" x14ac:dyDescent="0.2">
      <c r="A264">
        <v>58.4</v>
      </c>
      <c r="B264">
        <v>-130</v>
      </c>
      <c r="C264" t="s">
        <v>449</v>
      </c>
      <c r="D264">
        <v>108</v>
      </c>
      <c r="E264">
        <v>1</v>
      </c>
      <c r="F264" t="s">
        <v>801</v>
      </c>
      <c r="G264" t="str">
        <f t="shared" si="4"/>
        <v>DEASE LAKE FS</v>
      </c>
      <c r="H264" t="s">
        <v>781</v>
      </c>
      <c r="I264">
        <v>800</v>
      </c>
      <c r="K264" t="s">
        <v>790</v>
      </c>
      <c r="L264">
        <v>35065</v>
      </c>
      <c r="M264" t="s">
        <v>782</v>
      </c>
      <c r="N264" t="s">
        <v>783</v>
      </c>
      <c r="R264" t="s">
        <v>36</v>
      </c>
      <c r="S264" t="s">
        <v>37</v>
      </c>
      <c r="T264" t="s">
        <v>689</v>
      </c>
      <c r="U264" t="s">
        <v>39</v>
      </c>
      <c r="W264" t="s">
        <v>40</v>
      </c>
    </row>
    <row r="265" spans="1:25" x14ac:dyDescent="0.2">
      <c r="A265">
        <v>57.91413</v>
      </c>
      <c r="B265">
        <v>-131.17115000000001</v>
      </c>
      <c r="C265" t="s">
        <v>449</v>
      </c>
      <c r="D265">
        <v>110</v>
      </c>
      <c r="E265">
        <v>1</v>
      </c>
      <c r="F265" t="s">
        <v>802</v>
      </c>
      <c r="G265" t="str">
        <f t="shared" si="4"/>
        <v>TELEGRAPH CREEK</v>
      </c>
      <c r="H265" t="s">
        <v>781</v>
      </c>
      <c r="I265">
        <v>382</v>
      </c>
      <c r="J265" t="s">
        <v>253</v>
      </c>
      <c r="K265" t="s">
        <v>790</v>
      </c>
      <c r="L265">
        <v>28491</v>
      </c>
      <c r="M265" t="s">
        <v>782</v>
      </c>
      <c r="N265" t="s">
        <v>783</v>
      </c>
      <c r="R265" t="s">
        <v>36</v>
      </c>
      <c r="S265" t="s">
        <v>37</v>
      </c>
      <c r="T265" t="s">
        <v>689</v>
      </c>
      <c r="U265" t="s">
        <v>39</v>
      </c>
      <c r="W265" t="s">
        <v>40</v>
      </c>
    </row>
    <row r="266" spans="1:25" x14ac:dyDescent="0.2">
      <c r="A266">
        <v>59.583329999999997</v>
      </c>
      <c r="B266">
        <v>-133.66667000000001</v>
      </c>
      <c r="C266" t="s">
        <v>449</v>
      </c>
      <c r="D266">
        <v>111</v>
      </c>
      <c r="E266">
        <v>1</v>
      </c>
      <c r="F266" t="s">
        <v>803</v>
      </c>
      <c r="G266" t="str">
        <f t="shared" si="4"/>
        <v>ATLIN</v>
      </c>
      <c r="H266" t="s">
        <v>781</v>
      </c>
      <c r="I266">
        <v>729</v>
      </c>
      <c r="J266" t="s">
        <v>253</v>
      </c>
      <c r="K266" t="s">
        <v>790</v>
      </c>
      <c r="L266">
        <v>28126</v>
      </c>
      <c r="M266" t="s">
        <v>782</v>
      </c>
      <c r="N266" t="s">
        <v>783</v>
      </c>
      <c r="R266" t="s">
        <v>36</v>
      </c>
      <c r="S266" t="s">
        <v>37</v>
      </c>
      <c r="T266" t="s">
        <v>689</v>
      </c>
      <c r="W266" t="s">
        <v>40</v>
      </c>
    </row>
    <row r="267" spans="1:25" x14ac:dyDescent="0.2">
      <c r="A267">
        <v>57.856670000000001</v>
      </c>
      <c r="B267">
        <v>-130.00833</v>
      </c>
      <c r="C267" t="s">
        <v>449</v>
      </c>
      <c r="D267">
        <v>112</v>
      </c>
      <c r="E267">
        <v>2</v>
      </c>
      <c r="F267" t="s">
        <v>804</v>
      </c>
      <c r="G267" t="str">
        <f t="shared" si="4"/>
        <v>ISKUT</v>
      </c>
      <c r="H267" t="s">
        <v>781</v>
      </c>
      <c r="I267">
        <v>890</v>
      </c>
      <c r="J267" t="s">
        <v>253</v>
      </c>
      <c r="K267" t="s">
        <v>790</v>
      </c>
      <c r="L267">
        <v>28856</v>
      </c>
      <c r="M267" t="s">
        <v>782</v>
      </c>
      <c r="N267" t="s">
        <v>783</v>
      </c>
      <c r="R267" t="s">
        <v>36</v>
      </c>
      <c r="S267" t="s">
        <v>37</v>
      </c>
      <c r="T267" t="s">
        <v>689</v>
      </c>
      <c r="W267" t="s">
        <v>40</v>
      </c>
    </row>
    <row r="268" spans="1:25" x14ac:dyDescent="0.2">
      <c r="A268">
        <v>56.980899999999998</v>
      </c>
      <c r="B268">
        <v>-130.2508</v>
      </c>
      <c r="C268" t="s">
        <v>272</v>
      </c>
      <c r="D268">
        <v>113</v>
      </c>
      <c r="E268">
        <v>1</v>
      </c>
      <c r="F268" t="s">
        <v>805</v>
      </c>
      <c r="G268" t="str">
        <f t="shared" si="4"/>
        <v>BOB QUINN LAKE</v>
      </c>
      <c r="H268" t="s">
        <v>781</v>
      </c>
      <c r="I268">
        <v>609</v>
      </c>
      <c r="J268" t="s">
        <v>253</v>
      </c>
      <c r="K268" t="s">
        <v>790</v>
      </c>
      <c r="L268">
        <v>30682</v>
      </c>
      <c r="M268" t="s">
        <v>782</v>
      </c>
      <c r="N268" t="s">
        <v>783</v>
      </c>
      <c r="R268" t="s">
        <v>36</v>
      </c>
      <c r="S268" t="s">
        <v>37</v>
      </c>
      <c r="T268" t="s">
        <v>689</v>
      </c>
      <c r="U268" t="s">
        <v>39</v>
      </c>
      <c r="W268" t="s">
        <v>40</v>
      </c>
    </row>
    <row r="269" spans="1:25" x14ac:dyDescent="0.2">
      <c r="A269">
        <v>58.83811</v>
      </c>
      <c r="B269">
        <v>-121.39666</v>
      </c>
      <c r="C269" t="s">
        <v>329</v>
      </c>
      <c r="D269">
        <v>117</v>
      </c>
      <c r="E269">
        <v>5</v>
      </c>
      <c r="F269" t="s">
        <v>806</v>
      </c>
      <c r="G269" t="str">
        <f t="shared" si="4"/>
        <v>SIERRA</v>
      </c>
      <c r="H269" t="s">
        <v>781</v>
      </c>
      <c r="I269">
        <v>584</v>
      </c>
      <c r="J269" t="s">
        <v>253</v>
      </c>
      <c r="L269">
        <v>29587</v>
      </c>
      <c r="M269" t="s">
        <v>782</v>
      </c>
      <c r="N269" t="s">
        <v>783</v>
      </c>
      <c r="R269" t="s">
        <v>36</v>
      </c>
      <c r="S269" t="s">
        <v>37</v>
      </c>
      <c r="T269" t="s">
        <v>38</v>
      </c>
      <c r="W269" t="s">
        <v>40</v>
      </c>
    </row>
    <row r="270" spans="1:25" x14ac:dyDescent="0.2">
      <c r="A270">
        <v>59.420999999999999</v>
      </c>
      <c r="B270">
        <v>-120.78892</v>
      </c>
      <c r="C270" t="s">
        <v>329</v>
      </c>
      <c r="D270">
        <v>118</v>
      </c>
      <c r="E270">
        <v>6</v>
      </c>
      <c r="F270" t="s">
        <v>807</v>
      </c>
      <c r="G270" t="str">
        <f t="shared" si="4"/>
        <v>HELMUT</v>
      </c>
      <c r="H270" t="s">
        <v>781</v>
      </c>
      <c r="I270">
        <v>598</v>
      </c>
      <c r="J270" t="s">
        <v>253</v>
      </c>
      <c r="L270">
        <v>30317</v>
      </c>
      <c r="M270" t="s">
        <v>782</v>
      </c>
      <c r="N270" t="s">
        <v>783</v>
      </c>
      <c r="R270" t="s">
        <v>36</v>
      </c>
      <c r="S270" t="s">
        <v>37</v>
      </c>
      <c r="T270" t="s">
        <v>38</v>
      </c>
      <c r="W270" t="s">
        <v>40</v>
      </c>
    </row>
    <row r="271" spans="1:25" x14ac:dyDescent="0.2">
      <c r="A271">
        <v>59.617280000000001</v>
      </c>
      <c r="B271">
        <v>-124.09851</v>
      </c>
      <c r="C271" t="s">
        <v>329</v>
      </c>
      <c r="D271">
        <v>119</v>
      </c>
      <c r="E271">
        <v>6</v>
      </c>
      <c r="F271" t="s">
        <v>808</v>
      </c>
      <c r="G271" t="str">
        <f t="shared" si="4"/>
        <v>NELSON FORKS</v>
      </c>
      <c r="H271" t="s">
        <v>781</v>
      </c>
      <c r="I271">
        <v>604</v>
      </c>
      <c r="L271">
        <v>31413</v>
      </c>
      <c r="M271" t="s">
        <v>782</v>
      </c>
      <c r="N271" t="s">
        <v>783</v>
      </c>
      <c r="R271" t="s">
        <v>36</v>
      </c>
      <c r="S271" t="s">
        <v>37</v>
      </c>
      <c r="T271" t="s">
        <v>38</v>
      </c>
      <c r="W271" t="s">
        <v>40</v>
      </c>
    </row>
    <row r="272" spans="1:25" x14ac:dyDescent="0.2">
      <c r="A272">
        <v>57.496780000000001</v>
      </c>
      <c r="B272">
        <v>-121.29695</v>
      </c>
      <c r="C272" t="s">
        <v>46</v>
      </c>
      <c r="D272">
        <v>120</v>
      </c>
      <c r="E272">
        <v>6</v>
      </c>
      <c r="F272" t="s">
        <v>809</v>
      </c>
      <c r="G272" t="str">
        <f t="shared" si="4"/>
        <v>SILVER</v>
      </c>
      <c r="H272" t="s">
        <v>781</v>
      </c>
      <c r="I272">
        <v>835</v>
      </c>
      <c r="L272">
        <v>31413</v>
      </c>
      <c r="M272" t="s">
        <v>782</v>
      </c>
      <c r="N272" t="s">
        <v>783</v>
      </c>
      <c r="R272" t="s">
        <v>36</v>
      </c>
      <c r="S272" t="s">
        <v>37</v>
      </c>
      <c r="T272" t="s">
        <v>38</v>
      </c>
      <c r="W272" t="s">
        <v>40</v>
      </c>
    </row>
    <row r="273" spans="1:23" x14ac:dyDescent="0.2">
      <c r="A273">
        <v>57.78181</v>
      </c>
      <c r="B273">
        <v>-120.2368</v>
      </c>
      <c r="C273" t="s">
        <v>46</v>
      </c>
      <c r="D273">
        <v>121</v>
      </c>
      <c r="E273">
        <v>3</v>
      </c>
      <c r="F273" t="s">
        <v>810</v>
      </c>
      <c r="G273" t="str">
        <f t="shared" si="4"/>
        <v>PADDY</v>
      </c>
      <c r="H273" t="s">
        <v>781</v>
      </c>
      <c r="I273">
        <v>729</v>
      </c>
      <c r="J273" t="s">
        <v>253</v>
      </c>
      <c r="L273">
        <v>31413</v>
      </c>
      <c r="M273" t="s">
        <v>782</v>
      </c>
      <c r="N273" t="s">
        <v>783</v>
      </c>
      <c r="R273" t="s">
        <v>36</v>
      </c>
      <c r="S273" t="s">
        <v>37</v>
      </c>
      <c r="T273" t="s">
        <v>38</v>
      </c>
      <c r="W273" t="s">
        <v>40</v>
      </c>
    </row>
    <row r="274" spans="1:23" ht="14" customHeight="1" x14ac:dyDescent="0.2">
      <c r="A274">
        <v>56.434640000000002</v>
      </c>
      <c r="B274">
        <v>-122.45766999999999</v>
      </c>
      <c r="C274" t="s">
        <v>46</v>
      </c>
      <c r="D274">
        <v>124</v>
      </c>
      <c r="E274">
        <v>5</v>
      </c>
      <c r="F274" t="s">
        <v>811</v>
      </c>
      <c r="G274" t="str">
        <f t="shared" si="4"/>
        <v>GRAHAM</v>
      </c>
      <c r="H274" t="s">
        <v>781</v>
      </c>
      <c r="I274">
        <v>768</v>
      </c>
      <c r="J274" t="s">
        <v>253</v>
      </c>
      <c r="L274">
        <v>28856</v>
      </c>
      <c r="M274" t="s">
        <v>782</v>
      </c>
      <c r="N274" t="s">
        <v>783</v>
      </c>
      <c r="R274" t="s">
        <v>36</v>
      </c>
      <c r="S274" t="s">
        <v>37</v>
      </c>
      <c r="T274" t="s">
        <v>38</v>
      </c>
      <c r="W274" t="s">
        <v>40</v>
      </c>
    </row>
    <row r="275" spans="1:23" ht="14" customHeight="1" x14ac:dyDescent="0.2">
      <c r="A275">
        <v>58.865850000000002</v>
      </c>
      <c r="B275">
        <v>-125.3107</v>
      </c>
      <c r="C275" t="s">
        <v>449</v>
      </c>
      <c r="D275">
        <v>126</v>
      </c>
      <c r="E275">
        <v>1</v>
      </c>
      <c r="F275" t="s">
        <v>812</v>
      </c>
      <c r="G275" t="str">
        <f t="shared" si="4"/>
        <v>TOAD RIVER</v>
      </c>
      <c r="H275" t="s">
        <v>781</v>
      </c>
      <c r="I275">
        <v>711</v>
      </c>
      <c r="J275" t="s">
        <v>253</v>
      </c>
      <c r="L275">
        <v>29587</v>
      </c>
      <c r="M275" t="s">
        <v>782</v>
      </c>
      <c r="N275" t="s">
        <v>783</v>
      </c>
      <c r="R275" t="s">
        <v>36</v>
      </c>
      <c r="S275" t="s">
        <v>37</v>
      </c>
      <c r="T275" t="s">
        <v>38</v>
      </c>
      <c r="W275" t="s">
        <v>40</v>
      </c>
    </row>
    <row r="276" spans="1:23" ht="14" customHeight="1" x14ac:dyDescent="0.2">
      <c r="A276">
        <v>55.027360000000002</v>
      </c>
      <c r="B276">
        <v>-120.93405</v>
      </c>
      <c r="C276" t="s">
        <v>272</v>
      </c>
      <c r="D276">
        <v>127</v>
      </c>
      <c r="E276">
        <v>3</v>
      </c>
      <c r="F276" t="s">
        <v>813</v>
      </c>
      <c r="G276" t="str">
        <f t="shared" si="4"/>
        <v>TUMBLER(DENISON)</v>
      </c>
      <c r="H276" t="s">
        <v>781</v>
      </c>
      <c r="I276">
        <v>942</v>
      </c>
      <c r="J276" t="s">
        <v>253</v>
      </c>
      <c r="K276" t="s">
        <v>786</v>
      </c>
      <c r="L276">
        <v>29952</v>
      </c>
      <c r="M276" t="s">
        <v>782</v>
      </c>
      <c r="N276" t="s">
        <v>783</v>
      </c>
      <c r="R276" t="s">
        <v>36</v>
      </c>
      <c r="S276" t="s">
        <v>37</v>
      </c>
      <c r="T276" t="s">
        <v>389</v>
      </c>
      <c r="U276" t="s">
        <v>39</v>
      </c>
      <c r="W276" t="s">
        <v>40</v>
      </c>
    </row>
    <row r="277" spans="1:23" ht="14" customHeight="1" x14ac:dyDescent="0.2">
      <c r="A277">
        <v>57.076529999999998</v>
      </c>
      <c r="B277">
        <v>-122.55906</v>
      </c>
      <c r="C277" t="s">
        <v>329</v>
      </c>
      <c r="D277">
        <v>129</v>
      </c>
      <c r="E277">
        <v>8</v>
      </c>
      <c r="F277" t="s">
        <v>814</v>
      </c>
      <c r="G277" t="str">
        <f t="shared" si="4"/>
        <v>PINK MOUNTAIN</v>
      </c>
      <c r="H277" t="s">
        <v>781</v>
      </c>
      <c r="I277">
        <v>989</v>
      </c>
      <c r="L277">
        <v>30317</v>
      </c>
      <c r="M277" t="s">
        <v>782</v>
      </c>
      <c r="N277" t="s">
        <v>783</v>
      </c>
      <c r="R277" t="s">
        <v>36</v>
      </c>
      <c r="S277" t="s">
        <v>37</v>
      </c>
      <c r="T277" t="s">
        <v>38</v>
      </c>
      <c r="W277" t="s">
        <v>40</v>
      </c>
    </row>
    <row r="278" spans="1:23" x14ac:dyDescent="0.2">
      <c r="A278">
        <v>57.884250000000002</v>
      </c>
      <c r="B278">
        <v>-123.6163</v>
      </c>
      <c r="C278" t="s">
        <v>329</v>
      </c>
      <c r="D278">
        <v>131</v>
      </c>
      <c r="E278">
        <v>7</v>
      </c>
      <c r="F278" t="s">
        <v>815</v>
      </c>
      <c r="G278" t="str">
        <f t="shared" si="4"/>
        <v>MUSKWA</v>
      </c>
      <c r="H278" t="s">
        <v>781</v>
      </c>
      <c r="I278">
        <v>780</v>
      </c>
      <c r="L278">
        <v>30317</v>
      </c>
      <c r="M278" t="s">
        <v>782</v>
      </c>
      <c r="N278" t="s">
        <v>783</v>
      </c>
      <c r="R278" t="s">
        <v>36</v>
      </c>
      <c r="S278" t="s">
        <v>37</v>
      </c>
      <c r="T278" t="s">
        <v>38</v>
      </c>
      <c r="W278" t="s">
        <v>40</v>
      </c>
    </row>
    <row r="279" spans="1:23" x14ac:dyDescent="0.2">
      <c r="A279">
        <v>56.034700000000001</v>
      </c>
      <c r="B279">
        <v>-121.99021</v>
      </c>
      <c r="C279" t="s">
        <v>46</v>
      </c>
      <c r="D279">
        <v>132</v>
      </c>
      <c r="E279">
        <v>3</v>
      </c>
      <c r="F279" t="s">
        <v>816</v>
      </c>
      <c r="G279" t="str">
        <f t="shared" si="4"/>
        <v>HUDSON HOPE</v>
      </c>
      <c r="H279" t="s">
        <v>781</v>
      </c>
      <c r="I279">
        <v>704</v>
      </c>
      <c r="L279">
        <v>31413</v>
      </c>
      <c r="M279" t="s">
        <v>782</v>
      </c>
      <c r="N279" t="s">
        <v>783</v>
      </c>
      <c r="R279" t="s">
        <v>36</v>
      </c>
      <c r="S279" t="s">
        <v>37</v>
      </c>
      <c r="T279" t="s">
        <v>38</v>
      </c>
      <c r="W279" t="s">
        <v>40</v>
      </c>
    </row>
    <row r="280" spans="1:23" x14ac:dyDescent="0.2">
      <c r="A280">
        <v>56.718499999999999</v>
      </c>
      <c r="B280">
        <v>-121.76542999999999</v>
      </c>
      <c r="C280" t="s">
        <v>46</v>
      </c>
      <c r="D280">
        <v>136</v>
      </c>
      <c r="E280">
        <v>8</v>
      </c>
      <c r="F280" t="s">
        <v>817</v>
      </c>
      <c r="G280" t="str">
        <f t="shared" si="4"/>
        <v>WONOWON</v>
      </c>
      <c r="H280" t="s">
        <v>781</v>
      </c>
      <c r="I280">
        <v>967</v>
      </c>
      <c r="J280" t="s">
        <v>253</v>
      </c>
      <c r="K280" t="s">
        <v>788</v>
      </c>
      <c r="L280">
        <v>32874</v>
      </c>
      <c r="M280" t="s">
        <v>782</v>
      </c>
      <c r="N280" t="s">
        <v>783</v>
      </c>
      <c r="R280" t="s">
        <v>36</v>
      </c>
      <c r="S280" t="s">
        <v>37</v>
      </c>
      <c r="T280" t="s">
        <v>38</v>
      </c>
      <c r="W280" t="s">
        <v>40</v>
      </c>
    </row>
    <row r="281" spans="1:23" x14ac:dyDescent="0.2">
      <c r="A281">
        <v>54.633029999999998</v>
      </c>
      <c r="B281">
        <v>-120.57621</v>
      </c>
      <c r="C281" t="s">
        <v>272</v>
      </c>
      <c r="D281">
        <v>138</v>
      </c>
      <c r="E281">
        <v>6</v>
      </c>
      <c r="F281" t="s">
        <v>818</v>
      </c>
      <c r="G281" t="str">
        <f t="shared" si="4"/>
        <v>RED DEER</v>
      </c>
      <c r="H281" t="s">
        <v>781</v>
      </c>
      <c r="I281">
        <v>1306</v>
      </c>
      <c r="L281">
        <v>32143</v>
      </c>
      <c r="M281" t="s">
        <v>782</v>
      </c>
      <c r="N281" t="s">
        <v>783</v>
      </c>
      <c r="R281" t="s">
        <v>36</v>
      </c>
      <c r="S281" t="s">
        <v>37</v>
      </c>
      <c r="T281" t="s">
        <v>38</v>
      </c>
      <c r="W281" t="s">
        <v>40</v>
      </c>
    </row>
    <row r="282" spans="1:23" x14ac:dyDescent="0.2">
      <c r="A282">
        <v>55.524979999999999</v>
      </c>
      <c r="B282">
        <v>-122.5171</v>
      </c>
      <c r="C282" t="s">
        <v>272</v>
      </c>
      <c r="D282">
        <v>140</v>
      </c>
      <c r="E282">
        <v>1</v>
      </c>
      <c r="F282" t="s">
        <v>819</v>
      </c>
      <c r="G282" t="str">
        <f t="shared" si="4"/>
        <v>LEMORAY</v>
      </c>
      <c r="H282" t="s">
        <v>781</v>
      </c>
      <c r="I282">
        <v>757</v>
      </c>
      <c r="J282" t="s">
        <v>253</v>
      </c>
      <c r="L282">
        <v>32143</v>
      </c>
      <c r="M282" t="s">
        <v>782</v>
      </c>
      <c r="N282" t="s">
        <v>783</v>
      </c>
      <c r="R282" t="s">
        <v>36</v>
      </c>
      <c r="S282" t="s">
        <v>37</v>
      </c>
      <c r="T282" t="s">
        <v>38</v>
      </c>
      <c r="W282" t="s">
        <v>40</v>
      </c>
    </row>
    <row r="283" spans="1:23" x14ac:dyDescent="0.2">
      <c r="A283">
        <v>55.579880000000003</v>
      </c>
      <c r="B283">
        <v>-124.23197999999999</v>
      </c>
      <c r="C283" t="s">
        <v>272</v>
      </c>
      <c r="D283">
        <v>141</v>
      </c>
      <c r="E283">
        <v>4</v>
      </c>
      <c r="F283" t="s">
        <v>820</v>
      </c>
      <c r="G283" t="str">
        <f t="shared" si="4"/>
        <v>MANSON</v>
      </c>
      <c r="H283" t="s">
        <v>781</v>
      </c>
      <c r="I283">
        <v>1047</v>
      </c>
      <c r="L283">
        <v>25569</v>
      </c>
      <c r="M283" t="s">
        <v>782</v>
      </c>
      <c r="N283" t="s">
        <v>783</v>
      </c>
      <c r="R283" t="s">
        <v>36</v>
      </c>
      <c r="S283" t="s">
        <v>37</v>
      </c>
      <c r="T283" t="s">
        <v>38</v>
      </c>
      <c r="W283" t="s">
        <v>40</v>
      </c>
    </row>
    <row r="284" spans="1:23" x14ac:dyDescent="0.2">
      <c r="A284">
        <v>54.716169999999998</v>
      </c>
      <c r="B284">
        <v>-122.27417</v>
      </c>
      <c r="C284" t="s">
        <v>272</v>
      </c>
      <c r="D284">
        <v>144</v>
      </c>
      <c r="E284">
        <v>1</v>
      </c>
      <c r="F284" t="s">
        <v>821</v>
      </c>
      <c r="G284" t="str">
        <f t="shared" si="4"/>
        <v>TABLE RIVER</v>
      </c>
      <c r="H284" t="s">
        <v>781</v>
      </c>
      <c r="I284">
        <v>760</v>
      </c>
      <c r="L284">
        <v>31778</v>
      </c>
      <c r="M284" t="s">
        <v>782</v>
      </c>
      <c r="N284" t="s">
        <v>783</v>
      </c>
      <c r="R284" t="s">
        <v>36</v>
      </c>
      <c r="S284" t="s">
        <v>37</v>
      </c>
      <c r="T284" t="s">
        <v>38</v>
      </c>
      <c r="W284" t="s">
        <v>40</v>
      </c>
    </row>
    <row r="285" spans="1:23" x14ac:dyDescent="0.2">
      <c r="A285">
        <v>57.019419999999997</v>
      </c>
      <c r="B285">
        <v>-125.18039</v>
      </c>
      <c r="C285" t="s">
        <v>449</v>
      </c>
      <c r="D285">
        <v>145</v>
      </c>
      <c r="E285">
        <v>4</v>
      </c>
      <c r="F285" t="s">
        <v>822</v>
      </c>
      <c r="G285" t="str">
        <f t="shared" si="4"/>
        <v>INGENIKA POINT</v>
      </c>
      <c r="H285" t="s">
        <v>781</v>
      </c>
      <c r="I285">
        <v>1213</v>
      </c>
      <c r="J285" t="s">
        <v>253</v>
      </c>
      <c r="L285">
        <v>31413</v>
      </c>
      <c r="M285" t="s">
        <v>782</v>
      </c>
      <c r="N285" t="s">
        <v>783</v>
      </c>
      <c r="R285" t="s">
        <v>36</v>
      </c>
      <c r="S285" t="s">
        <v>37</v>
      </c>
      <c r="T285" t="s">
        <v>389</v>
      </c>
      <c r="U285" t="s">
        <v>39</v>
      </c>
      <c r="W285" t="s">
        <v>40</v>
      </c>
    </row>
    <row r="286" spans="1:23" x14ac:dyDescent="0.2">
      <c r="A286">
        <v>54.394080000000002</v>
      </c>
      <c r="B286">
        <v>-124.26097</v>
      </c>
      <c r="C286" t="s">
        <v>272</v>
      </c>
      <c r="D286">
        <v>146</v>
      </c>
      <c r="E286">
        <v>1</v>
      </c>
      <c r="F286" t="s">
        <v>823</v>
      </c>
      <c r="G286" t="str">
        <f t="shared" si="4"/>
        <v>FORT ST JAMES</v>
      </c>
      <c r="H286" t="s">
        <v>781</v>
      </c>
      <c r="I286">
        <v>750</v>
      </c>
      <c r="L286">
        <v>28856</v>
      </c>
      <c r="M286" t="s">
        <v>782</v>
      </c>
      <c r="N286" t="s">
        <v>783</v>
      </c>
      <c r="R286" t="s">
        <v>36</v>
      </c>
      <c r="S286" t="s">
        <v>37</v>
      </c>
      <c r="T286" t="s">
        <v>38</v>
      </c>
      <c r="W286" t="s">
        <v>40</v>
      </c>
    </row>
    <row r="287" spans="1:23" x14ac:dyDescent="0.2">
      <c r="A287">
        <v>56.318779999999997</v>
      </c>
      <c r="B287">
        <v>-125.36797</v>
      </c>
      <c r="C287" t="s">
        <v>272</v>
      </c>
      <c r="D287">
        <v>148</v>
      </c>
      <c r="E287">
        <v>5</v>
      </c>
      <c r="F287" t="s">
        <v>824</v>
      </c>
      <c r="G287" t="str">
        <f t="shared" si="4"/>
        <v>BLACKPINE</v>
      </c>
      <c r="H287" t="s">
        <v>781</v>
      </c>
      <c r="I287">
        <v>1126</v>
      </c>
      <c r="L287">
        <v>29221</v>
      </c>
      <c r="M287" t="s">
        <v>782</v>
      </c>
      <c r="N287" t="s">
        <v>783</v>
      </c>
      <c r="R287" t="s">
        <v>36</v>
      </c>
      <c r="S287" t="s">
        <v>37</v>
      </c>
      <c r="T287" t="s">
        <v>38</v>
      </c>
      <c r="W287" t="s">
        <v>40</v>
      </c>
    </row>
    <row r="288" spans="1:23" x14ac:dyDescent="0.2">
      <c r="A288">
        <v>54.509219999999999</v>
      </c>
      <c r="B288">
        <v>-122.69103</v>
      </c>
      <c r="C288" t="s">
        <v>272</v>
      </c>
      <c r="D288">
        <v>149</v>
      </c>
      <c r="E288">
        <v>1</v>
      </c>
      <c r="F288" t="s">
        <v>825</v>
      </c>
      <c r="G288" t="str">
        <f t="shared" si="4"/>
        <v>BEAR LAKE</v>
      </c>
      <c r="H288" t="s">
        <v>781</v>
      </c>
      <c r="I288">
        <v>739</v>
      </c>
      <c r="L288">
        <v>29221</v>
      </c>
      <c r="M288" t="s">
        <v>782</v>
      </c>
      <c r="N288" t="s">
        <v>783</v>
      </c>
      <c r="R288" t="s">
        <v>36</v>
      </c>
      <c r="S288" t="s">
        <v>37</v>
      </c>
      <c r="T288" t="s">
        <v>38</v>
      </c>
      <c r="W288" t="s">
        <v>40</v>
      </c>
    </row>
    <row r="289" spans="1:25" x14ac:dyDescent="0.2">
      <c r="A289">
        <v>56.364330000000002</v>
      </c>
      <c r="B289">
        <v>-123.36556</v>
      </c>
      <c r="C289" t="s">
        <v>272</v>
      </c>
      <c r="D289">
        <v>151</v>
      </c>
      <c r="E289">
        <v>5</v>
      </c>
      <c r="F289" t="s">
        <v>826</v>
      </c>
      <c r="G289" t="str">
        <f t="shared" si="4"/>
        <v>NABESHE</v>
      </c>
      <c r="H289" t="s">
        <v>781</v>
      </c>
      <c r="I289">
        <v>1108</v>
      </c>
      <c r="L289">
        <v>31778</v>
      </c>
      <c r="M289" t="s">
        <v>782</v>
      </c>
      <c r="N289" t="s">
        <v>783</v>
      </c>
      <c r="R289" t="s">
        <v>36</v>
      </c>
      <c r="S289" t="s">
        <v>37</v>
      </c>
      <c r="T289" t="s">
        <v>38</v>
      </c>
      <c r="W289" t="s">
        <v>40</v>
      </c>
    </row>
    <row r="290" spans="1:25" x14ac:dyDescent="0.2">
      <c r="A290">
        <v>57.851750000000003</v>
      </c>
      <c r="B290">
        <v>-126.11676</v>
      </c>
      <c r="C290" t="s">
        <v>449</v>
      </c>
      <c r="D290">
        <v>152</v>
      </c>
      <c r="E290">
        <v>2</v>
      </c>
      <c r="F290" t="s">
        <v>827</v>
      </c>
      <c r="G290" t="str">
        <f t="shared" si="4"/>
        <v>SIFTON</v>
      </c>
      <c r="H290" t="s">
        <v>781</v>
      </c>
      <c r="I290">
        <v>985</v>
      </c>
      <c r="J290" t="s">
        <v>253</v>
      </c>
      <c r="L290">
        <v>32143</v>
      </c>
      <c r="M290" t="s">
        <v>782</v>
      </c>
      <c r="N290" t="s">
        <v>783</v>
      </c>
      <c r="R290" t="s">
        <v>36</v>
      </c>
      <c r="S290" t="s">
        <v>37</v>
      </c>
      <c r="T290" t="s">
        <v>38</v>
      </c>
      <c r="W290" t="s">
        <v>40</v>
      </c>
    </row>
    <row r="291" spans="1:25" x14ac:dyDescent="0.2">
      <c r="A291">
        <v>54.725529999999999</v>
      </c>
      <c r="B291">
        <v>-123.07867</v>
      </c>
      <c r="C291" t="s">
        <v>272</v>
      </c>
      <c r="D291">
        <v>153</v>
      </c>
      <c r="E291">
        <v>3</v>
      </c>
      <c r="F291" t="s">
        <v>828</v>
      </c>
      <c r="G291" t="str">
        <f t="shared" si="4"/>
        <v>MCLEOD LAKE</v>
      </c>
      <c r="H291" t="s">
        <v>781</v>
      </c>
      <c r="I291">
        <v>915</v>
      </c>
      <c r="L291">
        <v>32874</v>
      </c>
      <c r="M291" t="s">
        <v>782</v>
      </c>
      <c r="N291" t="s">
        <v>783</v>
      </c>
      <c r="R291" t="s">
        <v>36</v>
      </c>
      <c r="S291" t="s">
        <v>37</v>
      </c>
      <c r="T291" t="s">
        <v>38</v>
      </c>
      <c r="W291" t="s">
        <v>40</v>
      </c>
    </row>
    <row r="292" spans="1:25" x14ac:dyDescent="0.2">
      <c r="A292">
        <v>55.023029999999999</v>
      </c>
      <c r="B292">
        <v>-124.26661</v>
      </c>
      <c r="C292" t="s">
        <v>272</v>
      </c>
      <c r="D292">
        <v>154</v>
      </c>
      <c r="E292">
        <v>4</v>
      </c>
      <c r="F292" t="s">
        <v>829</v>
      </c>
      <c r="G292" t="str">
        <f t="shared" si="4"/>
        <v>WITCH</v>
      </c>
      <c r="H292" t="s">
        <v>781</v>
      </c>
      <c r="I292">
        <v>1030</v>
      </c>
      <c r="L292">
        <v>33970</v>
      </c>
      <c r="M292" t="s">
        <v>782</v>
      </c>
      <c r="N292" t="s">
        <v>783</v>
      </c>
      <c r="R292" t="s">
        <v>36</v>
      </c>
      <c r="S292" t="s">
        <v>37</v>
      </c>
      <c r="T292" t="s">
        <v>38</v>
      </c>
      <c r="W292" t="s">
        <v>40</v>
      </c>
    </row>
    <row r="293" spans="1:25" x14ac:dyDescent="0.2">
      <c r="A293">
        <v>55.322110000000002</v>
      </c>
      <c r="B293">
        <v>-123.09317</v>
      </c>
      <c r="C293" t="s">
        <v>272</v>
      </c>
      <c r="D293">
        <v>155</v>
      </c>
      <c r="E293">
        <v>1</v>
      </c>
      <c r="F293" t="s">
        <v>830</v>
      </c>
      <c r="G293" t="str">
        <f t="shared" si="4"/>
        <v>MACKENZIE FS</v>
      </c>
      <c r="H293" t="s">
        <v>781</v>
      </c>
      <c r="I293">
        <v>690</v>
      </c>
      <c r="L293">
        <v>34335</v>
      </c>
      <c r="M293" t="s">
        <v>782</v>
      </c>
      <c r="N293" t="s">
        <v>783</v>
      </c>
      <c r="R293" t="s">
        <v>36</v>
      </c>
      <c r="S293" t="s">
        <v>37</v>
      </c>
      <c r="T293" t="s">
        <v>38</v>
      </c>
      <c r="W293" t="s">
        <v>40</v>
      </c>
    </row>
    <row r="294" spans="1:25" x14ac:dyDescent="0.2">
      <c r="A294">
        <v>56.32873</v>
      </c>
      <c r="B294">
        <v>-127.03425</v>
      </c>
      <c r="C294" t="s">
        <v>272</v>
      </c>
      <c r="D294">
        <v>156</v>
      </c>
      <c r="E294">
        <v>3</v>
      </c>
      <c r="F294" t="s">
        <v>831</v>
      </c>
      <c r="G294" t="str">
        <f t="shared" si="4"/>
        <v>SUSTUT</v>
      </c>
      <c r="H294" t="s">
        <v>781</v>
      </c>
      <c r="I294">
        <v>871</v>
      </c>
      <c r="L294">
        <v>32509</v>
      </c>
      <c r="M294" t="s">
        <v>782</v>
      </c>
      <c r="N294" t="s">
        <v>783</v>
      </c>
      <c r="R294" t="s">
        <v>36</v>
      </c>
      <c r="S294" t="s">
        <v>37</v>
      </c>
      <c r="T294" t="s">
        <v>38</v>
      </c>
      <c r="W294" t="s">
        <v>40</v>
      </c>
    </row>
    <row r="295" spans="1:25" x14ac:dyDescent="0.2">
      <c r="A295">
        <v>54.055810000000001</v>
      </c>
      <c r="B295">
        <v>-124.00886</v>
      </c>
      <c r="C295" t="s">
        <v>272</v>
      </c>
      <c r="D295">
        <v>158</v>
      </c>
      <c r="E295">
        <v>1</v>
      </c>
      <c r="F295" t="s">
        <v>832</v>
      </c>
      <c r="G295" t="str">
        <f t="shared" si="4"/>
        <v>VANDERHOOF HUB</v>
      </c>
      <c r="H295" t="s">
        <v>781</v>
      </c>
      <c r="I295">
        <v>678</v>
      </c>
      <c r="K295" t="s">
        <v>833</v>
      </c>
      <c r="L295">
        <v>25569</v>
      </c>
      <c r="M295" t="s">
        <v>782</v>
      </c>
      <c r="N295" t="s">
        <v>783</v>
      </c>
      <c r="R295" t="s">
        <v>36</v>
      </c>
      <c r="S295" t="s">
        <v>37</v>
      </c>
      <c r="T295" t="s">
        <v>689</v>
      </c>
      <c r="W295" t="s">
        <v>40</v>
      </c>
      <c r="Y295" t="s">
        <v>392</v>
      </c>
    </row>
    <row r="296" spans="1:25" x14ac:dyDescent="0.2">
      <c r="A296">
        <v>54.154629999999997</v>
      </c>
      <c r="B296">
        <v>-123.75413</v>
      </c>
      <c r="C296" t="s">
        <v>272</v>
      </c>
      <c r="D296">
        <v>159</v>
      </c>
      <c r="E296">
        <v>2</v>
      </c>
      <c r="F296" t="s">
        <v>834</v>
      </c>
      <c r="G296" t="str">
        <f t="shared" si="4"/>
        <v>NORTH CHILCO</v>
      </c>
      <c r="H296" t="s">
        <v>781</v>
      </c>
      <c r="I296">
        <v>850</v>
      </c>
      <c r="L296">
        <v>26299</v>
      </c>
      <c r="M296" t="s">
        <v>782</v>
      </c>
      <c r="N296" t="s">
        <v>783</v>
      </c>
      <c r="R296" t="s">
        <v>36</v>
      </c>
      <c r="S296" t="s">
        <v>37</v>
      </c>
      <c r="T296" t="s">
        <v>38</v>
      </c>
      <c r="W296" t="s">
        <v>40</v>
      </c>
    </row>
    <row r="297" spans="1:25" x14ac:dyDescent="0.2">
      <c r="A297">
        <v>53.946669999999997</v>
      </c>
      <c r="B297">
        <v>-125.86667</v>
      </c>
      <c r="C297" t="s">
        <v>29</v>
      </c>
      <c r="D297">
        <v>161</v>
      </c>
      <c r="E297">
        <v>2</v>
      </c>
      <c r="F297" t="s">
        <v>835</v>
      </c>
      <c r="G297" t="str">
        <f t="shared" si="4"/>
        <v>GRASSY PLAINS HUB</v>
      </c>
      <c r="H297" t="s">
        <v>781</v>
      </c>
      <c r="I297">
        <v>944</v>
      </c>
      <c r="J297" t="s">
        <v>253</v>
      </c>
      <c r="K297" t="s">
        <v>836</v>
      </c>
      <c r="L297">
        <v>25569</v>
      </c>
      <c r="M297" t="s">
        <v>782</v>
      </c>
      <c r="N297" t="s">
        <v>783</v>
      </c>
      <c r="R297" t="s">
        <v>36</v>
      </c>
      <c r="S297" t="s">
        <v>37</v>
      </c>
      <c r="T297" t="s">
        <v>689</v>
      </c>
      <c r="W297" t="s">
        <v>40</v>
      </c>
    </row>
    <row r="298" spans="1:25" x14ac:dyDescent="0.2">
      <c r="A298">
        <v>54.411670000000001</v>
      </c>
      <c r="B298">
        <v>-126.62667</v>
      </c>
      <c r="C298" t="s">
        <v>29</v>
      </c>
      <c r="D298">
        <v>162</v>
      </c>
      <c r="E298">
        <v>1</v>
      </c>
      <c r="F298" t="s">
        <v>837</v>
      </c>
      <c r="G298" t="str">
        <f t="shared" si="4"/>
        <v>HOUSTON(DUNGATE)</v>
      </c>
      <c r="H298" t="s">
        <v>781</v>
      </c>
      <c r="I298">
        <v>608</v>
      </c>
      <c r="L298">
        <v>27030</v>
      </c>
      <c r="M298" t="s">
        <v>782</v>
      </c>
      <c r="N298" t="s">
        <v>783</v>
      </c>
      <c r="R298" t="s">
        <v>36</v>
      </c>
      <c r="S298" t="s">
        <v>37</v>
      </c>
      <c r="T298" t="s">
        <v>38</v>
      </c>
      <c r="W298" t="s">
        <v>40</v>
      </c>
    </row>
    <row r="299" spans="1:25" x14ac:dyDescent="0.2">
      <c r="A299">
        <v>55.688220000000001</v>
      </c>
      <c r="B299">
        <v>-126.05261</v>
      </c>
      <c r="C299" t="s">
        <v>272</v>
      </c>
      <c r="D299">
        <v>163</v>
      </c>
      <c r="E299">
        <v>4</v>
      </c>
      <c r="F299" t="s">
        <v>838</v>
      </c>
      <c r="G299" t="str">
        <f t="shared" si="4"/>
        <v>LOVELL COVE</v>
      </c>
      <c r="H299" t="s">
        <v>781</v>
      </c>
      <c r="I299">
        <v>990</v>
      </c>
      <c r="L299">
        <v>28856</v>
      </c>
      <c r="M299" t="s">
        <v>782</v>
      </c>
      <c r="N299" t="s">
        <v>783</v>
      </c>
      <c r="R299" t="s">
        <v>36</v>
      </c>
      <c r="S299" t="s">
        <v>37</v>
      </c>
      <c r="T299" t="s">
        <v>38</v>
      </c>
      <c r="W299" t="s">
        <v>40</v>
      </c>
    </row>
    <row r="300" spans="1:25" x14ac:dyDescent="0.2">
      <c r="A300">
        <v>53.071460000000002</v>
      </c>
      <c r="B300">
        <v>-125.41215</v>
      </c>
      <c r="C300" t="s">
        <v>29</v>
      </c>
      <c r="D300">
        <v>165</v>
      </c>
      <c r="E300">
        <v>4</v>
      </c>
      <c r="F300" t="s">
        <v>839</v>
      </c>
      <c r="G300" t="str">
        <f t="shared" si="4"/>
        <v>MOOSE LAKE</v>
      </c>
      <c r="H300" t="s">
        <v>781</v>
      </c>
      <c r="I300">
        <v>1109</v>
      </c>
      <c r="K300" t="s">
        <v>840</v>
      </c>
      <c r="L300">
        <v>29221</v>
      </c>
      <c r="M300" t="s">
        <v>782</v>
      </c>
      <c r="N300" t="s">
        <v>783</v>
      </c>
      <c r="R300" t="s">
        <v>36</v>
      </c>
      <c r="S300" t="s">
        <v>37</v>
      </c>
      <c r="T300" t="s">
        <v>689</v>
      </c>
      <c r="W300" t="s">
        <v>40</v>
      </c>
    </row>
    <row r="301" spans="1:25" x14ac:dyDescent="0.2">
      <c r="A301">
        <v>53.383049999999997</v>
      </c>
      <c r="B301">
        <v>-124.51208</v>
      </c>
      <c r="C301" t="s">
        <v>29</v>
      </c>
      <c r="D301">
        <v>166</v>
      </c>
      <c r="E301">
        <v>5</v>
      </c>
      <c r="F301" t="s">
        <v>841</v>
      </c>
      <c r="G301" t="str">
        <f t="shared" si="4"/>
        <v>KLUSKUS</v>
      </c>
      <c r="H301" t="s">
        <v>781</v>
      </c>
      <c r="I301">
        <v>1137</v>
      </c>
      <c r="K301" t="s">
        <v>836</v>
      </c>
      <c r="L301">
        <v>29952</v>
      </c>
      <c r="M301" t="s">
        <v>782</v>
      </c>
      <c r="N301" t="s">
        <v>783</v>
      </c>
      <c r="R301" t="s">
        <v>36</v>
      </c>
      <c r="S301" t="s">
        <v>37</v>
      </c>
      <c r="T301" t="s">
        <v>689</v>
      </c>
      <c r="W301" t="s">
        <v>40</v>
      </c>
      <c r="Y301" t="s">
        <v>358</v>
      </c>
    </row>
    <row r="302" spans="1:25" x14ac:dyDescent="0.2">
      <c r="A302">
        <v>54.361890000000002</v>
      </c>
      <c r="B302">
        <v>-125.52531</v>
      </c>
      <c r="C302" t="s">
        <v>272</v>
      </c>
      <c r="D302">
        <v>167</v>
      </c>
      <c r="E302">
        <v>3</v>
      </c>
      <c r="F302" t="s">
        <v>842</v>
      </c>
      <c r="G302" t="str">
        <f t="shared" si="4"/>
        <v>AUGIER LAKE</v>
      </c>
      <c r="H302" t="s">
        <v>781</v>
      </c>
      <c r="I302">
        <v>918</v>
      </c>
      <c r="L302">
        <v>30682</v>
      </c>
      <c r="M302" t="s">
        <v>782</v>
      </c>
      <c r="N302" t="s">
        <v>783</v>
      </c>
      <c r="R302" t="s">
        <v>36</v>
      </c>
      <c r="S302" t="s">
        <v>37</v>
      </c>
      <c r="T302" t="s">
        <v>38</v>
      </c>
      <c r="W302" t="s">
        <v>40</v>
      </c>
    </row>
    <row r="303" spans="1:25" x14ac:dyDescent="0.2">
      <c r="A303">
        <v>55.033329999999999</v>
      </c>
      <c r="B303">
        <v>-126.8</v>
      </c>
      <c r="C303" t="s">
        <v>272</v>
      </c>
      <c r="D303">
        <v>169</v>
      </c>
      <c r="E303">
        <v>3</v>
      </c>
      <c r="F303" t="s">
        <v>843</v>
      </c>
      <c r="G303" t="str">
        <f t="shared" si="4"/>
        <v>UPPER FULTON</v>
      </c>
      <c r="H303" t="s">
        <v>781</v>
      </c>
      <c r="I303">
        <v>900</v>
      </c>
      <c r="L303">
        <v>31413</v>
      </c>
      <c r="M303" t="s">
        <v>782</v>
      </c>
      <c r="N303" t="s">
        <v>783</v>
      </c>
      <c r="R303" t="s">
        <v>36</v>
      </c>
      <c r="S303" t="s">
        <v>37</v>
      </c>
      <c r="T303" t="s">
        <v>38</v>
      </c>
      <c r="W303" t="s">
        <v>40</v>
      </c>
    </row>
    <row r="304" spans="1:25" x14ac:dyDescent="0.2">
      <c r="A304">
        <v>53.501669999999997</v>
      </c>
      <c r="B304">
        <v>-125.77167</v>
      </c>
      <c r="C304" t="s">
        <v>29</v>
      </c>
      <c r="D304">
        <v>170</v>
      </c>
      <c r="E304">
        <v>4</v>
      </c>
      <c r="F304" t="s">
        <v>844</v>
      </c>
      <c r="G304" t="str">
        <f t="shared" si="4"/>
        <v>EAST OOTSA</v>
      </c>
      <c r="H304" t="s">
        <v>781</v>
      </c>
      <c r="I304">
        <v>1089</v>
      </c>
      <c r="J304" t="s">
        <v>253</v>
      </c>
      <c r="K304" t="s">
        <v>840</v>
      </c>
      <c r="L304">
        <v>31413</v>
      </c>
      <c r="M304" t="s">
        <v>782</v>
      </c>
      <c r="N304" t="s">
        <v>783</v>
      </c>
      <c r="R304" t="s">
        <v>36</v>
      </c>
      <c r="S304" t="s">
        <v>37</v>
      </c>
      <c r="T304" t="s">
        <v>689</v>
      </c>
      <c r="W304" t="s">
        <v>40</v>
      </c>
    </row>
    <row r="305" spans="1:23" x14ac:dyDescent="0.2">
      <c r="A305">
        <v>55.081829999999997</v>
      </c>
      <c r="B305">
        <v>-125.4774</v>
      </c>
      <c r="C305" t="s">
        <v>272</v>
      </c>
      <c r="D305">
        <v>171</v>
      </c>
      <c r="E305">
        <v>3</v>
      </c>
      <c r="F305" t="s">
        <v>845</v>
      </c>
      <c r="G305" t="str">
        <f t="shared" si="4"/>
        <v>LEO CREEK</v>
      </c>
      <c r="H305" t="s">
        <v>781</v>
      </c>
      <c r="I305">
        <v>915</v>
      </c>
      <c r="L305">
        <v>32509</v>
      </c>
      <c r="M305" t="s">
        <v>782</v>
      </c>
      <c r="N305" t="s">
        <v>783</v>
      </c>
      <c r="R305" t="s">
        <v>36</v>
      </c>
      <c r="S305" t="s">
        <v>37</v>
      </c>
      <c r="T305" t="s">
        <v>38</v>
      </c>
      <c r="W305" t="s">
        <v>40</v>
      </c>
    </row>
    <row r="306" spans="1:23" x14ac:dyDescent="0.2">
      <c r="A306">
        <v>55.553330000000003</v>
      </c>
      <c r="B306">
        <v>-126.57832999999999</v>
      </c>
      <c r="C306" t="s">
        <v>272</v>
      </c>
      <c r="D306">
        <v>172</v>
      </c>
      <c r="E306">
        <v>4</v>
      </c>
      <c r="F306" t="s">
        <v>846</v>
      </c>
      <c r="G306" t="str">
        <f t="shared" si="4"/>
        <v>NILKITKWA</v>
      </c>
      <c r="H306" t="s">
        <v>781</v>
      </c>
      <c r="I306">
        <v>978</v>
      </c>
      <c r="L306">
        <v>31413</v>
      </c>
      <c r="M306" t="s">
        <v>782</v>
      </c>
      <c r="N306" t="s">
        <v>783</v>
      </c>
      <c r="R306" t="s">
        <v>36</v>
      </c>
      <c r="S306" t="s">
        <v>37</v>
      </c>
      <c r="T306" t="s">
        <v>38</v>
      </c>
      <c r="W306" t="s">
        <v>40</v>
      </c>
    </row>
    <row r="307" spans="1:23" x14ac:dyDescent="0.2">
      <c r="A307">
        <v>55.136670000000002</v>
      </c>
      <c r="B307">
        <v>-126.21167</v>
      </c>
      <c r="C307" t="s">
        <v>272</v>
      </c>
      <c r="D307">
        <v>173</v>
      </c>
      <c r="E307">
        <v>3</v>
      </c>
      <c r="F307" t="s">
        <v>847</v>
      </c>
      <c r="G307" t="str">
        <f t="shared" si="4"/>
        <v>NORTH BABINE</v>
      </c>
      <c r="H307" t="s">
        <v>781</v>
      </c>
      <c r="I307">
        <v>951</v>
      </c>
      <c r="K307" t="s">
        <v>848</v>
      </c>
      <c r="L307">
        <v>31413</v>
      </c>
      <c r="M307" t="s">
        <v>782</v>
      </c>
      <c r="N307" t="s">
        <v>783</v>
      </c>
      <c r="R307" t="s">
        <v>36</v>
      </c>
      <c r="S307" t="s">
        <v>37</v>
      </c>
      <c r="T307" t="s">
        <v>38</v>
      </c>
      <c r="W307" t="s">
        <v>40</v>
      </c>
    </row>
    <row r="308" spans="1:23" x14ac:dyDescent="0.2">
      <c r="A308">
        <v>53.865389999999998</v>
      </c>
      <c r="B308">
        <v>-123.32317</v>
      </c>
      <c r="C308" t="s">
        <v>272</v>
      </c>
      <c r="D308">
        <v>175</v>
      </c>
      <c r="E308">
        <v>2</v>
      </c>
      <c r="F308" t="s">
        <v>849</v>
      </c>
      <c r="G308" t="str">
        <f t="shared" si="4"/>
        <v>BEDNESTI</v>
      </c>
      <c r="H308" t="s">
        <v>781</v>
      </c>
      <c r="I308">
        <v>858</v>
      </c>
      <c r="L308">
        <v>33970</v>
      </c>
      <c r="M308" t="s">
        <v>782</v>
      </c>
      <c r="N308" t="s">
        <v>783</v>
      </c>
      <c r="R308" t="s">
        <v>36</v>
      </c>
      <c r="S308" t="s">
        <v>37</v>
      </c>
      <c r="T308" t="s">
        <v>38</v>
      </c>
      <c r="W308" t="s">
        <v>40</v>
      </c>
    </row>
    <row r="309" spans="1:23" x14ac:dyDescent="0.2">
      <c r="A309">
        <v>53.986669999999997</v>
      </c>
      <c r="B309">
        <v>-126.52167</v>
      </c>
      <c r="C309" t="s">
        <v>29</v>
      </c>
      <c r="D309">
        <v>178</v>
      </c>
      <c r="E309">
        <v>1</v>
      </c>
      <c r="F309" t="s">
        <v>850</v>
      </c>
      <c r="G309" t="str">
        <f t="shared" si="4"/>
        <v>PEDEN</v>
      </c>
      <c r="H309" t="s">
        <v>781</v>
      </c>
      <c r="I309">
        <v>747</v>
      </c>
      <c r="K309" t="s">
        <v>851</v>
      </c>
      <c r="L309">
        <v>30682</v>
      </c>
      <c r="M309" t="s">
        <v>782</v>
      </c>
      <c r="N309" t="s">
        <v>783</v>
      </c>
      <c r="R309" t="s">
        <v>36</v>
      </c>
      <c r="S309" t="s">
        <v>37</v>
      </c>
      <c r="T309" t="s">
        <v>689</v>
      </c>
      <c r="W309" t="s">
        <v>40</v>
      </c>
    </row>
    <row r="310" spans="1:23" x14ac:dyDescent="0.2">
      <c r="A310">
        <v>53.942520000000002</v>
      </c>
      <c r="B310">
        <v>-126.9278</v>
      </c>
      <c r="C310" t="s">
        <v>29</v>
      </c>
      <c r="D310">
        <v>179</v>
      </c>
      <c r="E310">
        <v>3</v>
      </c>
      <c r="F310" t="s">
        <v>852</v>
      </c>
      <c r="G310" t="str">
        <f t="shared" si="4"/>
        <v>NADINA</v>
      </c>
      <c r="H310" t="s">
        <v>781</v>
      </c>
      <c r="I310">
        <v>954</v>
      </c>
      <c r="J310" t="s">
        <v>253</v>
      </c>
      <c r="K310" t="s">
        <v>836</v>
      </c>
      <c r="L310">
        <v>31048</v>
      </c>
      <c r="M310" t="s">
        <v>782</v>
      </c>
      <c r="N310" t="s">
        <v>783</v>
      </c>
      <c r="R310" t="s">
        <v>36</v>
      </c>
      <c r="S310" t="s">
        <v>37</v>
      </c>
      <c r="T310" t="s">
        <v>689</v>
      </c>
      <c r="W310" t="s">
        <v>40</v>
      </c>
    </row>
    <row r="311" spans="1:23" x14ac:dyDescent="0.2">
      <c r="A311">
        <v>54.074719999999999</v>
      </c>
      <c r="B311">
        <v>-127.39942000000001</v>
      </c>
      <c r="C311" t="s">
        <v>29</v>
      </c>
      <c r="D311">
        <v>180</v>
      </c>
      <c r="E311">
        <v>1</v>
      </c>
      <c r="F311" t="s">
        <v>853</v>
      </c>
      <c r="G311" t="str">
        <f t="shared" si="4"/>
        <v>MCBRIDE LAKE</v>
      </c>
      <c r="H311" t="s">
        <v>781</v>
      </c>
      <c r="I311">
        <v>810</v>
      </c>
      <c r="L311">
        <v>32874</v>
      </c>
      <c r="M311" t="s">
        <v>782</v>
      </c>
      <c r="N311" t="s">
        <v>783</v>
      </c>
      <c r="R311" t="s">
        <v>36</v>
      </c>
      <c r="S311" t="s">
        <v>37</v>
      </c>
      <c r="T311" t="s">
        <v>689</v>
      </c>
      <c r="W311" t="s">
        <v>40</v>
      </c>
    </row>
    <row r="312" spans="1:23" x14ac:dyDescent="0.2">
      <c r="A312">
        <v>54.259099999999997</v>
      </c>
      <c r="B312">
        <v>-125.7598</v>
      </c>
      <c r="C312" t="s">
        <v>29</v>
      </c>
      <c r="D312">
        <v>181</v>
      </c>
      <c r="E312">
        <v>1</v>
      </c>
      <c r="F312" t="s">
        <v>854</v>
      </c>
      <c r="G312" t="str">
        <f t="shared" si="4"/>
        <v>BURNS LAKE 850M</v>
      </c>
      <c r="H312" t="s">
        <v>781</v>
      </c>
      <c r="I312">
        <v>830</v>
      </c>
      <c r="L312">
        <v>33970</v>
      </c>
      <c r="M312" t="s">
        <v>782</v>
      </c>
      <c r="N312" t="s">
        <v>783</v>
      </c>
      <c r="R312" t="s">
        <v>36</v>
      </c>
      <c r="S312" t="s">
        <v>37</v>
      </c>
      <c r="T312" t="s">
        <v>38</v>
      </c>
      <c r="W312" t="s">
        <v>40</v>
      </c>
    </row>
    <row r="313" spans="1:23" x14ac:dyDescent="0.2">
      <c r="A313">
        <v>54.801000000000002</v>
      </c>
      <c r="B313">
        <v>-126.94833</v>
      </c>
      <c r="C313" t="s">
        <v>29</v>
      </c>
      <c r="D313">
        <v>182</v>
      </c>
      <c r="E313">
        <v>1</v>
      </c>
      <c r="F313" t="s">
        <v>855</v>
      </c>
      <c r="G313" t="str">
        <f t="shared" si="4"/>
        <v>GANOKWA</v>
      </c>
      <c r="H313" t="s">
        <v>781</v>
      </c>
      <c r="I313">
        <v>844</v>
      </c>
      <c r="L313">
        <v>33970</v>
      </c>
      <c r="M313" t="s">
        <v>782</v>
      </c>
      <c r="N313" t="s">
        <v>783</v>
      </c>
      <c r="R313" t="s">
        <v>36</v>
      </c>
      <c r="S313" t="s">
        <v>37</v>
      </c>
      <c r="T313" t="s">
        <v>38</v>
      </c>
      <c r="W313" t="s">
        <v>40</v>
      </c>
    </row>
    <row r="314" spans="1:23" x14ac:dyDescent="0.2">
      <c r="A314">
        <v>54.01867</v>
      </c>
      <c r="B314">
        <v>-126.38889</v>
      </c>
      <c r="C314" t="s">
        <v>29</v>
      </c>
      <c r="D314">
        <v>183</v>
      </c>
      <c r="E314">
        <v>6</v>
      </c>
      <c r="F314" t="s">
        <v>856</v>
      </c>
      <c r="G314" t="str">
        <f t="shared" si="4"/>
        <v>PARROTT</v>
      </c>
      <c r="H314" t="s">
        <v>781</v>
      </c>
      <c r="I314">
        <v>1259</v>
      </c>
      <c r="L314">
        <v>34700</v>
      </c>
      <c r="M314" t="s">
        <v>782</v>
      </c>
      <c r="N314" t="s">
        <v>783</v>
      </c>
      <c r="R314" t="s">
        <v>36</v>
      </c>
      <c r="S314" t="s">
        <v>37</v>
      </c>
      <c r="T314" t="s">
        <v>38</v>
      </c>
      <c r="W314" t="s">
        <v>40</v>
      </c>
    </row>
    <row r="315" spans="1:23" x14ac:dyDescent="0.2">
      <c r="A315">
        <v>53.411279999999998</v>
      </c>
      <c r="B315">
        <v>-122.59575</v>
      </c>
      <c r="C315" t="s">
        <v>29</v>
      </c>
      <c r="D315">
        <v>187</v>
      </c>
      <c r="E315">
        <v>1</v>
      </c>
      <c r="F315" t="s">
        <v>857</v>
      </c>
      <c r="G315" t="str">
        <f t="shared" si="4"/>
        <v>HIXON</v>
      </c>
      <c r="H315" t="s">
        <v>781</v>
      </c>
      <c r="I315">
        <v>615</v>
      </c>
      <c r="L315">
        <v>27760</v>
      </c>
      <c r="M315" t="s">
        <v>782</v>
      </c>
      <c r="N315" t="s">
        <v>783</v>
      </c>
      <c r="R315" t="s">
        <v>36</v>
      </c>
      <c r="S315" t="s">
        <v>37</v>
      </c>
      <c r="T315" t="s">
        <v>38</v>
      </c>
      <c r="W315" t="s">
        <v>40</v>
      </c>
    </row>
    <row r="316" spans="1:23" x14ac:dyDescent="0.2">
      <c r="A316">
        <v>53.493780000000001</v>
      </c>
      <c r="B316">
        <v>-123.60878</v>
      </c>
      <c r="C316" t="s">
        <v>29</v>
      </c>
      <c r="D316">
        <v>189</v>
      </c>
      <c r="E316">
        <v>1</v>
      </c>
      <c r="F316" t="s">
        <v>858</v>
      </c>
      <c r="G316" t="str">
        <f t="shared" si="4"/>
        <v>CHILAKO</v>
      </c>
      <c r="H316" t="s">
        <v>781</v>
      </c>
      <c r="I316">
        <v>814</v>
      </c>
      <c r="L316">
        <v>31413</v>
      </c>
      <c r="M316" t="s">
        <v>782</v>
      </c>
      <c r="N316" t="s">
        <v>783</v>
      </c>
      <c r="R316" t="s">
        <v>36</v>
      </c>
      <c r="S316" t="s">
        <v>37</v>
      </c>
      <c r="T316" t="s">
        <v>38</v>
      </c>
      <c r="W316" t="s">
        <v>40</v>
      </c>
    </row>
    <row r="317" spans="1:23" x14ac:dyDescent="0.2">
      <c r="A317">
        <v>53.525939999999999</v>
      </c>
      <c r="B317">
        <v>-122.10550000000001</v>
      </c>
      <c r="C317" t="s">
        <v>61</v>
      </c>
      <c r="D317">
        <v>190</v>
      </c>
      <c r="E317">
        <v>2</v>
      </c>
      <c r="F317" t="s">
        <v>859</v>
      </c>
      <c r="G317" t="str">
        <f t="shared" si="4"/>
        <v>JERRY</v>
      </c>
      <c r="H317" t="s">
        <v>781</v>
      </c>
      <c r="I317">
        <v>997</v>
      </c>
      <c r="L317">
        <v>32143</v>
      </c>
      <c r="M317" t="s">
        <v>782</v>
      </c>
      <c r="N317" t="s">
        <v>783</v>
      </c>
      <c r="R317" t="s">
        <v>36</v>
      </c>
      <c r="S317" t="s">
        <v>37</v>
      </c>
      <c r="T317" t="s">
        <v>38</v>
      </c>
      <c r="W317" t="s">
        <v>40</v>
      </c>
    </row>
    <row r="318" spans="1:23" x14ac:dyDescent="0.2">
      <c r="A318">
        <v>53.928890000000003</v>
      </c>
      <c r="B318">
        <v>-120.63569</v>
      </c>
      <c r="C318" t="s">
        <v>272</v>
      </c>
      <c r="D318">
        <v>192</v>
      </c>
      <c r="E318">
        <v>3</v>
      </c>
      <c r="F318" t="s">
        <v>860</v>
      </c>
      <c r="G318" t="str">
        <f t="shared" si="4"/>
        <v>MCGREGOR 2</v>
      </c>
      <c r="H318" t="s">
        <v>781</v>
      </c>
      <c r="I318">
        <v>975</v>
      </c>
      <c r="L318">
        <v>31413</v>
      </c>
      <c r="M318" t="s">
        <v>782</v>
      </c>
      <c r="N318" t="s">
        <v>783</v>
      </c>
      <c r="R318" t="s">
        <v>36</v>
      </c>
      <c r="S318" t="s">
        <v>37</v>
      </c>
      <c r="T318" t="s">
        <v>38</v>
      </c>
      <c r="W318" t="s">
        <v>40</v>
      </c>
    </row>
    <row r="319" spans="1:23" x14ac:dyDescent="0.2">
      <c r="A319">
        <v>53.463140000000003</v>
      </c>
      <c r="B319">
        <v>-121.56032999999999</v>
      </c>
      <c r="C319" t="s">
        <v>61</v>
      </c>
      <c r="D319">
        <v>193</v>
      </c>
      <c r="E319">
        <v>2</v>
      </c>
      <c r="F319" t="s">
        <v>861</v>
      </c>
      <c r="G319" t="str">
        <f t="shared" si="4"/>
        <v>BOWRON HAGGEN</v>
      </c>
      <c r="H319" t="s">
        <v>781</v>
      </c>
      <c r="I319">
        <v>945</v>
      </c>
      <c r="L319">
        <v>31413</v>
      </c>
      <c r="M319" t="s">
        <v>782</v>
      </c>
      <c r="N319" t="s">
        <v>783</v>
      </c>
      <c r="R319" t="s">
        <v>36</v>
      </c>
      <c r="S319" t="s">
        <v>37</v>
      </c>
      <c r="T319" t="s">
        <v>38</v>
      </c>
      <c r="W319" t="s">
        <v>40</v>
      </c>
    </row>
    <row r="320" spans="1:23" x14ac:dyDescent="0.2">
      <c r="A320">
        <v>53.294829999999997</v>
      </c>
      <c r="B320">
        <v>-120.15278000000001</v>
      </c>
      <c r="C320" t="s">
        <v>61</v>
      </c>
      <c r="D320">
        <v>195</v>
      </c>
      <c r="E320">
        <v>1</v>
      </c>
      <c r="F320" t="s">
        <v>862</v>
      </c>
      <c r="G320" t="str">
        <f t="shared" si="4"/>
        <v>MCBRIDE HUB</v>
      </c>
      <c r="H320" t="s">
        <v>781</v>
      </c>
      <c r="I320">
        <v>716</v>
      </c>
      <c r="J320" t="s">
        <v>253</v>
      </c>
      <c r="K320" t="s">
        <v>788</v>
      </c>
      <c r="L320">
        <v>29221</v>
      </c>
      <c r="M320" t="s">
        <v>782</v>
      </c>
      <c r="N320" t="s">
        <v>783</v>
      </c>
      <c r="R320" t="s">
        <v>36</v>
      </c>
      <c r="S320" t="s">
        <v>37</v>
      </c>
      <c r="T320" t="s">
        <v>689</v>
      </c>
      <c r="W320" t="s">
        <v>40</v>
      </c>
    </row>
    <row r="321" spans="1:23" x14ac:dyDescent="0.2">
      <c r="A321">
        <v>53.576439999999998</v>
      </c>
      <c r="B321">
        <v>-120.85844</v>
      </c>
      <c r="C321" t="s">
        <v>61</v>
      </c>
      <c r="D321">
        <v>199</v>
      </c>
      <c r="E321">
        <v>1</v>
      </c>
      <c r="F321" t="s">
        <v>863</v>
      </c>
      <c r="G321" t="str">
        <f t="shared" si="4"/>
        <v>CATFISH</v>
      </c>
      <c r="H321" t="s">
        <v>781</v>
      </c>
      <c r="I321">
        <v>866</v>
      </c>
      <c r="L321">
        <v>31413</v>
      </c>
      <c r="M321" t="s">
        <v>782</v>
      </c>
      <c r="N321" t="s">
        <v>783</v>
      </c>
      <c r="R321" t="s">
        <v>36</v>
      </c>
      <c r="S321" t="s">
        <v>37</v>
      </c>
      <c r="T321" t="s">
        <v>38</v>
      </c>
      <c r="W321" t="s">
        <v>40</v>
      </c>
    </row>
    <row r="322" spans="1:23" x14ac:dyDescent="0.2">
      <c r="A322">
        <v>52.788049999999998</v>
      </c>
      <c r="B322">
        <v>-119.31480999999999</v>
      </c>
      <c r="C322" t="s">
        <v>61</v>
      </c>
      <c r="D322">
        <v>200</v>
      </c>
      <c r="E322">
        <v>3</v>
      </c>
      <c r="F322" t="s">
        <v>864</v>
      </c>
      <c r="G322" t="str">
        <f t="shared" ref="G322:G385" si="5">UPPER(F322)</f>
        <v>VALEMOUNT 2</v>
      </c>
      <c r="H322" t="s">
        <v>781</v>
      </c>
      <c r="I322">
        <v>1195</v>
      </c>
      <c r="L322">
        <v>31413</v>
      </c>
      <c r="M322" t="s">
        <v>782</v>
      </c>
      <c r="N322" t="s">
        <v>783</v>
      </c>
      <c r="R322" t="s">
        <v>36</v>
      </c>
      <c r="S322" t="s">
        <v>37</v>
      </c>
      <c r="T322" t="s">
        <v>38</v>
      </c>
      <c r="W322" t="s">
        <v>40</v>
      </c>
    </row>
    <row r="323" spans="1:23" x14ac:dyDescent="0.2">
      <c r="A323">
        <v>52.534999999999997</v>
      </c>
      <c r="B323">
        <v>-123.25</v>
      </c>
      <c r="C323" t="s">
        <v>29</v>
      </c>
      <c r="D323">
        <v>206</v>
      </c>
      <c r="E323">
        <v>4</v>
      </c>
      <c r="F323" t="s">
        <v>865</v>
      </c>
      <c r="G323" t="str">
        <f t="shared" si="5"/>
        <v>TAUTRI</v>
      </c>
      <c r="H323" t="s">
        <v>781</v>
      </c>
      <c r="I323">
        <v>1085</v>
      </c>
      <c r="L323">
        <v>25569</v>
      </c>
      <c r="M323" t="s">
        <v>782</v>
      </c>
      <c r="N323" t="s">
        <v>783</v>
      </c>
      <c r="R323" t="s">
        <v>36</v>
      </c>
      <c r="S323" t="s">
        <v>37</v>
      </c>
      <c r="T323" t="s">
        <v>38</v>
      </c>
      <c r="W323" t="s">
        <v>40</v>
      </c>
    </row>
    <row r="324" spans="1:23" x14ac:dyDescent="0.2">
      <c r="A324">
        <v>51.906669999999998</v>
      </c>
      <c r="B324">
        <v>-124.605</v>
      </c>
      <c r="C324" t="s">
        <v>29</v>
      </c>
      <c r="D324">
        <v>208</v>
      </c>
      <c r="E324">
        <v>2</v>
      </c>
      <c r="F324" t="s">
        <v>866</v>
      </c>
      <c r="G324" t="str">
        <f t="shared" si="5"/>
        <v>TATLA LAKE HUB</v>
      </c>
      <c r="H324" t="s">
        <v>781</v>
      </c>
      <c r="I324">
        <v>945</v>
      </c>
      <c r="J324" t="s">
        <v>253</v>
      </c>
      <c r="L324">
        <v>29221</v>
      </c>
      <c r="M324" t="s">
        <v>782</v>
      </c>
      <c r="N324" t="s">
        <v>783</v>
      </c>
      <c r="R324" t="s">
        <v>36</v>
      </c>
      <c r="S324" t="s">
        <v>37</v>
      </c>
      <c r="T324" t="s">
        <v>38</v>
      </c>
      <c r="W324" t="s">
        <v>40</v>
      </c>
    </row>
    <row r="325" spans="1:23" x14ac:dyDescent="0.2">
      <c r="A325">
        <v>52.083770000000001</v>
      </c>
      <c r="B325">
        <v>-123.27327</v>
      </c>
      <c r="C325" t="s">
        <v>29</v>
      </c>
      <c r="D325">
        <v>209</v>
      </c>
      <c r="E325">
        <v>1</v>
      </c>
      <c r="F325" t="s">
        <v>867</v>
      </c>
      <c r="G325" t="str">
        <f t="shared" si="5"/>
        <v>ALEXIS CREEK</v>
      </c>
      <c r="H325" t="s">
        <v>781</v>
      </c>
      <c r="I325">
        <v>791</v>
      </c>
      <c r="J325" t="s">
        <v>253</v>
      </c>
      <c r="K325" t="s">
        <v>790</v>
      </c>
      <c r="L325">
        <v>29221</v>
      </c>
      <c r="M325" t="s">
        <v>782</v>
      </c>
      <c r="N325" t="s">
        <v>783</v>
      </c>
      <c r="R325" t="s">
        <v>36</v>
      </c>
      <c r="S325" t="s">
        <v>37</v>
      </c>
      <c r="T325" t="s">
        <v>689</v>
      </c>
      <c r="U325" t="s">
        <v>39</v>
      </c>
      <c r="W325" t="s">
        <v>40</v>
      </c>
    </row>
    <row r="326" spans="1:23" x14ac:dyDescent="0.2">
      <c r="A326">
        <v>51.96</v>
      </c>
      <c r="B326">
        <v>-122.51</v>
      </c>
      <c r="C326" t="s">
        <v>29</v>
      </c>
      <c r="D326">
        <v>210</v>
      </c>
      <c r="E326">
        <v>2</v>
      </c>
      <c r="F326" t="s">
        <v>868</v>
      </c>
      <c r="G326" t="str">
        <f t="shared" si="5"/>
        <v>RISKE CREEK</v>
      </c>
      <c r="H326" t="s">
        <v>781</v>
      </c>
      <c r="I326">
        <v>884</v>
      </c>
      <c r="L326">
        <v>29221</v>
      </c>
      <c r="M326" t="s">
        <v>782</v>
      </c>
      <c r="N326" t="s">
        <v>783</v>
      </c>
      <c r="R326" t="s">
        <v>36</v>
      </c>
      <c r="S326" t="s">
        <v>37</v>
      </c>
      <c r="T326" t="s">
        <v>38</v>
      </c>
      <c r="W326" t="s">
        <v>40</v>
      </c>
    </row>
    <row r="327" spans="1:23" x14ac:dyDescent="0.2">
      <c r="A327">
        <v>52.957500000000003</v>
      </c>
      <c r="B327">
        <v>-123.5958</v>
      </c>
      <c r="C327" t="s">
        <v>29</v>
      </c>
      <c r="D327">
        <v>211</v>
      </c>
      <c r="E327">
        <v>2</v>
      </c>
      <c r="F327" t="s">
        <v>869</v>
      </c>
      <c r="G327" t="str">
        <f t="shared" si="5"/>
        <v>NAZKO</v>
      </c>
      <c r="H327" t="s">
        <v>781</v>
      </c>
      <c r="I327">
        <v>910</v>
      </c>
      <c r="J327" t="s">
        <v>253</v>
      </c>
      <c r="K327" t="s">
        <v>790</v>
      </c>
      <c r="L327">
        <v>29587</v>
      </c>
      <c r="M327" t="s">
        <v>782</v>
      </c>
      <c r="N327" t="s">
        <v>783</v>
      </c>
      <c r="R327" t="s">
        <v>36</v>
      </c>
      <c r="S327" t="s">
        <v>37</v>
      </c>
      <c r="T327" t="s">
        <v>689</v>
      </c>
      <c r="U327" t="s">
        <v>39</v>
      </c>
      <c r="W327" t="s">
        <v>40</v>
      </c>
    </row>
    <row r="328" spans="1:23" x14ac:dyDescent="0.2">
      <c r="A328">
        <v>51.816670000000002</v>
      </c>
      <c r="B328">
        <v>-122</v>
      </c>
      <c r="C328" t="s">
        <v>29</v>
      </c>
      <c r="D328">
        <v>212</v>
      </c>
      <c r="E328">
        <v>4</v>
      </c>
      <c r="F328" t="s">
        <v>870</v>
      </c>
      <c r="G328" t="str">
        <f t="shared" si="5"/>
        <v>PLACE LAKE</v>
      </c>
      <c r="H328" t="s">
        <v>781</v>
      </c>
      <c r="I328">
        <v>1065</v>
      </c>
      <c r="L328">
        <v>29587</v>
      </c>
      <c r="M328" t="s">
        <v>782</v>
      </c>
      <c r="N328" t="s">
        <v>783</v>
      </c>
      <c r="R328" t="s">
        <v>36</v>
      </c>
      <c r="S328" t="s">
        <v>37</v>
      </c>
      <c r="T328" t="s">
        <v>38</v>
      </c>
      <c r="W328" t="s">
        <v>40</v>
      </c>
    </row>
    <row r="329" spans="1:23" x14ac:dyDescent="0.2">
      <c r="A329">
        <v>52.456670000000003</v>
      </c>
      <c r="B329">
        <v>-125.30333</v>
      </c>
      <c r="C329" t="s">
        <v>29</v>
      </c>
      <c r="D329">
        <v>213</v>
      </c>
      <c r="E329">
        <v>4</v>
      </c>
      <c r="F329" t="s">
        <v>871</v>
      </c>
      <c r="G329" t="str">
        <f t="shared" si="5"/>
        <v>ANAHIM LAKE HUB</v>
      </c>
      <c r="H329" t="s">
        <v>781</v>
      </c>
      <c r="I329">
        <v>1096</v>
      </c>
      <c r="J329" t="s">
        <v>253</v>
      </c>
      <c r="K329" t="s">
        <v>790</v>
      </c>
      <c r="L329">
        <v>29587</v>
      </c>
      <c r="M329" t="s">
        <v>782</v>
      </c>
      <c r="N329" t="s">
        <v>783</v>
      </c>
      <c r="R329" t="s">
        <v>36</v>
      </c>
      <c r="S329" t="s">
        <v>37</v>
      </c>
      <c r="T329" t="s">
        <v>689</v>
      </c>
      <c r="U329" t="s">
        <v>39</v>
      </c>
      <c r="W329" t="s">
        <v>40</v>
      </c>
    </row>
    <row r="330" spans="1:23" x14ac:dyDescent="0.2">
      <c r="A330">
        <v>51.48</v>
      </c>
      <c r="B330">
        <v>-123.81833</v>
      </c>
      <c r="C330" t="s">
        <v>29</v>
      </c>
      <c r="D330">
        <v>216</v>
      </c>
      <c r="E330">
        <v>6</v>
      </c>
      <c r="F330" t="s">
        <v>872</v>
      </c>
      <c r="G330" t="str">
        <f t="shared" si="5"/>
        <v>NEMIAH</v>
      </c>
      <c r="H330" t="s">
        <v>781</v>
      </c>
      <c r="I330">
        <v>1220</v>
      </c>
      <c r="L330">
        <v>29952</v>
      </c>
      <c r="M330" t="s">
        <v>782</v>
      </c>
      <c r="N330" t="s">
        <v>783</v>
      </c>
      <c r="R330" t="s">
        <v>36</v>
      </c>
      <c r="S330" t="s">
        <v>37</v>
      </c>
      <c r="T330" t="s">
        <v>38</v>
      </c>
      <c r="W330" t="s">
        <v>40</v>
      </c>
    </row>
    <row r="331" spans="1:23" x14ac:dyDescent="0.2">
      <c r="A331">
        <v>51.506999999999998</v>
      </c>
      <c r="B331">
        <v>-121.16200000000001</v>
      </c>
      <c r="C331" t="s">
        <v>29</v>
      </c>
      <c r="D331">
        <v>218</v>
      </c>
      <c r="E331">
        <v>5</v>
      </c>
      <c r="F331" t="s">
        <v>873</v>
      </c>
      <c r="G331" t="str">
        <f t="shared" si="5"/>
        <v>LONE BUTTE</v>
      </c>
      <c r="H331" t="s">
        <v>781</v>
      </c>
      <c r="I331">
        <v>1158</v>
      </c>
      <c r="L331">
        <v>31778</v>
      </c>
      <c r="M331" t="s">
        <v>782</v>
      </c>
      <c r="N331" t="s">
        <v>783</v>
      </c>
      <c r="R331" t="s">
        <v>36</v>
      </c>
      <c r="S331" t="s">
        <v>37</v>
      </c>
      <c r="T331" t="s">
        <v>38</v>
      </c>
      <c r="W331" t="s">
        <v>40</v>
      </c>
    </row>
    <row r="332" spans="1:23" x14ac:dyDescent="0.2">
      <c r="A332">
        <v>52.710099999999997</v>
      </c>
      <c r="B332">
        <v>-124.48224999999999</v>
      </c>
      <c r="C332" t="s">
        <v>29</v>
      </c>
      <c r="D332">
        <v>221</v>
      </c>
      <c r="E332">
        <v>8</v>
      </c>
      <c r="F332" t="s">
        <v>874</v>
      </c>
      <c r="G332" t="str">
        <f t="shared" si="5"/>
        <v>BALDFACE</v>
      </c>
      <c r="H332" t="s">
        <v>781</v>
      </c>
      <c r="I332">
        <v>1666</v>
      </c>
      <c r="L332">
        <v>33604</v>
      </c>
      <c r="M332" t="s">
        <v>782</v>
      </c>
      <c r="N332" t="s">
        <v>783</v>
      </c>
      <c r="R332" t="s">
        <v>36</v>
      </c>
      <c r="S332" t="s">
        <v>37</v>
      </c>
      <c r="T332" t="s">
        <v>38</v>
      </c>
      <c r="W332" t="s">
        <v>40</v>
      </c>
    </row>
    <row r="333" spans="1:23" x14ac:dyDescent="0.2">
      <c r="A333">
        <v>51.45167</v>
      </c>
      <c r="B333">
        <v>-122.66167</v>
      </c>
      <c r="C333" t="s">
        <v>29</v>
      </c>
      <c r="D333">
        <v>222</v>
      </c>
      <c r="E333">
        <v>8</v>
      </c>
      <c r="F333" t="s">
        <v>875</v>
      </c>
      <c r="G333" t="str">
        <f t="shared" si="5"/>
        <v>GASPARD</v>
      </c>
      <c r="H333" t="s">
        <v>781</v>
      </c>
      <c r="I333">
        <v>1675</v>
      </c>
      <c r="L333">
        <v>33604</v>
      </c>
      <c r="M333" t="s">
        <v>782</v>
      </c>
      <c r="N333" t="s">
        <v>783</v>
      </c>
      <c r="R333" t="s">
        <v>36</v>
      </c>
      <c r="S333" t="s">
        <v>37</v>
      </c>
      <c r="T333" t="s">
        <v>38</v>
      </c>
      <c r="W333" t="s">
        <v>40</v>
      </c>
    </row>
    <row r="334" spans="1:23" x14ac:dyDescent="0.2">
      <c r="A334">
        <v>52.049720000000001</v>
      </c>
      <c r="B334">
        <v>-121.87383</v>
      </c>
      <c r="C334" t="s">
        <v>29</v>
      </c>
      <c r="D334">
        <v>225</v>
      </c>
      <c r="E334">
        <v>1</v>
      </c>
      <c r="F334" t="s">
        <v>876</v>
      </c>
      <c r="G334" t="str">
        <f t="shared" si="5"/>
        <v>KNIFE</v>
      </c>
      <c r="H334" t="s">
        <v>781</v>
      </c>
      <c r="I334">
        <v>821</v>
      </c>
      <c r="L334">
        <v>33239</v>
      </c>
      <c r="M334" t="s">
        <v>782</v>
      </c>
      <c r="N334" t="s">
        <v>783</v>
      </c>
      <c r="R334" t="s">
        <v>36</v>
      </c>
      <c r="S334" t="s">
        <v>37</v>
      </c>
      <c r="T334" t="s">
        <v>38</v>
      </c>
      <c r="W334" t="s">
        <v>40</v>
      </c>
    </row>
    <row r="335" spans="1:23" x14ac:dyDescent="0.2">
      <c r="A335">
        <v>51.70167</v>
      </c>
      <c r="B335">
        <v>-124.875</v>
      </c>
      <c r="C335" t="s">
        <v>29</v>
      </c>
      <c r="D335">
        <v>226</v>
      </c>
      <c r="E335">
        <v>2</v>
      </c>
      <c r="F335" t="s">
        <v>877</v>
      </c>
      <c r="G335" t="str">
        <f t="shared" si="5"/>
        <v>MIDDLE LAKE</v>
      </c>
      <c r="H335" t="s">
        <v>781</v>
      </c>
      <c r="I335">
        <v>915</v>
      </c>
      <c r="L335">
        <v>32509</v>
      </c>
      <c r="M335" t="s">
        <v>782</v>
      </c>
      <c r="N335" t="s">
        <v>783</v>
      </c>
      <c r="R335" t="s">
        <v>36</v>
      </c>
      <c r="S335" t="s">
        <v>37</v>
      </c>
      <c r="T335" t="s">
        <v>38</v>
      </c>
      <c r="W335" t="s">
        <v>40</v>
      </c>
    </row>
    <row r="336" spans="1:23" x14ac:dyDescent="0.2">
      <c r="A336">
        <v>52.47</v>
      </c>
      <c r="B336">
        <v>-121.74167</v>
      </c>
      <c r="C336" t="s">
        <v>61</v>
      </c>
      <c r="D336">
        <v>227</v>
      </c>
      <c r="E336">
        <v>2</v>
      </c>
      <c r="F336" t="s">
        <v>878</v>
      </c>
      <c r="G336" t="str">
        <f t="shared" si="5"/>
        <v>GAVIN</v>
      </c>
      <c r="H336" t="s">
        <v>781</v>
      </c>
      <c r="I336">
        <v>1081</v>
      </c>
      <c r="J336" t="s">
        <v>253</v>
      </c>
      <c r="L336">
        <v>29587</v>
      </c>
      <c r="M336" t="s">
        <v>782</v>
      </c>
      <c r="N336" t="s">
        <v>783</v>
      </c>
      <c r="R336" t="s">
        <v>36</v>
      </c>
      <c r="S336" t="s">
        <v>37</v>
      </c>
      <c r="T336" t="s">
        <v>38</v>
      </c>
      <c r="W336" t="s">
        <v>40</v>
      </c>
    </row>
    <row r="337" spans="1:23" x14ac:dyDescent="0.2">
      <c r="A337">
        <v>52.91</v>
      </c>
      <c r="B337">
        <v>-122.065</v>
      </c>
      <c r="C337" t="s">
        <v>29</v>
      </c>
      <c r="D337">
        <v>228</v>
      </c>
      <c r="E337">
        <v>3</v>
      </c>
      <c r="F337" t="s">
        <v>879</v>
      </c>
      <c r="G337" t="str">
        <f t="shared" si="5"/>
        <v>BENSON</v>
      </c>
      <c r="H337" t="s">
        <v>781</v>
      </c>
      <c r="I337">
        <v>1006</v>
      </c>
      <c r="L337">
        <v>31778</v>
      </c>
      <c r="M337" t="s">
        <v>782</v>
      </c>
      <c r="N337" t="s">
        <v>783</v>
      </c>
      <c r="R337" t="s">
        <v>36</v>
      </c>
      <c r="S337" t="s">
        <v>37</v>
      </c>
      <c r="T337" t="s">
        <v>38</v>
      </c>
      <c r="W337" t="s">
        <v>40</v>
      </c>
    </row>
    <row r="338" spans="1:23" x14ac:dyDescent="0.2">
      <c r="A338">
        <v>52.33</v>
      </c>
      <c r="B338">
        <v>-121.39667</v>
      </c>
      <c r="C338" t="s">
        <v>29</v>
      </c>
      <c r="D338">
        <v>230</v>
      </c>
      <c r="E338">
        <v>1</v>
      </c>
      <c r="F338" t="s">
        <v>880</v>
      </c>
      <c r="G338" t="str">
        <f t="shared" si="5"/>
        <v>HORSEFLY</v>
      </c>
      <c r="H338" t="s">
        <v>781</v>
      </c>
      <c r="I338">
        <v>701</v>
      </c>
      <c r="J338" t="s">
        <v>253</v>
      </c>
      <c r="K338" t="s">
        <v>790</v>
      </c>
      <c r="L338">
        <v>25934</v>
      </c>
      <c r="M338" t="s">
        <v>782</v>
      </c>
      <c r="N338" t="s">
        <v>783</v>
      </c>
      <c r="R338" t="s">
        <v>36</v>
      </c>
      <c r="S338" t="s">
        <v>37</v>
      </c>
      <c r="T338" t="s">
        <v>689</v>
      </c>
      <c r="U338" t="s">
        <v>39</v>
      </c>
      <c r="W338" t="s">
        <v>40</v>
      </c>
    </row>
    <row r="339" spans="1:23" x14ac:dyDescent="0.2">
      <c r="A339">
        <v>51.723779999999998</v>
      </c>
      <c r="B339">
        <v>-120.38993000000001</v>
      </c>
      <c r="C339" t="s">
        <v>29</v>
      </c>
      <c r="D339">
        <v>232</v>
      </c>
      <c r="E339">
        <v>5</v>
      </c>
      <c r="F339" t="s">
        <v>881</v>
      </c>
      <c r="G339" t="str">
        <f t="shared" si="5"/>
        <v>COLDSCAUR LAKE</v>
      </c>
      <c r="H339" t="s">
        <v>781</v>
      </c>
      <c r="I339">
        <v>1124</v>
      </c>
      <c r="L339">
        <v>28856</v>
      </c>
      <c r="M339" t="s">
        <v>782</v>
      </c>
      <c r="N339" t="s">
        <v>783</v>
      </c>
      <c r="R339" t="s">
        <v>36</v>
      </c>
      <c r="S339" t="s">
        <v>37</v>
      </c>
      <c r="T339" t="s">
        <v>38</v>
      </c>
      <c r="W339" t="s">
        <v>40</v>
      </c>
    </row>
    <row r="340" spans="1:23" x14ac:dyDescent="0.2">
      <c r="A340">
        <v>52.251350000000002</v>
      </c>
      <c r="B340">
        <v>-126.02837</v>
      </c>
      <c r="C340" t="s">
        <v>204</v>
      </c>
      <c r="D340">
        <v>233</v>
      </c>
      <c r="E340">
        <v>2</v>
      </c>
      <c r="F340" t="s">
        <v>882</v>
      </c>
      <c r="G340" t="str">
        <f t="shared" si="5"/>
        <v>TALCHAKO</v>
      </c>
      <c r="H340" t="s">
        <v>781</v>
      </c>
      <c r="I340">
        <v>270</v>
      </c>
      <c r="L340">
        <v>32874</v>
      </c>
      <c r="M340" t="s">
        <v>782</v>
      </c>
      <c r="N340" t="s">
        <v>783</v>
      </c>
      <c r="R340" t="s">
        <v>36</v>
      </c>
      <c r="S340" t="s">
        <v>37</v>
      </c>
      <c r="T340" t="s">
        <v>38</v>
      </c>
      <c r="W340" t="s">
        <v>40</v>
      </c>
    </row>
    <row r="341" spans="1:23" x14ac:dyDescent="0.2">
      <c r="A341">
        <v>51.912999999999997</v>
      </c>
      <c r="B341">
        <v>-121.389</v>
      </c>
      <c r="C341" t="s">
        <v>29</v>
      </c>
      <c r="D341">
        <v>234</v>
      </c>
      <c r="E341">
        <v>5</v>
      </c>
      <c r="F341" t="s">
        <v>883</v>
      </c>
      <c r="G341" t="str">
        <f t="shared" si="5"/>
        <v>TIMOTHY</v>
      </c>
      <c r="H341" t="s">
        <v>781</v>
      </c>
      <c r="I341">
        <v>1161</v>
      </c>
      <c r="L341">
        <v>32874</v>
      </c>
      <c r="M341" t="s">
        <v>782</v>
      </c>
      <c r="N341" t="s">
        <v>783</v>
      </c>
      <c r="R341" t="s">
        <v>36</v>
      </c>
      <c r="S341" t="s">
        <v>37</v>
      </c>
      <c r="T341" t="s">
        <v>38</v>
      </c>
      <c r="W341" t="s">
        <v>40</v>
      </c>
    </row>
    <row r="342" spans="1:23" x14ac:dyDescent="0.2">
      <c r="A342">
        <v>51.237769999999998</v>
      </c>
      <c r="B342">
        <v>-120.99762</v>
      </c>
      <c r="C342" t="s">
        <v>29</v>
      </c>
      <c r="D342">
        <v>235</v>
      </c>
      <c r="E342">
        <v>5</v>
      </c>
      <c r="F342" t="s">
        <v>884</v>
      </c>
      <c r="G342" t="str">
        <f t="shared" si="5"/>
        <v>YOUNG LAKE</v>
      </c>
      <c r="H342" t="s">
        <v>781</v>
      </c>
      <c r="I342">
        <v>1170</v>
      </c>
      <c r="L342">
        <v>36892</v>
      </c>
      <c r="M342" t="s">
        <v>782</v>
      </c>
      <c r="N342" t="s">
        <v>783</v>
      </c>
      <c r="R342" t="s">
        <v>36</v>
      </c>
      <c r="S342" t="s">
        <v>37</v>
      </c>
      <c r="T342" t="s">
        <v>38</v>
      </c>
      <c r="W342" t="s">
        <v>40</v>
      </c>
    </row>
    <row r="343" spans="1:23" x14ac:dyDescent="0.2">
      <c r="A343">
        <v>51.375</v>
      </c>
      <c r="B343">
        <v>-121.71666999999999</v>
      </c>
      <c r="C343" t="s">
        <v>29</v>
      </c>
      <c r="D343">
        <v>236</v>
      </c>
      <c r="E343">
        <v>4</v>
      </c>
      <c r="F343" t="s">
        <v>885</v>
      </c>
      <c r="G343" t="str">
        <f t="shared" si="5"/>
        <v>MEADOW LAKE</v>
      </c>
      <c r="H343" t="s">
        <v>781</v>
      </c>
      <c r="I343">
        <v>1070</v>
      </c>
      <c r="L343">
        <v>33239</v>
      </c>
      <c r="M343" t="s">
        <v>782</v>
      </c>
      <c r="N343" t="s">
        <v>783</v>
      </c>
      <c r="R343" t="s">
        <v>36</v>
      </c>
      <c r="S343" t="s">
        <v>37</v>
      </c>
      <c r="T343" t="s">
        <v>38</v>
      </c>
      <c r="W343" t="s">
        <v>40</v>
      </c>
    </row>
    <row r="344" spans="1:23" x14ac:dyDescent="0.2">
      <c r="A344">
        <v>51.628900000000002</v>
      </c>
      <c r="B344">
        <v>-120.09457</v>
      </c>
      <c r="C344" t="s">
        <v>86</v>
      </c>
      <c r="D344">
        <v>239</v>
      </c>
      <c r="E344">
        <v>1</v>
      </c>
      <c r="F344" t="s">
        <v>886</v>
      </c>
      <c r="G344" t="str">
        <f t="shared" si="5"/>
        <v>CLEARWATER HUB</v>
      </c>
      <c r="H344" t="s">
        <v>781</v>
      </c>
      <c r="I344">
        <v>453</v>
      </c>
      <c r="J344" t="s">
        <v>253</v>
      </c>
      <c r="L344">
        <v>27760</v>
      </c>
      <c r="M344" t="s">
        <v>782</v>
      </c>
      <c r="N344" t="s">
        <v>783</v>
      </c>
      <c r="R344" t="s">
        <v>36</v>
      </c>
      <c r="S344" t="s">
        <v>37</v>
      </c>
      <c r="T344" t="s">
        <v>38</v>
      </c>
      <c r="W344" t="s">
        <v>40</v>
      </c>
    </row>
    <row r="345" spans="1:23" x14ac:dyDescent="0.2">
      <c r="A345">
        <v>51.253129999999999</v>
      </c>
      <c r="B345">
        <v>-119.88168</v>
      </c>
      <c r="C345" t="s">
        <v>61</v>
      </c>
      <c r="D345">
        <v>243</v>
      </c>
      <c r="E345">
        <v>1</v>
      </c>
      <c r="F345" t="s">
        <v>887</v>
      </c>
      <c r="G345" t="str">
        <f t="shared" si="5"/>
        <v>EAST BARRIERE</v>
      </c>
      <c r="H345" t="s">
        <v>781</v>
      </c>
      <c r="I345">
        <v>631</v>
      </c>
      <c r="J345" t="s">
        <v>253</v>
      </c>
      <c r="L345">
        <v>28491</v>
      </c>
      <c r="M345" t="s">
        <v>782</v>
      </c>
      <c r="N345" t="s">
        <v>783</v>
      </c>
      <c r="R345" t="s">
        <v>36</v>
      </c>
      <c r="S345" t="s">
        <v>37</v>
      </c>
      <c r="T345" t="s">
        <v>38</v>
      </c>
      <c r="W345" t="s">
        <v>40</v>
      </c>
    </row>
    <row r="346" spans="1:23" x14ac:dyDescent="0.2">
      <c r="A346">
        <v>51.67</v>
      </c>
      <c r="B346">
        <v>-120.65</v>
      </c>
      <c r="C346" t="s">
        <v>29</v>
      </c>
      <c r="D346">
        <v>244</v>
      </c>
      <c r="E346">
        <v>8</v>
      </c>
      <c r="F346" t="s">
        <v>888</v>
      </c>
      <c r="G346" t="str">
        <f t="shared" si="5"/>
        <v>WINDY MOUNTAIN</v>
      </c>
      <c r="H346" t="s">
        <v>781</v>
      </c>
      <c r="I346">
        <v>1580</v>
      </c>
      <c r="L346">
        <v>33604</v>
      </c>
      <c r="M346" t="s">
        <v>782</v>
      </c>
      <c r="N346" t="s">
        <v>783</v>
      </c>
      <c r="R346" t="s">
        <v>36</v>
      </c>
      <c r="S346" t="s">
        <v>37</v>
      </c>
      <c r="T346" t="s">
        <v>38</v>
      </c>
      <c r="W346" t="s">
        <v>40</v>
      </c>
    </row>
    <row r="347" spans="1:23" x14ac:dyDescent="0.2">
      <c r="A347">
        <v>51.522669999999998</v>
      </c>
      <c r="B347">
        <v>-119.11335</v>
      </c>
      <c r="C347" t="s">
        <v>61</v>
      </c>
      <c r="D347">
        <v>250</v>
      </c>
      <c r="E347">
        <v>4</v>
      </c>
      <c r="F347" t="s">
        <v>889</v>
      </c>
      <c r="G347" t="str">
        <f t="shared" si="5"/>
        <v>HARBOUR LAKE</v>
      </c>
      <c r="H347" t="s">
        <v>781</v>
      </c>
      <c r="I347">
        <v>1525</v>
      </c>
      <c r="L347">
        <v>32509</v>
      </c>
      <c r="M347" t="s">
        <v>782</v>
      </c>
      <c r="N347" t="s">
        <v>783</v>
      </c>
      <c r="R347" t="s">
        <v>36</v>
      </c>
      <c r="S347" t="s">
        <v>37</v>
      </c>
      <c r="T347" t="s">
        <v>38</v>
      </c>
      <c r="W347" t="s">
        <v>40</v>
      </c>
    </row>
    <row r="348" spans="1:23" x14ac:dyDescent="0.2">
      <c r="A348">
        <v>51.966999999999999</v>
      </c>
      <c r="B348">
        <v>-120.608</v>
      </c>
      <c r="C348" t="s">
        <v>61</v>
      </c>
      <c r="D348">
        <v>251</v>
      </c>
      <c r="E348">
        <v>3</v>
      </c>
      <c r="F348" t="s">
        <v>890</v>
      </c>
      <c r="G348" t="str">
        <f t="shared" si="5"/>
        <v>DECEPTION</v>
      </c>
      <c r="H348" t="s">
        <v>781</v>
      </c>
      <c r="I348">
        <v>1170</v>
      </c>
      <c r="L348">
        <v>32509</v>
      </c>
      <c r="M348" t="s">
        <v>782</v>
      </c>
      <c r="N348" t="s">
        <v>783</v>
      </c>
      <c r="R348" t="s">
        <v>36</v>
      </c>
      <c r="S348" t="s">
        <v>37</v>
      </c>
      <c r="T348" t="s">
        <v>38</v>
      </c>
      <c r="W348" t="s">
        <v>40</v>
      </c>
    </row>
    <row r="349" spans="1:23" x14ac:dyDescent="0.2">
      <c r="A349">
        <v>50.887880000000003</v>
      </c>
      <c r="B349">
        <v>-119.83832</v>
      </c>
      <c r="C349" t="s">
        <v>86</v>
      </c>
      <c r="D349">
        <v>253</v>
      </c>
      <c r="E349">
        <v>6</v>
      </c>
      <c r="F349" t="s">
        <v>891</v>
      </c>
      <c r="G349" t="str">
        <f t="shared" si="5"/>
        <v>CAHILTY</v>
      </c>
      <c r="H349" t="s">
        <v>781</v>
      </c>
      <c r="I349">
        <v>1543</v>
      </c>
      <c r="L349">
        <v>31778</v>
      </c>
      <c r="M349" t="s">
        <v>782</v>
      </c>
      <c r="N349" t="s">
        <v>783</v>
      </c>
      <c r="R349" t="s">
        <v>36</v>
      </c>
      <c r="S349" t="s">
        <v>37</v>
      </c>
      <c r="T349" t="s">
        <v>38</v>
      </c>
      <c r="W349" t="s">
        <v>40</v>
      </c>
    </row>
    <row r="350" spans="1:23" x14ac:dyDescent="0.2">
      <c r="A350">
        <v>52.615000000000002</v>
      </c>
      <c r="B350">
        <v>-121.51333</v>
      </c>
      <c r="C350" t="s">
        <v>61</v>
      </c>
      <c r="D350">
        <v>255</v>
      </c>
      <c r="E350">
        <v>2</v>
      </c>
      <c r="F350" t="s">
        <v>892</v>
      </c>
      <c r="G350" t="str">
        <f t="shared" si="5"/>
        <v>LIKELY RS</v>
      </c>
      <c r="H350" t="s">
        <v>781</v>
      </c>
      <c r="I350">
        <v>1046</v>
      </c>
      <c r="J350" t="s">
        <v>253</v>
      </c>
      <c r="K350" t="s">
        <v>788</v>
      </c>
      <c r="L350">
        <v>25569</v>
      </c>
      <c r="M350" t="s">
        <v>782</v>
      </c>
      <c r="N350" t="s">
        <v>783</v>
      </c>
      <c r="R350" t="s">
        <v>36</v>
      </c>
      <c r="S350" t="s">
        <v>37</v>
      </c>
      <c r="T350" t="s">
        <v>38</v>
      </c>
      <c r="W350" t="s">
        <v>40</v>
      </c>
    </row>
    <row r="351" spans="1:23" x14ac:dyDescent="0.2">
      <c r="A351">
        <v>53.261670000000002</v>
      </c>
      <c r="B351">
        <v>-121.76167</v>
      </c>
      <c r="C351" t="s">
        <v>61</v>
      </c>
      <c r="D351">
        <v>262</v>
      </c>
      <c r="E351">
        <v>4</v>
      </c>
      <c r="F351" t="s">
        <v>893</v>
      </c>
      <c r="G351" t="str">
        <f t="shared" si="5"/>
        <v>BIG VALLEY</v>
      </c>
      <c r="H351" t="s">
        <v>781</v>
      </c>
      <c r="I351">
        <v>1355</v>
      </c>
      <c r="J351" t="s">
        <v>253</v>
      </c>
      <c r="L351">
        <v>31778</v>
      </c>
      <c r="M351" t="s">
        <v>782</v>
      </c>
      <c r="N351" t="s">
        <v>783</v>
      </c>
      <c r="R351" t="s">
        <v>36</v>
      </c>
      <c r="S351" t="s">
        <v>37</v>
      </c>
      <c r="T351" t="s">
        <v>38</v>
      </c>
      <c r="W351" t="s">
        <v>40</v>
      </c>
    </row>
    <row r="352" spans="1:23" x14ac:dyDescent="0.2">
      <c r="A352">
        <v>52.91</v>
      </c>
      <c r="B352">
        <v>-120.91167</v>
      </c>
      <c r="C352" t="s">
        <v>61</v>
      </c>
      <c r="D352">
        <v>263</v>
      </c>
      <c r="E352">
        <v>2</v>
      </c>
      <c r="F352" t="s">
        <v>894</v>
      </c>
      <c r="G352" t="str">
        <f t="shared" si="5"/>
        <v>MATHEW</v>
      </c>
      <c r="H352" t="s">
        <v>781</v>
      </c>
      <c r="I352">
        <v>1108</v>
      </c>
      <c r="L352">
        <v>31778</v>
      </c>
      <c r="M352" t="s">
        <v>782</v>
      </c>
      <c r="N352" t="s">
        <v>783</v>
      </c>
      <c r="R352" t="s">
        <v>36</v>
      </c>
      <c r="S352" t="s">
        <v>37</v>
      </c>
      <c r="T352" t="s">
        <v>38</v>
      </c>
      <c r="W352" t="s">
        <v>40</v>
      </c>
    </row>
    <row r="353" spans="1:23" x14ac:dyDescent="0.2">
      <c r="A353">
        <v>52.391269999999999</v>
      </c>
      <c r="B353">
        <v>-120.985</v>
      </c>
      <c r="C353" t="s">
        <v>61</v>
      </c>
      <c r="D353">
        <v>264</v>
      </c>
      <c r="E353">
        <v>2</v>
      </c>
      <c r="F353" t="s">
        <v>895</v>
      </c>
      <c r="G353" t="str">
        <f t="shared" si="5"/>
        <v>PRAIRIE CREEK</v>
      </c>
      <c r="H353" t="s">
        <v>781</v>
      </c>
      <c r="I353">
        <v>1015</v>
      </c>
      <c r="L353">
        <v>32143</v>
      </c>
      <c r="M353" t="s">
        <v>782</v>
      </c>
      <c r="N353" t="s">
        <v>783</v>
      </c>
      <c r="R353" t="s">
        <v>36</v>
      </c>
      <c r="S353" t="s">
        <v>37</v>
      </c>
      <c r="T353" t="s">
        <v>38</v>
      </c>
      <c r="W353" t="s">
        <v>40</v>
      </c>
    </row>
    <row r="354" spans="1:23" x14ac:dyDescent="0.2">
      <c r="A354">
        <v>52.34263</v>
      </c>
      <c r="B354">
        <v>-120.24375000000001</v>
      </c>
      <c r="C354" t="s">
        <v>61</v>
      </c>
      <c r="D354">
        <v>266</v>
      </c>
      <c r="E354">
        <v>2</v>
      </c>
      <c r="F354" t="s">
        <v>896</v>
      </c>
      <c r="G354" t="str">
        <f t="shared" si="5"/>
        <v>WELLS GRAY</v>
      </c>
      <c r="H354" t="s">
        <v>781</v>
      </c>
      <c r="I354">
        <v>959</v>
      </c>
      <c r="L354">
        <v>34335</v>
      </c>
      <c r="M354" t="s">
        <v>782</v>
      </c>
      <c r="N354" t="s">
        <v>783</v>
      </c>
      <c r="R354" t="s">
        <v>36</v>
      </c>
      <c r="S354" t="s">
        <v>37</v>
      </c>
      <c r="T354" t="s">
        <v>38</v>
      </c>
      <c r="W354" t="s">
        <v>40</v>
      </c>
    </row>
    <row r="355" spans="1:23" x14ac:dyDescent="0.2">
      <c r="A355">
        <v>51.978769999999997</v>
      </c>
      <c r="B355">
        <v>-119.41338</v>
      </c>
      <c r="C355" t="s">
        <v>61</v>
      </c>
      <c r="D355">
        <v>267</v>
      </c>
      <c r="E355">
        <v>4</v>
      </c>
      <c r="F355" t="s">
        <v>897</v>
      </c>
      <c r="G355" t="str">
        <f t="shared" si="5"/>
        <v>BERRY</v>
      </c>
      <c r="H355" t="s">
        <v>781</v>
      </c>
      <c r="I355">
        <v>1478</v>
      </c>
      <c r="L355">
        <v>33239</v>
      </c>
      <c r="M355" t="s">
        <v>782</v>
      </c>
      <c r="N355" t="s">
        <v>783</v>
      </c>
      <c r="R355" t="s">
        <v>36</v>
      </c>
      <c r="S355" t="s">
        <v>37</v>
      </c>
      <c r="T355" t="s">
        <v>38</v>
      </c>
      <c r="W355" t="s">
        <v>40</v>
      </c>
    </row>
    <row r="356" spans="1:23" x14ac:dyDescent="0.2">
      <c r="A356">
        <v>52.452599999999997</v>
      </c>
      <c r="B356">
        <v>-119.17533</v>
      </c>
      <c r="C356" t="s">
        <v>61</v>
      </c>
      <c r="D356">
        <v>270</v>
      </c>
      <c r="E356">
        <v>6</v>
      </c>
      <c r="F356" t="s">
        <v>898</v>
      </c>
      <c r="G356" t="str">
        <f t="shared" si="5"/>
        <v>GOSNEL</v>
      </c>
      <c r="H356" t="s">
        <v>781</v>
      </c>
      <c r="I356">
        <v>1873</v>
      </c>
      <c r="J356" t="s">
        <v>253</v>
      </c>
      <c r="L356">
        <v>35065</v>
      </c>
      <c r="M356" t="s">
        <v>782</v>
      </c>
      <c r="N356" t="s">
        <v>783</v>
      </c>
      <c r="R356" t="s">
        <v>36</v>
      </c>
      <c r="S356" t="s">
        <v>37</v>
      </c>
      <c r="T356" t="s">
        <v>389</v>
      </c>
      <c r="W356" t="s">
        <v>40</v>
      </c>
    </row>
    <row r="357" spans="1:23" x14ac:dyDescent="0.2">
      <c r="A357">
        <v>49.715150000000001</v>
      </c>
      <c r="B357">
        <v>-120.86605</v>
      </c>
      <c r="C357" t="s">
        <v>86</v>
      </c>
      <c r="D357">
        <v>279</v>
      </c>
      <c r="E357">
        <v>5</v>
      </c>
      <c r="F357" t="s">
        <v>899</v>
      </c>
      <c r="G357" t="str">
        <f t="shared" si="5"/>
        <v>THYNNE</v>
      </c>
      <c r="H357" t="s">
        <v>781</v>
      </c>
      <c r="I357">
        <v>1407</v>
      </c>
      <c r="L357">
        <v>28126</v>
      </c>
      <c r="M357" t="s">
        <v>782</v>
      </c>
      <c r="N357" t="s">
        <v>783</v>
      </c>
      <c r="R357" t="s">
        <v>36</v>
      </c>
      <c r="S357" t="s">
        <v>37</v>
      </c>
      <c r="T357" t="s">
        <v>38</v>
      </c>
      <c r="W357" t="s">
        <v>40</v>
      </c>
    </row>
    <row r="358" spans="1:23" x14ac:dyDescent="0.2">
      <c r="A358">
        <v>50.672020000000003</v>
      </c>
      <c r="B358">
        <v>-121.88818000000001</v>
      </c>
      <c r="C358" t="s">
        <v>86</v>
      </c>
      <c r="D358">
        <v>280</v>
      </c>
      <c r="E358">
        <v>1</v>
      </c>
      <c r="F358" t="s">
        <v>900</v>
      </c>
      <c r="G358" t="str">
        <f t="shared" si="5"/>
        <v>LILLOOET</v>
      </c>
      <c r="H358" t="s">
        <v>781</v>
      </c>
      <c r="I358">
        <v>408</v>
      </c>
      <c r="J358" t="s">
        <v>253</v>
      </c>
      <c r="K358" t="s">
        <v>790</v>
      </c>
      <c r="L358">
        <v>28126</v>
      </c>
      <c r="M358" t="s">
        <v>782</v>
      </c>
      <c r="N358" t="s">
        <v>783</v>
      </c>
      <c r="R358" t="s">
        <v>36</v>
      </c>
      <c r="S358" t="s">
        <v>37</v>
      </c>
      <c r="T358" t="s">
        <v>389</v>
      </c>
      <c r="U358" t="s">
        <v>39</v>
      </c>
      <c r="W358" t="s">
        <v>40</v>
      </c>
    </row>
    <row r="359" spans="1:23" x14ac:dyDescent="0.2">
      <c r="A359">
        <v>49.86842</v>
      </c>
      <c r="B359">
        <v>-119.99252</v>
      </c>
      <c r="C359" t="s">
        <v>86</v>
      </c>
      <c r="D359">
        <v>283</v>
      </c>
      <c r="E359">
        <v>6</v>
      </c>
      <c r="F359" t="s">
        <v>901</v>
      </c>
      <c r="G359" t="str">
        <f t="shared" si="5"/>
        <v>BRENDA MINES</v>
      </c>
      <c r="H359" t="s">
        <v>781</v>
      </c>
      <c r="I359">
        <v>1476</v>
      </c>
      <c r="L359">
        <v>28126</v>
      </c>
      <c r="M359" t="s">
        <v>782</v>
      </c>
      <c r="N359" t="s">
        <v>783</v>
      </c>
      <c r="R359" t="s">
        <v>36</v>
      </c>
      <c r="S359" t="s">
        <v>37</v>
      </c>
      <c r="T359" t="s">
        <v>38</v>
      </c>
      <c r="W359" t="s">
        <v>40</v>
      </c>
    </row>
    <row r="360" spans="1:23" x14ac:dyDescent="0.2">
      <c r="A360">
        <v>50.803330000000003</v>
      </c>
      <c r="B360">
        <v>-119.63</v>
      </c>
      <c r="C360" t="s">
        <v>86</v>
      </c>
      <c r="D360">
        <v>286</v>
      </c>
      <c r="E360">
        <v>1</v>
      </c>
      <c r="F360" t="s">
        <v>902</v>
      </c>
      <c r="G360" t="str">
        <f t="shared" si="5"/>
        <v>TURTLE</v>
      </c>
      <c r="H360" t="s">
        <v>781</v>
      </c>
      <c r="I360">
        <v>640</v>
      </c>
      <c r="J360" t="s">
        <v>253</v>
      </c>
      <c r="L360">
        <v>28126</v>
      </c>
      <c r="M360" t="s">
        <v>782</v>
      </c>
      <c r="N360" t="s">
        <v>783</v>
      </c>
      <c r="R360" t="s">
        <v>36</v>
      </c>
      <c r="S360" t="s">
        <v>37</v>
      </c>
      <c r="T360" t="s">
        <v>389</v>
      </c>
      <c r="U360" t="s">
        <v>39</v>
      </c>
      <c r="W360" t="s">
        <v>40</v>
      </c>
    </row>
    <row r="361" spans="1:23" x14ac:dyDescent="0.2">
      <c r="A361">
        <v>50.270449999999997</v>
      </c>
      <c r="B361">
        <v>-120.28830000000001</v>
      </c>
      <c r="C361" t="s">
        <v>86</v>
      </c>
      <c r="D361">
        <v>291</v>
      </c>
      <c r="E361">
        <v>5</v>
      </c>
      <c r="F361" t="s">
        <v>903</v>
      </c>
      <c r="G361" t="str">
        <f t="shared" si="5"/>
        <v>GLIMPSE</v>
      </c>
      <c r="H361" t="s">
        <v>781</v>
      </c>
      <c r="I361">
        <v>1381</v>
      </c>
      <c r="L361">
        <v>28491</v>
      </c>
      <c r="M361" t="s">
        <v>782</v>
      </c>
      <c r="N361" t="s">
        <v>783</v>
      </c>
      <c r="R361" t="s">
        <v>36</v>
      </c>
      <c r="S361" t="s">
        <v>37</v>
      </c>
      <c r="T361" t="s">
        <v>38</v>
      </c>
      <c r="W361" t="s">
        <v>40</v>
      </c>
    </row>
    <row r="362" spans="1:23" x14ac:dyDescent="0.2">
      <c r="A362">
        <v>50.52167</v>
      </c>
      <c r="B362">
        <v>-122.49806</v>
      </c>
      <c r="C362" t="s">
        <v>86</v>
      </c>
      <c r="D362">
        <v>292</v>
      </c>
      <c r="E362">
        <v>1</v>
      </c>
      <c r="F362" t="s">
        <v>904</v>
      </c>
      <c r="G362" t="str">
        <f t="shared" si="5"/>
        <v>D'ARCY</v>
      </c>
      <c r="H362" t="s">
        <v>781</v>
      </c>
      <c r="I362">
        <v>346</v>
      </c>
      <c r="K362" t="s">
        <v>790</v>
      </c>
      <c r="L362">
        <v>28491</v>
      </c>
      <c r="M362" t="s">
        <v>782</v>
      </c>
      <c r="N362" t="s">
        <v>783</v>
      </c>
      <c r="R362" t="s">
        <v>36</v>
      </c>
      <c r="S362" t="s">
        <v>37</v>
      </c>
      <c r="T362" t="s">
        <v>689</v>
      </c>
      <c r="U362" t="s">
        <v>39</v>
      </c>
      <c r="W362" t="s">
        <v>40</v>
      </c>
    </row>
    <row r="363" spans="1:23" x14ac:dyDescent="0.2">
      <c r="A363">
        <v>50.087449999999997</v>
      </c>
      <c r="B363">
        <v>-120.74572999999999</v>
      </c>
      <c r="C363" t="s">
        <v>86</v>
      </c>
      <c r="D363">
        <v>294</v>
      </c>
      <c r="E363">
        <v>1</v>
      </c>
      <c r="F363" t="s">
        <v>905</v>
      </c>
      <c r="G363" t="str">
        <f t="shared" si="5"/>
        <v>MERRITT HUB</v>
      </c>
      <c r="H363" t="s">
        <v>781</v>
      </c>
      <c r="I363">
        <v>640</v>
      </c>
      <c r="J363" t="s">
        <v>253</v>
      </c>
      <c r="L363">
        <v>28491</v>
      </c>
      <c r="M363" t="s">
        <v>782</v>
      </c>
      <c r="N363" t="s">
        <v>783</v>
      </c>
      <c r="R363" t="s">
        <v>36</v>
      </c>
      <c r="S363" t="s">
        <v>37</v>
      </c>
      <c r="T363" t="s">
        <v>38</v>
      </c>
      <c r="W363" t="s">
        <v>40</v>
      </c>
    </row>
    <row r="364" spans="1:23" x14ac:dyDescent="0.2">
      <c r="A364">
        <v>50.206670000000003</v>
      </c>
      <c r="B364">
        <v>-119.48</v>
      </c>
      <c r="C364" t="s">
        <v>86</v>
      </c>
      <c r="D364">
        <v>298</v>
      </c>
      <c r="E364">
        <v>1</v>
      </c>
      <c r="F364" t="s">
        <v>906</v>
      </c>
      <c r="G364" t="str">
        <f t="shared" si="5"/>
        <v>FINTRY</v>
      </c>
      <c r="H364" t="s">
        <v>781</v>
      </c>
      <c r="I364">
        <v>670</v>
      </c>
      <c r="L364">
        <v>32509</v>
      </c>
      <c r="M364" t="s">
        <v>782</v>
      </c>
      <c r="N364" t="s">
        <v>783</v>
      </c>
      <c r="R364" t="s">
        <v>36</v>
      </c>
      <c r="S364" t="s">
        <v>37</v>
      </c>
      <c r="T364" t="s">
        <v>38</v>
      </c>
      <c r="W364" t="s">
        <v>40</v>
      </c>
    </row>
    <row r="365" spans="1:23" x14ac:dyDescent="0.2">
      <c r="A365">
        <v>50.305929999999996</v>
      </c>
      <c r="B365">
        <v>-122.72878</v>
      </c>
      <c r="C365" t="s">
        <v>204</v>
      </c>
      <c r="D365">
        <v>301</v>
      </c>
      <c r="E365">
        <v>2</v>
      </c>
      <c r="F365" t="s">
        <v>907</v>
      </c>
      <c r="G365" t="str">
        <f t="shared" si="5"/>
        <v>PEMBERTON BASE</v>
      </c>
      <c r="H365" t="s">
        <v>781</v>
      </c>
      <c r="I365">
        <v>204</v>
      </c>
      <c r="L365">
        <v>36892</v>
      </c>
      <c r="M365" t="s">
        <v>782</v>
      </c>
      <c r="N365" t="s">
        <v>783</v>
      </c>
      <c r="R365" t="s">
        <v>36</v>
      </c>
      <c r="S365" t="s">
        <v>37</v>
      </c>
      <c r="T365" t="s">
        <v>38</v>
      </c>
      <c r="W365" t="s">
        <v>40</v>
      </c>
    </row>
    <row r="366" spans="1:23" x14ac:dyDescent="0.2">
      <c r="A366">
        <v>49.94811</v>
      </c>
      <c r="B366">
        <v>-120.62107</v>
      </c>
      <c r="C366" t="s">
        <v>86</v>
      </c>
      <c r="D366">
        <v>302</v>
      </c>
      <c r="E366">
        <v>3</v>
      </c>
      <c r="F366" t="s">
        <v>908</v>
      </c>
      <c r="G366" t="str">
        <f t="shared" si="5"/>
        <v>ASPEN GROVE</v>
      </c>
      <c r="H366" t="s">
        <v>781</v>
      </c>
      <c r="I366">
        <v>1065</v>
      </c>
      <c r="L366">
        <v>35796</v>
      </c>
      <c r="M366" t="s">
        <v>782</v>
      </c>
      <c r="N366" t="s">
        <v>783</v>
      </c>
      <c r="R366" t="s">
        <v>36</v>
      </c>
      <c r="S366" t="s">
        <v>37</v>
      </c>
      <c r="T366" t="s">
        <v>38</v>
      </c>
      <c r="W366" t="s">
        <v>40</v>
      </c>
    </row>
    <row r="367" spans="1:23" x14ac:dyDescent="0.2">
      <c r="A367">
        <v>50.923699999999997</v>
      </c>
      <c r="B367">
        <v>-120.86715</v>
      </c>
      <c r="C367" t="s">
        <v>86</v>
      </c>
      <c r="D367">
        <v>305</v>
      </c>
      <c r="E367">
        <v>2</v>
      </c>
      <c r="F367" t="s">
        <v>909</v>
      </c>
      <c r="G367" t="str">
        <f t="shared" si="5"/>
        <v>SPARKS LAKE</v>
      </c>
      <c r="H367" t="s">
        <v>781</v>
      </c>
      <c r="I367">
        <v>972</v>
      </c>
      <c r="L367">
        <v>33239</v>
      </c>
      <c r="M367" t="s">
        <v>782</v>
      </c>
      <c r="N367" t="s">
        <v>783</v>
      </c>
      <c r="R367" t="s">
        <v>36</v>
      </c>
      <c r="S367" t="s">
        <v>37</v>
      </c>
      <c r="T367" t="s">
        <v>38</v>
      </c>
      <c r="W367" t="s">
        <v>40</v>
      </c>
    </row>
    <row r="368" spans="1:23" x14ac:dyDescent="0.2">
      <c r="A368">
        <v>51.17747</v>
      </c>
      <c r="B368">
        <v>-122.24893</v>
      </c>
      <c r="C368" t="s">
        <v>29</v>
      </c>
      <c r="D368">
        <v>306</v>
      </c>
      <c r="E368">
        <v>7</v>
      </c>
      <c r="F368" t="s">
        <v>910</v>
      </c>
      <c r="G368" t="str">
        <f t="shared" si="5"/>
        <v>FRENCH BAR</v>
      </c>
      <c r="H368" t="s">
        <v>781</v>
      </c>
      <c r="I368">
        <v>1320</v>
      </c>
      <c r="L368">
        <v>28856</v>
      </c>
      <c r="M368" t="s">
        <v>782</v>
      </c>
      <c r="N368" t="s">
        <v>783</v>
      </c>
      <c r="R368" t="s">
        <v>36</v>
      </c>
      <c r="S368" t="s">
        <v>37</v>
      </c>
      <c r="T368" t="s">
        <v>38</v>
      </c>
      <c r="W368" t="s">
        <v>40</v>
      </c>
    </row>
    <row r="369" spans="1:23" x14ac:dyDescent="0.2">
      <c r="A369">
        <v>50.615250000000003</v>
      </c>
      <c r="B369">
        <v>-120.8361</v>
      </c>
      <c r="C369" t="s">
        <v>86</v>
      </c>
      <c r="D369">
        <v>307</v>
      </c>
      <c r="E369">
        <v>4</v>
      </c>
      <c r="F369" t="s">
        <v>911</v>
      </c>
      <c r="G369" t="str">
        <f t="shared" si="5"/>
        <v>LEIGHTON LAKE</v>
      </c>
      <c r="H369" t="s">
        <v>781</v>
      </c>
      <c r="I369">
        <v>1167</v>
      </c>
      <c r="L369">
        <v>29952</v>
      </c>
      <c r="M369" t="s">
        <v>782</v>
      </c>
      <c r="N369" t="s">
        <v>783</v>
      </c>
      <c r="R369" t="s">
        <v>36</v>
      </c>
      <c r="S369" t="s">
        <v>37</v>
      </c>
      <c r="T369" t="s">
        <v>38</v>
      </c>
      <c r="W369" t="s">
        <v>40</v>
      </c>
    </row>
    <row r="370" spans="1:23" x14ac:dyDescent="0.2">
      <c r="A370">
        <v>50.796329999999998</v>
      </c>
      <c r="B370">
        <v>-122.88047</v>
      </c>
      <c r="C370" t="s">
        <v>86</v>
      </c>
      <c r="D370">
        <v>309</v>
      </c>
      <c r="E370">
        <v>4</v>
      </c>
      <c r="F370" t="s">
        <v>912</v>
      </c>
      <c r="G370" t="str">
        <f t="shared" si="5"/>
        <v>GWYNETH LAKE</v>
      </c>
      <c r="H370" t="s">
        <v>781</v>
      </c>
      <c r="I370">
        <v>1205</v>
      </c>
      <c r="L370">
        <v>31413</v>
      </c>
      <c r="M370" t="s">
        <v>782</v>
      </c>
      <c r="N370" t="s">
        <v>783</v>
      </c>
      <c r="R370" t="s">
        <v>36</v>
      </c>
      <c r="S370" t="s">
        <v>37</v>
      </c>
      <c r="T370" t="s">
        <v>38</v>
      </c>
      <c r="W370" t="s">
        <v>40</v>
      </c>
    </row>
    <row r="371" spans="1:23" x14ac:dyDescent="0.2">
      <c r="A371">
        <v>50.792299999999997</v>
      </c>
      <c r="B371">
        <v>-121.35814999999999</v>
      </c>
      <c r="C371" t="s">
        <v>86</v>
      </c>
      <c r="D371">
        <v>311</v>
      </c>
      <c r="E371">
        <v>3</v>
      </c>
      <c r="F371" t="s">
        <v>913</v>
      </c>
      <c r="G371" t="str">
        <f t="shared" si="5"/>
        <v>MCLEAN LAKE</v>
      </c>
      <c r="H371" t="s">
        <v>781</v>
      </c>
      <c r="I371">
        <v>1123</v>
      </c>
      <c r="J371" t="s">
        <v>253</v>
      </c>
      <c r="L371">
        <v>31778</v>
      </c>
      <c r="M371" t="s">
        <v>782</v>
      </c>
      <c r="N371" t="s">
        <v>783</v>
      </c>
      <c r="R371" t="s">
        <v>36</v>
      </c>
      <c r="S371" t="s">
        <v>37</v>
      </c>
      <c r="T371" t="s">
        <v>38</v>
      </c>
      <c r="W371" t="s">
        <v>40</v>
      </c>
    </row>
    <row r="372" spans="1:23" x14ac:dyDescent="0.2">
      <c r="A372">
        <v>49.901780000000002</v>
      </c>
      <c r="B372">
        <v>-122.02070000000001</v>
      </c>
      <c r="C372" t="s">
        <v>204</v>
      </c>
      <c r="D372">
        <v>316</v>
      </c>
      <c r="E372">
        <v>7</v>
      </c>
      <c r="F372" t="s">
        <v>914</v>
      </c>
      <c r="G372" t="str">
        <f t="shared" si="5"/>
        <v>NAHATLATCH</v>
      </c>
      <c r="H372" t="s">
        <v>781</v>
      </c>
      <c r="I372">
        <v>1400</v>
      </c>
      <c r="L372">
        <v>36892</v>
      </c>
      <c r="M372" t="s">
        <v>782</v>
      </c>
      <c r="N372" t="s">
        <v>783</v>
      </c>
      <c r="R372" t="s">
        <v>36</v>
      </c>
      <c r="S372" t="s">
        <v>37</v>
      </c>
      <c r="T372" t="s">
        <v>38</v>
      </c>
      <c r="W372" t="s">
        <v>40</v>
      </c>
    </row>
    <row r="373" spans="1:23" x14ac:dyDescent="0.2">
      <c r="A373">
        <v>49.0623</v>
      </c>
      <c r="B373">
        <v>-120.76739999999999</v>
      </c>
      <c r="C373" t="s">
        <v>86</v>
      </c>
      <c r="D373">
        <v>317</v>
      </c>
      <c r="E373">
        <v>4</v>
      </c>
      <c r="F373" t="s">
        <v>915</v>
      </c>
      <c r="G373" t="str">
        <f t="shared" si="5"/>
        <v>ALLISON PASS</v>
      </c>
      <c r="H373" t="s">
        <v>781</v>
      </c>
      <c r="I373">
        <v>1215</v>
      </c>
      <c r="L373">
        <v>31778</v>
      </c>
      <c r="M373" t="s">
        <v>782</v>
      </c>
      <c r="N373" t="s">
        <v>783</v>
      </c>
      <c r="R373" t="s">
        <v>36</v>
      </c>
      <c r="S373" t="s">
        <v>37</v>
      </c>
      <c r="T373" t="s">
        <v>38</v>
      </c>
      <c r="W373" t="s">
        <v>40</v>
      </c>
    </row>
    <row r="374" spans="1:23" x14ac:dyDescent="0.2">
      <c r="A374">
        <v>50.611249999999998</v>
      </c>
      <c r="B374">
        <v>-120.64155</v>
      </c>
      <c r="C374" t="s">
        <v>86</v>
      </c>
      <c r="D374">
        <v>321</v>
      </c>
      <c r="E374">
        <v>8</v>
      </c>
      <c r="F374" t="s">
        <v>916</v>
      </c>
      <c r="G374" t="str">
        <f t="shared" si="5"/>
        <v>GREENSTONE HUB</v>
      </c>
      <c r="H374" t="s">
        <v>781</v>
      </c>
      <c r="I374">
        <v>1780</v>
      </c>
      <c r="L374">
        <v>32509</v>
      </c>
      <c r="M374" t="s">
        <v>782</v>
      </c>
      <c r="N374" t="s">
        <v>783</v>
      </c>
      <c r="W374" t="s">
        <v>40</v>
      </c>
    </row>
    <row r="375" spans="1:23" x14ac:dyDescent="0.2">
      <c r="A375">
        <v>50.67333</v>
      </c>
      <c r="B375">
        <v>-120.48166999999999</v>
      </c>
      <c r="C375" t="s">
        <v>86</v>
      </c>
      <c r="D375">
        <v>322</v>
      </c>
      <c r="E375">
        <v>2</v>
      </c>
      <c r="F375" t="s">
        <v>917</v>
      </c>
      <c r="G375" t="str">
        <f t="shared" si="5"/>
        <v>AFTON</v>
      </c>
      <c r="H375" t="s">
        <v>781</v>
      </c>
      <c r="I375">
        <v>780</v>
      </c>
      <c r="J375" t="s">
        <v>253</v>
      </c>
      <c r="K375" t="s">
        <v>790</v>
      </c>
      <c r="L375">
        <v>32143</v>
      </c>
      <c r="M375" t="s">
        <v>782</v>
      </c>
      <c r="N375" t="s">
        <v>783</v>
      </c>
      <c r="R375" t="s">
        <v>36</v>
      </c>
      <c r="S375" t="s">
        <v>37</v>
      </c>
      <c r="T375" t="s">
        <v>689</v>
      </c>
      <c r="W375" t="s">
        <v>40</v>
      </c>
    </row>
    <row r="376" spans="1:23" x14ac:dyDescent="0.2">
      <c r="A376">
        <v>50.503999999999998</v>
      </c>
      <c r="B376">
        <v>-120.67400000000001</v>
      </c>
      <c r="C376" t="s">
        <v>86</v>
      </c>
      <c r="D376">
        <v>326</v>
      </c>
      <c r="E376">
        <v>6</v>
      </c>
      <c r="F376" t="s">
        <v>918</v>
      </c>
      <c r="G376" t="str">
        <f t="shared" si="5"/>
        <v>PASKA LAKE</v>
      </c>
      <c r="H376" t="s">
        <v>781</v>
      </c>
      <c r="I376">
        <v>1440</v>
      </c>
      <c r="J376" t="s">
        <v>253</v>
      </c>
      <c r="L376">
        <v>36161</v>
      </c>
      <c r="M376" t="s">
        <v>782</v>
      </c>
      <c r="N376" t="s">
        <v>783</v>
      </c>
      <c r="R376" t="s">
        <v>36</v>
      </c>
      <c r="S376" t="s">
        <v>37</v>
      </c>
      <c r="T376" t="s">
        <v>38</v>
      </c>
      <c r="W376" t="s">
        <v>40</v>
      </c>
    </row>
    <row r="377" spans="1:23" x14ac:dyDescent="0.2">
      <c r="A377">
        <v>49.518329999999999</v>
      </c>
      <c r="B377">
        <v>-119.55333</v>
      </c>
      <c r="C377" t="s">
        <v>86</v>
      </c>
      <c r="D377">
        <v>328</v>
      </c>
      <c r="E377">
        <v>1</v>
      </c>
      <c r="F377" t="s">
        <v>919</v>
      </c>
      <c r="G377" t="str">
        <f t="shared" si="5"/>
        <v>PENTICTON RS</v>
      </c>
      <c r="H377" t="s">
        <v>781</v>
      </c>
      <c r="I377">
        <v>427</v>
      </c>
      <c r="J377" t="s">
        <v>253</v>
      </c>
      <c r="L377">
        <v>25569</v>
      </c>
      <c r="M377" t="s">
        <v>782</v>
      </c>
      <c r="N377" t="s">
        <v>783</v>
      </c>
      <c r="R377" t="s">
        <v>36</v>
      </c>
      <c r="S377" t="s">
        <v>37</v>
      </c>
      <c r="T377" t="s">
        <v>689</v>
      </c>
      <c r="W377" t="s">
        <v>40</v>
      </c>
    </row>
    <row r="378" spans="1:23" x14ac:dyDescent="0.2">
      <c r="A378">
        <v>49.139049999999997</v>
      </c>
      <c r="B378">
        <v>-120.1844</v>
      </c>
      <c r="C378" t="s">
        <v>86</v>
      </c>
      <c r="D378">
        <v>331</v>
      </c>
      <c r="E378">
        <v>7</v>
      </c>
      <c r="F378" t="s">
        <v>920</v>
      </c>
      <c r="G378" t="str">
        <f t="shared" si="5"/>
        <v>ASHNOLA</v>
      </c>
      <c r="H378" t="s">
        <v>781</v>
      </c>
      <c r="I378">
        <v>1683</v>
      </c>
      <c r="L378">
        <v>33604</v>
      </c>
      <c r="M378" t="s">
        <v>782</v>
      </c>
      <c r="N378" t="s">
        <v>783</v>
      </c>
      <c r="R378" t="s">
        <v>36</v>
      </c>
      <c r="S378" t="s">
        <v>37</v>
      </c>
      <c r="T378" t="s">
        <v>38</v>
      </c>
      <c r="W378" t="s">
        <v>40</v>
      </c>
    </row>
    <row r="379" spans="1:23" x14ac:dyDescent="0.2">
      <c r="A379">
        <v>49.148330000000001</v>
      </c>
      <c r="B379">
        <v>-119.41500000000001</v>
      </c>
      <c r="C379" t="s">
        <v>86</v>
      </c>
      <c r="D379">
        <v>334</v>
      </c>
      <c r="E379">
        <v>3</v>
      </c>
      <c r="F379" t="s">
        <v>921</v>
      </c>
      <c r="G379" t="str">
        <f t="shared" si="5"/>
        <v>MCCUDDY</v>
      </c>
      <c r="H379" t="s">
        <v>781</v>
      </c>
      <c r="I379">
        <v>1067</v>
      </c>
      <c r="L379">
        <v>30682</v>
      </c>
      <c r="M379" t="s">
        <v>782</v>
      </c>
      <c r="N379" t="s">
        <v>783</v>
      </c>
      <c r="R379" t="s">
        <v>36</v>
      </c>
      <c r="S379" t="s">
        <v>37</v>
      </c>
      <c r="T379" t="s">
        <v>38</v>
      </c>
      <c r="W379" t="s">
        <v>40</v>
      </c>
    </row>
    <row r="380" spans="1:23" x14ac:dyDescent="0.2">
      <c r="A380">
        <v>51.273519999999998</v>
      </c>
      <c r="B380">
        <v>-118.9147</v>
      </c>
      <c r="C380" t="s">
        <v>61</v>
      </c>
      <c r="D380">
        <v>344</v>
      </c>
      <c r="E380">
        <v>1</v>
      </c>
      <c r="F380" t="s">
        <v>922</v>
      </c>
      <c r="G380" t="str">
        <f t="shared" si="5"/>
        <v>SEYMOUR ARM</v>
      </c>
      <c r="H380" t="s">
        <v>781</v>
      </c>
      <c r="I380">
        <v>511</v>
      </c>
      <c r="L380">
        <v>29587</v>
      </c>
      <c r="M380" t="s">
        <v>782</v>
      </c>
      <c r="N380" t="s">
        <v>783</v>
      </c>
      <c r="R380" t="s">
        <v>36</v>
      </c>
      <c r="S380" t="s">
        <v>37</v>
      </c>
      <c r="T380" t="s">
        <v>38</v>
      </c>
      <c r="W380" t="s">
        <v>40</v>
      </c>
    </row>
    <row r="381" spans="1:23" x14ac:dyDescent="0.2">
      <c r="A381">
        <v>50.602150000000002</v>
      </c>
      <c r="B381">
        <v>-118.42292</v>
      </c>
      <c r="C381" t="s">
        <v>61</v>
      </c>
      <c r="D381">
        <v>352</v>
      </c>
      <c r="E381">
        <v>3</v>
      </c>
      <c r="F381" t="s">
        <v>923</v>
      </c>
      <c r="G381" t="str">
        <f t="shared" si="5"/>
        <v>CURWEN CREEK</v>
      </c>
      <c r="H381" t="s">
        <v>781</v>
      </c>
      <c r="I381">
        <v>1286</v>
      </c>
      <c r="L381">
        <v>28856</v>
      </c>
      <c r="M381" t="s">
        <v>782</v>
      </c>
      <c r="N381" t="s">
        <v>783</v>
      </c>
      <c r="R381" t="s">
        <v>36</v>
      </c>
      <c r="S381" t="s">
        <v>37</v>
      </c>
      <c r="T381" t="s">
        <v>38</v>
      </c>
      <c r="W381" t="s">
        <v>40</v>
      </c>
    </row>
    <row r="382" spans="1:23" x14ac:dyDescent="0.2">
      <c r="A382">
        <v>51.997219999999999</v>
      </c>
      <c r="B382">
        <v>-118.10250000000001</v>
      </c>
      <c r="C382" t="s">
        <v>61</v>
      </c>
      <c r="D382">
        <v>361</v>
      </c>
      <c r="E382">
        <v>3</v>
      </c>
      <c r="F382" t="s">
        <v>924</v>
      </c>
      <c r="G382" t="str">
        <f t="shared" si="5"/>
        <v>TSAR CREEK</v>
      </c>
      <c r="H382" t="s">
        <v>781</v>
      </c>
      <c r="I382">
        <v>1200</v>
      </c>
      <c r="L382">
        <v>31413</v>
      </c>
      <c r="M382" t="s">
        <v>782</v>
      </c>
      <c r="N382" t="s">
        <v>783</v>
      </c>
      <c r="R382" t="s">
        <v>36</v>
      </c>
      <c r="S382" t="s">
        <v>37</v>
      </c>
      <c r="T382" t="s">
        <v>38</v>
      </c>
      <c r="W382" t="s">
        <v>40</v>
      </c>
    </row>
    <row r="383" spans="1:23" x14ac:dyDescent="0.2">
      <c r="A383">
        <v>50.351669999999999</v>
      </c>
      <c r="B383">
        <v>-118.77333</v>
      </c>
      <c r="C383" t="s">
        <v>61</v>
      </c>
      <c r="D383">
        <v>362</v>
      </c>
      <c r="E383">
        <v>1</v>
      </c>
      <c r="F383" t="s">
        <v>925</v>
      </c>
      <c r="G383" t="str">
        <f t="shared" si="5"/>
        <v>MABEL LAKE 2</v>
      </c>
      <c r="H383" t="s">
        <v>781</v>
      </c>
      <c r="I383">
        <v>488</v>
      </c>
      <c r="J383" t="s">
        <v>253</v>
      </c>
      <c r="L383">
        <v>31778</v>
      </c>
      <c r="M383" t="s">
        <v>782</v>
      </c>
      <c r="N383" t="s">
        <v>783</v>
      </c>
      <c r="R383" t="s">
        <v>36</v>
      </c>
      <c r="S383" t="s">
        <v>37</v>
      </c>
      <c r="T383" t="s">
        <v>38</v>
      </c>
      <c r="W383" t="s">
        <v>40</v>
      </c>
    </row>
    <row r="384" spans="1:23" x14ac:dyDescent="0.2">
      <c r="A384">
        <v>51.06033</v>
      </c>
      <c r="B384">
        <v>-118.21717</v>
      </c>
      <c r="C384" t="s">
        <v>61</v>
      </c>
      <c r="D384">
        <v>363</v>
      </c>
      <c r="E384">
        <v>1</v>
      </c>
      <c r="F384" t="s">
        <v>926</v>
      </c>
      <c r="G384" t="str">
        <f t="shared" si="5"/>
        <v>REVELSTOKE</v>
      </c>
      <c r="H384" t="s">
        <v>781</v>
      </c>
      <c r="I384">
        <v>680</v>
      </c>
      <c r="L384">
        <v>34700</v>
      </c>
      <c r="M384" t="s">
        <v>782</v>
      </c>
      <c r="N384" t="s">
        <v>783</v>
      </c>
      <c r="R384" t="s">
        <v>36</v>
      </c>
      <c r="S384" t="s">
        <v>37</v>
      </c>
      <c r="T384" t="s">
        <v>38</v>
      </c>
      <c r="W384" t="s">
        <v>40</v>
      </c>
    </row>
    <row r="385" spans="1:23" x14ac:dyDescent="0.2">
      <c r="A385">
        <v>51.065330000000003</v>
      </c>
      <c r="B385">
        <v>-116.785</v>
      </c>
      <c r="C385" t="s">
        <v>61</v>
      </c>
      <c r="D385">
        <v>366</v>
      </c>
      <c r="E385">
        <v>3</v>
      </c>
      <c r="F385" t="s">
        <v>927</v>
      </c>
      <c r="G385" t="str">
        <f t="shared" si="5"/>
        <v>WHISKEY</v>
      </c>
      <c r="H385" t="s">
        <v>781</v>
      </c>
      <c r="I385">
        <v>1300</v>
      </c>
      <c r="L385">
        <v>32509</v>
      </c>
      <c r="M385" t="s">
        <v>782</v>
      </c>
      <c r="N385" t="s">
        <v>783</v>
      </c>
      <c r="R385" t="s">
        <v>36</v>
      </c>
      <c r="S385" t="s">
        <v>37</v>
      </c>
      <c r="T385" t="s">
        <v>38</v>
      </c>
      <c r="W385" t="s">
        <v>40</v>
      </c>
    </row>
    <row r="386" spans="1:23" x14ac:dyDescent="0.2">
      <c r="A386">
        <v>51.042169999999999</v>
      </c>
      <c r="B386">
        <v>-116.36382999999999</v>
      </c>
      <c r="C386" t="s">
        <v>61</v>
      </c>
      <c r="D386">
        <v>367</v>
      </c>
      <c r="E386">
        <v>3</v>
      </c>
      <c r="F386" t="s">
        <v>928</v>
      </c>
      <c r="G386" t="str">
        <f t="shared" ref="G386:G449" si="6">UPPER(F386)</f>
        <v>MARION</v>
      </c>
      <c r="H386" t="s">
        <v>781</v>
      </c>
      <c r="I386">
        <v>1300</v>
      </c>
      <c r="L386">
        <v>34335</v>
      </c>
      <c r="M386" t="s">
        <v>782</v>
      </c>
      <c r="N386" t="s">
        <v>783</v>
      </c>
      <c r="R386" t="s">
        <v>36</v>
      </c>
      <c r="S386" t="s">
        <v>37</v>
      </c>
      <c r="T386" t="s">
        <v>38</v>
      </c>
      <c r="W386" t="s">
        <v>40</v>
      </c>
    </row>
    <row r="387" spans="1:23" x14ac:dyDescent="0.2">
      <c r="A387">
        <v>51.716169999999998</v>
      </c>
      <c r="B387">
        <v>-117.54167</v>
      </c>
      <c r="C387" t="s">
        <v>61</v>
      </c>
      <c r="D387">
        <v>374</v>
      </c>
      <c r="E387">
        <v>2</v>
      </c>
      <c r="F387" t="s">
        <v>929</v>
      </c>
      <c r="G387" t="str">
        <f t="shared" si="6"/>
        <v>SUCCOUR CREEK</v>
      </c>
      <c r="H387" t="s">
        <v>781</v>
      </c>
      <c r="I387">
        <v>1000</v>
      </c>
      <c r="L387">
        <v>31413</v>
      </c>
      <c r="M387" t="s">
        <v>782</v>
      </c>
      <c r="N387" t="s">
        <v>783</v>
      </c>
      <c r="R387" t="s">
        <v>36</v>
      </c>
      <c r="S387" t="s">
        <v>37</v>
      </c>
      <c r="T387" t="s">
        <v>38</v>
      </c>
      <c r="W387" t="s">
        <v>40</v>
      </c>
    </row>
    <row r="388" spans="1:23" x14ac:dyDescent="0.2">
      <c r="A388">
        <v>51.751330000000003</v>
      </c>
      <c r="B388">
        <v>-117.76133</v>
      </c>
      <c r="C388" t="s">
        <v>61</v>
      </c>
      <c r="D388">
        <v>376</v>
      </c>
      <c r="E388">
        <v>8</v>
      </c>
      <c r="F388" t="s">
        <v>930</v>
      </c>
      <c r="G388" t="str">
        <f t="shared" si="6"/>
        <v>TABERNACLE (WIND)</v>
      </c>
      <c r="H388" t="s">
        <v>781</v>
      </c>
      <c r="I388">
        <v>2438</v>
      </c>
      <c r="L388">
        <v>35796</v>
      </c>
      <c r="M388" t="s">
        <v>782</v>
      </c>
      <c r="N388" t="s">
        <v>783</v>
      </c>
      <c r="R388" t="s">
        <v>36</v>
      </c>
      <c r="S388" t="s">
        <v>37</v>
      </c>
      <c r="W388" t="s">
        <v>40</v>
      </c>
    </row>
    <row r="389" spans="1:23" x14ac:dyDescent="0.2">
      <c r="A389">
        <v>50.365830000000003</v>
      </c>
      <c r="B389">
        <v>-117.0645</v>
      </c>
      <c r="C389" t="s">
        <v>61</v>
      </c>
      <c r="D389">
        <v>379</v>
      </c>
      <c r="E389">
        <v>1</v>
      </c>
      <c r="F389" t="s">
        <v>931</v>
      </c>
      <c r="G389" t="str">
        <f t="shared" si="6"/>
        <v>GOLD HILL</v>
      </c>
      <c r="H389" t="s">
        <v>781</v>
      </c>
      <c r="I389">
        <v>800</v>
      </c>
      <c r="L389">
        <v>28856</v>
      </c>
      <c r="M389" t="s">
        <v>782</v>
      </c>
      <c r="N389" t="s">
        <v>783</v>
      </c>
      <c r="R389" t="s">
        <v>36</v>
      </c>
      <c r="S389" t="s">
        <v>37</v>
      </c>
      <c r="T389" t="s">
        <v>38</v>
      </c>
      <c r="W389" t="s">
        <v>40</v>
      </c>
    </row>
    <row r="390" spans="1:23" x14ac:dyDescent="0.2">
      <c r="A390">
        <v>49.906500000000001</v>
      </c>
      <c r="B390">
        <v>-116.85509999999999</v>
      </c>
      <c r="C390" t="s">
        <v>61</v>
      </c>
      <c r="D390">
        <v>380</v>
      </c>
      <c r="E390">
        <v>2</v>
      </c>
      <c r="F390" t="s">
        <v>932</v>
      </c>
      <c r="G390" t="str">
        <f t="shared" si="6"/>
        <v>POWDER CREEK</v>
      </c>
      <c r="H390" t="s">
        <v>781</v>
      </c>
      <c r="I390">
        <v>1019</v>
      </c>
      <c r="L390">
        <v>36892</v>
      </c>
      <c r="M390" t="s">
        <v>782</v>
      </c>
      <c r="N390" t="s">
        <v>783</v>
      </c>
      <c r="R390" t="s">
        <v>36</v>
      </c>
      <c r="S390" t="s">
        <v>37</v>
      </c>
      <c r="T390" t="s">
        <v>38</v>
      </c>
      <c r="W390" t="s">
        <v>40</v>
      </c>
    </row>
    <row r="391" spans="1:23" x14ac:dyDescent="0.2">
      <c r="A391">
        <v>50.383000000000003</v>
      </c>
      <c r="B391">
        <v>-117.87990000000001</v>
      </c>
      <c r="C391" t="s">
        <v>61</v>
      </c>
      <c r="D391">
        <v>383</v>
      </c>
      <c r="E391">
        <v>1</v>
      </c>
      <c r="F391" t="s">
        <v>933</v>
      </c>
      <c r="G391" t="str">
        <f t="shared" si="6"/>
        <v>FALLS CREEK</v>
      </c>
      <c r="H391" t="s">
        <v>781</v>
      </c>
      <c r="I391">
        <v>790</v>
      </c>
      <c r="J391" t="s">
        <v>253</v>
      </c>
      <c r="L391">
        <v>37257</v>
      </c>
      <c r="M391" t="s">
        <v>782</v>
      </c>
      <c r="N391" t="s">
        <v>783</v>
      </c>
      <c r="R391" t="s">
        <v>36</v>
      </c>
      <c r="S391" t="s">
        <v>37</v>
      </c>
      <c r="T391" t="s">
        <v>389</v>
      </c>
      <c r="W391" t="s">
        <v>40</v>
      </c>
    </row>
    <row r="392" spans="1:23" x14ac:dyDescent="0.2">
      <c r="A392">
        <v>50.780830000000002</v>
      </c>
      <c r="B392">
        <v>-117.18049999999999</v>
      </c>
      <c r="C392" t="s">
        <v>61</v>
      </c>
      <c r="D392">
        <v>385</v>
      </c>
      <c r="E392">
        <v>4</v>
      </c>
      <c r="F392" t="s">
        <v>934</v>
      </c>
      <c r="G392" t="str">
        <f t="shared" si="6"/>
        <v>DUNCAN</v>
      </c>
      <c r="H392" t="s">
        <v>781</v>
      </c>
      <c r="I392">
        <v>1376</v>
      </c>
      <c r="L392">
        <v>29587</v>
      </c>
      <c r="M392" t="s">
        <v>782</v>
      </c>
      <c r="N392" t="s">
        <v>783</v>
      </c>
      <c r="R392" t="s">
        <v>36</v>
      </c>
      <c r="S392" t="s">
        <v>37</v>
      </c>
      <c r="T392" t="s">
        <v>38</v>
      </c>
      <c r="W392" t="s">
        <v>40</v>
      </c>
    </row>
    <row r="393" spans="1:23" x14ac:dyDescent="0.2">
      <c r="A393">
        <v>50.62133</v>
      </c>
      <c r="B393">
        <v>-117.4645</v>
      </c>
      <c r="C393" t="s">
        <v>61</v>
      </c>
      <c r="D393">
        <v>387</v>
      </c>
      <c r="E393">
        <v>2</v>
      </c>
      <c r="F393" t="s">
        <v>935</v>
      </c>
      <c r="G393" t="str">
        <f t="shared" si="6"/>
        <v>TROUT LAKE</v>
      </c>
      <c r="H393" t="s">
        <v>781</v>
      </c>
      <c r="I393">
        <v>991</v>
      </c>
      <c r="L393">
        <v>31778</v>
      </c>
      <c r="M393" t="s">
        <v>782</v>
      </c>
      <c r="N393" t="s">
        <v>783</v>
      </c>
      <c r="R393" t="s">
        <v>36</v>
      </c>
      <c r="S393" t="s">
        <v>37</v>
      </c>
      <c r="T393" t="s">
        <v>38</v>
      </c>
      <c r="W393" t="s">
        <v>40</v>
      </c>
    </row>
    <row r="394" spans="1:23" x14ac:dyDescent="0.2">
      <c r="A394">
        <v>49.959980000000002</v>
      </c>
      <c r="B394">
        <v>-118.62603</v>
      </c>
      <c r="C394" t="s">
        <v>86</v>
      </c>
      <c r="D394">
        <v>388</v>
      </c>
      <c r="E394">
        <v>5</v>
      </c>
      <c r="F394" t="s">
        <v>936</v>
      </c>
      <c r="G394" t="str">
        <f t="shared" si="6"/>
        <v>KETTLE 2</v>
      </c>
      <c r="H394" t="s">
        <v>781</v>
      </c>
      <c r="I394">
        <v>1389</v>
      </c>
      <c r="L394">
        <v>31778</v>
      </c>
      <c r="M394" t="s">
        <v>782</v>
      </c>
      <c r="N394" t="s">
        <v>783</v>
      </c>
      <c r="R394" t="s">
        <v>36</v>
      </c>
      <c r="S394" t="s">
        <v>37</v>
      </c>
      <c r="T394" t="s">
        <v>38</v>
      </c>
      <c r="W394" t="s">
        <v>40</v>
      </c>
    </row>
    <row r="395" spans="1:23" x14ac:dyDescent="0.2">
      <c r="A395">
        <v>49.457000000000001</v>
      </c>
      <c r="B395">
        <v>-119.08833</v>
      </c>
      <c r="C395" t="s">
        <v>86</v>
      </c>
      <c r="D395">
        <v>390</v>
      </c>
      <c r="E395">
        <v>2</v>
      </c>
      <c r="F395" t="s">
        <v>937</v>
      </c>
      <c r="G395" t="str">
        <f t="shared" si="6"/>
        <v>BEAVERDELL</v>
      </c>
      <c r="H395" t="s">
        <v>781</v>
      </c>
      <c r="I395">
        <v>807</v>
      </c>
      <c r="J395" t="s">
        <v>253</v>
      </c>
      <c r="L395">
        <v>25569</v>
      </c>
      <c r="M395" t="s">
        <v>782</v>
      </c>
      <c r="N395" t="s">
        <v>783</v>
      </c>
      <c r="R395" t="s">
        <v>36</v>
      </c>
      <c r="S395" t="s">
        <v>37</v>
      </c>
      <c r="T395" t="s">
        <v>38</v>
      </c>
      <c r="W395" t="s">
        <v>40</v>
      </c>
    </row>
    <row r="396" spans="1:23" x14ac:dyDescent="0.2">
      <c r="A396">
        <v>49.432830000000003</v>
      </c>
      <c r="B396">
        <v>-118.57832999999999</v>
      </c>
      <c r="C396" t="s">
        <v>61</v>
      </c>
      <c r="D396">
        <v>391</v>
      </c>
      <c r="E396">
        <v>3</v>
      </c>
      <c r="F396" t="s">
        <v>938</v>
      </c>
      <c r="G396" t="str">
        <f t="shared" si="6"/>
        <v>EIGHT MILE</v>
      </c>
      <c r="H396" t="s">
        <v>781</v>
      </c>
      <c r="I396">
        <v>1338</v>
      </c>
      <c r="L396">
        <v>29221</v>
      </c>
      <c r="M396" t="s">
        <v>782</v>
      </c>
      <c r="N396" t="s">
        <v>783</v>
      </c>
      <c r="R396" t="s">
        <v>36</v>
      </c>
      <c r="S396" t="s">
        <v>37</v>
      </c>
      <c r="T396" t="s">
        <v>38</v>
      </c>
      <c r="W396" t="s">
        <v>40</v>
      </c>
    </row>
    <row r="397" spans="1:23" x14ac:dyDescent="0.2">
      <c r="A397">
        <v>49.030700000000003</v>
      </c>
      <c r="B397">
        <v>-118.4156</v>
      </c>
      <c r="C397" t="s">
        <v>86</v>
      </c>
      <c r="D397">
        <v>392</v>
      </c>
      <c r="E397">
        <v>1</v>
      </c>
      <c r="F397" t="s">
        <v>939</v>
      </c>
      <c r="G397" t="str">
        <f t="shared" si="6"/>
        <v>GRAND FORKS</v>
      </c>
      <c r="H397" t="s">
        <v>781</v>
      </c>
      <c r="I397">
        <v>630</v>
      </c>
      <c r="L397">
        <v>29587</v>
      </c>
      <c r="M397" t="s">
        <v>782</v>
      </c>
      <c r="N397" t="s">
        <v>783</v>
      </c>
      <c r="R397" t="s">
        <v>36</v>
      </c>
      <c r="S397" t="s">
        <v>37</v>
      </c>
      <c r="T397" t="s">
        <v>38</v>
      </c>
      <c r="W397" t="s">
        <v>40</v>
      </c>
    </row>
    <row r="398" spans="1:23" x14ac:dyDescent="0.2">
      <c r="A398">
        <v>49.526670000000003</v>
      </c>
      <c r="B398">
        <v>-118.36033</v>
      </c>
      <c r="C398" t="s">
        <v>61</v>
      </c>
      <c r="D398">
        <v>393</v>
      </c>
      <c r="E398">
        <v>1</v>
      </c>
      <c r="F398" t="s">
        <v>940</v>
      </c>
      <c r="G398" t="str">
        <f t="shared" si="6"/>
        <v>NICOLL</v>
      </c>
      <c r="H398" t="s">
        <v>781</v>
      </c>
      <c r="I398">
        <v>866</v>
      </c>
      <c r="L398">
        <v>29587</v>
      </c>
      <c r="M398" t="s">
        <v>782</v>
      </c>
      <c r="N398" t="s">
        <v>783</v>
      </c>
      <c r="R398" t="s">
        <v>36</v>
      </c>
      <c r="S398" t="s">
        <v>37</v>
      </c>
      <c r="T398" t="s">
        <v>38</v>
      </c>
      <c r="W398" t="s">
        <v>40</v>
      </c>
    </row>
    <row r="399" spans="1:23" x14ac:dyDescent="0.2">
      <c r="A399">
        <v>49.052</v>
      </c>
      <c r="B399">
        <v>-118.93667000000001</v>
      </c>
      <c r="C399" t="s">
        <v>86</v>
      </c>
      <c r="D399">
        <v>394</v>
      </c>
      <c r="E399">
        <v>1</v>
      </c>
      <c r="F399" t="s">
        <v>941</v>
      </c>
      <c r="G399" t="str">
        <f t="shared" si="6"/>
        <v>ROCK CREEK</v>
      </c>
      <c r="H399" t="s">
        <v>781</v>
      </c>
      <c r="I399">
        <v>609</v>
      </c>
      <c r="J399" t="s">
        <v>253</v>
      </c>
      <c r="L399">
        <v>32874</v>
      </c>
      <c r="M399" t="s">
        <v>782</v>
      </c>
      <c r="N399" t="s">
        <v>783</v>
      </c>
      <c r="R399" t="s">
        <v>36</v>
      </c>
      <c r="S399" t="s">
        <v>37</v>
      </c>
      <c r="T399" t="s">
        <v>38</v>
      </c>
      <c r="W399" t="s">
        <v>40</v>
      </c>
    </row>
    <row r="400" spans="1:23" x14ac:dyDescent="0.2">
      <c r="A400">
        <v>49.698999999999998</v>
      </c>
      <c r="B400">
        <v>-118.081</v>
      </c>
      <c r="C400" t="s">
        <v>61</v>
      </c>
      <c r="D400">
        <v>396</v>
      </c>
      <c r="E400">
        <v>4</v>
      </c>
      <c r="F400" t="s">
        <v>942</v>
      </c>
      <c r="G400" t="str">
        <f t="shared" si="6"/>
        <v>OCTOPUS CREEK</v>
      </c>
      <c r="H400" t="s">
        <v>781</v>
      </c>
      <c r="I400">
        <v>1432</v>
      </c>
      <c r="L400">
        <v>36526</v>
      </c>
      <c r="M400" t="s">
        <v>782</v>
      </c>
      <c r="N400" t="s">
        <v>783</v>
      </c>
      <c r="R400" t="s">
        <v>36</v>
      </c>
      <c r="S400" t="s">
        <v>37</v>
      </c>
      <c r="T400" t="s">
        <v>38</v>
      </c>
      <c r="W400" t="s">
        <v>40</v>
      </c>
    </row>
    <row r="401" spans="1:23" x14ac:dyDescent="0.2">
      <c r="A401">
        <v>49.125329999999998</v>
      </c>
      <c r="B401">
        <v>-116.16383</v>
      </c>
      <c r="C401" t="s">
        <v>61</v>
      </c>
      <c r="D401">
        <v>401</v>
      </c>
      <c r="E401">
        <v>2</v>
      </c>
      <c r="F401" t="s">
        <v>943</v>
      </c>
      <c r="G401" t="str">
        <f t="shared" si="6"/>
        <v>GOATFELL</v>
      </c>
      <c r="H401" t="s">
        <v>781</v>
      </c>
      <c r="I401">
        <v>1098</v>
      </c>
      <c r="L401">
        <v>31413</v>
      </c>
      <c r="M401" t="s">
        <v>782</v>
      </c>
      <c r="N401" t="s">
        <v>783</v>
      </c>
      <c r="R401" t="s">
        <v>36</v>
      </c>
      <c r="S401" t="s">
        <v>37</v>
      </c>
      <c r="T401" t="s">
        <v>38</v>
      </c>
      <c r="W401" t="s">
        <v>40</v>
      </c>
    </row>
    <row r="402" spans="1:23" x14ac:dyDescent="0.2">
      <c r="A402">
        <v>49.050559999999997</v>
      </c>
      <c r="B402">
        <v>-117.41388999999999</v>
      </c>
      <c r="C402" t="s">
        <v>61</v>
      </c>
      <c r="D402">
        <v>402</v>
      </c>
      <c r="E402">
        <v>1</v>
      </c>
      <c r="F402" t="s">
        <v>944</v>
      </c>
      <c r="G402" t="str">
        <f t="shared" si="6"/>
        <v>PENDOREILLE</v>
      </c>
      <c r="H402" t="s">
        <v>781</v>
      </c>
      <c r="I402">
        <v>725</v>
      </c>
      <c r="L402">
        <v>31413</v>
      </c>
      <c r="M402" t="s">
        <v>782</v>
      </c>
      <c r="N402" t="s">
        <v>783</v>
      </c>
      <c r="R402" t="s">
        <v>36</v>
      </c>
      <c r="S402" t="s">
        <v>37</v>
      </c>
      <c r="T402" t="s">
        <v>38</v>
      </c>
      <c r="W402" t="s">
        <v>40</v>
      </c>
    </row>
    <row r="403" spans="1:23" x14ac:dyDescent="0.2">
      <c r="A403">
        <v>49.496670000000002</v>
      </c>
      <c r="B403">
        <v>-117.44750000000001</v>
      </c>
      <c r="C403" t="s">
        <v>61</v>
      </c>
      <c r="D403">
        <v>404</v>
      </c>
      <c r="E403">
        <v>2</v>
      </c>
      <c r="F403" t="s">
        <v>945</v>
      </c>
      <c r="G403" t="str">
        <f t="shared" si="6"/>
        <v>SMALLWOOD</v>
      </c>
      <c r="H403" t="s">
        <v>781</v>
      </c>
      <c r="I403">
        <v>997</v>
      </c>
      <c r="J403" t="s">
        <v>253</v>
      </c>
      <c r="L403">
        <v>33239</v>
      </c>
      <c r="M403" t="s">
        <v>782</v>
      </c>
      <c r="N403" t="s">
        <v>783</v>
      </c>
      <c r="R403" t="s">
        <v>36</v>
      </c>
      <c r="S403" t="s">
        <v>37</v>
      </c>
      <c r="T403" t="s">
        <v>38</v>
      </c>
      <c r="W403" t="s">
        <v>40</v>
      </c>
    </row>
    <row r="404" spans="1:23" x14ac:dyDescent="0.2">
      <c r="A404">
        <v>49.784669999999998</v>
      </c>
      <c r="B404">
        <v>-117.44</v>
      </c>
      <c r="C404" t="s">
        <v>61</v>
      </c>
      <c r="D404">
        <v>406</v>
      </c>
      <c r="E404">
        <v>3</v>
      </c>
      <c r="F404" t="s">
        <v>946</v>
      </c>
      <c r="G404" t="str">
        <f t="shared" si="6"/>
        <v>SLOCAN</v>
      </c>
      <c r="H404" t="s">
        <v>781</v>
      </c>
      <c r="I404">
        <v>1230</v>
      </c>
      <c r="J404" t="s">
        <v>253</v>
      </c>
      <c r="L404">
        <v>33604</v>
      </c>
      <c r="M404" t="s">
        <v>782</v>
      </c>
      <c r="N404" t="s">
        <v>783</v>
      </c>
      <c r="R404" t="s">
        <v>36</v>
      </c>
      <c r="S404" t="s">
        <v>37</v>
      </c>
      <c r="T404" t="s">
        <v>38</v>
      </c>
      <c r="W404" t="s">
        <v>40</v>
      </c>
    </row>
    <row r="405" spans="1:23" x14ac:dyDescent="0.2">
      <c r="A405">
        <v>49.2545</v>
      </c>
      <c r="B405">
        <v>-117.99417</v>
      </c>
      <c r="C405" t="s">
        <v>61</v>
      </c>
      <c r="D405">
        <v>407</v>
      </c>
      <c r="E405">
        <v>4</v>
      </c>
      <c r="F405" t="s">
        <v>947</v>
      </c>
      <c r="G405" t="str">
        <f t="shared" si="6"/>
        <v>NANCY GREENE</v>
      </c>
      <c r="H405" t="s">
        <v>781</v>
      </c>
      <c r="I405">
        <v>1397</v>
      </c>
      <c r="L405">
        <v>33604</v>
      </c>
      <c r="M405" t="s">
        <v>782</v>
      </c>
      <c r="N405" t="s">
        <v>783</v>
      </c>
      <c r="R405" t="s">
        <v>36</v>
      </c>
      <c r="S405" t="s">
        <v>37</v>
      </c>
      <c r="T405" t="s">
        <v>38</v>
      </c>
      <c r="W405" t="s">
        <v>40</v>
      </c>
    </row>
    <row r="406" spans="1:23" x14ac:dyDescent="0.2">
      <c r="A406">
        <v>49.502499999999998</v>
      </c>
      <c r="B406">
        <v>-117.78700000000001</v>
      </c>
      <c r="C406" t="s">
        <v>61</v>
      </c>
      <c r="D406">
        <v>408</v>
      </c>
      <c r="E406">
        <v>8</v>
      </c>
      <c r="F406" t="s">
        <v>948</v>
      </c>
      <c r="G406" t="str">
        <f t="shared" si="6"/>
        <v>NORNS (WIND)</v>
      </c>
      <c r="H406" t="s">
        <v>781</v>
      </c>
      <c r="I406">
        <v>2423</v>
      </c>
      <c r="L406">
        <v>33604</v>
      </c>
      <c r="M406" t="s">
        <v>782</v>
      </c>
      <c r="N406" t="s">
        <v>783</v>
      </c>
      <c r="R406" t="s">
        <v>36</v>
      </c>
      <c r="S406" t="s">
        <v>37</v>
      </c>
      <c r="W406" t="s">
        <v>40</v>
      </c>
    </row>
    <row r="407" spans="1:23" x14ac:dyDescent="0.2">
      <c r="A407">
        <v>50.494610000000002</v>
      </c>
      <c r="B407">
        <v>-115.66643999999999</v>
      </c>
      <c r="C407" t="s">
        <v>61</v>
      </c>
      <c r="D407">
        <v>411</v>
      </c>
      <c r="E407">
        <v>2</v>
      </c>
      <c r="F407" t="s">
        <v>949</v>
      </c>
      <c r="G407" t="str">
        <f t="shared" si="6"/>
        <v>PALLISER</v>
      </c>
      <c r="H407" t="s">
        <v>781</v>
      </c>
      <c r="I407">
        <v>1100</v>
      </c>
      <c r="L407">
        <v>26665</v>
      </c>
      <c r="M407" t="s">
        <v>782</v>
      </c>
      <c r="N407" t="s">
        <v>783</v>
      </c>
      <c r="R407" t="s">
        <v>36</v>
      </c>
      <c r="S407" t="s">
        <v>37</v>
      </c>
      <c r="T407" t="s">
        <v>38</v>
      </c>
      <c r="W407" t="s">
        <v>40</v>
      </c>
    </row>
    <row r="408" spans="1:23" x14ac:dyDescent="0.2">
      <c r="A408">
        <v>49.287669999999999</v>
      </c>
      <c r="B408">
        <v>-115.15456</v>
      </c>
      <c r="C408" t="s">
        <v>61</v>
      </c>
      <c r="D408">
        <v>412</v>
      </c>
      <c r="E408">
        <v>1</v>
      </c>
      <c r="F408" t="s">
        <v>950</v>
      </c>
      <c r="G408" t="str">
        <f t="shared" si="6"/>
        <v>ELKO</v>
      </c>
      <c r="H408" t="s">
        <v>781</v>
      </c>
      <c r="I408">
        <v>775</v>
      </c>
      <c r="L408">
        <v>35431</v>
      </c>
      <c r="M408" t="s">
        <v>782</v>
      </c>
      <c r="N408" t="s">
        <v>783</v>
      </c>
      <c r="R408" t="s">
        <v>36</v>
      </c>
      <c r="S408" t="s">
        <v>37</v>
      </c>
      <c r="T408" t="s">
        <v>38</v>
      </c>
      <c r="W408" t="s">
        <v>40</v>
      </c>
    </row>
    <row r="409" spans="1:23" x14ac:dyDescent="0.2">
      <c r="A409">
        <v>50.512830000000001</v>
      </c>
      <c r="B409">
        <v>-116.05533</v>
      </c>
      <c r="C409" t="s">
        <v>61</v>
      </c>
      <c r="D409">
        <v>417</v>
      </c>
      <c r="E409">
        <v>1</v>
      </c>
      <c r="F409" t="s">
        <v>951</v>
      </c>
      <c r="G409" t="str">
        <f t="shared" si="6"/>
        <v>TOBY HUB</v>
      </c>
      <c r="H409" t="s">
        <v>781</v>
      </c>
      <c r="I409">
        <v>894</v>
      </c>
      <c r="J409" t="s">
        <v>253</v>
      </c>
      <c r="K409" t="s">
        <v>790</v>
      </c>
      <c r="L409">
        <v>31413</v>
      </c>
      <c r="M409" t="s">
        <v>782</v>
      </c>
      <c r="N409" t="s">
        <v>783</v>
      </c>
      <c r="R409" t="s">
        <v>36</v>
      </c>
      <c r="S409" t="s">
        <v>37</v>
      </c>
      <c r="T409" t="s">
        <v>689</v>
      </c>
      <c r="U409" t="s">
        <v>39</v>
      </c>
      <c r="W409" t="s">
        <v>40</v>
      </c>
    </row>
    <row r="410" spans="1:23" x14ac:dyDescent="0.2">
      <c r="A410">
        <v>49.079129999999999</v>
      </c>
      <c r="B410">
        <v>-114.53734</v>
      </c>
      <c r="C410" t="s">
        <v>61</v>
      </c>
      <c r="D410">
        <v>418</v>
      </c>
      <c r="E410">
        <v>3</v>
      </c>
      <c r="F410" t="s">
        <v>952</v>
      </c>
      <c r="G410" t="str">
        <f t="shared" si="6"/>
        <v>FLATHEAD 2</v>
      </c>
      <c r="H410" t="s">
        <v>781</v>
      </c>
      <c r="I410">
        <v>1311</v>
      </c>
      <c r="L410">
        <v>31413</v>
      </c>
      <c r="M410" t="s">
        <v>782</v>
      </c>
      <c r="N410" t="s">
        <v>783</v>
      </c>
      <c r="R410" t="s">
        <v>36</v>
      </c>
      <c r="S410" t="s">
        <v>37</v>
      </c>
      <c r="T410" t="s">
        <v>38</v>
      </c>
      <c r="W410" t="s">
        <v>40</v>
      </c>
    </row>
    <row r="411" spans="1:23" x14ac:dyDescent="0.2">
      <c r="A411">
        <v>49.921999999999997</v>
      </c>
      <c r="B411">
        <v>-115.73667</v>
      </c>
      <c r="C411" t="s">
        <v>61</v>
      </c>
      <c r="D411">
        <v>419</v>
      </c>
      <c r="E411">
        <v>1</v>
      </c>
      <c r="F411" t="s">
        <v>953</v>
      </c>
      <c r="G411" t="str">
        <f t="shared" si="6"/>
        <v>JOHNSON LAKE</v>
      </c>
      <c r="H411" t="s">
        <v>781</v>
      </c>
      <c r="I411">
        <v>853</v>
      </c>
      <c r="J411" t="s">
        <v>253</v>
      </c>
      <c r="L411">
        <v>31413</v>
      </c>
      <c r="M411" t="s">
        <v>782</v>
      </c>
      <c r="N411" t="s">
        <v>783</v>
      </c>
      <c r="R411" t="s">
        <v>36</v>
      </c>
      <c r="S411" t="s">
        <v>37</v>
      </c>
      <c r="T411" t="s">
        <v>38</v>
      </c>
      <c r="W411" t="s">
        <v>40</v>
      </c>
    </row>
    <row r="412" spans="1:23" x14ac:dyDescent="0.2">
      <c r="A412">
        <v>49.784500000000001</v>
      </c>
      <c r="B412">
        <v>-116.383</v>
      </c>
      <c r="C412" t="s">
        <v>61</v>
      </c>
      <c r="D412">
        <v>421</v>
      </c>
      <c r="E412">
        <v>5</v>
      </c>
      <c r="F412" t="s">
        <v>954</v>
      </c>
      <c r="G412" t="str">
        <f t="shared" si="6"/>
        <v>DEWAR CREEK</v>
      </c>
      <c r="H412" t="s">
        <v>781</v>
      </c>
      <c r="I412">
        <v>1608</v>
      </c>
      <c r="L412">
        <v>31413</v>
      </c>
      <c r="M412" t="s">
        <v>782</v>
      </c>
      <c r="N412" t="s">
        <v>783</v>
      </c>
      <c r="R412" t="s">
        <v>36</v>
      </c>
      <c r="S412" t="s">
        <v>37</v>
      </c>
      <c r="T412" t="s">
        <v>38</v>
      </c>
      <c r="W412" t="s">
        <v>40</v>
      </c>
    </row>
    <row r="413" spans="1:23" x14ac:dyDescent="0.2">
      <c r="A413">
        <v>50.14508</v>
      </c>
      <c r="B413">
        <v>-115.97723000000001</v>
      </c>
      <c r="C413" t="s">
        <v>61</v>
      </c>
      <c r="D413">
        <v>425</v>
      </c>
      <c r="E413">
        <v>3</v>
      </c>
      <c r="F413" t="s">
        <v>955</v>
      </c>
      <c r="G413" t="str">
        <f t="shared" si="6"/>
        <v>EMILY CREEK</v>
      </c>
      <c r="H413" t="s">
        <v>781</v>
      </c>
      <c r="I413">
        <v>1190</v>
      </c>
      <c r="J413" t="s">
        <v>253</v>
      </c>
      <c r="L413">
        <v>37257</v>
      </c>
      <c r="M413" t="s">
        <v>782</v>
      </c>
      <c r="N413" t="s">
        <v>783</v>
      </c>
      <c r="R413" t="s">
        <v>36</v>
      </c>
      <c r="S413" t="s">
        <v>37</v>
      </c>
      <c r="T413" t="s">
        <v>38</v>
      </c>
      <c r="W413" t="s">
        <v>40</v>
      </c>
    </row>
    <row r="414" spans="1:23" x14ac:dyDescent="0.2">
      <c r="A414">
        <v>49.667299999999997</v>
      </c>
      <c r="B414">
        <v>-115.848</v>
      </c>
      <c r="C414" t="s">
        <v>61</v>
      </c>
      <c r="D414">
        <v>426</v>
      </c>
      <c r="E414">
        <v>2</v>
      </c>
      <c r="F414" t="s">
        <v>956</v>
      </c>
      <c r="G414" t="str">
        <f t="shared" si="6"/>
        <v>CRANBROOK FS</v>
      </c>
      <c r="H414" t="s">
        <v>781</v>
      </c>
      <c r="I414">
        <v>996</v>
      </c>
      <c r="L414">
        <v>36892</v>
      </c>
      <c r="M414" t="s">
        <v>782</v>
      </c>
      <c r="N414" t="s">
        <v>783</v>
      </c>
      <c r="R414" t="s">
        <v>36</v>
      </c>
      <c r="S414" t="s">
        <v>37</v>
      </c>
      <c r="T414" t="s">
        <v>38</v>
      </c>
      <c r="W414" t="s">
        <v>40</v>
      </c>
    </row>
    <row r="415" spans="1:23" x14ac:dyDescent="0.2">
      <c r="A415">
        <v>55.288330000000002</v>
      </c>
      <c r="B415">
        <v>-128.99332999999999</v>
      </c>
      <c r="C415" t="s">
        <v>204</v>
      </c>
      <c r="D415">
        <v>427</v>
      </c>
      <c r="E415">
        <v>2</v>
      </c>
      <c r="F415" t="s">
        <v>957</v>
      </c>
      <c r="G415" t="str">
        <f t="shared" si="6"/>
        <v>NASS CAMP</v>
      </c>
      <c r="H415" t="s">
        <v>781</v>
      </c>
      <c r="I415">
        <v>191</v>
      </c>
      <c r="L415">
        <v>25569</v>
      </c>
      <c r="M415" t="s">
        <v>782</v>
      </c>
      <c r="N415" t="s">
        <v>783</v>
      </c>
      <c r="R415" t="s">
        <v>36</v>
      </c>
      <c r="S415" t="s">
        <v>37</v>
      </c>
      <c r="T415" t="s">
        <v>38</v>
      </c>
      <c r="W415" t="s">
        <v>40</v>
      </c>
    </row>
    <row r="416" spans="1:23" x14ac:dyDescent="0.2">
      <c r="A416">
        <v>55.435000000000002</v>
      </c>
      <c r="B416">
        <v>-127.64667</v>
      </c>
      <c r="C416" t="s">
        <v>204</v>
      </c>
      <c r="D416">
        <v>428</v>
      </c>
      <c r="E416">
        <v>3</v>
      </c>
      <c r="F416" t="s">
        <v>958</v>
      </c>
      <c r="G416" t="str">
        <f t="shared" si="6"/>
        <v>KISPIOX HUB</v>
      </c>
      <c r="H416" t="s">
        <v>781</v>
      </c>
      <c r="I416">
        <v>335</v>
      </c>
      <c r="J416" t="s">
        <v>253</v>
      </c>
      <c r="L416">
        <v>25569</v>
      </c>
      <c r="M416" t="s">
        <v>782</v>
      </c>
      <c r="N416" t="s">
        <v>783</v>
      </c>
      <c r="R416" t="s">
        <v>36</v>
      </c>
      <c r="S416" t="s">
        <v>37</v>
      </c>
      <c r="T416" t="s">
        <v>38</v>
      </c>
      <c r="W416" t="s">
        <v>40</v>
      </c>
    </row>
    <row r="417" spans="1:23" x14ac:dyDescent="0.2">
      <c r="A417">
        <v>55.026670000000003</v>
      </c>
      <c r="B417">
        <v>-128.31333000000001</v>
      </c>
      <c r="C417" t="s">
        <v>204</v>
      </c>
      <c r="D417">
        <v>429</v>
      </c>
      <c r="E417">
        <v>2</v>
      </c>
      <c r="F417" t="s">
        <v>959</v>
      </c>
      <c r="G417" t="str">
        <f t="shared" si="6"/>
        <v>CEDARVALE</v>
      </c>
      <c r="H417" t="s">
        <v>781</v>
      </c>
      <c r="I417">
        <v>274</v>
      </c>
      <c r="J417" t="s">
        <v>253</v>
      </c>
      <c r="K417" t="s">
        <v>790</v>
      </c>
      <c r="L417">
        <v>29952</v>
      </c>
      <c r="M417" t="s">
        <v>782</v>
      </c>
      <c r="N417" t="s">
        <v>783</v>
      </c>
      <c r="R417" t="s">
        <v>36</v>
      </c>
      <c r="S417" t="s">
        <v>37</v>
      </c>
      <c r="T417" t="s">
        <v>689</v>
      </c>
      <c r="U417" t="s">
        <v>39</v>
      </c>
      <c r="W417" t="s">
        <v>40</v>
      </c>
    </row>
    <row r="418" spans="1:23" x14ac:dyDescent="0.2">
      <c r="A418">
        <v>56.012729999999998</v>
      </c>
      <c r="B418">
        <v>-129.09980999999999</v>
      </c>
      <c r="C418" t="s">
        <v>204</v>
      </c>
      <c r="D418">
        <v>430</v>
      </c>
      <c r="E418">
        <v>2</v>
      </c>
      <c r="F418" t="s">
        <v>960</v>
      </c>
      <c r="G418" t="str">
        <f t="shared" si="6"/>
        <v>VAN DYKE</v>
      </c>
      <c r="H418" t="s">
        <v>781</v>
      </c>
      <c r="I418">
        <v>296</v>
      </c>
      <c r="J418" t="s">
        <v>253</v>
      </c>
      <c r="L418">
        <v>30317</v>
      </c>
      <c r="M418" t="s">
        <v>782</v>
      </c>
      <c r="N418" t="s">
        <v>783</v>
      </c>
      <c r="R418" t="s">
        <v>36</v>
      </c>
      <c r="S418" t="s">
        <v>37</v>
      </c>
      <c r="T418" t="s">
        <v>38</v>
      </c>
      <c r="W418" t="s">
        <v>40</v>
      </c>
    </row>
    <row r="419" spans="1:23" x14ac:dyDescent="0.2">
      <c r="A419">
        <v>55.6</v>
      </c>
      <c r="B419">
        <v>-128.04167000000001</v>
      </c>
      <c r="C419" t="s">
        <v>204</v>
      </c>
      <c r="D419">
        <v>431</v>
      </c>
      <c r="E419">
        <v>3</v>
      </c>
      <c r="F419" t="s">
        <v>961</v>
      </c>
      <c r="G419" t="str">
        <f t="shared" si="6"/>
        <v>UPPER KISPIOX</v>
      </c>
      <c r="H419" t="s">
        <v>781</v>
      </c>
      <c r="I419">
        <v>410</v>
      </c>
      <c r="L419">
        <v>31413</v>
      </c>
      <c r="M419" t="s">
        <v>782</v>
      </c>
      <c r="N419" t="s">
        <v>783</v>
      </c>
      <c r="R419" t="s">
        <v>36</v>
      </c>
      <c r="S419" t="s">
        <v>37</v>
      </c>
      <c r="T419" t="s">
        <v>38</v>
      </c>
      <c r="W419" t="s">
        <v>40</v>
      </c>
    </row>
    <row r="420" spans="1:23" x14ac:dyDescent="0.2">
      <c r="A420">
        <v>56.348489999999998</v>
      </c>
      <c r="B420">
        <v>-129.29283000000001</v>
      </c>
      <c r="C420" t="s">
        <v>204</v>
      </c>
      <c r="D420">
        <v>432</v>
      </c>
      <c r="E420">
        <v>3</v>
      </c>
      <c r="F420" t="s">
        <v>962</v>
      </c>
      <c r="G420" t="str">
        <f t="shared" si="6"/>
        <v>BELL-IRVING</v>
      </c>
      <c r="H420" t="s">
        <v>781</v>
      </c>
      <c r="I420">
        <v>388</v>
      </c>
      <c r="J420" t="s">
        <v>253</v>
      </c>
      <c r="L420">
        <v>31413</v>
      </c>
      <c r="M420" t="s">
        <v>782</v>
      </c>
      <c r="N420" t="s">
        <v>783</v>
      </c>
      <c r="R420" t="s">
        <v>36</v>
      </c>
      <c r="S420" t="s">
        <v>37</v>
      </c>
      <c r="T420" t="s">
        <v>38</v>
      </c>
      <c r="W420" t="s">
        <v>40</v>
      </c>
    </row>
    <row r="421" spans="1:23" x14ac:dyDescent="0.2">
      <c r="A421">
        <v>55.57667</v>
      </c>
      <c r="B421">
        <v>-128.70500000000001</v>
      </c>
      <c r="C421" t="s">
        <v>204</v>
      </c>
      <c r="D421">
        <v>433</v>
      </c>
      <c r="E421">
        <v>3</v>
      </c>
      <c r="F421" t="s">
        <v>963</v>
      </c>
      <c r="G421" t="str">
        <f t="shared" si="6"/>
        <v>CRANBERRY</v>
      </c>
      <c r="H421" t="s">
        <v>781</v>
      </c>
      <c r="I421">
        <v>500</v>
      </c>
      <c r="L421">
        <v>34700</v>
      </c>
      <c r="M421" t="s">
        <v>782</v>
      </c>
      <c r="N421" t="s">
        <v>783</v>
      </c>
      <c r="R421" t="s">
        <v>36</v>
      </c>
      <c r="S421" t="s">
        <v>37</v>
      </c>
      <c r="T421" t="s">
        <v>38</v>
      </c>
      <c r="W421" t="s">
        <v>40</v>
      </c>
    </row>
    <row r="422" spans="1:23" x14ac:dyDescent="0.2">
      <c r="A422">
        <v>55.295760000000001</v>
      </c>
      <c r="B422">
        <v>-120.48605999999999</v>
      </c>
      <c r="C422" t="s">
        <v>46</v>
      </c>
      <c r="D422">
        <v>437</v>
      </c>
      <c r="E422">
        <v>8</v>
      </c>
      <c r="F422" t="s">
        <v>964</v>
      </c>
      <c r="G422" t="str">
        <f t="shared" si="6"/>
        <v>NOEL</v>
      </c>
      <c r="H422" t="s">
        <v>781</v>
      </c>
      <c r="I422">
        <v>988</v>
      </c>
      <c r="J422" t="s">
        <v>253</v>
      </c>
      <c r="K422" t="s">
        <v>790</v>
      </c>
      <c r="L422">
        <v>33970</v>
      </c>
      <c r="M422" t="s">
        <v>782</v>
      </c>
      <c r="N422" t="s">
        <v>783</v>
      </c>
      <c r="R422" t="s">
        <v>36</v>
      </c>
      <c r="S422" t="s">
        <v>37</v>
      </c>
      <c r="T422" t="s">
        <v>689</v>
      </c>
      <c r="U422" t="s">
        <v>39</v>
      </c>
      <c r="W422" t="s">
        <v>40</v>
      </c>
    </row>
    <row r="423" spans="1:23" x14ac:dyDescent="0.2">
      <c r="A423">
        <v>59.333689999999997</v>
      </c>
      <c r="B423">
        <v>-125.51139000000001</v>
      </c>
      <c r="C423" t="s">
        <v>449</v>
      </c>
      <c r="D423">
        <v>438</v>
      </c>
      <c r="E423">
        <v>1</v>
      </c>
      <c r="F423" t="s">
        <v>965</v>
      </c>
      <c r="G423" t="str">
        <f t="shared" si="6"/>
        <v>ELK MOUNTAIN</v>
      </c>
      <c r="H423" t="s">
        <v>781</v>
      </c>
      <c r="I423">
        <v>437</v>
      </c>
      <c r="L423">
        <v>26665</v>
      </c>
      <c r="M423" t="s">
        <v>782</v>
      </c>
      <c r="N423" t="s">
        <v>783</v>
      </c>
      <c r="R423" t="s">
        <v>36</v>
      </c>
      <c r="S423" t="s">
        <v>37</v>
      </c>
      <c r="T423" t="s">
        <v>38</v>
      </c>
      <c r="W423" t="s">
        <v>40</v>
      </c>
    </row>
    <row r="424" spans="1:23" x14ac:dyDescent="0.2">
      <c r="A424">
        <v>59.722670000000001</v>
      </c>
      <c r="B424">
        <v>-127.33514</v>
      </c>
      <c r="C424" t="s">
        <v>449</v>
      </c>
      <c r="D424">
        <v>440</v>
      </c>
      <c r="E424">
        <v>1</v>
      </c>
      <c r="F424" t="s">
        <v>966</v>
      </c>
      <c r="G424" t="str">
        <f t="shared" si="6"/>
        <v>FIRESIDE</v>
      </c>
      <c r="H424" t="s">
        <v>781</v>
      </c>
      <c r="I424">
        <v>731</v>
      </c>
      <c r="L424">
        <v>35065</v>
      </c>
      <c r="M424" t="s">
        <v>782</v>
      </c>
      <c r="N424" t="s">
        <v>783</v>
      </c>
      <c r="R424" t="s">
        <v>36</v>
      </c>
      <c r="S424" t="s">
        <v>37</v>
      </c>
      <c r="T424" t="s">
        <v>38</v>
      </c>
      <c r="W424" t="s">
        <v>40</v>
      </c>
    </row>
    <row r="425" spans="1:23" x14ac:dyDescent="0.2">
      <c r="A425">
        <v>58.726979999999998</v>
      </c>
      <c r="B425">
        <v>-127.12496</v>
      </c>
      <c r="C425" t="s">
        <v>449</v>
      </c>
      <c r="D425">
        <v>444</v>
      </c>
      <c r="E425">
        <v>1</v>
      </c>
      <c r="F425" t="s">
        <v>967</v>
      </c>
      <c r="G425" t="str">
        <f t="shared" si="6"/>
        <v>KETCHIKA</v>
      </c>
      <c r="H425" t="s">
        <v>781</v>
      </c>
      <c r="I425">
        <v>687</v>
      </c>
      <c r="L425">
        <v>31413</v>
      </c>
      <c r="M425" t="s">
        <v>782</v>
      </c>
      <c r="N425" t="s">
        <v>783</v>
      </c>
      <c r="R425" t="s">
        <v>36</v>
      </c>
      <c r="S425" t="s">
        <v>37</v>
      </c>
      <c r="T425" t="s">
        <v>38</v>
      </c>
      <c r="W425" t="s">
        <v>40</v>
      </c>
    </row>
    <row r="426" spans="1:23" x14ac:dyDescent="0.2">
      <c r="A426">
        <v>59.36833</v>
      </c>
      <c r="B426">
        <v>-129.11000000000001</v>
      </c>
      <c r="C426" t="s">
        <v>449</v>
      </c>
      <c r="D426">
        <v>445</v>
      </c>
      <c r="E426">
        <v>1</v>
      </c>
      <c r="F426" t="s">
        <v>968</v>
      </c>
      <c r="G426" t="str">
        <f t="shared" si="6"/>
        <v>BOYA LAKE</v>
      </c>
      <c r="H426" t="s">
        <v>781</v>
      </c>
      <c r="I426">
        <v>730</v>
      </c>
      <c r="L426">
        <v>31048</v>
      </c>
      <c r="M426" t="s">
        <v>782</v>
      </c>
      <c r="N426" t="s">
        <v>783</v>
      </c>
      <c r="R426" t="s">
        <v>36</v>
      </c>
      <c r="S426" t="s">
        <v>37</v>
      </c>
      <c r="T426" t="s">
        <v>38</v>
      </c>
      <c r="W426" t="s">
        <v>40</v>
      </c>
    </row>
    <row r="427" spans="1:23" x14ac:dyDescent="0.2">
      <c r="A427">
        <v>52.0105</v>
      </c>
      <c r="B427">
        <v>-119.25502</v>
      </c>
      <c r="C427" t="s">
        <v>61</v>
      </c>
      <c r="D427">
        <v>474</v>
      </c>
      <c r="E427">
        <v>8</v>
      </c>
      <c r="F427" t="s">
        <v>969</v>
      </c>
      <c r="G427" t="str">
        <f t="shared" si="6"/>
        <v>FROTH (WIND)</v>
      </c>
      <c r="H427" t="s">
        <v>781</v>
      </c>
      <c r="I427">
        <v>2153</v>
      </c>
      <c r="L427">
        <v>34335</v>
      </c>
      <c r="M427" t="s">
        <v>782</v>
      </c>
      <c r="N427" t="s">
        <v>783</v>
      </c>
      <c r="W427" t="s">
        <v>40</v>
      </c>
    </row>
    <row r="428" spans="1:23" x14ac:dyDescent="0.2">
      <c r="A428">
        <v>49.456159999999997</v>
      </c>
      <c r="B428">
        <v>-115.62633</v>
      </c>
      <c r="C428" t="s">
        <v>61</v>
      </c>
      <c r="D428">
        <v>503</v>
      </c>
      <c r="E428">
        <v>8</v>
      </c>
      <c r="F428" t="s">
        <v>970</v>
      </c>
      <c r="G428" t="str">
        <f t="shared" si="6"/>
        <v>BAKER EAST/WEST HUB</v>
      </c>
      <c r="H428" t="s">
        <v>781</v>
      </c>
      <c r="I428">
        <v>2262</v>
      </c>
      <c r="L428">
        <v>39259</v>
      </c>
      <c r="M428" t="s">
        <v>782</v>
      </c>
      <c r="N428" t="s">
        <v>783</v>
      </c>
      <c r="R428" t="s">
        <v>36</v>
      </c>
      <c r="S428" t="s">
        <v>37</v>
      </c>
      <c r="W428" t="s">
        <v>40</v>
      </c>
    </row>
    <row r="429" spans="1:23" x14ac:dyDescent="0.2">
      <c r="A429">
        <v>51.4733333</v>
      </c>
      <c r="B429">
        <v>-121.36</v>
      </c>
      <c r="C429" t="s">
        <v>29</v>
      </c>
      <c r="D429">
        <v>509</v>
      </c>
      <c r="E429">
        <v>6</v>
      </c>
      <c r="F429" t="s">
        <v>971</v>
      </c>
      <c r="G429" t="str">
        <f t="shared" si="6"/>
        <v>BEGBIE SF</v>
      </c>
      <c r="H429" t="s">
        <v>781</v>
      </c>
      <c r="I429">
        <v>1276</v>
      </c>
      <c r="L429">
        <v>43831</v>
      </c>
      <c r="M429" t="s">
        <v>782</v>
      </c>
      <c r="N429" t="s">
        <v>783</v>
      </c>
      <c r="R429" t="s">
        <v>36</v>
      </c>
      <c r="S429" t="s">
        <v>37</v>
      </c>
      <c r="T429" t="s">
        <v>38</v>
      </c>
      <c r="W429" t="s">
        <v>40</v>
      </c>
    </row>
    <row r="430" spans="1:23" x14ac:dyDescent="0.2">
      <c r="A430">
        <v>58.841470000000001</v>
      </c>
      <c r="B430">
        <v>-122.57375</v>
      </c>
      <c r="C430" t="s">
        <v>329</v>
      </c>
      <c r="D430">
        <v>599</v>
      </c>
      <c r="E430">
        <v>1</v>
      </c>
      <c r="F430" t="s">
        <v>972</v>
      </c>
      <c r="G430" t="str">
        <f t="shared" si="6"/>
        <v>FORT NELSON FS</v>
      </c>
      <c r="H430" t="s">
        <v>781</v>
      </c>
      <c r="I430">
        <v>382</v>
      </c>
      <c r="L430">
        <v>36161</v>
      </c>
      <c r="M430" t="s">
        <v>782</v>
      </c>
      <c r="N430" t="s">
        <v>783</v>
      </c>
      <c r="R430" t="s">
        <v>36</v>
      </c>
      <c r="S430" t="s">
        <v>37</v>
      </c>
      <c r="T430" t="s">
        <v>38</v>
      </c>
      <c r="W430" t="s">
        <v>40</v>
      </c>
    </row>
    <row r="431" spans="1:23" x14ac:dyDescent="0.2">
      <c r="A431">
        <v>53.935969999999998</v>
      </c>
      <c r="B431">
        <v>-124.77672</v>
      </c>
      <c r="C431" t="s">
        <v>29</v>
      </c>
      <c r="D431">
        <v>654</v>
      </c>
      <c r="E431">
        <v>3</v>
      </c>
      <c r="F431" t="s">
        <v>973</v>
      </c>
      <c r="G431" t="str">
        <f t="shared" si="6"/>
        <v>HOLY CROSS 2</v>
      </c>
      <c r="H431" t="s">
        <v>781</v>
      </c>
      <c r="I431">
        <v>961</v>
      </c>
      <c r="K431" t="s">
        <v>836</v>
      </c>
      <c r="L431">
        <v>35796</v>
      </c>
      <c r="M431" t="s">
        <v>782</v>
      </c>
      <c r="N431" t="s">
        <v>783</v>
      </c>
      <c r="R431" t="s">
        <v>36</v>
      </c>
      <c r="S431" t="s">
        <v>37</v>
      </c>
      <c r="T431" t="s">
        <v>689</v>
      </c>
      <c r="W431" t="s">
        <v>40</v>
      </c>
    </row>
    <row r="432" spans="1:23" x14ac:dyDescent="0.2">
      <c r="A432">
        <v>50.0867</v>
      </c>
      <c r="B432">
        <v>-114.8997</v>
      </c>
      <c r="C432" t="s">
        <v>61</v>
      </c>
      <c r="D432">
        <v>788</v>
      </c>
      <c r="E432">
        <v>5</v>
      </c>
      <c r="F432" t="s">
        <v>974</v>
      </c>
      <c r="G432" t="str">
        <f t="shared" si="6"/>
        <v>ROUND PRAIRIE</v>
      </c>
      <c r="H432" t="s">
        <v>781</v>
      </c>
      <c r="I432">
        <v>1647</v>
      </c>
      <c r="L432">
        <v>36892</v>
      </c>
      <c r="M432" t="s">
        <v>782</v>
      </c>
      <c r="N432" t="s">
        <v>783</v>
      </c>
      <c r="R432" t="s">
        <v>36</v>
      </c>
      <c r="S432" t="s">
        <v>37</v>
      </c>
      <c r="T432" t="s">
        <v>38</v>
      </c>
      <c r="W432" t="s">
        <v>40</v>
      </c>
    </row>
    <row r="433" spans="1:23" x14ac:dyDescent="0.2">
      <c r="A433">
        <v>49.453899999999997</v>
      </c>
      <c r="B433">
        <v>-115.9872</v>
      </c>
      <c r="C433" t="s">
        <v>61</v>
      </c>
      <c r="D433">
        <v>789</v>
      </c>
      <c r="E433">
        <v>5</v>
      </c>
      <c r="F433" t="s">
        <v>975</v>
      </c>
      <c r="G433" t="str">
        <f t="shared" si="6"/>
        <v>BIGATTINI</v>
      </c>
      <c r="H433" t="s">
        <v>781</v>
      </c>
      <c r="I433">
        <v>1572</v>
      </c>
      <c r="L433">
        <v>36892</v>
      </c>
      <c r="M433" t="s">
        <v>782</v>
      </c>
      <c r="N433" t="s">
        <v>783</v>
      </c>
      <c r="R433" t="s">
        <v>36</v>
      </c>
      <c r="S433" t="s">
        <v>37</v>
      </c>
      <c r="T433" t="s">
        <v>38</v>
      </c>
      <c r="W433" t="s">
        <v>40</v>
      </c>
    </row>
    <row r="434" spans="1:23" x14ac:dyDescent="0.2">
      <c r="A434">
        <v>50.185000000000002</v>
      </c>
      <c r="B434">
        <v>-115.26600000000001</v>
      </c>
      <c r="C434" t="s">
        <v>61</v>
      </c>
      <c r="D434">
        <v>790</v>
      </c>
      <c r="E434">
        <v>4</v>
      </c>
      <c r="F434" t="s">
        <v>976</v>
      </c>
      <c r="G434" t="str">
        <f t="shared" si="6"/>
        <v>WHITE RIVER</v>
      </c>
      <c r="H434" t="s">
        <v>781</v>
      </c>
      <c r="I434">
        <v>1357</v>
      </c>
      <c r="L434">
        <v>32509</v>
      </c>
      <c r="M434" t="s">
        <v>782</v>
      </c>
      <c r="N434" t="s">
        <v>783</v>
      </c>
      <c r="R434" t="s">
        <v>36</v>
      </c>
      <c r="S434" t="s">
        <v>37</v>
      </c>
      <c r="T434" t="s">
        <v>38</v>
      </c>
      <c r="W434" t="s">
        <v>40</v>
      </c>
    </row>
    <row r="435" spans="1:23" x14ac:dyDescent="0.2">
      <c r="A435">
        <v>49.188000000000002</v>
      </c>
      <c r="B435">
        <v>-115.542</v>
      </c>
      <c r="C435" t="s">
        <v>61</v>
      </c>
      <c r="D435">
        <v>791</v>
      </c>
      <c r="E435">
        <v>4</v>
      </c>
      <c r="F435" t="s">
        <v>977</v>
      </c>
      <c r="G435" t="str">
        <f t="shared" si="6"/>
        <v>CHERRY LAKE</v>
      </c>
      <c r="H435" t="s">
        <v>781</v>
      </c>
      <c r="I435">
        <v>1372</v>
      </c>
      <c r="L435">
        <v>32509</v>
      </c>
      <c r="M435" t="s">
        <v>782</v>
      </c>
      <c r="N435" t="s">
        <v>783</v>
      </c>
      <c r="R435" t="s">
        <v>36</v>
      </c>
      <c r="S435" t="s">
        <v>37</v>
      </c>
      <c r="T435" t="s">
        <v>38</v>
      </c>
      <c r="W435" t="s">
        <v>40</v>
      </c>
    </row>
    <row r="436" spans="1:23" x14ac:dyDescent="0.2">
      <c r="A436">
        <v>51.176699999999997</v>
      </c>
      <c r="B436">
        <v>-117.2303</v>
      </c>
      <c r="C436" t="s">
        <v>61</v>
      </c>
      <c r="D436">
        <v>793</v>
      </c>
      <c r="E436">
        <v>4</v>
      </c>
      <c r="F436" t="s">
        <v>978</v>
      </c>
      <c r="G436" t="str">
        <f t="shared" si="6"/>
        <v>CARIBOO CREEK</v>
      </c>
      <c r="H436" t="s">
        <v>781</v>
      </c>
      <c r="I436">
        <v>1518</v>
      </c>
      <c r="L436">
        <v>36892</v>
      </c>
      <c r="M436" t="s">
        <v>782</v>
      </c>
      <c r="N436" t="s">
        <v>783</v>
      </c>
      <c r="R436" t="s">
        <v>36</v>
      </c>
      <c r="S436" t="s">
        <v>37</v>
      </c>
      <c r="T436" t="s">
        <v>38</v>
      </c>
      <c r="W436" t="s">
        <v>40</v>
      </c>
    </row>
    <row r="437" spans="1:23" x14ac:dyDescent="0.2">
      <c r="A437">
        <v>51.402720000000002</v>
      </c>
      <c r="B437">
        <v>-122.32017</v>
      </c>
      <c r="C437" t="s">
        <v>29</v>
      </c>
      <c r="D437">
        <v>832</v>
      </c>
      <c r="E437">
        <v>4</v>
      </c>
      <c r="F437" t="s">
        <v>979</v>
      </c>
      <c r="G437" t="str">
        <f t="shared" si="6"/>
        <v>CHURN CREEK</v>
      </c>
      <c r="H437" t="s">
        <v>781</v>
      </c>
      <c r="I437">
        <v>1100</v>
      </c>
      <c r="L437">
        <v>37722</v>
      </c>
      <c r="M437" t="s">
        <v>782</v>
      </c>
      <c r="N437" t="s">
        <v>783</v>
      </c>
      <c r="R437" t="s">
        <v>36</v>
      </c>
      <c r="S437" t="s">
        <v>37</v>
      </c>
      <c r="T437" t="s">
        <v>38</v>
      </c>
      <c r="W437" t="s">
        <v>40</v>
      </c>
    </row>
    <row r="438" spans="1:23" x14ac:dyDescent="0.2">
      <c r="A438">
        <v>49.433480000000003</v>
      </c>
      <c r="B438">
        <v>-120.45712</v>
      </c>
      <c r="C438" t="s">
        <v>86</v>
      </c>
      <c r="D438">
        <v>836</v>
      </c>
      <c r="E438">
        <v>2</v>
      </c>
      <c r="F438" t="s">
        <v>980</v>
      </c>
      <c r="G438" t="str">
        <f t="shared" si="6"/>
        <v>AUGUST LAKE</v>
      </c>
      <c r="H438" t="s">
        <v>781</v>
      </c>
      <c r="I438">
        <v>855</v>
      </c>
      <c r="L438">
        <v>37769</v>
      </c>
      <c r="M438" t="s">
        <v>782</v>
      </c>
      <c r="N438" t="s">
        <v>783</v>
      </c>
      <c r="R438" t="s">
        <v>36</v>
      </c>
      <c r="S438" t="s">
        <v>37</v>
      </c>
      <c r="T438" t="s">
        <v>38</v>
      </c>
      <c r="W438" t="s">
        <v>40</v>
      </c>
    </row>
    <row r="439" spans="1:23" x14ac:dyDescent="0.2">
      <c r="A439">
        <v>49.4358</v>
      </c>
      <c r="B439">
        <v>-116.74639999999999</v>
      </c>
      <c r="C439" t="s">
        <v>61</v>
      </c>
      <c r="D439">
        <v>838</v>
      </c>
      <c r="E439">
        <v>1</v>
      </c>
      <c r="F439" t="s">
        <v>981</v>
      </c>
      <c r="G439" t="str">
        <f t="shared" si="6"/>
        <v>AKOKLI CREEK</v>
      </c>
      <c r="H439" t="s">
        <v>781</v>
      </c>
      <c r="I439">
        <v>821</v>
      </c>
      <c r="J439" t="s">
        <v>253</v>
      </c>
      <c r="L439">
        <v>37784</v>
      </c>
      <c r="M439" t="s">
        <v>782</v>
      </c>
      <c r="N439" t="s">
        <v>783</v>
      </c>
      <c r="R439" t="s">
        <v>36</v>
      </c>
      <c r="S439" t="s">
        <v>37</v>
      </c>
      <c r="T439" t="s">
        <v>38</v>
      </c>
      <c r="W439" t="s">
        <v>40</v>
      </c>
    </row>
    <row r="440" spans="1:23" x14ac:dyDescent="0.2">
      <c r="A440">
        <v>50.819299999999998</v>
      </c>
      <c r="B440">
        <v>-116.2449</v>
      </c>
      <c r="C440" t="s">
        <v>61</v>
      </c>
      <c r="D440">
        <v>865</v>
      </c>
      <c r="E440">
        <v>2</v>
      </c>
      <c r="F440" t="s">
        <v>982</v>
      </c>
      <c r="G440" t="str">
        <f t="shared" si="6"/>
        <v>BRISCO</v>
      </c>
      <c r="H440" t="s">
        <v>781</v>
      </c>
      <c r="I440">
        <v>930</v>
      </c>
      <c r="L440">
        <v>38125</v>
      </c>
      <c r="M440" t="s">
        <v>782</v>
      </c>
      <c r="N440" t="s">
        <v>783</v>
      </c>
      <c r="R440" t="s">
        <v>36</v>
      </c>
      <c r="S440" t="s">
        <v>37</v>
      </c>
      <c r="T440" t="s">
        <v>38</v>
      </c>
      <c r="W440" t="s">
        <v>40</v>
      </c>
    </row>
    <row r="441" spans="1:23" x14ac:dyDescent="0.2">
      <c r="A441">
        <v>51.435699999999997</v>
      </c>
      <c r="B441">
        <v>-117.05710000000001</v>
      </c>
      <c r="C441" t="s">
        <v>61</v>
      </c>
      <c r="D441">
        <v>866</v>
      </c>
      <c r="E441">
        <v>1</v>
      </c>
      <c r="F441" t="s">
        <v>983</v>
      </c>
      <c r="G441" t="str">
        <f t="shared" si="6"/>
        <v>BLAEBERRY</v>
      </c>
      <c r="H441" t="s">
        <v>781</v>
      </c>
      <c r="I441">
        <v>861</v>
      </c>
      <c r="J441" t="s">
        <v>253</v>
      </c>
      <c r="L441">
        <v>38126</v>
      </c>
      <c r="M441" t="s">
        <v>782</v>
      </c>
      <c r="N441" t="s">
        <v>783</v>
      </c>
      <c r="R441" t="s">
        <v>36</v>
      </c>
      <c r="S441" t="s">
        <v>37</v>
      </c>
      <c r="T441" t="s">
        <v>38</v>
      </c>
      <c r="W441" t="s">
        <v>40</v>
      </c>
    </row>
    <row r="442" spans="1:23" x14ac:dyDescent="0.2">
      <c r="A442">
        <v>51.85333</v>
      </c>
      <c r="B442">
        <v>-118.59139</v>
      </c>
      <c r="C442" t="s">
        <v>61</v>
      </c>
      <c r="D442">
        <v>868</v>
      </c>
      <c r="E442">
        <v>2</v>
      </c>
      <c r="F442" t="s">
        <v>984</v>
      </c>
      <c r="G442" t="str">
        <f t="shared" si="6"/>
        <v>BIG MOUTH 2</v>
      </c>
      <c r="H442" t="s">
        <v>781</v>
      </c>
      <c r="I442">
        <v>1091</v>
      </c>
      <c r="L442">
        <v>38148</v>
      </c>
      <c r="M442" t="s">
        <v>782</v>
      </c>
      <c r="N442" t="s">
        <v>783</v>
      </c>
      <c r="R442" t="s">
        <v>36</v>
      </c>
      <c r="S442" t="s">
        <v>37</v>
      </c>
      <c r="T442" t="s">
        <v>38</v>
      </c>
      <c r="W442" t="s">
        <v>40</v>
      </c>
    </row>
    <row r="443" spans="1:23" x14ac:dyDescent="0.2">
      <c r="A443">
        <v>50.765000000000001</v>
      </c>
      <c r="B443">
        <v>-117.95778</v>
      </c>
      <c r="C443" t="s">
        <v>61</v>
      </c>
      <c r="D443">
        <v>873</v>
      </c>
      <c r="E443">
        <v>1</v>
      </c>
      <c r="F443" t="s">
        <v>985</v>
      </c>
      <c r="G443" t="str">
        <f t="shared" si="6"/>
        <v>CRAWFORD</v>
      </c>
      <c r="H443" t="s">
        <v>781</v>
      </c>
      <c r="I443">
        <v>887</v>
      </c>
      <c r="L443">
        <v>38196</v>
      </c>
      <c r="M443" t="s">
        <v>782</v>
      </c>
      <c r="N443" t="s">
        <v>783</v>
      </c>
      <c r="R443" t="s">
        <v>36</v>
      </c>
      <c r="S443" t="s">
        <v>37</v>
      </c>
      <c r="T443" t="s">
        <v>38</v>
      </c>
      <c r="W443" t="s">
        <v>40</v>
      </c>
    </row>
    <row r="444" spans="1:23" x14ac:dyDescent="0.2">
      <c r="A444">
        <v>49.767220000000002</v>
      </c>
      <c r="B444">
        <v>-119.12407</v>
      </c>
      <c r="C444" t="s">
        <v>86</v>
      </c>
      <c r="D444">
        <v>876</v>
      </c>
      <c r="E444">
        <v>4</v>
      </c>
      <c r="F444" t="s">
        <v>986</v>
      </c>
      <c r="G444" t="str">
        <f t="shared" si="6"/>
        <v>IDA BELL LAKE 3</v>
      </c>
      <c r="H444" t="s">
        <v>781</v>
      </c>
      <c r="I444">
        <v>1261</v>
      </c>
      <c r="J444" t="s">
        <v>253</v>
      </c>
      <c r="L444">
        <v>38146</v>
      </c>
      <c r="M444" t="s">
        <v>782</v>
      </c>
      <c r="N444" t="s">
        <v>783</v>
      </c>
      <c r="R444" t="s">
        <v>36</v>
      </c>
      <c r="S444" t="s">
        <v>37</v>
      </c>
      <c r="T444" t="s">
        <v>38</v>
      </c>
      <c r="W444" t="s">
        <v>40</v>
      </c>
    </row>
    <row r="445" spans="1:23" x14ac:dyDescent="0.2">
      <c r="A445">
        <v>50.86347</v>
      </c>
      <c r="B445">
        <v>-119.00285</v>
      </c>
      <c r="C445" t="s">
        <v>61</v>
      </c>
      <c r="D445">
        <v>882</v>
      </c>
      <c r="E445">
        <v>2</v>
      </c>
      <c r="F445" t="s">
        <v>987</v>
      </c>
      <c r="G445" t="str">
        <f t="shared" si="6"/>
        <v>SICAMOUS</v>
      </c>
      <c r="H445" t="s">
        <v>781</v>
      </c>
      <c r="I445">
        <v>1115</v>
      </c>
      <c r="J445" t="s">
        <v>253</v>
      </c>
      <c r="L445">
        <v>38253</v>
      </c>
      <c r="M445" t="s">
        <v>782</v>
      </c>
      <c r="N445" t="s">
        <v>783</v>
      </c>
      <c r="R445" t="s">
        <v>36</v>
      </c>
      <c r="S445" t="s">
        <v>37</v>
      </c>
      <c r="T445" t="s">
        <v>38</v>
      </c>
      <c r="W445" t="s">
        <v>40</v>
      </c>
    </row>
    <row r="446" spans="1:23" x14ac:dyDescent="0.2">
      <c r="A446">
        <v>49.667299999999997</v>
      </c>
      <c r="B446">
        <v>-115.2144</v>
      </c>
      <c r="C446" t="s">
        <v>61</v>
      </c>
      <c r="D446">
        <v>886</v>
      </c>
      <c r="E446">
        <v>2</v>
      </c>
      <c r="F446" t="s">
        <v>988</v>
      </c>
      <c r="G446" t="str">
        <f t="shared" si="6"/>
        <v>GOATHAVEN</v>
      </c>
      <c r="H446" t="s">
        <v>781</v>
      </c>
      <c r="I446">
        <v>1051</v>
      </c>
      <c r="L446">
        <v>38288</v>
      </c>
      <c r="M446" t="s">
        <v>782</v>
      </c>
      <c r="N446" t="s">
        <v>783</v>
      </c>
      <c r="R446" t="s">
        <v>36</v>
      </c>
      <c r="S446" t="s">
        <v>37</v>
      </c>
      <c r="T446" t="s">
        <v>38</v>
      </c>
      <c r="W446" t="s">
        <v>40</v>
      </c>
    </row>
    <row r="447" spans="1:23" x14ac:dyDescent="0.2">
      <c r="A447">
        <v>52.387250000000002</v>
      </c>
      <c r="B447">
        <v>-126.58972</v>
      </c>
      <c r="C447" t="s">
        <v>204</v>
      </c>
      <c r="D447">
        <v>904</v>
      </c>
      <c r="E447">
        <v>1</v>
      </c>
      <c r="F447" t="s">
        <v>989</v>
      </c>
      <c r="G447" t="str">
        <f t="shared" si="6"/>
        <v>HAGENSBORG 2</v>
      </c>
      <c r="H447" t="s">
        <v>781</v>
      </c>
      <c r="I447">
        <v>47</v>
      </c>
      <c r="L447">
        <v>38546</v>
      </c>
      <c r="M447" t="s">
        <v>782</v>
      </c>
      <c r="N447" t="s">
        <v>783</v>
      </c>
      <c r="R447" t="s">
        <v>36</v>
      </c>
      <c r="S447" t="s">
        <v>37</v>
      </c>
      <c r="T447" t="s">
        <v>38</v>
      </c>
      <c r="W447" t="s">
        <v>40</v>
      </c>
    </row>
    <row r="448" spans="1:23" x14ac:dyDescent="0.2">
      <c r="A448">
        <v>51.5154</v>
      </c>
      <c r="B448">
        <v>-118.27207</v>
      </c>
      <c r="C448" t="s">
        <v>61</v>
      </c>
      <c r="D448">
        <v>905</v>
      </c>
      <c r="E448">
        <v>1</v>
      </c>
      <c r="F448" t="s">
        <v>990</v>
      </c>
      <c r="G448" t="str">
        <f t="shared" si="6"/>
        <v>DOWNIE</v>
      </c>
      <c r="H448" t="s">
        <v>781</v>
      </c>
      <c r="I448">
        <v>757</v>
      </c>
      <c r="L448">
        <v>38547</v>
      </c>
      <c r="M448" t="s">
        <v>782</v>
      </c>
      <c r="N448" t="s">
        <v>783</v>
      </c>
      <c r="R448" t="s">
        <v>36</v>
      </c>
      <c r="S448" t="s">
        <v>37</v>
      </c>
      <c r="T448" t="s">
        <v>38</v>
      </c>
      <c r="W448" t="s">
        <v>40</v>
      </c>
    </row>
    <row r="449" spans="1:23" x14ac:dyDescent="0.2">
      <c r="A449">
        <v>51.669429999999998</v>
      </c>
      <c r="B449">
        <v>-118.48707</v>
      </c>
      <c r="C449" t="s">
        <v>61</v>
      </c>
      <c r="D449">
        <v>919</v>
      </c>
      <c r="E449">
        <v>3</v>
      </c>
      <c r="F449" t="s">
        <v>991</v>
      </c>
      <c r="G449" t="str">
        <f t="shared" si="6"/>
        <v>GOLDSTREAM 2</v>
      </c>
      <c r="H449" t="s">
        <v>781</v>
      </c>
      <c r="I449">
        <v>1333</v>
      </c>
      <c r="L449">
        <v>38610</v>
      </c>
      <c r="M449" t="s">
        <v>782</v>
      </c>
      <c r="N449" t="s">
        <v>783</v>
      </c>
      <c r="R449" t="s">
        <v>36</v>
      </c>
      <c r="S449" t="s">
        <v>37</v>
      </c>
      <c r="T449" t="s">
        <v>38</v>
      </c>
      <c r="W449" t="s">
        <v>40</v>
      </c>
    </row>
    <row r="450" spans="1:23" x14ac:dyDescent="0.2">
      <c r="A450">
        <v>48.822879999999998</v>
      </c>
      <c r="B450">
        <v>-124.13708</v>
      </c>
      <c r="C450" t="s">
        <v>41</v>
      </c>
      <c r="D450">
        <v>934</v>
      </c>
      <c r="E450">
        <v>4</v>
      </c>
      <c r="F450" t="s">
        <v>992</v>
      </c>
      <c r="G450" t="str">
        <f t="shared" ref="G450:G513" si="7">UPPER(F450)</f>
        <v>MESACHIE 2</v>
      </c>
      <c r="H450" t="s">
        <v>781</v>
      </c>
      <c r="I450">
        <v>183</v>
      </c>
      <c r="J450" t="s">
        <v>253</v>
      </c>
      <c r="L450">
        <v>38840</v>
      </c>
      <c r="M450" t="s">
        <v>782</v>
      </c>
      <c r="N450" t="s">
        <v>783</v>
      </c>
      <c r="R450" t="s">
        <v>36</v>
      </c>
      <c r="S450" t="s">
        <v>37</v>
      </c>
      <c r="T450" t="s">
        <v>38</v>
      </c>
      <c r="W450" t="s">
        <v>40</v>
      </c>
    </row>
    <row r="451" spans="1:23" x14ac:dyDescent="0.2">
      <c r="A451">
        <v>54.683770000000003</v>
      </c>
      <c r="B451">
        <v>-127.32581999999999</v>
      </c>
      <c r="C451" t="s">
        <v>29</v>
      </c>
      <c r="D451">
        <v>938</v>
      </c>
      <c r="E451">
        <v>7</v>
      </c>
      <c r="F451" t="s">
        <v>993</v>
      </c>
      <c r="G451" t="str">
        <f t="shared" si="7"/>
        <v>PINE CREEK</v>
      </c>
      <c r="H451" t="s">
        <v>781</v>
      </c>
      <c r="I451">
        <v>1320</v>
      </c>
      <c r="L451">
        <v>38867</v>
      </c>
      <c r="M451" t="s">
        <v>782</v>
      </c>
      <c r="N451" t="s">
        <v>783</v>
      </c>
      <c r="R451" t="s">
        <v>36</v>
      </c>
      <c r="S451" t="s">
        <v>37</v>
      </c>
      <c r="T451" t="s">
        <v>38</v>
      </c>
      <c r="W451" t="s">
        <v>40</v>
      </c>
    </row>
    <row r="452" spans="1:23" x14ac:dyDescent="0.2">
      <c r="A452">
        <v>49.655099999999997</v>
      </c>
      <c r="B452">
        <v>-121.35807</v>
      </c>
      <c r="C452" t="s">
        <v>204</v>
      </c>
      <c r="D452">
        <v>977</v>
      </c>
      <c r="E452">
        <v>4</v>
      </c>
      <c r="F452" t="s">
        <v>994</v>
      </c>
      <c r="G452" t="str">
        <f t="shared" si="7"/>
        <v>ANDERSON CREEK</v>
      </c>
      <c r="H452" t="s">
        <v>781</v>
      </c>
      <c r="I452">
        <v>630</v>
      </c>
      <c r="L452">
        <v>39219</v>
      </c>
      <c r="M452" t="s">
        <v>782</v>
      </c>
      <c r="N452" t="s">
        <v>783</v>
      </c>
      <c r="R452" t="s">
        <v>36</v>
      </c>
      <c r="S452" t="s">
        <v>37</v>
      </c>
      <c r="T452" t="s">
        <v>38</v>
      </c>
      <c r="W452" t="s">
        <v>40</v>
      </c>
    </row>
    <row r="453" spans="1:23" x14ac:dyDescent="0.2">
      <c r="A453">
        <v>50.438690000000001</v>
      </c>
      <c r="B453">
        <v>-121.5515</v>
      </c>
      <c r="C453" t="s">
        <v>86</v>
      </c>
      <c r="D453">
        <v>1024</v>
      </c>
      <c r="E453">
        <v>6</v>
      </c>
      <c r="F453" t="s">
        <v>995</v>
      </c>
      <c r="G453" t="str">
        <f t="shared" si="7"/>
        <v>SKOONKA</v>
      </c>
      <c r="H453" t="s">
        <v>781</v>
      </c>
      <c r="I453">
        <v>1557</v>
      </c>
      <c r="L453">
        <v>39640</v>
      </c>
      <c r="M453" t="s">
        <v>782</v>
      </c>
      <c r="N453" t="s">
        <v>783</v>
      </c>
      <c r="R453" t="s">
        <v>36</v>
      </c>
      <c r="S453" t="s">
        <v>37</v>
      </c>
      <c r="T453" t="s">
        <v>38</v>
      </c>
      <c r="W453" t="s">
        <v>40</v>
      </c>
    </row>
    <row r="454" spans="1:23" x14ac:dyDescent="0.2">
      <c r="A454">
        <v>50.910890000000002</v>
      </c>
      <c r="B454">
        <v>-122.68889</v>
      </c>
      <c r="C454" t="s">
        <v>86</v>
      </c>
      <c r="D454">
        <v>1029</v>
      </c>
      <c r="E454">
        <v>2</v>
      </c>
      <c r="F454" t="s">
        <v>996</v>
      </c>
      <c r="G454" t="str">
        <f t="shared" si="7"/>
        <v>FIVE MILE</v>
      </c>
      <c r="H454" t="s">
        <v>781</v>
      </c>
      <c r="I454">
        <v>865</v>
      </c>
      <c r="J454" t="s">
        <v>253</v>
      </c>
      <c r="L454">
        <v>39667</v>
      </c>
      <c r="M454" t="s">
        <v>782</v>
      </c>
      <c r="N454" t="s">
        <v>783</v>
      </c>
      <c r="R454" t="s">
        <v>36</v>
      </c>
      <c r="S454" t="s">
        <v>37</v>
      </c>
      <c r="T454" t="s">
        <v>38</v>
      </c>
      <c r="W454" t="s">
        <v>40</v>
      </c>
    </row>
    <row r="455" spans="1:23" x14ac:dyDescent="0.2">
      <c r="A455">
        <v>49.691000000000003</v>
      </c>
      <c r="B455">
        <v>-121.85962000000001</v>
      </c>
      <c r="C455" t="s">
        <v>204</v>
      </c>
      <c r="D455">
        <v>1040</v>
      </c>
      <c r="E455">
        <v>4</v>
      </c>
      <c r="F455" t="s">
        <v>997</v>
      </c>
      <c r="G455" t="str">
        <f t="shared" si="7"/>
        <v>BIG SILVER 2</v>
      </c>
      <c r="H455" t="s">
        <v>781</v>
      </c>
      <c r="I455">
        <v>561</v>
      </c>
      <c r="J455" t="s">
        <v>253</v>
      </c>
      <c r="L455">
        <v>39959</v>
      </c>
      <c r="M455" t="s">
        <v>782</v>
      </c>
      <c r="N455" t="s">
        <v>783</v>
      </c>
      <c r="R455" t="s">
        <v>36</v>
      </c>
      <c r="S455" t="s">
        <v>37</v>
      </c>
      <c r="T455" t="s">
        <v>38</v>
      </c>
      <c r="W455" t="s">
        <v>40</v>
      </c>
    </row>
    <row r="456" spans="1:23" x14ac:dyDescent="0.2">
      <c r="A456">
        <v>56.558329999999998</v>
      </c>
      <c r="B456">
        <v>-120.38194</v>
      </c>
      <c r="C456" t="s">
        <v>46</v>
      </c>
      <c r="D456">
        <v>1045</v>
      </c>
      <c r="E456">
        <v>2</v>
      </c>
      <c r="F456" t="s">
        <v>998</v>
      </c>
      <c r="G456" t="str">
        <f t="shared" si="7"/>
        <v>OSBORN</v>
      </c>
      <c r="H456" t="s">
        <v>781</v>
      </c>
      <c r="I456">
        <v>700</v>
      </c>
      <c r="L456">
        <v>39993</v>
      </c>
      <c r="M456" t="s">
        <v>782</v>
      </c>
      <c r="N456" t="s">
        <v>783</v>
      </c>
      <c r="R456" t="s">
        <v>36</v>
      </c>
      <c r="S456" t="s">
        <v>37</v>
      </c>
      <c r="T456" t="s">
        <v>38</v>
      </c>
      <c r="W456" t="s">
        <v>40</v>
      </c>
    </row>
    <row r="457" spans="1:23" x14ac:dyDescent="0.2">
      <c r="A457">
        <v>50.351300000000002</v>
      </c>
      <c r="B457">
        <v>-121.65495</v>
      </c>
      <c r="C457" t="s">
        <v>86</v>
      </c>
      <c r="D457">
        <v>1055</v>
      </c>
      <c r="E457">
        <v>1</v>
      </c>
      <c r="F457" t="s">
        <v>999</v>
      </c>
      <c r="G457" t="str">
        <f t="shared" si="7"/>
        <v>SPLINTLUM</v>
      </c>
      <c r="H457" t="s">
        <v>781</v>
      </c>
      <c r="I457">
        <v>424</v>
      </c>
      <c r="L457">
        <v>40107</v>
      </c>
      <c r="M457" t="s">
        <v>782</v>
      </c>
      <c r="N457" t="s">
        <v>783</v>
      </c>
      <c r="R457" t="s">
        <v>36</v>
      </c>
      <c r="S457" t="s">
        <v>37</v>
      </c>
      <c r="T457" t="s">
        <v>38</v>
      </c>
      <c r="W457" t="s">
        <v>40</v>
      </c>
    </row>
    <row r="458" spans="1:23" x14ac:dyDescent="0.2">
      <c r="A458">
        <v>49.046939999999999</v>
      </c>
      <c r="B458">
        <v>-115.22528</v>
      </c>
      <c r="C458" t="s">
        <v>61</v>
      </c>
      <c r="D458">
        <v>1075</v>
      </c>
      <c r="E458">
        <v>1</v>
      </c>
      <c r="F458" t="s">
        <v>1000</v>
      </c>
      <c r="G458" t="str">
        <f t="shared" si="7"/>
        <v>KOOCANUSA</v>
      </c>
      <c r="H458" t="s">
        <v>781</v>
      </c>
      <c r="I458">
        <v>804</v>
      </c>
      <c r="L458">
        <v>40339</v>
      </c>
      <c r="M458" t="s">
        <v>782</v>
      </c>
      <c r="N458" t="s">
        <v>783</v>
      </c>
      <c r="R458" t="s">
        <v>36</v>
      </c>
      <c r="S458" t="s">
        <v>37</v>
      </c>
      <c r="T458" t="s">
        <v>38</v>
      </c>
      <c r="W458" t="s">
        <v>40</v>
      </c>
    </row>
    <row r="459" spans="1:23" x14ac:dyDescent="0.2">
      <c r="A459">
        <v>51.211109999999998</v>
      </c>
      <c r="B459">
        <v>-120.41197</v>
      </c>
      <c r="C459" t="s">
        <v>86</v>
      </c>
      <c r="D459">
        <v>1082</v>
      </c>
      <c r="E459">
        <v>5</v>
      </c>
      <c r="F459" t="s">
        <v>1001</v>
      </c>
      <c r="G459" t="str">
        <f t="shared" si="7"/>
        <v>MAYSON</v>
      </c>
      <c r="H459" t="s">
        <v>781</v>
      </c>
      <c r="I459">
        <v>1315</v>
      </c>
      <c r="L459">
        <v>40367</v>
      </c>
      <c r="M459" t="s">
        <v>782</v>
      </c>
      <c r="N459" t="s">
        <v>783</v>
      </c>
      <c r="R459" t="s">
        <v>36</v>
      </c>
      <c r="S459" t="s">
        <v>37</v>
      </c>
      <c r="T459" t="s">
        <v>38</v>
      </c>
      <c r="W459" t="s">
        <v>40</v>
      </c>
    </row>
    <row r="460" spans="1:23" x14ac:dyDescent="0.2">
      <c r="A460">
        <v>50.619720000000001</v>
      </c>
      <c r="B460">
        <v>-123.41</v>
      </c>
      <c r="C460" t="s">
        <v>204</v>
      </c>
      <c r="D460">
        <v>1083</v>
      </c>
      <c r="E460">
        <v>4</v>
      </c>
      <c r="F460" t="s">
        <v>1002</v>
      </c>
      <c r="G460" t="str">
        <f t="shared" si="7"/>
        <v>MEAGER CREEK</v>
      </c>
      <c r="H460" t="s">
        <v>781</v>
      </c>
      <c r="I460">
        <v>545</v>
      </c>
      <c r="J460" t="s">
        <v>253</v>
      </c>
      <c r="L460">
        <v>40373</v>
      </c>
      <c r="M460" t="s">
        <v>782</v>
      </c>
      <c r="N460" t="s">
        <v>783</v>
      </c>
      <c r="R460" t="s">
        <v>36</v>
      </c>
      <c r="S460" t="s">
        <v>37</v>
      </c>
      <c r="T460" t="s">
        <v>38</v>
      </c>
      <c r="W460" t="s">
        <v>40</v>
      </c>
    </row>
    <row r="461" spans="1:23" x14ac:dyDescent="0.2">
      <c r="A461">
        <v>50.61262</v>
      </c>
      <c r="B461">
        <v>-116.79331999999999</v>
      </c>
      <c r="C461" t="s">
        <v>61</v>
      </c>
      <c r="D461">
        <v>1092</v>
      </c>
      <c r="E461">
        <v>5</v>
      </c>
      <c r="F461" t="s">
        <v>1003</v>
      </c>
      <c r="G461" t="str">
        <f t="shared" si="7"/>
        <v>RORY CREEK</v>
      </c>
      <c r="H461" t="s">
        <v>781</v>
      </c>
      <c r="I461">
        <v>1580</v>
      </c>
      <c r="L461">
        <v>40458</v>
      </c>
      <c r="M461" t="s">
        <v>782</v>
      </c>
      <c r="N461" t="s">
        <v>783</v>
      </c>
      <c r="R461" t="s">
        <v>36</v>
      </c>
      <c r="S461" t="s">
        <v>37</v>
      </c>
      <c r="T461" t="s">
        <v>38</v>
      </c>
      <c r="W461" t="s">
        <v>40</v>
      </c>
    </row>
    <row r="462" spans="1:23" x14ac:dyDescent="0.2">
      <c r="A462">
        <v>50.027230000000003</v>
      </c>
      <c r="B462">
        <v>-125.29401</v>
      </c>
      <c r="C462" t="s">
        <v>41</v>
      </c>
      <c r="D462">
        <v>1093</v>
      </c>
      <c r="E462">
        <v>3</v>
      </c>
      <c r="F462" t="s">
        <v>1004</v>
      </c>
      <c r="G462" t="str">
        <f t="shared" si="7"/>
        <v>QUINSAM BASE FWX (TRIAL)</v>
      </c>
      <c r="H462" t="s">
        <v>781</v>
      </c>
      <c r="I462">
        <v>100</v>
      </c>
      <c r="L462">
        <v>40457</v>
      </c>
      <c r="M462" t="s">
        <v>782</v>
      </c>
      <c r="N462" t="s">
        <v>783</v>
      </c>
      <c r="R462" t="s">
        <v>36</v>
      </c>
      <c r="S462" t="s">
        <v>37</v>
      </c>
      <c r="T462" t="s">
        <v>38</v>
      </c>
      <c r="W462" t="s">
        <v>40</v>
      </c>
    </row>
    <row r="463" spans="1:23" x14ac:dyDescent="0.2">
      <c r="A463">
        <v>52.122250000000001</v>
      </c>
      <c r="B463">
        <v>-119.29349999999999</v>
      </c>
      <c r="C463" t="s">
        <v>61</v>
      </c>
      <c r="D463">
        <v>1108</v>
      </c>
      <c r="E463">
        <v>1</v>
      </c>
      <c r="F463" t="s">
        <v>1005</v>
      </c>
      <c r="G463" t="str">
        <f t="shared" si="7"/>
        <v>BLUE RIVER 2</v>
      </c>
      <c r="H463" t="s">
        <v>781</v>
      </c>
      <c r="I463">
        <v>695</v>
      </c>
      <c r="J463" t="s">
        <v>253</v>
      </c>
      <c r="L463">
        <v>33970</v>
      </c>
      <c r="M463" t="s">
        <v>782</v>
      </c>
      <c r="N463" t="s">
        <v>783</v>
      </c>
      <c r="R463" t="s">
        <v>36</v>
      </c>
      <c r="S463" t="s">
        <v>37</v>
      </c>
      <c r="T463" t="s">
        <v>38</v>
      </c>
      <c r="W463" t="s">
        <v>40</v>
      </c>
    </row>
    <row r="464" spans="1:23" x14ac:dyDescent="0.2">
      <c r="A464">
        <v>49.104027799999997</v>
      </c>
      <c r="B464">
        <v>-121.6375278</v>
      </c>
      <c r="C464" t="s">
        <v>204</v>
      </c>
      <c r="D464">
        <v>1144</v>
      </c>
      <c r="E464">
        <v>2</v>
      </c>
      <c r="F464" t="s">
        <v>1006</v>
      </c>
      <c r="G464" t="str">
        <f t="shared" si="7"/>
        <v>FORD MOUNTAIN</v>
      </c>
      <c r="H464" t="s">
        <v>781</v>
      </c>
      <c r="I464">
        <v>247</v>
      </c>
      <c r="J464" t="s">
        <v>253</v>
      </c>
      <c r="K464" t="s">
        <v>790</v>
      </c>
      <c r="L464">
        <v>41143</v>
      </c>
      <c r="M464" t="s">
        <v>782</v>
      </c>
      <c r="N464" t="s">
        <v>783</v>
      </c>
      <c r="R464" t="s">
        <v>36</v>
      </c>
      <c r="S464" t="s">
        <v>37</v>
      </c>
      <c r="T464" t="s">
        <v>689</v>
      </c>
      <c r="U464" t="s">
        <v>39</v>
      </c>
      <c r="W464" t="s">
        <v>40</v>
      </c>
    </row>
    <row r="465" spans="1:23" x14ac:dyDescent="0.2">
      <c r="A465">
        <v>54.16957</v>
      </c>
      <c r="B465">
        <v>-121.65168</v>
      </c>
      <c r="C465" t="s">
        <v>272</v>
      </c>
      <c r="D465">
        <v>1165</v>
      </c>
      <c r="E465">
        <v>2</v>
      </c>
      <c r="F465" t="s">
        <v>1007</v>
      </c>
      <c r="G465" t="str">
        <f t="shared" si="7"/>
        <v>SEVEREID</v>
      </c>
      <c r="H465" t="s">
        <v>781</v>
      </c>
      <c r="I465">
        <v>798</v>
      </c>
      <c r="L465">
        <v>41582</v>
      </c>
      <c r="M465" t="s">
        <v>782</v>
      </c>
      <c r="N465" t="s">
        <v>783</v>
      </c>
      <c r="R465" t="s">
        <v>36</v>
      </c>
      <c r="S465" t="s">
        <v>37</v>
      </c>
      <c r="T465" t="s">
        <v>38</v>
      </c>
      <c r="W465" t="s">
        <v>40</v>
      </c>
    </row>
    <row r="466" spans="1:23" x14ac:dyDescent="0.2">
      <c r="A466">
        <v>51.313079999999999</v>
      </c>
      <c r="B466">
        <v>-119.3925</v>
      </c>
      <c r="C466" t="s">
        <v>86</v>
      </c>
      <c r="D466">
        <v>1176</v>
      </c>
      <c r="E466">
        <v>2</v>
      </c>
      <c r="F466" t="s">
        <v>1008</v>
      </c>
      <c r="G466" t="str">
        <f t="shared" si="7"/>
        <v>MUDPIT</v>
      </c>
      <c r="H466" t="s">
        <v>781</v>
      </c>
      <c r="I466">
        <v>884</v>
      </c>
      <c r="M466" t="s">
        <v>782</v>
      </c>
      <c r="N466" t="s">
        <v>783</v>
      </c>
      <c r="R466" t="s">
        <v>36</v>
      </c>
      <c r="S466" t="s">
        <v>37</v>
      </c>
      <c r="T466" t="s">
        <v>38</v>
      </c>
      <c r="W466" t="s">
        <v>40</v>
      </c>
    </row>
    <row r="467" spans="1:23" x14ac:dyDescent="0.2">
      <c r="A467">
        <v>49.3576111</v>
      </c>
      <c r="B467">
        <v>-116.95025</v>
      </c>
      <c r="C467" t="s">
        <v>61</v>
      </c>
      <c r="D467">
        <v>1203</v>
      </c>
      <c r="E467">
        <v>5</v>
      </c>
      <c r="F467" t="s">
        <v>1009</v>
      </c>
      <c r="G467" t="str">
        <f t="shared" si="7"/>
        <v>DARKWOODS</v>
      </c>
      <c r="H467" t="s">
        <v>781</v>
      </c>
      <c r="I467">
        <v>1657</v>
      </c>
      <c r="M467" t="s">
        <v>782</v>
      </c>
      <c r="N467" t="s">
        <v>783</v>
      </c>
      <c r="R467" t="s">
        <v>36</v>
      </c>
      <c r="S467" t="s">
        <v>37</v>
      </c>
      <c r="T467" t="s">
        <v>38</v>
      </c>
      <c r="W467" t="s">
        <v>40</v>
      </c>
    </row>
    <row r="468" spans="1:23" x14ac:dyDescent="0.2">
      <c r="A468">
        <v>49.818060000000003</v>
      </c>
      <c r="B468">
        <v>-124.44944</v>
      </c>
      <c r="C468" t="s">
        <v>41</v>
      </c>
      <c r="D468">
        <v>1218</v>
      </c>
      <c r="E468">
        <v>3</v>
      </c>
      <c r="F468" t="s">
        <v>1010</v>
      </c>
      <c r="G468" t="str">
        <f t="shared" si="7"/>
        <v>POWELL RIVER WEST LAKE</v>
      </c>
      <c r="H468" t="s">
        <v>781</v>
      </c>
      <c r="I468">
        <v>100</v>
      </c>
      <c r="L468">
        <v>42178</v>
      </c>
      <c r="M468" t="s">
        <v>782</v>
      </c>
      <c r="N468" t="s">
        <v>783</v>
      </c>
      <c r="R468" t="s">
        <v>36</v>
      </c>
      <c r="S468" t="s">
        <v>37</v>
      </c>
      <c r="T468" t="s">
        <v>38</v>
      </c>
      <c r="W468" t="s">
        <v>40</v>
      </c>
    </row>
    <row r="469" spans="1:23" x14ac:dyDescent="0.2">
      <c r="A469">
        <v>59.892800000000001</v>
      </c>
      <c r="B469">
        <v>-129.09333000000001</v>
      </c>
      <c r="C469" t="s">
        <v>449</v>
      </c>
      <c r="D469">
        <v>1270</v>
      </c>
      <c r="E469">
        <v>2</v>
      </c>
      <c r="F469" t="s">
        <v>1011</v>
      </c>
      <c r="G469" t="str">
        <f t="shared" si="7"/>
        <v>OLD FADDY</v>
      </c>
      <c r="H469" t="s">
        <v>781</v>
      </c>
      <c r="I469">
        <v>866</v>
      </c>
      <c r="M469" t="s">
        <v>782</v>
      </c>
      <c r="N469" t="s">
        <v>783</v>
      </c>
      <c r="R469" t="s">
        <v>36</v>
      </c>
      <c r="S469" t="s">
        <v>37</v>
      </c>
      <c r="T469" t="s">
        <v>38</v>
      </c>
      <c r="W469" t="s">
        <v>40</v>
      </c>
    </row>
    <row r="470" spans="1:23" x14ac:dyDescent="0.2">
      <c r="A470">
        <v>50.082505599999998</v>
      </c>
      <c r="B470">
        <v>-123.04127219999999</v>
      </c>
      <c r="C470" t="s">
        <v>204</v>
      </c>
      <c r="D470">
        <v>1283</v>
      </c>
      <c r="E470">
        <v>4</v>
      </c>
      <c r="F470" t="s">
        <v>1012</v>
      </c>
      <c r="G470" t="str">
        <f t="shared" si="7"/>
        <v>CHEAKAMUS</v>
      </c>
      <c r="H470" t="s">
        <v>781</v>
      </c>
      <c r="I470">
        <v>595</v>
      </c>
      <c r="M470" t="s">
        <v>782</v>
      </c>
      <c r="N470" t="s">
        <v>783</v>
      </c>
      <c r="R470" t="s">
        <v>36</v>
      </c>
      <c r="S470" t="s">
        <v>37</v>
      </c>
      <c r="T470" t="s">
        <v>38</v>
      </c>
      <c r="W470" t="s">
        <v>40</v>
      </c>
    </row>
    <row r="471" spans="1:23" x14ac:dyDescent="0.2">
      <c r="A471">
        <v>50.690555600000003</v>
      </c>
      <c r="B471">
        <v>-119.1761111</v>
      </c>
      <c r="C471" t="s">
        <v>86</v>
      </c>
      <c r="D471">
        <v>1323</v>
      </c>
      <c r="E471">
        <v>2</v>
      </c>
      <c r="F471" t="s">
        <v>1013</v>
      </c>
      <c r="G471" t="str">
        <f t="shared" si="7"/>
        <v>LARCH HILLS WEST</v>
      </c>
      <c r="H471" t="s">
        <v>781</v>
      </c>
      <c r="I471">
        <v>892</v>
      </c>
      <c r="L471">
        <v>43831</v>
      </c>
      <c r="M471" t="s">
        <v>782</v>
      </c>
      <c r="N471" t="s">
        <v>783</v>
      </c>
      <c r="R471" t="s">
        <v>36</v>
      </c>
      <c r="S471" t="s">
        <v>37</v>
      </c>
      <c r="T471" t="s">
        <v>38</v>
      </c>
      <c r="W471" t="s">
        <v>40</v>
      </c>
    </row>
    <row r="472" spans="1:23" x14ac:dyDescent="0.2">
      <c r="A472">
        <v>49.469694400000002</v>
      </c>
      <c r="B472">
        <v>-120.7925</v>
      </c>
      <c r="C472" t="s">
        <v>86</v>
      </c>
      <c r="D472">
        <v>1330</v>
      </c>
      <c r="E472">
        <v>6</v>
      </c>
      <c r="F472" t="s">
        <v>1014</v>
      </c>
      <c r="G472" t="str">
        <f t="shared" si="7"/>
        <v>LODESTONE EXT</v>
      </c>
      <c r="H472" t="s">
        <v>781</v>
      </c>
      <c r="I472">
        <v>1543</v>
      </c>
      <c r="L472">
        <v>43831</v>
      </c>
      <c r="M472" t="s">
        <v>782</v>
      </c>
      <c r="N472" t="s">
        <v>783</v>
      </c>
      <c r="R472" t="s">
        <v>36</v>
      </c>
      <c r="S472" t="s">
        <v>37</v>
      </c>
      <c r="T472" t="s">
        <v>38</v>
      </c>
      <c r="W472" t="s">
        <v>40</v>
      </c>
    </row>
    <row r="473" spans="1:23" x14ac:dyDescent="0.2">
      <c r="A473">
        <v>49.27</v>
      </c>
      <c r="B473">
        <v>-119.22027780000001</v>
      </c>
      <c r="C473" t="s">
        <v>86</v>
      </c>
      <c r="D473">
        <v>1332</v>
      </c>
      <c r="E473">
        <v>6</v>
      </c>
      <c r="F473" t="s">
        <v>1015</v>
      </c>
      <c r="G473" t="str">
        <f t="shared" si="7"/>
        <v>GRIZZLY EXT</v>
      </c>
      <c r="H473" t="s">
        <v>781</v>
      </c>
      <c r="I473">
        <v>1520</v>
      </c>
      <c r="L473">
        <v>43831</v>
      </c>
      <c r="M473" t="s">
        <v>782</v>
      </c>
      <c r="N473" t="s">
        <v>783</v>
      </c>
      <c r="R473" t="s">
        <v>36</v>
      </c>
      <c r="S473" t="s">
        <v>37</v>
      </c>
      <c r="T473" t="s">
        <v>38</v>
      </c>
      <c r="W473" t="s">
        <v>40</v>
      </c>
    </row>
    <row r="474" spans="1:23" x14ac:dyDescent="0.2">
      <c r="A474">
        <v>49.973599999999998</v>
      </c>
      <c r="B474">
        <v>-121.4902</v>
      </c>
      <c r="C474" t="s">
        <v>204</v>
      </c>
      <c r="D474">
        <v>1339</v>
      </c>
      <c r="E474">
        <v>1</v>
      </c>
      <c r="F474" t="s">
        <v>1016</v>
      </c>
      <c r="G474" t="str">
        <f t="shared" si="7"/>
        <v>BOOTHROYD</v>
      </c>
      <c r="H474" t="s">
        <v>781</v>
      </c>
      <c r="I474">
        <v>19</v>
      </c>
      <c r="L474">
        <v>43331</v>
      </c>
      <c r="M474" t="s">
        <v>782</v>
      </c>
      <c r="N474" t="s">
        <v>783</v>
      </c>
      <c r="R474" t="s">
        <v>36</v>
      </c>
      <c r="S474" t="s">
        <v>37</v>
      </c>
      <c r="T474" t="s">
        <v>38</v>
      </c>
      <c r="W474" t="s">
        <v>40</v>
      </c>
    </row>
    <row r="475" spans="1:23" x14ac:dyDescent="0.2">
      <c r="A475">
        <v>55.307222199999998</v>
      </c>
      <c r="B475">
        <v>-125.3666667</v>
      </c>
      <c r="C475" t="s">
        <v>272</v>
      </c>
      <c r="D475">
        <v>1345</v>
      </c>
      <c r="E475">
        <v>1</v>
      </c>
      <c r="F475" t="s">
        <v>1017</v>
      </c>
      <c r="G475" t="str">
        <f t="shared" si="7"/>
        <v>SAWTOOTH</v>
      </c>
      <c r="H475" t="s">
        <v>781</v>
      </c>
      <c r="I475">
        <v>600</v>
      </c>
      <c r="L475">
        <v>43831</v>
      </c>
      <c r="M475" t="s">
        <v>782</v>
      </c>
      <c r="N475" t="s">
        <v>783</v>
      </c>
      <c r="R475" t="s">
        <v>36</v>
      </c>
      <c r="S475" t="s">
        <v>37</v>
      </c>
      <c r="T475" t="s">
        <v>38</v>
      </c>
      <c r="W475" t="s">
        <v>40</v>
      </c>
    </row>
    <row r="476" spans="1:23" x14ac:dyDescent="0.2">
      <c r="A476">
        <v>50.500250000000001</v>
      </c>
      <c r="B476">
        <v>-119.7013889</v>
      </c>
      <c r="C476" t="s">
        <v>86</v>
      </c>
      <c r="D476">
        <v>1359</v>
      </c>
      <c r="E476">
        <v>3</v>
      </c>
      <c r="F476" t="s">
        <v>1018</v>
      </c>
      <c r="G476" t="str">
        <f t="shared" si="7"/>
        <v>STATION BAY 2</v>
      </c>
      <c r="H476" t="s">
        <v>781</v>
      </c>
      <c r="I476">
        <v>1153</v>
      </c>
      <c r="L476">
        <v>43614</v>
      </c>
      <c r="M476" t="s">
        <v>782</v>
      </c>
      <c r="N476" t="s">
        <v>783</v>
      </c>
      <c r="R476" t="s">
        <v>36</v>
      </c>
      <c r="S476" t="s">
        <v>37</v>
      </c>
      <c r="T476" t="s">
        <v>38</v>
      </c>
      <c r="W476" t="s">
        <v>40</v>
      </c>
    </row>
    <row r="477" spans="1:23" x14ac:dyDescent="0.2">
      <c r="A477">
        <v>49.874444400000002</v>
      </c>
      <c r="B477">
        <v>-122.2811111</v>
      </c>
      <c r="C477" t="s">
        <v>204</v>
      </c>
      <c r="D477">
        <v>1375</v>
      </c>
      <c r="E477">
        <v>2</v>
      </c>
      <c r="F477" t="s">
        <v>1019</v>
      </c>
      <c r="G477" t="str">
        <f t="shared" si="7"/>
        <v>FRANK CREEK</v>
      </c>
      <c r="H477" t="s">
        <v>781</v>
      </c>
      <c r="I477">
        <v>305</v>
      </c>
      <c r="L477">
        <v>43831</v>
      </c>
      <c r="M477" t="s">
        <v>782</v>
      </c>
      <c r="N477" t="s">
        <v>783</v>
      </c>
      <c r="R477" t="s">
        <v>36</v>
      </c>
      <c r="S477" t="s">
        <v>37</v>
      </c>
      <c r="T477" t="s">
        <v>38</v>
      </c>
      <c r="W477" t="s">
        <v>40</v>
      </c>
    </row>
    <row r="478" spans="1:23" x14ac:dyDescent="0.2">
      <c r="A478">
        <v>56.711638899999997</v>
      </c>
      <c r="B478">
        <v>-130.67836109999999</v>
      </c>
      <c r="C478" t="s">
        <v>272</v>
      </c>
      <c r="D478">
        <v>1377</v>
      </c>
      <c r="E478">
        <v>1</v>
      </c>
      <c r="F478" t="s">
        <v>1020</v>
      </c>
      <c r="G478" t="str">
        <f t="shared" si="7"/>
        <v>FORRESTKERR</v>
      </c>
      <c r="H478" t="s">
        <v>781</v>
      </c>
      <c r="I478">
        <v>276</v>
      </c>
      <c r="L478">
        <v>43831</v>
      </c>
      <c r="M478" t="s">
        <v>782</v>
      </c>
      <c r="N478" t="s">
        <v>783</v>
      </c>
      <c r="R478" t="s">
        <v>36</v>
      </c>
      <c r="S478" t="s">
        <v>37</v>
      </c>
      <c r="T478" t="s">
        <v>38</v>
      </c>
      <c r="W478" t="s">
        <v>40</v>
      </c>
    </row>
    <row r="479" spans="1:23" x14ac:dyDescent="0.2">
      <c r="A479">
        <v>50.082500000000003</v>
      </c>
      <c r="B479">
        <v>-123.04130000000001</v>
      </c>
      <c r="C479" t="s">
        <v>41</v>
      </c>
      <c r="D479">
        <v>1383</v>
      </c>
      <c r="E479">
        <v>6</v>
      </c>
      <c r="F479" t="s">
        <v>1021</v>
      </c>
      <c r="G479" t="str">
        <f t="shared" si="7"/>
        <v>CHEF CREEK TEST</v>
      </c>
      <c r="H479" t="s">
        <v>781</v>
      </c>
      <c r="I479">
        <v>456</v>
      </c>
      <c r="L479">
        <v>43691</v>
      </c>
      <c r="M479" t="s">
        <v>782</v>
      </c>
      <c r="N479" t="s">
        <v>783</v>
      </c>
      <c r="R479" t="s">
        <v>36</v>
      </c>
      <c r="S479" t="s">
        <v>37</v>
      </c>
      <c r="T479" t="s">
        <v>38</v>
      </c>
      <c r="W479" t="s">
        <v>40</v>
      </c>
    </row>
    <row r="480" spans="1:23" x14ac:dyDescent="0.2">
      <c r="A480">
        <v>49.116700000000002</v>
      </c>
      <c r="B480">
        <v>-119.3</v>
      </c>
      <c r="C480" t="s">
        <v>86</v>
      </c>
      <c r="D480">
        <v>2170</v>
      </c>
      <c r="E480">
        <v>3</v>
      </c>
      <c r="F480" t="s">
        <v>1022</v>
      </c>
      <c r="G480" t="str">
        <f t="shared" si="7"/>
        <v>INKANEEP 2 EXT</v>
      </c>
      <c r="H480" t="s">
        <v>781</v>
      </c>
      <c r="I480">
        <v>1384</v>
      </c>
      <c r="L480">
        <v>44735</v>
      </c>
      <c r="M480" t="s">
        <v>782</v>
      </c>
      <c r="N480" t="s">
        <v>783</v>
      </c>
      <c r="R480" t="s">
        <v>36</v>
      </c>
      <c r="S480" t="s">
        <v>37</v>
      </c>
      <c r="T480" t="s">
        <v>38</v>
      </c>
      <c r="W480" t="s">
        <v>40</v>
      </c>
    </row>
    <row r="481" spans="1:28" x14ac:dyDescent="0.2">
      <c r="A481">
        <v>49.816699999999997</v>
      </c>
      <c r="B481">
        <v>-114.86669999999999</v>
      </c>
      <c r="C481" t="s">
        <v>86</v>
      </c>
      <c r="D481">
        <v>3110</v>
      </c>
      <c r="E481">
        <v>4</v>
      </c>
      <c r="F481" t="s">
        <v>1023</v>
      </c>
      <c r="G481" t="str">
        <f t="shared" si="7"/>
        <v>SPARWOOD</v>
      </c>
      <c r="H481" t="s">
        <v>781</v>
      </c>
      <c r="I481">
        <v>1208</v>
      </c>
      <c r="L481">
        <v>45213</v>
      </c>
      <c r="M481" t="s">
        <v>782</v>
      </c>
      <c r="N481" t="s">
        <v>783</v>
      </c>
      <c r="R481" t="s">
        <v>36</v>
      </c>
      <c r="S481" t="s">
        <v>37</v>
      </c>
      <c r="T481" t="s">
        <v>38</v>
      </c>
    </row>
    <row r="482" spans="1:28" x14ac:dyDescent="0.2">
      <c r="A482">
        <v>52.507391669999997</v>
      </c>
      <c r="B482">
        <v>-118.5202833</v>
      </c>
      <c r="C482" t="s">
        <v>61</v>
      </c>
      <c r="D482">
        <v>3190</v>
      </c>
      <c r="E482">
        <v>2</v>
      </c>
      <c r="F482" t="s">
        <v>1024</v>
      </c>
      <c r="G482" t="str">
        <f t="shared" si="7"/>
        <v>ROCKINGHAM</v>
      </c>
      <c r="H482" t="s">
        <v>781</v>
      </c>
      <c r="I482">
        <v>1123</v>
      </c>
      <c r="L482">
        <v>45214</v>
      </c>
      <c r="M482" t="s">
        <v>782</v>
      </c>
      <c r="N482" t="s">
        <v>783</v>
      </c>
      <c r="R482" t="s">
        <v>36</v>
      </c>
      <c r="S482" t="s">
        <v>37</v>
      </c>
      <c r="T482" t="s">
        <v>38</v>
      </c>
      <c r="W482" t="s">
        <v>40</v>
      </c>
    </row>
    <row r="483" spans="1:28" x14ac:dyDescent="0.2">
      <c r="A483">
        <v>52.507391699999999</v>
      </c>
      <c r="B483">
        <v>-118.774265</v>
      </c>
      <c r="C483" t="s">
        <v>61</v>
      </c>
      <c r="D483">
        <v>3191</v>
      </c>
      <c r="E483">
        <v>2</v>
      </c>
      <c r="F483" t="s">
        <v>1025</v>
      </c>
      <c r="G483" t="str">
        <f t="shared" si="7"/>
        <v>GOATLICK</v>
      </c>
      <c r="H483" t="s">
        <v>781</v>
      </c>
      <c r="I483">
        <v>957</v>
      </c>
      <c r="L483">
        <v>45214</v>
      </c>
      <c r="M483" t="s">
        <v>782</v>
      </c>
      <c r="N483" t="s">
        <v>783</v>
      </c>
      <c r="R483" t="s">
        <v>36</v>
      </c>
      <c r="S483" t="s">
        <v>37</v>
      </c>
      <c r="T483" t="s">
        <v>38</v>
      </c>
      <c r="W483" t="s">
        <v>40</v>
      </c>
    </row>
    <row r="484" spans="1:28" x14ac:dyDescent="0.2">
      <c r="A484">
        <v>49.025100000000002</v>
      </c>
      <c r="B484">
        <v>-119.6909</v>
      </c>
      <c r="C484" t="s">
        <v>86</v>
      </c>
      <c r="D484">
        <v>3810</v>
      </c>
      <c r="E484">
        <v>1</v>
      </c>
      <c r="F484" t="s">
        <v>1026</v>
      </c>
      <c r="G484" t="str">
        <f t="shared" si="7"/>
        <v>LITTLE CHOPEKA</v>
      </c>
      <c r="H484" t="s">
        <v>781</v>
      </c>
      <c r="I484">
        <v>416</v>
      </c>
      <c r="L484">
        <v>45469</v>
      </c>
      <c r="M484" t="s">
        <v>782</v>
      </c>
      <c r="N484" t="s">
        <v>783</v>
      </c>
      <c r="R484" t="s">
        <v>36</v>
      </c>
      <c r="S484" t="s">
        <v>37</v>
      </c>
      <c r="T484" t="s">
        <v>38</v>
      </c>
      <c r="W484" t="s">
        <v>40</v>
      </c>
    </row>
    <row r="485" spans="1:28" x14ac:dyDescent="0.2">
      <c r="A485">
        <v>54.438000000000002</v>
      </c>
      <c r="B485">
        <v>-128.57140000000001</v>
      </c>
      <c r="C485" t="s">
        <v>204</v>
      </c>
      <c r="D485">
        <v>3851</v>
      </c>
      <c r="E485">
        <v>2</v>
      </c>
      <c r="F485" t="s">
        <v>1027</v>
      </c>
      <c r="G485" t="str">
        <f t="shared" si="7"/>
        <v>TERRACE</v>
      </c>
      <c r="H485" t="s">
        <v>781</v>
      </c>
      <c r="I485">
        <v>199</v>
      </c>
      <c r="L485">
        <v>45484</v>
      </c>
      <c r="M485" t="s">
        <v>782</v>
      </c>
      <c r="N485" t="s">
        <v>783</v>
      </c>
      <c r="R485" t="s">
        <v>36</v>
      </c>
      <c r="S485" t="s">
        <v>37</v>
      </c>
      <c r="T485" t="s">
        <v>38</v>
      </c>
      <c r="W485" t="s">
        <v>40</v>
      </c>
    </row>
    <row r="486" spans="1:28" x14ac:dyDescent="0.2">
      <c r="A486">
        <v>59.339399999999998</v>
      </c>
      <c r="B486">
        <v>-122.0718</v>
      </c>
      <c r="C486" t="s">
        <v>329</v>
      </c>
      <c r="D486">
        <v>4232</v>
      </c>
      <c r="E486">
        <v>7</v>
      </c>
      <c r="F486" t="s">
        <v>1028</v>
      </c>
      <c r="G486" t="str">
        <f t="shared" si="7"/>
        <v>KOMIE</v>
      </c>
      <c r="H486" t="s">
        <v>781</v>
      </c>
      <c r="I486">
        <v>704</v>
      </c>
      <c r="L486">
        <v>45545</v>
      </c>
      <c r="M486" t="s">
        <v>782</v>
      </c>
      <c r="N486" t="s">
        <v>783</v>
      </c>
      <c r="R486" t="s">
        <v>36</v>
      </c>
      <c r="S486" t="s">
        <v>37</v>
      </c>
      <c r="T486" t="s">
        <v>38</v>
      </c>
      <c r="W486" t="s">
        <v>40</v>
      </c>
    </row>
    <row r="487" spans="1:28" x14ac:dyDescent="0.2">
      <c r="A487">
        <v>55.6907</v>
      </c>
      <c r="B487">
        <v>-121.61369999999999</v>
      </c>
      <c r="C487" t="s">
        <v>46</v>
      </c>
      <c r="D487">
        <v>4270</v>
      </c>
      <c r="E487">
        <v>1</v>
      </c>
      <c r="F487" t="s">
        <v>1029</v>
      </c>
      <c r="G487" t="str">
        <f t="shared" si="7"/>
        <v>CHETWYND</v>
      </c>
      <c r="H487" t="s">
        <v>781</v>
      </c>
      <c r="I487">
        <v>616</v>
      </c>
      <c r="L487">
        <v>45555</v>
      </c>
      <c r="M487" t="s">
        <v>782</v>
      </c>
      <c r="N487" t="s">
        <v>783</v>
      </c>
      <c r="R487" t="s">
        <v>36</v>
      </c>
      <c r="S487" t="s">
        <v>37</v>
      </c>
      <c r="T487" t="s">
        <v>38</v>
      </c>
      <c r="W487" t="s">
        <v>40</v>
      </c>
    </row>
    <row r="488" spans="1:28" x14ac:dyDescent="0.2">
      <c r="A488">
        <v>54.323300000000003</v>
      </c>
      <c r="B488">
        <v>-129.3252</v>
      </c>
      <c r="C488" t="s">
        <v>449</v>
      </c>
      <c r="D488">
        <v>4332</v>
      </c>
      <c r="E488">
        <v>1</v>
      </c>
      <c r="F488" t="s">
        <v>1030</v>
      </c>
      <c r="G488" t="str">
        <f t="shared" si="7"/>
        <v>KASIKS PNG</v>
      </c>
      <c r="H488" t="s">
        <v>781</v>
      </c>
      <c r="I488">
        <v>10</v>
      </c>
      <c r="L488">
        <v>45544</v>
      </c>
      <c r="M488" t="s">
        <v>782</v>
      </c>
      <c r="N488" t="s">
        <v>783</v>
      </c>
      <c r="R488" t="s">
        <v>36</v>
      </c>
      <c r="S488" t="s">
        <v>37</v>
      </c>
      <c r="T488" t="s">
        <v>38</v>
      </c>
      <c r="W488" t="s">
        <v>40</v>
      </c>
    </row>
    <row r="489" spans="1:28" ht="16.5" customHeight="1" x14ac:dyDescent="0.2">
      <c r="A489">
        <v>53.315899999999999</v>
      </c>
      <c r="B489">
        <v>-119.6007</v>
      </c>
      <c r="C489" t="s">
        <v>61</v>
      </c>
      <c r="D489">
        <v>4352</v>
      </c>
      <c r="E489">
        <v>2</v>
      </c>
      <c r="F489" t="s">
        <v>1031</v>
      </c>
      <c r="G489" t="str">
        <f t="shared" si="7"/>
        <v>BLUEBERRY</v>
      </c>
      <c r="H489" t="s">
        <v>781</v>
      </c>
      <c r="I489">
        <v>1088</v>
      </c>
      <c r="L489">
        <v>45575</v>
      </c>
      <c r="M489" t="s">
        <v>782</v>
      </c>
      <c r="N489" t="s">
        <v>783</v>
      </c>
      <c r="R489" t="s">
        <v>36</v>
      </c>
      <c r="S489" t="s">
        <v>37</v>
      </c>
      <c r="T489" t="s">
        <v>38</v>
      </c>
      <c r="W489" t="s">
        <v>40</v>
      </c>
    </row>
    <row r="490" spans="1:28" x14ac:dyDescent="0.2">
      <c r="A490">
        <v>57.191191670000002</v>
      </c>
      <c r="B490">
        <v>-124.9042444</v>
      </c>
      <c r="C490" t="s">
        <v>449</v>
      </c>
      <c r="D490" t="s">
        <v>1032</v>
      </c>
      <c r="E490">
        <v>1</v>
      </c>
      <c r="F490" t="s">
        <v>1033</v>
      </c>
      <c r="G490" t="str">
        <f t="shared" si="7"/>
        <v>AKIE RIVER NEAR THE 760 M CONTOUR</v>
      </c>
      <c r="H490" t="s">
        <v>1034</v>
      </c>
      <c r="I490">
        <v>760</v>
      </c>
      <c r="J490" t="s">
        <v>253</v>
      </c>
      <c r="L490" t="s">
        <v>1035</v>
      </c>
      <c r="M490" t="s">
        <v>1036</v>
      </c>
      <c r="N490" t="s">
        <v>1037</v>
      </c>
      <c r="O490" t="s">
        <v>1038</v>
      </c>
      <c r="R490" t="s">
        <v>36</v>
      </c>
      <c r="T490" t="s">
        <v>255</v>
      </c>
      <c r="AB490" t="s">
        <v>1039</v>
      </c>
    </row>
    <row r="491" spans="1:28" x14ac:dyDescent="0.2">
      <c r="A491">
        <v>56.436666670000001</v>
      </c>
      <c r="B491">
        <v>-125.7416667</v>
      </c>
      <c r="C491" t="s">
        <v>272</v>
      </c>
      <c r="D491" t="s">
        <v>1040</v>
      </c>
      <c r="E491">
        <v>3</v>
      </c>
      <c r="F491" t="s">
        <v>1041</v>
      </c>
      <c r="G491" t="str">
        <f t="shared" si="7"/>
        <v>AIKEN LAKE</v>
      </c>
      <c r="H491" t="s">
        <v>1034</v>
      </c>
      <c r="I491">
        <v>970</v>
      </c>
      <c r="J491" t="s">
        <v>253</v>
      </c>
      <c r="L491" t="s">
        <v>1042</v>
      </c>
      <c r="M491" t="s">
        <v>1036</v>
      </c>
      <c r="N491" t="s">
        <v>1037</v>
      </c>
      <c r="O491" t="s">
        <v>1038</v>
      </c>
      <c r="R491" t="s">
        <v>36</v>
      </c>
      <c r="T491" t="s">
        <v>695</v>
      </c>
      <c r="U491" t="s">
        <v>39</v>
      </c>
      <c r="V491" t="s">
        <v>1043</v>
      </c>
    </row>
    <row r="492" spans="1:28" x14ac:dyDescent="0.2">
      <c r="A492">
        <v>49.285665000000002</v>
      </c>
      <c r="B492">
        <v>-122.485421</v>
      </c>
      <c r="C492" t="s">
        <v>204</v>
      </c>
      <c r="D492" t="s">
        <v>1044</v>
      </c>
      <c r="E492">
        <v>3</v>
      </c>
      <c r="F492" t="s">
        <v>1045</v>
      </c>
      <c r="G492" t="str">
        <f t="shared" si="7"/>
        <v>ALOUETTE DAM EAST EMBANKMENT</v>
      </c>
      <c r="H492" t="s">
        <v>1034</v>
      </c>
      <c r="I492">
        <v>129</v>
      </c>
      <c r="L492" t="s">
        <v>1046</v>
      </c>
      <c r="M492" t="s">
        <v>1036</v>
      </c>
      <c r="N492" t="s">
        <v>1037</v>
      </c>
      <c r="O492" t="s">
        <v>1038</v>
      </c>
      <c r="R492" t="s">
        <v>36</v>
      </c>
      <c r="T492" t="s">
        <v>1047</v>
      </c>
    </row>
    <row r="493" spans="1:28" x14ac:dyDescent="0.2">
      <c r="A493">
        <v>49.28744167</v>
      </c>
      <c r="B493">
        <v>-122.48343610000001</v>
      </c>
      <c r="C493" t="s">
        <v>41</v>
      </c>
      <c r="D493" t="s">
        <v>1048</v>
      </c>
      <c r="E493">
        <v>3</v>
      </c>
      <c r="F493" t="s">
        <v>1049</v>
      </c>
      <c r="G493" t="str">
        <f t="shared" si="7"/>
        <v>ALOUETTE LAKE FOREBAY</v>
      </c>
      <c r="H493" t="s">
        <v>1034</v>
      </c>
      <c r="I493">
        <v>125</v>
      </c>
      <c r="J493" t="s">
        <v>253</v>
      </c>
      <c r="L493" t="s">
        <v>1050</v>
      </c>
      <c r="M493" t="s">
        <v>1036</v>
      </c>
      <c r="N493" t="s">
        <v>1037</v>
      </c>
      <c r="O493" t="s">
        <v>1038</v>
      </c>
      <c r="R493" t="s">
        <v>36</v>
      </c>
      <c r="T493" t="s">
        <v>695</v>
      </c>
      <c r="AB493" t="s">
        <v>1051</v>
      </c>
    </row>
    <row r="494" spans="1:28" x14ac:dyDescent="0.2">
      <c r="A494">
        <v>49.44034722</v>
      </c>
      <c r="B494">
        <v>-125.144125</v>
      </c>
      <c r="C494" t="s">
        <v>41</v>
      </c>
      <c r="D494" t="s">
        <v>1052</v>
      </c>
      <c r="E494">
        <v>5</v>
      </c>
      <c r="F494" t="s">
        <v>1053</v>
      </c>
      <c r="G494" t="str">
        <f t="shared" si="7"/>
        <v>ELSIE LAKE FOREBAY</v>
      </c>
      <c r="H494" t="s">
        <v>1034</v>
      </c>
      <c r="I494">
        <v>340</v>
      </c>
      <c r="J494" t="s">
        <v>253</v>
      </c>
      <c r="L494" t="s">
        <v>1050</v>
      </c>
      <c r="M494" t="s">
        <v>1036</v>
      </c>
      <c r="N494" t="s">
        <v>1037</v>
      </c>
      <c r="O494" t="s">
        <v>1038</v>
      </c>
      <c r="R494" t="s">
        <v>36</v>
      </c>
      <c r="T494" t="s">
        <v>695</v>
      </c>
      <c r="AB494" t="s">
        <v>1051</v>
      </c>
    </row>
    <row r="495" spans="1:28" x14ac:dyDescent="0.2">
      <c r="A495">
        <v>50.068552779999997</v>
      </c>
      <c r="B495">
        <v>-118.35112220000001</v>
      </c>
      <c r="C495" t="s">
        <v>61</v>
      </c>
      <c r="D495" t="s">
        <v>1054</v>
      </c>
      <c r="E495">
        <v>5</v>
      </c>
      <c r="F495" t="s">
        <v>1055</v>
      </c>
      <c r="G495" t="str">
        <f t="shared" si="7"/>
        <v>BARNES CREEK</v>
      </c>
      <c r="H495" t="s">
        <v>1034</v>
      </c>
      <c r="I495">
        <v>1620</v>
      </c>
      <c r="J495" t="s">
        <v>253</v>
      </c>
      <c r="L495">
        <v>1992</v>
      </c>
      <c r="M495" t="s">
        <v>1036</v>
      </c>
      <c r="N495" t="s">
        <v>1037</v>
      </c>
      <c r="O495" t="s">
        <v>1038</v>
      </c>
      <c r="R495" t="s">
        <v>36</v>
      </c>
      <c r="T495" t="s">
        <v>695</v>
      </c>
      <c r="V495" t="s">
        <v>1043</v>
      </c>
    </row>
    <row r="496" spans="1:28" x14ac:dyDescent="0.2">
      <c r="A496">
        <v>48.502677779999999</v>
      </c>
      <c r="B496">
        <v>-123.8964</v>
      </c>
      <c r="C496" t="s">
        <v>41</v>
      </c>
      <c r="D496" t="s">
        <v>1056</v>
      </c>
      <c r="E496">
        <v>6</v>
      </c>
      <c r="F496" t="s">
        <v>1057</v>
      </c>
      <c r="G496" t="str">
        <f t="shared" si="7"/>
        <v>BEAR CREEK RESERVOIR</v>
      </c>
      <c r="H496" t="s">
        <v>1034</v>
      </c>
      <c r="I496">
        <v>419</v>
      </c>
      <c r="J496" t="s">
        <v>253</v>
      </c>
      <c r="L496" t="s">
        <v>1050</v>
      </c>
      <c r="M496" t="s">
        <v>1036</v>
      </c>
      <c r="N496" t="s">
        <v>1037</v>
      </c>
      <c r="O496" t="s">
        <v>1038</v>
      </c>
      <c r="R496" t="s">
        <v>36</v>
      </c>
      <c r="T496" t="s">
        <v>695</v>
      </c>
      <c r="AB496" t="s">
        <v>1058</v>
      </c>
    </row>
    <row r="497" spans="1:28" x14ac:dyDescent="0.2">
      <c r="A497">
        <v>50.831491999999997</v>
      </c>
      <c r="B497">
        <v>-123.486422</v>
      </c>
      <c r="C497" t="s">
        <v>86</v>
      </c>
      <c r="D497" t="s">
        <v>1059</v>
      </c>
      <c r="E497">
        <v>6</v>
      </c>
      <c r="F497" t="s">
        <v>1060</v>
      </c>
      <c r="G497" t="str">
        <f t="shared" si="7"/>
        <v>BRIDGE GLACIER PROGLACIAL LAKE</v>
      </c>
      <c r="H497" t="s">
        <v>1034</v>
      </c>
      <c r="I497">
        <v>1505</v>
      </c>
      <c r="J497" t="s">
        <v>253</v>
      </c>
      <c r="L497">
        <v>2022</v>
      </c>
      <c r="M497" t="s">
        <v>1036</v>
      </c>
      <c r="N497" t="s">
        <v>1061</v>
      </c>
      <c r="O497" t="s">
        <v>1038</v>
      </c>
      <c r="R497" t="s">
        <v>36</v>
      </c>
      <c r="T497" t="s">
        <v>695</v>
      </c>
      <c r="U497" t="s">
        <v>39</v>
      </c>
      <c r="V497" t="s">
        <v>1043</v>
      </c>
    </row>
    <row r="498" spans="1:28" x14ac:dyDescent="0.2">
      <c r="A498">
        <v>50.775188888888891</v>
      </c>
      <c r="B498">
        <v>-122.78881944444444</v>
      </c>
      <c r="C498" t="s">
        <v>86</v>
      </c>
      <c r="D498" t="s">
        <v>1062</v>
      </c>
      <c r="E498">
        <v>5</v>
      </c>
      <c r="F498" t="s">
        <v>1063</v>
      </c>
      <c r="G498" t="str">
        <f t="shared" si="7"/>
        <v>BRALORNE</v>
      </c>
      <c r="H498" t="s">
        <v>1034</v>
      </c>
      <c r="I498">
        <v>1382</v>
      </c>
      <c r="J498" t="s">
        <v>253</v>
      </c>
      <c r="L498" t="s">
        <v>1064</v>
      </c>
      <c r="M498" t="s">
        <v>1036</v>
      </c>
      <c r="N498" t="s">
        <v>1037</v>
      </c>
      <c r="O498" t="s">
        <v>1038</v>
      </c>
      <c r="R498" t="s">
        <v>36</v>
      </c>
      <c r="T498" t="s">
        <v>695</v>
      </c>
      <c r="U498" t="s">
        <v>39</v>
      </c>
      <c r="V498" t="s">
        <v>1043</v>
      </c>
    </row>
    <row r="499" spans="1:28" x14ac:dyDescent="0.2">
      <c r="A499">
        <v>49.493255560000001</v>
      </c>
      <c r="B499">
        <v>-115.3639222</v>
      </c>
      <c r="C499" t="s">
        <v>61</v>
      </c>
      <c r="D499" t="s">
        <v>1065</v>
      </c>
      <c r="E499">
        <v>1</v>
      </c>
      <c r="F499" t="s">
        <v>1066</v>
      </c>
      <c r="G499" t="str">
        <f t="shared" si="7"/>
        <v>BULL RIVER NEAR WARDNER</v>
      </c>
      <c r="H499" t="s">
        <v>1034</v>
      </c>
      <c r="I499">
        <v>800</v>
      </c>
      <c r="J499" t="s">
        <v>253</v>
      </c>
      <c r="L499" t="s">
        <v>1067</v>
      </c>
      <c r="M499" t="s">
        <v>1036</v>
      </c>
      <c r="N499" t="s">
        <v>1037</v>
      </c>
      <c r="O499" t="s">
        <v>1038</v>
      </c>
      <c r="R499" t="s">
        <v>36</v>
      </c>
      <c r="T499" t="s">
        <v>255</v>
      </c>
      <c r="AB499" t="s">
        <v>1068</v>
      </c>
    </row>
    <row r="500" spans="1:28" x14ac:dyDescent="0.2">
      <c r="A500">
        <v>50.137056000000001</v>
      </c>
      <c r="B500">
        <v>-123.102889</v>
      </c>
      <c r="C500" t="s">
        <v>204</v>
      </c>
      <c r="D500" t="s">
        <v>1069</v>
      </c>
      <c r="E500">
        <v>5</v>
      </c>
      <c r="F500" t="s">
        <v>1070</v>
      </c>
      <c r="G500" t="str">
        <f t="shared" si="7"/>
        <v>CALLAGHAN CREEK</v>
      </c>
      <c r="H500" t="s">
        <v>1034</v>
      </c>
      <c r="I500">
        <v>1017</v>
      </c>
      <c r="J500" t="s">
        <v>253</v>
      </c>
      <c r="L500" t="s">
        <v>1071</v>
      </c>
      <c r="M500" t="s">
        <v>1036</v>
      </c>
      <c r="N500" t="s">
        <v>1037</v>
      </c>
      <c r="O500" t="s">
        <v>1038</v>
      </c>
      <c r="R500" t="s">
        <v>36</v>
      </c>
      <c r="T500" t="s">
        <v>695</v>
      </c>
      <c r="U500" t="s">
        <v>39</v>
      </c>
      <c r="V500" t="s">
        <v>1043</v>
      </c>
      <c r="W500" t="s">
        <v>40</v>
      </c>
    </row>
    <row r="501" spans="1:28" x14ac:dyDescent="0.2">
      <c r="A501">
        <v>51.109027779999998</v>
      </c>
      <c r="B501">
        <v>-117.2284167</v>
      </c>
      <c r="C501" t="s">
        <v>61</v>
      </c>
      <c r="D501" t="s">
        <v>1072</v>
      </c>
      <c r="E501">
        <v>8</v>
      </c>
      <c r="F501" t="s">
        <v>1073</v>
      </c>
      <c r="G501" t="str">
        <f t="shared" si="7"/>
        <v>CARIBOU CREEK UPPER</v>
      </c>
      <c r="H501" t="s">
        <v>1034</v>
      </c>
      <c r="I501">
        <v>2201</v>
      </c>
      <c r="J501" t="s">
        <v>253</v>
      </c>
      <c r="L501" t="s">
        <v>1074</v>
      </c>
      <c r="M501" t="s">
        <v>1036</v>
      </c>
      <c r="N501" t="s">
        <v>1037</v>
      </c>
      <c r="O501" t="s">
        <v>1038</v>
      </c>
      <c r="R501" t="s">
        <v>36</v>
      </c>
      <c r="T501" t="s">
        <v>695</v>
      </c>
      <c r="V501" t="s">
        <v>1043</v>
      </c>
    </row>
    <row r="502" spans="1:28" x14ac:dyDescent="0.2">
      <c r="A502">
        <v>49.354149999999997</v>
      </c>
      <c r="B502">
        <v>-122.774737</v>
      </c>
      <c r="C502" t="s">
        <v>204</v>
      </c>
      <c r="D502" t="s">
        <v>1075</v>
      </c>
      <c r="E502">
        <v>2</v>
      </c>
      <c r="F502" t="s">
        <v>1076</v>
      </c>
      <c r="G502" t="str">
        <f t="shared" si="7"/>
        <v>COQUITLAM DAM CLIMATE</v>
      </c>
      <c r="H502" t="s">
        <v>1034</v>
      </c>
      <c r="I502">
        <v>152</v>
      </c>
      <c r="J502" t="s">
        <v>253</v>
      </c>
      <c r="L502" t="s">
        <v>1077</v>
      </c>
      <c r="M502" t="s">
        <v>1036</v>
      </c>
      <c r="N502" t="s">
        <v>1037</v>
      </c>
      <c r="O502" t="s">
        <v>1038</v>
      </c>
      <c r="R502" t="s">
        <v>36</v>
      </c>
      <c r="T502" t="s">
        <v>695</v>
      </c>
    </row>
    <row r="503" spans="1:28" x14ac:dyDescent="0.2">
      <c r="A503">
        <v>56.636833330000002</v>
      </c>
      <c r="B503">
        <v>-122.77886669999999</v>
      </c>
      <c r="C503" t="s">
        <v>272</v>
      </c>
      <c r="D503" t="s">
        <v>1078</v>
      </c>
      <c r="E503">
        <v>7</v>
      </c>
      <c r="F503" t="s">
        <v>1079</v>
      </c>
      <c r="G503" t="str">
        <f t="shared" si="7"/>
        <v>CHOWADE UPPER</v>
      </c>
      <c r="H503" t="s">
        <v>1034</v>
      </c>
      <c r="I503">
        <v>1480</v>
      </c>
      <c r="J503" t="s">
        <v>253</v>
      </c>
      <c r="L503" t="s">
        <v>1042</v>
      </c>
      <c r="M503" t="s">
        <v>1036</v>
      </c>
      <c r="N503" t="s">
        <v>1037</v>
      </c>
      <c r="O503" t="s">
        <v>1038</v>
      </c>
      <c r="R503" t="s">
        <v>36</v>
      </c>
      <c r="T503" t="s">
        <v>695</v>
      </c>
      <c r="U503" t="s">
        <v>39</v>
      </c>
    </row>
    <row r="504" spans="1:28" x14ac:dyDescent="0.2">
      <c r="A504">
        <v>49.710866670000001</v>
      </c>
      <c r="B504">
        <v>-123.529025</v>
      </c>
      <c r="C504" t="s">
        <v>204</v>
      </c>
      <c r="D504" t="s">
        <v>1080</v>
      </c>
      <c r="E504">
        <v>1</v>
      </c>
      <c r="F504" t="s">
        <v>1081</v>
      </c>
      <c r="G504" t="str">
        <f t="shared" si="7"/>
        <v>CLOWHOM FALLS</v>
      </c>
      <c r="H504" t="s">
        <v>1034</v>
      </c>
      <c r="I504">
        <v>10</v>
      </c>
      <c r="J504" t="s">
        <v>253</v>
      </c>
      <c r="L504">
        <v>1986</v>
      </c>
      <c r="M504" t="s">
        <v>1036</v>
      </c>
      <c r="N504" t="s">
        <v>1037</v>
      </c>
      <c r="O504" t="s">
        <v>1038</v>
      </c>
      <c r="R504" t="s">
        <v>36</v>
      </c>
      <c r="T504" t="s">
        <v>695</v>
      </c>
    </row>
    <row r="505" spans="1:28" x14ac:dyDescent="0.2">
      <c r="A505">
        <v>49.643655555555554</v>
      </c>
      <c r="B505">
        <v>-125.0961111111111</v>
      </c>
      <c r="C505" t="s">
        <v>41</v>
      </c>
      <c r="D505" t="s">
        <v>1082</v>
      </c>
      <c r="E505">
        <v>3</v>
      </c>
      <c r="F505" t="s">
        <v>1083</v>
      </c>
      <c r="G505" t="str">
        <f t="shared" si="7"/>
        <v>COMOX DAM FOREBAY</v>
      </c>
      <c r="H505" t="s">
        <v>1034</v>
      </c>
      <c r="I505">
        <v>138</v>
      </c>
      <c r="J505" t="s">
        <v>253</v>
      </c>
      <c r="L505">
        <v>1983</v>
      </c>
      <c r="M505" t="s">
        <v>1036</v>
      </c>
      <c r="N505" t="s">
        <v>1061</v>
      </c>
      <c r="O505" t="s">
        <v>1038</v>
      </c>
      <c r="R505" t="s">
        <v>36</v>
      </c>
      <c r="T505" t="s">
        <v>695</v>
      </c>
    </row>
    <row r="506" spans="1:28" x14ac:dyDescent="0.2">
      <c r="A506">
        <v>51.607722219999999</v>
      </c>
      <c r="B506">
        <v>-117.61086109999999</v>
      </c>
      <c r="C506" t="s">
        <v>61</v>
      </c>
      <c r="D506" t="s">
        <v>1084</v>
      </c>
      <c r="E506">
        <v>7</v>
      </c>
      <c r="F506" t="s">
        <v>1085</v>
      </c>
      <c r="G506" t="str">
        <f t="shared" si="7"/>
        <v>COLPITTI CREEK</v>
      </c>
      <c r="H506" t="s">
        <v>1034</v>
      </c>
      <c r="I506">
        <v>2131</v>
      </c>
      <c r="J506" t="s">
        <v>253</v>
      </c>
      <c r="L506" t="s">
        <v>1074</v>
      </c>
      <c r="M506" t="s">
        <v>1036</v>
      </c>
      <c r="N506" t="s">
        <v>1037</v>
      </c>
      <c r="O506" t="s">
        <v>1038</v>
      </c>
      <c r="R506" t="s">
        <v>36</v>
      </c>
      <c r="T506" t="s">
        <v>695</v>
      </c>
      <c r="V506" t="s">
        <v>1043</v>
      </c>
    </row>
    <row r="507" spans="1:28" x14ac:dyDescent="0.2">
      <c r="A507">
        <v>49.487774999999999</v>
      </c>
      <c r="B507">
        <v>-122.793048</v>
      </c>
      <c r="C507" t="s">
        <v>204</v>
      </c>
      <c r="D507" t="s">
        <v>1086</v>
      </c>
      <c r="E507">
        <v>2</v>
      </c>
      <c r="F507" t="s">
        <v>1087</v>
      </c>
      <c r="G507" t="str">
        <f t="shared" si="7"/>
        <v>COQUITLAM RIVER ABOVE COQUITLAM LAKE 2</v>
      </c>
      <c r="H507" t="s">
        <v>1034</v>
      </c>
      <c r="I507">
        <v>290</v>
      </c>
      <c r="J507" t="s">
        <v>253</v>
      </c>
      <c r="L507">
        <v>2021</v>
      </c>
      <c r="M507" t="s">
        <v>1036</v>
      </c>
      <c r="N507" t="s">
        <v>1037</v>
      </c>
      <c r="O507" t="s">
        <v>1038</v>
      </c>
      <c r="R507" t="s">
        <v>36</v>
      </c>
      <c r="T507" t="s">
        <v>695</v>
      </c>
    </row>
    <row r="508" spans="1:28" x14ac:dyDescent="0.2">
      <c r="A508">
        <v>50.812033</v>
      </c>
      <c r="B508">
        <v>-116.93975</v>
      </c>
      <c r="C508" t="s">
        <v>61</v>
      </c>
      <c r="D508" t="s">
        <v>1088</v>
      </c>
      <c r="E508">
        <v>8</v>
      </c>
      <c r="F508" t="s">
        <v>1089</v>
      </c>
      <c r="G508" t="str">
        <f t="shared" si="7"/>
        <v>CONRAD GLACIER</v>
      </c>
      <c r="H508" t="s">
        <v>1034</v>
      </c>
      <c r="I508">
        <v>2599</v>
      </c>
      <c r="J508" t="s">
        <v>253</v>
      </c>
      <c r="L508" t="s">
        <v>1071</v>
      </c>
      <c r="M508" t="s">
        <v>1036</v>
      </c>
      <c r="N508" t="s">
        <v>1037</v>
      </c>
      <c r="O508" t="s">
        <v>1038</v>
      </c>
      <c r="R508" t="s">
        <v>36</v>
      </c>
      <c r="S508" t="s">
        <v>37</v>
      </c>
      <c r="U508" t="s">
        <v>39</v>
      </c>
      <c r="W508" t="s">
        <v>40</v>
      </c>
      <c r="Y508" t="s">
        <v>392</v>
      </c>
    </row>
    <row r="509" spans="1:28" x14ac:dyDescent="0.2">
      <c r="A509">
        <v>49.578402777777782</v>
      </c>
      <c r="B509">
        <v>-125.2089</v>
      </c>
      <c r="C509" t="s">
        <v>41</v>
      </c>
      <c r="D509" t="s">
        <v>1090</v>
      </c>
      <c r="E509">
        <v>3</v>
      </c>
      <c r="F509" t="s">
        <v>1091</v>
      </c>
      <c r="G509" t="str">
        <f t="shared" si="7"/>
        <v>CRUICKSHANK RIVER NEAR THE MOUTH 2</v>
      </c>
      <c r="H509" t="s">
        <v>1034</v>
      </c>
      <c r="I509">
        <v>150</v>
      </c>
      <c r="J509" t="s">
        <v>253</v>
      </c>
      <c r="L509">
        <v>2022</v>
      </c>
      <c r="M509" t="s">
        <v>1036</v>
      </c>
      <c r="N509" t="s">
        <v>1061</v>
      </c>
      <c r="O509" t="s">
        <v>1038</v>
      </c>
      <c r="R509" t="s">
        <v>36</v>
      </c>
      <c r="T509" t="s">
        <v>695</v>
      </c>
    </row>
    <row r="510" spans="1:28" x14ac:dyDescent="0.2">
      <c r="A510">
        <v>56.38586111</v>
      </c>
      <c r="B510">
        <v>-122.89283330000001</v>
      </c>
      <c r="C510" t="s">
        <v>272</v>
      </c>
      <c r="D510" t="s">
        <v>1092</v>
      </c>
      <c r="E510">
        <v>6</v>
      </c>
      <c r="F510" t="s">
        <v>1093</v>
      </c>
      <c r="G510" t="str">
        <f t="shared" si="7"/>
        <v>CRYING GIRL PRAIRIE</v>
      </c>
      <c r="H510" t="s">
        <v>1034</v>
      </c>
      <c r="I510">
        <v>1358</v>
      </c>
      <c r="J510" t="s">
        <v>253</v>
      </c>
      <c r="L510" t="s">
        <v>1094</v>
      </c>
      <c r="M510" t="s">
        <v>1036</v>
      </c>
      <c r="N510" t="s">
        <v>1037</v>
      </c>
      <c r="O510" t="s">
        <v>1038</v>
      </c>
      <c r="R510" t="s">
        <v>36</v>
      </c>
      <c r="T510" t="s">
        <v>255</v>
      </c>
      <c r="U510" t="s">
        <v>39</v>
      </c>
      <c r="V510" t="s">
        <v>1043</v>
      </c>
    </row>
    <row r="511" spans="1:28" x14ac:dyDescent="0.2">
      <c r="A511">
        <v>49.975000000000001</v>
      </c>
      <c r="B511">
        <v>-123.1347222</v>
      </c>
      <c r="C511" t="s">
        <v>204</v>
      </c>
      <c r="D511" t="s">
        <v>1095</v>
      </c>
      <c r="E511">
        <v>3</v>
      </c>
      <c r="F511" t="s">
        <v>1096</v>
      </c>
      <c r="G511" t="str">
        <f t="shared" si="7"/>
        <v>DAISY LAKE</v>
      </c>
      <c r="H511" t="s">
        <v>1034</v>
      </c>
      <c r="I511">
        <v>390</v>
      </c>
      <c r="J511" t="s">
        <v>253</v>
      </c>
      <c r="L511">
        <v>1985</v>
      </c>
      <c r="M511" t="s">
        <v>1036</v>
      </c>
      <c r="N511" t="s">
        <v>1037</v>
      </c>
      <c r="O511" t="s">
        <v>1038</v>
      </c>
      <c r="R511" t="s">
        <v>36</v>
      </c>
      <c r="T511" t="s">
        <v>695</v>
      </c>
    </row>
    <row r="512" spans="1:28" x14ac:dyDescent="0.2">
      <c r="A512">
        <v>50.638172222222224</v>
      </c>
      <c r="B512">
        <v>-117.04842222222221</v>
      </c>
      <c r="C512" t="s">
        <v>61</v>
      </c>
      <c r="D512" t="s">
        <v>1097</v>
      </c>
      <c r="E512">
        <v>1</v>
      </c>
      <c r="F512" t="s">
        <v>1098</v>
      </c>
      <c r="G512" t="str">
        <f t="shared" si="7"/>
        <v>DUNCAN RIVER BELOW BLUE BERRY CREEK 2</v>
      </c>
      <c r="H512" t="s">
        <v>1034</v>
      </c>
      <c r="I512">
        <v>590</v>
      </c>
      <c r="J512" t="s">
        <v>253</v>
      </c>
      <c r="L512">
        <v>2022</v>
      </c>
      <c r="M512" t="s">
        <v>1036</v>
      </c>
      <c r="N512" t="s">
        <v>1061</v>
      </c>
      <c r="O512" t="s">
        <v>1038</v>
      </c>
      <c r="R512" t="s">
        <v>36</v>
      </c>
      <c r="T512" t="s">
        <v>695</v>
      </c>
    </row>
    <row r="513" spans="1:28" x14ac:dyDescent="0.2">
      <c r="A513">
        <v>50.238723</v>
      </c>
      <c r="B513">
        <v>-116.971343</v>
      </c>
      <c r="C513" t="s">
        <v>61</v>
      </c>
      <c r="D513" t="s">
        <v>1099</v>
      </c>
      <c r="E513">
        <v>1</v>
      </c>
      <c r="F513" t="s">
        <v>1100</v>
      </c>
      <c r="G513" t="str">
        <f t="shared" si="7"/>
        <v>DUNCAN LAKE DAM 2</v>
      </c>
      <c r="H513" t="s">
        <v>1034</v>
      </c>
      <c r="I513">
        <v>559</v>
      </c>
      <c r="J513" t="s">
        <v>253</v>
      </c>
      <c r="L513" t="s">
        <v>1071</v>
      </c>
      <c r="M513" t="s">
        <v>1036</v>
      </c>
      <c r="N513" t="s">
        <v>1037</v>
      </c>
      <c r="O513" t="s">
        <v>1038</v>
      </c>
      <c r="R513" t="s">
        <v>36</v>
      </c>
      <c r="T513" t="s">
        <v>695</v>
      </c>
      <c r="U513" t="s">
        <v>39</v>
      </c>
      <c r="V513" t="s">
        <v>1101</v>
      </c>
    </row>
    <row r="514" spans="1:28" x14ac:dyDescent="0.2">
      <c r="A514">
        <v>49.316704357042902</v>
      </c>
      <c r="B514">
        <v>-122.06964952871201</v>
      </c>
      <c r="C514" t="s">
        <v>204</v>
      </c>
      <c r="D514" t="s">
        <v>1102</v>
      </c>
      <c r="E514">
        <v>6</v>
      </c>
      <c r="F514" t="s">
        <v>1103</v>
      </c>
      <c r="G514" t="str">
        <f t="shared" ref="G514:G577" si="8">UPPER(F514)</f>
        <v>DICKSON LAKE</v>
      </c>
      <c r="H514" t="s">
        <v>1034</v>
      </c>
      <c r="I514">
        <v>1154.90087890625</v>
      </c>
      <c r="J514" t="s">
        <v>253</v>
      </c>
      <c r="L514" t="s">
        <v>1104</v>
      </c>
      <c r="M514" t="s">
        <v>1036</v>
      </c>
      <c r="N514" t="s">
        <v>1037</v>
      </c>
      <c r="O514" t="s">
        <v>1038</v>
      </c>
      <c r="R514" t="s">
        <v>36</v>
      </c>
      <c r="T514" t="s">
        <v>695</v>
      </c>
      <c r="U514" t="s">
        <v>39</v>
      </c>
      <c r="V514" t="s">
        <v>1043</v>
      </c>
    </row>
    <row r="515" spans="1:28" x14ac:dyDescent="0.2">
      <c r="A515">
        <v>50.859333329999998</v>
      </c>
      <c r="B515">
        <v>-123.1835</v>
      </c>
      <c r="C515" t="s">
        <v>86</v>
      </c>
      <c r="D515" t="s">
        <v>1105</v>
      </c>
      <c r="E515">
        <v>8</v>
      </c>
      <c r="F515" t="s">
        <v>1106</v>
      </c>
      <c r="G515" t="str">
        <f t="shared" si="8"/>
        <v>DOWNTON LAKE UPPER</v>
      </c>
      <c r="H515" t="s">
        <v>1034</v>
      </c>
      <c r="I515">
        <v>1829</v>
      </c>
      <c r="J515" t="s">
        <v>253</v>
      </c>
      <c r="L515">
        <v>1994</v>
      </c>
      <c r="M515" t="s">
        <v>1036</v>
      </c>
      <c r="N515" t="s">
        <v>1037</v>
      </c>
      <c r="O515" t="s">
        <v>1038</v>
      </c>
      <c r="R515" t="s">
        <v>36</v>
      </c>
      <c r="T515" t="s">
        <v>695</v>
      </c>
      <c r="V515" t="s">
        <v>1043</v>
      </c>
    </row>
    <row r="516" spans="1:28" x14ac:dyDescent="0.2">
      <c r="A516">
        <v>51.483680560000003</v>
      </c>
      <c r="B516">
        <v>-117.1810139</v>
      </c>
      <c r="C516" t="s">
        <v>61</v>
      </c>
      <c r="D516" t="s">
        <v>1107</v>
      </c>
      <c r="E516">
        <v>1</v>
      </c>
      <c r="F516" t="s">
        <v>1108</v>
      </c>
      <c r="G516" t="str">
        <f t="shared" si="8"/>
        <v>COLUMBIA RIVER AT DONALD</v>
      </c>
      <c r="H516" t="s">
        <v>1034</v>
      </c>
      <c r="I516">
        <v>770</v>
      </c>
      <c r="J516" t="s">
        <v>253</v>
      </c>
      <c r="L516" t="s">
        <v>1109</v>
      </c>
      <c r="M516" t="s">
        <v>1036</v>
      </c>
      <c r="N516" t="s">
        <v>1037</v>
      </c>
      <c r="O516" t="s">
        <v>1038</v>
      </c>
      <c r="R516" t="s">
        <v>36</v>
      </c>
      <c r="T516" t="s">
        <v>255</v>
      </c>
      <c r="AB516" t="s">
        <v>1110</v>
      </c>
    </row>
    <row r="517" spans="1:28" x14ac:dyDescent="0.2">
      <c r="A517">
        <v>55.825083329999998</v>
      </c>
      <c r="B517">
        <v>-122.43625</v>
      </c>
      <c r="C517" t="s">
        <v>272</v>
      </c>
      <c r="D517" t="s">
        <v>1111</v>
      </c>
      <c r="E517">
        <v>7</v>
      </c>
      <c r="F517" t="s">
        <v>1112</v>
      </c>
      <c r="G517" t="str">
        <f t="shared" si="8"/>
        <v>DOWLING CREEK</v>
      </c>
      <c r="H517" t="s">
        <v>1034</v>
      </c>
      <c r="I517">
        <v>1456</v>
      </c>
      <c r="J517" t="s">
        <v>253</v>
      </c>
      <c r="L517" t="s">
        <v>1094</v>
      </c>
      <c r="M517" t="s">
        <v>1036</v>
      </c>
      <c r="N517" t="s">
        <v>1037</v>
      </c>
      <c r="O517" t="s">
        <v>1038</v>
      </c>
      <c r="R517" t="s">
        <v>36</v>
      </c>
      <c r="T517" t="s">
        <v>255</v>
      </c>
      <c r="V517" t="s">
        <v>1043</v>
      </c>
    </row>
    <row r="518" spans="1:28" x14ac:dyDescent="0.2">
      <c r="A518">
        <v>50.639600000000002</v>
      </c>
      <c r="B518">
        <v>-116.9297333</v>
      </c>
      <c r="C518" t="s">
        <v>61</v>
      </c>
      <c r="D518" t="s">
        <v>1113</v>
      </c>
      <c r="E518">
        <v>7</v>
      </c>
      <c r="F518" t="s">
        <v>1114</v>
      </c>
      <c r="G518" t="str">
        <f t="shared" si="8"/>
        <v>EAST CREEK</v>
      </c>
      <c r="H518" t="s">
        <v>1034</v>
      </c>
      <c r="I518">
        <v>2030</v>
      </c>
      <c r="J518" t="s">
        <v>253</v>
      </c>
      <c r="L518" t="s">
        <v>1115</v>
      </c>
      <c r="M518" t="s">
        <v>1036</v>
      </c>
      <c r="N518" t="s">
        <v>1037</v>
      </c>
      <c r="O518" t="s">
        <v>1038</v>
      </c>
      <c r="R518" t="s">
        <v>36</v>
      </c>
      <c r="T518" t="s">
        <v>695</v>
      </c>
      <c r="V518" t="s">
        <v>1043</v>
      </c>
    </row>
    <row r="519" spans="1:28" x14ac:dyDescent="0.2">
      <c r="A519">
        <v>49.858047220000003</v>
      </c>
      <c r="B519">
        <v>-125.8132639</v>
      </c>
      <c r="C519" t="s">
        <v>41</v>
      </c>
      <c r="D519" t="s">
        <v>1116</v>
      </c>
      <c r="E519">
        <v>5</v>
      </c>
      <c r="F519" t="s">
        <v>1117</v>
      </c>
      <c r="G519" t="str">
        <f t="shared" si="8"/>
        <v>ELK RIVER ABOVE UPPER CAMPBELL LAKE</v>
      </c>
      <c r="H519" t="s">
        <v>1034</v>
      </c>
      <c r="I519">
        <v>270</v>
      </c>
      <c r="J519" t="s">
        <v>253</v>
      </c>
      <c r="L519">
        <v>1991</v>
      </c>
      <c r="M519" t="s">
        <v>1036</v>
      </c>
      <c r="N519" t="s">
        <v>1037</v>
      </c>
      <c r="O519" t="s">
        <v>1038</v>
      </c>
      <c r="R519" t="s">
        <v>36</v>
      </c>
      <c r="T519" t="s">
        <v>695</v>
      </c>
      <c r="AB519" t="s">
        <v>1039</v>
      </c>
    </row>
    <row r="520" spans="1:28" x14ac:dyDescent="0.2">
      <c r="A520">
        <v>49.864182</v>
      </c>
      <c r="B520">
        <v>-118.07422800000001</v>
      </c>
      <c r="C520" t="s">
        <v>61</v>
      </c>
      <c r="D520" t="s">
        <v>1118</v>
      </c>
      <c r="E520">
        <v>1</v>
      </c>
      <c r="F520" t="s">
        <v>1119</v>
      </c>
      <c r="G520" t="str">
        <f t="shared" si="8"/>
        <v>FAUQUIER WATER TREATMENT PLANT</v>
      </c>
      <c r="H520" t="s">
        <v>1034</v>
      </c>
      <c r="I520">
        <v>519</v>
      </c>
      <c r="J520" t="s">
        <v>253</v>
      </c>
      <c r="L520" t="s">
        <v>1071</v>
      </c>
      <c r="M520" t="s">
        <v>1036</v>
      </c>
      <c r="N520" t="s">
        <v>1037</v>
      </c>
      <c r="O520" t="s">
        <v>1038</v>
      </c>
      <c r="R520" t="s">
        <v>36</v>
      </c>
      <c r="T520" t="s">
        <v>695</v>
      </c>
      <c r="U520" t="s">
        <v>39</v>
      </c>
    </row>
    <row r="521" spans="1:28" x14ac:dyDescent="0.2">
      <c r="A521">
        <v>56.948458000000002</v>
      </c>
      <c r="B521">
        <v>-126.52071599999999</v>
      </c>
      <c r="C521" t="s">
        <v>449</v>
      </c>
      <c r="D521" t="s">
        <v>1120</v>
      </c>
      <c r="E521">
        <v>5</v>
      </c>
      <c r="F521" t="s">
        <v>1121</v>
      </c>
      <c r="G521" t="str">
        <f t="shared" si="8"/>
        <v>FREDRICKSON LAKE</v>
      </c>
      <c r="H521" t="s">
        <v>1034</v>
      </c>
      <c r="I521">
        <v>1326</v>
      </c>
      <c r="J521" t="s">
        <v>253</v>
      </c>
      <c r="L521" t="s">
        <v>1104</v>
      </c>
      <c r="M521" t="s">
        <v>1036</v>
      </c>
      <c r="N521" t="s">
        <v>1037</v>
      </c>
      <c r="O521" t="s">
        <v>1038</v>
      </c>
      <c r="R521" t="s">
        <v>36</v>
      </c>
      <c r="T521" t="s">
        <v>695</v>
      </c>
      <c r="U521" t="s">
        <v>39</v>
      </c>
      <c r="V521" t="s">
        <v>1043</v>
      </c>
    </row>
    <row r="522" spans="1:28" x14ac:dyDescent="0.2">
      <c r="A522">
        <v>49.488433329999999</v>
      </c>
      <c r="B522">
        <v>-115.0726361</v>
      </c>
      <c r="C522" t="s">
        <v>61</v>
      </c>
      <c r="D522" t="s">
        <v>1122</v>
      </c>
      <c r="E522">
        <v>2</v>
      </c>
      <c r="F522" t="s">
        <v>1123</v>
      </c>
      <c r="G522" t="str">
        <f t="shared" si="8"/>
        <v>FERNIE</v>
      </c>
      <c r="H522" t="s">
        <v>1034</v>
      </c>
      <c r="I522">
        <v>1101</v>
      </c>
      <c r="J522" t="s">
        <v>253</v>
      </c>
      <c r="L522" t="s">
        <v>1124</v>
      </c>
      <c r="M522" t="s">
        <v>1036</v>
      </c>
      <c r="N522" t="s">
        <v>1037</v>
      </c>
      <c r="O522" t="s">
        <v>1038</v>
      </c>
      <c r="R522" t="s">
        <v>36</v>
      </c>
      <c r="T522" t="s">
        <v>695</v>
      </c>
    </row>
    <row r="523" spans="1:28" x14ac:dyDescent="0.2">
      <c r="A523">
        <v>57.121441670000003</v>
      </c>
      <c r="B523">
        <v>-125.25284720000001</v>
      </c>
      <c r="C523" t="s">
        <v>449</v>
      </c>
      <c r="D523" t="s">
        <v>1125</v>
      </c>
      <c r="E523">
        <v>1</v>
      </c>
      <c r="F523" t="s">
        <v>1126</v>
      </c>
      <c r="G523" t="str">
        <f t="shared" si="8"/>
        <v>FINLAY RIVER ABOVE AKIE RIVER</v>
      </c>
      <c r="H523" t="s">
        <v>1034</v>
      </c>
      <c r="I523">
        <v>711</v>
      </c>
      <c r="J523" t="s">
        <v>253</v>
      </c>
      <c r="L523" t="s">
        <v>1127</v>
      </c>
      <c r="M523" t="s">
        <v>1036</v>
      </c>
      <c r="N523" t="s">
        <v>1037</v>
      </c>
      <c r="O523" t="s">
        <v>1038</v>
      </c>
      <c r="R523" t="s">
        <v>36</v>
      </c>
      <c r="T523" t="s">
        <v>255</v>
      </c>
      <c r="AB523" t="s">
        <v>1110</v>
      </c>
    </row>
    <row r="524" spans="1:28" x14ac:dyDescent="0.2">
      <c r="A524">
        <v>51.05991667</v>
      </c>
      <c r="B524">
        <v>-116.13711670000001</v>
      </c>
      <c r="C524" t="s">
        <v>61</v>
      </c>
      <c r="D524" t="s">
        <v>1128</v>
      </c>
      <c r="E524">
        <v>7</v>
      </c>
      <c r="F524" t="s">
        <v>1129</v>
      </c>
      <c r="G524" t="str">
        <f t="shared" si="8"/>
        <v>FLOE LAKE</v>
      </c>
      <c r="H524" t="s">
        <v>1034</v>
      </c>
      <c r="I524">
        <v>2090</v>
      </c>
      <c r="J524" t="s">
        <v>253</v>
      </c>
      <c r="L524">
        <v>1992</v>
      </c>
      <c r="M524" t="s">
        <v>1036</v>
      </c>
      <c r="N524" t="s">
        <v>1037</v>
      </c>
      <c r="O524" t="s">
        <v>1038</v>
      </c>
      <c r="R524" t="s">
        <v>36</v>
      </c>
      <c r="T524" t="s">
        <v>695</v>
      </c>
      <c r="U524" t="s">
        <v>39</v>
      </c>
      <c r="V524" t="s">
        <v>1043</v>
      </c>
    </row>
    <row r="525" spans="1:28" x14ac:dyDescent="0.2">
      <c r="A525">
        <v>52.053809999999999</v>
      </c>
      <c r="B525">
        <v>-118.58593999999999</v>
      </c>
      <c r="C525" t="s">
        <v>61</v>
      </c>
      <c r="D525" t="s">
        <v>1130</v>
      </c>
      <c r="E525">
        <v>1</v>
      </c>
      <c r="F525" t="s">
        <v>1131</v>
      </c>
      <c r="G525" t="str">
        <f t="shared" si="8"/>
        <v>FRED LAING LOWER</v>
      </c>
      <c r="H525" t="s">
        <v>1034</v>
      </c>
      <c r="I525">
        <v>577</v>
      </c>
      <c r="J525" t="s">
        <v>253</v>
      </c>
      <c r="L525">
        <v>2022</v>
      </c>
      <c r="M525" t="s">
        <v>1036</v>
      </c>
      <c r="N525" t="s">
        <v>1061</v>
      </c>
      <c r="O525" t="s">
        <v>1038</v>
      </c>
      <c r="R525" t="s">
        <v>36</v>
      </c>
      <c r="T525" t="s">
        <v>695</v>
      </c>
      <c r="U525" t="s">
        <v>39</v>
      </c>
      <c r="V525" t="s">
        <v>1043</v>
      </c>
    </row>
    <row r="526" spans="1:28" x14ac:dyDescent="0.2">
      <c r="A526">
        <v>49.703200000000002</v>
      </c>
      <c r="B526">
        <v>-126.10940555555599</v>
      </c>
      <c r="C526" t="s">
        <v>204</v>
      </c>
      <c r="D526" t="s">
        <v>1132</v>
      </c>
      <c r="E526">
        <v>1</v>
      </c>
      <c r="F526" t="s">
        <v>1133</v>
      </c>
      <c r="G526" t="str">
        <f t="shared" si="8"/>
        <v>GOLD RIVER BELOW UCONA RIVER 2</v>
      </c>
      <c r="H526" t="s">
        <v>1034</v>
      </c>
      <c r="I526">
        <v>10</v>
      </c>
      <c r="J526" t="s">
        <v>253</v>
      </c>
      <c r="L526">
        <v>2022</v>
      </c>
      <c r="M526" t="s">
        <v>1036</v>
      </c>
      <c r="N526" t="s">
        <v>1037</v>
      </c>
      <c r="O526" t="s">
        <v>1038</v>
      </c>
      <c r="R526" t="s">
        <v>36</v>
      </c>
      <c r="T526" t="s">
        <v>695</v>
      </c>
    </row>
    <row r="527" spans="1:28" x14ac:dyDescent="0.2">
      <c r="A527">
        <v>49.44655556</v>
      </c>
      <c r="B527">
        <v>-122.4773611</v>
      </c>
      <c r="C527" t="s">
        <v>204</v>
      </c>
      <c r="D527" t="s">
        <v>1134</v>
      </c>
      <c r="E527">
        <v>4</v>
      </c>
      <c r="F527" t="s">
        <v>1135</v>
      </c>
      <c r="G527" t="str">
        <f t="shared" si="8"/>
        <v>GOLD CREEK</v>
      </c>
      <c r="H527" t="s">
        <v>1034</v>
      </c>
      <c r="I527">
        <v>794</v>
      </c>
      <c r="J527" t="s">
        <v>253</v>
      </c>
      <c r="L527" t="s">
        <v>1050</v>
      </c>
      <c r="M527" t="s">
        <v>1036</v>
      </c>
      <c r="N527" t="s">
        <v>1037</v>
      </c>
      <c r="O527" t="s">
        <v>1038</v>
      </c>
      <c r="R527" t="s">
        <v>36</v>
      </c>
      <c r="T527" t="s">
        <v>695</v>
      </c>
    </row>
    <row r="528" spans="1:28" x14ac:dyDescent="0.2">
      <c r="A528">
        <v>51.669195000000002</v>
      </c>
      <c r="B528">
        <v>-118.59605500000001</v>
      </c>
      <c r="C528" t="s">
        <v>61</v>
      </c>
      <c r="D528" t="s">
        <v>1136</v>
      </c>
      <c r="E528">
        <v>1</v>
      </c>
      <c r="F528" t="s">
        <v>1137</v>
      </c>
      <c r="G528" t="str">
        <f t="shared" si="8"/>
        <v>GOLDSTREAM RIVER BELOW OLD CAMP CREEK 2</v>
      </c>
      <c r="H528" t="s">
        <v>1034</v>
      </c>
      <c r="I528">
        <v>617</v>
      </c>
      <c r="J528" t="s">
        <v>253</v>
      </c>
      <c r="L528">
        <v>2021</v>
      </c>
      <c r="M528" t="s">
        <v>1036</v>
      </c>
      <c r="N528" t="s">
        <v>1037</v>
      </c>
      <c r="O528" t="s">
        <v>1038</v>
      </c>
      <c r="R528" t="s">
        <v>36</v>
      </c>
      <c r="T528" t="s">
        <v>695</v>
      </c>
    </row>
    <row r="529" spans="1:28" x14ac:dyDescent="0.2">
      <c r="A529">
        <v>50.795583329999999</v>
      </c>
      <c r="B529">
        <v>-122.92461110000001</v>
      </c>
      <c r="C529" t="s">
        <v>86</v>
      </c>
      <c r="D529" t="s">
        <v>1138</v>
      </c>
      <c r="E529">
        <v>7</v>
      </c>
      <c r="F529" t="s">
        <v>1139</v>
      </c>
      <c r="G529" t="str">
        <f t="shared" si="8"/>
        <v>GREEN MOUNTAIN</v>
      </c>
      <c r="H529" t="s">
        <v>1034</v>
      </c>
      <c r="I529">
        <v>1780</v>
      </c>
      <c r="J529" t="s">
        <v>253</v>
      </c>
      <c r="L529">
        <v>1993</v>
      </c>
      <c r="M529" t="s">
        <v>1036</v>
      </c>
      <c r="N529" t="s">
        <v>1037</v>
      </c>
      <c r="O529" t="s">
        <v>1038</v>
      </c>
      <c r="R529" t="s">
        <v>36</v>
      </c>
      <c r="T529" t="s">
        <v>695</v>
      </c>
      <c r="V529" t="s">
        <v>1043</v>
      </c>
    </row>
    <row r="530" spans="1:28" x14ac:dyDescent="0.2">
      <c r="A530">
        <v>51.270722220000003</v>
      </c>
      <c r="B530">
        <v>-117.5110083</v>
      </c>
      <c r="C530" t="s">
        <v>61</v>
      </c>
      <c r="D530" t="s">
        <v>1140</v>
      </c>
      <c r="E530">
        <v>3</v>
      </c>
      <c r="F530" t="s">
        <v>1141</v>
      </c>
      <c r="G530" t="str">
        <f t="shared" si="8"/>
        <v>GLACIER NEAR ROGER'S PASS</v>
      </c>
      <c r="H530" t="s">
        <v>1034</v>
      </c>
      <c r="I530">
        <v>1182</v>
      </c>
      <c r="J530" t="s">
        <v>253</v>
      </c>
      <c r="L530" t="s">
        <v>1142</v>
      </c>
      <c r="M530" t="s">
        <v>1036</v>
      </c>
      <c r="N530" t="s">
        <v>1037</v>
      </c>
      <c r="O530" t="s">
        <v>1038</v>
      </c>
      <c r="R530" t="s">
        <v>36</v>
      </c>
      <c r="T530" t="s">
        <v>695</v>
      </c>
      <c r="V530" t="s">
        <v>1043</v>
      </c>
    </row>
    <row r="531" spans="1:28" x14ac:dyDescent="0.2">
      <c r="A531">
        <v>56.251294440000002</v>
      </c>
      <c r="B531">
        <v>-121.62486939999999</v>
      </c>
      <c r="C531" t="s">
        <v>46</v>
      </c>
      <c r="D531" t="s">
        <v>1143</v>
      </c>
      <c r="E531">
        <v>1</v>
      </c>
      <c r="F531" t="s">
        <v>1144</v>
      </c>
      <c r="G531" t="str">
        <f t="shared" si="8"/>
        <v>HALFWAY RIVER NEAR FARRELL CREEK</v>
      </c>
      <c r="H531" t="s">
        <v>1034</v>
      </c>
      <c r="I531">
        <v>480</v>
      </c>
      <c r="J531" t="s">
        <v>253</v>
      </c>
      <c r="L531" t="s">
        <v>1035</v>
      </c>
      <c r="M531" t="s">
        <v>1036</v>
      </c>
      <c r="N531" t="s">
        <v>1037</v>
      </c>
      <c r="O531" t="s">
        <v>1038</v>
      </c>
      <c r="R531" t="s">
        <v>36</v>
      </c>
      <c r="T531" t="s">
        <v>255</v>
      </c>
      <c r="AB531" t="s">
        <v>1039</v>
      </c>
    </row>
    <row r="532" spans="1:28" x14ac:dyDescent="0.2">
      <c r="A532">
        <v>56.508336110000002</v>
      </c>
      <c r="B532">
        <v>-122.2410972</v>
      </c>
      <c r="C532" t="s">
        <v>46</v>
      </c>
      <c r="D532" t="s">
        <v>1145</v>
      </c>
      <c r="E532">
        <v>1</v>
      </c>
      <c r="F532" t="s">
        <v>1146</v>
      </c>
      <c r="G532" t="str">
        <f t="shared" si="8"/>
        <v>HALFWAY RIVER ABOVE GRAHAM RIVER</v>
      </c>
      <c r="H532" t="s">
        <v>1034</v>
      </c>
      <c r="I532">
        <v>657</v>
      </c>
      <c r="J532" t="s">
        <v>253</v>
      </c>
      <c r="L532" t="s">
        <v>1147</v>
      </c>
      <c r="M532" t="s">
        <v>1036</v>
      </c>
      <c r="N532" t="s">
        <v>1037</v>
      </c>
      <c r="O532" t="s">
        <v>1038</v>
      </c>
      <c r="R532" t="s">
        <v>36</v>
      </c>
      <c r="T532" t="s">
        <v>255</v>
      </c>
      <c r="AB532" t="s">
        <v>1039</v>
      </c>
    </row>
    <row r="533" spans="1:28" x14ac:dyDescent="0.2">
      <c r="A533">
        <v>56.734766669999999</v>
      </c>
      <c r="B533">
        <v>-123.60599999999999</v>
      </c>
      <c r="C533" t="s">
        <v>272</v>
      </c>
      <c r="D533" t="s">
        <v>1148</v>
      </c>
      <c r="E533">
        <v>7</v>
      </c>
      <c r="F533" t="s">
        <v>1149</v>
      </c>
      <c r="G533" t="str">
        <f t="shared" si="8"/>
        <v>HORN CREEK</v>
      </c>
      <c r="H533" t="s">
        <v>1034</v>
      </c>
      <c r="I533">
        <v>1450</v>
      </c>
      <c r="J533" t="s">
        <v>253</v>
      </c>
      <c r="L533" t="s">
        <v>1042</v>
      </c>
      <c r="M533" t="s">
        <v>1036</v>
      </c>
      <c r="N533" t="s">
        <v>1037</v>
      </c>
      <c r="O533" t="s">
        <v>1038</v>
      </c>
      <c r="R533" t="s">
        <v>36</v>
      </c>
      <c r="T533" t="s">
        <v>695</v>
      </c>
    </row>
    <row r="534" spans="1:28" x14ac:dyDescent="0.2">
      <c r="A534">
        <v>50.731099999999998</v>
      </c>
      <c r="B534">
        <v>-122.94224199999999</v>
      </c>
      <c r="C534" t="s">
        <v>86</v>
      </c>
      <c r="D534" t="s">
        <v>1150</v>
      </c>
      <c r="E534">
        <v>3</v>
      </c>
      <c r="F534" t="s">
        <v>1151</v>
      </c>
      <c r="G534" t="str">
        <f t="shared" si="8"/>
        <v>HURLEY RIVER BELOW LONE GOAT CREEK 2</v>
      </c>
      <c r="H534" t="s">
        <v>1034</v>
      </c>
      <c r="I534">
        <v>1012</v>
      </c>
      <c r="J534" t="s">
        <v>253</v>
      </c>
      <c r="L534">
        <v>2021</v>
      </c>
      <c r="M534" t="s">
        <v>1036</v>
      </c>
      <c r="N534" t="s">
        <v>1037</v>
      </c>
      <c r="O534" t="s">
        <v>1038</v>
      </c>
      <c r="R534" t="s">
        <v>36</v>
      </c>
      <c r="T534" t="s">
        <v>695</v>
      </c>
    </row>
    <row r="535" spans="1:28" x14ac:dyDescent="0.2">
      <c r="A535">
        <v>56.727355559999999</v>
      </c>
      <c r="B535">
        <v>-125.1116083</v>
      </c>
      <c r="C535" t="s">
        <v>449</v>
      </c>
      <c r="D535" t="s">
        <v>1152</v>
      </c>
      <c r="E535">
        <v>1</v>
      </c>
      <c r="F535" t="s">
        <v>1153</v>
      </c>
      <c r="G535" t="str">
        <f t="shared" si="8"/>
        <v>INGENIKA RIVER ABOVE SWANNELL RIVER</v>
      </c>
      <c r="H535" t="s">
        <v>1034</v>
      </c>
      <c r="I535">
        <v>711</v>
      </c>
      <c r="J535" t="s">
        <v>253</v>
      </c>
      <c r="L535" t="s">
        <v>1147</v>
      </c>
      <c r="M535" t="s">
        <v>1036</v>
      </c>
      <c r="N535" t="s">
        <v>1037</v>
      </c>
      <c r="O535" t="s">
        <v>1038</v>
      </c>
      <c r="R535" t="s">
        <v>36</v>
      </c>
      <c r="T535" t="s">
        <v>255</v>
      </c>
      <c r="AB535" t="s">
        <v>1110</v>
      </c>
    </row>
    <row r="536" spans="1:28" x14ac:dyDescent="0.2">
      <c r="A536">
        <v>56.605415000000001</v>
      </c>
      <c r="B536">
        <v>-126.19401000000001</v>
      </c>
      <c r="C536" t="s">
        <v>449</v>
      </c>
      <c r="D536" t="s">
        <v>1154</v>
      </c>
      <c r="E536">
        <v>6</v>
      </c>
      <c r="F536" t="s">
        <v>1155</v>
      </c>
      <c r="G536" t="str">
        <f t="shared" si="8"/>
        <v>JOHANSON LAKE</v>
      </c>
      <c r="H536" t="s">
        <v>1034</v>
      </c>
      <c r="I536">
        <v>1467</v>
      </c>
      <c r="J536" t="s">
        <v>253</v>
      </c>
      <c r="L536">
        <v>2022</v>
      </c>
      <c r="M536" t="s">
        <v>1036</v>
      </c>
      <c r="N536" t="s">
        <v>1061</v>
      </c>
      <c r="O536" t="s">
        <v>1038</v>
      </c>
      <c r="R536" t="s">
        <v>36</v>
      </c>
      <c r="T536" t="s">
        <v>695</v>
      </c>
      <c r="U536" t="s">
        <v>39</v>
      </c>
      <c r="V536" t="s">
        <v>1043</v>
      </c>
    </row>
    <row r="537" spans="1:28" x14ac:dyDescent="0.2">
      <c r="A537">
        <v>50.043333330000003</v>
      </c>
      <c r="B537">
        <v>-125.30861109999999</v>
      </c>
      <c r="C537" t="s">
        <v>41</v>
      </c>
      <c r="D537" t="s">
        <v>1156</v>
      </c>
      <c r="E537">
        <v>1</v>
      </c>
      <c r="F537" t="s">
        <v>1157</v>
      </c>
      <c r="G537" t="str">
        <f t="shared" si="8"/>
        <v>JOHN HART SUBSTATION</v>
      </c>
      <c r="H537" t="s">
        <v>1034</v>
      </c>
      <c r="I537">
        <v>15</v>
      </c>
      <c r="J537" t="s">
        <v>253</v>
      </c>
      <c r="L537">
        <v>1993</v>
      </c>
      <c r="M537" t="s">
        <v>1036</v>
      </c>
      <c r="N537" t="s">
        <v>1037</v>
      </c>
      <c r="O537" t="s">
        <v>1038</v>
      </c>
      <c r="R537" t="s">
        <v>36</v>
      </c>
      <c r="T537" t="s">
        <v>695</v>
      </c>
    </row>
    <row r="538" spans="1:28" x14ac:dyDescent="0.2">
      <c r="A538">
        <v>49.903749999999995</v>
      </c>
      <c r="B538">
        <v>-116.92827777777778</v>
      </c>
      <c r="C538" t="s">
        <v>61</v>
      </c>
      <c r="D538" t="s">
        <v>1158</v>
      </c>
      <c r="E538">
        <v>1</v>
      </c>
      <c r="F538" t="s">
        <v>1159</v>
      </c>
      <c r="G538" t="str">
        <f t="shared" si="8"/>
        <v>KASLO AIRPORT</v>
      </c>
      <c r="H538" t="s">
        <v>1034</v>
      </c>
      <c r="I538">
        <v>717</v>
      </c>
      <c r="J538" t="s">
        <v>253</v>
      </c>
      <c r="L538" t="s">
        <v>1064</v>
      </c>
      <c r="M538" t="s">
        <v>1036</v>
      </c>
      <c r="N538" t="s">
        <v>1037</v>
      </c>
      <c r="O538" t="s">
        <v>1038</v>
      </c>
      <c r="R538" t="s">
        <v>36</v>
      </c>
      <c r="T538" t="s">
        <v>695</v>
      </c>
    </row>
    <row r="539" spans="1:28" x14ac:dyDescent="0.2">
      <c r="A539">
        <v>56.02119167</v>
      </c>
      <c r="B539">
        <v>-126.2975972</v>
      </c>
      <c r="C539" t="s">
        <v>272</v>
      </c>
      <c r="D539" t="s">
        <v>1160</v>
      </c>
      <c r="E539">
        <v>6</v>
      </c>
      <c r="F539" t="s">
        <v>1161</v>
      </c>
      <c r="G539" t="str">
        <f t="shared" si="8"/>
        <v>KAZA LAKE</v>
      </c>
      <c r="H539" t="s">
        <v>1034</v>
      </c>
      <c r="I539">
        <v>1257</v>
      </c>
      <c r="J539" t="s">
        <v>253</v>
      </c>
      <c r="L539" t="s">
        <v>1124</v>
      </c>
      <c r="M539" t="s">
        <v>1036</v>
      </c>
      <c r="N539" t="s">
        <v>1037</v>
      </c>
      <c r="O539" t="s">
        <v>1038</v>
      </c>
      <c r="R539" t="s">
        <v>36</v>
      </c>
      <c r="U539" t="s">
        <v>39</v>
      </c>
      <c r="V539" t="s">
        <v>1101</v>
      </c>
    </row>
    <row r="540" spans="1:28" x14ac:dyDescent="0.2">
      <c r="A540">
        <v>51.411288890000002</v>
      </c>
      <c r="B540">
        <v>-118.3606556</v>
      </c>
      <c r="C540" t="s">
        <v>61</v>
      </c>
      <c r="D540" t="s">
        <v>1162</v>
      </c>
      <c r="E540">
        <v>6</v>
      </c>
      <c r="F540" t="s">
        <v>1163</v>
      </c>
      <c r="G540" t="str">
        <f t="shared" si="8"/>
        <v>KEYSTONE CREEK</v>
      </c>
      <c r="H540" t="s">
        <v>1034</v>
      </c>
      <c r="I540">
        <v>1840</v>
      </c>
      <c r="J540" t="s">
        <v>253</v>
      </c>
      <c r="L540" t="s">
        <v>1164</v>
      </c>
      <c r="M540" t="s">
        <v>1036</v>
      </c>
      <c r="N540" t="s">
        <v>1037</v>
      </c>
      <c r="O540" t="s">
        <v>1038</v>
      </c>
      <c r="R540" t="s">
        <v>36</v>
      </c>
      <c r="T540" t="s">
        <v>695</v>
      </c>
      <c r="V540" t="s">
        <v>1043</v>
      </c>
    </row>
    <row r="541" spans="1:28" x14ac:dyDescent="0.2">
      <c r="A541">
        <v>57.623333330000001</v>
      </c>
      <c r="B541">
        <v>-125.0731667</v>
      </c>
      <c r="C541" t="s">
        <v>449</v>
      </c>
      <c r="D541" t="s">
        <v>1165</v>
      </c>
      <c r="E541">
        <v>6</v>
      </c>
      <c r="F541" t="s">
        <v>1166</v>
      </c>
      <c r="G541" t="str">
        <f t="shared" si="8"/>
        <v>KWADACHA NORTH</v>
      </c>
      <c r="H541" t="s">
        <v>1034</v>
      </c>
      <c r="I541">
        <v>1554</v>
      </c>
      <c r="J541" t="s">
        <v>253</v>
      </c>
      <c r="L541" t="s">
        <v>1042</v>
      </c>
      <c r="M541" t="s">
        <v>1036</v>
      </c>
      <c r="N541" t="s">
        <v>1037</v>
      </c>
      <c r="O541" t="s">
        <v>1038</v>
      </c>
      <c r="R541" t="s">
        <v>36</v>
      </c>
      <c r="T541" t="s">
        <v>695</v>
      </c>
      <c r="U541" t="s">
        <v>39</v>
      </c>
      <c r="V541" t="s">
        <v>1101</v>
      </c>
    </row>
    <row r="542" spans="1:28" x14ac:dyDescent="0.2">
      <c r="A542">
        <v>49.581909000000003</v>
      </c>
      <c r="B542">
        <v>-122.314283</v>
      </c>
      <c r="C542" t="s">
        <v>204</v>
      </c>
      <c r="D542" t="s">
        <v>1167</v>
      </c>
      <c r="E542">
        <v>6</v>
      </c>
      <c r="F542" t="s">
        <v>1168</v>
      </c>
      <c r="G542" t="str">
        <f t="shared" si="8"/>
        <v>LAMONT UPPER CREEK</v>
      </c>
      <c r="H542" t="s">
        <v>1034</v>
      </c>
      <c r="I542">
        <v>1208</v>
      </c>
      <c r="J542" t="s">
        <v>253</v>
      </c>
      <c r="L542" t="s">
        <v>1077</v>
      </c>
      <c r="M542" t="s">
        <v>1036</v>
      </c>
      <c r="N542" t="s">
        <v>1037</v>
      </c>
      <c r="O542" t="s">
        <v>1038</v>
      </c>
      <c r="R542" t="s">
        <v>36</v>
      </c>
      <c r="T542" t="s">
        <v>695</v>
      </c>
      <c r="V542" t="s">
        <v>1043</v>
      </c>
    </row>
    <row r="543" spans="1:28" x14ac:dyDescent="0.2">
      <c r="A543">
        <v>56.049970000000002</v>
      </c>
      <c r="B543">
        <v>-123.74818999999999</v>
      </c>
      <c r="C543" t="s">
        <v>272</v>
      </c>
      <c r="D543" t="s">
        <v>1169</v>
      </c>
      <c r="E543">
        <v>1</v>
      </c>
      <c r="F543" t="s">
        <v>1170</v>
      </c>
      <c r="G543" t="str">
        <f t="shared" si="8"/>
        <v>WILLISTON LAKE AT LOST CABIN CREEK</v>
      </c>
      <c r="H543" t="s">
        <v>1034</v>
      </c>
      <c r="I543">
        <v>712</v>
      </c>
      <c r="J543" t="s">
        <v>253</v>
      </c>
      <c r="L543" t="s">
        <v>1171</v>
      </c>
      <c r="M543" t="s">
        <v>1036</v>
      </c>
      <c r="N543" t="s">
        <v>1037</v>
      </c>
      <c r="O543" t="s">
        <v>1038</v>
      </c>
      <c r="R543" t="s">
        <v>36</v>
      </c>
      <c r="T543" t="s">
        <v>255</v>
      </c>
      <c r="AB543" t="s">
        <v>1058</v>
      </c>
    </row>
    <row r="544" spans="1:28" x14ac:dyDescent="0.2">
      <c r="A544">
        <v>56.981499999999997</v>
      </c>
      <c r="B544">
        <v>-123.4041667</v>
      </c>
      <c r="C544" t="s">
        <v>449</v>
      </c>
      <c r="D544" t="s">
        <v>1172</v>
      </c>
      <c r="E544">
        <v>4</v>
      </c>
      <c r="F544" t="s">
        <v>1173</v>
      </c>
      <c r="G544" t="str">
        <f t="shared" si="8"/>
        <v>MCQUE TERRACE</v>
      </c>
      <c r="H544" t="s">
        <v>1034</v>
      </c>
      <c r="I544">
        <v>1200</v>
      </c>
      <c r="J544" t="s">
        <v>253</v>
      </c>
      <c r="L544" t="s">
        <v>1042</v>
      </c>
      <c r="M544" t="s">
        <v>1036</v>
      </c>
      <c r="N544" t="s">
        <v>1037</v>
      </c>
      <c r="O544" t="s">
        <v>1038</v>
      </c>
      <c r="R544" t="s">
        <v>36</v>
      </c>
      <c r="T544" t="s">
        <v>695</v>
      </c>
      <c r="V544" t="s">
        <v>1101</v>
      </c>
    </row>
    <row r="545" spans="1:28" x14ac:dyDescent="0.2">
      <c r="A545">
        <v>50.762555560000003</v>
      </c>
      <c r="B545">
        <v>-122.20769439999999</v>
      </c>
      <c r="C545" t="s">
        <v>86</v>
      </c>
      <c r="D545" t="s">
        <v>1174</v>
      </c>
      <c r="E545">
        <v>8</v>
      </c>
      <c r="F545" t="s">
        <v>1175</v>
      </c>
      <c r="G545" t="str">
        <f t="shared" si="8"/>
        <v>MISSION RIDGE</v>
      </c>
      <c r="H545" t="s">
        <v>1034</v>
      </c>
      <c r="I545">
        <v>1850</v>
      </c>
      <c r="J545" t="s">
        <v>253</v>
      </c>
      <c r="L545" t="s">
        <v>1115</v>
      </c>
      <c r="M545" t="s">
        <v>1036</v>
      </c>
      <c r="N545" t="s">
        <v>1037</v>
      </c>
      <c r="O545" t="s">
        <v>1038</v>
      </c>
      <c r="R545" t="s">
        <v>36</v>
      </c>
      <c r="T545" t="s">
        <v>695</v>
      </c>
      <c r="V545" t="s">
        <v>1043</v>
      </c>
    </row>
    <row r="546" spans="1:28" x14ac:dyDescent="0.2">
      <c r="A546">
        <v>50.698555555555551</v>
      </c>
      <c r="B546">
        <v>-122.62537499999999</v>
      </c>
      <c r="C546" t="s">
        <v>86</v>
      </c>
      <c r="D546" t="s">
        <v>1176</v>
      </c>
      <c r="E546">
        <v>7</v>
      </c>
      <c r="F546" t="s">
        <v>1177</v>
      </c>
      <c r="G546" t="str">
        <f t="shared" si="8"/>
        <v>MCGILLIVRAY PASS</v>
      </c>
      <c r="H546" t="s">
        <v>1034</v>
      </c>
      <c r="I546">
        <v>1718</v>
      </c>
      <c r="J546" t="s">
        <v>253</v>
      </c>
      <c r="L546" t="s">
        <v>1064</v>
      </c>
      <c r="M546" t="s">
        <v>1036</v>
      </c>
      <c r="N546" t="s">
        <v>1037</v>
      </c>
      <c r="O546" t="s">
        <v>1038</v>
      </c>
      <c r="R546" t="s">
        <v>36</v>
      </c>
      <c r="T546" t="s">
        <v>695</v>
      </c>
      <c r="V546" t="s">
        <v>1043</v>
      </c>
      <c r="W546" t="s">
        <v>40</v>
      </c>
    </row>
    <row r="547" spans="1:28" x14ac:dyDescent="0.2">
      <c r="A547">
        <v>54.526666666666664</v>
      </c>
      <c r="B547">
        <v>-121.80416666666666</v>
      </c>
      <c r="C547" t="s">
        <v>272</v>
      </c>
      <c r="D547" t="s">
        <v>1178</v>
      </c>
      <c r="E547">
        <v>7</v>
      </c>
      <c r="F547" t="s">
        <v>1179</v>
      </c>
      <c r="G547" t="str">
        <f t="shared" si="8"/>
        <v>MOUNT SHEBA</v>
      </c>
      <c r="H547" t="s">
        <v>1034</v>
      </c>
      <c r="I547">
        <v>1484</v>
      </c>
      <c r="J547" t="s">
        <v>253</v>
      </c>
      <c r="L547" t="s">
        <v>1071</v>
      </c>
      <c r="M547" t="s">
        <v>1036</v>
      </c>
      <c r="N547" t="s">
        <v>1037</v>
      </c>
      <c r="O547" t="s">
        <v>1038</v>
      </c>
      <c r="R547" t="s">
        <v>36</v>
      </c>
      <c r="T547" t="s">
        <v>695</v>
      </c>
      <c r="U547" t="s">
        <v>39</v>
      </c>
      <c r="V547" t="s">
        <v>1043</v>
      </c>
    </row>
    <row r="548" spans="1:28" x14ac:dyDescent="0.2">
      <c r="A548">
        <v>56.093066669999999</v>
      </c>
      <c r="B548">
        <v>-121.3471528</v>
      </c>
      <c r="C548" t="s">
        <v>46</v>
      </c>
      <c r="D548" t="s">
        <v>1180</v>
      </c>
      <c r="E548">
        <v>1</v>
      </c>
      <c r="F548" t="s">
        <v>1181</v>
      </c>
      <c r="G548" t="str">
        <f t="shared" si="8"/>
        <v>MOBERLY RIVER NEAR FORT ST. JOHN</v>
      </c>
      <c r="H548" t="s">
        <v>1034</v>
      </c>
      <c r="I548">
        <v>600</v>
      </c>
      <c r="J548" t="s">
        <v>253</v>
      </c>
      <c r="L548" t="s">
        <v>1042</v>
      </c>
      <c r="M548" t="s">
        <v>1036</v>
      </c>
      <c r="N548" t="s">
        <v>1037</v>
      </c>
      <c r="O548" t="s">
        <v>1038</v>
      </c>
      <c r="R548" t="s">
        <v>36</v>
      </c>
      <c r="T548" t="s">
        <v>695</v>
      </c>
      <c r="AB548" t="s">
        <v>1039</v>
      </c>
    </row>
    <row r="549" spans="1:28" x14ac:dyDescent="0.2">
      <c r="A549">
        <v>54.725280555555557</v>
      </c>
      <c r="B549">
        <v>-121.23169722222222</v>
      </c>
      <c r="C549" t="s">
        <v>272</v>
      </c>
      <c r="D549" t="s">
        <v>1182</v>
      </c>
      <c r="E549">
        <v>7</v>
      </c>
      <c r="F549" t="s">
        <v>1183</v>
      </c>
      <c r="G549" t="str">
        <f t="shared" si="8"/>
        <v>MONKMAN CREEK</v>
      </c>
      <c r="H549" t="s">
        <v>1034</v>
      </c>
      <c r="I549">
        <v>1570</v>
      </c>
      <c r="J549" t="s">
        <v>253</v>
      </c>
      <c r="L549" t="s">
        <v>1064</v>
      </c>
      <c r="M549" t="s">
        <v>1036</v>
      </c>
      <c r="N549" t="s">
        <v>1037</v>
      </c>
      <c r="O549" t="s">
        <v>1038</v>
      </c>
      <c r="R549" t="s">
        <v>36</v>
      </c>
      <c r="T549" t="s">
        <v>695</v>
      </c>
      <c r="V549" t="s">
        <v>1043</v>
      </c>
      <c r="W549" t="s">
        <v>40</v>
      </c>
    </row>
    <row r="550" spans="1:28" x14ac:dyDescent="0.2">
      <c r="A550">
        <v>52.220555560000001</v>
      </c>
      <c r="B550">
        <v>-118.22583330000001</v>
      </c>
      <c r="C550" t="s">
        <v>61</v>
      </c>
      <c r="D550" t="s">
        <v>1184</v>
      </c>
      <c r="E550">
        <v>7</v>
      </c>
      <c r="F550" t="s">
        <v>1185</v>
      </c>
      <c r="G550" t="str">
        <f t="shared" si="8"/>
        <v>MOLSON CREEK</v>
      </c>
      <c r="H550" t="s">
        <v>1034</v>
      </c>
      <c r="I550">
        <v>1935</v>
      </c>
      <c r="J550" t="s">
        <v>253</v>
      </c>
      <c r="L550">
        <v>1984</v>
      </c>
      <c r="M550" t="s">
        <v>1036</v>
      </c>
      <c r="N550" t="s">
        <v>1037</v>
      </c>
      <c r="O550" t="s">
        <v>1038</v>
      </c>
      <c r="R550" t="s">
        <v>36</v>
      </c>
      <c r="T550" t="s">
        <v>695</v>
      </c>
      <c r="V550" t="s">
        <v>1043</v>
      </c>
    </row>
    <row r="551" spans="1:28" x14ac:dyDescent="0.2">
      <c r="A551">
        <v>49.44722222</v>
      </c>
      <c r="B551">
        <v>-114.97499999999999</v>
      </c>
      <c r="C551" t="s">
        <v>61</v>
      </c>
      <c r="D551" t="s">
        <v>1186</v>
      </c>
      <c r="E551">
        <v>6</v>
      </c>
      <c r="F551" t="s">
        <v>1187</v>
      </c>
      <c r="G551" t="str">
        <f t="shared" si="8"/>
        <v>MORRISSEY RIDGE</v>
      </c>
      <c r="H551" t="s">
        <v>1034</v>
      </c>
      <c r="I551">
        <v>1860</v>
      </c>
      <c r="J551" t="s">
        <v>253</v>
      </c>
      <c r="L551" t="s">
        <v>1050</v>
      </c>
      <c r="M551" t="s">
        <v>1036</v>
      </c>
      <c r="N551" t="s">
        <v>1037</v>
      </c>
      <c r="O551" t="s">
        <v>1038</v>
      </c>
      <c r="R551" t="s">
        <v>36</v>
      </c>
      <c r="T551" t="s">
        <v>695</v>
      </c>
      <c r="V551" t="s">
        <v>1043</v>
      </c>
    </row>
    <row r="552" spans="1:28" x14ac:dyDescent="0.2">
      <c r="A552">
        <v>49.252166670000001</v>
      </c>
      <c r="B552">
        <v>-115.7673333</v>
      </c>
      <c r="C552" t="s">
        <v>61</v>
      </c>
      <c r="D552" t="s">
        <v>1188</v>
      </c>
      <c r="E552">
        <v>7</v>
      </c>
      <c r="F552" t="s">
        <v>1189</v>
      </c>
      <c r="G552" t="str">
        <f t="shared" si="8"/>
        <v>MOYIE MOUNTAIN</v>
      </c>
      <c r="H552" t="s">
        <v>1034</v>
      </c>
      <c r="I552">
        <v>1930</v>
      </c>
      <c r="J552" t="s">
        <v>253</v>
      </c>
      <c r="L552" t="s">
        <v>1190</v>
      </c>
      <c r="M552" t="s">
        <v>1036</v>
      </c>
      <c r="N552" t="s">
        <v>1037</v>
      </c>
      <c r="O552" t="s">
        <v>1038</v>
      </c>
      <c r="R552" t="s">
        <v>36</v>
      </c>
      <c r="T552" t="s">
        <v>695</v>
      </c>
      <c r="U552" t="s">
        <v>39</v>
      </c>
      <c r="V552" t="s">
        <v>1043</v>
      </c>
    </row>
    <row r="553" spans="1:28" x14ac:dyDescent="0.2">
      <c r="A553">
        <v>56.781388890000002</v>
      </c>
      <c r="B553">
        <v>-123.1063889</v>
      </c>
      <c r="C553" t="s">
        <v>272</v>
      </c>
      <c r="D553" t="s">
        <v>1191</v>
      </c>
      <c r="E553">
        <v>5</v>
      </c>
      <c r="F553" t="s">
        <v>1192</v>
      </c>
      <c r="G553" t="str">
        <f t="shared" si="8"/>
        <v>MUSKWA-KECHIKA</v>
      </c>
      <c r="H553" t="s">
        <v>1034</v>
      </c>
      <c r="I553">
        <v>1196</v>
      </c>
      <c r="J553" t="s">
        <v>253</v>
      </c>
      <c r="L553" t="s">
        <v>1164</v>
      </c>
      <c r="M553" t="s">
        <v>1036</v>
      </c>
      <c r="N553" t="s">
        <v>1037</v>
      </c>
      <c r="O553" t="s">
        <v>1038</v>
      </c>
      <c r="R553" t="s">
        <v>36</v>
      </c>
      <c r="T553" t="s">
        <v>255</v>
      </c>
      <c r="U553" t="s">
        <v>39</v>
      </c>
      <c r="V553" t="s">
        <v>1101</v>
      </c>
    </row>
    <row r="554" spans="1:28" x14ac:dyDescent="0.2">
      <c r="A554">
        <v>51.036341669999999</v>
      </c>
      <c r="B554">
        <v>-118.15160280000001</v>
      </c>
      <c r="C554" t="s">
        <v>61</v>
      </c>
      <c r="D554" t="s">
        <v>1193</v>
      </c>
      <c r="E554">
        <v>6</v>
      </c>
      <c r="F554" t="s">
        <v>1194</v>
      </c>
      <c r="G554" t="str">
        <f t="shared" si="8"/>
        <v>MOUNT REVELSTOKE</v>
      </c>
      <c r="H554" t="s">
        <v>1034</v>
      </c>
      <c r="I554">
        <v>1850</v>
      </c>
      <c r="J554" t="s">
        <v>253</v>
      </c>
      <c r="L554">
        <v>1993</v>
      </c>
      <c r="M554" t="s">
        <v>1036</v>
      </c>
      <c r="N554" t="s">
        <v>1037</v>
      </c>
      <c r="O554" t="s">
        <v>1038</v>
      </c>
      <c r="R554" t="s">
        <v>36</v>
      </c>
      <c r="T554" t="s">
        <v>695</v>
      </c>
      <c r="V554" t="s">
        <v>1043</v>
      </c>
    </row>
    <row r="555" spans="1:28" x14ac:dyDescent="0.2">
      <c r="A555">
        <v>55.434047219999997</v>
      </c>
      <c r="B555">
        <v>-123.62123889999999</v>
      </c>
      <c r="C555" t="s">
        <v>272</v>
      </c>
      <c r="D555" t="s">
        <v>1195</v>
      </c>
      <c r="E555">
        <v>1</v>
      </c>
      <c r="F555" t="s">
        <v>1196</v>
      </c>
      <c r="G555" t="str">
        <f t="shared" si="8"/>
        <v>NATION RIVER NEAR THE MOUTH</v>
      </c>
      <c r="H555" t="s">
        <v>1034</v>
      </c>
      <c r="I555">
        <v>725</v>
      </c>
      <c r="J555" t="s">
        <v>253</v>
      </c>
      <c r="L555" t="s">
        <v>1035</v>
      </c>
      <c r="M555" t="s">
        <v>1036</v>
      </c>
      <c r="N555" t="s">
        <v>1037</v>
      </c>
      <c r="O555" t="s">
        <v>1038</v>
      </c>
      <c r="R555" t="s">
        <v>36</v>
      </c>
      <c r="T555" t="s">
        <v>255</v>
      </c>
      <c r="AB555" t="s">
        <v>1039</v>
      </c>
    </row>
    <row r="556" spans="1:28" x14ac:dyDescent="0.2">
      <c r="A556">
        <v>49.996656999999999</v>
      </c>
      <c r="B556">
        <v>-117.358372</v>
      </c>
      <c r="C556" t="s">
        <v>61</v>
      </c>
      <c r="D556" t="s">
        <v>1197</v>
      </c>
      <c r="E556">
        <v>1</v>
      </c>
      <c r="F556" t="s">
        <v>1198</v>
      </c>
      <c r="G556" t="str">
        <f t="shared" si="8"/>
        <v>NEW DENVER EAST</v>
      </c>
      <c r="H556" t="s">
        <v>1034</v>
      </c>
      <c r="I556">
        <v>653</v>
      </c>
      <c r="J556" t="s">
        <v>253</v>
      </c>
      <c r="L556" t="s">
        <v>1071</v>
      </c>
      <c r="M556" t="s">
        <v>1036</v>
      </c>
      <c r="N556" t="s">
        <v>1037</v>
      </c>
      <c r="O556" t="s">
        <v>1038</v>
      </c>
      <c r="R556" t="s">
        <v>36</v>
      </c>
      <c r="T556" t="s">
        <v>695</v>
      </c>
      <c r="U556" t="s">
        <v>39</v>
      </c>
    </row>
    <row r="557" spans="1:28" x14ac:dyDescent="0.2">
      <c r="A557">
        <v>51.147527779999997</v>
      </c>
      <c r="B557">
        <v>-122.7855833</v>
      </c>
      <c r="C557" t="s">
        <v>29</v>
      </c>
      <c r="D557" t="s">
        <v>1199</v>
      </c>
      <c r="E557">
        <v>8</v>
      </c>
      <c r="F557" t="s">
        <v>1200</v>
      </c>
      <c r="G557" t="str">
        <f t="shared" si="8"/>
        <v>NORTH TYAUGHTON CREEK</v>
      </c>
      <c r="H557" t="s">
        <v>1034</v>
      </c>
      <c r="I557">
        <v>1969</v>
      </c>
      <c r="J557" t="s">
        <v>253</v>
      </c>
      <c r="L557">
        <v>1993</v>
      </c>
      <c r="M557" t="s">
        <v>1036</v>
      </c>
      <c r="N557" t="s">
        <v>1037</v>
      </c>
      <c r="O557" t="s">
        <v>1038</v>
      </c>
      <c r="R557" t="s">
        <v>36</v>
      </c>
      <c r="T557" t="s">
        <v>695</v>
      </c>
      <c r="V557" t="s">
        <v>1101</v>
      </c>
    </row>
    <row r="558" spans="1:28" x14ac:dyDescent="0.2">
      <c r="A558">
        <v>56.126613890000002</v>
      </c>
      <c r="B558">
        <v>-124.8006972</v>
      </c>
      <c r="C558" t="s">
        <v>272</v>
      </c>
      <c r="D558" t="s">
        <v>1201</v>
      </c>
      <c r="E558">
        <v>2</v>
      </c>
      <c r="F558" t="s">
        <v>1202</v>
      </c>
      <c r="G558" t="str">
        <f t="shared" si="8"/>
        <v>OSILINKA RIVER NEAR END LAKE</v>
      </c>
      <c r="H558" t="s">
        <v>1034</v>
      </c>
      <c r="I558">
        <v>775</v>
      </c>
      <c r="J558" t="s">
        <v>253</v>
      </c>
      <c r="L558" t="s">
        <v>1035</v>
      </c>
      <c r="M558" t="s">
        <v>1036</v>
      </c>
      <c r="N558" t="s">
        <v>1037</v>
      </c>
      <c r="O558" t="s">
        <v>1038</v>
      </c>
      <c r="R558" t="s">
        <v>36</v>
      </c>
      <c r="T558" t="s">
        <v>255</v>
      </c>
      <c r="AB558" t="s">
        <v>1110</v>
      </c>
    </row>
    <row r="559" spans="1:28" x14ac:dyDescent="0.2">
      <c r="A559">
        <v>54.997177780000001</v>
      </c>
      <c r="B559">
        <v>-123.0364472</v>
      </c>
      <c r="C559" t="s">
        <v>272</v>
      </c>
      <c r="D559" t="s">
        <v>1203</v>
      </c>
      <c r="E559">
        <v>1</v>
      </c>
      <c r="F559" t="s">
        <v>1204</v>
      </c>
      <c r="G559" t="str">
        <f t="shared" si="8"/>
        <v>PACK RIVER AT OUTLET OF MCLEOD LAKE</v>
      </c>
      <c r="H559" t="s">
        <v>1034</v>
      </c>
      <c r="I559">
        <v>675</v>
      </c>
      <c r="J559" t="s">
        <v>253</v>
      </c>
      <c r="L559" t="s">
        <v>1035</v>
      </c>
      <c r="M559" t="s">
        <v>1036</v>
      </c>
      <c r="N559" t="s">
        <v>1037</v>
      </c>
      <c r="O559" t="s">
        <v>1038</v>
      </c>
      <c r="R559" t="s">
        <v>36</v>
      </c>
      <c r="T559" t="s">
        <v>255</v>
      </c>
      <c r="AB559" t="s">
        <v>1110</v>
      </c>
    </row>
    <row r="560" spans="1:28" x14ac:dyDescent="0.2">
      <c r="A560">
        <v>54.605555559999999</v>
      </c>
      <c r="B560">
        <v>-122.1375833</v>
      </c>
      <c r="C560" t="s">
        <v>272</v>
      </c>
      <c r="D560" t="s">
        <v>1205</v>
      </c>
      <c r="E560">
        <v>2</v>
      </c>
      <c r="F560" t="s">
        <v>1206</v>
      </c>
      <c r="G560" t="str">
        <f t="shared" si="8"/>
        <v>PARSNIP UPPER</v>
      </c>
      <c r="H560" t="s">
        <v>1034</v>
      </c>
      <c r="I560">
        <v>790</v>
      </c>
      <c r="J560" t="s">
        <v>253</v>
      </c>
      <c r="L560" t="s">
        <v>1042</v>
      </c>
      <c r="M560" t="s">
        <v>1036</v>
      </c>
      <c r="N560" t="s">
        <v>1037</v>
      </c>
      <c r="O560" t="s">
        <v>1038</v>
      </c>
      <c r="R560" t="s">
        <v>36</v>
      </c>
      <c r="T560" t="s">
        <v>255</v>
      </c>
      <c r="U560" t="s">
        <v>39</v>
      </c>
      <c r="V560" t="s">
        <v>1043</v>
      </c>
    </row>
    <row r="561" spans="1:28" x14ac:dyDescent="0.2">
      <c r="A561">
        <v>57.061666670000001</v>
      </c>
      <c r="B561">
        <v>-122.8647222</v>
      </c>
      <c r="C561" t="s">
        <v>449</v>
      </c>
      <c r="D561" t="s">
        <v>1207</v>
      </c>
      <c r="E561">
        <v>8</v>
      </c>
      <c r="F561" t="s">
        <v>1208</v>
      </c>
      <c r="G561" t="str">
        <f t="shared" si="8"/>
        <v>PINK MOUNTAIN ALPINE</v>
      </c>
      <c r="H561" t="s">
        <v>1034</v>
      </c>
      <c r="I561">
        <v>1755</v>
      </c>
      <c r="J561" t="s">
        <v>253</v>
      </c>
      <c r="L561" t="s">
        <v>1164</v>
      </c>
      <c r="M561" t="s">
        <v>1036</v>
      </c>
      <c r="N561" t="s">
        <v>1037</v>
      </c>
      <c r="O561" t="s">
        <v>1038</v>
      </c>
      <c r="R561" t="s">
        <v>36</v>
      </c>
      <c r="T561" t="s">
        <v>255</v>
      </c>
    </row>
    <row r="562" spans="1:28" x14ac:dyDescent="0.2">
      <c r="A562">
        <v>55.123800000000003</v>
      </c>
      <c r="B562">
        <v>-123.897927</v>
      </c>
      <c r="C562" t="s">
        <v>272</v>
      </c>
      <c r="D562" t="s">
        <v>1209</v>
      </c>
      <c r="E562">
        <v>4</v>
      </c>
      <c r="F562" t="s">
        <v>1210</v>
      </c>
      <c r="G562" t="str">
        <f t="shared" si="8"/>
        <v>PHILIP LAKE</v>
      </c>
      <c r="H562" t="s">
        <v>1034</v>
      </c>
      <c r="I562">
        <v>1028</v>
      </c>
      <c r="J562" t="s">
        <v>253</v>
      </c>
      <c r="L562" t="s">
        <v>1211</v>
      </c>
      <c r="M562" t="s">
        <v>1036</v>
      </c>
      <c r="N562" t="s">
        <v>1037</v>
      </c>
      <c r="O562" t="s">
        <v>1038</v>
      </c>
      <c r="R562" t="s">
        <v>36</v>
      </c>
      <c r="T562" t="s">
        <v>695</v>
      </c>
      <c r="V562" t="s">
        <v>1043</v>
      </c>
    </row>
    <row r="563" spans="1:28" x14ac:dyDescent="0.2">
      <c r="A563">
        <v>56.013100000000001</v>
      </c>
      <c r="B563">
        <v>-122.1829</v>
      </c>
      <c r="C563" t="s">
        <v>272</v>
      </c>
      <c r="D563" t="s">
        <v>1212</v>
      </c>
      <c r="E563">
        <v>1</v>
      </c>
      <c r="F563" t="s">
        <v>1213</v>
      </c>
      <c r="G563" t="str">
        <f t="shared" si="8"/>
        <v>PORTAGE MOUNTAIN DEVELOPMENT 2</v>
      </c>
      <c r="H563" t="s">
        <v>1034</v>
      </c>
      <c r="I563">
        <v>717</v>
      </c>
      <c r="J563" t="s">
        <v>253</v>
      </c>
      <c r="L563">
        <v>1985</v>
      </c>
      <c r="M563" t="s">
        <v>1036</v>
      </c>
      <c r="N563" t="s">
        <v>1037</v>
      </c>
      <c r="O563" t="s">
        <v>1038</v>
      </c>
      <c r="R563" t="s">
        <v>36</v>
      </c>
      <c r="T563" t="s">
        <v>695</v>
      </c>
    </row>
    <row r="564" spans="1:28" x14ac:dyDescent="0.2">
      <c r="A564">
        <v>57.001966670000002</v>
      </c>
      <c r="B564">
        <v>-122.3535</v>
      </c>
      <c r="C564" t="s">
        <v>46</v>
      </c>
      <c r="D564" t="s">
        <v>1214</v>
      </c>
      <c r="E564">
        <v>8</v>
      </c>
      <c r="F564" t="s">
        <v>1215</v>
      </c>
      <c r="G564" t="str">
        <f t="shared" si="8"/>
        <v>PINK MOUNTAIN</v>
      </c>
      <c r="H564" t="s">
        <v>1034</v>
      </c>
      <c r="I564">
        <v>1204</v>
      </c>
      <c r="J564" t="s">
        <v>253</v>
      </c>
      <c r="L564" t="s">
        <v>1042</v>
      </c>
      <c r="M564" t="s">
        <v>1036</v>
      </c>
      <c r="N564" t="s">
        <v>1037</v>
      </c>
      <c r="O564" t="s">
        <v>1038</v>
      </c>
      <c r="R564" t="s">
        <v>36</v>
      </c>
      <c r="T564" t="s">
        <v>695</v>
      </c>
    </row>
    <row r="565" spans="1:28" x14ac:dyDescent="0.2">
      <c r="A565">
        <v>55.083469440000002</v>
      </c>
      <c r="B565">
        <v>-122.9161</v>
      </c>
      <c r="C565" t="s">
        <v>272</v>
      </c>
      <c r="D565" t="s">
        <v>1216</v>
      </c>
      <c r="E565">
        <v>1</v>
      </c>
      <c r="F565" t="s">
        <v>1217</v>
      </c>
      <c r="G565" t="str">
        <f t="shared" si="8"/>
        <v>PARSNIP RIVER ABOVE MISINCHINKA RIVER</v>
      </c>
      <c r="H565" t="s">
        <v>1034</v>
      </c>
      <c r="I565">
        <v>700</v>
      </c>
      <c r="J565" t="s">
        <v>253</v>
      </c>
      <c r="L565" t="s">
        <v>1218</v>
      </c>
      <c r="M565" t="s">
        <v>1036</v>
      </c>
      <c r="N565" t="s">
        <v>1037</v>
      </c>
      <c r="O565" t="s">
        <v>1038</v>
      </c>
      <c r="R565" t="s">
        <v>36</v>
      </c>
      <c r="T565" t="s">
        <v>255</v>
      </c>
      <c r="AB565" t="s">
        <v>1110</v>
      </c>
    </row>
    <row r="566" spans="1:28" x14ac:dyDescent="0.2">
      <c r="A566">
        <v>57.54858333</v>
      </c>
      <c r="B566">
        <v>-126.7483139</v>
      </c>
      <c r="C566" t="s">
        <v>449</v>
      </c>
      <c r="D566" t="s">
        <v>1219</v>
      </c>
      <c r="E566">
        <v>5</v>
      </c>
      <c r="F566" t="s">
        <v>1220</v>
      </c>
      <c r="G566" t="str">
        <f t="shared" si="8"/>
        <v>PULPIT LAKE</v>
      </c>
      <c r="H566" t="s">
        <v>1034</v>
      </c>
      <c r="I566">
        <v>1311</v>
      </c>
      <c r="J566" t="s">
        <v>253</v>
      </c>
      <c r="L566">
        <v>1989</v>
      </c>
      <c r="M566" t="s">
        <v>1036</v>
      </c>
      <c r="N566" t="s">
        <v>1037</v>
      </c>
      <c r="O566" t="s">
        <v>1038</v>
      </c>
      <c r="R566" t="s">
        <v>36</v>
      </c>
      <c r="T566" t="s">
        <v>695</v>
      </c>
      <c r="U566" t="s">
        <v>39</v>
      </c>
      <c r="V566" t="s">
        <v>1043</v>
      </c>
    </row>
    <row r="567" spans="1:28" x14ac:dyDescent="0.2">
      <c r="A567">
        <v>55.353000000000002</v>
      </c>
      <c r="B567">
        <v>-122.63733329999999</v>
      </c>
      <c r="C567" t="s">
        <v>272</v>
      </c>
      <c r="D567" t="s">
        <v>1221</v>
      </c>
      <c r="E567">
        <v>7</v>
      </c>
      <c r="F567" t="s">
        <v>1222</v>
      </c>
      <c r="G567" t="str">
        <f t="shared" si="8"/>
        <v>PINE PASS</v>
      </c>
      <c r="H567" t="s">
        <v>1034</v>
      </c>
      <c r="I567">
        <v>1400</v>
      </c>
      <c r="J567" t="s">
        <v>253</v>
      </c>
      <c r="L567">
        <v>1988</v>
      </c>
      <c r="M567" t="s">
        <v>1036</v>
      </c>
      <c r="N567" t="s">
        <v>1037</v>
      </c>
      <c r="O567" t="s">
        <v>1038</v>
      </c>
      <c r="R567" t="s">
        <v>36</v>
      </c>
      <c r="T567" t="s">
        <v>695</v>
      </c>
      <c r="U567" t="s">
        <v>39</v>
      </c>
      <c r="V567" t="s">
        <v>1043</v>
      </c>
    </row>
    <row r="568" spans="1:28" x14ac:dyDescent="0.2">
      <c r="A568">
        <v>49.93001944444444</v>
      </c>
      <c r="B568">
        <v>-125.51033611111112</v>
      </c>
      <c r="C568" t="s">
        <v>41</v>
      </c>
      <c r="D568" t="s">
        <v>1223</v>
      </c>
      <c r="E568">
        <v>5</v>
      </c>
      <c r="F568" t="s">
        <v>1224</v>
      </c>
      <c r="G568" t="str">
        <f t="shared" si="8"/>
        <v>QUINSAM RIVER AT ARGONAUT BRIDGE 2</v>
      </c>
      <c r="H568" t="s">
        <v>1034</v>
      </c>
      <c r="I568">
        <v>280</v>
      </c>
      <c r="J568" t="s">
        <v>253</v>
      </c>
      <c r="L568">
        <v>2022</v>
      </c>
      <c r="M568" t="s">
        <v>1036</v>
      </c>
      <c r="N568" t="s">
        <v>1061</v>
      </c>
      <c r="O568" t="s">
        <v>1038</v>
      </c>
      <c r="R568" t="s">
        <v>36</v>
      </c>
      <c r="T568" t="s">
        <v>695</v>
      </c>
    </row>
    <row r="569" spans="1:28" x14ac:dyDescent="0.2">
      <c r="A569">
        <v>49.605361109999997</v>
      </c>
      <c r="B569">
        <v>-125.2881667</v>
      </c>
      <c r="C569" t="s">
        <v>41</v>
      </c>
      <c r="D569" t="s">
        <v>1225</v>
      </c>
      <c r="E569">
        <v>5</v>
      </c>
      <c r="F569" t="s">
        <v>1226</v>
      </c>
      <c r="G569" t="str">
        <f t="shared" si="8"/>
        <v>REES CREEK</v>
      </c>
      <c r="H569" t="s">
        <v>1034</v>
      </c>
      <c r="I569">
        <v>280</v>
      </c>
      <c r="J569" t="s">
        <v>253</v>
      </c>
      <c r="L569" t="s">
        <v>1050</v>
      </c>
      <c r="M569" t="s">
        <v>1036</v>
      </c>
      <c r="N569" t="s">
        <v>1037</v>
      </c>
      <c r="O569" t="s">
        <v>1038</v>
      </c>
      <c r="R569" t="s">
        <v>36</v>
      </c>
      <c r="T569" t="s">
        <v>695</v>
      </c>
    </row>
    <row r="570" spans="1:28" x14ac:dyDescent="0.2">
      <c r="A570">
        <v>50.093499999999999</v>
      </c>
      <c r="B570">
        <v>-125.66976699999999</v>
      </c>
      <c r="C570" t="s">
        <v>204</v>
      </c>
      <c r="D570" t="s">
        <v>1227</v>
      </c>
      <c r="E570">
        <v>2</v>
      </c>
      <c r="F570" t="s">
        <v>1228</v>
      </c>
      <c r="G570" t="str">
        <f t="shared" si="8"/>
        <v>SALMON RIVER BELOW CAMPBELL LAKE DIVERSION 2</v>
      </c>
      <c r="H570" t="s">
        <v>1034</v>
      </c>
      <c r="I570">
        <v>226</v>
      </c>
      <c r="J570" t="s">
        <v>253</v>
      </c>
      <c r="L570">
        <v>2021</v>
      </c>
      <c r="M570" t="s">
        <v>1036</v>
      </c>
      <c r="N570" t="s">
        <v>1037</v>
      </c>
      <c r="O570" t="s">
        <v>1038</v>
      </c>
      <c r="R570" t="s">
        <v>36</v>
      </c>
      <c r="T570" t="s">
        <v>695</v>
      </c>
    </row>
    <row r="571" spans="1:28" x14ac:dyDescent="0.2">
      <c r="A571">
        <v>51.716141</v>
      </c>
      <c r="B571">
        <v>-117.541639</v>
      </c>
      <c r="C571" t="s">
        <v>61</v>
      </c>
      <c r="D571" t="s">
        <v>1229</v>
      </c>
      <c r="E571">
        <v>1</v>
      </c>
      <c r="F571" t="s">
        <v>1230</v>
      </c>
      <c r="G571" t="str">
        <f t="shared" si="8"/>
        <v>SUCCOUR CREEK</v>
      </c>
      <c r="H571" t="s">
        <v>1034</v>
      </c>
      <c r="I571">
        <v>800</v>
      </c>
      <c r="J571" t="s">
        <v>253</v>
      </c>
      <c r="L571" t="s">
        <v>1231</v>
      </c>
      <c r="M571" t="s">
        <v>1036</v>
      </c>
      <c r="N571" t="s">
        <v>1037</v>
      </c>
      <c r="O571" t="s">
        <v>1038</v>
      </c>
      <c r="R571" t="s">
        <v>36</v>
      </c>
      <c r="T571" t="s">
        <v>695</v>
      </c>
    </row>
    <row r="572" spans="1:28" x14ac:dyDescent="0.2">
      <c r="A572">
        <v>50.728080560000002</v>
      </c>
      <c r="B572">
        <v>-122.2423833</v>
      </c>
      <c r="C572" t="s">
        <v>86</v>
      </c>
      <c r="D572" t="s">
        <v>1232</v>
      </c>
      <c r="E572">
        <v>1</v>
      </c>
      <c r="F572" t="s">
        <v>1233</v>
      </c>
      <c r="G572" t="str">
        <f t="shared" si="8"/>
        <v>SHALALTH</v>
      </c>
      <c r="H572" t="s">
        <v>1034</v>
      </c>
      <c r="I572">
        <v>290</v>
      </c>
      <c r="J572" t="s">
        <v>253</v>
      </c>
      <c r="L572">
        <v>2003</v>
      </c>
      <c r="M572" t="s">
        <v>1036</v>
      </c>
      <c r="N572" t="s">
        <v>1037</v>
      </c>
      <c r="O572" t="s">
        <v>1038</v>
      </c>
      <c r="R572" t="s">
        <v>36</v>
      </c>
      <c r="T572" t="s">
        <v>695</v>
      </c>
    </row>
    <row r="573" spans="1:28" x14ac:dyDescent="0.2">
      <c r="A573">
        <v>57.26375556</v>
      </c>
      <c r="B573">
        <v>-124.13198060000001</v>
      </c>
      <c r="C573" t="s">
        <v>449</v>
      </c>
      <c r="D573" t="s">
        <v>1234</v>
      </c>
      <c r="E573">
        <v>5</v>
      </c>
      <c r="F573" t="s">
        <v>1235</v>
      </c>
      <c r="G573" t="str">
        <f t="shared" si="8"/>
        <v>SIKANNI LAKE</v>
      </c>
      <c r="H573" t="s">
        <v>1034</v>
      </c>
      <c r="I573">
        <v>1387</v>
      </c>
      <c r="J573" t="s">
        <v>253</v>
      </c>
      <c r="L573" t="s">
        <v>1236</v>
      </c>
      <c r="M573" t="s">
        <v>1036</v>
      </c>
      <c r="N573" t="s">
        <v>1037</v>
      </c>
      <c r="O573" t="s">
        <v>1038</v>
      </c>
      <c r="R573" t="s">
        <v>36</v>
      </c>
      <c r="T573" t="s">
        <v>695</v>
      </c>
      <c r="U573" t="s">
        <v>39</v>
      </c>
      <c r="V573" t="s">
        <v>1101</v>
      </c>
    </row>
    <row r="574" spans="1:28" x14ac:dyDescent="0.2">
      <c r="A574">
        <v>50.434172220000001</v>
      </c>
      <c r="B574">
        <v>-117.7012139</v>
      </c>
      <c r="C574" t="s">
        <v>61</v>
      </c>
      <c r="D574" t="s">
        <v>1237</v>
      </c>
      <c r="E574">
        <v>6</v>
      </c>
      <c r="F574" t="s">
        <v>1238</v>
      </c>
      <c r="G574" t="str">
        <f t="shared" si="8"/>
        <v>ST. LEON CREEK</v>
      </c>
      <c r="H574" t="s">
        <v>1034</v>
      </c>
      <c r="I574">
        <v>1800</v>
      </c>
      <c r="J574" t="s">
        <v>253</v>
      </c>
      <c r="L574">
        <v>1993</v>
      </c>
      <c r="M574" t="s">
        <v>1036</v>
      </c>
      <c r="N574" t="s">
        <v>1037</v>
      </c>
      <c r="O574" t="s">
        <v>1038</v>
      </c>
      <c r="R574" t="s">
        <v>36</v>
      </c>
      <c r="T574" t="s">
        <v>695</v>
      </c>
      <c r="V574" t="s">
        <v>1043</v>
      </c>
    </row>
    <row r="575" spans="1:28" x14ac:dyDescent="0.2">
      <c r="A575">
        <v>49.623666669999999</v>
      </c>
      <c r="B575">
        <v>-122.4020556</v>
      </c>
      <c r="C575" t="s">
        <v>204</v>
      </c>
      <c r="D575" t="s">
        <v>1239</v>
      </c>
      <c r="E575">
        <v>5</v>
      </c>
      <c r="F575" t="s">
        <v>1240</v>
      </c>
      <c r="G575" t="str">
        <f t="shared" si="8"/>
        <v>STAVE RIVER UPPER</v>
      </c>
      <c r="H575" t="s">
        <v>1034</v>
      </c>
      <c r="I575">
        <v>930</v>
      </c>
      <c r="J575" t="s">
        <v>253</v>
      </c>
      <c r="L575">
        <v>1985</v>
      </c>
      <c r="M575" t="s">
        <v>1036</v>
      </c>
      <c r="N575" t="s">
        <v>1037</v>
      </c>
      <c r="O575" t="s">
        <v>1038</v>
      </c>
      <c r="R575" t="s">
        <v>36</v>
      </c>
      <c r="T575" t="s">
        <v>695</v>
      </c>
    </row>
    <row r="576" spans="1:28" x14ac:dyDescent="0.2">
      <c r="A576">
        <v>56.83</v>
      </c>
      <c r="B576">
        <v>-122.2397222</v>
      </c>
      <c r="C576" t="s">
        <v>46</v>
      </c>
      <c r="D576" t="s">
        <v>1241</v>
      </c>
      <c r="E576">
        <v>8</v>
      </c>
      <c r="F576" t="s">
        <v>1242</v>
      </c>
      <c r="G576" t="str">
        <f t="shared" si="8"/>
        <v>TOWNSEND</v>
      </c>
      <c r="H576" t="s">
        <v>1034</v>
      </c>
      <c r="I576">
        <v>1011</v>
      </c>
      <c r="J576" t="s">
        <v>253</v>
      </c>
      <c r="L576" t="s">
        <v>1164</v>
      </c>
      <c r="M576" t="s">
        <v>1036</v>
      </c>
      <c r="N576" t="s">
        <v>1037</v>
      </c>
      <c r="O576" t="s">
        <v>1038</v>
      </c>
      <c r="R576" t="s">
        <v>36</v>
      </c>
      <c r="T576" t="s">
        <v>255</v>
      </c>
    </row>
    <row r="577" spans="1:28" x14ac:dyDescent="0.2">
      <c r="A577">
        <v>55.416350000000001</v>
      </c>
      <c r="B577" s="75">
        <v>-124.76</v>
      </c>
      <c r="C577" t="s">
        <v>272</v>
      </c>
      <c r="D577" t="s">
        <v>1243</v>
      </c>
      <c r="E577">
        <v>5</v>
      </c>
      <c r="F577" t="s">
        <v>1244</v>
      </c>
      <c r="G577" t="str">
        <f t="shared" si="8"/>
        <v>TSAYDAYCHI LAKE</v>
      </c>
      <c r="H577" t="s">
        <v>1034</v>
      </c>
      <c r="I577">
        <v>1189</v>
      </c>
      <c r="J577" t="s">
        <v>253</v>
      </c>
      <c r="L577" t="s">
        <v>1077</v>
      </c>
      <c r="M577" t="s">
        <v>1036</v>
      </c>
      <c r="N577" t="s">
        <v>1037</v>
      </c>
      <c r="O577" t="s">
        <v>1038</v>
      </c>
      <c r="R577" t="s">
        <v>36</v>
      </c>
      <c r="T577" t="s">
        <v>695</v>
      </c>
      <c r="U577" t="s">
        <v>39</v>
      </c>
      <c r="V577" t="s">
        <v>1043</v>
      </c>
    </row>
    <row r="578" spans="1:28" x14ac:dyDescent="0.2">
      <c r="A578">
        <v>49.972666670000002</v>
      </c>
      <c r="B578">
        <v>-125.5844333</v>
      </c>
      <c r="C578" t="s">
        <v>41</v>
      </c>
      <c r="D578" t="s">
        <v>1245</v>
      </c>
      <c r="E578">
        <v>4</v>
      </c>
      <c r="F578" t="s">
        <v>1246</v>
      </c>
      <c r="G578" t="str">
        <f t="shared" ref="G578:G641" si="9">UPPER(F578)</f>
        <v>UPPER CAMPBELL LAKE NEAR ELK RIVER ROAD</v>
      </c>
      <c r="H578" t="s">
        <v>1034</v>
      </c>
      <c r="I578">
        <v>249</v>
      </c>
      <c r="J578" t="s">
        <v>253</v>
      </c>
      <c r="L578" t="s">
        <v>1050</v>
      </c>
      <c r="M578" t="s">
        <v>1036</v>
      </c>
      <c r="N578" t="s">
        <v>1037</v>
      </c>
      <c r="O578" t="s">
        <v>1038</v>
      </c>
      <c r="R578" t="s">
        <v>36</v>
      </c>
      <c r="T578" t="s">
        <v>695</v>
      </c>
    </row>
    <row r="579" spans="1:28" x14ac:dyDescent="0.2">
      <c r="A579">
        <v>49.231944439999999</v>
      </c>
      <c r="B579">
        <v>-121.6186111</v>
      </c>
      <c r="C579" t="s">
        <v>204</v>
      </c>
      <c r="D579" t="s">
        <v>1247</v>
      </c>
      <c r="E579">
        <v>4</v>
      </c>
      <c r="F579" t="s">
        <v>1248</v>
      </c>
      <c r="G579" t="str">
        <f t="shared" si="9"/>
        <v>WAHLEACH RESERVOIR (JONES LAKE)</v>
      </c>
      <c r="H579" t="s">
        <v>1034</v>
      </c>
      <c r="I579">
        <v>641</v>
      </c>
      <c r="J579" t="s">
        <v>253</v>
      </c>
      <c r="L579" t="s">
        <v>1050</v>
      </c>
      <c r="M579" t="s">
        <v>1036</v>
      </c>
      <c r="N579" t="s">
        <v>1037</v>
      </c>
      <c r="O579" t="s">
        <v>1038</v>
      </c>
      <c r="R579" t="s">
        <v>36</v>
      </c>
      <c r="T579" t="s">
        <v>695</v>
      </c>
      <c r="AB579" t="s">
        <v>1051</v>
      </c>
    </row>
    <row r="580" spans="1:28" x14ac:dyDescent="0.2">
      <c r="A580">
        <v>51.696302780000003</v>
      </c>
      <c r="B580">
        <v>-116.6294111</v>
      </c>
      <c r="C580" t="s">
        <v>61</v>
      </c>
      <c r="D580" t="s">
        <v>1249</v>
      </c>
      <c r="E580">
        <v>7</v>
      </c>
      <c r="F580" t="s">
        <v>1250</v>
      </c>
      <c r="G580" t="str">
        <f t="shared" si="9"/>
        <v>WILDCAT CREEK</v>
      </c>
      <c r="H580" t="s">
        <v>1034</v>
      </c>
      <c r="I580">
        <v>2122</v>
      </c>
      <c r="J580" t="s">
        <v>253</v>
      </c>
      <c r="L580" t="s">
        <v>1074</v>
      </c>
      <c r="M580" t="s">
        <v>1036</v>
      </c>
      <c r="N580" t="s">
        <v>1037</v>
      </c>
      <c r="O580" t="s">
        <v>1038</v>
      </c>
      <c r="R580" t="s">
        <v>36</v>
      </c>
      <c r="T580" t="s">
        <v>695</v>
      </c>
      <c r="V580" t="s">
        <v>1043</v>
      </c>
    </row>
    <row r="581" spans="1:28" x14ac:dyDescent="0.2">
      <c r="A581">
        <v>49.232750000000003</v>
      </c>
      <c r="B581">
        <v>-121.57988330000001</v>
      </c>
      <c r="C581" t="s">
        <v>204</v>
      </c>
      <c r="D581" t="s">
        <v>1251</v>
      </c>
      <c r="E581">
        <v>7</v>
      </c>
      <c r="F581" t="s">
        <v>1252</v>
      </c>
      <c r="G581" t="str">
        <f t="shared" si="9"/>
        <v>WAHLEACH LAKE UPPER</v>
      </c>
      <c r="H581" t="s">
        <v>1034</v>
      </c>
      <c r="I581">
        <v>1480</v>
      </c>
      <c r="J581" t="s">
        <v>253</v>
      </c>
      <c r="L581">
        <v>1992</v>
      </c>
      <c r="M581" t="s">
        <v>1036</v>
      </c>
      <c r="N581" t="s">
        <v>1037</v>
      </c>
      <c r="O581" t="s">
        <v>1038</v>
      </c>
      <c r="R581" t="s">
        <v>36</v>
      </c>
      <c r="V581" t="s">
        <v>1043</v>
      </c>
    </row>
    <row r="582" spans="1:28" x14ac:dyDescent="0.2">
      <c r="A582">
        <v>49.704138890000003</v>
      </c>
      <c r="B582">
        <v>-125.67925</v>
      </c>
      <c r="C582" t="s">
        <v>41</v>
      </c>
      <c r="D582" t="s">
        <v>1253</v>
      </c>
      <c r="E582">
        <v>8</v>
      </c>
      <c r="F582" t="s">
        <v>1254</v>
      </c>
      <c r="G582" t="str">
        <f t="shared" si="9"/>
        <v>WOLF RIVER UPPER</v>
      </c>
      <c r="H582" t="s">
        <v>1034</v>
      </c>
      <c r="I582">
        <v>1490</v>
      </c>
      <c r="J582" t="s">
        <v>253</v>
      </c>
      <c r="L582" t="s">
        <v>1042</v>
      </c>
      <c r="M582" t="s">
        <v>1036</v>
      </c>
      <c r="N582" t="s">
        <v>1037</v>
      </c>
      <c r="O582" t="s">
        <v>1038</v>
      </c>
      <c r="R582" t="s">
        <v>36</v>
      </c>
      <c r="T582" t="s">
        <v>695</v>
      </c>
      <c r="V582" t="s">
        <v>1043</v>
      </c>
    </row>
    <row r="583" spans="1:28" x14ac:dyDescent="0.2">
      <c r="A583">
        <v>56.728930560000002</v>
      </c>
      <c r="B583">
        <v>-121.1381111</v>
      </c>
      <c r="C583" t="s">
        <v>46</v>
      </c>
      <c r="D583" t="s">
        <v>1255</v>
      </c>
      <c r="E583">
        <v>7</v>
      </c>
      <c r="F583" t="s">
        <v>1256</v>
      </c>
      <c r="G583" t="str">
        <f t="shared" si="9"/>
        <v>WONOWON</v>
      </c>
      <c r="H583" t="s">
        <v>1034</v>
      </c>
      <c r="I583">
        <v>925</v>
      </c>
      <c r="J583" t="s">
        <v>253</v>
      </c>
      <c r="L583" t="s">
        <v>1077</v>
      </c>
      <c r="M583" t="s">
        <v>1036</v>
      </c>
      <c r="N583" t="s">
        <v>1037</v>
      </c>
      <c r="O583" t="s">
        <v>1038</v>
      </c>
      <c r="R583" t="s">
        <v>36</v>
      </c>
      <c r="T583" t="s">
        <v>695</v>
      </c>
    </row>
    <row r="584" spans="1:28" x14ac:dyDescent="0.2">
      <c r="A584">
        <v>57.407555559999999</v>
      </c>
      <c r="B584">
        <v>-125.6773389</v>
      </c>
      <c r="C584" t="s">
        <v>449</v>
      </c>
      <c r="D584" t="s">
        <v>1257</v>
      </c>
      <c r="E584">
        <v>2</v>
      </c>
      <c r="F584" t="s">
        <v>1258</v>
      </c>
      <c r="G584" t="str">
        <f t="shared" si="9"/>
        <v>WARE LOWER</v>
      </c>
      <c r="H584" t="s">
        <v>1034</v>
      </c>
      <c r="I584">
        <v>971</v>
      </c>
      <c r="J584" t="s">
        <v>253</v>
      </c>
      <c r="L584" t="s">
        <v>1236</v>
      </c>
      <c r="M584" t="s">
        <v>1036</v>
      </c>
      <c r="N584" t="s">
        <v>1037</v>
      </c>
      <c r="O584" t="s">
        <v>1038</v>
      </c>
      <c r="R584" t="s">
        <v>36</v>
      </c>
      <c r="U584" t="s">
        <v>39</v>
      </c>
      <c r="V584" t="s">
        <v>1101</v>
      </c>
    </row>
    <row r="585" spans="1:28" x14ac:dyDescent="0.2">
      <c r="A585">
        <v>57.396180559999998</v>
      </c>
      <c r="B585">
        <v>-125.7004694</v>
      </c>
      <c r="C585" t="s">
        <v>449</v>
      </c>
      <c r="D585" t="s">
        <v>1259</v>
      </c>
      <c r="E585">
        <v>7</v>
      </c>
      <c r="F585" t="s">
        <v>1260</v>
      </c>
      <c r="G585" t="str">
        <f t="shared" si="9"/>
        <v>WARE UPPER</v>
      </c>
      <c r="H585" t="s">
        <v>1034</v>
      </c>
      <c r="I585">
        <v>1565</v>
      </c>
      <c r="J585" t="s">
        <v>253</v>
      </c>
      <c r="L585" t="s">
        <v>1236</v>
      </c>
      <c r="M585" t="s">
        <v>1036</v>
      </c>
      <c r="N585" t="s">
        <v>1037</v>
      </c>
      <c r="O585" t="s">
        <v>1038</v>
      </c>
      <c r="R585" t="s">
        <v>36</v>
      </c>
      <c r="T585" t="s">
        <v>695</v>
      </c>
      <c r="U585" t="s">
        <v>39</v>
      </c>
      <c r="V585" t="s">
        <v>1101</v>
      </c>
    </row>
    <row r="586" spans="1:28" x14ac:dyDescent="0.2">
      <c r="A586">
        <v>55.785527780000002</v>
      </c>
      <c r="B586">
        <v>-124.7014444</v>
      </c>
      <c r="C586" t="s">
        <v>272</v>
      </c>
      <c r="D586" t="s">
        <v>1261</v>
      </c>
      <c r="E586">
        <v>2</v>
      </c>
      <c r="F586" t="s">
        <v>1262</v>
      </c>
      <c r="G586" t="str">
        <f t="shared" si="9"/>
        <v>GERMANSEN LANDING</v>
      </c>
      <c r="H586" t="s">
        <v>1034</v>
      </c>
      <c r="I586">
        <v>766</v>
      </c>
      <c r="J586" t="s">
        <v>253</v>
      </c>
      <c r="L586" t="s">
        <v>1074</v>
      </c>
      <c r="M586" t="s">
        <v>1036</v>
      </c>
      <c r="N586" t="s">
        <v>1037</v>
      </c>
      <c r="O586" t="s">
        <v>1038</v>
      </c>
      <c r="R586" t="s">
        <v>36</v>
      </c>
      <c r="S586" t="s">
        <v>37</v>
      </c>
      <c r="T586" t="s">
        <v>255</v>
      </c>
      <c r="W586" t="s">
        <v>40</v>
      </c>
    </row>
    <row r="587" spans="1:28" x14ac:dyDescent="0.2">
      <c r="A587">
        <v>56.222000000000001</v>
      </c>
      <c r="B587">
        <v>-121.42400000000001</v>
      </c>
      <c r="C587" t="s">
        <v>46</v>
      </c>
      <c r="D587" t="s">
        <v>1263</v>
      </c>
      <c r="E587">
        <v>1</v>
      </c>
      <c r="F587" t="s">
        <v>1264</v>
      </c>
      <c r="G587" t="str">
        <f t="shared" si="9"/>
        <v>ATTACHIE FLAT LOWER TERRACE</v>
      </c>
      <c r="H587" t="s">
        <v>1265</v>
      </c>
      <c r="I587">
        <v>441</v>
      </c>
      <c r="L587">
        <v>42736</v>
      </c>
      <c r="M587" t="s">
        <v>1266</v>
      </c>
      <c r="N587" t="s">
        <v>1267</v>
      </c>
    </row>
    <row r="588" spans="1:28" x14ac:dyDescent="0.2">
      <c r="A588">
        <v>56.231000000000002</v>
      </c>
      <c r="B588">
        <v>-121.419</v>
      </c>
      <c r="C588" t="s">
        <v>46</v>
      </c>
      <c r="D588" t="s">
        <v>1268</v>
      </c>
      <c r="E588">
        <v>1</v>
      </c>
      <c r="F588" t="s">
        <v>1269</v>
      </c>
      <c r="G588" t="str">
        <f t="shared" si="9"/>
        <v>ATTACHIE FLAT UPPER TERRACE</v>
      </c>
      <c r="H588" t="s">
        <v>1265</v>
      </c>
      <c r="I588">
        <v>479</v>
      </c>
      <c r="L588">
        <v>42736</v>
      </c>
      <c r="M588" t="s">
        <v>1266</v>
      </c>
      <c r="N588" t="s">
        <v>1267</v>
      </c>
    </row>
    <row r="589" spans="1:28" x14ac:dyDescent="0.2">
      <c r="A589">
        <v>56.232999999999997</v>
      </c>
      <c r="B589">
        <v>-121.46599999999999</v>
      </c>
      <c r="C589" t="s">
        <v>46</v>
      </c>
      <c r="D589" t="s">
        <v>1270</v>
      </c>
      <c r="E589">
        <v>1</v>
      </c>
      <c r="F589" t="s">
        <v>1271</v>
      </c>
      <c r="G589" t="str">
        <f t="shared" si="9"/>
        <v>ATTACHIE PLATEAU</v>
      </c>
      <c r="H589" t="s">
        <v>1265</v>
      </c>
      <c r="I589">
        <v>646</v>
      </c>
      <c r="L589">
        <v>42736</v>
      </c>
      <c r="M589" t="s">
        <v>1266</v>
      </c>
      <c r="N589" t="s">
        <v>1267</v>
      </c>
    </row>
    <row r="590" spans="1:28" x14ac:dyDescent="0.2">
      <c r="A590">
        <v>56.274999999999999</v>
      </c>
      <c r="B590">
        <v>-121.21299999999999</v>
      </c>
      <c r="C590" t="s">
        <v>46</v>
      </c>
      <c r="D590" t="s">
        <v>1272</v>
      </c>
      <c r="E590">
        <v>1</v>
      </c>
      <c r="F590" t="s">
        <v>1273</v>
      </c>
      <c r="G590" t="str">
        <f t="shared" si="9"/>
        <v>BEAR FLAT</v>
      </c>
      <c r="H590" t="s">
        <v>1265</v>
      </c>
      <c r="I590">
        <v>475</v>
      </c>
      <c r="L590">
        <v>42736</v>
      </c>
      <c r="M590" t="s">
        <v>1266</v>
      </c>
      <c r="N590" t="s">
        <v>1267</v>
      </c>
    </row>
    <row r="591" spans="1:28" x14ac:dyDescent="0.2">
      <c r="A591">
        <v>56.12</v>
      </c>
      <c r="B591">
        <v>-121.70099999999999</v>
      </c>
      <c r="C591" t="s">
        <v>46</v>
      </c>
      <c r="D591" t="s">
        <v>1274</v>
      </c>
      <c r="E591">
        <v>1</v>
      </c>
      <c r="F591" t="s">
        <v>1275</v>
      </c>
      <c r="G591" t="str">
        <f t="shared" si="9"/>
        <v>FARRELL CREEK</v>
      </c>
      <c r="H591" t="s">
        <v>1265</v>
      </c>
      <c r="I591">
        <v>472</v>
      </c>
      <c r="L591">
        <v>42736</v>
      </c>
      <c r="M591" t="s">
        <v>1266</v>
      </c>
      <c r="N591" t="s">
        <v>1267</v>
      </c>
    </row>
    <row r="592" spans="1:28" x14ac:dyDescent="0.2">
      <c r="A592">
        <v>56.203000000000003</v>
      </c>
      <c r="B592">
        <v>-120.902</v>
      </c>
      <c r="C592" t="s">
        <v>46</v>
      </c>
      <c r="D592" t="s">
        <v>1276</v>
      </c>
      <c r="E592">
        <v>1</v>
      </c>
      <c r="F592" t="s">
        <v>1277</v>
      </c>
      <c r="G592" t="str">
        <f t="shared" si="9"/>
        <v>SITE C NORTH CAMP</v>
      </c>
      <c r="H592" t="s">
        <v>1265</v>
      </c>
      <c r="I592">
        <v>583</v>
      </c>
      <c r="L592">
        <v>42736</v>
      </c>
      <c r="M592" t="s">
        <v>1266</v>
      </c>
      <c r="N592" t="s">
        <v>1267</v>
      </c>
    </row>
    <row r="593" spans="1:24" x14ac:dyDescent="0.2">
      <c r="A593">
        <v>56.231999999999999</v>
      </c>
      <c r="B593" s="75">
        <v>-120.854</v>
      </c>
      <c r="C593" t="s">
        <v>46</v>
      </c>
      <c r="D593" t="s">
        <v>1278</v>
      </c>
      <c r="E593">
        <v>2</v>
      </c>
      <c r="F593" t="s">
        <v>1279</v>
      </c>
      <c r="G593" t="str">
        <f t="shared" si="9"/>
        <v>85TH AVE</v>
      </c>
      <c r="H593" t="s">
        <v>1265</v>
      </c>
      <c r="I593">
        <v>686</v>
      </c>
      <c r="L593" t="s">
        <v>1280</v>
      </c>
      <c r="M593" t="s">
        <v>1266</v>
      </c>
      <c r="N593" t="s">
        <v>1267</v>
      </c>
      <c r="W593" t="s">
        <v>40</v>
      </c>
    </row>
    <row r="594" spans="1:24" x14ac:dyDescent="0.2">
      <c r="A594">
        <v>56.167000000000002</v>
      </c>
      <c r="B594">
        <v>-120.758</v>
      </c>
      <c r="C594" t="s">
        <v>46</v>
      </c>
      <c r="D594" t="s">
        <v>1281</v>
      </c>
      <c r="E594">
        <v>1</v>
      </c>
      <c r="F594" t="s">
        <v>1282</v>
      </c>
      <c r="G594" t="str">
        <f t="shared" si="9"/>
        <v>TAYLOR BISON</v>
      </c>
      <c r="H594" t="s">
        <v>1265</v>
      </c>
      <c r="I594">
        <v>411</v>
      </c>
      <c r="L594">
        <v>42992</v>
      </c>
      <c r="M594" t="s">
        <v>1266</v>
      </c>
      <c r="N594" t="s">
        <v>1267</v>
      </c>
    </row>
    <row r="595" spans="1:24" x14ac:dyDescent="0.2">
      <c r="A595">
        <v>56.237000000000002</v>
      </c>
      <c r="B595">
        <v>-120.95399999999999</v>
      </c>
      <c r="C595" t="s">
        <v>46</v>
      </c>
      <c r="D595" t="s">
        <v>1283</v>
      </c>
      <c r="E595">
        <v>1</v>
      </c>
      <c r="F595" t="s">
        <v>1284</v>
      </c>
      <c r="G595" t="str">
        <f t="shared" si="9"/>
        <v>TEA CREEK</v>
      </c>
      <c r="H595" t="s">
        <v>1265</v>
      </c>
      <c r="I595">
        <v>653</v>
      </c>
      <c r="L595">
        <v>42991</v>
      </c>
      <c r="M595" t="s">
        <v>1266</v>
      </c>
      <c r="N595" t="s">
        <v>1267</v>
      </c>
    </row>
    <row r="596" spans="1:24" x14ac:dyDescent="0.2">
      <c r="A596">
        <v>52.90666667</v>
      </c>
      <c r="B596">
        <v>-118.54766669999999</v>
      </c>
      <c r="C596" t="s">
        <v>61</v>
      </c>
      <c r="D596" t="s">
        <v>1285</v>
      </c>
      <c r="E596">
        <v>6</v>
      </c>
      <c r="F596" t="s">
        <v>1286</v>
      </c>
      <c r="G596" t="str">
        <f t="shared" si="9"/>
        <v>YELLOWHEAD LAKE</v>
      </c>
      <c r="H596" t="s">
        <v>1287</v>
      </c>
      <c r="I596">
        <v>1860</v>
      </c>
      <c r="L596" t="s">
        <v>1288</v>
      </c>
      <c r="M596" t="s">
        <v>1289</v>
      </c>
      <c r="N596" t="s">
        <v>1290</v>
      </c>
      <c r="O596" t="s">
        <v>1291</v>
      </c>
      <c r="R596" t="s">
        <v>36</v>
      </c>
      <c r="T596" t="s">
        <v>695</v>
      </c>
      <c r="U596" t="s">
        <v>39</v>
      </c>
      <c r="V596" t="s">
        <v>1043</v>
      </c>
    </row>
    <row r="597" spans="1:24" x14ac:dyDescent="0.2">
      <c r="A597">
        <v>53.307749999999999</v>
      </c>
      <c r="B597">
        <v>-120.3172778</v>
      </c>
      <c r="C597" t="s">
        <v>61</v>
      </c>
      <c r="D597" t="s">
        <v>1292</v>
      </c>
      <c r="E597">
        <v>5</v>
      </c>
      <c r="F597" t="s">
        <v>1293</v>
      </c>
      <c r="G597" t="str">
        <f t="shared" si="9"/>
        <v>MCBRIDE UPPER</v>
      </c>
      <c r="H597" t="s">
        <v>1287</v>
      </c>
      <c r="I597">
        <v>1580</v>
      </c>
      <c r="J597" t="s">
        <v>253</v>
      </c>
      <c r="L597" t="s">
        <v>1294</v>
      </c>
      <c r="M597" t="s">
        <v>1289</v>
      </c>
      <c r="N597" t="s">
        <v>1290</v>
      </c>
      <c r="O597" t="s">
        <v>1291</v>
      </c>
      <c r="R597" t="s">
        <v>36</v>
      </c>
      <c r="T597" t="s">
        <v>695</v>
      </c>
      <c r="U597" t="s">
        <v>39</v>
      </c>
      <c r="V597" t="s">
        <v>1043</v>
      </c>
    </row>
    <row r="598" spans="1:24" x14ac:dyDescent="0.2">
      <c r="A598">
        <v>53.056833330000003</v>
      </c>
      <c r="B598">
        <v>-121.491</v>
      </c>
      <c r="C598" t="s">
        <v>61</v>
      </c>
      <c r="D598" t="s">
        <v>1295</v>
      </c>
      <c r="E598">
        <v>4</v>
      </c>
      <c r="F598" t="s">
        <v>1296</v>
      </c>
      <c r="G598" t="str">
        <f t="shared" si="9"/>
        <v>BARKERVILLE</v>
      </c>
      <c r="H598" t="s">
        <v>1287</v>
      </c>
      <c r="I598">
        <v>1480</v>
      </c>
      <c r="J598" t="s">
        <v>253</v>
      </c>
      <c r="L598" t="s">
        <v>1297</v>
      </c>
      <c r="M598" t="s">
        <v>1289</v>
      </c>
      <c r="N598" t="s">
        <v>1290</v>
      </c>
      <c r="O598" t="s">
        <v>1291</v>
      </c>
      <c r="R598" t="s">
        <v>36</v>
      </c>
      <c r="T598" t="s">
        <v>695</v>
      </c>
      <c r="U598" t="s">
        <v>39</v>
      </c>
      <c r="V598" t="s">
        <v>1043</v>
      </c>
    </row>
    <row r="599" spans="1:24" x14ac:dyDescent="0.2">
      <c r="A599">
        <v>53.950830000000003</v>
      </c>
      <c r="B599">
        <v>-121.443056</v>
      </c>
      <c r="C599" t="s">
        <v>272</v>
      </c>
      <c r="D599" t="s">
        <v>1298</v>
      </c>
      <c r="E599">
        <v>8</v>
      </c>
      <c r="F599" t="s">
        <v>1299</v>
      </c>
      <c r="G599" t="str">
        <f t="shared" si="9"/>
        <v>LONGWORTH UPPER</v>
      </c>
      <c r="H599" t="s">
        <v>1287</v>
      </c>
      <c r="I599">
        <v>1693</v>
      </c>
      <c r="K599" t="s">
        <v>1300</v>
      </c>
      <c r="L599" t="s">
        <v>1301</v>
      </c>
      <c r="M599" t="s">
        <v>1289</v>
      </c>
      <c r="N599" t="s">
        <v>1290</v>
      </c>
      <c r="O599" t="s">
        <v>1291</v>
      </c>
      <c r="R599" t="s">
        <v>36</v>
      </c>
      <c r="T599" t="s">
        <v>695</v>
      </c>
      <c r="U599" t="s">
        <v>39</v>
      </c>
      <c r="V599" t="s">
        <v>1043</v>
      </c>
    </row>
    <row r="600" spans="1:24" x14ac:dyDescent="0.2">
      <c r="A600">
        <v>54.105555559999999</v>
      </c>
      <c r="B600">
        <v>-121.0036111</v>
      </c>
      <c r="C600" t="s">
        <v>272</v>
      </c>
      <c r="D600" t="s">
        <v>1302</v>
      </c>
      <c r="E600">
        <v>4</v>
      </c>
      <c r="F600" t="s">
        <v>1303</v>
      </c>
      <c r="G600" t="str">
        <f t="shared" si="9"/>
        <v>HEDRICK LAKE</v>
      </c>
      <c r="H600" t="s">
        <v>1287</v>
      </c>
      <c r="I600">
        <v>1100</v>
      </c>
      <c r="L600" t="s">
        <v>1304</v>
      </c>
      <c r="M600" t="s">
        <v>1289</v>
      </c>
      <c r="N600" t="s">
        <v>1290</v>
      </c>
      <c r="O600" t="s">
        <v>1291</v>
      </c>
      <c r="R600" t="s">
        <v>36</v>
      </c>
      <c r="T600" t="s">
        <v>695</v>
      </c>
      <c r="U600" t="s">
        <v>39</v>
      </c>
      <c r="V600" t="s">
        <v>1043</v>
      </c>
    </row>
    <row r="601" spans="1:24" x14ac:dyDescent="0.2">
      <c r="A601">
        <v>54.30277778</v>
      </c>
      <c r="B601">
        <v>-120.7824444</v>
      </c>
      <c r="C601" t="s">
        <v>272</v>
      </c>
      <c r="D601" t="s">
        <v>1305</v>
      </c>
      <c r="E601">
        <v>8</v>
      </c>
      <c r="F601" t="s">
        <v>1306</v>
      </c>
      <c r="G601" t="str">
        <f t="shared" si="9"/>
        <v>KNUDSON LAKE</v>
      </c>
      <c r="H601" t="s">
        <v>1287</v>
      </c>
      <c r="I601">
        <v>1601</v>
      </c>
      <c r="L601" t="s">
        <v>1307</v>
      </c>
      <c r="M601" t="s">
        <v>1289</v>
      </c>
      <c r="N601" t="s">
        <v>1290</v>
      </c>
      <c r="O601" t="s">
        <v>1291</v>
      </c>
      <c r="R601" t="s">
        <v>36</v>
      </c>
      <c r="T601" t="s">
        <v>695</v>
      </c>
      <c r="U601" t="s">
        <v>39</v>
      </c>
      <c r="V601" t="s">
        <v>1043</v>
      </c>
    </row>
    <row r="602" spans="1:24" x14ac:dyDescent="0.2">
      <c r="A602">
        <v>53.784166669999998</v>
      </c>
      <c r="B602">
        <v>-120.37516669999999</v>
      </c>
      <c r="C602" t="s">
        <v>272</v>
      </c>
      <c r="D602" t="s">
        <v>1308</v>
      </c>
      <c r="E602">
        <v>8</v>
      </c>
      <c r="F602" t="s">
        <v>1309</v>
      </c>
      <c r="G602" t="str">
        <f t="shared" si="9"/>
        <v>REVOLUTION CREEK</v>
      </c>
      <c r="H602" t="s">
        <v>1287</v>
      </c>
      <c r="I602">
        <v>1690</v>
      </c>
      <c r="J602" t="s">
        <v>253</v>
      </c>
      <c r="L602" t="s">
        <v>1310</v>
      </c>
      <c r="M602" t="s">
        <v>1289</v>
      </c>
      <c r="N602" t="s">
        <v>1290</v>
      </c>
      <c r="O602" t="s">
        <v>1291</v>
      </c>
      <c r="R602" t="s">
        <v>36</v>
      </c>
      <c r="T602" t="s">
        <v>695</v>
      </c>
      <c r="U602" t="s">
        <v>39</v>
      </c>
      <c r="V602" t="s">
        <v>1043</v>
      </c>
    </row>
    <row r="603" spans="1:24" x14ac:dyDescent="0.2">
      <c r="A603">
        <v>53.622083330000002</v>
      </c>
      <c r="B603">
        <v>-121.0244167</v>
      </c>
      <c r="C603" t="s">
        <v>61</v>
      </c>
      <c r="D603" t="s">
        <v>1311</v>
      </c>
      <c r="E603">
        <v>6</v>
      </c>
      <c r="F603" t="s">
        <v>1312</v>
      </c>
      <c r="G603" t="str">
        <f t="shared" si="9"/>
        <v>DOME MOUNTAIN</v>
      </c>
      <c r="H603" t="s">
        <v>1287</v>
      </c>
      <c r="I603">
        <v>1820</v>
      </c>
      <c r="L603" t="s">
        <v>1313</v>
      </c>
      <c r="M603" t="s">
        <v>1289</v>
      </c>
      <c r="N603" t="s">
        <v>1290</v>
      </c>
      <c r="O603" t="s">
        <v>1291</v>
      </c>
      <c r="R603" t="s">
        <v>36</v>
      </c>
      <c r="T603" t="s">
        <v>695</v>
      </c>
      <c r="U603" t="s">
        <v>39</v>
      </c>
      <c r="V603" t="s">
        <v>1043</v>
      </c>
    </row>
    <row r="604" spans="1:24" x14ac:dyDescent="0.2">
      <c r="A604">
        <v>51.904530000000001</v>
      </c>
      <c r="B604">
        <v>-121.25604</v>
      </c>
      <c r="C604" t="s">
        <v>29</v>
      </c>
      <c r="D604" t="s">
        <v>1314</v>
      </c>
      <c r="E604">
        <v>8</v>
      </c>
      <c r="F604" t="s">
        <v>1315</v>
      </c>
      <c r="G604" t="str">
        <f t="shared" si="9"/>
        <v>MOUNT TIMOTHY</v>
      </c>
      <c r="H604" t="s">
        <v>1287</v>
      </c>
      <c r="I604">
        <v>1630</v>
      </c>
      <c r="L604" t="s">
        <v>1316</v>
      </c>
      <c r="M604" t="s">
        <v>1289</v>
      </c>
      <c r="N604" t="s">
        <v>1290</v>
      </c>
      <c r="O604" t="s">
        <v>1291</v>
      </c>
      <c r="R604" t="s">
        <v>36</v>
      </c>
      <c r="S604" t="s">
        <v>37</v>
      </c>
      <c r="T604" t="s">
        <v>695</v>
      </c>
      <c r="U604" t="s">
        <v>39</v>
      </c>
      <c r="V604" t="s">
        <v>1043</v>
      </c>
      <c r="X604" t="s">
        <v>257</v>
      </c>
    </row>
    <row r="605" spans="1:24" x14ac:dyDescent="0.2">
      <c r="A605">
        <v>52.106833330000001</v>
      </c>
      <c r="B605">
        <v>-120.86750000000001</v>
      </c>
      <c r="C605" t="s">
        <v>61</v>
      </c>
      <c r="D605" t="s">
        <v>1317</v>
      </c>
      <c r="E605">
        <v>4</v>
      </c>
      <c r="F605" t="s">
        <v>1318</v>
      </c>
      <c r="G605" t="str">
        <f t="shared" si="9"/>
        <v>BOSS MOUNTAIN MINE</v>
      </c>
      <c r="H605" t="s">
        <v>1287</v>
      </c>
      <c r="I605">
        <v>1460</v>
      </c>
      <c r="J605" t="s">
        <v>253</v>
      </c>
      <c r="L605" t="s">
        <v>1319</v>
      </c>
      <c r="M605" t="s">
        <v>1289</v>
      </c>
      <c r="N605" t="s">
        <v>1290</v>
      </c>
      <c r="O605" t="s">
        <v>1291</v>
      </c>
      <c r="R605" t="s">
        <v>36</v>
      </c>
      <c r="T605" t="s">
        <v>695</v>
      </c>
      <c r="U605" t="s">
        <v>39</v>
      </c>
      <c r="V605" t="s">
        <v>1043</v>
      </c>
    </row>
    <row r="606" spans="1:24" x14ac:dyDescent="0.2">
      <c r="A606">
        <v>52.109000000000002</v>
      </c>
      <c r="B606">
        <v>-124.15273000000001</v>
      </c>
      <c r="C606" t="s">
        <v>29</v>
      </c>
      <c r="D606" t="s">
        <v>1320</v>
      </c>
      <c r="E606">
        <v>2</v>
      </c>
      <c r="F606" t="s">
        <v>1321</v>
      </c>
      <c r="G606" t="str">
        <f t="shared" si="9"/>
        <v>PUNTZI</v>
      </c>
      <c r="H606" t="s">
        <v>1287</v>
      </c>
      <c r="I606">
        <v>920</v>
      </c>
      <c r="L606" t="s">
        <v>1322</v>
      </c>
      <c r="M606" t="s">
        <v>1289</v>
      </c>
      <c r="N606" t="s">
        <v>1290</v>
      </c>
      <c r="O606" t="s">
        <v>1291</v>
      </c>
      <c r="R606" t="s">
        <v>36</v>
      </c>
      <c r="U606" t="s">
        <v>39</v>
      </c>
      <c r="V606" t="s">
        <v>1323</v>
      </c>
    </row>
    <row r="607" spans="1:24" x14ac:dyDescent="0.2">
      <c r="A607">
        <v>52.748820000000002</v>
      </c>
      <c r="B607">
        <v>-120.56057</v>
      </c>
      <c r="C607" t="s">
        <v>29</v>
      </c>
      <c r="D607" t="s">
        <v>1324</v>
      </c>
      <c r="E607">
        <v>6</v>
      </c>
      <c r="F607" t="s">
        <v>1325</v>
      </c>
      <c r="G607" t="str">
        <f t="shared" si="9"/>
        <v>PENFOLD CREEK</v>
      </c>
      <c r="H607" t="s">
        <v>1287</v>
      </c>
      <c r="I607">
        <v>1740</v>
      </c>
      <c r="L607" t="s">
        <v>1326</v>
      </c>
      <c r="M607" t="s">
        <v>1289</v>
      </c>
      <c r="N607" t="s">
        <v>1290</v>
      </c>
      <c r="O607" t="s">
        <v>1291</v>
      </c>
      <c r="R607" t="s">
        <v>36</v>
      </c>
      <c r="S607" t="s">
        <v>37</v>
      </c>
      <c r="T607" t="s">
        <v>695</v>
      </c>
      <c r="U607" t="s">
        <v>39</v>
      </c>
      <c r="V607" t="s">
        <v>1043</v>
      </c>
    </row>
    <row r="608" spans="1:24" x14ac:dyDescent="0.2">
      <c r="A608">
        <v>49.855950999999997</v>
      </c>
      <c r="B608">
        <v>-120.862891</v>
      </c>
      <c r="C608" t="s">
        <v>86</v>
      </c>
      <c r="D608" t="s">
        <v>1327</v>
      </c>
      <c r="E608">
        <v>6</v>
      </c>
      <c r="F608" t="s">
        <v>1328</v>
      </c>
      <c r="G608" t="str">
        <f t="shared" si="9"/>
        <v>SHOVELNOSE</v>
      </c>
      <c r="H608" t="s">
        <v>1287</v>
      </c>
      <c r="I608">
        <v>1460</v>
      </c>
      <c r="L608" t="s">
        <v>505</v>
      </c>
      <c r="M608" t="s">
        <v>1289</v>
      </c>
      <c r="N608" t="s">
        <v>1290</v>
      </c>
      <c r="O608" t="s">
        <v>1291</v>
      </c>
      <c r="R608" t="s">
        <v>36</v>
      </c>
      <c r="T608" t="s">
        <v>695</v>
      </c>
      <c r="U608" t="s">
        <v>39</v>
      </c>
      <c r="V608" t="s">
        <v>1043</v>
      </c>
    </row>
    <row r="609" spans="1:24" x14ac:dyDescent="0.2">
      <c r="A609">
        <v>51.098509999999997</v>
      </c>
      <c r="B609">
        <v>-120.60969</v>
      </c>
      <c r="C609" t="s">
        <v>86</v>
      </c>
      <c r="D609" t="s">
        <v>1329</v>
      </c>
      <c r="E609">
        <v>6</v>
      </c>
      <c r="F609" t="s">
        <v>1330</v>
      </c>
      <c r="G609" t="str">
        <f t="shared" si="9"/>
        <v>DEADMAN RIVER</v>
      </c>
      <c r="H609" t="s">
        <v>1287</v>
      </c>
      <c r="I609">
        <v>1430</v>
      </c>
      <c r="L609" t="s">
        <v>1331</v>
      </c>
      <c r="M609" t="s">
        <v>1289</v>
      </c>
      <c r="N609" t="s">
        <v>1290</v>
      </c>
      <c r="O609" t="s">
        <v>1291</v>
      </c>
      <c r="R609" t="s">
        <v>36</v>
      </c>
      <c r="S609" t="s">
        <v>37</v>
      </c>
      <c r="T609" t="s">
        <v>695</v>
      </c>
      <c r="U609" t="s">
        <v>39</v>
      </c>
      <c r="V609" t="s">
        <v>1043</v>
      </c>
      <c r="X609" t="s">
        <v>257</v>
      </c>
    </row>
    <row r="610" spans="1:24" x14ac:dyDescent="0.2">
      <c r="A610">
        <v>52.831666669999997</v>
      </c>
      <c r="B610">
        <v>-121.3548333</v>
      </c>
      <c r="C610" t="s">
        <v>61</v>
      </c>
      <c r="D610" t="s">
        <v>1332</v>
      </c>
      <c r="E610">
        <v>5</v>
      </c>
      <c r="F610" t="s">
        <v>1333</v>
      </c>
      <c r="G610" t="str">
        <f t="shared" si="9"/>
        <v>YANKS PEAK</v>
      </c>
      <c r="H610" t="s">
        <v>1287</v>
      </c>
      <c r="I610">
        <v>1670</v>
      </c>
      <c r="J610" t="s">
        <v>253</v>
      </c>
      <c r="L610" t="s">
        <v>1334</v>
      </c>
      <c r="M610" t="s">
        <v>1289</v>
      </c>
      <c r="N610" t="s">
        <v>1290</v>
      </c>
      <c r="O610" t="s">
        <v>1291</v>
      </c>
      <c r="R610" t="s">
        <v>36</v>
      </c>
      <c r="T610" t="s">
        <v>695</v>
      </c>
      <c r="U610" t="s">
        <v>39</v>
      </c>
      <c r="V610" t="s">
        <v>1043</v>
      </c>
    </row>
    <row r="611" spans="1:24" x14ac:dyDescent="0.2">
      <c r="A611">
        <v>49.948639</v>
      </c>
      <c r="B611">
        <v>-120.28227</v>
      </c>
      <c r="C611" t="s">
        <v>86</v>
      </c>
      <c r="D611" t="s">
        <v>1335</v>
      </c>
      <c r="E611">
        <v>7</v>
      </c>
      <c r="F611" t="s">
        <v>1336</v>
      </c>
      <c r="G611" t="str">
        <f t="shared" si="9"/>
        <v>PARADISE LAKE</v>
      </c>
      <c r="H611" t="s">
        <v>1287</v>
      </c>
      <c r="I611">
        <v>1640</v>
      </c>
      <c r="L611" t="s">
        <v>1337</v>
      </c>
      <c r="M611" t="s">
        <v>1289</v>
      </c>
      <c r="N611" t="s">
        <v>1290</v>
      </c>
      <c r="O611" t="s">
        <v>1291</v>
      </c>
      <c r="R611" t="s">
        <v>36</v>
      </c>
      <c r="S611" t="s">
        <v>37</v>
      </c>
      <c r="T611" t="s">
        <v>695</v>
      </c>
      <c r="U611" t="s">
        <v>39</v>
      </c>
      <c r="V611" t="s">
        <v>1043</v>
      </c>
      <c r="X611" t="s">
        <v>257</v>
      </c>
    </row>
    <row r="612" spans="1:24" x14ac:dyDescent="0.2">
      <c r="A612">
        <v>49.707639999999998</v>
      </c>
      <c r="B612">
        <v>-121.08547</v>
      </c>
      <c r="C612" t="s">
        <v>204</v>
      </c>
      <c r="D612" t="s">
        <v>1338</v>
      </c>
      <c r="E612">
        <v>8</v>
      </c>
      <c r="F612" t="s">
        <v>1339</v>
      </c>
      <c r="G612" t="str">
        <f t="shared" si="9"/>
        <v>JULY MOUNTAIN</v>
      </c>
      <c r="H612" t="s">
        <v>1287</v>
      </c>
      <c r="I612">
        <v>1860</v>
      </c>
      <c r="L612" t="s">
        <v>1340</v>
      </c>
      <c r="M612" t="s">
        <v>1289</v>
      </c>
      <c r="N612" t="s">
        <v>1290</v>
      </c>
      <c r="O612" t="s">
        <v>1291</v>
      </c>
      <c r="R612" t="s">
        <v>36</v>
      </c>
      <c r="S612" t="s">
        <v>37</v>
      </c>
      <c r="T612" t="s">
        <v>695</v>
      </c>
      <c r="U612" t="s">
        <v>39</v>
      </c>
      <c r="V612" t="s">
        <v>1043</v>
      </c>
      <c r="X612" t="s">
        <v>257</v>
      </c>
    </row>
    <row r="613" spans="1:24" x14ac:dyDescent="0.2">
      <c r="A613">
        <v>50.539499999999997</v>
      </c>
      <c r="B613">
        <v>-122.9398333</v>
      </c>
      <c r="C613" t="s">
        <v>86</v>
      </c>
      <c r="D613" t="s">
        <v>1341</v>
      </c>
      <c r="E613">
        <v>7</v>
      </c>
      <c r="F613" t="s">
        <v>1342</v>
      </c>
      <c r="G613" t="str">
        <f t="shared" si="9"/>
        <v>TENQUILLE LAKE</v>
      </c>
      <c r="H613" t="s">
        <v>1287</v>
      </c>
      <c r="I613">
        <v>1680</v>
      </c>
      <c r="L613" t="s">
        <v>1343</v>
      </c>
      <c r="M613" t="s">
        <v>1289</v>
      </c>
      <c r="N613" t="s">
        <v>1290</v>
      </c>
      <c r="O613" t="s">
        <v>1291</v>
      </c>
      <c r="R613" t="s">
        <v>36</v>
      </c>
      <c r="T613" t="s">
        <v>695</v>
      </c>
      <c r="U613" t="s">
        <v>39</v>
      </c>
      <c r="V613" t="s">
        <v>1043</v>
      </c>
    </row>
    <row r="614" spans="1:24" x14ac:dyDescent="0.2">
      <c r="A614">
        <v>49.03166667</v>
      </c>
      <c r="B614">
        <v>-121.71250000000001</v>
      </c>
      <c r="C614" t="s">
        <v>204</v>
      </c>
      <c r="D614" t="s">
        <v>1344</v>
      </c>
      <c r="E614">
        <v>7</v>
      </c>
      <c r="F614" t="s">
        <v>1345</v>
      </c>
      <c r="G614" t="str">
        <f t="shared" si="9"/>
        <v>CHILLIWACK RIVER</v>
      </c>
      <c r="H614" t="s">
        <v>1287</v>
      </c>
      <c r="I614">
        <v>1600</v>
      </c>
      <c r="J614" t="s">
        <v>253</v>
      </c>
      <c r="L614" t="s">
        <v>1346</v>
      </c>
      <c r="M614" t="s">
        <v>1289</v>
      </c>
      <c r="N614" t="s">
        <v>1290</v>
      </c>
      <c r="O614" t="s">
        <v>1291</v>
      </c>
      <c r="R614" t="s">
        <v>36</v>
      </c>
      <c r="T614" t="s">
        <v>695</v>
      </c>
      <c r="U614" t="s">
        <v>39</v>
      </c>
      <c r="V614" t="s">
        <v>1043</v>
      </c>
    </row>
    <row r="615" spans="1:24" x14ac:dyDescent="0.2">
      <c r="A615">
        <v>49.660833330000003</v>
      </c>
      <c r="B615">
        <v>-121.65783329999999</v>
      </c>
      <c r="C615" t="s">
        <v>204</v>
      </c>
      <c r="D615" t="s">
        <v>1347</v>
      </c>
      <c r="E615">
        <v>6</v>
      </c>
      <c r="F615" t="s">
        <v>1348</v>
      </c>
      <c r="G615" t="str">
        <f t="shared" si="9"/>
        <v>SPUZZUM CREEK</v>
      </c>
      <c r="H615" t="s">
        <v>1287</v>
      </c>
      <c r="I615">
        <v>1180</v>
      </c>
      <c r="L615" t="s">
        <v>1349</v>
      </c>
      <c r="M615" t="s">
        <v>1289</v>
      </c>
      <c r="N615" t="s">
        <v>1290</v>
      </c>
      <c r="O615" t="s">
        <v>1291</v>
      </c>
      <c r="R615" t="s">
        <v>36</v>
      </c>
      <c r="T615" t="s">
        <v>695</v>
      </c>
      <c r="U615" t="s">
        <v>39</v>
      </c>
      <c r="V615" t="s">
        <v>1043</v>
      </c>
    </row>
    <row r="616" spans="1:24" x14ac:dyDescent="0.2">
      <c r="A616">
        <v>52.182777780000002</v>
      </c>
      <c r="B616">
        <v>-119.3213889</v>
      </c>
      <c r="C616" t="s">
        <v>61</v>
      </c>
      <c r="D616" t="s">
        <v>1350</v>
      </c>
      <c r="E616">
        <v>5</v>
      </c>
      <c r="F616" t="s">
        <v>1351</v>
      </c>
      <c r="G616" t="str">
        <f t="shared" si="9"/>
        <v>MOUNT COOK</v>
      </c>
      <c r="H616" t="s">
        <v>1287</v>
      </c>
      <c r="I616">
        <v>1550</v>
      </c>
      <c r="L616" t="s">
        <v>1352</v>
      </c>
      <c r="M616" t="s">
        <v>1289</v>
      </c>
      <c r="N616" t="s">
        <v>1290</v>
      </c>
      <c r="O616" t="s">
        <v>1291</v>
      </c>
      <c r="R616" t="s">
        <v>36</v>
      </c>
      <c r="T616" t="s">
        <v>695</v>
      </c>
      <c r="U616" t="s">
        <v>39</v>
      </c>
      <c r="V616" t="s">
        <v>1043</v>
      </c>
    </row>
    <row r="617" spans="1:24" x14ac:dyDescent="0.2">
      <c r="A617">
        <v>51.808368999999999</v>
      </c>
      <c r="B617">
        <v>-119.940639</v>
      </c>
      <c r="C617" t="s">
        <v>61</v>
      </c>
      <c r="D617" t="s">
        <v>1353</v>
      </c>
      <c r="E617">
        <v>6</v>
      </c>
      <c r="F617" t="s">
        <v>1354</v>
      </c>
      <c r="G617" t="str">
        <f t="shared" si="9"/>
        <v>TROPHY MOUNTAIN</v>
      </c>
      <c r="H617" t="s">
        <v>1287</v>
      </c>
      <c r="I617">
        <v>1880</v>
      </c>
      <c r="L617" t="s">
        <v>1355</v>
      </c>
      <c r="M617" t="s">
        <v>1289</v>
      </c>
      <c r="N617" t="s">
        <v>1290</v>
      </c>
      <c r="O617" t="s">
        <v>1291</v>
      </c>
      <c r="R617" t="s">
        <v>36</v>
      </c>
      <c r="S617" t="s">
        <v>37</v>
      </c>
      <c r="T617" t="s">
        <v>695</v>
      </c>
      <c r="U617" t="s">
        <v>39</v>
      </c>
      <c r="V617" t="s">
        <v>1043</v>
      </c>
      <c r="X617" t="s">
        <v>257</v>
      </c>
    </row>
    <row r="618" spans="1:24" x14ac:dyDescent="0.2">
      <c r="A618">
        <v>52.59566667</v>
      </c>
      <c r="B618">
        <v>-119.7238333</v>
      </c>
      <c r="C618" t="s">
        <v>61</v>
      </c>
      <c r="D618" t="s">
        <v>1356</v>
      </c>
      <c r="E618">
        <v>5</v>
      </c>
      <c r="F618" t="s">
        <v>1357</v>
      </c>
      <c r="G618" t="str">
        <f t="shared" si="9"/>
        <v>AZURE RIVER</v>
      </c>
      <c r="H618" t="s">
        <v>1287</v>
      </c>
      <c r="I618">
        <v>1620</v>
      </c>
      <c r="J618" t="s">
        <v>253</v>
      </c>
      <c r="L618" t="s">
        <v>1358</v>
      </c>
      <c r="M618" t="s">
        <v>1289</v>
      </c>
      <c r="N618" t="s">
        <v>1290</v>
      </c>
      <c r="O618" t="s">
        <v>1291</v>
      </c>
      <c r="R618" t="s">
        <v>36</v>
      </c>
      <c r="T618" t="s">
        <v>695</v>
      </c>
      <c r="U618" t="s">
        <v>39</v>
      </c>
      <c r="V618" t="s">
        <v>1043</v>
      </c>
    </row>
    <row r="619" spans="1:24" x14ac:dyDescent="0.2">
      <c r="A619">
        <v>52.203666669999997</v>
      </c>
      <c r="B619">
        <v>-120.0321667</v>
      </c>
      <c r="C619" t="s">
        <v>61</v>
      </c>
      <c r="D619" t="s">
        <v>1359</v>
      </c>
      <c r="E619">
        <v>6</v>
      </c>
      <c r="F619" t="s">
        <v>1360</v>
      </c>
      <c r="G619" t="str">
        <f t="shared" si="9"/>
        <v>KOSTAL LAKE</v>
      </c>
      <c r="H619" t="s">
        <v>1287</v>
      </c>
      <c r="I619">
        <v>1770</v>
      </c>
      <c r="J619" t="s">
        <v>253</v>
      </c>
      <c r="L619" t="s">
        <v>1361</v>
      </c>
      <c r="M619" t="s">
        <v>1289</v>
      </c>
      <c r="N619" t="s">
        <v>1290</v>
      </c>
      <c r="O619" t="s">
        <v>1291</v>
      </c>
      <c r="R619" t="s">
        <v>36</v>
      </c>
      <c r="T619" t="s">
        <v>695</v>
      </c>
      <c r="U619" t="s">
        <v>39</v>
      </c>
      <c r="V619" t="s">
        <v>1043</v>
      </c>
    </row>
    <row r="620" spans="1:24" x14ac:dyDescent="0.2">
      <c r="A620">
        <v>52.167819999999999</v>
      </c>
      <c r="B620">
        <v>-119.30363199999999</v>
      </c>
      <c r="C620" t="s">
        <v>61</v>
      </c>
      <c r="D620" t="s">
        <v>1362</v>
      </c>
      <c r="E620">
        <v>3</v>
      </c>
      <c r="F620" t="s">
        <v>1363</v>
      </c>
      <c r="G620" t="str">
        <f t="shared" si="9"/>
        <v>COOK CREEK</v>
      </c>
      <c r="H620" t="s">
        <v>1287</v>
      </c>
      <c r="I620">
        <v>1280</v>
      </c>
      <c r="K620">
        <v>36422</v>
      </c>
      <c r="L620" t="s">
        <v>1364</v>
      </c>
      <c r="M620" t="s">
        <v>1289</v>
      </c>
      <c r="N620" t="s">
        <v>1290</v>
      </c>
      <c r="O620" t="s">
        <v>1291</v>
      </c>
      <c r="R620" t="s">
        <v>36</v>
      </c>
      <c r="T620" t="s">
        <v>695</v>
      </c>
      <c r="U620" t="s">
        <v>39</v>
      </c>
      <c r="V620" t="s">
        <v>1043</v>
      </c>
    </row>
    <row r="621" spans="1:24" x14ac:dyDescent="0.2">
      <c r="A621">
        <v>50.4495</v>
      </c>
      <c r="B621">
        <v>-118.6185</v>
      </c>
      <c r="C621" t="s">
        <v>61</v>
      </c>
      <c r="D621" t="s">
        <v>1365</v>
      </c>
      <c r="E621">
        <v>6</v>
      </c>
      <c r="F621" t="s">
        <v>1366</v>
      </c>
      <c r="G621" t="str">
        <f t="shared" si="9"/>
        <v>PARK MOUNTAIN</v>
      </c>
      <c r="H621" t="s">
        <v>1287</v>
      </c>
      <c r="I621">
        <v>1890</v>
      </c>
      <c r="J621" t="s">
        <v>253</v>
      </c>
      <c r="L621" t="s">
        <v>1367</v>
      </c>
      <c r="M621" t="s">
        <v>1289</v>
      </c>
      <c r="N621" t="s">
        <v>1290</v>
      </c>
      <c r="O621" t="s">
        <v>1291</v>
      </c>
      <c r="R621" t="s">
        <v>36</v>
      </c>
      <c r="T621" t="s">
        <v>695</v>
      </c>
      <c r="U621" t="s">
        <v>39</v>
      </c>
      <c r="V621" t="s">
        <v>1043</v>
      </c>
    </row>
    <row r="622" spans="1:24" x14ac:dyDescent="0.2">
      <c r="A622">
        <v>50.652472000000003</v>
      </c>
      <c r="B622">
        <v>-118.943556</v>
      </c>
      <c r="C622" t="s">
        <v>61</v>
      </c>
      <c r="D622" t="s">
        <v>1368</v>
      </c>
      <c r="E622">
        <v>7</v>
      </c>
      <c r="F622" t="s">
        <v>1369</v>
      </c>
      <c r="G622" t="str">
        <f t="shared" si="9"/>
        <v>ENDERBY</v>
      </c>
      <c r="H622" t="s">
        <v>1287</v>
      </c>
      <c r="I622">
        <v>1950</v>
      </c>
      <c r="K622" t="s">
        <v>1300</v>
      </c>
      <c r="L622" t="s">
        <v>1370</v>
      </c>
      <c r="M622" t="s">
        <v>1289</v>
      </c>
      <c r="N622" t="s">
        <v>1290</v>
      </c>
      <c r="O622" t="s">
        <v>1291</v>
      </c>
      <c r="R622" t="s">
        <v>36</v>
      </c>
      <c r="T622" t="s">
        <v>695</v>
      </c>
      <c r="U622" t="s">
        <v>39</v>
      </c>
      <c r="V622" t="s">
        <v>1043</v>
      </c>
    </row>
    <row r="623" spans="1:24" x14ac:dyDescent="0.2">
      <c r="A623">
        <v>51.406111109999998</v>
      </c>
      <c r="B623">
        <v>-118.9856944</v>
      </c>
      <c r="C623" t="s">
        <v>61</v>
      </c>
      <c r="D623" t="s">
        <v>1371</v>
      </c>
      <c r="E623">
        <v>4</v>
      </c>
      <c r="F623" t="s">
        <v>1372</v>
      </c>
      <c r="G623" t="str">
        <f t="shared" si="9"/>
        <v>CELISTA</v>
      </c>
      <c r="H623" t="s">
        <v>1287</v>
      </c>
      <c r="I623">
        <v>1525</v>
      </c>
      <c r="L623" t="s">
        <v>1373</v>
      </c>
      <c r="M623" t="s">
        <v>1289</v>
      </c>
      <c r="N623" t="s">
        <v>1290</v>
      </c>
      <c r="O623" t="s">
        <v>1291</v>
      </c>
      <c r="R623" t="s">
        <v>36</v>
      </c>
      <c r="T623" t="s">
        <v>695</v>
      </c>
      <c r="U623" t="s">
        <v>39</v>
      </c>
      <c r="V623" t="s">
        <v>1043</v>
      </c>
    </row>
    <row r="624" spans="1:24" x14ac:dyDescent="0.2">
      <c r="A624">
        <v>49.27017</v>
      </c>
      <c r="B624">
        <v>-118.13016</v>
      </c>
      <c r="C624" t="s">
        <v>61</v>
      </c>
      <c r="D624" t="s">
        <v>1374</v>
      </c>
      <c r="E624">
        <v>3</v>
      </c>
      <c r="F624" t="s">
        <v>1375</v>
      </c>
      <c r="G624" t="str">
        <f t="shared" si="9"/>
        <v>FARRON</v>
      </c>
      <c r="H624" t="s">
        <v>1287</v>
      </c>
      <c r="I624">
        <v>1230</v>
      </c>
      <c r="L624" t="s">
        <v>1376</v>
      </c>
      <c r="M624" t="s">
        <v>1289</v>
      </c>
      <c r="N624" t="s">
        <v>1290</v>
      </c>
      <c r="O624" t="s">
        <v>1291</v>
      </c>
      <c r="R624" t="s">
        <v>36</v>
      </c>
      <c r="S624" t="s">
        <v>37</v>
      </c>
      <c r="T624" t="s">
        <v>695</v>
      </c>
      <c r="U624" t="s">
        <v>39</v>
      </c>
      <c r="V624" t="s">
        <v>1043</v>
      </c>
    </row>
    <row r="625" spans="1:22" x14ac:dyDescent="0.2">
      <c r="A625">
        <v>49.611420000000003</v>
      </c>
      <c r="B625">
        <v>-116.6788</v>
      </c>
      <c r="C625" t="s">
        <v>61</v>
      </c>
      <c r="D625" t="s">
        <v>1377</v>
      </c>
      <c r="E625">
        <v>5</v>
      </c>
      <c r="F625" t="s">
        <v>1378</v>
      </c>
      <c r="G625" t="str">
        <f t="shared" si="9"/>
        <v>GRAY CREEK LOWER</v>
      </c>
      <c r="H625" t="s">
        <v>1287</v>
      </c>
      <c r="I625">
        <v>1650</v>
      </c>
      <c r="L625" t="s">
        <v>1379</v>
      </c>
      <c r="M625" t="s">
        <v>1289</v>
      </c>
      <c r="N625" t="s">
        <v>1290</v>
      </c>
      <c r="O625" t="s">
        <v>1291</v>
      </c>
      <c r="R625" t="s">
        <v>36</v>
      </c>
      <c r="S625" t="s">
        <v>37</v>
      </c>
      <c r="T625" t="s">
        <v>695</v>
      </c>
      <c r="U625" t="s">
        <v>39</v>
      </c>
    </row>
    <row r="626" spans="1:22" x14ac:dyDescent="0.2">
      <c r="A626">
        <v>49.61656</v>
      </c>
      <c r="B626">
        <v>-116.6584</v>
      </c>
      <c r="C626" t="s">
        <v>61</v>
      </c>
      <c r="D626" t="s">
        <v>1380</v>
      </c>
      <c r="E626">
        <v>7</v>
      </c>
      <c r="F626" t="s">
        <v>1381</v>
      </c>
      <c r="G626" t="str">
        <f t="shared" si="9"/>
        <v>GRAY CREEK UPPER</v>
      </c>
      <c r="H626" t="s">
        <v>1287</v>
      </c>
      <c r="I626">
        <v>1930</v>
      </c>
      <c r="L626" t="s">
        <v>1379</v>
      </c>
      <c r="M626" t="s">
        <v>1289</v>
      </c>
      <c r="N626" t="s">
        <v>1290</v>
      </c>
      <c r="O626" t="s">
        <v>1291</v>
      </c>
      <c r="R626" t="s">
        <v>36</v>
      </c>
      <c r="S626" t="s">
        <v>37</v>
      </c>
      <c r="T626" t="s">
        <v>695</v>
      </c>
      <c r="U626" t="s">
        <v>39</v>
      </c>
      <c r="V626" t="s">
        <v>1043</v>
      </c>
    </row>
    <row r="627" spans="1:22" x14ac:dyDescent="0.2">
      <c r="A627">
        <v>49.690166670000004</v>
      </c>
      <c r="B627">
        <v>-117.0865</v>
      </c>
      <c r="C627" t="s">
        <v>61</v>
      </c>
      <c r="D627" t="s">
        <v>1382</v>
      </c>
      <c r="E627">
        <v>7</v>
      </c>
      <c r="F627" t="s">
        <v>1383</v>
      </c>
      <c r="G627" t="str">
        <f t="shared" si="9"/>
        <v>REDFISH CREEK</v>
      </c>
      <c r="H627" t="s">
        <v>1287</v>
      </c>
      <c r="I627">
        <v>2100</v>
      </c>
      <c r="L627" t="s">
        <v>1384</v>
      </c>
      <c r="M627" t="s">
        <v>1289</v>
      </c>
      <c r="N627" t="s">
        <v>1290</v>
      </c>
      <c r="O627" t="s">
        <v>1291</v>
      </c>
      <c r="R627" t="s">
        <v>36</v>
      </c>
      <c r="T627" t="s">
        <v>695</v>
      </c>
      <c r="U627" t="s">
        <v>39</v>
      </c>
      <c r="V627" t="s">
        <v>1043</v>
      </c>
    </row>
    <row r="628" spans="1:22" x14ac:dyDescent="0.2">
      <c r="A628">
        <v>49.550666669999998</v>
      </c>
      <c r="B628">
        <v>-118.6776667</v>
      </c>
      <c r="C628" t="s">
        <v>61</v>
      </c>
      <c r="D628" t="s">
        <v>1385</v>
      </c>
      <c r="E628">
        <v>6</v>
      </c>
      <c r="F628" t="s">
        <v>1386</v>
      </c>
      <c r="G628" t="str">
        <f t="shared" si="9"/>
        <v>GRANO CREEK</v>
      </c>
      <c r="H628" t="s">
        <v>1287</v>
      </c>
      <c r="I628">
        <v>1860</v>
      </c>
      <c r="L628" t="s">
        <v>1387</v>
      </c>
      <c r="M628" t="s">
        <v>1289</v>
      </c>
      <c r="N628" t="s">
        <v>1290</v>
      </c>
      <c r="O628" t="s">
        <v>1291</v>
      </c>
      <c r="R628" t="s">
        <v>36</v>
      </c>
      <c r="S628" t="s">
        <v>37</v>
      </c>
      <c r="T628" t="s">
        <v>695</v>
      </c>
      <c r="U628" t="s">
        <v>39</v>
      </c>
      <c r="V628" t="s">
        <v>1043</v>
      </c>
    </row>
    <row r="629" spans="1:22" x14ac:dyDescent="0.2">
      <c r="A629">
        <v>49.740720000000003</v>
      </c>
      <c r="B629">
        <v>-120.18810000000001</v>
      </c>
      <c r="C629" t="s">
        <v>86</v>
      </c>
      <c r="D629" t="s">
        <v>1388</v>
      </c>
      <c r="E629">
        <v>5</v>
      </c>
      <c r="F629" t="s">
        <v>1389</v>
      </c>
      <c r="G629" t="str">
        <f t="shared" si="9"/>
        <v>TROUT CREEK WEST</v>
      </c>
      <c r="H629" t="s">
        <v>1287</v>
      </c>
      <c r="I629">
        <v>1420</v>
      </c>
      <c r="L629" t="s">
        <v>1390</v>
      </c>
      <c r="M629" t="s">
        <v>1289</v>
      </c>
      <c r="N629" t="s">
        <v>1290</v>
      </c>
      <c r="O629" t="s">
        <v>1291</v>
      </c>
      <c r="R629" t="s">
        <v>36</v>
      </c>
      <c r="T629" t="s">
        <v>695</v>
      </c>
      <c r="U629" t="s">
        <v>39</v>
      </c>
      <c r="V629" t="s">
        <v>1101</v>
      </c>
    </row>
    <row r="630" spans="1:22" x14ac:dyDescent="0.2">
      <c r="A630">
        <v>49.767310000000002</v>
      </c>
      <c r="B630">
        <v>-119.12403</v>
      </c>
      <c r="C630" t="s">
        <v>86</v>
      </c>
      <c r="D630" t="s">
        <v>1391</v>
      </c>
      <c r="E630">
        <v>4</v>
      </c>
      <c r="F630" t="s">
        <v>1392</v>
      </c>
      <c r="G630" t="str">
        <f t="shared" si="9"/>
        <v>MCCULLOCH</v>
      </c>
      <c r="H630" t="s">
        <v>1287</v>
      </c>
      <c r="I630">
        <v>1245</v>
      </c>
      <c r="L630" t="s">
        <v>1393</v>
      </c>
      <c r="M630" t="s">
        <v>1289</v>
      </c>
      <c r="N630" t="s">
        <v>1290</v>
      </c>
      <c r="O630" t="s">
        <v>1291</v>
      </c>
      <c r="R630" t="s">
        <v>36</v>
      </c>
      <c r="T630" t="s">
        <v>695</v>
      </c>
      <c r="U630" t="s">
        <v>39</v>
      </c>
      <c r="V630" t="s">
        <v>1043</v>
      </c>
    </row>
    <row r="631" spans="1:22" x14ac:dyDescent="0.2">
      <c r="A631">
        <v>49.944666669999997</v>
      </c>
      <c r="B631">
        <v>-118.94966669999999</v>
      </c>
      <c r="C631" t="s">
        <v>86</v>
      </c>
      <c r="D631" t="s">
        <v>1394</v>
      </c>
      <c r="E631">
        <v>7</v>
      </c>
      <c r="F631" t="s">
        <v>1395</v>
      </c>
      <c r="G631" t="str">
        <f t="shared" si="9"/>
        <v>MISSION CREEK</v>
      </c>
      <c r="H631" t="s">
        <v>1287</v>
      </c>
      <c r="I631">
        <v>1780</v>
      </c>
      <c r="J631" t="s">
        <v>253</v>
      </c>
      <c r="L631" t="s">
        <v>1396</v>
      </c>
      <c r="M631" t="s">
        <v>1289</v>
      </c>
      <c r="N631" t="s">
        <v>1290</v>
      </c>
      <c r="O631" t="s">
        <v>1291</v>
      </c>
      <c r="R631" t="s">
        <v>36</v>
      </c>
      <c r="T631" t="s">
        <v>695</v>
      </c>
      <c r="U631" t="s">
        <v>39</v>
      </c>
      <c r="V631" t="s">
        <v>1043</v>
      </c>
    </row>
    <row r="632" spans="1:22" x14ac:dyDescent="0.2">
      <c r="A632">
        <v>49.615833000000002</v>
      </c>
      <c r="B632">
        <v>-119.422417</v>
      </c>
      <c r="C632" t="s">
        <v>86</v>
      </c>
      <c r="D632" t="s">
        <v>1397</v>
      </c>
      <c r="E632">
        <v>6</v>
      </c>
      <c r="F632" t="s">
        <v>1398</v>
      </c>
      <c r="G632" t="str">
        <f t="shared" si="9"/>
        <v>GREYBACK RESEVOIR</v>
      </c>
      <c r="H632" t="s">
        <v>1287</v>
      </c>
      <c r="I632">
        <v>1550</v>
      </c>
      <c r="K632" t="s">
        <v>1300</v>
      </c>
      <c r="L632" t="s">
        <v>1399</v>
      </c>
      <c r="M632" t="s">
        <v>1289</v>
      </c>
      <c r="N632" t="s">
        <v>1290</v>
      </c>
      <c r="O632" t="s">
        <v>1291</v>
      </c>
      <c r="R632" t="s">
        <v>36</v>
      </c>
      <c r="T632" t="s">
        <v>695</v>
      </c>
      <c r="U632" t="s">
        <v>39</v>
      </c>
      <c r="V632" t="s">
        <v>1043</v>
      </c>
    </row>
    <row r="633" spans="1:22" x14ac:dyDescent="0.2">
      <c r="A633">
        <v>50.371360000000003</v>
      </c>
      <c r="B633">
        <v>-119.0621</v>
      </c>
      <c r="C633" t="s">
        <v>61</v>
      </c>
      <c r="D633" t="s">
        <v>1400</v>
      </c>
      <c r="E633">
        <v>6</v>
      </c>
      <c r="F633" t="s">
        <v>1401</v>
      </c>
      <c r="G633" t="str">
        <f t="shared" si="9"/>
        <v>SILVERSTAR MOUNTAIN</v>
      </c>
      <c r="H633" t="s">
        <v>1287</v>
      </c>
      <c r="I633">
        <v>1839</v>
      </c>
      <c r="L633" t="s">
        <v>1402</v>
      </c>
      <c r="M633" t="s">
        <v>1289</v>
      </c>
      <c r="N633" t="s">
        <v>1290</v>
      </c>
      <c r="O633" t="s">
        <v>1291</v>
      </c>
      <c r="R633" t="s">
        <v>36</v>
      </c>
      <c r="T633" t="s">
        <v>695</v>
      </c>
      <c r="U633" t="s">
        <v>39</v>
      </c>
      <c r="V633" t="s">
        <v>1043</v>
      </c>
    </row>
    <row r="634" spans="1:22" x14ac:dyDescent="0.2">
      <c r="A634">
        <v>49.862361110000002</v>
      </c>
      <c r="B634">
        <v>-119.9821111</v>
      </c>
      <c r="C634" t="s">
        <v>86</v>
      </c>
      <c r="D634" t="s">
        <v>1403</v>
      </c>
      <c r="E634">
        <v>6</v>
      </c>
      <c r="F634" t="s">
        <v>1404</v>
      </c>
      <c r="G634" t="str">
        <f t="shared" si="9"/>
        <v>BRENDA MINES</v>
      </c>
      <c r="H634" t="s">
        <v>1287</v>
      </c>
      <c r="I634">
        <v>1460</v>
      </c>
      <c r="J634" t="s">
        <v>253</v>
      </c>
      <c r="L634">
        <v>1993</v>
      </c>
      <c r="M634" t="s">
        <v>1289</v>
      </c>
      <c r="N634" t="s">
        <v>1290</v>
      </c>
      <c r="O634" t="s">
        <v>1291</v>
      </c>
      <c r="R634" t="s">
        <v>36</v>
      </c>
      <c r="T634" t="s">
        <v>695</v>
      </c>
      <c r="V634" t="s">
        <v>1043</v>
      </c>
    </row>
    <row r="635" spans="1:22" x14ac:dyDescent="0.2">
      <c r="A635">
        <v>50.116329999999998</v>
      </c>
      <c r="B635">
        <v>-119.279</v>
      </c>
      <c r="C635" t="s">
        <v>86</v>
      </c>
      <c r="D635" t="s">
        <v>1405</v>
      </c>
      <c r="E635">
        <v>5</v>
      </c>
      <c r="F635" t="s">
        <v>1406</v>
      </c>
      <c r="G635" t="str">
        <f t="shared" si="9"/>
        <v>OYAMA LAKE</v>
      </c>
      <c r="H635" t="s">
        <v>1287</v>
      </c>
      <c r="I635">
        <v>1360</v>
      </c>
      <c r="L635" t="s">
        <v>1407</v>
      </c>
      <c r="M635" t="s">
        <v>1289</v>
      </c>
      <c r="N635" t="s">
        <v>1290</v>
      </c>
      <c r="O635" t="s">
        <v>1291</v>
      </c>
      <c r="R635" t="s">
        <v>36</v>
      </c>
      <c r="S635" t="s">
        <v>37</v>
      </c>
      <c r="T635" t="s">
        <v>695</v>
      </c>
      <c r="U635" t="s">
        <v>39</v>
      </c>
      <c r="V635" t="s">
        <v>1043</v>
      </c>
    </row>
    <row r="636" spans="1:22" x14ac:dyDescent="0.2">
      <c r="A636">
        <v>50.016910000000003</v>
      </c>
      <c r="B636">
        <v>-119.7461</v>
      </c>
      <c r="C636" t="s">
        <v>86</v>
      </c>
      <c r="D636" t="s">
        <v>1408</v>
      </c>
      <c r="E636">
        <v>8</v>
      </c>
      <c r="F636" t="s">
        <v>1409</v>
      </c>
      <c r="G636" t="str">
        <f t="shared" si="9"/>
        <v>WHITEROCKS MOUNTAIN</v>
      </c>
      <c r="H636" t="s">
        <v>1287</v>
      </c>
      <c r="I636">
        <v>1795</v>
      </c>
      <c r="L636" t="s">
        <v>1410</v>
      </c>
      <c r="M636" t="s">
        <v>1289</v>
      </c>
      <c r="N636" t="s">
        <v>1290</v>
      </c>
      <c r="O636" t="s">
        <v>1291</v>
      </c>
      <c r="R636" t="s">
        <v>36</v>
      </c>
      <c r="T636" t="s">
        <v>695</v>
      </c>
      <c r="U636" t="s">
        <v>39</v>
      </c>
      <c r="V636" t="s">
        <v>1043</v>
      </c>
    </row>
    <row r="637" spans="1:22" x14ac:dyDescent="0.2">
      <c r="A637">
        <v>49.094499999999996</v>
      </c>
      <c r="B637">
        <v>-120.7705</v>
      </c>
      <c r="C637" t="s">
        <v>86</v>
      </c>
      <c r="D637" t="s">
        <v>1411</v>
      </c>
      <c r="E637">
        <v>8</v>
      </c>
      <c r="F637" t="s">
        <v>1412</v>
      </c>
      <c r="G637" t="str">
        <f t="shared" si="9"/>
        <v>BLACKWALL PEAK</v>
      </c>
      <c r="H637" t="s">
        <v>1287</v>
      </c>
      <c r="I637">
        <v>1940</v>
      </c>
      <c r="J637" t="s">
        <v>253</v>
      </c>
      <c r="L637" t="s">
        <v>1413</v>
      </c>
      <c r="M637" t="s">
        <v>1289</v>
      </c>
      <c r="N637" t="s">
        <v>1290</v>
      </c>
      <c r="O637" t="s">
        <v>1291</v>
      </c>
      <c r="R637" t="s">
        <v>36</v>
      </c>
      <c r="T637" t="s">
        <v>695</v>
      </c>
      <c r="U637" t="s">
        <v>39</v>
      </c>
      <c r="V637" t="s">
        <v>1043</v>
      </c>
    </row>
    <row r="638" spans="1:22" x14ac:dyDescent="0.2">
      <c r="A638">
        <v>49.499139999999997</v>
      </c>
      <c r="B638">
        <v>-120.79439000000001</v>
      </c>
      <c r="C638" t="s">
        <v>86</v>
      </c>
      <c r="D638" t="s">
        <v>1414</v>
      </c>
      <c r="E638">
        <v>6</v>
      </c>
      <c r="F638" t="s">
        <v>1415</v>
      </c>
      <c r="G638" t="str">
        <f t="shared" si="9"/>
        <v>HAMILTON HILL</v>
      </c>
      <c r="H638" t="s">
        <v>1287</v>
      </c>
      <c r="I638">
        <v>1480</v>
      </c>
      <c r="L638" t="s">
        <v>1416</v>
      </c>
      <c r="M638" t="s">
        <v>1289</v>
      </c>
      <c r="N638" t="s">
        <v>1290</v>
      </c>
      <c r="O638" t="s">
        <v>1291</v>
      </c>
      <c r="R638" t="s">
        <v>36</v>
      </c>
      <c r="S638" t="s">
        <v>37</v>
      </c>
      <c r="T638" t="s">
        <v>695</v>
      </c>
      <c r="U638" t="s">
        <v>39</v>
      </c>
      <c r="V638" t="s">
        <v>1043</v>
      </c>
    </row>
    <row r="639" spans="1:22" x14ac:dyDescent="0.2">
      <c r="A639">
        <v>51.243666670000003</v>
      </c>
      <c r="B639">
        <v>-124.4605</v>
      </c>
      <c r="C639" t="s">
        <v>29</v>
      </c>
      <c r="D639" t="s">
        <v>1417</v>
      </c>
      <c r="E639">
        <v>7</v>
      </c>
      <c r="F639" t="s">
        <v>1418</v>
      </c>
      <c r="G639" t="str">
        <f t="shared" si="9"/>
        <v>NOSTETUKO RIVER</v>
      </c>
      <c r="H639" t="s">
        <v>1287</v>
      </c>
      <c r="I639">
        <v>1500</v>
      </c>
      <c r="J639" t="s">
        <v>253</v>
      </c>
      <c r="L639" t="s">
        <v>1419</v>
      </c>
      <c r="M639" t="s">
        <v>1289</v>
      </c>
      <c r="N639" t="s">
        <v>1290</v>
      </c>
      <c r="O639" t="s">
        <v>1291</v>
      </c>
      <c r="R639" t="s">
        <v>36</v>
      </c>
      <c r="T639" t="s">
        <v>695</v>
      </c>
      <c r="U639" t="s">
        <v>39</v>
      </c>
      <c r="V639" t="s">
        <v>1043</v>
      </c>
    </row>
    <row r="640" spans="1:22" x14ac:dyDescent="0.2">
      <c r="A640">
        <v>51.776166670000002</v>
      </c>
      <c r="B640">
        <v>-124.62050000000001</v>
      </c>
      <c r="C640" t="s">
        <v>29</v>
      </c>
      <c r="D640" t="s">
        <v>1420</v>
      </c>
      <c r="E640">
        <v>8</v>
      </c>
      <c r="F640" t="s">
        <v>1421</v>
      </c>
      <c r="G640" t="str">
        <f t="shared" si="9"/>
        <v>MOSELY CREEK UPPER</v>
      </c>
      <c r="H640" t="s">
        <v>1287</v>
      </c>
      <c r="I640">
        <v>1650</v>
      </c>
      <c r="J640" t="s">
        <v>253</v>
      </c>
      <c r="L640" t="s">
        <v>1422</v>
      </c>
      <c r="M640" t="s">
        <v>1289</v>
      </c>
      <c r="N640" t="s">
        <v>1290</v>
      </c>
      <c r="O640" t="s">
        <v>1291</v>
      </c>
      <c r="R640" t="s">
        <v>36</v>
      </c>
      <c r="T640" t="s">
        <v>695</v>
      </c>
      <c r="U640" t="s">
        <v>39</v>
      </c>
      <c r="V640" t="s">
        <v>1043</v>
      </c>
    </row>
    <row r="641" spans="1:25" x14ac:dyDescent="0.2">
      <c r="A641">
        <v>50.154083329999999</v>
      </c>
      <c r="B641">
        <v>-123.4360167</v>
      </c>
      <c r="C641" t="s">
        <v>204</v>
      </c>
      <c r="D641" t="s">
        <v>1423</v>
      </c>
      <c r="E641">
        <v>7</v>
      </c>
      <c r="F641" t="s">
        <v>1424</v>
      </c>
      <c r="G641" t="str">
        <f t="shared" si="9"/>
        <v>SQUAMISH RIVER UPPER</v>
      </c>
      <c r="H641" t="s">
        <v>1287</v>
      </c>
      <c r="I641">
        <v>1340</v>
      </c>
      <c r="J641" t="s">
        <v>253</v>
      </c>
      <c r="L641" t="s">
        <v>1425</v>
      </c>
      <c r="M641" t="s">
        <v>1289</v>
      </c>
      <c r="N641" t="s">
        <v>1290</v>
      </c>
      <c r="O641" t="s">
        <v>1291</v>
      </c>
      <c r="R641" t="s">
        <v>36</v>
      </c>
      <c r="T641" t="s">
        <v>695</v>
      </c>
      <c r="U641" t="s">
        <v>39</v>
      </c>
      <c r="V641" t="s">
        <v>1043</v>
      </c>
    </row>
    <row r="642" spans="1:25" x14ac:dyDescent="0.2">
      <c r="A642">
        <v>49.597853999999998</v>
      </c>
      <c r="B642">
        <v>-123.60499900000001</v>
      </c>
      <c r="C642" t="s">
        <v>204</v>
      </c>
      <c r="D642" t="s">
        <v>1426</v>
      </c>
      <c r="E642">
        <v>7</v>
      </c>
      <c r="F642" t="s">
        <v>1427</v>
      </c>
      <c r="G642" t="str">
        <f t="shared" ref="G642:G705" si="10">UPPER(F642)</f>
        <v>TETRAHEDRON</v>
      </c>
      <c r="H642" t="s">
        <v>1287</v>
      </c>
      <c r="I642">
        <v>1423</v>
      </c>
      <c r="L642" t="s">
        <v>1390</v>
      </c>
      <c r="M642" t="s">
        <v>1289</v>
      </c>
      <c r="N642" t="s">
        <v>1290</v>
      </c>
      <c r="O642" t="s">
        <v>1291</v>
      </c>
      <c r="R642" t="s">
        <v>36</v>
      </c>
      <c r="T642" t="s">
        <v>695</v>
      </c>
      <c r="U642" t="s">
        <v>39</v>
      </c>
      <c r="V642" t="s">
        <v>1043</v>
      </c>
    </row>
    <row r="643" spans="1:25" x14ac:dyDescent="0.2">
      <c r="A643">
        <v>48.969444000000003</v>
      </c>
      <c r="B643">
        <v>-124.279111</v>
      </c>
      <c r="C643" t="s">
        <v>41</v>
      </c>
      <c r="D643" t="s">
        <v>1428</v>
      </c>
      <c r="E643">
        <v>8</v>
      </c>
      <c r="F643" t="s">
        <v>1429</v>
      </c>
      <c r="G643" t="str">
        <f t="shared" si="10"/>
        <v>JUMP CREEK</v>
      </c>
      <c r="H643" t="s">
        <v>1287</v>
      </c>
      <c r="I643">
        <v>1160</v>
      </c>
      <c r="J643" t="s">
        <v>253</v>
      </c>
      <c r="L643" t="s">
        <v>1430</v>
      </c>
      <c r="M643" t="s">
        <v>1289</v>
      </c>
      <c r="N643" t="s">
        <v>1290</v>
      </c>
      <c r="O643" t="s">
        <v>1291</v>
      </c>
      <c r="R643" t="s">
        <v>36</v>
      </c>
      <c r="T643" t="s">
        <v>695</v>
      </c>
      <c r="U643" t="s">
        <v>39</v>
      </c>
      <c r="V643" t="s">
        <v>1043</v>
      </c>
    </row>
    <row r="644" spans="1:25" x14ac:dyDescent="0.2">
      <c r="A644">
        <v>48.943922999999998</v>
      </c>
      <c r="B644">
        <v>-124.452102</v>
      </c>
      <c r="C644" t="s">
        <v>204</v>
      </c>
      <c r="D644" t="s">
        <v>1431</v>
      </c>
      <c r="E644">
        <v>6</v>
      </c>
      <c r="F644" t="s">
        <v>1432</v>
      </c>
      <c r="G644" t="str">
        <f t="shared" si="10"/>
        <v>HEATHER MOUNTAIN UPPER</v>
      </c>
      <c r="H644" t="s">
        <v>1287</v>
      </c>
      <c r="I644">
        <v>1190</v>
      </c>
      <c r="L644" t="s">
        <v>1433</v>
      </c>
      <c r="M644" t="s">
        <v>1289</v>
      </c>
      <c r="N644" t="s">
        <v>1290</v>
      </c>
      <c r="O644" t="s">
        <v>1291</v>
      </c>
      <c r="R644" t="s">
        <v>36</v>
      </c>
      <c r="T644" t="s">
        <v>695</v>
      </c>
      <c r="U644" t="s">
        <v>39</v>
      </c>
      <c r="V644" t="s">
        <v>1043</v>
      </c>
    </row>
    <row r="645" spans="1:25" x14ac:dyDescent="0.2">
      <c r="A645">
        <v>49.207375999999996</v>
      </c>
      <c r="B645">
        <v>-124.56777599999999</v>
      </c>
      <c r="C645" t="s">
        <v>41</v>
      </c>
      <c r="D645" t="s">
        <v>1434</v>
      </c>
      <c r="E645">
        <v>8</v>
      </c>
      <c r="F645" t="s">
        <v>1435</v>
      </c>
      <c r="G645" t="str">
        <f t="shared" si="10"/>
        <v>MOUNT ARROWSMITH</v>
      </c>
      <c r="H645" t="s">
        <v>1287</v>
      </c>
      <c r="I645">
        <v>1460</v>
      </c>
      <c r="L645" t="s">
        <v>1436</v>
      </c>
      <c r="M645" t="s">
        <v>1289</v>
      </c>
      <c r="N645" t="s">
        <v>1290</v>
      </c>
      <c r="O645" t="s">
        <v>1291</v>
      </c>
      <c r="R645" t="s">
        <v>36</v>
      </c>
      <c r="T645" t="s">
        <v>695</v>
      </c>
      <c r="U645" t="s">
        <v>39</v>
      </c>
      <c r="V645" t="s">
        <v>1043</v>
      </c>
      <c r="W645" t="s">
        <v>40</v>
      </c>
      <c r="Y645" t="s">
        <v>392</v>
      </c>
    </row>
    <row r="646" spans="1:25" x14ac:dyDescent="0.2">
      <c r="A646">
        <v>52.481000000000002</v>
      </c>
      <c r="B646">
        <v>-126.248</v>
      </c>
      <c r="C646" t="s">
        <v>29</v>
      </c>
      <c r="D646" t="s">
        <v>1437</v>
      </c>
      <c r="E646">
        <v>7</v>
      </c>
      <c r="F646" t="s">
        <v>1438</v>
      </c>
      <c r="G646" t="str">
        <f t="shared" si="10"/>
        <v>BURNT BRIDGE CREEK</v>
      </c>
      <c r="H646" t="s">
        <v>1287</v>
      </c>
      <c r="I646">
        <v>1330</v>
      </c>
      <c r="L646" t="s">
        <v>1439</v>
      </c>
      <c r="M646" t="s">
        <v>1289</v>
      </c>
      <c r="N646" t="s">
        <v>1290</v>
      </c>
      <c r="O646" t="s">
        <v>1291</v>
      </c>
      <c r="R646" t="s">
        <v>36</v>
      </c>
      <c r="T646" t="s">
        <v>695</v>
      </c>
      <c r="U646" t="s">
        <v>39</v>
      </c>
      <c r="V646" t="s">
        <v>1043</v>
      </c>
    </row>
    <row r="647" spans="1:25" x14ac:dyDescent="0.2">
      <c r="A647">
        <v>56.246740000000003</v>
      </c>
      <c r="B647">
        <v>-130.06610000000001</v>
      </c>
      <c r="C647" t="s">
        <v>204</v>
      </c>
      <c r="D647" t="s">
        <v>1440</v>
      </c>
      <c r="E647">
        <v>4</v>
      </c>
      <c r="F647" t="s">
        <v>1441</v>
      </c>
      <c r="G647" t="str">
        <f t="shared" si="10"/>
        <v>GRANDUC</v>
      </c>
      <c r="H647" t="s">
        <v>1287</v>
      </c>
      <c r="I647">
        <v>790</v>
      </c>
      <c r="K647" t="s">
        <v>1442</v>
      </c>
      <c r="L647" t="s">
        <v>1443</v>
      </c>
      <c r="M647" t="s">
        <v>1289</v>
      </c>
      <c r="N647" t="s">
        <v>1290</v>
      </c>
      <c r="O647" t="s">
        <v>1291</v>
      </c>
      <c r="R647" t="s">
        <v>36</v>
      </c>
      <c r="T647" t="s">
        <v>695</v>
      </c>
      <c r="U647" t="s">
        <v>39</v>
      </c>
      <c r="V647" t="s">
        <v>1043</v>
      </c>
    </row>
    <row r="648" spans="1:25" x14ac:dyDescent="0.2">
      <c r="A648">
        <v>54.196166669999997</v>
      </c>
      <c r="B648">
        <v>-126.3046667</v>
      </c>
      <c r="C648" t="s">
        <v>29</v>
      </c>
      <c r="D648" t="s">
        <v>1444</v>
      </c>
      <c r="E648">
        <v>6</v>
      </c>
      <c r="F648" t="s">
        <v>1445</v>
      </c>
      <c r="G648" t="str">
        <f t="shared" si="10"/>
        <v>LU LAKE</v>
      </c>
      <c r="H648" t="s">
        <v>1287</v>
      </c>
      <c r="I648">
        <v>1300</v>
      </c>
      <c r="J648" t="s">
        <v>253</v>
      </c>
      <c r="L648" t="s">
        <v>1446</v>
      </c>
      <c r="M648" t="s">
        <v>1289</v>
      </c>
      <c r="N648" t="s">
        <v>1290</v>
      </c>
      <c r="O648" t="s">
        <v>1291</v>
      </c>
      <c r="R648" t="s">
        <v>36</v>
      </c>
      <c r="T648" t="s">
        <v>695</v>
      </c>
      <c r="U648" t="s">
        <v>39</v>
      </c>
      <c r="V648" t="s">
        <v>1043</v>
      </c>
    </row>
    <row r="649" spans="1:25" x14ac:dyDescent="0.2">
      <c r="A649">
        <v>55.857500000000002</v>
      </c>
      <c r="B649">
        <v>-127.6955</v>
      </c>
      <c r="C649" t="s">
        <v>272</v>
      </c>
      <c r="D649" t="s">
        <v>1447</v>
      </c>
      <c r="E649">
        <v>7</v>
      </c>
      <c r="F649" t="s">
        <v>1448</v>
      </c>
      <c r="G649" t="str">
        <f t="shared" si="10"/>
        <v>SHEDIN CREEK</v>
      </c>
      <c r="H649" t="s">
        <v>1287</v>
      </c>
      <c r="I649">
        <v>1480</v>
      </c>
      <c r="J649" t="s">
        <v>253</v>
      </c>
      <c r="L649" t="s">
        <v>1449</v>
      </c>
      <c r="M649" t="s">
        <v>1289</v>
      </c>
      <c r="N649" t="s">
        <v>1290</v>
      </c>
      <c r="O649" t="s">
        <v>1291</v>
      </c>
      <c r="R649" t="s">
        <v>36</v>
      </c>
      <c r="T649" t="s">
        <v>695</v>
      </c>
      <c r="U649" t="s">
        <v>39</v>
      </c>
      <c r="V649" t="s">
        <v>1043</v>
      </c>
    </row>
    <row r="650" spans="1:25" x14ac:dyDescent="0.2">
      <c r="A650">
        <v>54.646166669999999</v>
      </c>
      <c r="B650">
        <v>-127.6748333</v>
      </c>
      <c r="C650" t="s">
        <v>204</v>
      </c>
      <c r="D650" t="s">
        <v>1450</v>
      </c>
      <c r="E650">
        <v>7</v>
      </c>
      <c r="F650" t="s">
        <v>1451</v>
      </c>
      <c r="G650" t="str">
        <f t="shared" si="10"/>
        <v>TSAI CREEK</v>
      </c>
      <c r="H650" t="s">
        <v>1287</v>
      </c>
      <c r="I650">
        <v>1360</v>
      </c>
      <c r="J650" t="s">
        <v>253</v>
      </c>
      <c r="L650" t="s">
        <v>1446</v>
      </c>
      <c r="M650" t="s">
        <v>1289</v>
      </c>
      <c r="N650" t="s">
        <v>1290</v>
      </c>
      <c r="O650" t="s">
        <v>1291</v>
      </c>
      <c r="R650" t="s">
        <v>36</v>
      </c>
      <c r="T650" t="s">
        <v>695</v>
      </c>
      <c r="U650" t="s">
        <v>39</v>
      </c>
      <c r="V650" t="s">
        <v>1043</v>
      </c>
    </row>
    <row r="651" spans="1:25" x14ac:dyDescent="0.2">
      <c r="A651">
        <v>55.152333329999998</v>
      </c>
      <c r="B651">
        <v>-128.70983330000001</v>
      </c>
      <c r="C651" t="s">
        <v>204</v>
      </c>
      <c r="D651" t="s">
        <v>1452</v>
      </c>
      <c r="E651">
        <v>5</v>
      </c>
      <c r="F651" t="s">
        <v>1453</v>
      </c>
      <c r="G651" t="str">
        <f t="shared" si="10"/>
        <v>CEDAR-KITEEN</v>
      </c>
      <c r="H651" t="s">
        <v>1287</v>
      </c>
      <c r="I651">
        <v>885</v>
      </c>
      <c r="J651" t="s">
        <v>253</v>
      </c>
      <c r="L651" t="s">
        <v>1454</v>
      </c>
      <c r="M651" t="s">
        <v>1289</v>
      </c>
      <c r="N651" t="s">
        <v>1290</v>
      </c>
      <c r="O651" t="s">
        <v>1291</v>
      </c>
      <c r="R651" t="s">
        <v>36</v>
      </c>
      <c r="T651" t="s">
        <v>695</v>
      </c>
      <c r="U651" t="s">
        <v>39</v>
      </c>
      <c r="V651" t="s">
        <v>1043</v>
      </c>
    </row>
    <row r="652" spans="1:25" x14ac:dyDescent="0.2">
      <c r="A652">
        <v>59.257449999999999</v>
      </c>
      <c r="B652">
        <v>-128.31979000000001</v>
      </c>
      <c r="C652" t="s">
        <v>449</v>
      </c>
      <c r="D652" t="s">
        <v>1455</v>
      </c>
      <c r="E652">
        <v>4</v>
      </c>
      <c r="F652" t="s">
        <v>1456</v>
      </c>
      <c r="G652" t="str">
        <f t="shared" si="10"/>
        <v>DEADWOOD RIVER</v>
      </c>
      <c r="H652" t="s">
        <v>1287</v>
      </c>
      <c r="I652">
        <v>1250</v>
      </c>
      <c r="L652" t="s">
        <v>1457</v>
      </c>
      <c r="M652" t="s">
        <v>1289</v>
      </c>
      <c r="N652" t="s">
        <v>1290</v>
      </c>
      <c r="O652" t="s">
        <v>1291</v>
      </c>
      <c r="R652" t="s">
        <v>36</v>
      </c>
      <c r="S652" t="s">
        <v>37</v>
      </c>
      <c r="U652" t="s">
        <v>39</v>
      </c>
    </row>
    <row r="653" spans="1:25" x14ac:dyDescent="0.2">
      <c r="A653">
        <v>57.578690000000002</v>
      </c>
      <c r="B653">
        <v>-130.26273900000001</v>
      </c>
      <c r="C653" t="s">
        <v>449</v>
      </c>
      <c r="D653" t="s">
        <v>1458</v>
      </c>
      <c r="E653">
        <v>3</v>
      </c>
      <c r="F653" t="s">
        <v>1459</v>
      </c>
      <c r="G653" t="str">
        <f t="shared" si="10"/>
        <v>KINASKAN LAKE</v>
      </c>
      <c r="H653" t="s">
        <v>1287</v>
      </c>
      <c r="I653">
        <v>1020</v>
      </c>
      <c r="K653" t="s">
        <v>1460</v>
      </c>
      <c r="L653" t="s">
        <v>1461</v>
      </c>
      <c r="M653" t="s">
        <v>1289</v>
      </c>
      <c r="N653" t="s">
        <v>1290</v>
      </c>
      <c r="O653" t="s">
        <v>1291</v>
      </c>
      <c r="R653" t="s">
        <v>36</v>
      </c>
      <c r="T653" t="s">
        <v>695</v>
      </c>
      <c r="U653" t="s">
        <v>39</v>
      </c>
      <c r="V653" t="s">
        <v>1043</v>
      </c>
    </row>
    <row r="654" spans="1:25" x14ac:dyDescent="0.2">
      <c r="A654">
        <v>58.184190000000001</v>
      </c>
      <c r="B654">
        <v>-128.91216</v>
      </c>
      <c r="C654" t="s">
        <v>449</v>
      </c>
      <c r="D654" t="s">
        <v>1462</v>
      </c>
      <c r="E654">
        <v>6</v>
      </c>
      <c r="F654" t="s">
        <v>1463</v>
      </c>
      <c r="G654" t="str">
        <f t="shared" si="10"/>
        <v>WADE LAKE</v>
      </c>
      <c r="H654" t="s">
        <v>1287</v>
      </c>
      <c r="I654">
        <v>1430</v>
      </c>
      <c r="L654" t="s">
        <v>1464</v>
      </c>
      <c r="M654" t="s">
        <v>1289</v>
      </c>
      <c r="N654" t="s">
        <v>1290</v>
      </c>
      <c r="O654" t="s">
        <v>1291</v>
      </c>
      <c r="R654" t="s">
        <v>36</v>
      </c>
      <c r="S654" t="s">
        <v>37</v>
      </c>
      <c r="U654" t="s">
        <v>39</v>
      </c>
    </row>
    <row r="655" spans="1:25" x14ac:dyDescent="0.2">
      <c r="A655">
        <v>59.764043999999998</v>
      </c>
      <c r="B655">
        <v>-134.965611</v>
      </c>
      <c r="C655" t="s">
        <v>449</v>
      </c>
      <c r="D655" t="s">
        <v>1465</v>
      </c>
      <c r="E655">
        <v>2</v>
      </c>
      <c r="F655" t="s">
        <v>1466</v>
      </c>
      <c r="G655" t="str">
        <f t="shared" si="10"/>
        <v>LOG CABIN</v>
      </c>
      <c r="H655" t="s">
        <v>1287</v>
      </c>
      <c r="I655">
        <v>890</v>
      </c>
      <c r="L655" t="s">
        <v>1316</v>
      </c>
      <c r="M655" t="s">
        <v>1289</v>
      </c>
      <c r="N655" t="s">
        <v>1290</v>
      </c>
      <c r="O655" t="s">
        <v>1291</v>
      </c>
      <c r="R655" t="s">
        <v>36</v>
      </c>
      <c r="S655" t="s">
        <v>37</v>
      </c>
      <c r="T655" t="s">
        <v>695</v>
      </c>
      <c r="U655" t="s">
        <v>39</v>
      </c>
      <c r="V655" t="s">
        <v>1043</v>
      </c>
      <c r="X655" t="s">
        <v>257</v>
      </c>
    </row>
    <row r="656" spans="1:25" x14ac:dyDescent="0.2">
      <c r="A656">
        <v>54.934800000000003</v>
      </c>
      <c r="B656">
        <v>-122.1829</v>
      </c>
      <c r="C656" t="s">
        <v>272</v>
      </c>
      <c r="D656" t="s">
        <v>1467</v>
      </c>
      <c r="E656">
        <v>4</v>
      </c>
      <c r="F656" t="s">
        <v>1468</v>
      </c>
      <c r="G656" t="str">
        <f t="shared" si="10"/>
        <v>CROCKER CREEK</v>
      </c>
      <c r="H656" t="s">
        <v>1287</v>
      </c>
      <c r="I656">
        <v>993</v>
      </c>
      <c r="J656" t="s">
        <v>253</v>
      </c>
      <c r="L656" t="s">
        <v>1337</v>
      </c>
      <c r="M656" t="s">
        <v>1469</v>
      </c>
      <c r="N656" t="s">
        <v>1470</v>
      </c>
      <c r="R656" t="s">
        <v>36</v>
      </c>
      <c r="S656" t="s">
        <v>37</v>
      </c>
      <c r="T656" t="s">
        <v>695</v>
      </c>
      <c r="U656" t="s">
        <v>39</v>
      </c>
      <c r="W656" t="s">
        <v>266</v>
      </c>
    </row>
    <row r="657" spans="1:24" x14ac:dyDescent="0.2">
      <c r="A657">
        <v>50.054169999999999</v>
      </c>
      <c r="B657">
        <v>-123.11806</v>
      </c>
      <c r="C657" t="s">
        <v>204</v>
      </c>
      <c r="D657">
        <v>11091</v>
      </c>
      <c r="E657">
        <v>3</v>
      </c>
      <c r="F657" t="s">
        <v>1471</v>
      </c>
      <c r="G657" t="str">
        <f t="shared" si="10"/>
        <v>BRANDYWINE</v>
      </c>
      <c r="H657" t="s">
        <v>1472</v>
      </c>
      <c r="I657">
        <v>496</v>
      </c>
      <c r="J657" t="s">
        <v>253</v>
      </c>
      <c r="K657" t="s">
        <v>1473</v>
      </c>
      <c r="L657">
        <v>36832</v>
      </c>
      <c r="M657" t="s">
        <v>1474</v>
      </c>
      <c r="N657" t="s">
        <v>1475</v>
      </c>
      <c r="O657" t="s">
        <v>1476</v>
      </c>
      <c r="Q657">
        <v>42059</v>
      </c>
      <c r="R657" t="s">
        <v>36</v>
      </c>
      <c r="S657" t="s">
        <v>37</v>
      </c>
      <c r="T657" t="s">
        <v>1477</v>
      </c>
      <c r="U657" t="s">
        <v>39</v>
      </c>
      <c r="W657" t="s">
        <v>1478</v>
      </c>
    </row>
    <row r="658" spans="1:24" x14ac:dyDescent="0.2">
      <c r="A658">
        <v>49.843470000000003</v>
      </c>
      <c r="B658">
        <v>-123.14339</v>
      </c>
      <c r="C658" t="s">
        <v>204</v>
      </c>
      <c r="D658">
        <v>11092</v>
      </c>
      <c r="E658">
        <v>3</v>
      </c>
      <c r="F658" t="s">
        <v>1479</v>
      </c>
      <c r="G658" t="str">
        <f t="shared" si="10"/>
        <v>TANTALUS</v>
      </c>
      <c r="H658" t="s">
        <v>1472</v>
      </c>
      <c r="I658">
        <v>320</v>
      </c>
      <c r="J658" t="s">
        <v>253</v>
      </c>
      <c r="K658" t="s">
        <v>1480</v>
      </c>
      <c r="L658">
        <v>39989</v>
      </c>
      <c r="M658" t="s">
        <v>1474</v>
      </c>
      <c r="N658" t="s">
        <v>1475</v>
      </c>
      <c r="O658" t="s">
        <v>1476</v>
      </c>
      <c r="Q658">
        <v>42059</v>
      </c>
      <c r="R658" t="s">
        <v>36</v>
      </c>
      <c r="S658" t="s">
        <v>37</v>
      </c>
      <c r="T658" t="s">
        <v>1477</v>
      </c>
      <c r="U658" t="s">
        <v>39</v>
      </c>
      <c r="W658" t="s">
        <v>1478</v>
      </c>
    </row>
    <row r="659" spans="1:24" x14ac:dyDescent="0.2">
      <c r="A659">
        <v>49.404440000000001</v>
      </c>
      <c r="B659">
        <v>-123.19110999999999</v>
      </c>
      <c r="C659" t="s">
        <v>204</v>
      </c>
      <c r="D659">
        <v>11121</v>
      </c>
      <c r="E659">
        <v>6</v>
      </c>
      <c r="F659" t="s">
        <v>1481</v>
      </c>
      <c r="G659" t="str">
        <f t="shared" si="10"/>
        <v xml:space="preserve">MT. STRACHAN PRECIP </v>
      </c>
      <c r="H659" t="s">
        <v>1472</v>
      </c>
      <c r="I659">
        <v>1220</v>
      </c>
      <c r="J659" t="s">
        <v>253</v>
      </c>
      <c r="K659" t="s">
        <v>1482</v>
      </c>
      <c r="L659">
        <v>34298</v>
      </c>
      <c r="M659" t="s">
        <v>1474</v>
      </c>
      <c r="N659" t="s">
        <v>1475</v>
      </c>
      <c r="O659" t="s">
        <v>1476</v>
      </c>
      <c r="R659" t="s">
        <v>36</v>
      </c>
      <c r="S659" t="s">
        <v>37</v>
      </c>
      <c r="T659" t="s">
        <v>695</v>
      </c>
    </row>
    <row r="660" spans="1:24" x14ac:dyDescent="0.2">
      <c r="A660">
        <v>49.534170000000003</v>
      </c>
      <c r="B660">
        <v>-123.21832999999999</v>
      </c>
      <c r="C660" t="s">
        <v>204</v>
      </c>
      <c r="D660">
        <v>11125</v>
      </c>
      <c r="E660">
        <v>6</v>
      </c>
      <c r="F660" t="s">
        <v>1483</v>
      </c>
      <c r="G660" t="str">
        <f t="shared" si="10"/>
        <v>DEEKS PEAK</v>
      </c>
      <c r="H660" t="s">
        <v>1472</v>
      </c>
      <c r="I660">
        <v>1280</v>
      </c>
      <c r="K660" t="s">
        <v>1484</v>
      </c>
      <c r="L660">
        <v>30649</v>
      </c>
      <c r="M660" t="s">
        <v>1474</v>
      </c>
      <c r="N660" t="s">
        <v>1475</v>
      </c>
      <c r="O660" t="s">
        <v>1476</v>
      </c>
      <c r="R660" t="s">
        <v>36</v>
      </c>
      <c r="S660" t="s">
        <v>37</v>
      </c>
      <c r="T660" t="s">
        <v>695</v>
      </c>
    </row>
    <row r="661" spans="1:24" x14ac:dyDescent="0.2">
      <c r="A661">
        <v>49.546709999999997</v>
      </c>
      <c r="B661">
        <v>-123.23985</v>
      </c>
      <c r="C661" t="s">
        <v>204</v>
      </c>
      <c r="D661">
        <v>11128</v>
      </c>
      <c r="E661">
        <v>1</v>
      </c>
      <c r="F661" t="s">
        <v>1485</v>
      </c>
      <c r="G661" t="str">
        <f t="shared" si="10"/>
        <v>PORTEAU COVE</v>
      </c>
      <c r="H661" t="s">
        <v>1472</v>
      </c>
      <c r="I661">
        <v>65</v>
      </c>
      <c r="K661" t="s">
        <v>1486</v>
      </c>
      <c r="L661">
        <v>43031</v>
      </c>
      <c r="M661" t="s">
        <v>1474</v>
      </c>
      <c r="N661" t="s">
        <v>1475</v>
      </c>
      <c r="O661" t="s">
        <v>1476</v>
      </c>
      <c r="R661" t="s">
        <v>36</v>
      </c>
      <c r="T661" t="s">
        <v>695</v>
      </c>
    </row>
    <row r="662" spans="1:24" x14ac:dyDescent="0.2">
      <c r="A662">
        <v>49.371859999999998</v>
      </c>
      <c r="B662">
        <v>-123.2697</v>
      </c>
      <c r="C662" t="s">
        <v>41</v>
      </c>
      <c r="D662">
        <v>11191</v>
      </c>
      <c r="E662">
        <v>3</v>
      </c>
      <c r="F662" t="s">
        <v>1487</v>
      </c>
      <c r="G662" t="str">
        <f t="shared" si="10"/>
        <v>EAGLE RIDGE</v>
      </c>
      <c r="H662" t="s">
        <v>1472</v>
      </c>
      <c r="I662">
        <v>140</v>
      </c>
      <c r="J662" t="s">
        <v>253</v>
      </c>
      <c r="K662" t="s">
        <v>1488</v>
      </c>
      <c r="L662">
        <v>39989</v>
      </c>
      <c r="M662" t="s">
        <v>1474</v>
      </c>
      <c r="N662" t="s">
        <v>1475</v>
      </c>
      <c r="O662" t="s">
        <v>1476</v>
      </c>
      <c r="Q662">
        <v>42073</v>
      </c>
      <c r="R662" t="s">
        <v>36</v>
      </c>
      <c r="S662" t="s">
        <v>37</v>
      </c>
      <c r="T662" t="s">
        <v>1477</v>
      </c>
      <c r="U662" t="s">
        <v>39</v>
      </c>
      <c r="W662" t="s">
        <v>1478</v>
      </c>
    </row>
    <row r="663" spans="1:24" x14ac:dyDescent="0.2">
      <c r="A663">
        <v>49.507249999999999</v>
      </c>
      <c r="B663">
        <v>-123.87978</v>
      </c>
      <c r="C663" t="s">
        <v>41</v>
      </c>
      <c r="D663">
        <v>12092</v>
      </c>
      <c r="E663">
        <v>3</v>
      </c>
      <c r="F663" t="s">
        <v>1489</v>
      </c>
      <c r="G663" t="str">
        <f t="shared" si="10"/>
        <v>TROUT LAKE</v>
      </c>
      <c r="H663" t="s">
        <v>1472</v>
      </c>
      <c r="I663">
        <v>164</v>
      </c>
      <c r="K663" t="s">
        <v>1490</v>
      </c>
      <c r="L663">
        <v>45253</v>
      </c>
      <c r="M663" t="s">
        <v>1474</v>
      </c>
      <c r="N663" t="s">
        <v>1475</v>
      </c>
      <c r="O663" t="s">
        <v>1476</v>
      </c>
      <c r="R663" t="s">
        <v>36</v>
      </c>
      <c r="S663" t="s">
        <v>37</v>
      </c>
      <c r="T663" t="s">
        <v>1491</v>
      </c>
      <c r="W663" t="s">
        <v>1478</v>
      </c>
      <c r="X663" t="s">
        <v>257</v>
      </c>
    </row>
    <row r="664" spans="1:24" x14ac:dyDescent="0.2">
      <c r="A664">
        <v>49.217779999999998</v>
      </c>
      <c r="B664">
        <v>-122.81194000000001</v>
      </c>
      <c r="C664" t="s">
        <v>41</v>
      </c>
      <c r="D664">
        <v>14092</v>
      </c>
      <c r="E664">
        <v>2</v>
      </c>
      <c r="F664" t="s">
        <v>1492</v>
      </c>
      <c r="G664" t="str">
        <f t="shared" si="10"/>
        <v>PORT MANN BRIDGE MID SPAN</v>
      </c>
      <c r="H664" t="s">
        <v>1472</v>
      </c>
      <c r="I664">
        <v>40</v>
      </c>
      <c r="K664" t="s">
        <v>1493</v>
      </c>
      <c r="L664">
        <v>41305</v>
      </c>
      <c r="M664" t="s">
        <v>1474</v>
      </c>
      <c r="N664" t="s">
        <v>1475</v>
      </c>
      <c r="O664" t="s">
        <v>1476</v>
      </c>
      <c r="R664" t="s">
        <v>36</v>
      </c>
      <c r="S664" t="s">
        <v>37</v>
      </c>
      <c r="W664" t="s">
        <v>1494</v>
      </c>
    </row>
    <row r="665" spans="1:24" x14ac:dyDescent="0.2">
      <c r="A665">
        <v>49.205280000000002</v>
      </c>
      <c r="B665">
        <v>-122.80202</v>
      </c>
      <c r="C665" t="s">
        <v>41</v>
      </c>
      <c r="D665">
        <v>14093</v>
      </c>
      <c r="E665">
        <v>3</v>
      </c>
      <c r="F665" t="s">
        <v>1495</v>
      </c>
      <c r="G665" t="str">
        <f t="shared" si="10"/>
        <v>PORT MANN BRIDGE JOHNSON HILL</v>
      </c>
      <c r="H665" t="s">
        <v>1472</v>
      </c>
      <c r="I665">
        <v>93</v>
      </c>
      <c r="K665" t="s">
        <v>1496</v>
      </c>
      <c r="L665">
        <v>41345</v>
      </c>
      <c r="M665" t="s">
        <v>1474</v>
      </c>
      <c r="N665" t="s">
        <v>1475</v>
      </c>
      <c r="O665" t="s">
        <v>1476</v>
      </c>
      <c r="R665" t="s">
        <v>36</v>
      </c>
      <c r="S665" t="s">
        <v>37</v>
      </c>
      <c r="T665" t="s">
        <v>1497</v>
      </c>
      <c r="U665" t="s">
        <v>39</v>
      </c>
      <c r="W665" t="s">
        <v>40</v>
      </c>
    </row>
    <row r="666" spans="1:24" x14ac:dyDescent="0.2">
      <c r="A666">
        <v>49.126710000000003</v>
      </c>
      <c r="B666">
        <v>-123.07947</v>
      </c>
      <c r="C666" t="s">
        <v>41</v>
      </c>
      <c r="D666">
        <v>14094</v>
      </c>
      <c r="E666">
        <v>1</v>
      </c>
      <c r="F666" t="s">
        <v>1498</v>
      </c>
      <c r="G666" t="str">
        <f t="shared" si="10"/>
        <v>RICEMILL ROAD</v>
      </c>
      <c r="H666" t="s">
        <v>1472</v>
      </c>
      <c r="I666">
        <v>5</v>
      </c>
      <c r="K666" t="s">
        <v>1499</v>
      </c>
      <c r="L666">
        <v>41976</v>
      </c>
      <c r="M666" t="s">
        <v>1474</v>
      </c>
      <c r="N666" t="s">
        <v>1475</v>
      </c>
      <c r="O666" t="s">
        <v>1476</v>
      </c>
      <c r="R666" t="s">
        <v>36</v>
      </c>
      <c r="S666" t="s">
        <v>37</v>
      </c>
      <c r="T666" t="s">
        <v>1497</v>
      </c>
      <c r="U666" t="s">
        <v>39</v>
      </c>
      <c r="W666" t="s">
        <v>40</v>
      </c>
      <c r="X666" t="s">
        <v>257</v>
      </c>
    </row>
    <row r="667" spans="1:24" x14ac:dyDescent="0.2">
      <c r="A667">
        <v>49.16187</v>
      </c>
      <c r="B667">
        <v>-122.94392000000001</v>
      </c>
      <c r="C667" t="s">
        <v>41</v>
      </c>
      <c r="D667">
        <v>14094</v>
      </c>
      <c r="E667">
        <v>3</v>
      </c>
      <c r="F667" t="s">
        <v>1500</v>
      </c>
      <c r="G667" t="str">
        <f t="shared" si="10"/>
        <v>ALEX FRASER TOP</v>
      </c>
      <c r="H667" t="s">
        <v>1472</v>
      </c>
      <c r="I667">
        <v>130</v>
      </c>
      <c r="K667" t="s">
        <v>1501</v>
      </c>
      <c r="R667" t="s">
        <v>36</v>
      </c>
      <c r="S667" t="s">
        <v>37</v>
      </c>
      <c r="U667" t="s">
        <v>39</v>
      </c>
    </row>
    <row r="668" spans="1:24" x14ac:dyDescent="0.2">
      <c r="A668">
        <v>49.160029999999999</v>
      </c>
      <c r="B668">
        <v>-122.94307999999999</v>
      </c>
      <c r="C668" t="s">
        <v>41</v>
      </c>
      <c r="D668">
        <v>14095</v>
      </c>
      <c r="E668">
        <v>2</v>
      </c>
      <c r="F668" t="s">
        <v>1502</v>
      </c>
      <c r="G668" t="str">
        <f t="shared" si="10"/>
        <v>ALEX FRASER BRIDGE</v>
      </c>
      <c r="H668" t="s">
        <v>1472</v>
      </c>
      <c r="I668">
        <v>60</v>
      </c>
      <c r="K668" t="s">
        <v>1503</v>
      </c>
      <c r="L668">
        <v>41977</v>
      </c>
      <c r="M668" t="s">
        <v>1474</v>
      </c>
      <c r="N668" t="s">
        <v>1475</v>
      </c>
      <c r="O668" t="s">
        <v>1476</v>
      </c>
      <c r="R668" t="s">
        <v>36</v>
      </c>
      <c r="S668" t="s">
        <v>37</v>
      </c>
      <c r="W668" t="s">
        <v>1494</v>
      </c>
    </row>
    <row r="669" spans="1:24" x14ac:dyDescent="0.2">
      <c r="A669">
        <v>49.161799999999999</v>
      </c>
      <c r="B669">
        <v>-122.94391</v>
      </c>
      <c r="C669" t="s">
        <v>41</v>
      </c>
      <c r="D669">
        <v>14095</v>
      </c>
      <c r="E669">
        <v>2</v>
      </c>
      <c r="F669" t="s">
        <v>1504</v>
      </c>
      <c r="G669" t="str">
        <f t="shared" si="10"/>
        <v>ALEX FRASER CROSSBEAM</v>
      </c>
      <c r="H669" t="s">
        <v>1472</v>
      </c>
      <c r="I669">
        <v>80</v>
      </c>
      <c r="K669" t="s">
        <v>1505</v>
      </c>
      <c r="R669" t="s">
        <v>36</v>
      </c>
    </row>
    <row r="670" spans="1:24" x14ac:dyDescent="0.2">
      <c r="A670">
        <v>29.171530000000001</v>
      </c>
      <c r="B670">
        <v>-122.9516</v>
      </c>
      <c r="C670" t="s">
        <v>41</v>
      </c>
      <c r="D670">
        <v>14098</v>
      </c>
      <c r="E670">
        <v>1</v>
      </c>
      <c r="F670" t="s">
        <v>1506</v>
      </c>
      <c r="G670" t="str">
        <f t="shared" si="10"/>
        <v>ANNICIS ISLAND</v>
      </c>
      <c r="H670" t="s">
        <v>1472</v>
      </c>
      <c r="I670">
        <v>4</v>
      </c>
    </row>
    <row r="671" spans="1:24" x14ac:dyDescent="0.2">
      <c r="A671">
        <v>49.075560000000003</v>
      </c>
      <c r="B671">
        <v>-122.42528</v>
      </c>
      <c r="C671" t="s">
        <v>41</v>
      </c>
      <c r="D671">
        <v>15092</v>
      </c>
      <c r="E671">
        <v>3</v>
      </c>
      <c r="F671" t="s">
        <v>1507</v>
      </c>
      <c r="G671" t="str">
        <f t="shared" si="10"/>
        <v>BRADNER ROAD</v>
      </c>
      <c r="H671" t="s">
        <v>1472</v>
      </c>
      <c r="I671">
        <v>110</v>
      </c>
      <c r="J671" t="s">
        <v>253</v>
      </c>
      <c r="K671" t="s">
        <v>1508</v>
      </c>
      <c r="L671">
        <v>38624</v>
      </c>
      <c r="M671" t="s">
        <v>1474</v>
      </c>
      <c r="N671" t="s">
        <v>1475</v>
      </c>
      <c r="O671" t="s">
        <v>1476</v>
      </c>
      <c r="Q671">
        <v>42073</v>
      </c>
      <c r="R671" t="s">
        <v>36</v>
      </c>
      <c r="S671" t="s">
        <v>37</v>
      </c>
      <c r="T671" t="s">
        <v>1477</v>
      </c>
      <c r="U671" t="s">
        <v>39</v>
      </c>
      <c r="W671" t="s">
        <v>1478</v>
      </c>
    </row>
    <row r="672" spans="1:24" x14ac:dyDescent="0.2">
      <c r="A672">
        <v>49.363059999999997</v>
      </c>
      <c r="B672">
        <v>-121.35611</v>
      </c>
      <c r="C672" t="s">
        <v>204</v>
      </c>
      <c r="D672">
        <v>15093</v>
      </c>
      <c r="E672">
        <v>2</v>
      </c>
      <c r="F672" t="s">
        <v>1509</v>
      </c>
      <c r="G672" t="str">
        <f t="shared" si="10"/>
        <v>NICOLUM CREEK</v>
      </c>
      <c r="H672" t="s">
        <v>1472</v>
      </c>
      <c r="I672">
        <v>244</v>
      </c>
      <c r="K672" t="s">
        <v>1510</v>
      </c>
      <c r="L672">
        <v>37500</v>
      </c>
      <c r="M672" t="s">
        <v>1474</v>
      </c>
      <c r="N672" t="s">
        <v>1475</v>
      </c>
      <c r="O672" t="s">
        <v>1476</v>
      </c>
      <c r="Q672">
        <v>42290</v>
      </c>
      <c r="R672" t="s">
        <v>36</v>
      </c>
      <c r="S672" t="s">
        <v>37</v>
      </c>
      <c r="T672" t="s">
        <v>1477</v>
      </c>
      <c r="U672" t="s">
        <v>39</v>
      </c>
      <c r="W672" t="s">
        <v>256</v>
      </c>
    </row>
    <row r="673" spans="1:24" x14ac:dyDescent="0.2">
      <c r="A673">
        <v>49.75703</v>
      </c>
      <c r="B673">
        <v>-121.41803</v>
      </c>
      <c r="C673" t="s">
        <v>86</v>
      </c>
      <c r="D673">
        <v>15122</v>
      </c>
      <c r="E673">
        <v>1</v>
      </c>
      <c r="F673" t="s">
        <v>1511</v>
      </c>
      <c r="G673" t="str">
        <f t="shared" si="10"/>
        <v>HELLS GATE ROADSIDE</v>
      </c>
      <c r="H673" t="s">
        <v>1472</v>
      </c>
      <c r="I673">
        <v>280</v>
      </c>
      <c r="J673" t="s">
        <v>253</v>
      </c>
      <c r="K673" t="s">
        <v>1512</v>
      </c>
      <c r="L673">
        <v>39324</v>
      </c>
      <c r="M673" t="s">
        <v>1474</v>
      </c>
      <c r="N673" t="s">
        <v>1475</v>
      </c>
      <c r="O673" t="s">
        <v>1476</v>
      </c>
      <c r="Q673">
        <v>42060</v>
      </c>
      <c r="R673" t="s">
        <v>36</v>
      </c>
      <c r="S673" t="s">
        <v>37</v>
      </c>
      <c r="T673" t="s">
        <v>1477</v>
      </c>
      <c r="U673" t="s">
        <v>39</v>
      </c>
      <c r="W673" t="s">
        <v>1513</v>
      </c>
    </row>
    <row r="674" spans="1:24" x14ac:dyDescent="0.2">
      <c r="A674">
        <v>50.07611</v>
      </c>
      <c r="B674">
        <v>-121.5475</v>
      </c>
      <c r="C674" t="s">
        <v>86</v>
      </c>
      <c r="D674">
        <v>15124</v>
      </c>
      <c r="E674">
        <v>1</v>
      </c>
      <c r="F674" t="s">
        <v>1514</v>
      </c>
      <c r="G674" t="str">
        <f t="shared" si="10"/>
        <v>JACKASS</v>
      </c>
      <c r="H674" t="s">
        <v>1472</v>
      </c>
      <c r="I674">
        <v>350</v>
      </c>
      <c r="J674" t="s">
        <v>253</v>
      </c>
      <c r="K674" t="s">
        <v>1515</v>
      </c>
      <c r="L674">
        <v>35735</v>
      </c>
      <c r="M674" t="s">
        <v>1474</v>
      </c>
      <c r="N674" t="s">
        <v>1475</v>
      </c>
      <c r="O674" t="s">
        <v>1476</v>
      </c>
      <c r="Q674">
        <v>42060</v>
      </c>
      <c r="R674" t="s">
        <v>36</v>
      </c>
      <c r="S674" t="s">
        <v>37</v>
      </c>
      <c r="T674" t="s">
        <v>1477</v>
      </c>
      <c r="U674" t="s">
        <v>39</v>
      </c>
      <c r="W674" t="s">
        <v>1516</v>
      </c>
    </row>
    <row r="675" spans="1:24" x14ac:dyDescent="0.2">
      <c r="A675">
        <v>49.23</v>
      </c>
      <c r="B675">
        <v>-121.0842</v>
      </c>
      <c r="C675" t="s">
        <v>204</v>
      </c>
      <c r="D675">
        <v>15321</v>
      </c>
      <c r="E675">
        <v>8</v>
      </c>
      <c r="F675" t="s">
        <v>1517</v>
      </c>
      <c r="G675" t="str">
        <f t="shared" si="10"/>
        <v>FOUNDATION MINES</v>
      </c>
      <c r="H675" t="s">
        <v>1472</v>
      </c>
      <c r="I675">
        <v>1650</v>
      </c>
      <c r="J675" t="s">
        <v>253</v>
      </c>
      <c r="K675" t="s">
        <v>1518</v>
      </c>
      <c r="L675">
        <v>32442</v>
      </c>
      <c r="M675" t="s">
        <v>1474</v>
      </c>
      <c r="N675" t="s">
        <v>1475</v>
      </c>
      <c r="O675" t="s">
        <v>1476</v>
      </c>
      <c r="R675" t="s">
        <v>36</v>
      </c>
      <c r="S675" t="s">
        <v>37</v>
      </c>
      <c r="T675" t="s">
        <v>695</v>
      </c>
      <c r="U675" t="s">
        <v>39</v>
      </c>
      <c r="W675" t="s">
        <v>40</v>
      </c>
    </row>
    <row r="676" spans="1:24" x14ac:dyDescent="0.2">
      <c r="A676">
        <v>49.115639999999999</v>
      </c>
      <c r="B676">
        <v>-120.86744</v>
      </c>
      <c r="C676" t="s">
        <v>86</v>
      </c>
      <c r="D676">
        <v>15392</v>
      </c>
      <c r="E676">
        <v>5</v>
      </c>
      <c r="F676" t="s">
        <v>1519</v>
      </c>
      <c r="G676" t="str">
        <f t="shared" si="10"/>
        <v>ALLISON PASS</v>
      </c>
      <c r="H676" t="s">
        <v>1472</v>
      </c>
      <c r="I676">
        <v>1340</v>
      </c>
      <c r="J676" t="s">
        <v>253</v>
      </c>
      <c r="K676" t="s">
        <v>1520</v>
      </c>
      <c r="L676">
        <v>37623</v>
      </c>
      <c r="M676" t="s">
        <v>1474</v>
      </c>
      <c r="N676" t="s">
        <v>1475</v>
      </c>
      <c r="O676" t="s">
        <v>1476</v>
      </c>
      <c r="Q676">
        <v>42088</v>
      </c>
      <c r="R676" t="s">
        <v>36</v>
      </c>
      <c r="S676" t="s">
        <v>37</v>
      </c>
      <c r="T676" t="s">
        <v>1477</v>
      </c>
      <c r="U676" t="s">
        <v>39</v>
      </c>
      <c r="W676" t="s">
        <v>256</v>
      </c>
    </row>
    <row r="677" spans="1:24" x14ac:dyDescent="0.2">
      <c r="A677">
        <v>49.166089999999997</v>
      </c>
      <c r="B677">
        <v>-120.56784</v>
      </c>
      <c r="C677" t="s">
        <v>86</v>
      </c>
      <c r="D677">
        <v>15394</v>
      </c>
      <c r="E677">
        <v>3</v>
      </c>
      <c r="F677" t="s">
        <v>1521</v>
      </c>
      <c r="G677" t="str">
        <f t="shared" si="10"/>
        <v>SIMILKAMEEN FALLS</v>
      </c>
      <c r="H677" t="s">
        <v>1472</v>
      </c>
      <c r="I677">
        <v>988</v>
      </c>
      <c r="K677" t="s">
        <v>1522</v>
      </c>
      <c r="L677">
        <v>44676</v>
      </c>
      <c r="M677" t="s">
        <v>1474</v>
      </c>
      <c r="N677" t="s">
        <v>1475</v>
      </c>
      <c r="O677" t="s">
        <v>1476</v>
      </c>
      <c r="R677" t="s">
        <v>36</v>
      </c>
      <c r="S677" t="s">
        <v>37</v>
      </c>
      <c r="T677" t="s">
        <v>1491</v>
      </c>
      <c r="W677" t="s">
        <v>1478</v>
      </c>
      <c r="X677" t="s">
        <v>257</v>
      </c>
    </row>
    <row r="678" spans="1:24" x14ac:dyDescent="0.2">
      <c r="A678">
        <v>50.52861</v>
      </c>
      <c r="B678">
        <v>-120.47833</v>
      </c>
      <c r="C678" t="s">
        <v>86</v>
      </c>
      <c r="D678">
        <v>21091</v>
      </c>
      <c r="E678">
        <v>5</v>
      </c>
      <c r="F678" t="s">
        <v>1523</v>
      </c>
      <c r="G678" t="str">
        <f t="shared" si="10"/>
        <v>WALLOPER</v>
      </c>
      <c r="H678" t="s">
        <v>1472</v>
      </c>
      <c r="I678">
        <v>1300</v>
      </c>
      <c r="J678" t="s">
        <v>253</v>
      </c>
      <c r="K678" t="s">
        <v>1524</v>
      </c>
      <c r="L678">
        <v>37196</v>
      </c>
      <c r="M678" t="s">
        <v>1474</v>
      </c>
      <c r="N678" t="s">
        <v>1475</v>
      </c>
      <c r="O678" t="s">
        <v>1476</v>
      </c>
      <c r="Q678">
        <v>42081</v>
      </c>
      <c r="R678" t="s">
        <v>36</v>
      </c>
      <c r="S678" t="s">
        <v>37</v>
      </c>
      <c r="T678" t="s">
        <v>1477</v>
      </c>
      <c r="U678" t="s">
        <v>39</v>
      </c>
      <c r="W678" t="s">
        <v>1525</v>
      </c>
    </row>
    <row r="679" spans="1:24" x14ac:dyDescent="0.2">
      <c r="A679">
        <v>51.113329999999998</v>
      </c>
      <c r="B679">
        <v>-120.13556</v>
      </c>
      <c r="C679" t="s">
        <v>86</v>
      </c>
      <c r="D679">
        <v>21123</v>
      </c>
      <c r="E679">
        <v>1</v>
      </c>
      <c r="F679" t="s">
        <v>1526</v>
      </c>
      <c r="G679" t="str">
        <f t="shared" si="10"/>
        <v>BARRIERE</v>
      </c>
      <c r="H679" t="s">
        <v>1472</v>
      </c>
      <c r="I679">
        <v>390</v>
      </c>
      <c r="J679" t="s">
        <v>253</v>
      </c>
      <c r="K679" t="s">
        <v>1527</v>
      </c>
      <c r="L679">
        <v>36465</v>
      </c>
      <c r="M679" t="s">
        <v>1474</v>
      </c>
      <c r="N679" t="s">
        <v>1475</v>
      </c>
      <c r="O679" t="s">
        <v>1476</v>
      </c>
      <c r="Q679">
        <v>42291</v>
      </c>
      <c r="R679" t="s">
        <v>36</v>
      </c>
      <c r="S679" t="s">
        <v>37</v>
      </c>
      <c r="T679" t="s">
        <v>1477</v>
      </c>
      <c r="U679" t="s">
        <v>39</v>
      </c>
      <c r="W679" t="s">
        <v>1528</v>
      </c>
    </row>
    <row r="680" spans="1:24" x14ac:dyDescent="0.2">
      <c r="A680">
        <v>51.66977</v>
      </c>
      <c r="B680">
        <v>-119.56574999999999</v>
      </c>
      <c r="C680" t="s">
        <v>61</v>
      </c>
      <c r="D680">
        <v>21192</v>
      </c>
      <c r="E680">
        <v>1</v>
      </c>
      <c r="F680" t="s">
        <v>1529</v>
      </c>
      <c r="G680" t="str">
        <f t="shared" si="10"/>
        <v>MAD RIVER</v>
      </c>
      <c r="H680" t="s">
        <v>1472</v>
      </c>
      <c r="I680">
        <v>545</v>
      </c>
      <c r="K680" t="s">
        <v>1530</v>
      </c>
      <c r="L680">
        <v>44488</v>
      </c>
      <c r="M680" t="s">
        <v>1474</v>
      </c>
      <c r="N680" t="s">
        <v>1475</v>
      </c>
      <c r="O680" t="s">
        <v>1476</v>
      </c>
      <c r="R680" t="s">
        <v>36</v>
      </c>
      <c r="S680" t="s">
        <v>37</v>
      </c>
      <c r="T680" t="s">
        <v>1491</v>
      </c>
      <c r="W680" t="s">
        <v>1478</v>
      </c>
      <c r="X680" t="s">
        <v>257</v>
      </c>
    </row>
    <row r="681" spans="1:24" x14ac:dyDescent="0.2">
      <c r="A681">
        <v>50.789580000000001</v>
      </c>
      <c r="B681">
        <v>-119.07934</v>
      </c>
      <c r="C681" t="s">
        <v>61</v>
      </c>
      <c r="D681">
        <v>22095</v>
      </c>
      <c r="E681">
        <v>1</v>
      </c>
      <c r="F681" t="s">
        <v>1531</v>
      </c>
      <c r="G681" t="str">
        <f t="shared" si="10"/>
        <v>ANNIS PIT</v>
      </c>
      <c r="H681" t="s">
        <v>1472</v>
      </c>
      <c r="I681">
        <v>420</v>
      </c>
      <c r="K681" t="s">
        <v>1532</v>
      </c>
      <c r="L681">
        <v>43042</v>
      </c>
      <c r="M681" t="s">
        <v>1474</v>
      </c>
      <c r="N681" t="s">
        <v>1475</v>
      </c>
      <c r="O681" t="s">
        <v>1476</v>
      </c>
      <c r="R681" t="s">
        <v>36</v>
      </c>
      <c r="S681" t="s">
        <v>37</v>
      </c>
      <c r="T681" t="s">
        <v>1491</v>
      </c>
      <c r="W681" t="s">
        <v>1478</v>
      </c>
      <c r="X681" t="s">
        <v>257</v>
      </c>
    </row>
    <row r="682" spans="1:24" x14ac:dyDescent="0.2">
      <c r="A682">
        <v>50.934170000000002</v>
      </c>
      <c r="B682">
        <v>-118.78861000000001</v>
      </c>
      <c r="C682" t="s">
        <v>61</v>
      </c>
      <c r="D682">
        <v>22096</v>
      </c>
      <c r="E682">
        <v>1</v>
      </c>
      <c r="F682" t="s">
        <v>1533</v>
      </c>
      <c r="G682" t="str">
        <f t="shared" si="10"/>
        <v>MALAKWA</v>
      </c>
      <c r="H682" t="s">
        <v>1472</v>
      </c>
      <c r="I682">
        <v>335</v>
      </c>
      <c r="J682" t="s">
        <v>253</v>
      </c>
      <c r="K682" t="s">
        <v>1534</v>
      </c>
      <c r="L682">
        <v>36448</v>
      </c>
      <c r="M682" t="s">
        <v>1474</v>
      </c>
      <c r="N682" t="s">
        <v>1475</v>
      </c>
      <c r="O682" t="s">
        <v>1476</v>
      </c>
      <c r="Q682">
        <v>42083</v>
      </c>
      <c r="R682" t="s">
        <v>36</v>
      </c>
      <c r="S682" t="s">
        <v>37</v>
      </c>
      <c r="T682" t="s">
        <v>1477</v>
      </c>
      <c r="U682" t="s">
        <v>39</v>
      </c>
      <c r="W682" t="s">
        <v>1535</v>
      </c>
    </row>
    <row r="683" spans="1:24" x14ac:dyDescent="0.2">
      <c r="A683">
        <v>50.872779999999999</v>
      </c>
      <c r="B683">
        <v>-119.57111</v>
      </c>
      <c r="C683" t="s">
        <v>86</v>
      </c>
      <c r="D683">
        <v>22123</v>
      </c>
      <c r="E683">
        <v>1</v>
      </c>
      <c r="F683" t="s">
        <v>1536</v>
      </c>
      <c r="G683" t="str">
        <f t="shared" si="10"/>
        <v>SQUILAX</v>
      </c>
      <c r="H683" t="s">
        <v>1472</v>
      </c>
      <c r="I683">
        <v>366</v>
      </c>
      <c r="K683" t="s">
        <v>1537</v>
      </c>
      <c r="L683">
        <v>35400</v>
      </c>
      <c r="M683" t="s">
        <v>1474</v>
      </c>
      <c r="N683" t="s">
        <v>1475</v>
      </c>
      <c r="O683" t="s">
        <v>1476</v>
      </c>
      <c r="Q683">
        <v>42082</v>
      </c>
      <c r="R683" t="s">
        <v>36</v>
      </c>
      <c r="S683" t="s">
        <v>37</v>
      </c>
      <c r="T683" t="s">
        <v>1477</v>
      </c>
      <c r="U683" t="s">
        <v>39</v>
      </c>
      <c r="W683" t="s">
        <v>1538</v>
      </c>
    </row>
    <row r="684" spans="1:24" x14ac:dyDescent="0.2">
      <c r="A684">
        <v>50.211199999999998</v>
      </c>
      <c r="B684">
        <v>-119.30611</v>
      </c>
      <c r="C684" t="s">
        <v>86</v>
      </c>
      <c r="D684">
        <v>23097</v>
      </c>
      <c r="E684">
        <v>1</v>
      </c>
      <c r="F684" t="s">
        <v>1539</v>
      </c>
      <c r="G684" t="str">
        <f t="shared" si="10"/>
        <v>KALAMALKA LOOKOUT</v>
      </c>
      <c r="H684" t="s">
        <v>1472</v>
      </c>
      <c r="I684">
        <v>570</v>
      </c>
      <c r="J684" t="s">
        <v>253</v>
      </c>
      <c r="K684" t="s">
        <v>1540</v>
      </c>
      <c r="L684">
        <v>36117</v>
      </c>
      <c r="M684" t="s">
        <v>1474</v>
      </c>
      <c r="N684" t="s">
        <v>1475</v>
      </c>
      <c r="O684" t="s">
        <v>1476</v>
      </c>
      <c r="Q684">
        <v>42087</v>
      </c>
      <c r="R684" t="s">
        <v>36</v>
      </c>
      <c r="S684" t="s">
        <v>37</v>
      </c>
      <c r="T684" t="s">
        <v>1477</v>
      </c>
      <c r="U684" t="s">
        <v>39</v>
      </c>
      <c r="W684" t="s">
        <v>1541</v>
      </c>
    </row>
    <row r="685" spans="1:24" x14ac:dyDescent="0.2">
      <c r="A685">
        <v>49.40616</v>
      </c>
      <c r="B685">
        <v>-120.26299</v>
      </c>
      <c r="C685" t="s">
        <v>86</v>
      </c>
      <c r="D685">
        <v>24093</v>
      </c>
      <c r="E685">
        <v>1</v>
      </c>
      <c r="F685" t="s">
        <v>1542</v>
      </c>
      <c r="G685" t="str">
        <f t="shared" si="10"/>
        <v>BROMLEY ROCK</v>
      </c>
      <c r="H685" t="s">
        <v>1472</v>
      </c>
      <c r="I685">
        <v>566</v>
      </c>
      <c r="K685" t="s">
        <v>1543</v>
      </c>
      <c r="L685">
        <v>43076</v>
      </c>
      <c r="M685" t="s">
        <v>1474</v>
      </c>
      <c r="N685" t="s">
        <v>1475</v>
      </c>
      <c r="O685" t="s">
        <v>1476</v>
      </c>
      <c r="R685" t="s">
        <v>36</v>
      </c>
      <c r="S685" t="s">
        <v>37</v>
      </c>
      <c r="T685" t="s">
        <v>1491</v>
      </c>
    </row>
    <row r="686" spans="1:24" x14ac:dyDescent="0.2">
      <c r="A686">
        <v>49.672499999999999</v>
      </c>
      <c r="B686">
        <v>-120.60468</v>
      </c>
      <c r="C686" t="s">
        <v>86</v>
      </c>
      <c r="D686">
        <v>24094</v>
      </c>
      <c r="E686">
        <v>2</v>
      </c>
      <c r="F686" t="s">
        <v>1544</v>
      </c>
      <c r="G686" t="str">
        <f t="shared" si="10"/>
        <v>RACETRACK</v>
      </c>
      <c r="H686" t="s">
        <v>1472</v>
      </c>
      <c r="I686">
        <v>877</v>
      </c>
      <c r="K686" t="s">
        <v>1545</v>
      </c>
      <c r="L686">
        <v>45699</v>
      </c>
      <c r="M686" t="s">
        <v>1474</v>
      </c>
      <c r="N686" t="s">
        <v>1475</v>
      </c>
      <c r="O686" t="s">
        <v>1476</v>
      </c>
      <c r="R686" t="s">
        <v>36</v>
      </c>
      <c r="S686" t="s">
        <v>37</v>
      </c>
      <c r="T686" t="s">
        <v>1491</v>
      </c>
      <c r="W686" t="s">
        <v>1478</v>
      </c>
      <c r="X686" t="s">
        <v>257</v>
      </c>
    </row>
    <row r="687" spans="1:24" x14ac:dyDescent="0.2">
      <c r="A687">
        <v>49.396389999999997</v>
      </c>
      <c r="B687">
        <v>-119.90194</v>
      </c>
      <c r="C687" t="s">
        <v>86</v>
      </c>
      <c r="D687">
        <v>24126</v>
      </c>
      <c r="E687">
        <v>8</v>
      </c>
      <c r="F687" t="s">
        <v>1546</v>
      </c>
      <c r="G687" t="str">
        <f t="shared" si="10"/>
        <v>APEX ROADSIDE</v>
      </c>
      <c r="H687" t="s">
        <v>1472</v>
      </c>
      <c r="I687">
        <v>1875</v>
      </c>
      <c r="J687" t="s">
        <v>253</v>
      </c>
      <c r="K687" t="s">
        <v>1547</v>
      </c>
      <c r="L687">
        <v>35744</v>
      </c>
      <c r="M687" t="s">
        <v>1474</v>
      </c>
      <c r="N687" t="s">
        <v>1475</v>
      </c>
      <c r="O687" t="s">
        <v>1476</v>
      </c>
      <c r="Q687">
        <v>42087</v>
      </c>
      <c r="R687" t="s">
        <v>36</v>
      </c>
      <c r="S687" t="s">
        <v>37</v>
      </c>
      <c r="T687" t="s">
        <v>695</v>
      </c>
      <c r="U687" t="s">
        <v>39</v>
      </c>
      <c r="W687" t="s">
        <v>1548</v>
      </c>
    </row>
    <row r="688" spans="1:24" x14ac:dyDescent="0.2">
      <c r="A688">
        <v>49.396929999999998</v>
      </c>
      <c r="B688">
        <v>-119.72880000000001</v>
      </c>
      <c r="C688" t="s">
        <v>86</v>
      </c>
      <c r="D688">
        <v>24191</v>
      </c>
      <c r="E688">
        <v>2</v>
      </c>
      <c r="F688" t="s">
        <v>1549</v>
      </c>
      <c r="G688" t="str">
        <f t="shared" si="10"/>
        <v>YELLOW LAKE</v>
      </c>
      <c r="H688" t="s">
        <v>1472</v>
      </c>
      <c r="I688">
        <v>780</v>
      </c>
      <c r="K688" t="s">
        <v>1550</v>
      </c>
    </row>
    <row r="689" spans="1:24" x14ac:dyDescent="0.2">
      <c r="A689">
        <v>49.475830000000002</v>
      </c>
      <c r="B689">
        <v>-120.62306</v>
      </c>
      <c r="C689" t="s">
        <v>86</v>
      </c>
      <c r="D689">
        <v>24225</v>
      </c>
      <c r="E689">
        <v>2</v>
      </c>
      <c r="F689" t="s">
        <v>1551</v>
      </c>
      <c r="G689" t="str">
        <f t="shared" si="10"/>
        <v>RED BLUFFS</v>
      </c>
      <c r="H689" t="s">
        <v>1472</v>
      </c>
      <c r="I689">
        <v>830</v>
      </c>
      <c r="K689" t="s">
        <v>1552</v>
      </c>
      <c r="L689">
        <v>35704</v>
      </c>
      <c r="M689" t="s">
        <v>1474</v>
      </c>
      <c r="N689" t="s">
        <v>1475</v>
      </c>
      <c r="O689" t="s">
        <v>1476</v>
      </c>
      <c r="R689" t="s">
        <v>36</v>
      </c>
      <c r="S689" t="s">
        <v>37</v>
      </c>
      <c r="T689" t="s">
        <v>1477</v>
      </c>
      <c r="U689" t="s">
        <v>39</v>
      </c>
      <c r="W689" t="s">
        <v>1553</v>
      </c>
    </row>
    <row r="690" spans="1:24" x14ac:dyDescent="0.2">
      <c r="A690">
        <v>50.320830000000001</v>
      </c>
      <c r="B690">
        <v>-120.6366</v>
      </c>
      <c r="C690" t="s">
        <v>86</v>
      </c>
      <c r="D690">
        <v>25092</v>
      </c>
      <c r="E690">
        <v>5</v>
      </c>
      <c r="F690" t="s">
        <v>1554</v>
      </c>
      <c r="G690" t="str">
        <f t="shared" si="10"/>
        <v>HELMER LK</v>
      </c>
      <c r="H690" t="s">
        <v>1472</v>
      </c>
      <c r="I690">
        <v>1385</v>
      </c>
      <c r="J690" t="s">
        <v>253</v>
      </c>
      <c r="K690" t="s">
        <v>1555</v>
      </c>
      <c r="L690">
        <v>36100</v>
      </c>
      <c r="M690" t="s">
        <v>1474</v>
      </c>
      <c r="N690" t="s">
        <v>1475</v>
      </c>
      <c r="O690" t="s">
        <v>1476</v>
      </c>
      <c r="Q690">
        <v>42080</v>
      </c>
      <c r="R690" t="s">
        <v>36</v>
      </c>
      <c r="S690" t="s">
        <v>37</v>
      </c>
      <c r="T690" t="s">
        <v>1477</v>
      </c>
      <c r="U690" t="s">
        <v>39</v>
      </c>
      <c r="W690" t="s">
        <v>1556</v>
      </c>
    </row>
    <row r="691" spans="1:24" x14ac:dyDescent="0.2">
      <c r="A691">
        <v>49.831110000000002</v>
      </c>
      <c r="B691">
        <v>-120.935</v>
      </c>
      <c r="C691" t="s">
        <v>86</v>
      </c>
      <c r="D691">
        <v>25093</v>
      </c>
      <c r="E691">
        <v>3</v>
      </c>
      <c r="F691" t="s">
        <v>1557</v>
      </c>
      <c r="G691" t="str">
        <f t="shared" si="10"/>
        <v>LARSON HILL</v>
      </c>
      <c r="H691" t="s">
        <v>1472</v>
      </c>
      <c r="I691">
        <v>1060</v>
      </c>
      <c r="J691" t="s">
        <v>253</v>
      </c>
      <c r="K691" t="s">
        <v>1558</v>
      </c>
      <c r="L691">
        <v>36831</v>
      </c>
      <c r="M691" t="s">
        <v>1474</v>
      </c>
      <c r="N691" t="s">
        <v>1475</v>
      </c>
      <c r="O691" t="s">
        <v>1476</v>
      </c>
      <c r="Q691">
        <v>42080</v>
      </c>
      <c r="R691" t="s">
        <v>36</v>
      </c>
      <c r="S691" t="s">
        <v>37</v>
      </c>
      <c r="T691" t="s">
        <v>1477</v>
      </c>
      <c r="U691" t="s">
        <v>39</v>
      </c>
      <c r="W691" t="s">
        <v>1556</v>
      </c>
    </row>
    <row r="692" spans="1:24" x14ac:dyDescent="0.2">
      <c r="A692">
        <v>50.439990000000002</v>
      </c>
      <c r="B692">
        <v>-120.59869999999999</v>
      </c>
      <c r="C692" t="s">
        <v>86</v>
      </c>
      <c r="D692">
        <v>25094</v>
      </c>
      <c r="E692">
        <v>5</v>
      </c>
      <c r="F692" t="s">
        <v>1559</v>
      </c>
      <c r="G692" t="str">
        <f t="shared" si="10"/>
        <v>DESMOND HILL</v>
      </c>
      <c r="H692" t="s">
        <v>1472</v>
      </c>
      <c r="I692">
        <v>1300</v>
      </c>
      <c r="K692" t="s">
        <v>1560</v>
      </c>
      <c r="L692">
        <v>42619</v>
      </c>
      <c r="M692" t="s">
        <v>1474</v>
      </c>
      <c r="N692" t="s">
        <v>1475</v>
      </c>
      <c r="O692" t="s">
        <v>1476</v>
      </c>
      <c r="R692" t="s">
        <v>36</v>
      </c>
      <c r="S692" t="s">
        <v>37</v>
      </c>
    </row>
    <row r="693" spans="1:24" x14ac:dyDescent="0.2">
      <c r="A693">
        <v>50.017490000000002</v>
      </c>
      <c r="B693">
        <v>-120.83608</v>
      </c>
      <c r="C693" t="s">
        <v>86</v>
      </c>
      <c r="D693">
        <v>25095</v>
      </c>
      <c r="E693">
        <v>2</v>
      </c>
      <c r="F693" t="s">
        <v>1561</v>
      </c>
      <c r="G693" t="str">
        <f t="shared" si="10"/>
        <v>COMSTOCK</v>
      </c>
      <c r="H693" t="s">
        <v>1472</v>
      </c>
      <c r="I693">
        <v>945</v>
      </c>
      <c r="K693" t="s">
        <v>1562</v>
      </c>
      <c r="L693">
        <v>42625</v>
      </c>
      <c r="M693" t="s">
        <v>1474</v>
      </c>
      <c r="N693" t="s">
        <v>1475</v>
      </c>
      <c r="O693" t="s">
        <v>1476</v>
      </c>
      <c r="R693" t="s">
        <v>36</v>
      </c>
      <c r="S693" t="s">
        <v>37</v>
      </c>
    </row>
    <row r="694" spans="1:24" x14ac:dyDescent="0.2">
      <c r="A694">
        <v>49.594059999999999</v>
      </c>
      <c r="B694">
        <v>-121.09953</v>
      </c>
      <c r="C694" t="s">
        <v>204</v>
      </c>
      <c r="D694">
        <v>25221</v>
      </c>
      <c r="E694">
        <v>6</v>
      </c>
      <c r="F694" t="s">
        <v>1563</v>
      </c>
      <c r="G694" t="str">
        <f t="shared" si="10"/>
        <v>COQUIHALLA SUMMIT</v>
      </c>
      <c r="H694" t="s">
        <v>1472</v>
      </c>
      <c r="I694">
        <v>1230</v>
      </c>
      <c r="J694" t="s">
        <v>253</v>
      </c>
      <c r="K694" t="s">
        <v>1564</v>
      </c>
      <c r="L694">
        <v>34973</v>
      </c>
      <c r="M694" t="s">
        <v>1474</v>
      </c>
      <c r="N694" t="s">
        <v>1475</v>
      </c>
      <c r="O694" t="s">
        <v>1476</v>
      </c>
      <c r="Q694">
        <v>42080</v>
      </c>
      <c r="R694" t="s">
        <v>36</v>
      </c>
      <c r="S694" t="s">
        <v>37</v>
      </c>
      <c r="T694" t="s">
        <v>695</v>
      </c>
      <c r="U694" t="s">
        <v>39</v>
      </c>
      <c r="W694" t="s">
        <v>1565</v>
      </c>
    </row>
    <row r="695" spans="1:24" x14ac:dyDescent="0.2">
      <c r="A695">
        <v>49.596939999999996</v>
      </c>
      <c r="B695">
        <v>-121.17639</v>
      </c>
      <c r="C695" t="s">
        <v>204</v>
      </c>
      <c r="D695">
        <v>25225</v>
      </c>
      <c r="E695">
        <v>8</v>
      </c>
      <c r="F695" t="s">
        <v>1566</v>
      </c>
      <c r="G695" t="str">
        <f t="shared" si="10"/>
        <v>GREAT BEAR</v>
      </c>
      <c r="H695" t="s">
        <v>1472</v>
      </c>
      <c r="I695">
        <v>1710</v>
      </c>
      <c r="K695" t="s">
        <v>1567</v>
      </c>
      <c r="L695">
        <v>31569</v>
      </c>
      <c r="M695" t="s">
        <v>1474</v>
      </c>
      <c r="N695" t="s">
        <v>1475</v>
      </c>
      <c r="O695" t="s">
        <v>1476</v>
      </c>
      <c r="R695" t="s">
        <v>36</v>
      </c>
      <c r="S695" t="s">
        <v>37</v>
      </c>
      <c r="W695" t="s">
        <v>40</v>
      </c>
    </row>
    <row r="696" spans="1:24" x14ac:dyDescent="0.2">
      <c r="A696">
        <v>49.599719999999998</v>
      </c>
      <c r="B696">
        <v>-121.17749999999999</v>
      </c>
      <c r="C696" t="s">
        <v>204</v>
      </c>
      <c r="D696">
        <v>25229</v>
      </c>
      <c r="E696">
        <v>8</v>
      </c>
      <c r="F696" t="s">
        <v>1568</v>
      </c>
      <c r="G696" t="str">
        <f t="shared" si="10"/>
        <v>LITTLE BEAR</v>
      </c>
      <c r="H696" t="s">
        <v>1472</v>
      </c>
      <c r="I696">
        <v>1660</v>
      </c>
      <c r="K696" t="s">
        <v>1569</v>
      </c>
      <c r="L696">
        <v>32509</v>
      </c>
      <c r="M696" t="s">
        <v>1474</v>
      </c>
      <c r="N696" t="s">
        <v>1475</v>
      </c>
      <c r="O696" t="s">
        <v>1476</v>
      </c>
      <c r="R696" t="s">
        <v>36</v>
      </c>
      <c r="S696" t="s">
        <v>37</v>
      </c>
      <c r="T696" t="s">
        <v>695</v>
      </c>
      <c r="U696" t="s">
        <v>39</v>
      </c>
    </row>
    <row r="697" spans="1:24" x14ac:dyDescent="0.2">
      <c r="A697">
        <v>50.813859999999998</v>
      </c>
      <c r="B697">
        <v>-122.18831</v>
      </c>
      <c r="C697" t="s">
        <v>86</v>
      </c>
      <c r="D697">
        <v>26124</v>
      </c>
      <c r="E697">
        <v>3</v>
      </c>
      <c r="F697" t="s">
        <v>1570</v>
      </c>
      <c r="G697" t="str">
        <f t="shared" si="10"/>
        <v>BLUENOSE</v>
      </c>
      <c r="H697" t="s">
        <v>1472</v>
      </c>
      <c r="I697">
        <v>1070</v>
      </c>
      <c r="K697" t="s">
        <v>1571</v>
      </c>
      <c r="L697">
        <v>41148</v>
      </c>
      <c r="M697" t="s">
        <v>1474</v>
      </c>
      <c r="N697" t="s">
        <v>1475</v>
      </c>
      <c r="O697" t="s">
        <v>1476</v>
      </c>
      <c r="R697" t="s">
        <v>36</v>
      </c>
      <c r="S697" t="s">
        <v>37</v>
      </c>
      <c r="T697" t="s">
        <v>695</v>
      </c>
      <c r="U697" t="s">
        <v>39</v>
      </c>
      <c r="W697" t="s">
        <v>762</v>
      </c>
      <c r="X697" t="s">
        <v>257</v>
      </c>
    </row>
    <row r="698" spans="1:24" x14ac:dyDescent="0.2">
      <c r="A698">
        <v>50.854419999999998</v>
      </c>
      <c r="B698">
        <v>-122.83625000000001</v>
      </c>
      <c r="C698" t="s">
        <v>86</v>
      </c>
      <c r="D698">
        <v>26125</v>
      </c>
      <c r="E698">
        <v>1</v>
      </c>
      <c r="F698" t="s">
        <v>1572</v>
      </c>
      <c r="G698" t="str">
        <f t="shared" si="10"/>
        <v>GOLDBRIDGE</v>
      </c>
      <c r="H698" t="s">
        <v>1472</v>
      </c>
      <c r="I698">
        <v>685</v>
      </c>
      <c r="K698" t="s">
        <v>1573</v>
      </c>
      <c r="L698">
        <v>43087</v>
      </c>
      <c r="M698" t="s">
        <v>1474</v>
      </c>
      <c r="N698" t="s">
        <v>1475</v>
      </c>
      <c r="O698" t="s">
        <v>1476</v>
      </c>
      <c r="R698" t="s">
        <v>36</v>
      </c>
      <c r="S698" t="s">
        <v>37</v>
      </c>
      <c r="T698" t="s">
        <v>695</v>
      </c>
      <c r="U698" t="s">
        <v>39</v>
      </c>
    </row>
    <row r="699" spans="1:24" x14ac:dyDescent="0.2">
      <c r="A699">
        <v>50.406939999999999</v>
      </c>
      <c r="B699">
        <v>-122.25556</v>
      </c>
      <c r="C699" t="s">
        <v>86</v>
      </c>
      <c r="D699">
        <v>26221</v>
      </c>
      <c r="E699">
        <v>8</v>
      </c>
      <c r="F699" t="s">
        <v>1574</v>
      </c>
      <c r="G699" t="str">
        <f t="shared" si="10"/>
        <v>BLOWDOWN PEAK</v>
      </c>
      <c r="H699" t="s">
        <v>1472</v>
      </c>
      <c r="I699">
        <v>2320</v>
      </c>
      <c r="K699" t="s">
        <v>1575</v>
      </c>
      <c r="L699">
        <v>32149</v>
      </c>
      <c r="M699" t="s">
        <v>1474</v>
      </c>
      <c r="N699" t="s">
        <v>1475</v>
      </c>
      <c r="O699" t="s">
        <v>1476</v>
      </c>
      <c r="R699" t="s">
        <v>36</v>
      </c>
      <c r="S699" t="s">
        <v>37</v>
      </c>
      <c r="W699" t="s">
        <v>779</v>
      </c>
    </row>
    <row r="700" spans="1:24" x14ac:dyDescent="0.2">
      <c r="A700">
        <v>50.40222</v>
      </c>
      <c r="B700">
        <v>-122.26472</v>
      </c>
      <c r="C700" t="s">
        <v>86</v>
      </c>
      <c r="D700">
        <v>26222</v>
      </c>
      <c r="E700">
        <v>8</v>
      </c>
      <c r="F700" t="s">
        <v>1576</v>
      </c>
      <c r="G700" t="str">
        <f t="shared" si="10"/>
        <v>BLOWDOWN MID</v>
      </c>
      <c r="H700" t="s">
        <v>1472</v>
      </c>
      <c r="I700">
        <v>1890</v>
      </c>
      <c r="K700" t="s">
        <v>1577</v>
      </c>
      <c r="L700">
        <v>32149</v>
      </c>
      <c r="M700" t="s">
        <v>1474</v>
      </c>
      <c r="N700" t="s">
        <v>1475</v>
      </c>
      <c r="O700" t="s">
        <v>1476</v>
      </c>
      <c r="R700" t="s">
        <v>36</v>
      </c>
      <c r="S700" t="s">
        <v>37</v>
      </c>
      <c r="T700" t="s">
        <v>695</v>
      </c>
      <c r="U700" t="s">
        <v>39</v>
      </c>
    </row>
    <row r="701" spans="1:24" x14ac:dyDescent="0.2">
      <c r="A701">
        <v>50.38</v>
      </c>
      <c r="B701">
        <v>-122.47417</v>
      </c>
      <c r="C701" t="s">
        <v>86</v>
      </c>
      <c r="D701">
        <v>26224</v>
      </c>
      <c r="E701">
        <v>5</v>
      </c>
      <c r="F701" t="s">
        <v>1578</v>
      </c>
      <c r="G701" t="str">
        <f t="shared" si="10"/>
        <v>CAYOOSH SUMMIT</v>
      </c>
      <c r="H701" t="s">
        <v>1472</v>
      </c>
      <c r="I701">
        <v>1350</v>
      </c>
      <c r="K701" t="s">
        <v>1579</v>
      </c>
      <c r="L701">
        <v>35643</v>
      </c>
      <c r="M701" t="s">
        <v>1474</v>
      </c>
      <c r="N701" t="s">
        <v>1475</v>
      </c>
      <c r="O701" t="s">
        <v>1476</v>
      </c>
      <c r="R701" t="s">
        <v>36</v>
      </c>
      <c r="S701" t="s">
        <v>37</v>
      </c>
      <c r="T701" t="s">
        <v>1477</v>
      </c>
      <c r="U701" t="s">
        <v>39</v>
      </c>
      <c r="W701" t="s">
        <v>1565</v>
      </c>
    </row>
    <row r="702" spans="1:24" x14ac:dyDescent="0.2">
      <c r="A702">
        <v>50.74</v>
      </c>
      <c r="B702">
        <v>-121.86167</v>
      </c>
      <c r="C702" t="s">
        <v>86</v>
      </c>
      <c r="D702">
        <v>26501</v>
      </c>
      <c r="E702">
        <v>1</v>
      </c>
      <c r="F702" t="s">
        <v>1580</v>
      </c>
      <c r="G702" t="str">
        <f t="shared" si="10"/>
        <v>FOUNTAIN SLIDE</v>
      </c>
      <c r="H702" t="s">
        <v>1472</v>
      </c>
      <c r="I702">
        <v>378</v>
      </c>
      <c r="J702" t="s">
        <v>253</v>
      </c>
      <c r="K702" t="s">
        <v>1581</v>
      </c>
      <c r="L702">
        <v>40436</v>
      </c>
      <c r="M702" t="s">
        <v>1474</v>
      </c>
      <c r="N702" t="s">
        <v>1475</v>
      </c>
      <c r="O702" t="s">
        <v>1476</v>
      </c>
      <c r="Q702">
        <v>42059</v>
      </c>
      <c r="R702" t="s">
        <v>36</v>
      </c>
      <c r="S702" t="s">
        <v>37</v>
      </c>
      <c r="T702" t="s">
        <v>1497</v>
      </c>
    </row>
    <row r="703" spans="1:24" x14ac:dyDescent="0.2">
      <c r="A703">
        <v>50.622959999999999</v>
      </c>
      <c r="B703">
        <v>-122.4432</v>
      </c>
      <c r="C703" t="s">
        <v>86</v>
      </c>
      <c r="D703">
        <v>26521</v>
      </c>
      <c r="E703">
        <v>2</v>
      </c>
      <c r="F703" t="s">
        <v>1582</v>
      </c>
      <c r="G703" t="str">
        <f t="shared" si="10"/>
        <v>HIGHLINE</v>
      </c>
      <c r="H703" t="s">
        <v>1472</v>
      </c>
      <c r="I703">
        <v>742</v>
      </c>
      <c r="K703" t="s">
        <v>1583</v>
      </c>
      <c r="L703">
        <v>44817</v>
      </c>
      <c r="M703" t="s">
        <v>1474</v>
      </c>
      <c r="N703" t="s">
        <v>1475</v>
      </c>
      <c r="O703" t="s">
        <v>1476</v>
      </c>
      <c r="R703" t="s">
        <v>36</v>
      </c>
      <c r="S703" t="s">
        <v>37</v>
      </c>
      <c r="T703" t="s">
        <v>695</v>
      </c>
      <c r="U703" t="s">
        <v>39</v>
      </c>
      <c r="W703" t="s">
        <v>1584</v>
      </c>
    </row>
    <row r="704" spans="1:24" x14ac:dyDescent="0.2">
      <c r="A704">
        <v>51.146929999999998</v>
      </c>
      <c r="B704">
        <v>-121.50162</v>
      </c>
      <c r="C704" t="s">
        <v>29</v>
      </c>
      <c r="D704">
        <v>28071</v>
      </c>
      <c r="E704">
        <v>4</v>
      </c>
      <c r="F704" t="s">
        <v>1585</v>
      </c>
      <c r="G704" t="str">
        <f t="shared" si="10"/>
        <v>BIG BAR</v>
      </c>
      <c r="H704" t="s">
        <v>1472</v>
      </c>
      <c r="I704">
        <v>1049</v>
      </c>
      <c r="K704" t="s">
        <v>1586</v>
      </c>
      <c r="L704">
        <v>43332</v>
      </c>
      <c r="M704" t="s">
        <v>1474</v>
      </c>
      <c r="N704" t="s">
        <v>1475</v>
      </c>
      <c r="O704" t="s">
        <v>1476</v>
      </c>
      <c r="R704" t="s">
        <v>36</v>
      </c>
      <c r="S704" t="s">
        <v>37</v>
      </c>
      <c r="T704" t="s">
        <v>1491</v>
      </c>
      <c r="W704" t="s">
        <v>1478</v>
      </c>
      <c r="X704" t="s">
        <v>257</v>
      </c>
    </row>
    <row r="705" spans="1:24" x14ac:dyDescent="0.2">
      <c r="A705">
        <v>51.192869999999999</v>
      </c>
      <c r="B705">
        <v>-121.5295</v>
      </c>
      <c r="C705" t="s">
        <v>29</v>
      </c>
      <c r="D705">
        <v>28072</v>
      </c>
      <c r="E705">
        <v>4</v>
      </c>
      <c r="F705" t="s">
        <v>1587</v>
      </c>
      <c r="G705" t="str">
        <f t="shared" si="10"/>
        <v>CHASM ROAD</v>
      </c>
      <c r="H705" t="s">
        <v>1472</v>
      </c>
      <c r="I705">
        <v>1093</v>
      </c>
      <c r="K705" t="s">
        <v>1588</v>
      </c>
    </row>
    <row r="706" spans="1:24" x14ac:dyDescent="0.2">
      <c r="A706">
        <v>51.476109999999998</v>
      </c>
      <c r="B706">
        <v>-121.37083</v>
      </c>
      <c r="C706" t="s">
        <v>29</v>
      </c>
      <c r="D706">
        <v>28093</v>
      </c>
      <c r="E706">
        <v>5</v>
      </c>
      <c r="F706" t="s">
        <v>1589</v>
      </c>
      <c r="G706" t="str">
        <f t="shared" ref="G706:G769" si="11">UPPER(F706)</f>
        <v>BEGBIE SUMMIT</v>
      </c>
      <c r="H706" t="s">
        <v>1472</v>
      </c>
      <c r="I706">
        <v>1210</v>
      </c>
      <c r="J706" t="s">
        <v>253</v>
      </c>
      <c r="K706" t="s">
        <v>1590</v>
      </c>
      <c r="L706">
        <v>36800</v>
      </c>
      <c r="M706" t="s">
        <v>1474</v>
      </c>
      <c r="N706" t="s">
        <v>1475</v>
      </c>
      <c r="O706" t="s">
        <v>1476</v>
      </c>
      <c r="Q706">
        <v>42081</v>
      </c>
      <c r="R706" t="s">
        <v>36</v>
      </c>
      <c r="S706" t="s">
        <v>37</v>
      </c>
      <c r="T706" t="s">
        <v>1477</v>
      </c>
      <c r="U706" t="s">
        <v>39</v>
      </c>
      <c r="W706" t="s">
        <v>1556</v>
      </c>
    </row>
    <row r="707" spans="1:24" x14ac:dyDescent="0.2">
      <c r="A707">
        <v>49.90672</v>
      </c>
      <c r="B707">
        <v>-120.01336000000001</v>
      </c>
      <c r="C707" t="s">
        <v>86</v>
      </c>
      <c r="D707">
        <v>29092</v>
      </c>
      <c r="E707">
        <v>7</v>
      </c>
      <c r="F707" t="s">
        <v>1591</v>
      </c>
      <c r="G707" t="str">
        <f t="shared" si="11"/>
        <v>PENNASK SUMMIT</v>
      </c>
      <c r="H707" t="s">
        <v>1472</v>
      </c>
      <c r="I707">
        <v>1700</v>
      </c>
      <c r="J707" t="s">
        <v>253</v>
      </c>
      <c r="K707" t="s">
        <v>1592</v>
      </c>
      <c r="L707">
        <v>36100</v>
      </c>
      <c r="M707" t="s">
        <v>1474</v>
      </c>
      <c r="N707" t="s">
        <v>1475</v>
      </c>
      <c r="O707" t="s">
        <v>1476</v>
      </c>
      <c r="Q707">
        <v>42087</v>
      </c>
      <c r="R707" t="s">
        <v>36</v>
      </c>
      <c r="S707" t="s">
        <v>37</v>
      </c>
      <c r="T707" t="s">
        <v>1477</v>
      </c>
      <c r="U707" t="s">
        <v>39</v>
      </c>
      <c r="W707" t="s">
        <v>40</v>
      </c>
    </row>
    <row r="708" spans="1:24" x14ac:dyDescent="0.2">
      <c r="A708">
        <v>49.939509999999999</v>
      </c>
      <c r="B708">
        <v>-120.54637</v>
      </c>
      <c r="C708" t="s">
        <v>86</v>
      </c>
      <c r="D708">
        <v>29093</v>
      </c>
      <c r="E708">
        <v>3</v>
      </c>
      <c r="F708" t="s">
        <v>1593</v>
      </c>
      <c r="G708" t="str">
        <f t="shared" si="11"/>
        <v>POTHOLE LAKE</v>
      </c>
      <c r="H708" t="s">
        <v>1472</v>
      </c>
      <c r="I708">
        <v>1045</v>
      </c>
      <c r="K708" t="s">
        <v>1594</v>
      </c>
      <c r="L708">
        <v>43010</v>
      </c>
      <c r="M708" t="s">
        <v>1474</v>
      </c>
      <c r="N708" t="s">
        <v>1475</v>
      </c>
      <c r="O708" t="s">
        <v>1476</v>
      </c>
      <c r="R708" t="s">
        <v>36</v>
      </c>
      <c r="S708" t="s">
        <v>37</v>
      </c>
      <c r="T708" t="s">
        <v>1491</v>
      </c>
      <c r="W708" t="s">
        <v>1478</v>
      </c>
    </row>
    <row r="709" spans="1:24" x14ac:dyDescent="0.2">
      <c r="A709">
        <v>49.869729999999997</v>
      </c>
      <c r="B709">
        <v>-119.93686</v>
      </c>
      <c r="C709" t="s">
        <v>86</v>
      </c>
      <c r="D709">
        <v>29094</v>
      </c>
      <c r="E709">
        <v>4</v>
      </c>
      <c r="F709" t="s">
        <v>1595</v>
      </c>
      <c r="G709" t="str">
        <f t="shared" si="11"/>
        <v>BRENDA MINE</v>
      </c>
      <c r="H709" t="s">
        <v>1472</v>
      </c>
      <c r="I709">
        <v>1270</v>
      </c>
      <c r="K709" t="s">
        <v>1596</v>
      </c>
      <c r="L709">
        <v>42941</v>
      </c>
      <c r="M709" t="s">
        <v>1474</v>
      </c>
      <c r="N709" t="s">
        <v>1475</v>
      </c>
      <c r="O709" t="s">
        <v>1476</v>
      </c>
      <c r="R709" t="s">
        <v>36</v>
      </c>
      <c r="S709" t="s">
        <v>37</v>
      </c>
      <c r="T709" t="s">
        <v>1491</v>
      </c>
    </row>
    <row r="710" spans="1:24" x14ac:dyDescent="0.2">
      <c r="A710">
        <v>49.373330000000003</v>
      </c>
      <c r="B710">
        <v>-117.24250000000001</v>
      </c>
      <c r="C710" t="s">
        <v>61</v>
      </c>
      <c r="D710">
        <v>31091</v>
      </c>
      <c r="E710">
        <v>1</v>
      </c>
      <c r="F710" t="s">
        <v>1597</v>
      </c>
      <c r="G710" t="str">
        <f t="shared" si="11"/>
        <v>HALL CREEK</v>
      </c>
      <c r="H710" t="s">
        <v>1472</v>
      </c>
      <c r="I710">
        <v>860</v>
      </c>
      <c r="J710" t="s">
        <v>253</v>
      </c>
      <c r="K710" t="s">
        <v>1598</v>
      </c>
      <c r="L710">
        <v>36800</v>
      </c>
      <c r="M710" t="s">
        <v>1474</v>
      </c>
      <c r="N710" t="s">
        <v>1475</v>
      </c>
      <c r="O710" t="s">
        <v>1476</v>
      </c>
      <c r="Q710">
        <v>42085</v>
      </c>
      <c r="R710" t="s">
        <v>36</v>
      </c>
      <c r="S710" t="s">
        <v>37</v>
      </c>
      <c r="T710" t="s">
        <v>1477</v>
      </c>
      <c r="U710" t="s">
        <v>39</v>
      </c>
      <c r="W710" t="s">
        <v>40</v>
      </c>
    </row>
    <row r="711" spans="1:24" x14ac:dyDescent="0.2">
      <c r="A711">
        <v>49.487720000000003</v>
      </c>
      <c r="B711">
        <v>-117.41986</v>
      </c>
      <c r="C711" t="s">
        <v>61</v>
      </c>
      <c r="D711">
        <v>31092</v>
      </c>
      <c r="E711">
        <v>1</v>
      </c>
      <c r="F711" t="s">
        <v>1599</v>
      </c>
      <c r="G711" t="str">
        <f t="shared" si="11"/>
        <v>BEASLEY BLUFFS</v>
      </c>
      <c r="H711" t="s">
        <v>1472</v>
      </c>
      <c r="I711">
        <v>580</v>
      </c>
      <c r="K711" t="s">
        <v>1600</v>
      </c>
      <c r="L711">
        <v>40828</v>
      </c>
      <c r="M711" t="s">
        <v>1474</v>
      </c>
      <c r="N711" t="s">
        <v>1475</v>
      </c>
      <c r="O711" t="s">
        <v>1476</v>
      </c>
      <c r="R711" t="s">
        <v>36</v>
      </c>
      <c r="S711" t="s">
        <v>37</v>
      </c>
      <c r="T711" t="s">
        <v>1477</v>
      </c>
      <c r="U711" t="s">
        <v>39</v>
      </c>
      <c r="W711" t="s">
        <v>1601</v>
      </c>
    </row>
    <row r="712" spans="1:24" x14ac:dyDescent="0.2">
      <c r="A712">
        <v>49.41778</v>
      </c>
      <c r="B712">
        <v>-117.16110999999999</v>
      </c>
      <c r="C712" t="s">
        <v>61</v>
      </c>
      <c r="D712">
        <v>31321</v>
      </c>
      <c r="E712">
        <v>7</v>
      </c>
      <c r="F712" t="s">
        <v>1602</v>
      </c>
      <c r="G712" t="str">
        <f t="shared" si="11"/>
        <v>SOUTHRIDGE</v>
      </c>
      <c r="H712" t="s">
        <v>1472</v>
      </c>
      <c r="I712">
        <v>1990</v>
      </c>
      <c r="K712" t="s">
        <v>1603</v>
      </c>
      <c r="L712">
        <v>36800</v>
      </c>
      <c r="M712" t="s">
        <v>1474</v>
      </c>
      <c r="N712" t="s">
        <v>1475</v>
      </c>
      <c r="O712" t="s">
        <v>1476</v>
      </c>
      <c r="R712" t="s">
        <v>36</v>
      </c>
      <c r="S712" t="s">
        <v>37</v>
      </c>
      <c r="U712" t="s">
        <v>39</v>
      </c>
      <c r="W712" t="s">
        <v>40</v>
      </c>
      <c r="X712" t="s">
        <v>257</v>
      </c>
    </row>
    <row r="713" spans="1:24" x14ac:dyDescent="0.2">
      <c r="A713">
        <v>49.187080000000002</v>
      </c>
      <c r="B713">
        <v>-117.44001</v>
      </c>
      <c r="C713" t="s">
        <v>61</v>
      </c>
      <c r="D713">
        <v>32091</v>
      </c>
      <c r="E713">
        <v>1</v>
      </c>
      <c r="F713" t="s">
        <v>1604</v>
      </c>
      <c r="G713" t="str">
        <f t="shared" si="11"/>
        <v>MEADOWS JUNCTION</v>
      </c>
      <c r="H713" t="s">
        <v>1472</v>
      </c>
      <c r="I713">
        <v>700</v>
      </c>
      <c r="K713" t="s">
        <v>1605</v>
      </c>
      <c r="L713">
        <v>41896</v>
      </c>
      <c r="M713" t="s">
        <v>1474</v>
      </c>
      <c r="N713" t="s">
        <v>1475</v>
      </c>
      <c r="O713" t="s">
        <v>1476</v>
      </c>
      <c r="R713" t="s">
        <v>36</v>
      </c>
      <c r="S713" t="s">
        <v>37</v>
      </c>
      <c r="T713" t="s">
        <v>1477</v>
      </c>
      <c r="U713" t="s">
        <v>39</v>
      </c>
      <c r="W713" t="s">
        <v>1606</v>
      </c>
    </row>
    <row r="714" spans="1:24" x14ac:dyDescent="0.2">
      <c r="A714">
        <v>49.204169999999998</v>
      </c>
      <c r="B714">
        <v>-117.88889</v>
      </c>
      <c r="C714" t="s">
        <v>61</v>
      </c>
      <c r="D714">
        <v>32221</v>
      </c>
      <c r="E714">
        <v>5</v>
      </c>
      <c r="F714" t="s">
        <v>1607</v>
      </c>
      <c r="G714" t="str">
        <f t="shared" si="11"/>
        <v>STRAWBERRY PASS</v>
      </c>
      <c r="H714" t="s">
        <v>1472</v>
      </c>
      <c r="I714">
        <v>1600</v>
      </c>
      <c r="J714" t="s">
        <v>253</v>
      </c>
      <c r="K714" t="s">
        <v>1608</v>
      </c>
      <c r="L714">
        <v>36448</v>
      </c>
      <c r="M714" t="s">
        <v>1474</v>
      </c>
      <c r="N714" t="s">
        <v>1475</v>
      </c>
      <c r="O714" t="s">
        <v>1476</v>
      </c>
      <c r="Q714">
        <v>42086</v>
      </c>
      <c r="R714" t="s">
        <v>36</v>
      </c>
      <c r="S714" t="s">
        <v>37</v>
      </c>
      <c r="T714" t="s">
        <v>1477</v>
      </c>
      <c r="U714" t="s">
        <v>39</v>
      </c>
      <c r="W714" t="s">
        <v>1609</v>
      </c>
    </row>
    <row r="715" spans="1:24" x14ac:dyDescent="0.2">
      <c r="A715">
        <v>49.005560000000003</v>
      </c>
      <c r="B715">
        <v>-119.31361</v>
      </c>
      <c r="C715" t="s">
        <v>86</v>
      </c>
      <c r="D715">
        <v>33093</v>
      </c>
      <c r="E715">
        <v>3</v>
      </c>
      <c r="F715" t="s">
        <v>1610</v>
      </c>
      <c r="G715" t="str">
        <f t="shared" si="11"/>
        <v>ANARCHIST SUMMIT</v>
      </c>
      <c r="H715" t="s">
        <v>1472</v>
      </c>
      <c r="I715">
        <v>1097</v>
      </c>
      <c r="J715" t="s">
        <v>253</v>
      </c>
      <c r="K715" t="s">
        <v>1611</v>
      </c>
      <c r="L715">
        <v>36832</v>
      </c>
      <c r="M715" t="s">
        <v>1474</v>
      </c>
      <c r="N715" t="s">
        <v>1475</v>
      </c>
      <c r="O715" t="s">
        <v>1476</v>
      </c>
      <c r="Q715">
        <v>42088</v>
      </c>
      <c r="R715" t="s">
        <v>36</v>
      </c>
      <c r="S715" t="s">
        <v>37</v>
      </c>
      <c r="T715" t="s">
        <v>1477</v>
      </c>
      <c r="U715" t="s">
        <v>39</v>
      </c>
      <c r="W715" t="s">
        <v>1612</v>
      </c>
    </row>
    <row r="716" spans="1:24" x14ac:dyDescent="0.2">
      <c r="A716">
        <v>49.148180000000004</v>
      </c>
      <c r="B716">
        <v>-118.53021</v>
      </c>
      <c r="C716" t="s">
        <v>61</v>
      </c>
      <c r="D716">
        <v>33095</v>
      </c>
      <c r="E716">
        <v>2</v>
      </c>
      <c r="F716" t="s">
        <v>1613</v>
      </c>
      <c r="G716" t="str">
        <f t="shared" si="11"/>
        <v>EHOLT</v>
      </c>
      <c r="H716" t="s">
        <v>1472</v>
      </c>
      <c r="I716">
        <v>998</v>
      </c>
      <c r="K716" t="s">
        <v>1614</v>
      </c>
      <c r="L716">
        <v>44530</v>
      </c>
      <c r="M716" t="s">
        <v>1474</v>
      </c>
      <c r="N716" t="s">
        <v>1475</v>
      </c>
      <c r="O716" t="s">
        <v>1476</v>
      </c>
      <c r="R716" t="s">
        <v>36</v>
      </c>
      <c r="S716" t="s">
        <v>37</v>
      </c>
      <c r="T716" t="s">
        <v>1491</v>
      </c>
      <c r="W716" t="s">
        <v>1478</v>
      </c>
      <c r="X716" t="s">
        <v>257</v>
      </c>
    </row>
    <row r="717" spans="1:24" x14ac:dyDescent="0.2">
      <c r="A717">
        <v>49.757779999999997</v>
      </c>
      <c r="B717">
        <v>-119.12639</v>
      </c>
      <c r="C717" t="s">
        <v>86</v>
      </c>
      <c r="D717">
        <v>33099</v>
      </c>
      <c r="E717">
        <v>4</v>
      </c>
      <c r="F717" t="s">
        <v>1392</v>
      </c>
      <c r="G717" t="str">
        <f t="shared" si="11"/>
        <v>MCCULLOCH</v>
      </c>
      <c r="H717" t="s">
        <v>1472</v>
      </c>
      <c r="I717">
        <v>1200</v>
      </c>
      <c r="K717" t="s">
        <v>1615</v>
      </c>
      <c r="L717">
        <v>36800</v>
      </c>
      <c r="M717" t="s">
        <v>1474</v>
      </c>
      <c r="N717" t="s">
        <v>1475</v>
      </c>
      <c r="O717" t="s">
        <v>1476</v>
      </c>
      <c r="R717" t="s">
        <v>36</v>
      </c>
      <c r="S717" t="s">
        <v>37</v>
      </c>
      <c r="T717" t="s">
        <v>1477</v>
      </c>
      <c r="U717" t="s">
        <v>39</v>
      </c>
      <c r="W717" t="s">
        <v>425</v>
      </c>
    </row>
    <row r="718" spans="1:24" x14ac:dyDescent="0.2">
      <c r="A718">
        <v>49.159970000000001</v>
      </c>
      <c r="B718">
        <v>-118.10936</v>
      </c>
      <c r="C718" t="s">
        <v>61</v>
      </c>
      <c r="D718">
        <v>33121</v>
      </c>
      <c r="E718">
        <v>5</v>
      </c>
      <c r="F718" t="s">
        <v>1616</v>
      </c>
      <c r="G718" t="str">
        <f t="shared" si="11"/>
        <v>BLUEBERRY</v>
      </c>
      <c r="H718" t="s">
        <v>1472</v>
      </c>
      <c r="I718">
        <v>1570</v>
      </c>
      <c r="K718" t="s">
        <v>1617</v>
      </c>
      <c r="L718">
        <v>34274</v>
      </c>
      <c r="M718" t="s">
        <v>1474</v>
      </c>
      <c r="N718" t="s">
        <v>1475</v>
      </c>
      <c r="O718" t="s">
        <v>1476</v>
      </c>
      <c r="R718" t="s">
        <v>36</v>
      </c>
      <c r="S718" t="s">
        <v>37</v>
      </c>
      <c r="T718" t="s">
        <v>695</v>
      </c>
      <c r="U718" t="s">
        <v>39</v>
      </c>
    </row>
    <row r="719" spans="1:24" x14ac:dyDescent="0.2">
      <c r="A719">
        <v>49.243679999999998</v>
      </c>
      <c r="B719">
        <v>-118.05204999999999</v>
      </c>
      <c r="C719" t="s">
        <v>61</v>
      </c>
      <c r="D719">
        <v>33122</v>
      </c>
      <c r="E719">
        <v>4</v>
      </c>
      <c r="F719" t="s">
        <v>1618</v>
      </c>
      <c r="G719" t="str">
        <f t="shared" si="11"/>
        <v>PAULSON SUMMIT</v>
      </c>
      <c r="H719" t="s">
        <v>1472</v>
      </c>
      <c r="I719">
        <v>1535</v>
      </c>
      <c r="K719" t="s">
        <v>1619</v>
      </c>
      <c r="L719">
        <v>35400</v>
      </c>
      <c r="M719" t="s">
        <v>1474</v>
      </c>
      <c r="N719" t="s">
        <v>1475</v>
      </c>
      <c r="O719" t="s">
        <v>1476</v>
      </c>
      <c r="Q719">
        <v>42305</v>
      </c>
      <c r="R719" t="s">
        <v>36</v>
      </c>
      <c r="S719" t="s">
        <v>37</v>
      </c>
      <c r="T719" t="s">
        <v>1477</v>
      </c>
      <c r="U719" t="s">
        <v>39</v>
      </c>
      <c r="W719" t="s">
        <v>391</v>
      </c>
    </row>
    <row r="720" spans="1:24" x14ac:dyDescent="0.2">
      <c r="A720">
        <v>50.050550000000001</v>
      </c>
      <c r="B720">
        <v>-118.39633000000001</v>
      </c>
      <c r="C720" t="s">
        <v>61</v>
      </c>
      <c r="D720">
        <v>34091</v>
      </c>
      <c r="E720">
        <v>3</v>
      </c>
      <c r="F720" t="s">
        <v>1620</v>
      </c>
      <c r="G720" t="str">
        <f t="shared" si="11"/>
        <v>MONASHEE PASS</v>
      </c>
      <c r="H720" t="s">
        <v>1472</v>
      </c>
      <c r="I720">
        <v>1223</v>
      </c>
      <c r="K720" t="s">
        <v>1621</v>
      </c>
      <c r="L720">
        <v>41871</v>
      </c>
      <c r="M720" t="s">
        <v>1474</v>
      </c>
      <c r="N720" t="s">
        <v>1475</v>
      </c>
      <c r="O720" t="s">
        <v>1476</v>
      </c>
      <c r="R720" t="s">
        <v>36</v>
      </c>
      <c r="S720" t="s">
        <v>37</v>
      </c>
      <c r="T720" t="s">
        <v>1477</v>
      </c>
      <c r="U720" t="s">
        <v>39</v>
      </c>
      <c r="W720" t="s">
        <v>40</v>
      </c>
    </row>
    <row r="721" spans="1:24" x14ac:dyDescent="0.2">
      <c r="A721">
        <v>50.046309999999998</v>
      </c>
      <c r="B721">
        <v>-117.17914</v>
      </c>
      <c r="C721" t="s">
        <v>61</v>
      </c>
      <c r="D721">
        <v>34126</v>
      </c>
      <c r="E721">
        <v>2</v>
      </c>
      <c r="F721" t="s">
        <v>1622</v>
      </c>
      <c r="G721" t="str">
        <f t="shared" si="11"/>
        <v>FISH LAKE</v>
      </c>
      <c r="H721" t="s">
        <v>1472</v>
      </c>
      <c r="I721">
        <v>1080</v>
      </c>
      <c r="J721" t="s">
        <v>253</v>
      </c>
      <c r="K721" t="s">
        <v>1623</v>
      </c>
      <c r="L721">
        <v>36481</v>
      </c>
      <c r="M721" t="s">
        <v>1474</v>
      </c>
      <c r="N721" t="s">
        <v>1475</v>
      </c>
      <c r="O721" t="s">
        <v>1476</v>
      </c>
      <c r="Q721">
        <v>42086</v>
      </c>
      <c r="R721" t="s">
        <v>36</v>
      </c>
      <c r="S721" t="s">
        <v>37</v>
      </c>
      <c r="T721" t="s">
        <v>695</v>
      </c>
      <c r="U721" t="s">
        <v>39</v>
      </c>
      <c r="W721" t="s">
        <v>1612</v>
      </c>
    </row>
    <row r="722" spans="1:24" x14ac:dyDescent="0.2">
      <c r="A722">
        <v>50.022300000000001</v>
      </c>
      <c r="B722">
        <v>-117.18098999999999</v>
      </c>
      <c r="C722" t="s">
        <v>61</v>
      </c>
      <c r="D722">
        <v>34127</v>
      </c>
      <c r="E722">
        <v>8</v>
      </c>
      <c r="F722" t="s">
        <v>1624</v>
      </c>
      <c r="G722" t="str">
        <f t="shared" si="11"/>
        <v>DARDANELLE RIDGE</v>
      </c>
      <c r="H722" t="s">
        <v>1472</v>
      </c>
      <c r="I722">
        <v>2200</v>
      </c>
      <c r="K722" t="s">
        <v>1625</v>
      </c>
      <c r="L722">
        <v>41926</v>
      </c>
      <c r="M722" t="s">
        <v>1474</v>
      </c>
      <c r="N722" t="s">
        <v>1475</v>
      </c>
      <c r="O722" t="s">
        <v>1476</v>
      </c>
      <c r="R722" t="s">
        <v>36</v>
      </c>
      <c r="S722" t="s">
        <v>37</v>
      </c>
      <c r="W722" t="s">
        <v>1626</v>
      </c>
    </row>
    <row r="723" spans="1:24" x14ac:dyDescent="0.2">
      <c r="A723">
        <v>50.04589</v>
      </c>
      <c r="B723">
        <v>-117.23481</v>
      </c>
      <c r="C723" t="s">
        <v>61</v>
      </c>
      <c r="D723">
        <v>34128</v>
      </c>
      <c r="E723">
        <v>7</v>
      </c>
      <c r="F723" t="s">
        <v>1627</v>
      </c>
      <c r="G723" t="str">
        <f t="shared" si="11"/>
        <v>LONDON RIDGE LOW</v>
      </c>
      <c r="H723" t="s">
        <v>1472</v>
      </c>
      <c r="I723">
        <v>2070</v>
      </c>
      <c r="K723" t="s">
        <v>1628</v>
      </c>
      <c r="L723">
        <v>33147</v>
      </c>
      <c r="M723" t="s">
        <v>1474</v>
      </c>
      <c r="N723" t="s">
        <v>1475</v>
      </c>
      <c r="O723" t="s">
        <v>1476</v>
      </c>
      <c r="R723" t="s">
        <v>36</v>
      </c>
      <c r="S723" t="s">
        <v>37</v>
      </c>
      <c r="T723" t="s">
        <v>695</v>
      </c>
      <c r="U723" t="s">
        <v>39</v>
      </c>
    </row>
    <row r="724" spans="1:24" x14ac:dyDescent="0.2">
      <c r="A724">
        <v>50.154170000000001</v>
      </c>
      <c r="B724">
        <v>-116.9675</v>
      </c>
      <c r="C724" t="s">
        <v>61</v>
      </c>
      <c r="D724">
        <v>34224</v>
      </c>
      <c r="E724">
        <v>2</v>
      </c>
      <c r="F724" t="s">
        <v>1629</v>
      </c>
      <c r="G724" t="str">
        <f t="shared" si="11"/>
        <v>LARDEAU</v>
      </c>
      <c r="H724" t="s">
        <v>1472</v>
      </c>
      <c r="I724">
        <v>1095</v>
      </c>
      <c r="J724" t="s">
        <v>253</v>
      </c>
      <c r="K724" t="s">
        <v>1630</v>
      </c>
      <c r="L724">
        <v>33147</v>
      </c>
      <c r="M724" t="s">
        <v>1474</v>
      </c>
      <c r="N724" t="s">
        <v>1475</v>
      </c>
      <c r="O724" t="s">
        <v>1476</v>
      </c>
      <c r="R724" t="s">
        <v>36</v>
      </c>
      <c r="S724" t="s">
        <v>37</v>
      </c>
      <c r="T724" t="s">
        <v>695</v>
      </c>
      <c r="U724" t="s">
        <v>39</v>
      </c>
      <c r="W724" t="s">
        <v>435</v>
      </c>
    </row>
    <row r="725" spans="1:24" x14ac:dyDescent="0.2">
      <c r="A725">
        <v>50.248890000000003</v>
      </c>
      <c r="B725">
        <v>-117.08028</v>
      </c>
      <c r="C725" t="s">
        <v>61</v>
      </c>
      <c r="D725">
        <v>34225</v>
      </c>
      <c r="E725">
        <v>8</v>
      </c>
      <c r="F725" t="s">
        <v>1631</v>
      </c>
      <c r="G725" t="str">
        <f t="shared" si="11"/>
        <v>LARDEAU HIGH</v>
      </c>
      <c r="H725" t="s">
        <v>1472</v>
      </c>
      <c r="I725">
        <v>2518</v>
      </c>
      <c r="K725" t="s">
        <v>1632</v>
      </c>
      <c r="L725">
        <v>40962</v>
      </c>
      <c r="M725" t="s">
        <v>1474</v>
      </c>
      <c r="N725" t="s">
        <v>1475</v>
      </c>
      <c r="O725" t="s">
        <v>1476</v>
      </c>
      <c r="R725" t="s">
        <v>36</v>
      </c>
      <c r="S725" t="s">
        <v>37</v>
      </c>
      <c r="W725" t="s">
        <v>1633</v>
      </c>
    </row>
    <row r="726" spans="1:24" x14ac:dyDescent="0.2">
      <c r="A726">
        <v>49.714410000000001</v>
      </c>
      <c r="B726">
        <v>-116.30719999999999</v>
      </c>
      <c r="C726" t="s">
        <v>61</v>
      </c>
      <c r="D726">
        <v>34621</v>
      </c>
      <c r="E726">
        <v>1</v>
      </c>
      <c r="F726" t="s">
        <v>1634</v>
      </c>
      <c r="G726" t="str">
        <f t="shared" si="11"/>
        <v>COFFEE CREEK</v>
      </c>
      <c r="H726" t="s">
        <v>1472</v>
      </c>
      <c r="I726">
        <v>610</v>
      </c>
      <c r="J726" t="s">
        <v>253</v>
      </c>
      <c r="K726" t="s">
        <v>1635</v>
      </c>
      <c r="L726">
        <v>34973</v>
      </c>
      <c r="M726" t="s">
        <v>1474</v>
      </c>
      <c r="N726" t="s">
        <v>1475</v>
      </c>
      <c r="O726" t="s">
        <v>1476</v>
      </c>
      <c r="Q726">
        <v>42085</v>
      </c>
      <c r="R726" t="s">
        <v>36</v>
      </c>
      <c r="S726" t="s">
        <v>37</v>
      </c>
      <c r="T726" t="s">
        <v>695</v>
      </c>
      <c r="U726" t="s">
        <v>39</v>
      </c>
      <c r="W726" t="s">
        <v>1636</v>
      </c>
    </row>
    <row r="727" spans="1:24" x14ac:dyDescent="0.2">
      <c r="A727">
        <v>50.147500000000001</v>
      </c>
      <c r="B727">
        <v>-117.5925</v>
      </c>
      <c r="C727" t="s">
        <v>61</v>
      </c>
      <c r="D727">
        <v>34791</v>
      </c>
      <c r="E727">
        <v>1</v>
      </c>
      <c r="F727" t="s">
        <v>1637</v>
      </c>
      <c r="G727" t="str">
        <f t="shared" si="11"/>
        <v>SUMMIT LAKE</v>
      </c>
      <c r="H727" t="s">
        <v>1472</v>
      </c>
      <c r="I727">
        <v>780</v>
      </c>
      <c r="K727" t="s">
        <v>1638</v>
      </c>
      <c r="L727">
        <v>38292</v>
      </c>
      <c r="M727" t="s">
        <v>1474</v>
      </c>
      <c r="N727" t="s">
        <v>1475</v>
      </c>
      <c r="O727" t="s">
        <v>1476</v>
      </c>
      <c r="Q727">
        <v>42305</v>
      </c>
      <c r="R727" t="s">
        <v>36</v>
      </c>
      <c r="S727" t="s">
        <v>37</v>
      </c>
      <c r="T727" t="s">
        <v>1477</v>
      </c>
      <c r="U727" t="s">
        <v>39</v>
      </c>
      <c r="W727" t="s">
        <v>1639</v>
      </c>
    </row>
    <row r="728" spans="1:24" x14ac:dyDescent="0.2">
      <c r="A728">
        <v>49.877589999999998</v>
      </c>
      <c r="B728">
        <v>-117.39829</v>
      </c>
      <c r="C728" t="s">
        <v>61</v>
      </c>
      <c r="D728">
        <v>34891</v>
      </c>
      <c r="E728">
        <v>1</v>
      </c>
      <c r="F728" t="s">
        <v>1640</v>
      </c>
      <c r="G728" t="str">
        <f t="shared" si="11"/>
        <v>SLOCAN LAKE</v>
      </c>
      <c r="H728" t="s">
        <v>1472</v>
      </c>
      <c r="I728">
        <v>808</v>
      </c>
      <c r="K728" t="s">
        <v>1641</v>
      </c>
      <c r="L728">
        <v>45890</v>
      </c>
      <c r="M728" t="s">
        <v>1474</v>
      </c>
      <c r="N728" t="s">
        <v>1475</v>
      </c>
      <c r="O728" t="s">
        <v>1476</v>
      </c>
      <c r="R728" t="s">
        <v>36</v>
      </c>
      <c r="S728" t="s">
        <v>37</v>
      </c>
      <c r="T728" t="s">
        <v>1491</v>
      </c>
      <c r="W728" t="s">
        <v>1516</v>
      </c>
      <c r="X728" t="s">
        <v>257</v>
      </c>
    </row>
    <row r="729" spans="1:24" x14ac:dyDescent="0.2">
      <c r="A729">
        <v>49.994320000000002</v>
      </c>
      <c r="B729">
        <v>-115.76109</v>
      </c>
      <c r="C729" t="s">
        <v>61</v>
      </c>
      <c r="D729">
        <v>35091</v>
      </c>
      <c r="E729">
        <v>1</v>
      </c>
      <c r="F729" t="s">
        <v>1642</v>
      </c>
      <c r="G729" t="str">
        <f t="shared" si="11"/>
        <v>CANAL FLATS</v>
      </c>
      <c r="H729" t="s">
        <v>1472</v>
      </c>
      <c r="I729">
        <v>870</v>
      </c>
      <c r="K729" t="s">
        <v>1643</v>
      </c>
      <c r="L729">
        <v>35764</v>
      </c>
      <c r="M729" t="s">
        <v>1474</v>
      </c>
      <c r="N729" t="s">
        <v>1475</v>
      </c>
      <c r="O729" t="s">
        <v>1476</v>
      </c>
      <c r="Q729">
        <v>42307</v>
      </c>
      <c r="R729" t="s">
        <v>36</v>
      </c>
      <c r="S729" t="s">
        <v>37</v>
      </c>
      <c r="T729" t="s">
        <v>1477</v>
      </c>
      <c r="U729" t="s">
        <v>39</v>
      </c>
      <c r="W729" t="s">
        <v>1636</v>
      </c>
    </row>
    <row r="730" spans="1:24" x14ac:dyDescent="0.2">
      <c r="A730">
        <v>49.32611</v>
      </c>
      <c r="B730">
        <v>-115.82889</v>
      </c>
      <c r="C730" t="s">
        <v>61</v>
      </c>
      <c r="D730">
        <v>35092</v>
      </c>
      <c r="E730">
        <v>2</v>
      </c>
      <c r="F730" t="s">
        <v>1644</v>
      </c>
      <c r="G730" t="str">
        <f t="shared" si="11"/>
        <v>MOYIE</v>
      </c>
      <c r="H730" t="s">
        <v>1472</v>
      </c>
      <c r="I730">
        <v>975</v>
      </c>
      <c r="K730" t="s">
        <v>1645</v>
      </c>
      <c r="L730">
        <v>37196</v>
      </c>
      <c r="M730" t="s">
        <v>1474</v>
      </c>
      <c r="N730" t="s">
        <v>1475</v>
      </c>
      <c r="O730" t="s">
        <v>1476</v>
      </c>
      <c r="Q730">
        <v>42306</v>
      </c>
      <c r="R730" t="s">
        <v>36</v>
      </c>
      <c r="S730" t="s">
        <v>37</v>
      </c>
      <c r="T730" t="s">
        <v>1477</v>
      </c>
      <c r="U730" t="s">
        <v>39</v>
      </c>
      <c r="W730" t="s">
        <v>1626</v>
      </c>
    </row>
    <row r="731" spans="1:24" x14ac:dyDescent="0.2">
      <c r="A731">
        <v>49.661149999999999</v>
      </c>
      <c r="B731">
        <v>-115.96778999999999</v>
      </c>
      <c r="C731" t="s">
        <v>61</v>
      </c>
      <c r="D731">
        <v>35093</v>
      </c>
      <c r="E731">
        <v>2</v>
      </c>
      <c r="F731" t="s">
        <v>1646</v>
      </c>
      <c r="G731" t="str">
        <f t="shared" si="11"/>
        <v>KIMBERLEY</v>
      </c>
      <c r="H731" t="s">
        <v>1472</v>
      </c>
      <c r="I731">
        <v>1035</v>
      </c>
      <c r="K731" t="s">
        <v>1647</v>
      </c>
      <c r="L731">
        <v>42906</v>
      </c>
      <c r="M731" t="s">
        <v>1474</v>
      </c>
      <c r="N731" t="s">
        <v>1475</v>
      </c>
      <c r="O731" t="s">
        <v>1476</v>
      </c>
      <c r="R731" t="s">
        <v>36</v>
      </c>
      <c r="S731" t="s">
        <v>37</v>
      </c>
    </row>
    <row r="732" spans="1:24" x14ac:dyDescent="0.2">
      <c r="A732">
        <v>49.172029999999999</v>
      </c>
      <c r="B732">
        <v>-116.00877</v>
      </c>
      <c r="C732" t="s">
        <v>61</v>
      </c>
      <c r="D732">
        <v>35094</v>
      </c>
      <c r="E732">
        <v>2</v>
      </c>
      <c r="F732" t="s">
        <v>1648</v>
      </c>
      <c r="G732" t="str">
        <f t="shared" si="11"/>
        <v>IRISHMAN</v>
      </c>
      <c r="H732" t="s">
        <v>1472</v>
      </c>
      <c r="I732">
        <v>910</v>
      </c>
      <c r="K732" t="s">
        <v>1649</v>
      </c>
      <c r="L732">
        <v>43279</v>
      </c>
      <c r="M732" t="s">
        <v>1474</v>
      </c>
      <c r="N732" t="s">
        <v>1475</v>
      </c>
      <c r="O732" t="s">
        <v>1476</v>
      </c>
      <c r="R732" t="s">
        <v>36</v>
      </c>
      <c r="S732" t="s">
        <v>37</v>
      </c>
      <c r="T732" t="s">
        <v>1491</v>
      </c>
      <c r="W732" t="s">
        <v>1650</v>
      </c>
      <c r="X732" t="s">
        <v>257</v>
      </c>
    </row>
    <row r="733" spans="1:24" x14ac:dyDescent="0.2">
      <c r="A733">
        <v>49.39</v>
      </c>
      <c r="B733">
        <v>-115.02306</v>
      </c>
      <c r="C733" t="s">
        <v>61</v>
      </c>
      <c r="D733">
        <v>36124</v>
      </c>
      <c r="E733">
        <v>2</v>
      </c>
      <c r="F733" t="s">
        <v>1651</v>
      </c>
      <c r="G733" t="str">
        <f t="shared" si="11"/>
        <v>MORRISSEY</v>
      </c>
      <c r="H733" t="s">
        <v>1472</v>
      </c>
      <c r="I733">
        <v>960</v>
      </c>
      <c r="J733" t="s">
        <v>253</v>
      </c>
      <c r="K733" t="s">
        <v>1652</v>
      </c>
      <c r="L733">
        <v>35765</v>
      </c>
      <c r="M733" t="s">
        <v>1474</v>
      </c>
      <c r="N733" t="s">
        <v>1475</v>
      </c>
      <c r="O733" t="s">
        <v>1476</v>
      </c>
      <c r="Q733">
        <v>42085</v>
      </c>
      <c r="R733" t="s">
        <v>36</v>
      </c>
      <c r="S733" t="s">
        <v>37</v>
      </c>
      <c r="T733" t="s">
        <v>1477</v>
      </c>
      <c r="U733" t="s">
        <v>39</v>
      </c>
      <c r="W733" t="s">
        <v>639</v>
      </c>
    </row>
    <row r="734" spans="1:24" x14ac:dyDescent="0.2">
      <c r="A734">
        <v>49.372540000000001</v>
      </c>
      <c r="B734">
        <v>-115.04689</v>
      </c>
      <c r="C734" t="s">
        <v>61</v>
      </c>
      <c r="D734">
        <v>36125</v>
      </c>
      <c r="E734">
        <v>7</v>
      </c>
      <c r="F734" t="s">
        <v>1653</v>
      </c>
      <c r="G734" t="str">
        <f t="shared" si="11"/>
        <v>MORRISSEY HIGH</v>
      </c>
      <c r="H734" t="s">
        <v>1472</v>
      </c>
      <c r="I734">
        <v>1998</v>
      </c>
      <c r="K734" t="s">
        <v>1654</v>
      </c>
      <c r="L734">
        <v>44488</v>
      </c>
      <c r="M734" t="s">
        <v>1474</v>
      </c>
      <c r="N734" t="s">
        <v>1475</v>
      </c>
      <c r="O734" t="s">
        <v>1476</v>
      </c>
      <c r="R734" t="s">
        <v>36</v>
      </c>
      <c r="S734" t="s">
        <v>37</v>
      </c>
      <c r="U734" t="s">
        <v>39</v>
      </c>
      <c r="W734" t="s">
        <v>40</v>
      </c>
    </row>
    <row r="735" spans="1:24" x14ac:dyDescent="0.2">
      <c r="A735">
        <v>49.883949999999999</v>
      </c>
      <c r="B735">
        <v>-114.89041</v>
      </c>
      <c r="C735" t="s">
        <v>61</v>
      </c>
      <c r="D735">
        <v>36191</v>
      </c>
      <c r="E735">
        <v>3</v>
      </c>
      <c r="F735" t="s">
        <v>1655</v>
      </c>
      <c r="G735" t="str">
        <f t="shared" si="11"/>
        <v>LINE CREEK</v>
      </c>
      <c r="H735" t="s">
        <v>1472</v>
      </c>
      <c r="I735">
        <v>1246</v>
      </c>
      <c r="K735" t="s">
        <v>1656</v>
      </c>
      <c r="L735">
        <v>42032</v>
      </c>
      <c r="M735" t="s">
        <v>1474</v>
      </c>
      <c r="N735" t="s">
        <v>1475</v>
      </c>
      <c r="O735" t="s">
        <v>1476</v>
      </c>
      <c r="R735" t="s">
        <v>36</v>
      </c>
      <c r="S735" t="s">
        <v>37</v>
      </c>
      <c r="T735" t="s">
        <v>1491</v>
      </c>
    </row>
    <row r="736" spans="1:24" x14ac:dyDescent="0.2">
      <c r="A736">
        <v>49.650190000000002</v>
      </c>
      <c r="B736">
        <v>-114.71286000000001</v>
      </c>
      <c r="C736" t="s">
        <v>61</v>
      </c>
      <c r="D736">
        <v>36192</v>
      </c>
      <c r="E736">
        <v>4</v>
      </c>
      <c r="F736" t="s">
        <v>1657</v>
      </c>
      <c r="G736" t="str">
        <f t="shared" si="11"/>
        <v>CROWSNEST</v>
      </c>
      <c r="H736" t="s">
        <v>1472</v>
      </c>
      <c r="I736">
        <v>1353</v>
      </c>
      <c r="K736" t="s">
        <v>1658</v>
      </c>
      <c r="L736">
        <v>42031</v>
      </c>
      <c r="M736" t="s">
        <v>1474</v>
      </c>
      <c r="N736" t="s">
        <v>1475</v>
      </c>
      <c r="O736" t="s">
        <v>1476</v>
      </c>
      <c r="R736" t="s">
        <v>36</v>
      </c>
      <c r="S736" t="s">
        <v>37</v>
      </c>
      <c r="T736" t="s">
        <v>1491</v>
      </c>
    </row>
    <row r="737" spans="1:24" x14ac:dyDescent="0.2">
      <c r="A737">
        <v>49.474400000000003</v>
      </c>
      <c r="B737">
        <v>-115.52455999999999</v>
      </c>
      <c r="C737" t="s">
        <v>61</v>
      </c>
      <c r="D737">
        <v>36195</v>
      </c>
      <c r="E737">
        <v>1</v>
      </c>
      <c r="F737" t="s">
        <v>1659</v>
      </c>
      <c r="G737" t="str">
        <f t="shared" si="11"/>
        <v>STEAMBOAT</v>
      </c>
      <c r="H737" t="s">
        <v>1472</v>
      </c>
      <c r="I737">
        <v>822</v>
      </c>
      <c r="K737" t="s">
        <v>1660</v>
      </c>
      <c r="L737">
        <v>44970</v>
      </c>
      <c r="M737" t="s">
        <v>1474</v>
      </c>
      <c r="N737" t="s">
        <v>1475</v>
      </c>
      <c r="O737" t="s">
        <v>1476</v>
      </c>
      <c r="R737" t="s">
        <v>36</v>
      </c>
      <c r="S737" t="s">
        <v>37</v>
      </c>
      <c r="T737" t="s">
        <v>1491</v>
      </c>
      <c r="W737" t="s">
        <v>1661</v>
      </c>
      <c r="X737" t="s">
        <v>257</v>
      </c>
    </row>
    <row r="738" spans="1:24" x14ac:dyDescent="0.2">
      <c r="A738">
        <v>50.738280000000003</v>
      </c>
      <c r="B738">
        <v>-116.17646999999999</v>
      </c>
      <c r="C738" t="s">
        <v>61</v>
      </c>
      <c r="D738">
        <v>37091</v>
      </c>
      <c r="E738">
        <v>1</v>
      </c>
      <c r="F738" t="s">
        <v>1662</v>
      </c>
      <c r="G738" t="str">
        <f t="shared" si="11"/>
        <v>VERMILLION PIT</v>
      </c>
      <c r="H738" t="s">
        <v>1472</v>
      </c>
      <c r="I738">
        <v>870</v>
      </c>
      <c r="J738" t="s">
        <v>253</v>
      </c>
      <c r="K738" t="s">
        <v>1663</v>
      </c>
      <c r="L738">
        <v>37196</v>
      </c>
      <c r="M738" t="s">
        <v>1474</v>
      </c>
      <c r="N738" t="s">
        <v>1475</v>
      </c>
      <c r="O738" t="s">
        <v>1476</v>
      </c>
      <c r="Q738">
        <v>42084</v>
      </c>
      <c r="R738" t="s">
        <v>36</v>
      </c>
      <c r="S738" t="s">
        <v>37</v>
      </c>
      <c r="T738" t="s">
        <v>1477</v>
      </c>
      <c r="U738" t="s">
        <v>39</v>
      </c>
      <c r="W738" t="s">
        <v>1664</v>
      </c>
    </row>
    <row r="739" spans="1:24" x14ac:dyDescent="0.2">
      <c r="A739">
        <v>51.506999999999998</v>
      </c>
      <c r="B739">
        <v>-117.42179</v>
      </c>
      <c r="C739" t="s">
        <v>61</v>
      </c>
      <c r="D739">
        <v>37092</v>
      </c>
      <c r="E739">
        <v>2</v>
      </c>
      <c r="F739" t="s">
        <v>1665</v>
      </c>
      <c r="G739" t="str">
        <f t="shared" si="11"/>
        <v>NORDIC 2</v>
      </c>
      <c r="H739" t="s">
        <v>1472</v>
      </c>
      <c r="I739">
        <v>1041</v>
      </c>
      <c r="J739" t="s">
        <v>253</v>
      </c>
      <c r="K739" t="s">
        <v>1666</v>
      </c>
      <c r="L739">
        <v>37895</v>
      </c>
      <c r="M739" t="s">
        <v>1474</v>
      </c>
      <c r="N739" t="s">
        <v>1475</v>
      </c>
      <c r="O739" t="s">
        <v>1476</v>
      </c>
      <c r="Q739">
        <v>42084</v>
      </c>
      <c r="R739" t="s">
        <v>36</v>
      </c>
      <c r="S739" t="s">
        <v>37</v>
      </c>
      <c r="T739" t="s">
        <v>695</v>
      </c>
      <c r="U739" t="s">
        <v>39</v>
      </c>
      <c r="W739" t="s">
        <v>1667</v>
      </c>
    </row>
    <row r="740" spans="1:24" x14ac:dyDescent="0.2">
      <c r="A740">
        <v>51.479950000000002</v>
      </c>
      <c r="B740">
        <v>-117.35812</v>
      </c>
      <c r="C740" t="s">
        <v>61</v>
      </c>
      <c r="D740">
        <v>37093</v>
      </c>
      <c r="E740">
        <v>2</v>
      </c>
      <c r="F740" t="s">
        <v>1668</v>
      </c>
      <c r="G740" t="str">
        <f t="shared" si="11"/>
        <v>QUARTZ CREEK</v>
      </c>
      <c r="H740" t="s">
        <v>1472</v>
      </c>
      <c r="I740">
        <v>1068</v>
      </c>
      <c r="K740" t="s">
        <v>1669</v>
      </c>
      <c r="L740">
        <v>38918</v>
      </c>
      <c r="M740" t="s">
        <v>1474</v>
      </c>
      <c r="N740" t="s">
        <v>1475</v>
      </c>
      <c r="O740" t="s">
        <v>1476</v>
      </c>
      <c r="R740" t="s">
        <v>36</v>
      </c>
      <c r="S740" t="s">
        <v>37</v>
      </c>
      <c r="W740" t="s">
        <v>1478</v>
      </c>
    </row>
    <row r="741" spans="1:24" x14ac:dyDescent="0.2">
      <c r="A741">
        <v>51.31514</v>
      </c>
      <c r="B741">
        <v>-116.87846999999999</v>
      </c>
      <c r="C741" t="s">
        <v>61</v>
      </c>
      <c r="D741">
        <v>37121</v>
      </c>
      <c r="E741">
        <v>6</v>
      </c>
      <c r="F741" t="s">
        <v>1670</v>
      </c>
      <c r="G741" t="str">
        <f t="shared" si="11"/>
        <v>KICKING HORSE</v>
      </c>
      <c r="H741" t="s">
        <v>1472</v>
      </c>
      <c r="I741">
        <v>1844</v>
      </c>
      <c r="K741" t="s">
        <v>1671</v>
      </c>
      <c r="L741">
        <v>33147</v>
      </c>
      <c r="M741" t="s">
        <v>1474</v>
      </c>
      <c r="N741" t="s">
        <v>1475</v>
      </c>
      <c r="O741" t="s">
        <v>1476</v>
      </c>
      <c r="R741" t="s">
        <v>36</v>
      </c>
      <c r="S741" t="s">
        <v>37</v>
      </c>
      <c r="T741" t="s">
        <v>695</v>
      </c>
      <c r="W741" t="s">
        <v>40</v>
      </c>
    </row>
    <row r="742" spans="1:24" x14ac:dyDescent="0.2">
      <c r="A742">
        <v>51.310560000000002</v>
      </c>
      <c r="B742">
        <v>-116.88467</v>
      </c>
      <c r="C742" t="s">
        <v>61</v>
      </c>
      <c r="D742">
        <v>37122</v>
      </c>
      <c r="E742">
        <v>4</v>
      </c>
      <c r="F742" t="s">
        <v>1672</v>
      </c>
      <c r="G742" t="str">
        <f t="shared" si="11"/>
        <v>KICKING HORSE SOLAR</v>
      </c>
      <c r="H742" t="s">
        <v>1472</v>
      </c>
      <c r="I742">
        <v>1440</v>
      </c>
      <c r="K742" t="s">
        <v>1673</v>
      </c>
      <c r="L742">
        <v>33147</v>
      </c>
      <c r="M742" t="s">
        <v>1474</v>
      </c>
      <c r="N742" t="s">
        <v>1475</v>
      </c>
      <c r="O742" t="s">
        <v>1476</v>
      </c>
      <c r="R742" t="s">
        <v>36</v>
      </c>
      <c r="S742" t="s">
        <v>37</v>
      </c>
    </row>
    <row r="743" spans="1:24" x14ac:dyDescent="0.2">
      <c r="A743">
        <v>51.274830000000001</v>
      </c>
      <c r="B743">
        <v>-116.76653</v>
      </c>
      <c r="C743" t="s">
        <v>61</v>
      </c>
      <c r="D743">
        <v>37126</v>
      </c>
      <c r="E743">
        <v>3</v>
      </c>
      <c r="F743" t="s">
        <v>1674</v>
      </c>
      <c r="G743" t="str">
        <f t="shared" si="11"/>
        <v>TOP OF TEN MILE 2</v>
      </c>
      <c r="H743" t="s">
        <v>1472</v>
      </c>
      <c r="I743">
        <v>1140</v>
      </c>
      <c r="J743" t="s">
        <v>253</v>
      </c>
      <c r="K743" t="s">
        <v>1675</v>
      </c>
      <c r="L743">
        <v>39342</v>
      </c>
      <c r="M743" t="s">
        <v>1474</v>
      </c>
      <c r="N743" t="s">
        <v>1475</v>
      </c>
      <c r="O743" t="s">
        <v>1476</v>
      </c>
      <c r="Q743">
        <v>42084</v>
      </c>
      <c r="R743" t="s">
        <v>36</v>
      </c>
      <c r="S743" t="s">
        <v>37</v>
      </c>
      <c r="T743" t="s">
        <v>1477</v>
      </c>
      <c r="U743" t="s">
        <v>39</v>
      </c>
      <c r="W743" t="s">
        <v>1538</v>
      </c>
    </row>
    <row r="744" spans="1:24" x14ac:dyDescent="0.2">
      <c r="A744">
        <v>51.30397</v>
      </c>
      <c r="B744">
        <v>-116.89487</v>
      </c>
      <c r="C744" t="s">
        <v>61</v>
      </c>
      <c r="D744">
        <v>37127</v>
      </c>
      <c r="E744">
        <v>2</v>
      </c>
      <c r="F744" t="s">
        <v>1676</v>
      </c>
      <c r="G744" t="str">
        <f t="shared" si="11"/>
        <v>BLACK WALL2</v>
      </c>
      <c r="H744" t="s">
        <v>1472</v>
      </c>
      <c r="I744">
        <v>1023</v>
      </c>
      <c r="K744" t="s">
        <v>1677</v>
      </c>
      <c r="L744">
        <v>45575</v>
      </c>
      <c r="M744" t="s">
        <v>1474</v>
      </c>
      <c r="N744" t="s">
        <v>1475</v>
      </c>
      <c r="O744" t="s">
        <v>1476</v>
      </c>
      <c r="R744" t="s">
        <v>36</v>
      </c>
      <c r="S744" t="s">
        <v>37</v>
      </c>
      <c r="T744" t="s">
        <v>695</v>
      </c>
      <c r="U744" t="s">
        <v>39</v>
      </c>
    </row>
    <row r="745" spans="1:24" x14ac:dyDescent="0.2">
      <c r="A745">
        <v>51.429600000000001</v>
      </c>
      <c r="B745">
        <v>-117.06426999999999</v>
      </c>
      <c r="C745" t="s">
        <v>61</v>
      </c>
      <c r="D745">
        <v>37191</v>
      </c>
      <c r="E745">
        <v>1</v>
      </c>
      <c r="F745" t="s">
        <v>1678</v>
      </c>
      <c r="G745" t="str">
        <f t="shared" si="11"/>
        <v>BLAEBERRY</v>
      </c>
      <c r="H745" t="s">
        <v>1472</v>
      </c>
      <c r="I745">
        <v>798</v>
      </c>
      <c r="K745" t="s">
        <v>1679</v>
      </c>
      <c r="L745">
        <v>42977</v>
      </c>
      <c r="M745" t="s">
        <v>1474</v>
      </c>
      <c r="N745" t="s">
        <v>1475</v>
      </c>
      <c r="O745" t="s">
        <v>1476</v>
      </c>
      <c r="R745" t="s">
        <v>36</v>
      </c>
      <c r="S745" t="s">
        <v>37</v>
      </c>
      <c r="T745" t="s">
        <v>1491</v>
      </c>
      <c r="X745" t="s">
        <v>257</v>
      </c>
    </row>
    <row r="746" spans="1:24" x14ac:dyDescent="0.2">
      <c r="A746">
        <v>51.027320000000003</v>
      </c>
      <c r="B746">
        <v>-116.53516</v>
      </c>
      <c r="C746" t="s">
        <v>61</v>
      </c>
      <c r="D746">
        <v>37192</v>
      </c>
      <c r="E746">
        <v>1</v>
      </c>
      <c r="F746" t="s">
        <v>1680</v>
      </c>
      <c r="G746" t="str">
        <f t="shared" si="11"/>
        <v>QUINN CREEK</v>
      </c>
      <c r="H746" t="s">
        <v>1472</v>
      </c>
      <c r="I746">
        <v>797</v>
      </c>
      <c r="K746" t="s">
        <v>1681</v>
      </c>
      <c r="L746">
        <v>44131</v>
      </c>
      <c r="M746" t="s">
        <v>1474</v>
      </c>
      <c r="N746" t="s">
        <v>1475</v>
      </c>
      <c r="O746" t="s">
        <v>1476</v>
      </c>
      <c r="R746" t="s">
        <v>36</v>
      </c>
      <c r="S746" t="s">
        <v>37</v>
      </c>
      <c r="T746" t="s">
        <v>1491</v>
      </c>
      <c r="W746" t="s">
        <v>1664</v>
      </c>
      <c r="X746" t="s">
        <v>257</v>
      </c>
    </row>
    <row r="747" spans="1:24" x14ac:dyDescent="0.2">
      <c r="A747">
        <v>50.454720000000002</v>
      </c>
      <c r="B747">
        <v>-116.252</v>
      </c>
      <c r="C747" t="s">
        <v>61</v>
      </c>
      <c r="D747">
        <v>37221</v>
      </c>
      <c r="E747">
        <v>2</v>
      </c>
      <c r="F747" t="s">
        <v>1682</v>
      </c>
      <c r="G747" t="str">
        <f t="shared" si="11"/>
        <v>TOBY CREEK</v>
      </c>
      <c r="H747" t="s">
        <v>1472</v>
      </c>
      <c r="I747">
        <v>1130</v>
      </c>
      <c r="K747" t="s">
        <v>1683</v>
      </c>
      <c r="L747">
        <v>37196</v>
      </c>
      <c r="M747" t="s">
        <v>1474</v>
      </c>
      <c r="N747" t="s">
        <v>1475</v>
      </c>
      <c r="O747" t="s">
        <v>1476</v>
      </c>
      <c r="R747" t="s">
        <v>36</v>
      </c>
      <c r="S747" t="s">
        <v>37</v>
      </c>
      <c r="U747" t="s">
        <v>39</v>
      </c>
    </row>
    <row r="748" spans="1:24" x14ac:dyDescent="0.2">
      <c r="A748">
        <v>50.433610000000002</v>
      </c>
      <c r="B748">
        <v>-116.32</v>
      </c>
      <c r="C748" t="s">
        <v>61</v>
      </c>
      <c r="D748">
        <v>37222</v>
      </c>
      <c r="E748">
        <v>8</v>
      </c>
      <c r="F748" t="s">
        <v>1684</v>
      </c>
      <c r="G748" t="str">
        <f t="shared" si="11"/>
        <v>LITTLE DRAGON</v>
      </c>
      <c r="H748" t="s">
        <v>1472</v>
      </c>
      <c r="I748">
        <v>2380</v>
      </c>
      <c r="K748" t="s">
        <v>1685</v>
      </c>
      <c r="L748">
        <v>40421</v>
      </c>
      <c r="M748" t="s">
        <v>1474</v>
      </c>
      <c r="N748" t="s">
        <v>1475</v>
      </c>
      <c r="O748" t="s">
        <v>1476</v>
      </c>
      <c r="R748" t="s">
        <v>36</v>
      </c>
      <c r="S748" t="s">
        <v>37</v>
      </c>
      <c r="W748" t="s">
        <v>1686</v>
      </c>
    </row>
    <row r="749" spans="1:24" x14ac:dyDescent="0.2">
      <c r="A749">
        <v>50.463430000000002</v>
      </c>
      <c r="B749">
        <v>-116.23348</v>
      </c>
      <c r="C749" t="s">
        <v>61</v>
      </c>
      <c r="D749">
        <v>37291</v>
      </c>
      <c r="E749">
        <v>3</v>
      </c>
      <c r="F749" t="s">
        <v>1687</v>
      </c>
      <c r="G749" t="str">
        <f t="shared" si="11"/>
        <v>PANORAMA</v>
      </c>
      <c r="H749" t="s">
        <v>1472</v>
      </c>
      <c r="I749">
        <v>1150</v>
      </c>
      <c r="K749" t="s">
        <v>1688</v>
      </c>
      <c r="L749">
        <v>43279</v>
      </c>
      <c r="M749" t="s">
        <v>1474</v>
      </c>
      <c r="N749" t="s">
        <v>1475</v>
      </c>
      <c r="O749" t="s">
        <v>1476</v>
      </c>
      <c r="R749" t="s">
        <v>36</v>
      </c>
      <c r="S749" t="s">
        <v>37</v>
      </c>
      <c r="T749" t="s">
        <v>1491</v>
      </c>
      <c r="X749" t="s">
        <v>257</v>
      </c>
    </row>
    <row r="750" spans="1:24" x14ac:dyDescent="0.2">
      <c r="A750">
        <v>51.000059999999998</v>
      </c>
      <c r="B750">
        <v>-118.22872</v>
      </c>
      <c r="C750" t="s">
        <v>61</v>
      </c>
      <c r="D750">
        <v>38021</v>
      </c>
      <c r="E750">
        <v>1</v>
      </c>
      <c r="F750" t="s">
        <v>1689</v>
      </c>
      <c r="G750" t="str">
        <f t="shared" si="11"/>
        <v>REVELSTOKE YARD</v>
      </c>
      <c r="H750" t="s">
        <v>1472</v>
      </c>
      <c r="I750">
        <v>448</v>
      </c>
      <c r="K750" t="s">
        <v>1690</v>
      </c>
      <c r="L750">
        <v>41949</v>
      </c>
      <c r="M750" t="s">
        <v>1474</v>
      </c>
      <c r="N750" t="s">
        <v>1475</v>
      </c>
      <c r="O750" t="s">
        <v>1476</v>
      </c>
      <c r="R750" t="s">
        <v>36</v>
      </c>
      <c r="S750" t="s">
        <v>37</v>
      </c>
      <c r="T750" t="s">
        <v>695</v>
      </c>
      <c r="U750" t="s">
        <v>39</v>
      </c>
    </row>
    <row r="751" spans="1:24" x14ac:dyDescent="0.2">
      <c r="A751">
        <v>50.926659999999998</v>
      </c>
      <c r="B751">
        <v>-118.44503</v>
      </c>
      <c r="C751" t="s">
        <v>61</v>
      </c>
      <c r="D751">
        <v>38121</v>
      </c>
      <c r="E751">
        <v>3</v>
      </c>
      <c r="F751" t="s">
        <v>1691</v>
      </c>
      <c r="G751" t="str">
        <f t="shared" si="11"/>
        <v>3 VALLEY REMOTE</v>
      </c>
      <c r="H751" t="s">
        <v>1472</v>
      </c>
      <c r="I751">
        <v>1165</v>
      </c>
      <c r="K751" t="s">
        <v>1692</v>
      </c>
      <c r="L751">
        <v>31414</v>
      </c>
      <c r="M751" t="s">
        <v>1474</v>
      </c>
      <c r="N751" t="s">
        <v>1475</v>
      </c>
      <c r="O751" t="s">
        <v>1476</v>
      </c>
      <c r="R751" t="s">
        <v>36</v>
      </c>
      <c r="S751" t="s">
        <v>37</v>
      </c>
      <c r="W751" t="s">
        <v>1601</v>
      </c>
    </row>
    <row r="752" spans="1:24" x14ac:dyDescent="0.2">
      <c r="A752">
        <v>50.962479999999999</v>
      </c>
      <c r="B752">
        <v>-118.37777</v>
      </c>
      <c r="C752" t="s">
        <v>61</v>
      </c>
      <c r="D752">
        <v>38124</v>
      </c>
      <c r="E752">
        <v>1</v>
      </c>
      <c r="F752" t="s">
        <v>1693</v>
      </c>
      <c r="G752" t="str">
        <f t="shared" si="11"/>
        <v>CLANWILLIAM</v>
      </c>
      <c r="H752" t="s">
        <v>1472</v>
      </c>
      <c r="I752">
        <v>610</v>
      </c>
      <c r="J752" t="s">
        <v>253</v>
      </c>
      <c r="K752" t="s">
        <v>1694</v>
      </c>
      <c r="L752">
        <v>36495</v>
      </c>
      <c r="M752" t="s">
        <v>1474</v>
      </c>
      <c r="N752" t="s">
        <v>1475</v>
      </c>
      <c r="O752" t="s">
        <v>1476</v>
      </c>
      <c r="Q752">
        <v>42083</v>
      </c>
      <c r="R752" t="s">
        <v>36</v>
      </c>
      <c r="S752" t="s">
        <v>37</v>
      </c>
      <c r="T752" t="s">
        <v>1477</v>
      </c>
      <c r="U752" t="s">
        <v>39</v>
      </c>
      <c r="W752" t="s">
        <v>1612</v>
      </c>
    </row>
    <row r="753" spans="1:24" x14ac:dyDescent="0.2">
      <c r="A753">
        <v>51.193330000000003</v>
      </c>
      <c r="B753">
        <v>-117.77110999999999</v>
      </c>
      <c r="C753" t="s">
        <v>61</v>
      </c>
      <c r="D753">
        <v>38222</v>
      </c>
      <c r="E753">
        <v>5</v>
      </c>
      <c r="F753" t="s">
        <v>1695</v>
      </c>
      <c r="G753" t="str">
        <f t="shared" si="11"/>
        <v>CORBIN PASS LOW</v>
      </c>
      <c r="H753" t="s">
        <v>1472</v>
      </c>
      <c r="I753">
        <v>1615</v>
      </c>
      <c r="K753" t="s">
        <v>1696</v>
      </c>
      <c r="L753">
        <v>31414</v>
      </c>
      <c r="M753" t="s">
        <v>1474</v>
      </c>
      <c r="N753" t="s">
        <v>1475</v>
      </c>
      <c r="O753" t="s">
        <v>1476</v>
      </c>
      <c r="R753" t="s">
        <v>36</v>
      </c>
      <c r="S753" t="s">
        <v>37</v>
      </c>
      <c r="T753" t="s">
        <v>695</v>
      </c>
    </row>
    <row r="754" spans="1:24" x14ac:dyDescent="0.2">
      <c r="A754">
        <v>51.200830000000003</v>
      </c>
      <c r="B754">
        <v>-117.77778000000001</v>
      </c>
      <c r="C754" t="s">
        <v>61</v>
      </c>
      <c r="D754">
        <v>38226</v>
      </c>
      <c r="E754">
        <v>7</v>
      </c>
      <c r="F754" t="s">
        <v>1697</v>
      </c>
      <c r="G754" t="str">
        <f t="shared" si="11"/>
        <v>CORBIN PASS HIGH</v>
      </c>
      <c r="H754" t="s">
        <v>1472</v>
      </c>
      <c r="I754">
        <v>2135</v>
      </c>
      <c r="K754" t="s">
        <v>1698</v>
      </c>
      <c r="L754">
        <v>33147</v>
      </c>
      <c r="M754" t="s">
        <v>1474</v>
      </c>
      <c r="N754" t="s">
        <v>1475</v>
      </c>
      <c r="O754" t="s">
        <v>1476</v>
      </c>
      <c r="R754" t="s">
        <v>36</v>
      </c>
      <c r="S754" t="s">
        <v>37</v>
      </c>
      <c r="W754" t="s">
        <v>40</v>
      </c>
    </row>
    <row r="755" spans="1:24" x14ac:dyDescent="0.2">
      <c r="A755">
        <v>51.188079999999999</v>
      </c>
      <c r="B755">
        <v>-117.75615999999999</v>
      </c>
      <c r="C755" t="s">
        <v>61</v>
      </c>
      <c r="D755">
        <v>38227</v>
      </c>
      <c r="E755">
        <v>1</v>
      </c>
      <c r="F755" t="s">
        <v>1699</v>
      </c>
      <c r="G755" t="str">
        <f t="shared" si="11"/>
        <v>ALBERT CANYON</v>
      </c>
      <c r="H755" t="s">
        <v>1472</v>
      </c>
      <c r="I755">
        <v>999</v>
      </c>
      <c r="K755" t="s">
        <v>1700</v>
      </c>
      <c r="L755">
        <v>36495</v>
      </c>
      <c r="M755" t="s">
        <v>1474</v>
      </c>
      <c r="N755" t="s">
        <v>1475</v>
      </c>
      <c r="O755" t="s">
        <v>1476</v>
      </c>
      <c r="R755" t="s">
        <v>36</v>
      </c>
      <c r="S755" t="s">
        <v>37</v>
      </c>
      <c r="T755" t="s">
        <v>1477</v>
      </c>
      <c r="U755" t="s">
        <v>39</v>
      </c>
      <c r="W755" t="s">
        <v>40</v>
      </c>
    </row>
    <row r="756" spans="1:24" x14ac:dyDescent="0.2">
      <c r="A756">
        <v>51.189920000000001</v>
      </c>
      <c r="B756">
        <v>-117.71083</v>
      </c>
      <c r="C756" t="s">
        <v>61</v>
      </c>
      <c r="D756">
        <v>38228</v>
      </c>
      <c r="E756">
        <v>8</v>
      </c>
      <c r="F756" t="s">
        <v>1701</v>
      </c>
      <c r="G756" t="str">
        <f t="shared" si="11"/>
        <v>LAURIE</v>
      </c>
      <c r="H756" t="s">
        <v>1472</v>
      </c>
      <c r="I756">
        <v>2260</v>
      </c>
      <c r="K756" t="s">
        <v>1702</v>
      </c>
      <c r="L756">
        <v>39701</v>
      </c>
      <c r="M756" t="s">
        <v>1474</v>
      </c>
      <c r="N756" t="s">
        <v>1475</v>
      </c>
      <c r="O756" t="s">
        <v>1476</v>
      </c>
      <c r="R756" t="s">
        <v>36</v>
      </c>
      <c r="S756" t="s">
        <v>37</v>
      </c>
      <c r="W756" t="s">
        <v>40</v>
      </c>
    </row>
    <row r="757" spans="1:24" x14ac:dyDescent="0.2">
      <c r="A757">
        <v>51.518329999999999</v>
      </c>
      <c r="B757">
        <v>-118.46167</v>
      </c>
      <c r="C757" t="s">
        <v>61</v>
      </c>
      <c r="D757">
        <v>38323</v>
      </c>
      <c r="E757">
        <v>6</v>
      </c>
      <c r="F757" t="s">
        <v>1703</v>
      </c>
      <c r="G757" t="str">
        <f t="shared" si="11"/>
        <v>CARIBOU RIDGE</v>
      </c>
      <c r="H757" t="s">
        <v>1472</v>
      </c>
      <c r="I757">
        <v>1740</v>
      </c>
      <c r="K757" t="s">
        <v>1704</v>
      </c>
      <c r="L757">
        <v>32239</v>
      </c>
      <c r="M757" t="s">
        <v>1474</v>
      </c>
      <c r="N757" t="s">
        <v>1475</v>
      </c>
      <c r="O757" t="s">
        <v>1476</v>
      </c>
      <c r="R757" t="s">
        <v>36</v>
      </c>
      <c r="S757" t="s">
        <v>37</v>
      </c>
      <c r="T757" t="s">
        <v>695</v>
      </c>
      <c r="W757" t="s">
        <v>40</v>
      </c>
    </row>
    <row r="758" spans="1:24" x14ac:dyDescent="0.2">
      <c r="A758">
        <v>51.599170000000001</v>
      </c>
      <c r="B758">
        <v>-118.60111000000001</v>
      </c>
      <c r="C758" t="s">
        <v>61</v>
      </c>
      <c r="D758">
        <v>38324</v>
      </c>
      <c r="E758">
        <v>1</v>
      </c>
      <c r="F758" t="s">
        <v>1705</v>
      </c>
      <c r="G758" t="str">
        <f t="shared" si="11"/>
        <v>50 MILE</v>
      </c>
      <c r="H758" t="s">
        <v>1472</v>
      </c>
      <c r="I758">
        <v>650</v>
      </c>
      <c r="J758" t="s">
        <v>253</v>
      </c>
      <c r="K758" t="s">
        <v>1706</v>
      </c>
      <c r="L758">
        <v>37938</v>
      </c>
      <c r="M758" t="s">
        <v>1474</v>
      </c>
      <c r="N758" t="s">
        <v>1475</v>
      </c>
      <c r="O758" t="s">
        <v>1476</v>
      </c>
      <c r="Q758">
        <v>42083</v>
      </c>
      <c r="R758" t="s">
        <v>36</v>
      </c>
      <c r="S758" t="s">
        <v>37</v>
      </c>
      <c r="T758" t="s">
        <v>695</v>
      </c>
      <c r="U758" t="s">
        <v>39</v>
      </c>
      <c r="W758" t="s">
        <v>1667</v>
      </c>
    </row>
    <row r="759" spans="1:24" x14ac:dyDescent="0.2">
      <c r="A759">
        <v>52.040280000000003</v>
      </c>
      <c r="B759">
        <v>-118.57083</v>
      </c>
      <c r="C759" t="s">
        <v>61</v>
      </c>
      <c r="D759">
        <v>38325</v>
      </c>
      <c r="E759">
        <v>2</v>
      </c>
      <c r="F759" t="s">
        <v>1707</v>
      </c>
      <c r="G759" t="str">
        <f t="shared" si="11"/>
        <v>FRED LAING RIDGE</v>
      </c>
      <c r="H759" t="s">
        <v>1472</v>
      </c>
      <c r="I759">
        <v>1080</v>
      </c>
      <c r="K759" t="s">
        <v>1708</v>
      </c>
      <c r="L759">
        <v>32782</v>
      </c>
      <c r="M759" t="s">
        <v>1474</v>
      </c>
      <c r="N759" t="s">
        <v>1475</v>
      </c>
      <c r="O759" t="s">
        <v>1476</v>
      </c>
      <c r="R759" t="s">
        <v>36</v>
      </c>
      <c r="S759" t="s">
        <v>37</v>
      </c>
    </row>
    <row r="760" spans="1:24" x14ac:dyDescent="0.2">
      <c r="A760">
        <v>51.95778</v>
      </c>
      <c r="B760">
        <v>-118.56222</v>
      </c>
      <c r="C760" t="s">
        <v>61</v>
      </c>
      <c r="D760">
        <v>38326</v>
      </c>
      <c r="E760">
        <v>1</v>
      </c>
      <c r="F760" t="s">
        <v>1709</v>
      </c>
      <c r="G760" t="str">
        <f t="shared" si="11"/>
        <v>MICA</v>
      </c>
      <c r="H760" t="s">
        <v>1472</v>
      </c>
      <c r="I760">
        <v>565</v>
      </c>
      <c r="K760" t="s">
        <v>1710</v>
      </c>
      <c r="L760">
        <v>36495</v>
      </c>
      <c r="M760" t="s">
        <v>1474</v>
      </c>
      <c r="N760" t="s">
        <v>1475</v>
      </c>
      <c r="O760" t="s">
        <v>1476</v>
      </c>
      <c r="Q760">
        <v>42083</v>
      </c>
      <c r="R760" t="s">
        <v>36</v>
      </c>
      <c r="S760" t="s">
        <v>37</v>
      </c>
      <c r="T760" t="s">
        <v>695</v>
      </c>
      <c r="U760" t="s">
        <v>39</v>
      </c>
      <c r="W760" t="s">
        <v>1541</v>
      </c>
    </row>
    <row r="761" spans="1:24" x14ac:dyDescent="0.2">
      <c r="A761">
        <v>52.053069999999998</v>
      </c>
      <c r="B761">
        <v>-118.58543</v>
      </c>
      <c r="C761" t="s">
        <v>61</v>
      </c>
      <c r="D761">
        <v>38327</v>
      </c>
      <c r="E761">
        <v>1</v>
      </c>
      <c r="F761" t="s">
        <v>1131</v>
      </c>
      <c r="G761" t="str">
        <f t="shared" si="11"/>
        <v>FRED LAING LOWER</v>
      </c>
      <c r="H761" t="s">
        <v>1472</v>
      </c>
      <c r="I761">
        <v>570</v>
      </c>
      <c r="J761" t="s">
        <v>253</v>
      </c>
      <c r="K761" t="s">
        <v>1711</v>
      </c>
      <c r="L761">
        <v>40824</v>
      </c>
      <c r="M761" t="s">
        <v>1474</v>
      </c>
      <c r="N761" t="s">
        <v>1475</v>
      </c>
      <c r="O761" t="s">
        <v>1476</v>
      </c>
      <c r="Q761">
        <v>42083</v>
      </c>
      <c r="R761" t="s">
        <v>36</v>
      </c>
      <c r="S761" t="s">
        <v>37</v>
      </c>
    </row>
    <row r="762" spans="1:24" x14ac:dyDescent="0.2">
      <c r="A762">
        <v>50.708060000000003</v>
      </c>
      <c r="B762">
        <v>-117.755</v>
      </c>
      <c r="C762" t="s">
        <v>61</v>
      </c>
      <c r="D762">
        <v>38424</v>
      </c>
      <c r="E762">
        <v>5</v>
      </c>
      <c r="F762" t="s">
        <v>1712</v>
      </c>
      <c r="G762" t="str">
        <f t="shared" si="11"/>
        <v>GALENA PASS</v>
      </c>
      <c r="H762" t="s">
        <v>1472</v>
      </c>
      <c r="I762">
        <v>1570</v>
      </c>
      <c r="K762" t="s">
        <v>1713</v>
      </c>
      <c r="L762">
        <v>31837</v>
      </c>
      <c r="M762" t="s">
        <v>1474</v>
      </c>
      <c r="N762" t="s">
        <v>1475</v>
      </c>
      <c r="O762" t="s">
        <v>1476</v>
      </c>
      <c r="R762" t="s">
        <v>36</v>
      </c>
      <c r="S762" t="s">
        <v>37</v>
      </c>
      <c r="U762" t="s">
        <v>39</v>
      </c>
      <c r="W762" t="s">
        <v>1714</v>
      </c>
    </row>
    <row r="763" spans="1:24" x14ac:dyDescent="0.2">
      <c r="A763">
        <v>50.80856</v>
      </c>
      <c r="B763">
        <v>-118.06795</v>
      </c>
      <c r="C763" t="s">
        <v>61</v>
      </c>
      <c r="D763">
        <v>38491</v>
      </c>
      <c r="E763">
        <v>1</v>
      </c>
      <c r="F763" t="s">
        <v>1715</v>
      </c>
      <c r="G763" t="str">
        <f t="shared" si="11"/>
        <v>BLANKET</v>
      </c>
      <c r="H763" t="s">
        <v>1472</v>
      </c>
      <c r="I763">
        <v>700</v>
      </c>
      <c r="K763" t="s">
        <v>1716</v>
      </c>
      <c r="L763">
        <v>44251</v>
      </c>
      <c r="M763" t="s">
        <v>1474</v>
      </c>
      <c r="N763" t="s">
        <v>1475</v>
      </c>
      <c r="O763" t="s">
        <v>1476</v>
      </c>
      <c r="R763" t="s">
        <v>36</v>
      </c>
      <c r="S763" t="s">
        <v>37</v>
      </c>
      <c r="T763" t="s">
        <v>1491</v>
      </c>
      <c r="W763" t="s">
        <v>1478</v>
      </c>
      <c r="X763" t="s">
        <v>257</v>
      </c>
    </row>
    <row r="764" spans="1:24" x14ac:dyDescent="0.2">
      <c r="A764">
        <v>50.701949999999997</v>
      </c>
      <c r="B764">
        <v>-117.74272999999999</v>
      </c>
      <c r="C764" t="s">
        <v>61</v>
      </c>
      <c r="D764">
        <v>38495</v>
      </c>
      <c r="E764">
        <v>1</v>
      </c>
      <c r="F764" t="s">
        <v>1717</v>
      </c>
      <c r="G764" t="str">
        <f t="shared" si="11"/>
        <v>GALENA ROAD</v>
      </c>
      <c r="H764" t="s">
        <v>1472</v>
      </c>
      <c r="I764">
        <v>884</v>
      </c>
      <c r="K764" t="s">
        <v>1718</v>
      </c>
      <c r="L764">
        <v>45608</v>
      </c>
      <c r="M764" t="s">
        <v>1474</v>
      </c>
      <c r="N764" t="s">
        <v>1475</v>
      </c>
      <c r="O764" t="s">
        <v>1476</v>
      </c>
      <c r="R764" t="s">
        <v>36</v>
      </c>
      <c r="S764" t="s">
        <v>37</v>
      </c>
      <c r="T764" t="s">
        <v>1719</v>
      </c>
      <c r="U764" t="s">
        <v>39</v>
      </c>
      <c r="W764" t="s">
        <v>1478</v>
      </c>
      <c r="X764" t="s">
        <v>257</v>
      </c>
    </row>
    <row r="765" spans="1:24" x14ac:dyDescent="0.2">
      <c r="A765">
        <v>49.058059999999998</v>
      </c>
      <c r="B765">
        <v>-117.04</v>
      </c>
      <c r="C765" t="s">
        <v>61</v>
      </c>
      <c r="D765">
        <v>39121</v>
      </c>
      <c r="E765">
        <v>6</v>
      </c>
      <c r="F765" t="s">
        <v>1720</v>
      </c>
      <c r="G765" t="str">
        <f t="shared" si="11"/>
        <v>KOOTENAY PASS</v>
      </c>
      <c r="H765" t="s">
        <v>1472</v>
      </c>
      <c r="I765">
        <v>1780</v>
      </c>
      <c r="J765" t="s">
        <v>253</v>
      </c>
      <c r="K765" t="s">
        <v>1721</v>
      </c>
      <c r="L765">
        <v>35309</v>
      </c>
      <c r="M765" t="s">
        <v>1474</v>
      </c>
      <c r="N765" t="s">
        <v>1475</v>
      </c>
      <c r="O765" t="s">
        <v>1476</v>
      </c>
      <c r="Q765">
        <v>42085</v>
      </c>
      <c r="R765" t="s">
        <v>36</v>
      </c>
      <c r="S765" t="s">
        <v>37</v>
      </c>
      <c r="T765" t="s">
        <v>695</v>
      </c>
      <c r="U765" t="s">
        <v>39</v>
      </c>
    </row>
    <row r="766" spans="1:24" x14ac:dyDescent="0.2">
      <c r="A766">
        <v>49.07161</v>
      </c>
      <c r="B766">
        <v>-117.08389</v>
      </c>
      <c r="C766" t="s">
        <v>61</v>
      </c>
      <c r="D766">
        <v>39123</v>
      </c>
      <c r="E766">
        <v>8</v>
      </c>
      <c r="F766" t="s">
        <v>1722</v>
      </c>
      <c r="G766" t="str">
        <f t="shared" si="11"/>
        <v>STAGLEAP</v>
      </c>
      <c r="H766" t="s">
        <v>1472</v>
      </c>
      <c r="I766">
        <v>2140</v>
      </c>
      <c r="K766" t="s">
        <v>1723</v>
      </c>
      <c r="L766">
        <v>28158</v>
      </c>
      <c r="M766" t="s">
        <v>1474</v>
      </c>
      <c r="N766" t="s">
        <v>1475</v>
      </c>
      <c r="O766" t="s">
        <v>1476</v>
      </c>
      <c r="R766" t="s">
        <v>36</v>
      </c>
      <c r="S766" t="s">
        <v>37</v>
      </c>
      <c r="W766" t="s">
        <v>1724</v>
      </c>
    </row>
    <row r="767" spans="1:24" x14ac:dyDescent="0.2">
      <c r="A767">
        <v>49.076439999999998</v>
      </c>
      <c r="B767">
        <v>-117.00218</v>
      </c>
      <c r="C767" t="s">
        <v>61</v>
      </c>
      <c r="D767">
        <v>39124</v>
      </c>
      <c r="E767">
        <v>7</v>
      </c>
      <c r="F767" t="s">
        <v>1725</v>
      </c>
      <c r="G767" t="str">
        <f t="shared" si="11"/>
        <v>CRAGS RIDGE</v>
      </c>
      <c r="H767" t="s">
        <v>1472</v>
      </c>
      <c r="I767">
        <v>2054</v>
      </c>
      <c r="K767" t="s">
        <v>1726</v>
      </c>
      <c r="L767">
        <v>43278</v>
      </c>
      <c r="M767" t="s">
        <v>1474</v>
      </c>
      <c r="N767" t="s">
        <v>1475</v>
      </c>
      <c r="O767" t="s">
        <v>1476</v>
      </c>
      <c r="R767" t="s">
        <v>36</v>
      </c>
      <c r="S767" t="s">
        <v>37</v>
      </c>
      <c r="W767" t="s">
        <v>40</v>
      </c>
    </row>
    <row r="768" spans="1:24" x14ac:dyDescent="0.2">
      <c r="A768">
        <v>49.10933</v>
      </c>
      <c r="B768">
        <v>-116.16947</v>
      </c>
      <c r="C768" t="s">
        <v>61</v>
      </c>
      <c r="D768">
        <v>39291</v>
      </c>
      <c r="E768">
        <v>1</v>
      </c>
      <c r="F768" t="s">
        <v>1727</v>
      </c>
      <c r="G768" t="str">
        <f t="shared" si="11"/>
        <v>GOATFELL</v>
      </c>
      <c r="H768" t="s">
        <v>1472</v>
      </c>
      <c r="I768">
        <v>893</v>
      </c>
      <c r="K768" t="s">
        <v>1728</v>
      </c>
      <c r="L768">
        <v>44119</v>
      </c>
      <c r="M768" t="s">
        <v>1474</v>
      </c>
      <c r="N768" t="s">
        <v>1475</v>
      </c>
      <c r="O768" t="s">
        <v>1476</v>
      </c>
      <c r="R768" t="s">
        <v>36</v>
      </c>
      <c r="S768" t="s">
        <v>37</v>
      </c>
      <c r="T768" t="s">
        <v>1491</v>
      </c>
      <c r="W768" t="s">
        <v>1478</v>
      </c>
      <c r="X768" t="s">
        <v>257</v>
      </c>
    </row>
    <row r="769" spans="1:24" x14ac:dyDescent="0.2">
      <c r="A769">
        <v>53.439880000000002</v>
      </c>
      <c r="B769">
        <v>-120.50709000000001</v>
      </c>
      <c r="C769" t="s">
        <v>61</v>
      </c>
      <c r="D769">
        <v>41091</v>
      </c>
      <c r="E769">
        <v>1</v>
      </c>
      <c r="F769" t="s">
        <v>1729</v>
      </c>
      <c r="G769" t="str">
        <f t="shared" si="11"/>
        <v>WEST TWIN CREEK</v>
      </c>
      <c r="H769" t="s">
        <v>1472</v>
      </c>
      <c r="I769">
        <v>895</v>
      </c>
      <c r="K769" t="s">
        <v>1730</v>
      </c>
      <c r="L769">
        <v>37196</v>
      </c>
      <c r="M769" t="s">
        <v>1474</v>
      </c>
      <c r="N769" t="s">
        <v>1475</v>
      </c>
      <c r="O769" t="s">
        <v>1476</v>
      </c>
      <c r="R769" t="s">
        <v>36</v>
      </c>
      <c r="S769" t="s">
        <v>37</v>
      </c>
      <c r="T769" t="s">
        <v>1491</v>
      </c>
      <c r="W769" t="s">
        <v>1664</v>
      </c>
    </row>
    <row r="770" spans="1:24" x14ac:dyDescent="0.2">
      <c r="A770">
        <v>55.501109999999997</v>
      </c>
      <c r="B770">
        <v>-122.65694000000001</v>
      </c>
      <c r="C770" t="s">
        <v>272</v>
      </c>
      <c r="D770">
        <v>41092</v>
      </c>
      <c r="E770">
        <v>1</v>
      </c>
      <c r="F770" t="s">
        <v>1731</v>
      </c>
      <c r="G770" t="str">
        <f t="shared" ref="G770:G833" si="12">UPPER(F770)</f>
        <v>LINK CREEK</v>
      </c>
      <c r="H770" t="s">
        <v>1472</v>
      </c>
      <c r="I770">
        <v>730</v>
      </c>
      <c r="J770" t="s">
        <v>253</v>
      </c>
      <c r="K770" t="s">
        <v>1732</v>
      </c>
      <c r="L770">
        <v>37560</v>
      </c>
      <c r="M770" t="s">
        <v>1474</v>
      </c>
      <c r="N770" t="s">
        <v>1475</v>
      </c>
      <c r="O770" t="s">
        <v>1476</v>
      </c>
      <c r="Q770">
        <v>42301</v>
      </c>
      <c r="R770" t="s">
        <v>36</v>
      </c>
      <c r="S770" t="s">
        <v>37</v>
      </c>
      <c r="T770" t="s">
        <v>1477</v>
      </c>
      <c r="U770" t="s">
        <v>39</v>
      </c>
      <c r="W770" t="s">
        <v>762</v>
      </c>
    </row>
    <row r="771" spans="1:24" x14ac:dyDescent="0.2">
      <c r="A771">
        <v>54.903889999999997</v>
      </c>
      <c r="B771">
        <v>-122.92749999999999</v>
      </c>
      <c r="C771" t="s">
        <v>272</v>
      </c>
      <c r="D771">
        <v>41093</v>
      </c>
      <c r="E771">
        <v>1</v>
      </c>
      <c r="F771" t="s">
        <v>1733</v>
      </c>
      <c r="G771" t="str">
        <f t="shared" si="12"/>
        <v>WHISKERS POINT</v>
      </c>
      <c r="H771" t="s">
        <v>1472</v>
      </c>
      <c r="I771">
        <v>710</v>
      </c>
      <c r="K771" t="s">
        <v>1734</v>
      </c>
      <c r="L771">
        <v>37573</v>
      </c>
      <c r="M771" t="s">
        <v>1474</v>
      </c>
      <c r="N771" t="s">
        <v>1475</v>
      </c>
      <c r="O771" t="s">
        <v>1476</v>
      </c>
      <c r="Q771">
        <v>42301</v>
      </c>
      <c r="R771" t="s">
        <v>36</v>
      </c>
      <c r="S771" t="s">
        <v>37</v>
      </c>
      <c r="T771" t="s">
        <v>1477</v>
      </c>
      <c r="U771" t="s">
        <v>39</v>
      </c>
      <c r="W771" t="s">
        <v>779</v>
      </c>
    </row>
    <row r="772" spans="1:24" x14ac:dyDescent="0.2">
      <c r="A772">
        <v>53.831389999999999</v>
      </c>
      <c r="B772">
        <v>-123.13222</v>
      </c>
      <c r="C772" t="s">
        <v>272</v>
      </c>
      <c r="D772">
        <v>41094</v>
      </c>
      <c r="E772">
        <v>1</v>
      </c>
      <c r="F772" t="s">
        <v>463</v>
      </c>
      <c r="G772" t="str">
        <f t="shared" si="12"/>
        <v>TAMARAC</v>
      </c>
      <c r="H772" t="s">
        <v>1472</v>
      </c>
      <c r="I772">
        <v>715</v>
      </c>
      <c r="K772" t="s">
        <v>1735</v>
      </c>
      <c r="L772">
        <v>37928</v>
      </c>
      <c r="M772" t="s">
        <v>1474</v>
      </c>
      <c r="N772" t="s">
        <v>1475</v>
      </c>
      <c r="O772" t="s">
        <v>1476</v>
      </c>
      <c r="R772" t="s">
        <v>36</v>
      </c>
      <c r="S772" t="s">
        <v>37</v>
      </c>
      <c r="T772" t="s">
        <v>1477</v>
      </c>
      <c r="U772" t="s">
        <v>39</v>
      </c>
      <c r="W772" t="s">
        <v>762</v>
      </c>
    </row>
    <row r="773" spans="1:24" x14ac:dyDescent="0.2">
      <c r="A773">
        <v>53.72531</v>
      </c>
      <c r="B773">
        <v>-121.13636</v>
      </c>
      <c r="C773" t="s">
        <v>61</v>
      </c>
      <c r="D773">
        <v>41095</v>
      </c>
      <c r="E773">
        <v>1</v>
      </c>
      <c r="F773" t="s">
        <v>1736</v>
      </c>
      <c r="G773" t="str">
        <f t="shared" si="12"/>
        <v>SLIM CREEK</v>
      </c>
      <c r="H773" t="s">
        <v>1472</v>
      </c>
      <c r="I773">
        <v>726</v>
      </c>
      <c r="K773" t="s">
        <v>1737</v>
      </c>
    </row>
    <row r="774" spans="1:24" x14ac:dyDescent="0.2">
      <c r="A774">
        <v>52.930779999999999</v>
      </c>
      <c r="B774">
        <v>-122.43881</v>
      </c>
      <c r="C774" t="s">
        <v>29</v>
      </c>
      <c r="D774">
        <v>42091</v>
      </c>
      <c r="E774">
        <v>1</v>
      </c>
      <c r="F774" t="s">
        <v>1738</v>
      </c>
      <c r="G774" t="str">
        <f t="shared" si="12"/>
        <v>DRAGON LAKE</v>
      </c>
      <c r="H774" t="s">
        <v>1472</v>
      </c>
      <c r="I774">
        <v>659</v>
      </c>
      <c r="K774" t="s">
        <v>1739</v>
      </c>
      <c r="L774">
        <v>37895</v>
      </c>
      <c r="M774" t="s">
        <v>1474</v>
      </c>
      <c r="N774" t="s">
        <v>1475</v>
      </c>
      <c r="O774" t="s">
        <v>1476</v>
      </c>
      <c r="Q774">
        <v>42293</v>
      </c>
      <c r="R774" t="s">
        <v>36</v>
      </c>
      <c r="S774" t="s">
        <v>37</v>
      </c>
      <c r="T774" t="s">
        <v>1477</v>
      </c>
      <c r="U774" t="s">
        <v>39</v>
      </c>
      <c r="W774" t="s">
        <v>779</v>
      </c>
    </row>
    <row r="775" spans="1:24" x14ac:dyDescent="0.2">
      <c r="A775">
        <v>53.158000000000001</v>
      </c>
      <c r="B775">
        <v>-122.36442</v>
      </c>
      <c r="C775" t="s">
        <v>29</v>
      </c>
      <c r="D775">
        <v>42092</v>
      </c>
      <c r="E775">
        <v>2</v>
      </c>
      <c r="F775" t="s">
        <v>1740</v>
      </c>
      <c r="G775" t="str">
        <f t="shared" si="12"/>
        <v>HUSH LAKE</v>
      </c>
      <c r="H775" t="s">
        <v>1472</v>
      </c>
      <c r="I775">
        <v>855</v>
      </c>
      <c r="K775" t="s">
        <v>1741</v>
      </c>
      <c r="L775">
        <v>41179</v>
      </c>
      <c r="M775" t="s">
        <v>1474</v>
      </c>
      <c r="N775" t="s">
        <v>1475</v>
      </c>
      <c r="O775" t="s">
        <v>1476</v>
      </c>
      <c r="Q775">
        <v>42293</v>
      </c>
      <c r="R775" t="s">
        <v>36</v>
      </c>
      <c r="S775" t="s">
        <v>37</v>
      </c>
      <c r="T775" t="s">
        <v>1477</v>
      </c>
      <c r="U775" t="s">
        <v>39</v>
      </c>
      <c r="W775" t="s">
        <v>779</v>
      </c>
    </row>
    <row r="776" spans="1:24" x14ac:dyDescent="0.2">
      <c r="A776">
        <v>53.156669999999998</v>
      </c>
      <c r="B776">
        <v>-121.47889000000001</v>
      </c>
      <c r="C776" t="s">
        <v>61</v>
      </c>
      <c r="D776">
        <v>42121</v>
      </c>
      <c r="E776">
        <v>5</v>
      </c>
      <c r="F776" t="s">
        <v>1742</v>
      </c>
      <c r="G776" t="str">
        <f t="shared" si="12"/>
        <v>SLIDING MOUNTAIN</v>
      </c>
      <c r="H776" t="s">
        <v>1472</v>
      </c>
      <c r="I776">
        <v>1675</v>
      </c>
      <c r="K776" t="s">
        <v>1743</v>
      </c>
      <c r="L776">
        <v>35247</v>
      </c>
      <c r="M776" t="s">
        <v>1474</v>
      </c>
      <c r="N776" t="s">
        <v>1475</v>
      </c>
      <c r="O776" t="s">
        <v>1476</v>
      </c>
      <c r="R776" t="s">
        <v>36</v>
      </c>
      <c r="S776" t="s">
        <v>37</v>
      </c>
      <c r="U776" t="s">
        <v>39</v>
      </c>
      <c r="W776" t="s">
        <v>40</v>
      </c>
    </row>
    <row r="777" spans="1:24" x14ac:dyDescent="0.2">
      <c r="A777">
        <v>53.154339999999998</v>
      </c>
      <c r="B777">
        <v>-121.50458999999999</v>
      </c>
      <c r="C777" t="s">
        <v>61</v>
      </c>
      <c r="D777">
        <v>42122</v>
      </c>
      <c r="E777">
        <v>3</v>
      </c>
      <c r="F777" t="s">
        <v>1744</v>
      </c>
      <c r="G777" t="str">
        <f t="shared" si="12"/>
        <v>SLIDING MOUNTAIN PRECIP</v>
      </c>
      <c r="H777" t="s">
        <v>1472</v>
      </c>
      <c r="I777">
        <v>1199</v>
      </c>
      <c r="K777" t="s">
        <v>1745</v>
      </c>
      <c r="L777">
        <v>43408</v>
      </c>
      <c r="M777" t="s">
        <v>1474</v>
      </c>
      <c r="N777" t="s">
        <v>1475</v>
      </c>
      <c r="O777" t="s">
        <v>1476</v>
      </c>
      <c r="R777" t="s">
        <v>36</v>
      </c>
      <c r="S777" t="s">
        <v>37</v>
      </c>
      <c r="T777" t="s">
        <v>695</v>
      </c>
      <c r="U777" t="s">
        <v>39</v>
      </c>
    </row>
    <row r="778" spans="1:24" x14ac:dyDescent="0.2">
      <c r="A778">
        <v>55.781500000000001</v>
      </c>
      <c r="B778">
        <v>-120.76255999999999</v>
      </c>
      <c r="C778" t="s">
        <v>46</v>
      </c>
      <c r="D778">
        <v>43091</v>
      </c>
      <c r="E778">
        <v>4</v>
      </c>
      <c r="F778" t="s">
        <v>1746</v>
      </c>
      <c r="G778" t="str">
        <f t="shared" si="12"/>
        <v>BRADEN ROAD</v>
      </c>
      <c r="H778" t="s">
        <v>1472</v>
      </c>
      <c r="I778">
        <v>760</v>
      </c>
      <c r="J778" t="s">
        <v>253</v>
      </c>
      <c r="K778" t="s">
        <v>1747</v>
      </c>
      <c r="L778">
        <v>37500</v>
      </c>
      <c r="M778" t="s">
        <v>1474</v>
      </c>
      <c r="N778" t="s">
        <v>1475</v>
      </c>
      <c r="O778" t="s">
        <v>1476</v>
      </c>
      <c r="Q778">
        <v>42303</v>
      </c>
      <c r="R778" t="s">
        <v>36</v>
      </c>
      <c r="S778" t="s">
        <v>37</v>
      </c>
      <c r="T778" t="s">
        <v>1477</v>
      </c>
      <c r="U778" t="s">
        <v>39</v>
      </c>
      <c r="W778" t="s">
        <v>762</v>
      </c>
    </row>
    <row r="779" spans="1:24" x14ac:dyDescent="0.2">
      <c r="A779">
        <v>55.485799999999998</v>
      </c>
      <c r="B779">
        <v>-120.03095</v>
      </c>
      <c r="C779" t="s">
        <v>46</v>
      </c>
      <c r="D779">
        <v>43092</v>
      </c>
      <c r="E779">
        <v>4</v>
      </c>
      <c r="F779" t="s">
        <v>1748</v>
      </c>
      <c r="G779" t="str">
        <f t="shared" si="12"/>
        <v>TUPPER</v>
      </c>
      <c r="H779" t="s">
        <v>1472</v>
      </c>
      <c r="I779">
        <v>755</v>
      </c>
      <c r="K779" t="s">
        <v>1749</v>
      </c>
    </row>
    <row r="780" spans="1:24" x14ac:dyDescent="0.2">
      <c r="A780">
        <v>56.541110000000003</v>
      </c>
      <c r="B780">
        <v>-121.25264</v>
      </c>
      <c r="C780" t="s">
        <v>46</v>
      </c>
      <c r="D780">
        <v>44091</v>
      </c>
      <c r="E780">
        <v>6</v>
      </c>
      <c r="F780" t="s">
        <v>1750</v>
      </c>
      <c r="G780" t="str">
        <f t="shared" si="12"/>
        <v>73 MILE</v>
      </c>
      <c r="H780" t="s">
        <v>1472</v>
      </c>
      <c r="I780">
        <v>850</v>
      </c>
      <c r="J780" t="s">
        <v>253</v>
      </c>
      <c r="K780" t="s">
        <v>1751</v>
      </c>
      <c r="L780">
        <v>37500</v>
      </c>
      <c r="M780" t="s">
        <v>1474</v>
      </c>
      <c r="N780" t="s">
        <v>1475</v>
      </c>
      <c r="O780" t="s">
        <v>1476</v>
      </c>
      <c r="Q780">
        <v>42303</v>
      </c>
      <c r="R780" t="s">
        <v>36</v>
      </c>
      <c r="S780" t="s">
        <v>37</v>
      </c>
      <c r="T780" t="s">
        <v>1477</v>
      </c>
      <c r="U780" t="s">
        <v>39</v>
      </c>
      <c r="W780" t="s">
        <v>1664</v>
      </c>
    </row>
    <row r="781" spans="1:24" x14ac:dyDescent="0.2">
      <c r="A781">
        <v>50.07938</v>
      </c>
      <c r="B781">
        <v>-120.64055</v>
      </c>
      <c r="C781" t="s">
        <v>46</v>
      </c>
      <c r="D781">
        <v>44092</v>
      </c>
      <c r="E781">
        <v>4</v>
      </c>
      <c r="F781" t="s">
        <v>1752</v>
      </c>
      <c r="G781" t="str">
        <f t="shared" si="12"/>
        <v>SOUTH TAYLOR HILL</v>
      </c>
      <c r="H781" t="s">
        <v>1472</v>
      </c>
      <c r="I781">
        <v>750</v>
      </c>
      <c r="K781" t="s">
        <v>1753</v>
      </c>
    </row>
    <row r="782" spans="1:24" x14ac:dyDescent="0.2">
      <c r="A782">
        <v>56.044690000000003</v>
      </c>
      <c r="B782">
        <v>-121.88912999999999</v>
      </c>
      <c r="C782" t="s">
        <v>46</v>
      </c>
      <c r="D782">
        <v>44093</v>
      </c>
      <c r="E782">
        <v>1</v>
      </c>
      <c r="F782" t="s">
        <v>1754</v>
      </c>
      <c r="G782" t="str">
        <f t="shared" si="12"/>
        <v>POWELL ROAD</v>
      </c>
      <c r="H782" t="s">
        <v>1472</v>
      </c>
      <c r="I782">
        <v>527</v>
      </c>
      <c r="K782" t="s">
        <v>1755</v>
      </c>
    </row>
    <row r="783" spans="1:24" x14ac:dyDescent="0.2">
      <c r="A783">
        <v>54.055790000000002</v>
      </c>
      <c r="B783">
        <v>-124.4777</v>
      </c>
      <c r="C783" t="s">
        <v>29</v>
      </c>
      <c r="D783">
        <v>45091</v>
      </c>
      <c r="E783">
        <v>1</v>
      </c>
      <c r="F783" t="s">
        <v>1756</v>
      </c>
      <c r="G783" t="str">
        <f t="shared" si="12"/>
        <v>FORT FRASER HILLS</v>
      </c>
      <c r="H783" t="s">
        <v>1472</v>
      </c>
      <c r="I783">
        <v>800</v>
      </c>
      <c r="K783" t="s">
        <v>1757</v>
      </c>
      <c r="L783">
        <v>43375</v>
      </c>
      <c r="M783" t="s">
        <v>1474</v>
      </c>
      <c r="N783" t="s">
        <v>1475</v>
      </c>
      <c r="O783" t="s">
        <v>1476</v>
      </c>
      <c r="R783" t="s">
        <v>36</v>
      </c>
      <c r="S783" t="s">
        <v>37</v>
      </c>
      <c r="T783" t="s">
        <v>1491</v>
      </c>
      <c r="W783" t="s">
        <v>1478</v>
      </c>
      <c r="X783" t="s">
        <v>257</v>
      </c>
    </row>
    <row r="784" spans="1:24" x14ac:dyDescent="0.2">
      <c r="A784">
        <v>54.345599999999997</v>
      </c>
      <c r="B784">
        <v>-124.27643999999999</v>
      </c>
      <c r="C784" t="s">
        <v>272</v>
      </c>
      <c r="D784">
        <v>45092</v>
      </c>
      <c r="E784">
        <v>1</v>
      </c>
      <c r="F784" t="s">
        <v>1758</v>
      </c>
      <c r="G784" t="str">
        <f t="shared" si="12"/>
        <v>SPENCER PITT</v>
      </c>
      <c r="H784" t="s">
        <v>1472</v>
      </c>
      <c r="I784">
        <v>727</v>
      </c>
      <c r="K784" t="s">
        <v>1759</v>
      </c>
    </row>
    <row r="785" spans="1:24" x14ac:dyDescent="0.2">
      <c r="A785">
        <v>52.385559999999998</v>
      </c>
      <c r="B785">
        <v>-119.18008</v>
      </c>
      <c r="C785" t="s">
        <v>61</v>
      </c>
      <c r="D785">
        <v>46094</v>
      </c>
      <c r="E785">
        <v>1</v>
      </c>
      <c r="F785" t="s">
        <v>1760</v>
      </c>
      <c r="G785" t="str">
        <f t="shared" si="12"/>
        <v>CHAPPEL CREEK</v>
      </c>
      <c r="H785" t="s">
        <v>1472</v>
      </c>
      <c r="I785">
        <v>786</v>
      </c>
      <c r="K785" t="s">
        <v>1761</v>
      </c>
      <c r="L785">
        <v>36831</v>
      </c>
      <c r="M785" t="s">
        <v>1474</v>
      </c>
      <c r="N785" t="s">
        <v>1475</v>
      </c>
      <c r="O785" t="s">
        <v>1476</v>
      </c>
      <c r="Q785">
        <v>42292</v>
      </c>
      <c r="R785" t="s">
        <v>36</v>
      </c>
      <c r="S785" t="s">
        <v>37</v>
      </c>
      <c r="T785" t="s">
        <v>1477</v>
      </c>
      <c r="U785" t="s">
        <v>39</v>
      </c>
      <c r="W785" t="s">
        <v>762</v>
      </c>
    </row>
    <row r="786" spans="1:24" x14ac:dyDescent="0.2">
      <c r="A786">
        <v>53.033029999999997</v>
      </c>
      <c r="B786">
        <v>-119.2003</v>
      </c>
      <c r="C786" t="s">
        <v>61</v>
      </c>
      <c r="D786">
        <v>46127</v>
      </c>
      <c r="E786">
        <v>2</v>
      </c>
      <c r="F786" t="s">
        <v>1762</v>
      </c>
      <c r="G786" t="str">
        <f t="shared" si="12"/>
        <v>ROBSON ROADSIDE</v>
      </c>
      <c r="H786" t="s">
        <v>1472</v>
      </c>
      <c r="I786">
        <v>944</v>
      </c>
      <c r="K786" t="s">
        <v>1763</v>
      </c>
      <c r="L786">
        <v>34534</v>
      </c>
      <c r="M786" t="s">
        <v>1474</v>
      </c>
      <c r="N786" t="s">
        <v>1475</v>
      </c>
      <c r="O786" t="s">
        <v>1476</v>
      </c>
      <c r="R786" t="s">
        <v>36</v>
      </c>
      <c r="S786" t="s">
        <v>37</v>
      </c>
      <c r="T786" t="s">
        <v>1477</v>
      </c>
      <c r="U786" t="s">
        <v>39</v>
      </c>
      <c r="W786" t="s">
        <v>1601</v>
      </c>
    </row>
    <row r="787" spans="1:24" x14ac:dyDescent="0.2">
      <c r="A787">
        <v>52.884279999999997</v>
      </c>
      <c r="B787">
        <v>-118.46087</v>
      </c>
      <c r="C787" t="s">
        <v>61</v>
      </c>
      <c r="D787">
        <v>46191</v>
      </c>
      <c r="E787">
        <v>3</v>
      </c>
      <c r="F787" t="s">
        <v>1764</v>
      </c>
      <c r="G787" t="str">
        <f t="shared" si="12"/>
        <v>YELLOWHEAD</v>
      </c>
      <c r="H787" t="s">
        <v>1472</v>
      </c>
      <c r="I787">
        <v>1145</v>
      </c>
      <c r="K787" t="s">
        <v>1765</v>
      </c>
      <c r="L787">
        <v>42880</v>
      </c>
      <c r="M787" t="s">
        <v>1474</v>
      </c>
      <c r="N787" t="s">
        <v>1475</v>
      </c>
      <c r="O787" t="s">
        <v>1476</v>
      </c>
      <c r="R787" t="s">
        <v>36</v>
      </c>
      <c r="S787" t="s">
        <v>37</v>
      </c>
      <c r="T787" t="s">
        <v>1491</v>
      </c>
      <c r="W787" t="s">
        <v>1478</v>
      </c>
    </row>
    <row r="788" spans="1:24" x14ac:dyDescent="0.2">
      <c r="A788">
        <v>51.937469999999998</v>
      </c>
      <c r="B788">
        <v>-122.98586</v>
      </c>
      <c r="C788" t="s">
        <v>29</v>
      </c>
      <c r="D788">
        <v>47091</v>
      </c>
      <c r="E788">
        <v>4</v>
      </c>
      <c r="F788" t="s">
        <v>1766</v>
      </c>
      <c r="G788" t="str">
        <f t="shared" si="12"/>
        <v>LEE'S HILL</v>
      </c>
      <c r="H788" t="s">
        <v>1472</v>
      </c>
      <c r="I788">
        <v>1090</v>
      </c>
      <c r="J788" t="s">
        <v>253</v>
      </c>
      <c r="K788" t="s">
        <v>1767</v>
      </c>
      <c r="L788">
        <v>35704</v>
      </c>
      <c r="M788" t="s">
        <v>1474</v>
      </c>
      <c r="N788" t="s">
        <v>1475</v>
      </c>
      <c r="O788" t="s">
        <v>1476</v>
      </c>
      <c r="Q788">
        <v>42081</v>
      </c>
      <c r="R788" t="s">
        <v>36</v>
      </c>
      <c r="S788" t="s">
        <v>37</v>
      </c>
      <c r="T788" t="s">
        <v>1477</v>
      </c>
      <c r="U788" t="s">
        <v>39</v>
      </c>
      <c r="W788" t="s">
        <v>779</v>
      </c>
    </row>
    <row r="789" spans="1:24" x14ac:dyDescent="0.2">
      <c r="A789">
        <v>51.96181</v>
      </c>
      <c r="B789">
        <v>-121.79313999999999</v>
      </c>
      <c r="C789" t="s">
        <v>29</v>
      </c>
      <c r="D789">
        <v>47092</v>
      </c>
      <c r="E789">
        <v>1</v>
      </c>
      <c r="F789" t="s">
        <v>1768</v>
      </c>
      <c r="G789" t="str">
        <f t="shared" si="12"/>
        <v>ENTERPRISE</v>
      </c>
      <c r="H789" t="s">
        <v>1472</v>
      </c>
      <c r="I789">
        <v>730</v>
      </c>
      <c r="J789" t="s">
        <v>253</v>
      </c>
      <c r="K789" t="s">
        <v>1769</v>
      </c>
      <c r="L789">
        <v>37895</v>
      </c>
      <c r="M789" t="s">
        <v>1474</v>
      </c>
      <c r="N789" t="s">
        <v>1475</v>
      </c>
      <c r="O789" t="s">
        <v>1476</v>
      </c>
      <c r="Q789">
        <v>42082</v>
      </c>
      <c r="R789" t="s">
        <v>36</v>
      </c>
      <c r="S789" t="s">
        <v>37</v>
      </c>
      <c r="T789" t="s">
        <v>1477</v>
      </c>
      <c r="U789" t="s">
        <v>39</v>
      </c>
      <c r="W789" t="s">
        <v>762</v>
      </c>
    </row>
    <row r="790" spans="1:24" x14ac:dyDescent="0.2">
      <c r="A790">
        <v>52.244729999999997</v>
      </c>
      <c r="B790">
        <v>-122.11796</v>
      </c>
      <c r="C790" t="s">
        <v>29</v>
      </c>
      <c r="D790">
        <v>47094</v>
      </c>
      <c r="E790">
        <v>1</v>
      </c>
      <c r="F790" t="s">
        <v>1770</v>
      </c>
      <c r="G790" t="str">
        <f t="shared" si="12"/>
        <v>BULL MOUNTAIN ROAD</v>
      </c>
      <c r="H790" t="s">
        <v>1472</v>
      </c>
      <c r="I790">
        <v>799</v>
      </c>
      <c r="K790" t="s">
        <v>1771</v>
      </c>
      <c r="L790">
        <v>44601</v>
      </c>
      <c r="M790" t="s">
        <v>1474</v>
      </c>
      <c r="N790" t="s">
        <v>1475</v>
      </c>
      <c r="O790" t="s">
        <v>1476</v>
      </c>
      <c r="R790" t="s">
        <v>36</v>
      </c>
      <c r="S790" t="s">
        <v>37</v>
      </c>
      <c r="T790" t="s">
        <v>1491</v>
      </c>
      <c r="W790" t="s">
        <v>1478</v>
      </c>
      <c r="X790" t="s">
        <v>257</v>
      </c>
    </row>
    <row r="791" spans="1:24" x14ac:dyDescent="0.2">
      <c r="A791">
        <v>52.355690000000003</v>
      </c>
      <c r="B791">
        <v>-126.77178000000001</v>
      </c>
      <c r="C791" t="s">
        <v>204</v>
      </c>
      <c r="D791">
        <v>47121</v>
      </c>
      <c r="E791">
        <v>6</v>
      </c>
      <c r="F791" t="s">
        <v>1772</v>
      </c>
      <c r="G791" t="str">
        <f t="shared" si="12"/>
        <v xml:space="preserve">BELLA COOLA </v>
      </c>
      <c r="H791" t="s">
        <v>1472</v>
      </c>
      <c r="I791">
        <v>1160</v>
      </c>
      <c r="K791" t="s">
        <v>1773</v>
      </c>
      <c r="L791">
        <v>34243</v>
      </c>
      <c r="M791" t="s">
        <v>1474</v>
      </c>
      <c r="N791" t="s">
        <v>1475</v>
      </c>
      <c r="O791" t="s">
        <v>1476</v>
      </c>
      <c r="R791" t="s">
        <v>36</v>
      </c>
      <c r="S791" t="s">
        <v>37</v>
      </c>
      <c r="U791" t="s">
        <v>39</v>
      </c>
      <c r="X791" t="s">
        <v>257</v>
      </c>
    </row>
    <row r="792" spans="1:24" x14ac:dyDescent="0.2">
      <c r="A792">
        <v>52.434699999999999</v>
      </c>
      <c r="B792">
        <v>-125.87448999999999</v>
      </c>
      <c r="C792" t="s">
        <v>29</v>
      </c>
      <c r="D792">
        <v>47122</v>
      </c>
      <c r="E792">
        <v>3</v>
      </c>
      <c r="F792" t="s">
        <v>1774</v>
      </c>
      <c r="G792" t="str">
        <f t="shared" si="12"/>
        <v>HECKMAN PASS</v>
      </c>
      <c r="H792" t="s">
        <v>1472</v>
      </c>
      <c r="I792">
        <v>975</v>
      </c>
      <c r="J792" t="s">
        <v>253</v>
      </c>
      <c r="K792" t="s">
        <v>1775</v>
      </c>
      <c r="L792">
        <v>34599</v>
      </c>
      <c r="M792" t="s">
        <v>1474</v>
      </c>
      <c r="N792" t="s">
        <v>1475</v>
      </c>
      <c r="O792" t="s">
        <v>1476</v>
      </c>
      <c r="Q792">
        <v>42296</v>
      </c>
      <c r="R792" t="s">
        <v>36</v>
      </c>
      <c r="S792" t="s">
        <v>37</v>
      </c>
      <c r="T792" t="s">
        <v>695</v>
      </c>
      <c r="U792" t="s">
        <v>39</v>
      </c>
    </row>
    <row r="793" spans="1:24" x14ac:dyDescent="0.2">
      <c r="A793">
        <v>52.370550000000001</v>
      </c>
      <c r="B793">
        <v>-126.75435</v>
      </c>
      <c r="C793" t="s">
        <v>204</v>
      </c>
      <c r="D793">
        <v>47123</v>
      </c>
      <c r="E793">
        <v>1</v>
      </c>
      <c r="F793" t="s">
        <v>1776</v>
      </c>
      <c r="G793" t="str">
        <f t="shared" si="12"/>
        <v>BELLA COOLA PRECIP</v>
      </c>
      <c r="H793" t="s">
        <v>1472</v>
      </c>
      <c r="I793">
        <v>20</v>
      </c>
      <c r="K793" t="s">
        <v>1777</v>
      </c>
      <c r="L793">
        <v>40821</v>
      </c>
      <c r="M793" t="s">
        <v>1474</v>
      </c>
      <c r="N793" t="s">
        <v>1475</v>
      </c>
      <c r="O793" t="s">
        <v>1476</v>
      </c>
      <c r="Q793">
        <v>42295</v>
      </c>
      <c r="R793" t="s">
        <v>36</v>
      </c>
      <c r="S793" t="s">
        <v>37</v>
      </c>
      <c r="T793" t="s">
        <v>695</v>
      </c>
      <c r="U793" t="s">
        <v>39</v>
      </c>
    </row>
    <row r="794" spans="1:24" x14ac:dyDescent="0.2">
      <c r="A794">
        <v>56.12</v>
      </c>
      <c r="B794">
        <v>-129.52642</v>
      </c>
      <c r="C794" t="s">
        <v>204</v>
      </c>
      <c r="D794">
        <v>51124</v>
      </c>
      <c r="E794">
        <v>7</v>
      </c>
      <c r="F794" t="s">
        <v>1778</v>
      </c>
      <c r="G794" t="str">
        <f t="shared" si="12"/>
        <v>WINDY POINT UPPER</v>
      </c>
      <c r="H794" t="s">
        <v>1472</v>
      </c>
      <c r="I794">
        <v>1490</v>
      </c>
      <c r="K794" t="s">
        <v>1779</v>
      </c>
      <c r="L794">
        <v>31740</v>
      </c>
      <c r="M794" t="s">
        <v>1474</v>
      </c>
      <c r="N794" t="s">
        <v>1475</v>
      </c>
      <c r="O794" t="s">
        <v>1476</v>
      </c>
      <c r="R794" t="s">
        <v>36</v>
      </c>
      <c r="S794" t="s">
        <v>37</v>
      </c>
      <c r="W794" t="s">
        <v>1633</v>
      </c>
    </row>
    <row r="795" spans="1:24" x14ac:dyDescent="0.2">
      <c r="A795">
        <v>56.099719999999998</v>
      </c>
      <c r="B795">
        <v>-129.75166999999999</v>
      </c>
      <c r="C795" t="s">
        <v>204</v>
      </c>
      <c r="D795">
        <v>51125</v>
      </c>
      <c r="E795">
        <v>8</v>
      </c>
      <c r="F795" t="s">
        <v>1780</v>
      </c>
      <c r="G795" t="str">
        <f t="shared" si="12"/>
        <v>DISRAELI</v>
      </c>
      <c r="H795" t="s">
        <v>1472</v>
      </c>
      <c r="I795">
        <v>2000</v>
      </c>
      <c r="K795" t="s">
        <v>1781</v>
      </c>
      <c r="L795">
        <v>33512</v>
      </c>
      <c r="M795" t="s">
        <v>1474</v>
      </c>
      <c r="N795" t="s">
        <v>1475</v>
      </c>
      <c r="O795" t="s">
        <v>1476</v>
      </c>
      <c r="R795" t="s">
        <v>36</v>
      </c>
      <c r="S795" t="s">
        <v>37</v>
      </c>
      <c r="W795" t="s">
        <v>40</v>
      </c>
    </row>
    <row r="796" spans="1:24" x14ac:dyDescent="0.2">
      <c r="A796">
        <v>56.099870000000003</v>
      </c>
      <c r="B796">
        <v>-129.51218</v>
      </c>
      <c r="C796" t="s">
        <v>204</v>
      </c>
      <c r="D796">
        <v>51126</v>
      </c>
      <c r="E796">
        <v>3</v>
      </c>
      <c r="F796" t="s">
        <v>1782</v>
      </c>
      <c r="G796" t="str">
        <f t="shared" si="12"/>
        <v>ENDGOAL</v>
      </c>
      <c r="H796" t="s">
        <v>1472</v>
      </c>
      <c r="I796">
        <v>370</v>
      </c>
      <c r="J796" t="s">
        <v>253</v>
      </c>
      <c r="K796" t="s">
        <v>1783</v>
      </c>
      <c r="L796">
        <v>37189</v>
      </c>
      <c r="M796" t="s">
        <v>1474</v>
      </c>
      <c r="N796" t="s">
        <v>1475</v>
      </c>
      <c r="O796" t="s">
        <v>1476</v>
      </c>
      <c r="Q796">
        <v>42308</v>
      </c>
      <c r="R796" t="s">
        <v>36</v>
      </c>
      <c r="S796" t="s">
        <v>37</v>
      </c>
      <c r="T796" t="s">
        <v>695</v>
      </c>
      <c r="U796" t="s">
        <v>39</v>
      </c>
      <c r="W796" t="s">
        <v>1784</v>
      </c>
    </row>
    <row r="797" spans="1:24" x14ac:dyDescent="0.2">
      <c r="A797">
        <v>56.106310000000001</v>
      </c>
      <c r="B797">
        <v>-129.65388999999999</v>
      </c>
      <c r="C797" t="s">
        <v>204</v>
      </c>
      <c r="D797">
        <v>51127</v>
      </c>
      <c r="E797">
        <v>4</v>
      </c>
      <c r="F797" t="s">
        <v>1785</v>
      </c>
      <c r="G797" t="str">
        <f t="shared" si="12"/>
        <v>SUMMIT SLUFF WIND</v>
      </c>
      <c r="H797" t="s">
        <v>1472</v>
      </c>
      <c r="I797">
        <v>540</v>
      </c>
      <c r="K797" t="s">
        <v>1786</v>
      </c>
      <c r="L797">
        <v>35278</v>
      </c>
      <c r="M797" t="s">
        <v>1474</v>
      </c>
      <c r="N797" t="s">
        <v>1475</v>
      </c>
      <c r="O797" t="s">
        <v>1476</v>
      </c>
      <c r="R797" t="s">
        <v>36</v>
      </c>
      <c r="S797" t="s">
        <v>37</v>
      </c>
      <c r="W797" t="s">
        <v>40</v>
      </c>
    </row>
    <row r="798" spans="1:24" x14ac:dyDescent="0.2">
      <c r="A798">
        <v>56.103470000000002</v>
      </c>
      <c r="B798">
        <v>-129.63297</v>
      </c>
      <c r="C798" t="s">
        <v>204</v>
      </c>
      <c r="D798">
        <v>51128</v>
      </c>
      <c r="E798">
        <v>3</v>
      </c>
      <c r="F798" t="s">
        <v>1787</v>
      </c>
      <c r="G798" t="str">
        <f t="shared" si="12"/>
        <v>KETTLE HOLE</v>
      </c>
      <c r="H798" t="s">
        <v>1472</v>
      </c>
      <c r="I798">
        <v>440</v>
      </c>
      <c r="K798" t="s">
        <v>1788</v>
      </c>
      <c r="L798">
        <v>35278</v>
      </c>
      <c r="M798" t="s">
        <v>1474</v>
      </c>
      <c r="N798" t="s">
        <v>1475</v>
      </c>
      <c r="O798" t="s">
        <v>1476</v>
      </c>
      <c r="Q798">
        <v>42308</v>
      </c>
      <c r="R798" t="s">
        <v>36</v>
      </c>
      <c r="S798" t="s">
        <v>37</v>
      </c>
      <c r="T798" t="s">
        <v>695</v>
      </c>
      <c r="U798" t="s">
        <v>39</v>
      </c>
      <c r="X798" t="s">
        <v>257</v>
      </c>
    </row>
    <row r="799" spans="1:24" x14ac:dyDescent="0.2">
      <c r="A799">
        <v>55.948079999999997</v>
      </c>
      <c r="B799">
        <v>-129.98264</v>
      </c>
      <c r="C799" t="s">
        <v>204</v>
      </c>
      <c r="D799">
        <v>51129</v>
      </c>
      <c r="E799">
        <v>1</v>
      </c>
      <c r="F799" t="s">
        <v>1789</v>
      </c>
      <c r="G799" t="str">
        <f t="shared" si="12"/>
        <v>STEWART</v>
      </c>
      <c r="H799" t="s">
        <v>1472</v>
      </c>
      <c r="I799">
        <v>15</v>
      </c>
      <c r="J799" t="s">
        <v>253</v>
      </c>
      <c r="K799" t="s">
        <v>1790</v>
      </c>
      <c r="L799">
        <v>38292</v>
      </c>
      <c r="M799" t="s">
        <v>1474</v>
      </c>
      <c r="N799" t="s">
        <v>1475</v>
      </c>
      <c r="O799" t="s">
        <v>1476</v>
      </c>
      <c r="R799" t="s">
        <v>36</v>
      </c>
      <c r="S799" t="s">
        <v>37</v>
      </c>
      <c r="T799" t="s">
        <v>695</v>
      </c>
      <c r="U799" t="s">
        <v>39</v>
      </c>
      <c r="W799" t="s">
        <v>1478</v>
      </c>
      <c r="X799" t="s">
        <v>257</v>
      </c>
    </row>
    <row r="800" spans="1:24" x14ac:dyDescent="0.2">
      <c r="A800">
        <v>56.110239999999997</v>
      </c>
      <c r="B800">
        <v>-129.51526999999999</v>
      </c>
      <c r="C800" t="s">
        <v>204</v>
      </c>
      <c r="D800">
        <v>51137</v>
      </c>
      <c r="E800">
        <v>5</v>
      </c>
      <c r="F800" t="s">
        <v>1791</v>
      </c>
      <c r="G800" t="str">
        <f t="shared" si="12"/>
        <v>WINDY POINT LOWER SNOW</v>
      </c>
      <c r="H800" t="s">
        <v>1472</v>
      </c>
      <c r="I800">
        <v>1028</v>
      </c>
      <c r="K800" t="s">
        <v>1792</v>
      </c>
      <c r="L800">
        <v>42198</v>
      </c>
      <c r="M800" t="s">
        <v>1474</v>
      </c>
      <c r="N800" t="s">
        <v>1475</v>
      </c>
      <c r="O800" t="s">
        <v>1476</v>
      </c>
      <c r="R800" t="s">
        <v>36</v>
      </c>
      <c r="T800" t="s">
        <v>695</v>
      </c>
      <c r="U800" t="s">
        <v>39</v>
      </c>
    </row>
    <row r="801" spans="1:24" x14ac:dyDescent="0.2">
      <c r="A801">
        <v>55.632219999999997</v>
      </c>
      <c r="B801">
        <v>-128.67277999999999</v>
      </c>
      <c r="C801" t="s">
        <v>204</v>
      </c>
      <c r="D801">
        <v>51191</v>
      </c>
      <c r="E801">
        <v>3</v>
      </c>
      <c r="F801" t="s">
        <v>1793</v>
      </c>
      <c r="G801" t="str">
        <f t="shared" si="12"/>
        <v>CRANBERRY JUNCTION</v>
      </c>
      <c r="H801" t="s">
        <v>1472</v>
      </c>
      <c r="I801">
        <v>356</v>
      </c>
      <c r="K801" t="s">
        <v>1794</v>
      </c>
      <c r="L801">
        <v>37500</v>
      </c>
      <c r="M801" t="s">
        <v>1474</v>
      </c>
      <c r="N801" t="s">
        <v>1475</v>
      </c>
      <c r="O801" t="s">
        <v>1476</v>
      </c>
      <c r="Q801">
        <v>42309</v>
      </c>
      <c r="R801" t="s">
        <v>36</v>
      </c>
      <c r="S801" t="s">
        <v>37</v>
      </c>
      <c r="T801" t="s">
        <v>1477</v>
      </c>
      <c r="U801" t="s">
        <v>39</v>
      </c>
      <c r="W801" t="s">
        <v>1795</v>
      </c>
    </row>
    <row r="802" spans="1:24" x14ac:dyDescent="0.2">
      <c r="A802">
        <v>55.246789999999997</v>
      </c>
      <c r="B802">
        <v>-128.05073999999999</v>
      </c>
      <c r="C802" t="s">
        <v>204</v>
      </c>
      <c r="D802">
        <v>51193</v>
      </c>
      <c r="E802">
        <v>3</v>
      </c>
      <c r="F802" t="s">
        <v>1796</v>
      </c>
      <c r="G802" t="str">
        <f t="shared" si="12"/>
        <v>GITANYOW</v>
      </c>
      <c r="H802" t="s">
        <v>1472</v>
      </c>
      <c r="I802">
        <v>320</v>
      </c>
      <c r="K802" t="s">
        <v>1797</v>
      </c>
      <c r="L802">
        <v>44417</v>
      </c>
      <c r="M802" t="s">
        <v>1474</v>
      </c>
      <c r="N802" t="s">
        <v>1475</v>
      </c>
      <c r="O802" t="s">
        <v>1476</v>
      </c>
      <c r="R802" t="s">
        <v>36</v>
      </c>
      <c r="S802" t="s">
        <v>37</v>
      </c>
      <c r="T802" t="s">
        <v>1491</v>
      </c>
      <c r="W802" t="s">
        <v>1478</v>
      </c>
      <c r="X802" t="s">
        <v>257</v>
      </c>
    </row>
    <row r="803" spans="1:24" x14ac:dyDescent="0.2">
      <c r="A803">
        <v>54.746389999999998</v>
      </c>
      <c r="B803">
        <v>-128.26111</v>
      </c>
      <c r="C803" t="s">
        <v>204</v>
      </c>
      <c r="D803">
        <v>52091</v>
      </c>
      <c r="E803">
        <v>2</v>
      </c>
      <c r="F803" t="s">
        <v>1798</v>
      </c>
      <c r="G803" t="str">
        <f t="shared" si="12"/>
        <v>LEGATE CREEK</v>
      </c>
      <c r="H803" t="s">
        <v>1472</v>
      </c>
      <c r="I803">
        <v>130</v>
      </c>
      <c r="J803" t="s">
        <v>253</v>
      </c>
      <c r="K803" t="s">
        <v>1799</v>
      </c>
      <c r="L803">
        <v>36069</v>
      </c>
      <c r="M803" t="s">
        <v>1474</v>
      </c>
      <c r="N803" t="s">
        <v>1475</v>
      </c>
      <c r="O803" t="s">
        <v>1476</v>
      </c>
      <c r="Q803">
        <v>42069</v>
      </c>
      <c r="R803" t="s">
        <v>36</v>
      </c>
      <c r="S803" t="s">
        <v>37</v>
      </c>
      <c r="T803" t="s">
        <v>1477</v>
      </c>
      <c r="U803" t="s">
        <v>39</v>
      </c>
      <c r="W803" t="s">
        <v>1478</v>
      </c>
    </row>
    <row r="804" spans="1:24" x14ac:dyDescent="0.2">
      <c r="A804">
        <v>54.937220000000003</v>
      </c>
      <c r="B804">
        <v>-128.89361</v>
      </c>
      <c r="C804" t="s">
        <v>204</v>
      </c>
      <c r="D804">
        <v>52092</v>
      </c>
      <c r="E804">
        <v>2</v>
      </c>
      <c r="F804" t="s">
        <v>1800</v>
      </c>
      <c r="G804" t="str">
        <f t="shared" si="12"/>
        <v>ROSSWOOD</v>
      </c>
      <c r="H804" t="s">
        <v>1472</v>
      </c>
      <c r="I804">
        <v>280</v>
      </c>
      <c r="J804" t="s">
        <v>253</v>
      </c>
      <c r="K804" t="s">
        <v>1801</v>
      </c>
      <c r="L804">
        <v>36831</v>
      </c>
      <c r="M804" t="s">
        <v>1474</v>
      </c>
      <c r="N804" t="s">
        <v>1475</v>
      </c>
      <c r="O804" t="s">
        <v>1476</v>
      </c>
      <c r="Q804">
        <v>42069</v>
      </c>
      <c r="R804" t="s">
        <v>36</v>
      </c>
      <c r="S804" t="s">
        <v>37</v>
      </c>
      <c r="T804" t="s">
        <v>1477</v>
      </c>
      <c r="U804" t="s">
        <v>39</v>
      </c>
      <c r="W804" t="s">
        <v>435</v>
      </c>
    </row>
    <row r="805" spans="1:24" x14ac:dyDescent="0.2">
      <c r="A805">
        <v>54.302219999999998</v>
      </c>
      <c r="B805">
        <v>-128.53778</v>
      </c>
      <c r="C805" t="s">
        <v>204</v>
      </c>
      <c r="D805">
        <v>52093</v>
      </c>
      <c r="E805">
        <v>2</v>
      </c>
      <c r="F805" t="s">
        <v>1802</v>
      </c>
      <c r="G805" t="str">
        <f t="shared" si="12"/>
        <v>ONION LAKE</v>
      </c>
      <c r="H805" t="s">
        <v>1472</v>
      </c>
      <c r="I805">
        <v>220</v>
      </c>
      <c r="J805" t="s">
        <v>253</v>
      </c>
      <c r="K805" t="s">
        <v>1803</v>
      </c>
      <c r="L805">
        <v>36800</v>
      </c>
      <c r="M805" t="s">
        <v>1474</v>
      </c>
      <c r="N805" t="s">
        <v>1475</v>
      </c>
      <c r="O805" t="s">
        <v>1476</v>
      </c>
      <c r="Q805">
        <v>42069</v>
      </c>
      <c r="R805" t="s">
        <v>36</v>
      </c>
      <c r="S805" t="s">
        <v>37</v>
      </c>
      <c r="T805" t="s">
        <v>1477</v>
      </c>
      <c r="U805" t="s">
        <v>39</v>
      </c>
      <c r="W805" t="s">
        <v>1612</v>
      </c>
    </row>
    <row r="806" spans="1:24" x14ac:dyDescent="0.2">
      <c r="A806">
        <v>54.301609999999997</v>
      </c>
      <c r="B806">
        <v>-129.44333</v>
      </c>
      <c r="C806" t="s">
        <v>204</v>
      </c>
      <c r="D806">
        <v>52322</v>
      </c>
      <c r="E806">
        <v>7</v>
      </c>
      <c r="F806" t="s">
        <v>1804</v>
      </c>
      <c r="G806" t="str">
        <f t="shared" si="12"/>
        <v>KASIKS HIGH</v>
      </c>
      <c r="H806" t="s">
        <v>1472</v>
      </c>
      <c r="I806">
        <v>1435</v>
      </c>
      <c r="K806" t="s">
        <v>1805</v>
      </c>
      <c r="L806">
        <v>33512</v>
      </c>
      <c r="M806" t="s">
        <v>1474</v>
      </c>
      <c r="N806" t="s">
        <v>1475</v>
      </c>
      <c r="O806" t="s">
        <v>1476</v>
      </c>
      <c r="R806" t="s">
        <v>36</v>
      </c>
      <c r="S806" t="s">
        <v>37</v>
      </c>
      <c r="W806" t="s">
        <v>1633</v>
      </c>
    </row>
    <row r="807" spans="1:24" x14ac:dyDescent="0.2">
      <c r="A807">
        <v>54.303609999999999</v>
      </c>
      <c r="B807">
        <v>-129.41833</v>
      </c>
      <c r="C807" t="s">
        <v>204</v>
      </c>
      <c r="D807">
        <v>52325</v>
      </c>
      <c r="E807">
        <v>4</v>
      </c>
      <c r="F807" t="s">
        <v>1806</v>
      </c>
      <c r="G807" t="str">
        <f t="shared" si="12"/>
        <v>KASIKS LOW</v>
      </c>
      <c r="H807" t="s">
        <v>1472</v>
      </c>
      <c r="I807">
        <v>730</v>
      </c>
      <c r="K807" t="s">
        <v>1807</v>
      </c>
      <c r="L807">
        <v>32523</v>
      </c>
      <c r="M807" t="s">
        <v>1474</v>
      </c>
      <c r="N807" t="s">
        <v>1475</v>
      </c>
      <c r="O807" t="s">
        <v>1476</v>
      </c>
      <c r="R807" t="s">
        <v>36</v>
      </c>
      <c r="S807" t="s">
        <v>37</v>
      </c>
      <c r="U807" t="s">
        <v>39</v>
      </c>
    </row>
    <row r="808" spans="1:24" x14ac:dyDescent="0.2">
      <c r="A808">
        <v>54.313549999999999</v>
      </c>
      <c r="B808">
        <v>-129.35079999999999</v>
      </c>
      <c r="C808" t="s">
        <v>204</v>
      </c>
      <c r="D808">
        <v>52326</v>
      </c>
      <c r="E808">
        <v>1</v>
      </c>
      <c r="F808" t="s">
        <v>1808</v>
      </c>
      <c r="G808" t="str">
        <f t="shared" si="12"/>
        <v>SALVUS</v>
      </c>
      <c r="H808" t="s">
        <v>1472</v>
      </c>
      <c r="I808">
        <v>12</v>
      </c>
      <c r="J808" t="s">
        <v>253</v>
      </c>
      <c r="K808" t="s">
        <v>1809</v>
      </c>
      <c r="L808">
        <v>34486</v>
      </c>
      <c r="M808" t="s">
        <v>1474</v>
      </c>
      <c r="N808" t="s">
        <v>1475</v>
      </c>
      <c r="O808" t="s">
        <v>1476</v>
      </c>
      <c r="Q808">
        <v>42068</v>
      </c>
      <c r="R808" t="s">
        <v>36</v>
      </c>
      <c r="S808" t="s">
        <v>37</v>
      </c>
      <c r="T808" t="s">
        <v>1477</v>
      </c>
      <c r="U808" t="s">
        <v>39</v>
      </c>
      <c r="W808" t="s">
        <v>391</v>
      </c>
    </row>
    <row r="809" spans="1:24" x14ac:dyDescent="0.2">
      <c r="A809">
        <v>54.208419999999997</v>
      </c>
      <c r="B809">
        <v>-129.98168999999999</v>
      </c>
      <c r="C809" t="s">
        <v>204</v>
      </c>
      <c r="D809">
        <v>52391</v>
      </c>
      <c r="E809">
        <v>1</v>
      </c>
      <c r="F809" t="s">
        <v>1810</v>
      </c>
      <c r="G809" t="str">
        <f t="shared" si="12"/>
        <v>RAINBOW EAST</v>
      </c>
      <c r="H809" t="s">
        <v>1472</v>
      </c>
      <c r="I809">
        <v>12</v>
      </c>
      <c r="K809" t="s">
        <v>1811</v>
      </c>
      <c r="L809">
        <v>41232</v>
      </c>
      <c r="M809" t="s">
        <v>1474</v>
      </c>
      <c r="N809" t="s">
        <v>1475</v>
      </c>
      <c r="O809" t="s">
        <v>1476</v>
      </c>
      <c r="Q809">
        <v>42068</v>
      </c>
      <c r="R809" t="s">
        <v>36</v>
      </c>
      <c r="S809" t="s">
        <v>37</v>
      </c>
      <c r="T809" t="s">
        <v>1477</v>
      </c>
      <c r="U809" t="s">
        <v>39</v>
      </c>
      <c r="W809" t="s">
        <v>762</v>
      </c>
    </row>
    <row r="810" spans="1:24" x14ac:dyDescent="0.2">
      <c r="A810">
        <v>54.486710000000002</v>
      </c>
      <c r="B810">
        <v>-128.95366999999999</v>
      </c>
      <c r="C810" t="s">
        <v>204</v>
      </c>
      <c r="D810">
        <v>52401</v>
      </c>
      <c r="E810">
        <v>4</v>
      </c>
      <c r="F810" t="s">
        <v>1812</v>
      </c>
      <c r="G810" t="str">
        <f t="shared" si="12"/>
        <v>SHAMES</v>
      </c>
      <c r="H810" t="s">
        <v>1472</v>
      </c>
      <c r="I810">
        <v>742</v>
      </c>
      <c r="J810" t="s">
        <v>253</v>
      </c>
      <c r="K810" t="s">
        <v>1813</v>
      </c>
      <c r="L810">
        <v>40418</v>
      </c>
      <c r="M810" t="s">
        <v>1474</v>
      </c>
      <c r="N810" t="s">
        <v>1475</v>
      </c>
      <c r="O810" t="s">
        <v>1476</v>
      </c>
      <c r="Q810">
        <v>42068</v>
      </c>
      <c r="R810" t="s">
        <v>36</v>
      </c>
      <c r="S810" t="s">
        <v>37</v>
      </c>
      <c r="T810" t="s">
        <v>695</v>
      </c>
      <c r="U810" t="s">
        <v>39</v>
      </c>
      <c r="W810" t="s">
        <v>1814</v>
      </c>
    </row>
    <row r="811" spans="1:24" x14ac:dyDescent="0.2">
      <c r="A811">
        <v>55.010330000000003</v>
      </c>
      <c r="B811">
        <v>-129.77636000000001</v>
      </c>
      <c r="C811" t="s">
        <v>204</v>
      </c>
      <c r="D811">
        <v>52521</v>
      </c>
      <c r="E811">
        <v>5</v>
      </c>
      <c r="F811" t="s">
        <v>1815</v>
      </c>
      <c r="G811" t="str">
        <f t="shared" si="12"/>
        <v>IKNOUK</v>
      </c>
      <c r="H811" t="s">
        <v>1472</v>
      </c>
      <c r="I811">
        <v>860</v>
      </c>
      <c r="K811" t="s">
        <v>1816</v>
      </c>
      <c r="L811">
        <v>36800</v>
      </c>
      <c r="M811" t="s">
        <v>1474</v>
      </c>
      <c r="N811" t="s">
        <v>1475</v>
      </c>
      <c r="O811" t="s">
        <v>1476</v>
      </c>
      <c r="R811" t="s">
        <v>36</v>
      </c>
      <c r="S811" t="s">
        <v>37</v>
      </c>
      <c r="U811" t="s">
        <v>39</v>
      </c>
      <c r="W811" t="s">
        <v>1817</v>
      </c>
    </row>
    <row r="812" spans="1:24" x14ac:dyDescent="0.2">
      <c r="A812">
        <v>55.001860000000001</v>
      </c>
      <c r="B812">
        <v>-129.88126</v>
      </c>
      <c r="C812" t="s">
        <v>204</v>
      </c>
      <c r="D812">
        <v>52522</v>
      </c>
      <c r="E812">
        <v>1</v>
      </c>
      <c r="F812" t="s">
        <v>1818</v>
      </c>
      <c r="G812" t="str">
        <f t="shared" si="12"/>
        <v>IKNOUK ROAD</v>
      </c>
      <c r="H812" t="s">
        <v>1472</v>
      </c>
      <c r="I812">
        <v>30</v>
      </c>
      <c r="J812" t="s">
        <v>253</v>
      </c>
      <c r="K812" t="s">
        <v>1819</v>
      </c>
      <c r="L812">
        <v>40059</v>
      </c>
      <c r="M812" t="s">
        <v>1474</v>
      </c>
      <c r="N812" t="s">
        <v>1475</v>
      </c>
      <c r="O812" t="s">
        <v>1476</v>
      </c>
      <c r="R812" t="s">
        <v>36</v>
      </c>
      <c r="S812" t="s">
        <v>37</v>
      </c>
      <c r="T812" t="s">
        <v>695</v>
      </c>
      <c r="U812" t="s">
        <v>39</v>
      </c>
    </row>
    <row r="813" spans="1:24" x14ac:dyDescent="0.2">
      <c r="A813">
        <v>55.01849</v>
      </c>
      <c r="B813">
        <v>-129.61816999999999</v>
      </c>
      <c r="C813" t="s">
        <v>204</v>
      </c>
      <c r="D813">
        <v>52591</v>
      </c>
      <c r="E813">
        <v>2</v>
      </c>
      <c r="F813" t="s">
        <v>1820</v>
      </c>
      <c r="G813" t="str">
        <f t="shared" si="12"/>
        <v>GRIZZLY HILL</v>
      </c>
      <c r="H813" t="s">
        <v>1472</v>
      </c>
      <c r="I813">
        <v>120</v>
      </c>
      <c r="K813" t="s">
        <v>1821</v>
      </c>
      <c r="L813">
        <v>41834</v>
      </c>
      <c r="M813" t="s">
        <v>1474</v>
      </c>
      <c r="N813" t="s">
        <v>1475</v>
      </c>
      <c r="O813" t="s">
        <v>1476</v>
      </c>
      <c r="R813" t="s">
        <v>36</v>
      </c>
      <c r="S813" t="s">
        <v>37</v>
      </c>
      <c r="T813" t="s">
        <v>1477</v>
      </c>
      <c r="U813" t="s">
        <v>39</v>
      </c>
      <c r="W813" t="s">
        <v>1584</v>
      </c>
    </row>
    <row r="814" spans="1:24" x14ac:dyDescent="0.2">
      <c r="A814">
        <v>56.776670000000003</v>
      </c>
      <c r="B814">
        <v>-129.97253000000001</v>
      </c>
      <c r="C814" t="s">
        <v>272</v>
      </c>
      <c r="D814">
        <v>53122</v>
      </c>
      <c r="E814">
        <v>4</v>
      </c>
      <c r="F814" t="s">
        <v>1822</v>
      </c>
      <c r="G814" t="str">
        <f t="shared" si="12"/>
        <v>SNOWBANK MID</v>
      </c>
      <c r="H814" t="s">
        <v>1472</v>
      </c>
      <c r="I814">
        <v>1065</v>
      </c>
      <c r="K814" t="s">
        <v>1823</v>
      </c>
      <c r="L814">
        <v>33181</v>
      </c>
      <c r="M814" t="s">
        <v>1474</v>
      </c>
      <c r="N814" t="s">
        <v>1475</v>
      </c>
      <c r="O814" t="s">
        <v>1476</v>
      </c>
      <c r="R814" t="s">
        <v>36</v>
      </c>
      <c r="S814" t="s">
        <v>37</v>
      </c>
      <c r="U814" t="s">
        <v>39</v>
      </c>
    </row>
    <row r="815" spans="1:24" x14ac:dyDescent="0.2">
      <c r="A815">
        <v>56.946669999999997</v>
      </c>
      <c r="B815">
        <v>-130.10694000000001</v>
      </c>
      <c r="C815" t="s">
        <v>272</v>
      </c>
      <c r="D815">
        <v>53123</v>
      </c>
      <c r="E815">
        <v>5</v>
      </c>
      <c r="F815" t="s">
        <v>1824</v>
      </c>
      <c r="G815" t="str">
        <f t="shared" si="12"/>
        <v>GAMMA</v>
      </c>
      <c r="H815" t="s">
        <v>1472</v>
      </c>
      <c r="I815">
        <v>1175</v>
      </c>
      <c r="K815" t="s">
        <v>1825</v>
      </c>
      <c r="L815">
        <v>32998</v>
      </c>
      <c r="M815" t="s">
        <v>1474</v>
      </c>
      <c r="N815" t="s">
        <v>1475</v>
      </c>
      <c r="O815" t="s">
        <v>1476</v>
      </c>
      <c r="R815" t="s">
        <v>36</v>
      </c>
      <c r="S815" t="s">
        <v>37</v>
      </c>
      <c r="U815" t="s">
        <v>39</v>
      </c>
      <c r="X815" t="s">
        <v>257</v>
      </c>
    </row>
    <row r="816" spans="1:24" x14ac:dyDescent="0.2">
      <c r="A816">
        <v>56.753889999999998</v>
      </c>
      <c r="B816">
        <v>-129.935</v>
      </c>
      <c r="C816" t="s">
        <v>272</v>
      </c>
      <c r="D816">
        <v>53125</v>
      </c>
      <c r="E816">
        <v>1</v>
      </c>
      <c r="F816" t="s">
        <v>1826</v>
      </c>
      <c r="G816" t="str">
        <f t="shared" si="12"/>
        <v>SNOWBANK ROAD</v>
      </c>
      <c r="H816" t="s">
        <v>1472</v>
      </c>
      <c r="I816">
        <v>588</v>
      </c>
      <c r="K816" t="s">
        <v>1827</v>
      </c>
      <c r="L816">
        <v>39009</v>
      </c>
      <c r="M816" t="s">
        <v>1474</v>
      </c>
      <c r="N816" t="s">
        <v>1475</v>
      </c>
      <c r="O816" t="s">
        <v>1476</v>
      </c>
      <c r="R816" t="s">
        <v>36</v>
      </c>
      <c r="S816" t="s">
        <v>37</v>
      </c>
      <c r="T816" t="s">
        <v>695</v>
      </c>
      <c r="U816" t="s">
        <v>39</v>
      </c>
    </row>
    <row r="817" spans="1:24" x14ac:dyDescent="0.2">
      <c r="A817">
        <v>56.928669999999997</v>
      </c>
      <c r="B817">
        <v>-130.09049999999999</v>
      </c>
      <c r="C817" t="s">
        <v>272</v>
      </c>
      <c r="D817">
        <v>53126</v>
      </c>
      <c r="E817">
        <v>1</v>
      </c>
      <c r="F817" t="s">
        <v>1828</v>
      </c>
      <c r="G817" t="str">
        <f t="shared" si="12"/>
        <v>CARL'S CORNER</v>
      </c>
      <c r="H817" t="s">
        <v>1472</v>
      </c>
      <c r="I817">
        <v>504</v>
      </c>
      <c r="K817" t="s">
        <v>1829</v>
      </c>
      <c r="L817">
        <v>39022</v>
      </c>
      <c r="M817" t="s">
        <v>1474</v>
      </c>
      <c r="N817" t="s">
        <v>1475</v>
      </c>
      <c r="O817" t="s">
        <v>1476</v>
      </c>
      <c r="R817" t="s">
        <v>36</v>
      </c>
      <c r="S817" t="s">
        <v>37</v>
      </c>
      <c r="T817" t="s">
        <v>695</v>
      </c>
    </row>
    <row r="818" spans="1:24" x14ac:dyDescent="0.2">
      <c r="A818">
        <v>56.950830000000003</v>
      </c>
      <c r="B818">
        <v>-130.095</v>
      </c>
      <c r="C818" t="s">
        <v>272</v>
      </c>
      <c r="D818">
        <v>53127</v>
      </c>
      <c r="E818">
        <v>7</v>
      </c>
      <c r="F818" t="s">
        <v>1830</v>
      </c>
      <c r="G818" t="str">
        <f t="shared" si="12"/>
        <v>GAMMA HIGH</v>
      </c>
      <c r="H818" t="s">
        <v>1472</v>
      </c>
      <c r="I818">
        <v>1540</v>
      </c>
      <c r="K818" t="s">
        <v>1831</v>
      </c>
      <c r="L818">
        <v>39337</v>
      </c>
      <c r="M818" t="s">
        <v>1474</v>
      </c>
      <c r="N818" t="s">
        <v>1475</v>
      </c>
      <c r="O818" t="s">
        <v>1476</v>
      </c>
      <c r="R818" t="s">
        <v>36</v>
      </c>
      <c r="S818" t="s">
        <v>37</v>
      </c>
      <c r="W818" t="s">
        <v>1639</v>
      </c>
    </row>
    <row r="819" spans="1:24" x14ac:dyDescent="0.2">
      <c r="A819">
        <v>56.795439999999999</v>
      </c>
      <c r="B819">
        <v>-129.97519</v>
      </c>
      <c r="C819" t="s">
        <v>272</v>
      </c>
      <c r="D819">
        <v>53128</v>
      </c>
      <c r="E819">
        <v>7</v>
      </c>
      <c r="F819" t="s">
        <v>1832</v>
      </c>
      <c r="G819" t="str">
        <f t="shared" si="12"/>
        <v>REVISION</v>
      </c>
      <c r="H819" t="s">
        <v>1472</v>
      </c>
      <c r="I819">
        <v>1500</v>
      </c>
      <c r="K819" t="s">
        <v>1833</v>
      </c>
      <c r="L819">
        <v>39337</v>
      </c>
      <c r="M819" t="s">
        <v>1474</v>
      </c>
      <c r="N819" t="s">
        <v>1475</v>
      </c>
      <c r="O819" t="s">
        <v>1476</v>
      </c>
      <c r="R819" t="s">
        <v>36</v>
      </c>
      <c r="S819" t="s">
        <v>37</v>
      </c>
      <c r="W819" t="s">
        <v>391</v>
      </c>
    </row>
    <row r="820" spans="1:24" x14ac:dyDescent="0.2">
      <c r="A820">
        <v>58.434249999999999</v>
      </c>
      <c r="B820">
        <v>-129.98616999999999</v>
      </c>
      <c r="C820" t="s">
        <v>449</v>
      </c>
      <c r="D820">
        <v>53129</v>
      </c>
      <c r="E820">
        <v>2</v>
      </c>
      <c r="F820" t="s">
        <v>1834</v>
      </c>
      <c r="G820" t="str">
        <f t="shared" si="12"/>
        <v xml:space="preserve">DEASE LAKE </v>
      </c>
      <c r="H820" t="s">
        <v>1472</v>
      </c>
      <c r="I820">
        <v>814</v>
      </c>
      <c r="K820" t="s">
        <v>1835</v>
      </c>
      <c r="L820">
        <v>42524</v>
      </c>
      <c r="M820" t="s">
        <v>1474</v>
      </c>
      <c r="N820" t="s">
        <v>1475</v>
      </c>
      <c r="O820" t="s">
        <v>1476</v>
      </c>
      <c r="R820" t="s">
        <v>36</v>
      </c>
      <c r="S820" t="s">
        <v>37</v>
      </c>
      <c r="T820" t="s">
        <v>695</v>
      </c>
      <c r="U820" t="s">
        <v>39</v>
      </c>
    </row>
    <row r="821" spans="1:24" x14ac:dyDescent="0.2">
      <c r="A821">
        <v>57.304769999999998</v>
      </c>
      <c r="B821">
        <v>-130.25056000000001</v>
      </c>
      <c r="C821" t="s">
        <v>449</v>
      </c>
      <c r="D821">
        <v>53131</v>
      </c>
      <c r="E821">
        <v>2</v>
      </c>
      <c r="F821" t="s">
        <v>1836</v>
      </c>
      <c r="G821" t="str">
        <f t="shared" si="12"/>
        <v>NORTH BURRAGE</v>
      </c>
      <c r="H821" t="s">
        <v>1472</v>
      </c>
      <c r="I821">
        <v>814</v>
      </c>
      <c r="K821" t="s">
        <v>1837</v>
      </c>
      <c r="L821">
        <v>44431</v>
      </c>
      <c r="M821" t="s">
        <v>1474</v>
      </c>
      <c r="N821" t="s">
        <v>1475</v>
      </c>
      <c r="O821" t="s">
        <v>1476</v>
      </c>
      <c r="R821" t="s">
        <v>36</v>
      </c>
      <c r="S821" t="s">
        <v>37</v>
      </c>
      <c r="T821" t="s">
        <v>695</v>
      </c>
      <c r="U821" t="s">
        <v>39</v>
      </c>
      <c r="W821" t="s">
        <v>1478</v>
      </c>
      <c r="X821" t="s">
        <v>257</v>
      </c>
    </row>
    <row r="822" spans="1:24" x14ac:dyDescent="0.2">
      <c r="A822">
        <v>59.249169999999999</v>
      </c>
      <c r="B822">
        <v>-129.65722</v>
      </c>
      <c r="C822" t="s">
        <v>449</v>
      </c>
      <c r="D822">
        <v>53221</v>
      </c>
      <c r="E822">
        <v>2</v>
      </c>
      <c r="F822" t="s">
        <v>1838</v>
      </c>
      <c r="G822" t="str">
        <f t="shared" si="12"/>
        <v>JADE CITY</v>
      </c>
      <c r="H822" t="s">
        <v>1472</v>
      </c>
      <c r="I822">
        <v>940</v>
      </c>
      <c r="J822" t="s">
        <v>253</v>
      </c>
      <c r="K822" t="s">
        <v>1839</v>
      </c>
      <c r="L822">
        <v>37888</v>
      </c>
      <c r="M822" t="s">
        <v>1474</v>
      </c>
      <c r="N822" t="s">
        <v>1475</v>
      </c>
      <c r="O822" t="s">
        <v>1476</v>
      </c>
      <c r="Q822">
        <v>42306</v>
      </c>
      <c r="R822" t="s">
        <v>36</v>
      </c>
      <c r="S822" t="s">
        <v>37</v>
      </c>
      <c r="T822" t="s">
        <v>695</v>
      </c>
      <c r="U822" t="s">
        <v>39</v>
      </c>
      <c r="X822" t="s">
        <v>257</v>
      </c>
    </row>
    <row r="823" spans="1:24" x14ac:dyDescent="0.2">
      <c r="A823">
        <v>59.258609999999997</v>
      </c>
      <c r="B823">
        <v>-129.61832999999999</v>
      </c>
      <c r="C823" t="s">
        <v>449</v>
      </c>
      <c r="D823">
        <v>53222</v>
      </c>
      <c r="E823">
        <v>2</v>
      </c>
      <c r="F823" t="s">
        <v>1840</v>
      </c>
      <c r="G823" t="str">
        <f t="shared" si="12"/>
        <v>JADE CITY WIND</v>
      </c>
      <c r="H823" t="s">
        <v>1472</v>
      </c>
      <c r="I823">
        <v>915</v>
      </c>
      <c r="K823" t="s">
        <v>1841</v>
      </c>
      <c r="L823">
        <v>38630</v>
      </c>
      <c r="M823" t="s">
        <v>1474</v>
      </c>
      <c r="N823" t="s">
        <v>1475</v>
      </c>
      <c r="O823" t="s">
        <v>1476</v>
      </c>
      <c r="R823" t="s">
        <v>36</v>
      </c>
      <c r="S823" t="s">
        <v>37</v>
      </c>
      <c r="W823" t="s">
        <v>1664</v>
      </c>
    </row>
    <row r="824" spans="1:24" x14ac:dyDescent="0.2">
      <c r="A824">
        <v>57.912779999999998</v>
      </c>
      <c r="B824">
        <v>-131.13111000000001</v>
      </c>
      <c r="C824" t="s">
        <v>449</v>
      </c>
      <c r="D824">
        <v>53321</v>
      </c>
      <c r="E824">
        <v>1</v>
      </c>
      <c r="F824" t="s">
        <v>1842</v>
      </c>
      <c r="G824" t="str">
        <f t="shared" si="12"/>
        <v>TELEGRAPH</v>
      </c>
      <c r="H824" t="s">
        <v>1472</v>
      </c>
      <c r="I824">
        <v>290</v>
      </c>
      <c r="K824" t="s">
        <v>1843</v>
      </c>
      <c r="L824">
        <v>37889</v>
      </c>
      <c r="M824" t="s">
        <v>1474</v>
      </c>
      <c r="N824" t="s">
        <v>1475</v>
      </c>
      <c r="O824" t="s">
        <v>1476</v>
      </c>
      <c r="R824" t="s">
        <v>36</v>
      </c>
      <c r="S824" t="s">
        <v>37</v>
      </c>
      <c r="T824" t="s">
        <v>695</v>
      </c>
      <c r="U824" t="s">
        <v>39</v>
      </c>
      <c r="W824" t="s">
        <v>425</v>
      </c>
      <c r="X824" t="s">
        <v>257</v>
      </c>
    </row>
    <row r="825" spans="1:24" x14ac:dyDescent="0.2">
      <c r="A825">
        <v>54.481940000000002</v>
      </c>
      <c r="B825">
        <v>-126.74361</v>
      </c>
      <c r="C825" t="s">
        <v>29</v>
      </c>
      <c r="D825">
        <v>54091</v>
      </c>
      <c r="E825">
        <v>1</v>
      </c>
      <c r="F825" t="s">
        <v>1844</v>
      </c>
      <c r="G825" t="str">
        <f t="shared" si="12"/>
        <v>HUNGRY HILL</v>
      </c>
      <c r="H825" t="s">
        <v>1472</v>
      </c>
      <c r="I825">
        <v>820</v>
      </c>
      <c r="J825" t="s">
        <v>253</v>
      </c>
      <c r="K825" t="s">
        <v>1845</v>
      </c>
      <c r="L825">
        <v>37196</v>
      </c>
      <c r="M825" t="s">
        <v>1474</v>
      </c>
      <c r="N825" t="s">
        <v>1475</v>
      </c>
      <c r="O825" t="s">
        <v>1476</v>
      </c>
      <c r="Q825">
        <v>42070</v>
      </c>
      <c r="R825" t="s">
        <v>36</v>
      </c>
      <c r="S825" t="s">
        <v>37</v>
      </c>
      <c r="T825" t="s">
        <v>1477</v>
      </c>
      <c r="U825" t="s">
        <v>39</v>
      </c>
      <c r="W825" t="s">
        <v>1478</v>
      </c>
    </row>
    <row r="826" spans="1:24" x14ac:dyDescent="0.2">
      <c r="A826">
        <v>54.941429999999997</v>
      </c>
      <c r="B826">
        <v>-127.3261</v>
      </c>
      <c r="C826" t="s">
        <v>29</v>
      </c>
      <c r="D826">
        <v>54092</v>
      </c>
      <c r="E826">
        <v>1</v>
      </c>
      <c r="F826" t="s">
        <v>1846</v>
      </c>
      <c r="G826" t="str">
        <f t="shared" si="12"/>
        <v>TROUT CREEK</v>
      </c>
      <c r="H826" t="s">
        <v>1472</v>
      </c>
      <c r="I826">
        <v>410</v>
      </c>
      <c r="K826" t="s">
        <v>1847</v>
      </c>
      <c r="L826">
        <v>43301</v>
      </c>
      <c r="M826" t="s">
        <v>1474</v>
      </c>
      <c r="N826" t="s">
        <v>1475</v>
      </c>
      <c r="O826" t="s">
        <v>1476</v>
      </c>
      <c r="R826" t="s">
        <v>36</v>
      </c>
      <c r="S826" t="s">
        <v>37</v>
      </c>
      <c r="T826" t="s">
        <v>1491</v>
      </c>
      <c r="X826" t="s">
        <v>257</v>
      </c>
    </row>
    <row r="827" spans="1:24" x14ac:dyDescent="0.2">
      <c r="A827">
        <v>54.191670000000002</v>
      </c>
      <c r="B827">
        <v>-125.53639</v>
      </c>
      <c r="C827" t="s">
        <v>29</v>
      </c>
      <c r="D827">
        <v>55091</v>
      </c>
      <c r="E827">
        <v>1</v>
      </c>
      <c r="F827" t="s">
        <v>1848</v>
      </c>
      <c r="G827" t="str">
        <f t="shared" si="12"/>
        <v>STEARNS</v>
      </c>
      <c r="H827" t="s">
        <v>1472</v>
      </c>
      <c r="I827">
        <v>719</v>
      </c>
      <c r="K827" t="s">
        <v>1849</v>
      </c>
      <c r="L827">
        <v>37939</v>
      </c>
      <c r="M827" t="s">
        <v>1474</v>
      </c>
      <c r="N827" t="s">
        <v>1475</v>
      </c>
      <c r="O827" t="s">
        <v>1476</v>
      </c>
      <c r="R827" t="s">
        <v>36</v>
      </c>
      <c r="S827" t="s">
        <v>37</v>
      </c>
      <c r="T827" t="s">
        <v>1477</v>
      </c>
      <c r="U827" t="s">
        <v>39</v>
      </c>
      <c r="W827" t="s">
        <v>762</v>
      </c>
    </row>
    <row r="828" spans="1:24" x14ac:dyDescent="0.2">
      <c r="A828">
        <v>54.459440000000001</v>
      </c>
      <c r="B828">
        <v>-126.1961</v>
      </c>
      <c r="C828" t="s">
        <v>29</v>
      </c>
      <c r="D828">
        <v>55092</v>
      </c>
      <c r="E828">
        <v>1</v>
      </c>
      <c r="F828" t="s">
        <v>1850</v>
      </c>
      <c r="G828" t="str">
        <f t="shared" si="12"/>
        <v>6 MILE HILL</v>
      </c>
      <c r="H828" t="s">
        <v>1472</v>
      </c>
      <c r="I828">
        <v>840</v>
      </c>
      <c r="K828" t="s">
        <v>1851</v>
      </c>
      <c r="L828">
        <v>43279</v>
      </c>
      <c r="M828" t="s">
        <v>1474</v>
      </c>
      <c r="N828" t="s">
        <v>1475</v>
      </c>
      <c r="O828" t="s">
        <v>1476</v>
      </c>
      <c r="R828" t="s">
        <v>36</v>
      </c>
      <c r="S828" t="s">
        <v>37</v>
      </c>
      <c r="T828" t="s">
        <v>1491</v>
      </c>
      <c r="X828" t="s">
        <v>257</v>
      </c>
    </row>
    <row r="829" spans="1:24" x14ac:dyDescent="0.2">
      <c r="A829">
        <v>48.56794</v>
      </c>
      <c r="B829">
        <v>-123.54176</v>
      </c>
      <c r="C829" t="s">
        <v>41</v>
      </c>
      <c r="D829">
        <v>62091</v>
      </c>
      <c r="E829">
        <v>5</v>
      </c>
      <c r="F829" t="s">
        <v>1852</v>
      </c>
      <c r="G829" t="str">
        <f t="shared" si="12"/>
        <v>MALAHAT</v>
      </c>
      <c r="H829" t="s">
        <v>1472</v>
      </c>
      <c r="I829">
        <v>340</v>
      </c>
      <c r="J829" t="s">
        <v>253</v>
      </c>
      <c r="K829" t="s">
        <v>1853</v>
      </c>
      <c r="L829">
        <v>41179</v>
      </c>
      <c r="M829" t="s">
        <v>1474</v>
      </c>
      <c r="N829" t="s">
        <v>1475</v>
      </c>
      <c r="O829" t="s">
        <v>1476</v>
      </c>
      <c r="Q829">
        <v>42078</v>
      </c>
      <c r="R829" t="s">
        <v>36</v>
      </c>
      <c r="S829" t="s">
        <v>37</v>
      </c>
      <c r="T829" t="s">
        <v>1477</v>
      </c>
      <c r="U829" t="s">
        <v>39</v>
      </c>
      <c r="W829" t="s">
        <v>1478</v>
      </c>
    </row>
    <row r="830" spans="1:24" x14ac:dyDescent="0.2">
      <c r="A830">
        <v>49.370559999999998</v>
      </c>
      <c r="B830">
        <v>-124.61611000000001</v>
      </c>
      <c r="C830" t="s">
        <v>41</v>
      </c>
      <c r="D830">
        <v>63093</v>
      </c>
      <c r="E830">
        <v>3</v>
      </c>
      <c r="F830" t="s">
        <v>1854</v>
      </c>
      <c r="G830" t="str">
        <f t="shared" si="12"/>
        <v>COCHRANE</v>
      </c>
      <c r="H830" t="s">
        <v>1472</v>
      </c>
      <c r="I830">
        <v>115</v>
      </c>
      <c r="J830" t="s">
        <v>253</v>
      </c>
      <c r="K830" t="s">
        <v>1855</v>
      </c>
      <c r="L830">
        <v>36800</v>
      </c>
      <c r="M830" t="s">
        <v>1474</v>
      </c>
      <c r="N830" t="s">
        <v>1475</v>
      </c>
      <c r="O830" t="s">
        <v>1476</v>
      </c>
      <c r="Q830">
        <v>42077</v>
      </c>
      <c r="R830" t="s">
        <v>36</v>
      </c>
      <c r="S830" t="s">
        <v>37</v>
      </c>
      <c r="T830" t="s">
        <v>1477</v>
      </c>
      <c r="U830" t="s">
        <v>39</v>
      </c>
      <c r="W830" t="s">
        <v>435</v>
      </c>
    </row>
    <row r="831" spans="1:24" x14ac:dyDescent="0.2">
      <c r="A831">
        <v>49.100560000000002</v>
      </c>
      <c r="B831">
        <v>-125.4525</v>
      </c>
      <c r="C831" t="s">
        <v>204</v>
      </c>
      <c r="D831">
        <v>63094</v>
      </c>
      <c r="E831">
        <v>1</v>
      </c>
      <c r="F831" t="s">
        <v>1856</v>
      </c>
      <c r="G831" t="str">
        <f t="shared" si="12"/>
        <v>KENNEDY LAKE</v>
      </c>
      <c r="H831" t="s">
        <v>1472</v>
      </c>
      <c r="I831">
        <v>35</v>
      </c>
      <c r="K831" t="s">
        <v>1857</v>
      </c>
      <c r="L831">
        <v>40345</v>
      </c>
      <c r="M831" t="s">
        <v>1474</v>
      </c>
      <c r="N831" t="s">
        <v>1475</v>
      </c>
      <c r="O831" t="s">
        <v>1476</v>
      </c>
      <c r="R831" t="s">
        <v>36</v>
      </c>
      <c r="S831" t="s">
        <v>37</v>
      </c>
      <c r="T831" t="s">
        <v>1477</v>
      </c>
      <c r="U831" t="s">
        <v>39</v>
      </c>
      <c r="W831" t="s">
        <v>1858</v>
      </c>
    </row>
    <row r="832" spans="1:24" x14ac:dyDescent="0.2">
      <c r="A832">
        <v>50.282359999999997</v>
      </c>
      <c r="B832">
        <v>-126.35527999999999</v>
      </c>
      <c r="C832" t="s">
        <v>204</v>
      </c>
      <c r="D832">
        <v>64091</v>
      </c>
      <c r="E832">
        <v>3</v>
      </c>
      <c r="F832" t="s">
        <v>1859</v>
      </c>
      <c r="G832" t="str">
        <f t="shared" si="12"/>
        <v>TSITIKA SUMMIT</v>
      </c>
      <c r="H832" t="s">
        <v>1472</v>
      </c>
      <c r="I832">
        <v>436</v>
      </c>
      <c r="J832" t="s">
        <v>253</v>
      </c>
      <c r="K832" t="s">
        <v>1860</v>
      </c>
      <c r="L832">
        <v>37919</v>
      </c>
      <c r="M832" t="s">
        <v>1474</v>
      </c>
      <c r="N832" t="s">
        <v>1475</v>
      </c>
      <c r="O832" t="s">
        <v>1476</v>
      </c>
      <c r="Q832">
        <v>42077</v>
      </c>
      <c r="R832" t="s">
        <v>36</v>
      </c>
      <c r="S832" t="s">
        <v>37</v>
      </c>
      <c r="T832" t="s">
        <v>1477</v>
      </c>
      <c r="U832" t="s">
        <v>39</v>
      </c>
      <c r="W832" t="s">
        <v>1478</v>
      </c>
    </row>
    <row r="833" spans="1:24" x14ac:dyDescent="0.2">
      <c r="A833">
        <v>50.171860000000002</v>
      </c>
      <c r="B833">
        <v>-125.47920000000001</v>
      </c>
      <c r="C833" t="s">
        <v>41</v>
      </c>
      <c r="D833">
        <v>64092</v>
      </c>
      <c r="E833">
        <v>5</v>
      </c>
      <c r="F833" t="s">
        <v>1861</v>
      </c>
      <c r="G833" t="str">
        <f t="shared" si="12"/>
        <v>MENZIES HILL</v>
      </c>
      <c r="H833" t="s">
        <v>1472</v>
      </c>
      <c r="I833">
        <v>300</v>
      </c>
      <c r="K833" t="s">
        <v>1862</v>
      </c>
      <c r="L833">
        <v>44158</v>
      </c>
      <c r="M833" t="s">
        <v>1474</v>
      </c>
      <c r="N833" t="s">
        <v>1475</v>
      </c>
      <c r="O833" t="s">
        <v>1476</v>
      </c>
      <c r="R833" t="s">
        <v>36</v>
      </c>
      <c r="S833" t="s">
        <v>37</v>
      </c>
      <c r="T833" t="s">
        <v>1491</v>
      </c>
      <c r="W833" t="s">
        <v>1478</v>
      </c>
      <c r="X833" t="s">
        <v>257</v>
      </c>
    </row>
    <row r="834" spans="1:24" x14ac:dyDescent="0.2">
      <c r="A834">
        <v>49.830030000000001</v>
      </c>
      <c r="B834">
        <v>-125.19006</v>
      </c>
      <c r="C834" t="s">
        <v>41</v>
      </c>
      <c r="D834">
        <v>64093</v>
      </c>
      <c r="E834">
        <v>3</v>
      </c>
      <c r="F834" t="s">
        <v>1863</v>
      </c>
      <c r="G834" t="str">
        <f t="shared" ref="G834:G897" si="13">UPPER(F834)</f>
        <v>NORTH COURTENAY</v>
      </c>
      <c r="H834" t="s">
        <v>1472</v>
      </c>
      <c r="I834">
        <v>100</v>
      </c>
      <c r="K834" t="s">
        <v>1864</v>
      </c>
      <c r="L834">
        <v>37196</v>
      </c>
      <c r="M834" t="s">
        <v>1474</v>
      </c>
      <c r="N834" t="s">
        <v>1475</v>
      </c>
      <c r="O834" t="s">
        <v>1476</v>
      </c>
      <c r="Q834">
        <v>42279</v>
      </c>
      <c r="R834" t="s">
        <v>36</v>
      </c>
      <c r="S834" t="s">
        <v>37</v>
      </c>
      <c r="T834" t="s">
        <v>1477</v>
      </c>
      <c r="U834" t="s">
        <v>39</v>
      </c>
      <c r="W834" t="s">
        <v>1636</v>
      </c>
    </row>
    <row r="835" spans="1:24" x14ac:dyDescent="0.2">
      <c r="A835">
        <v>48.571109999999997</v>
      </c>
      <c r="B835">
        <v>-124.20056</v>
      </c>
      <c r="C835" t="s">
        <v>204</v>
      </c>
      <c r="D835">
        <v>944</v>
      </c>
      <c r="E835">
        <v>2</v>
      </c>
      <c r="F835" t="s">
        <v>1865</v>
      </c>
      <c r="G835" t="str">
        <f t="shared" si="13"/>
        <v>TS SAN JUAN</v>
      </c>
      <c r="H835" t="s">
        <v>1866</v>
      </c>
      <c r="I835">
        <v>296</v>
      </c>
      <c r="L835">
        <v>38923</v>
      </c>
      <c r="M835" t="s">
        <v>782</v>
      </c>
      <c r="N835" t="s">
        <v>783</v>
      </c>
      <c r="R835" t="s">
        <v>36</v>
      </c>
      <c r="S835" t="s">
        <v>37</v>
      </c>
      <c r="T835" t="s">
        <v>38</v>
      </c>
      <c r="W835" t="s">
        <v>40</v>
      </c>
    </row>
    <row r="836" spans="1:24" x14ac:dyDescent="0.2">
      <c r="A836">
        <v>50.370130000000003</v>
      </c>
      <c r="B836">
        <v>-126.43393</v>
      </c>
      <c r="C836" t="s">
        <v>204</v>
      </c>
      <c r="D836">
        <v>945</v>
      </c>
      <c r="E836">
        <v>3</v>
      </c>
      <c r="F836" t="s">
        <v>1867</v>
      </c>
      <c r="G836" t="str">
        <f t="shared" si="13"/>
        <v>TS NAKA CREEK</v>
      </c>
      <c r="H836" t="s">
        <v>1866</v>
      </c>
      <c r="I836">
        <v>515</v>
      </c>
      <c r="L836">
        <v>38938</v>
      </c>
      <c r="M836" t="s">
        <v>782</v>
      </c>
      <c r="N836" t="s">
        <v>783</v>
      </c>
      <c r="R836" t="s">
        <v>36</v>
      </c>
      <c r="S836" t="s">
        <v>37</v>
      </c>
      <c r="T836" t="s">
        <v>38</v>
      </c>
      <c r="W836" t="s">
        <v>40</v>
      </c>
    </row>
    <row r="837" spans="1:24" x14ac:dyDescent="0.2">
      <c r="A837">
        <v>49.17</v>
      </c>
      <c r="B837">
        <v>-125.2825</v>
      </c>
      <c r="C837" t="s">
        <v>204</v>
      </c>
      <c r="D837">
        <v>956</v>
      </c>
      <c r="E837">
        <v>4</v>
      </c>
      <c r="F837" t="s">
        <v>1868</v>
      </c>
      <c r="G837" t="str">
        <f t="shared" si="13"/>
        <v>TS EFFINGHAM</v>
      </c>
      <c r="H837" t="s">
        <v>1866</v>
      </c>
      <c r="I837">
        <v>632</v>
      </c>
      <c r="L837">
        <v>39020</v>
      </c>
      <c r="M837" t="s">
        <v>782</v>
      </c>
      <c r="N837" t="s">
        <v>783</v>
      </c>
      <c r="R837" t="s">
        <v>36</v>
      </c>
      <c r="S837" t="s">
        <v>37</v>
      </c>
      <c r="T837" t="s">
        <v>38</v>
      </c>
      <c r="W837" t="s">
        <v>40</v>
      </c>
    </row>
    <row r="838" spans="1:24" x14ac:dyDescent="0.2">
      <c r="A838">
        <v>50.132420000000003</v>
      </c>
      <c r="B838">
        <v>-126.92823</v>
      </c>
      <c r="C838" t="s">
        <v>204</v>
      </c>
      <c r="D838">
        <v>995</v>
      </c>
      <c r="E838">
        <v>2</v>
      </c>
      <c r="F838" t="s">
        <v>1869</v>
      </c>
      <c r="G838" t="str">
        <f t="shared" si="13"/>
        <v>TS ARTLISH</v>
      </c>
      <c r="H838" t="s">
        <v>1866</v>
      </c>
      <c r="I838">
        <v>130</v>
      </c>
      <c r="J838" t="s">
        <v>253</v>
      </c>
      <c r="K838" t="s">
        <v>786</v>
      </c>
      <c r="L838">
        <v>39316</v>
      </c>
      <c r="M838" t="s">
        <v>782</v>
      </c>
      <c r="N838" t="s">
        <v>783</v>
      </c>
      <c r="R838" t="s">
        <v>36</v>
      </c>
      <c r="S838" t="s">
        <v>37</v>
      </c>
      <c r="T838" t="s">
        <v>389</v>
      </c>
      <c r="U838" t="s">
        <v>39</v>
      </c>
      <c r="W838" t="s">
        <v>40</v>
      </c>
    </row>
    <row r="839" spans="1:24" x14ac:dyDescent="0.2">
      <c r="A839">
        <v>49.428049999999999</v>
      </c>
      <c r="B839">
        <v>-123.56484</v>
      </c>
      <c r="C839" t="s">
        <v>41</v>
      </c>
      <c r="D839">
        <v>1002</v>
      </c>
      <c r="E839">
        <v>6</v>
      </c>
      <c r="F839" t="s">
        <v>1870</v>
      </c>
      <c r="G839" t="str">
        <f t="shared" si="13"/>
        <v>TS ELPHINSTONE</v>
      </c>
      <c r="H839" t="s">
        <v>1866</v>
      </c>
      <c r="I839">
        <v>593</v>
      </c>
      <c r="J839" t="s">
        <v>253</v>
      </c>
      <c r="L839">
        <v>39359</v>
      </c>
      <c r="M839" t="s">
        <v>782</v>
      </c>
      <c r="N839" t="s">
        <v>783</v>
      </c>
      <c r="R839" t="s">
        <v>36</v>
      </c>
      <c r="S839" t="s">
        <v>37</v>
      </c>
      <c r="T839" t="s">
        <v>38</v>
      </c>
      <c r="W839" t="s">
        <v>40</v>
      </c>
    </row>
    <row r="840" spans="1:24" x14ac:dyDescent="0.2">
      <c r="A840">
        <v>50.103479999999998</v>
      </c>
      <c r="B840">
        <v>-124.61373</v>
      </c>
      <c r="C840" t="s">
        <v>204</v>
      </c>
      <c r="D840">
        <v>1025</v>
      </c>
      <c r="E840">
        <v>1</v>
      </c>
      <c r="F840" t="s">
        <v>1871</v>
      </c>
      <c r="G840" t="str">
        <f t="shared" si="13"/>
        <v>TS THEODOSIA</v>
      </c>
      <c r="H840" t="s">
        <v>1866</v>
      </c>
      <c r="I840">
        <v>91</v>
      </c>
      <c r="L840">
        <v>39646</v>
      </c>
      <c r="M840" t="s">
        <v>782</v>
      </c>
      <c r="N840" t="s">
        <v>783</v>
      </c>
      <c r="R840" t="s">
        <v>36</v>
      </c>
      <c r="S840" t="s">
        <v>37</v>
      </c>
      <c r="T840" t="s">
        <v>38</v>
      </c>
      <c r="W840" t="s">
        <v>40</v>
      </c>
    </row>
    <row r="841" spans="1:24" x14ac:dyDescent="0.2">
      <c r="A841">
        <v>50.270919999999997</v>
      </c>
      <c r="B841">
        <v>-125.1309</v>
      </c>
      <c r="C841" t="s">
        <v>204</v>
      </c>
      <c r="D841">
        <v>1056</v>
      </c>
      <c r="E841">
        <v>2</v>
      </c>
      <c r="F841" t="s">
        <v>1872</v>
      </c>
      <c r="G841" t="str">
        <f t="shared" si="13"/>
        <v>TS MAURELLE</v>
      </c>
      <c r="H841" t="s">
        <v>1866</v>
      </c>
      <c r="I841">
        <v>132</v>
      </c>
      <c r="L841">
        <v>40247</v>
      </c>
      <c r="M841" t="s">
        <v>782</v>
      </c>
      <c r="N841" t="s">
        <v>783</v>
      </c>
      <c r="R841" t="s">
        <v>36</v>
      </c>
      <c r="S841" t="s">
        <v>37</v>
      </c>
      <c r="T841" t="s">
        <v>38</v>
      </c>
      <c r="W841" t="s">
        <v>40</v>
      </c>
    </row>
    <row r="842" spans="1:24" x14ac:dyDescent="0.2">
      <c r="A842">
        <v>49.585500000000003</v>
      </c>
      <c r="B842">
        <v>-123.38722</v>
      </c>
      <c r="C842" t="s">
        <v>204</v>
      </c>
      <c r="D842">
        <v>1066</v>
      </c>
      <c r="E842">
        <v>2</v>
      </c>
      <c r="F842" t="s">
        <v>1873</v>
      </c>
      <c r="G842" t="str">
        <f t="shared" si="13"/>
        <v>TS MCNABB</v>
      </c>
      <c r="H842" t="s">
        <v>1866</v>
      </c>
      <c r="I842">
        <v>154</v>
      </c>
      <c r="L842">
        <v>40284</v>
      </c>
      <c r="M842" t="s">
        <v>782</v>
      </c>
      <c r="N842" t="s">
        <v>783</v>
      </c>
      <c r="R842" t="s">
        <v>36</v>
      </c>
      <c r="S842" t="s">
        <v>37</v>
      </c>
      <c r="T842" t="s">
        <v>38</v>
      </c>
      <c r="W842" t="s">
        <v>40</v>
      </c>
    </row>
    <row r="843" spans="1:24" x14ac:dyDescent="0.2">
      <c r="A843">
        <v>49.610199999999999</v>
      </c>
      <c r="B843">
        <v>-126.03270000000001</v>
      </c>
      <c r="C843" t="s">
        <v>204</v>
      </c>
      <c r="D843">
        <v>1362</v>
      </c>
      <c r="E843">
        <v>1</v>
      </c>
      <c r="F843" t="s">
        <v>1874</v>
      </c>
      <c r="G843" t="str">
        <f t="shared" si="13"/>
        <v>TS BURMAN</v>
      </c>
      <c r="H843" t="s">
        <v>1866</v>
      </c>
      <c r="I843">
        <v>71</v>
      </c>
      <c r="L843">
        <v>43648</v>
      </c>
      <c r="M843" t="s">
        <v>782</v>
      </c>
      <c r="N843" t="s">
        <v>783</v>
      </c>
      <c r="R843" t="s">
        <v>36</v>
      </c>
      <c r="S843" t="s">
        <v>37</v>
      </c>
      <c r="T843" t="s">
        <v>38</v>
      </c>
      <c r="W843" t="s">
        <v>40</v>
      </c>
    </row>
    <row r="844" spans="1:24" x14ac:dyDescent="0.2">
      <c r="A844">
        <v>50.267805600000003</v>
      </c>
      <c r="B844">
        <v>-127.07961109999999</v>
      </c>
      <c r="C844" t="s">
        <v>86</v>
      </c>
      <c r="D844">
        <v>1378</v>
      </c>
      <c r="E844">
        <v>1</v>
      </c>
      <c r="F844" t="s">
        <v>1875</v>
      </c>
      <c r="G844" t="str">
        <f t="shared" si="13"/>
        <v>TS ATLUCK</v>
      </c>
      <c r="H844" t="s">
        <v>1866</v>
      </c>
      <c r="I844">
        <v>462</v>
      </c>
      <c r="L844">
        <v>43831</v>
      </c>
      <c r="M844" t="s">
        <v>782</v>
      </c>
      <c r="N844" t="s">
        <v>783</v>
      </c>
      <c r="R844" t="s">
        <v>36</v>
      </c>
      <c r="S844" t="s">
        <v>37</v>
      </c>
      <c r="T844" t="s">
        <v>38</v>
      </c>
      <c r="W844" t="s">
        <v>40</v>
      </c>
    </row>
    <row r="845" spans="1:24" x14ac:dyDescent="0.2">
      <c r="A845">
        <v>49.207500000000003</v>
      </c>
      <c r="B845">
        <v>-125.12179999999999</v>
      </c>
      <c r="C845" t="s">
        <v>204</v>
      </c>
      <c r="D845">
        <v>1398</v>
      </c>
      <c r="E845">
        <v>3</v>
      </c>
      <c r="F845" t="s">
        <v>1876</v>
      </c>
      <c r="G845" t="str">
        <f t="shared" si="13"/>
        <v>TS NAHMINT</v>
      </c>
      <c r="H845" t="s">
        <v>1866</v>
      </c>
      <c r="I845">
        <v>354</v>
      </c>
      <c r="L845">
        <v>44039</v>
      </c>
      <c r="M845" t="s">
        <v>782</v>
      </c>
      <c r="N845" t="s">
        <v>783</v>
      </c>
      <c r="R845" t="s">
        <v>36</v>
      </c>
      <c r="S845" t="s">
        <v>37</v>
      </c>
      <c r="T845" t="s">
        <v>38</v>
      </c>
      <c r="W845" t="s">
        <v>40</v>
      </c>
    </row>
    <row r="846" spans="1:24" x14ac:dyDescent="0.2">
      <c r="A846">
        <v>50.171100000000003</v>
      </c>
      <c r="B846">
        <v>-125.5757</v>
      </c>
      <c r="C846" t="s">
        <v>204</v>
      </c>
      <c r="D846">
        <v>1408</v>
      </c>
      <c r="E846">
        <v>2</v>
      </c>
      <c r="F846" t="s">
        <v>1877</v>
      </c>
      <c r="G846" t="str">
        <f t="shared" si="13"/>
        <v>TS BLACKWATER</v>
      </c>
      <c r="H846" t="s">
        <v>1866</v>
      </c>
      <c r="I846">
        <v>289</v>
      </c>
      <c r="L846">
        <v>44277</v>
      </c>
      <c r="M846" t="s">
        <v>782</v>
      </c>
      <c r="N846" t="s">
        <v>783</v>
      </c>
      <c r="R846" t="s">
        <v>36</v>
      </c>
      <c r="S846" t="s">
        <v>37</v>
      </c>
      <c r="T846" t="s">
        <v>38</v>
      </c>
      <c r="W846" t="s">
        <v>40</v>
      </c>
    </row>
    <row r="847" spans="1:24" x14ac:dyDescent="0.2">
      <c r="A847">
        <v>50.3752</v>
      </c>
      <c r="B847">
        <v>-126.5401</v>
      </c>
      <c r="C847" t="s">
        <v>204</v>
      </c>
      <c r="D847">
        <v>4393</v>
      </c>
      <c r="E847">
        <v>2</v>
      </c>
      <c r="F847" t="s">
        <v>1878</v>
      </c>
      <c r="G847" t="str">
        <f t="shared" si="13"/>
        <v>TS TSITIKA</v>
      </c>
      <c r="H847" t="s">
        <v>1866</v>
      </c>
      <c r="I847">
        <v>211</v>
      </c>
      <c r="L847">
        <v>45601</v>
      </c>
      <c r="M847" t="s">
        <v>782</v>
      </c>
      <c r="N847" t="s">
        <v>783</v>
      </c>
      <c r="R847" t="s">
        <v>36</v>
      </c>
      <c r="S847" t="s">
        <v>37</v>
      </c>
      <c r="T847" t="s">
        <v>38</v>
      </c>
      <c r="W847" t="s">
        <v>40</v>
      </c>
    </row>
    <row r="848" spans="1:24" x14ac:dyDescent="0.2">
      <c r="A848">
        <v>51.375</v>
      </c>
      <c r="B848">
        <v>-128.73944399999999</v>
      </c>
      <c r="C848" t="s">
        <v>1879</v>
      </c>
      <c r="D848" t="s">
        <v>1880</v>
      </c>
      <c r="E848">
        <v>1</v>
      </c>
      <c r="F848" t="s">
        <v>1881</v>
      </c>
      <c r="G848" t="str">
        <f t="shared" si="13"/>
        <v>WEST SEA OTTER</v>
      </c>
      <c r="H848" t="s">
        <v>1882</v>
      </c>
      <c r="I848">
        <v>0</v>
      </c>
      <c r="M848" t="s">
        <v>1883</v>
      </c>
      <c r="N848" t="s">
        <v>1884</v>
      </c>
      <c r="O848" t="s">
        <v>1885</v>
      </c>
      <c r="Q848" t="s">
        <v>1886</v>
      </c>
      <c r="R848" t="s">
        <v>1887</v>
      </c>
    </row>
    <row r="849" spans="1:18" x14ac:dyDescent="0.2">
      <c r="A849">
        <v>53.616667</v>
      </c>
      <c r="B849">
        <v>-131.10472200000001</v>
      </c>
      <c r="C849" t="s">
        <v>1879</v>
      </c>
      <c r="D849" t="s">
        <v>1888</v>
      </c>
      <c r="E849">
        <v>1</v>
      </c>
      <c r="F849" t="s">
        <v>1889</v>
      </c>
      <c r="G849" t="str">
        <f t="shared" si="13"/>
        <v>NORTH HECATE STRAIT</v>
      </c>
      <c r="H849" t="s">
        <v>1882</v>
      </c>
      <c r="I849">
        <v>0</v>
      </c>
      <c r="M849" t="s">
        <v>1883</v>
      </c>
      <c r="N849" t="s">
        <v>1884</v>
      </c>
      <c r="O849" t="s">
        <v>1885</v>
      </c>
      <c r="Q849" t="s">
        <v>1886</v>
      </c>
      <c r="R849" t="s">
        <v>1887</v>
      </c>
    </row>
    <row r="850" spans="1:18" x14ac:dyDescent="0.2">
      <c r="A850">
        <v>48.648299999999999</v>
      </c>
      <c r="B850">
        <v>-123.495</v>
      </c>
      <c r="C850" t="s">
        <v>41</v>
      </c>
      <c r="D850" t="s">
        <v>1890</v>
      </c>
      <c r="E850">
        <v>1</v>
      </c>
      <c r="F850" t="s">
        <v>1891</v>
      </c>
      <c r="G850" t="str">
        <f t="shared" si="13"/>
        <v>PATRICIA BAY</v>
      </c>
      <c r="H850" t="s">
        <v>1882</v>
      </c>
      <c r="I850">
        <v>0</v>
      </c>
      <c r="M850" t="s">
        <v>1883</v>
      </c>
      <c r="N850" t="s">
        <v>1884</v>
      </c>
      <c r="O850" t="s">
        <v>1885</v>
      </c>
      <c r="Q850" t="s">
        <v>1886</v>
      </c>
      <c r="R850" t="s">
        <v>1887</v>
      </c>
    </row>
    <row r="851" spans="1:18" x14ac:dyDescent="0.2">
      <c r="A851">
        <v>49.906388999999997</v>
      </c>
      <c r="B851">
        <v>-124.984722</v>
      </c>
      <c r="C851" t="s">
        <v>1879</v>
      </c>
      <c r="D851" t="s">
        <v>1892</v>
      </c>
      <c r="E851">
        <v>1</v>
      </c>
      <c r="F851" t="s">
        <v>1893</v>
      </c>
      <c r="G851" t="str">
        <f t="shared" si="13"/>
        <v>SENTRY SHOAL</v>
      </c>
      <c r="H851" t="s">
        <v>1882</v>
      </c>
      <c r="I851">
        <v>0</v>
      </c>
      <c r="M851" t="s">
        <v>1883</v>
      </c>
      <c r="N851" t="s">
        <v>1884</v>
      </c>
      <c r="O851" t="s">
        <v>1885</v>
      </c>
      <c r="Q851" t="s">
        <v>1886</v>
      </c>
      <c r="R851" t="s">
        <v>1887</v>
      </c>
    </row>
    <row r="852" spans="1:18" x14ac:dyDescent="0.2">
      <c r="A852">
        <v>54.383056000000003</v>
      </c>
      <c r="B852">
        <v>-132.41749999999999</v>
      </c>
      <c r="C852" t="s">
        <v>1879</v>
      </c>
      <c r="D852" t="s">
        <v>1894</v>
      </c>
      <c r="E852">
        <v>1</v>
      </c>
      <c r="F852" t="s">
        <v>1895</v>
      </c>
      <c r="G852" t="str">
        <f t="shared" si="13"/>
        <v>CENTRAL DIXON ENTRAN</v>
      </c>
      <c r="H852" t="s">
        <v>1882</v>
      </c>
      <c r="I852">
        <v>0</v>
      </c>
      <c r="M852" t="s">
        <v>1883</v>
      </c>
      <c r="N852" t="s">
        <v>1884</v>
      </c>
      <c r="O852" t="s">
        <v>1885</v>
      </c>
      <c r="Q852" t="s">
        <v>1886</v>
      </c>
      <c r="R852" t="s">
        <v>1887</v>
      </c>
    </row>
    <row r="853" spans="1:18" x14ac:dyDescent="0.2">
      <c r="A853">
        <v>49.74</v>
      </c>
      <c r="B853">
        <v>-127.93</v>
      </c>
      <c r="C853" t="s">
        <v>1879</v>
      </c>
      <c r="D853" t="s">
        <v>1896</v>
      </c>
      <c r="E853">
        <v>1</v>
      </c>
      <c r="F853" t="s">
        <v>1897</v>
      </c>
      <c r="G853" t="str">
        <f t="shared" si="13"/>
        <v>SOUTH BROOKS</v>
      </c>
      <c r="H853" t="s">
        <v>1882</v>
      </c>
      <c r="I853">
        <v>0</v>
      </c>
      <c r="M853" t="s">
        <v>1883</v>
      </c>
      <c r="N853" t="s">
        <v>1884</v>
      </c>
      <c r="O853" t="s">
        <v>1885</v>
      </c>
      <c r="Q853" t="s">
        <v>1886</v>
      </c>
      <c r="R853" t="s">
        <v>1887</v>
      </c>
    </row>
    <row r="854" spans="1:18" x14ac:dyDescent="0.2">
      <c r="A854">
        <v>50.859721999999998</v>
      </c>
      <c r="B854">
        <v>-129.90083300000001</v>
      </c>
      <c r="C854" t="s">
        <v>1879</v>
      </c>
      <c r="D854" t="s">
        <v>1898</v>
      </c>
      <c r="E854">
        <v>1</v>
      </c>
      <c r="F854" t="s">
        <v>1899</v>
      </c>
      <c r="G854" t="str">
        <f t="shared" si="13"/>
        <v>EAST DELLWOOD</v>
      </c>
      <c r="H854" t="s">
        <v>1882</v>
      </c>
      <c r="I854">
        <v>0</v>
      </c>
      <c r="M854" t="s">
        <v>1883</v>
      </c>
      <c r="N854" t="s">
        <v>1884</v>
      </c>
      <c r="O854" t="s">
        <v>1885</v>
      </c>
      <c r="Q854" t="s">
        <v>1886</v>
      </c>
      <c r="R854" t="s">
        <v>1887</v>
      </c>
    </row>
    <row r="855" spans="1:18" x14ac:dyDescent="0.2">
      <c r="A855">
        <v>51.821389000000003</v>
      </c>
      <c r="B855">
        <v>-131.20138900000001</v>
      </c>
      <c r="C855" t="s">
        <v>1879</v>
      </c>
      <c r="D855" t="s">
        <v>1900</v>
      </c>
      <c r="E855">
        <v>1</v>
      </c>
      <c r="F855" t="s">
        <v>1901</v>
      </c>
      <c r="G855" t="str">
        <f t="shared" si="13"/>
        <v>SOUTH MORESBY</v>
      </c>
      <c r="H855" t="s">
        <v>1882</v>
      </c>
      <c r="I855">
        <v>0</v>
      </c>
      <c r="M855" t="s">
        <v>1883</v>
      </c>
      <c r="N855" t="s">
        <v>1884</v>
      </c>
      <c r="O855" t="s">
        <v>1885</v>
      </c>
      <c r="Q855" t="s">
        <v>1886</v>
      </c>
      <c r="R855" t="s">
        <v>1887</v>
      </c>
    </row>
    <row r="856" spans="1:18" x14ac:dyDescent="0.2">
      <c r="A856">
        <v>49.34</v>
      </c>
      <c r="B856">
        <v>-123.73</v>
      </c>
      <c r="C856" t="s">
        <v>1879</v>
      </c>
      <c r="D856" t="s">
        <v>1902</v>
      </c>
      <c r="E856">
        <v>1</v>
      </c>
      <c r="F856" t="s">
        <v>1903</v>
      </c>
      <c r="G856" t="str">
        <f t="shared" si="13"/>
        <v>HALIBUT BANK</v>
      </c>
      <c r="H856" t="s">
        <v>1882</v>
      </c>
      <c r="I856">
        <v>0</v>
      </c>
      <c r="M856" t="s">
        <v>1883</v>
      </c>
      <c r="N856" t="s">
        <v>1884</v>
      </c>
      <c r="O856" t="s">
        <v>1885</v>
      </c>
      <c r="Q856" t="s">
        <v>1886</v>
      </c>
      <c r="R856" t="s">
        <v>1887</v>
      </c>
    </row>
    <row r="857" spans="1:18" x14ac:dyDescent="0.2">
      <c r="A857">
        <v>48.835000000000001</v>
      </c>
      <c r="B857">
        <v>-125.984722</v>
      </c>
      <c r="C857" t="s">
        <v>1879</v>
      </c>
      <c r="D857" t="s">
        <v>1904</v>
      </c>
      <c r="E857">
        <v>1</v>
      </c>
      <c r="F857" t="s">
        <v>1905</v>
      </c>
      <c r="G857" t="str">
        <f t="shared" si="13"/>
        <v>LA PEROUSE BANK</v>
      </c>
      <c r="H857" t="s">
        <v>1882</v>
      </c>
      <c r="I857">
        <v>0</v>
      </c>
      <c r="M857" t="s">
        <v>1883</v>
      </c>
      <c r="N857" t="s">
        <v>1884</v>
      </c>
      <c r="O857" t="s">
        <v>1885</v>
      </c>
      <c r="Q857" t="s">
        <v>1886</v>
      </c>
      <c r="R857" t="s">
        <v>1887</v>
      </c>
    </row>
    <row r="858" spans="1:18" x14ac:dyDescent="0.2">
      <c r="A858">
        <v>48.353056000000002</v>
      </c>
      <c r="B858">
        <v>-133.921389</v>
      </c>
      <c r="C858" t="s">
        <v>1879</v>
      </c>
      <c r="D858" t="s">
        <v>1906</v>
      </c>
      <c r="E858">
        <v>1</v>
      </c>
      <c r="F858" t="s">
        <v>1907</v>
      </c>
      <c r="G858" t="str">
        <f t="shared" si="13"/>
        <v>SOUTH NOMAD</v>
      </c>
      <c r="H858" t="s">
        <v>1882</v>
      </c>
      <c r="I858">
        <v>0</v>
      </c>
      <c r="M858" t="s">
        <v>1883</v>
      </c>
      <c r="N858" t="s">
        <v>1884</v>
      </c>
      <c r="O858" t="s">
        <v>1885</v>
      </c>
      <c r="Q858" t="s">
        <v>1886</v>
      </c>
      <c r="R858" t="s">
        <v>1887</v>
      </c>
    </row>
    <row r="859" spans="1:18" x14ac:dyDescent="0.2">
      <c r="A859">
        <v>50.938056000000003</v>
      </c>
      <c r="B859">
        <v>-135.86500000000001</v>
      </c>
      <c r="C859" t="s">
        <v>1879</v>
      </c>
      <c r="D859" t="s">
        <v>1908</v>
      </c>
      <c r="E859">
        <v>1</v>
      </c>
      <c r="F859" t="s">
        <v>1909</v>
      </c>
      <c r="G859" t="str">
        <f t="shared" si="13"/>
        <v>MIDDLE NOMAD</v>
      </c>
      <c r="H859" t="s">
        <v>1882</v>
      </c>
      <c r="I859">
        <v>0</v>
      </c>
      <c r="M859" t="s">
        <v>1883</v>
      </c>
      <c r="N859" t="s">
        <v>1884</v>
      </c>
      <c r="O859" t="s">
        <v>1885</v>
      </c>
      <c r="Q859" t="s">
        <v>1886</v>
      </c>
      <c r="R859" t="s">
        <v>1887</v>
      </c>
    </row>
    <row r="860" spans="1:18" x14ac:dyDescent="0.2">
      <c r="A860">
        <v>53.899721999999997</v>
      </c>
      <c r="B860">
        <v>-138.86666700000001</v>
      </c>
      <c r="C860" t="s">
        <v>1879</v>
      </c>
      <c r="D860" t="s">
        <v>1910</v>
      </c>
      <c r="E860">
        <v>1</v>
      </c>
      <c r="F860" t="s">
        <v>1911</v>
      </c>
      <c r="G860" t="str">
        <f t="shared" si="13"/>
        <v>NORTH NOMAD</v>
      </c>
      <c r="H860" t="s">
        <v>1882</v>
      </c>
      <c r="I860">
        <v>0</v>
      </c>
      <c r="M860" t="s">
        <v>1883</v>
      </c>
      <c r="N860" t="s">
        <v>1884</v>
      </c>
      <c r="O860" t="s">
        <v>1885</v>
      </c>
      <c r="Q860" t="s">
        <v>1886</v>
      </c>
      <c r="R860" t="s">
        <v>1887</v>
      </c>
    </row>
    <row r="861" spans="1:18" x14ac:dyDescent="0.2">
      <c r="A861">
        <v>54.166389000000002</v>
      </c>
      <c r="B861">
        <v>-133.33333300000001</v>
      </c>
      <c r="C861" t="s">
        <v>1879</v>
      </c>
      <c r="D861" t="s">
        <v>1912</v>
      </c>
      <c r="E861">
        <v>1</v>
      </c>
      <c r="F861" t="s">
        <v>1913</v>
      </c>
      <c r="G861" t="str">
        <f t="shared" si="13"/>
        <v>WEST DIXON ENTRANCE</v>
      </c>
      <c r="H861" t="s">
        <v>1882</v>
      </c>
      <c r="I861">
        <v>0</v>
      </c>
      <c r="M861" t="s">
        <v>1883</v>
      </c>
      <c r="N861" t="s">
        <v>1884</v>
      </c>
      <c r="O861" t="s">
        <v>1885</v>
      </c>
      <c r="Q861" t="s">
        <v>1886</v>
      </c>
      <c r="R861" t="s">
        <v>1887</v>
      </c>
    </row>
    <row r="862" spans="1:18" x14ac:dyDescent="0.2">
      <c r="A862">
        <v>52.5</v>
      </c>
      <c r="B862">
        <v>-132.69972200000001</v>
      </c>
      <c r="C862" t="s">
        <v>1879</v>
      </c>
      <c r="D862" t="s">
        <v>1914</v>
      </c>
      <c r="E862">
        <v>1</v>
      </c>
      <c r="F862" t="s">
        <v>1915</v>
      </c>
      <c r="G862" t="str">
        <f t="shared" si="13"/>
        <v>WEST MORESBY</v>
      </c>
      <c r="H862" t="s">
        <v>1882</v>
      </c>
      <c r="I862">
        <v>0</v>
      </c>
      <c r="M862" t="s">
        <v>1883</v>
      </c>
      <c r="N862" t="s">
        <v>1884</v>
      </c>
      <c r="O862" t="s">
        <v>1885</v>
      </c>
      <c r="Q862" t="s">
        <v>1886</v>
      </c>
      <c r="R862" t="s">
        <v>1887</v>
      </c>
    </row>
    <row r="863" spans="1:18" x14ac:dyDescent="0.2">
      <c r="A863">
        <v>52.42</v>
      </c>
      <c r="B863">
        <v>-129.80000000000001</v>
      </c>
      <c r="C863" t="s">
        <v>1879</v>
      </c>
      <c r="D863" t="s">
        <v>1916</v>
      </c>
      <c r="E863">
        <v>1</v>
      </c>
      <c r="F863" t="s">
        <v>1917</v>
      </c>
      <c r="G863" t="str">
        <f t="shared" si="13"/>
        <v>SOUTH HECATE STRAIT</v>
      </c>
      <c r="H863" t="s">
        <v>1882</v>
      </c>
      <c r="I863">
        <v>0</v>
      </c>
      <c r="M863" t="s">
        <v>1883</v>
      </c>
      <c r="N863" t="s">
        <v>1884</v>
      </c>
      <c r="O863" t="s">
        <v>1885</v>
      </c>
      <c r="Q863" t="s">
        <v>1886</v>
      </c>
      <c r="R863" t="s">
        <v>1887</v>
      </c>
    </row>
    <row r="864" spans="1:18" x14ac:dyDescent="0.2">
      <c r="A864">
        <v>53.83</v>
      </c>
      <c r="B864">
        <v>-128.83000000000001</v>
      </c>
      <c r="C864" t="s">
        <v>1879</v>
      </c>
      <c r="D864" t="s">
        <v>1918</v>
      </c>
      <c r="E864">
        <v>1</v>
      </c>
      <c r="F864" t="s">
        <v>1919</v>
      </c>
      <c r="G864" t="str">
        <f t="shared" si="13"/>
        <v>NANAKWA SHOAL</v>
      </c>
      <c r="H864" t="s">
        <v>1882</v>
      </c>
      <c r="I864">
        <v>0</v>
      </c>
      <c r="M864" t="s">
        <v>1883</v>
      </c>
      <c r="N864" t="s">
        <v>1884</v>
      </c>
      <c r="O864" t="s">
        <v>1885</v>
      </c>
      <c r="Q864" t="s">
        <v>1886</v>
      </c>
      <c r="R864" t="s">
        <v>1887</v>
      </c>
    </row>
    <row r="865" spans="1:21" x14ac:dyDescent="0.2">
      <c r="A865">
        <v>48.934177779999999</v>
      </c>
      <c r="B865">
        <v>-123.74065</v>
      </c>
      <c r="C865" t="s">
        <v>41</v>
      </c>
      <c r="D865" t="s">
        <v>1920</v>
      </c>
      <c r="E865">
        <v>2</v>
      </c>
      <c r="F865" t="s">
        <v>1921</v>
      </c>
      <c r="G865" t="str">
        <f t="shared" si="13"/>
        <v>CHEMAINUS</v>
      </c>
      <c r="H865" t="s">
        <v>1922</v>
      </c>
      <c r="I865">
        <v>75</v>
      </c>
      <c r="K865" t="s">
        <v>1923</v>
      </c>
      <c r="L865" t="s">
        <v>1924</v>
      </c>
      <c r="M865" t="s">
        <v>1883</v>
      </c>
      <c r="N865" t="s">
        <v>1884</v>
      </c>
      <c r="O865" t="s">
        <v>1925</v>
      </c>
      <c r="R865" t="s">
        <v>1926</v>
      </c>
      <c r="T865" t="s">
        <v>1047</v>
      </c>
      <c r="U865" t="s">
        <v>39</v>
      </c>
    </row>
    <row r="866" spans="1:21" x14ac:dyDescent="0.2">
      <c r="A866">
        <v>48.829444440000003</v>
      </c>
      <c r="B866">
        <v>-124.0522222</v>
      </c>
      <c r="C866" t="s">
        <v>41</v>
      </c>
      <c r="D866" t="s">
        <v>1927</v>
      </c>
      <c r="E866">
        <v>4</v>
      </c>
      <c r="F866" t="s">
        <v>1928</v>
      </c>
      <c r="G866" t="str">
        <f t="shared" si="13"/>
        <v>LAKE COWICHAN</v>
      </c>
      <c r="H866" t="s">
        <v>1922</v>
      </c>
      <c r="I866">
        <v>171</v>
      </c>
      <c r="K866" t="s">
        <v>1923</v>
      </c>
      <c r="L866" t="s">
        <v>1929</v>
      </c>
      <c r="M866" t="s">
        <v>1883</v>
      </c>
      <c r="N866" t="s">
        <v>1884</v>
      </c>
      <c r="O866" t="s">
        <v>1925</v>
      </c>
      <c r="R866" t="s">
        <v>1926</v>
      </c>
      <c r="T866" t="s">
        <v>1047</v>
      </c>
      <c r="U866" t="s">
        <v>39</v>
      </c>
    </row>
    <row r="867" spans="1:21" x14ac:dyDescent="0.2">
      <c r="A867">
        <v>48.374444439999998</v>
      </c>
      <c r="B867">
        <v>-123.5608333</v>
      </c>
      <c r="C867" t="s">
        <v>41</v>
      </c>
      <c r="D867" t="s">
        <v>1930</v>
      </c>
      <c r="E867">
        <v>3</v>
      </c>
      <c r="F867" t="s">
        <v>1931</v>
      </c>
      <c r="G867" t="str">
        <f t="shared" si="13"/>
        <v>METCHOSIN</v>
      </c>
      <c r="H867" t="s">
        <v>1922</v>
      </c>
      <c r="I867">
        <v>140</v>
      </c>
      <c r="K867" t="s">
        <v>1923</v>
      </c>
      <c r="L867" t="s">
        <v>1932</v>
      </c>
      <c r="M867" t="s">
        <v>1883</v>
      </c>
      <c r="N867" t="s">
        <v>1884</v>
      </c>
      <c r="O867" t="s">
        <v>1925</v>
      </c>
      <c r="R867" t="s">
        <v>1926</v>
      </c>
      <c r="T867" t="s">
        <v>1047</v>
      </c>
      <c r="U867" t="s">
        <v>39</v>
      </c>
    </row>
    <row r="868" spans="1:21" x14ac:dyDescent="0.2">
      <c r="A868">
        <v>48.824722219999998</v>
      </c>
      <c r="B868">
        <v>-123.71972220000001</v>
      </c>
      <c r="C868" t="s">
        <v>41</v>
      </c>
      <c r="D868" t="s">
        <v>1933</v>
      </c>
      <c r="E868">
        <v>2</v>
      </c>
      <c r="F868" t="s">
        <v>1934</v>
      </c>
      <c r="G868" t="str">
        <f t="shared" si="13"/>
        <v>NORTH COWICHAN</v>
      </c>
      <c r="H868" t="s">
        <v>1922</v>
      </c>
      <c r="I868">
        <v>45.7</v>
      </c>
      <c r="K868" t="s">
        <v>1935</v>
      </c>
      <c r="L868" t="s">
        <v>1936</v>
      </c>
      <c r="M868" t="s">
        <v>1883</v>
      </c>
      <c r="N868" t="s">
        <v>1884</v>
      </c>
      <c r="O868" t="s">
        <v>1925</v>
      </c>
      <c r="R868" t="s">
        <v>1926</v>
      </c>
      <c r="T868" t="s">
        <v>1047</v>
      </c>
      <c r="U868" t="s">
        <v>39</v>
      </c>
    </row>
    <row r="869" spans="1:21" x14ac:dyDescent="0.2">
      <c r="A869">
        <v>48.8125</v>
      </c>
      <c r="B869">
        <v>-123.3166667</v>
      </c>
      <c r="C869" t="s">
        <v>41</v>
      </c>
      <c r="D869" t="s">
        <v>1937</v>
      </c>
      <c r="E869">
        <v>1</v>
      </c>
      <c r="F869" t="s">
        <v>1938</v>
      </c>
      <c r="G869" t="str">
        <f t="shared" si="13"/>
        <v>NORTH PENDER ISLAND</v>
      </c>
      <c r="H869" t="s">
        <v>1922</v>
      </c>
      <c r="I869">
        <v>15</v>
      </c>
      <c r="K869" t="s">
        <v>1923</v>
      </c>
      <c r="L869" t="s">
        <v>1939</v>
      </c>
      <c r="M869" t="s">
        <v>1883</v>
      </c>
      <c r="N869" t="s">
        <v>1884</v>
      </c>
      <c r="O869" t="s">
        <v>1925</v>
      </c>
      <c r="R869" t="s">
        <v>1926</v>
      </c>
      <c r="T869" t="s">
        <v>1047</v>
      </c>
      <c r="U869" t="s">
        <v>39</v>
      </c>
    </row>
    <row r="870" spans="1:21" x14ac:dyDescent="0.2">
      <c r="A870">
        <v>48.647222220000003</v>
      </c>
      <c r="B870">
        <v>-123.6266667</v>
      </c>
      <c r="C870" t="s">
        <v>41</v>
      </c>
      <c r="D870" t="s">
        <v>1940</v>
      </c>
      <c r="E870">
        <v>3</v>
      </c>
      <c r="F870" t="s">
        <v>1941</v>
      </c>
      <c r="G870" t="str">
        <f t="shared" si="13"/>
        <v>SHAWNIGAN LAKE</v>
      </c>
      <c r="H870" t="s">
        <v>1922</v>
      </c>
      <c r="I870">
        <v>138</v>
      </c>
      <c r="K870" t="s">
        <v>1923</v>
      </c>
      <c r="L870" t="s">
        <v>1942</v>
      </c>
      <c r="M870" t="s">
        <v>1883</v>
      </c>
      <c r="N870" t="s">
        <v>1884</v>
      </c>
      <c r="O870" t="s">
        <v>1925</v>
      </c>
      <c r="R870" t="s">
        <v>1926</v>
      </c>
      <c r="T870" t="s">
        <v>1047</v>
      </c>
      <c r="U870" t="s">
        <v>39</v>
      </c>
    </row>
    <row r="871" spans="1:21" x14ac:dyDescent="0.2">
      <c r="A871">
        <v>50.333333330000002</v>
      </c>
      <c r="B871">
        <v>-125.4333333</v>
      </c>
      <c r="C871" t="s">
        <v>204</v>
      </c>
      <c r="D871" t="s">
        <v>1943</v>
      </c>
      <c r="E871">
        <v>1</v>
      </c>
      <c r="F871" t="s">
        <v>1944</v>
      </c>
      <c r="G871" t="str">
        <f t="shared" si="13"/>
        <v>CHATHAM POINT</v>
      </c>
      <c r="H871" t="s">
        <v>1922</v>
      </c>
      <c r="I871">
        <v>22.9</v>
      </c>
      <c r="K871" t="s">
        <v>1945</v>
      </c>
      <c r="L871" t="s">
        <v>1946</v>
      </c>
      <c r="M871" t="s">
        <v>1883</v>
      </c>
      <c r="N871" t="s">
        <v>1884</v>
      </c>
      <c r="O871" t="s">
        <v>1925</v>
      </c>
      <c r="R871" t="s">
        <v>1926</v>
      </c>
      <c r="T871" t="s">
        <v>1047</v>
      </c>
      <c r="U871" t="s">
        <v>39</v>
      </c>
    </row>
    <row r="872" spans="1:21" x14ac:dyDescent="0.2">
      <c r="A872">
        <v>49.393611110000002</v>
      </c>
      <c r="B872">
        <v>-124.6172222</v>
      </c>
      <c r="C872" t="s">
        <v>41</v>
      </c>
      <c r="D872" t="s">
        <v>1947</v>
      </c>
      <c r="E872">
        <v>1</v>
      </c>
      <c r="F872" t="s">
        <v>1948</v>
      </c>
      <c r="G872" t="str">
        <f t="shared" si="13"/>
        <v>QUALICUM R FISH RESEARCH</v>
      </c>
      <c r="H872" t="s">
        <v>1922</v>
      </c>
      <c r="I872">
        <v>7.6</v>
      </c>
      <c r="K872" t="s">
        <v>1923</v>
      </c>
      <c r="L872" t="s">
        <v>1949</v>
      </c>
      <c r="M872" t="s">
        <v>1883</v>
      </c>
      <c r="N872" t="s">
        <v>1884</v>
      </c>
      <c r="O872" t="s">
        <v>1925</v>
      </c>
      <c r="R872" t="s">
        <v>1926</v>
      </c>
      <c r="T872" t="s">
        <v>1047</v>
      </c>
      <c r="U872" t="s">
        <v>39</v>
      </c>
    </row>
    <row r="873" spans="1:21" x14ac:dyDescent="0.2">
      <c r="A873">
        <v>50.016111109999997</v>
      </c>
      <c r="B873">
        <v>-125.3038889</v>
      </c>
      <c r="C873" t="s">
        <v>41</v>
      </c>
      <c r="D873" t="s">
        <v>1950</v>
      </c>
      <c r="E873">
        <v>2</v>
      </c>
      <c r="F873" t="s">
        <v>1951</v>
      </c>
      <c r="G873" t="str">
        <f t="shared" si="13"/>
        <v>QUINSAM RIVER HATCHERY</v>
      </c>
      <c r="H873" t="s">
        <v>1922</v>
      </c>
      <c r="I873">
        <v>45.7</v>
      </c>
      <c r="K873" t="s">
        <v>1923</v>
      </c>
      <c r="L873" t="s">
        <v>1952</v>
      </c>
      <c r="M873" t="s">
        <v>1883</v>
      </c>
      <c r="N873" t="s">
        <v>1884</v>
      </c>
      <c r="O873" t="s">
        <v>1925</v>
      </c>
      <c r="R873" t="s">
        <v>1926</v>
      </c>
      <c r="T873" t="s">
        <v>1047</v>
      </c>
      <c r="U873" t="s">
        <v>39</v>
      </c>
    </row>
    <row r="874" spans="1:21" x14ac:dyDescent="0.2">
      <c r="A874">
        <v>49.337224999999997</v>
      </c>
      <c r="B874">
        <v>-124.9822389</v>
      </c>
      <c r="C874" t="s">
        <v>41</v>
      </c>
      <c r="D874" t="s">
        <v>1953</v>
      </c>
      <c r="E874">
        <v>2</v>
      </c>
      <c r="F874" t="s">
        <v>1954</v>
      </c>
      <c r="G874" t="str">
        <f t="shared" si="13"/>
        <v>ALBERNI ROBERTSON CREEK</v>
      </c>
      <c r="H874" t="s">
        <v>1922</v>
      </c>
      <c r="I874">
        <v>73</v>
      </c>
      <c r="K874" t="s">
        <v>1955</v>
      </c>
      <c r="L874" t="s">
        <v>1956</v>
      </c>
      <c r="M874" t="s">
        <v>1883</v>
      </c>
      <c r="N874" t="s">
        <v>1884</v>
      </c>
      <c r="O874" t="s">
        <v>1925</v>
      </c>
      <c r="R874" t="s">
        <v>1926</v>
      </c>
      <c r="T874" t="s">
        <v>1047</v>
      </c>
      <c r="U874" t="s">
        <v>39</v>
      </c>
    </row>
    <row r="875" spans="1:21" x14ac:dyDescent="0.2">
      <c r="A875">
        <v>48.78611111</v>
      </c>
      <c r="B875">
        <v>-125.21611110000001</v>
      </c>
      <c r="C875" t="s">
        <v>204</v>
      </c>
      <c r="D875" t="s">
        <v>1957</v>
      </c>
      <c r="E875">
        <v>1</v>
      </c>
      <c r="F875" t="s">
        <v>1958</v>
      </c>
      <c r="G875" t="str">
        <f t="shared" si="13"/>
        <v>CAPE BEALE LIGHT</v>
      </c>
      <c r="H875" t="s">
        <v>1922</v>
      </c>
      <c r="I875">
        <v>25.9</v>
      </c>
      <c r="K875" t="s">
        <v>1945</v>
      </c>
      <c r="L875" t="s">
        <v>1959</v>
      </c>
      <c r="M875" t="s">
        <v>1883</v>
      </c>
      <c r="N875" t="s">
        <v>1884</v>
      </c>
      <c r="O875" t="s">
        <v>1925</v>
      </c>
      <c r="R875" t="s">
        <v>1926</v>
      </c>
      <c r="T875" t="s">
        <v>1047</v>
      </c>
      <c r="U875" t="s">
        <v>39</v>
      </c>
    </row>
    <row r="876" spans="1:21" x14ac:dyDescent="0.2">
      <c r="A876">
        <v>49.383499999999998</v>
      </c>
      <c r="B876">
        <v>-126.55083329999999</v>
      </c>
      <c r="C876" t="s">
        <v>204</v>
      </c>
      <c r="D876" t="s">
        <v>1960</v>
      </c>
      <c r="E876">
        <v>1</v>
      </c>
      <c r="F876" t="s">
        <v>1961</v>
      </c>
      <c r="G876" t="str">
        <f t="shared" si="13"/>
        <v>ESTEVAN POINT</v>
      </c>
      <c r="H876" t="s">
        <v>1922</v>
      </c>
      <c r="I876">
        <v>5.8</v>
      </c>
      <c r="K876" t="s">
        <v>1945</v>
      </c>
      <c r="L876" t="s">
        <v>1962</v>
      </c>
      <c r="M876" t="s">
        <v>1883</v>
      </c>
      <c r="N876" t="s">
        <v>1884</v>
      </c>
      <c r="O876" t="s">
        <v>1925</v>
      </c>
      <c r="R876" t="s">
        <v>1926</v>
      </c>
      <c r="T876" t="s">
        <v>1047</v>
      </c>
      <c r="U876" t="s">
        <v>39</v>
      </c>
    </row>
    <row r="877" spans="1:21" x14ac:dyDescent="0.2">
      <c r="A877">
        <v>49.110555560000002</v>
      </c>
      <c r="B877">
        <v>-125.9233333</v>
      </c>
      <c r="C877" t="s">
        <v>204</v>
      </c>
      <c r="D877" t="s">
        <v>1963</v>
      </c>
      <c r="E877">
        <v>1</v>
      </c>
      <c r="F877" t="s">
        <v>1964</v>
      </c>
      <c r="G877" t="str">
        <f t="shared" si="13"/>
        <v>LENNARD ISLAND</v>
      </c>
      <c r="H877" t="s">
        <v>1922</v>
      </c>
      <c r="I877">
        <v>10.6</v>
      </c>
      <c r="K877" t="s">
        <v>1945</v>
      </c>
      <c r="L877" t="s">
        <v>1965</v>
      </c>
      <c r="M877" t="s">
        <v>1883</v>
      </c>
      <c r="N877" t="s">
        <v>1884</v>
      </c>
      <c r="O877" t="s">
        <v>1925</v>
      </c>
      <c r="R877" t="s">
        <v>1926</v>
      </c>
      <c r="T877" t="s">
        <v>1047</v>
      </c>
      <c r="U877" t="s">
        <v>39</v>
      </c>
    </row>
    <row r="878" spans="1:21" x14ac:dyDescent="0.2">
      <c r="A878">
        <v>48.859444439999997</v>
      </c>
      <c r="B878">
        <v>-124.65527779999999</v>
      </c>
      <c r="C878" t="s">
        <v>204</v>
      </c>
      <c r="D878" t="s">
        <v>1966</v>
      </c>
      <c r="E878">
        <v>1</v>
      </c>
      <c r="F878" t="s">
        <v>1967</v>
      </c>
      <c r="G878" t="str">
        <f t="shared" si="13"/>
        <v>NITINAT RIVER HATCHERY</v>
      </c>
      <c r="H878" t="s">
        <v>1922</v>
      </c>
      <c r="I878">
        <v>14</v>
      </c>
      <c r="K878" t="s">
        <v>1923</v>
      </c>
      <c r="L878" t="s">
        <v>1936</v>
      </c>
      <c r="M878" t="s">
        <v>1883</v>
      </c>
      <c r="N878" t="s">
        <v>1884</v>
      </c>
      <c r="O878" t="s">
        <v>1925</v>
      </c>
      <c r="R878" t="s">
        <v>1926</v>
      </c>
      <c r="T878" t="s">
        <v>1047</v>
      </c>
      <c r="U878" t="s">
        <v>39</v>
      </c>
    </row>
    <row r="879" spans="1:21" x14ac:dyDescent="0.2">
      <c r="A879">
        <v>49.6</v>
      </c>
      <c r="B879">
        <v>-126.6166667</v>
      </c>
      <c r="C879" t="s">
        <v>204</v>
      </c>
      <c r="D879" t="s">
        <v>1968</v>
      </c>
      <c r="E879">
        <v>1</v>
      </c>
      <c r="F879" t="s">
        <v>1969</v>
      </c>
      <c r="G879" t="str">
        <f t="shared" si="13"/>
        <v>NOOTKA LIGHTSTATION</v>
      </c>
      <c r="H879" t="s">
        <v>1922</v>
      </c>
      <c r="I879">
        <v>15</v>
      </c>
      <c r="K879" t="s">
        <v>1945</v>
      </c>
      <c r="L879" t="s">
        <v>1970</v>
      </c>
      <c r="M879" t="s">
        <v>1883</v>
      </c>
      <c r="N879" t="s">
        <v>1884</v>
      </c>
      <c r="O879" t="s">
        <v>1925</v>
      </c>
      <c r="R879" t="s">
        <v>1926</v>
      </c>
      <c r="T879" t="s">
        <v>1047</v>
      </c>
      <c r="U879" t="s">
        <v>39</v>
      </c>
    </row>
    <row r="880" spans="1:21" x14ac:dyDescent="0.2">
      <c r="A880">
        <v>48.722777780000001</v>
      </c>
      <c r="B880">
        <v>-125.0972222</v>
      </c>
      <c r="C880" t="s">
        <v>204</v>
      </c>
      <c r="D880" t="s">
        <v>1971</v>
      </c>
      <c r="E880">
        <v>1</v>
      </c>
      <c r="F880" t="s">
        <v>1972</v>
      </c>
      <c r="G880" t="str">
        <f t="shared" si="13"/>
        <v>PACHENA POINT</v>
      </c>
      <c r="H880" t="s">
        <v>1922</v>
      </c>
      <c r="I880">
        <v>37</v>
      </c>
      <c r="K880" t="s">
        <v>1945</v>
      </c>
      <c r="L880" t="s">
        <v>1973</v>
      </c>
      <c r="M880" t="s">
        <v>1883</v>
      </c>
      <c r="N880" t="s">
        <v>1884</v>
      </c>
      <c r="O880" t="s">
        <v>1925</v>
      </c>
      <c r="R880" t="s">
        <v>1926</v>
      </c>
      <c r="T880" t="s">
        <v>1047</v>
      </c>
      <c r="U880" t="s">
        <v>39</v>
      </c>
    </row>
    <row r="881" spans="1:21" x14ac:dyDescent="0.2">
      <c r="A881">
        <v>50.441125</v>
      </c>
      <c r="B881">
        <v>-128.0325</v>
      </c>
      <c r="C881" t="s">
        <v>204</v>
      </c>
      <c r="D881" t="s">
        <v>1974</v>
      </c>
      <c r="E881">
        <v>1</v>
      </c>
      <c r="F881" t="s">
        <v>1975</v>
      </c>
      <c r="G881" t="str">
        <f t="shared" si="13"/>
        <v>QUATSINO LIGHTSTATION</v>
      </c>
      <c r="H881" t="s">
        <v>1922</v>
      </c>
      <c r="I881">
        <v>21</v>
      </c>
      <c r="K881" t="s">
        <v>1945</v>
      </c>
      <c r="L881" t="s">
        <v>1970</v>
      </c>
      <c r="M881" t="s">
        <v>1883</v>
      </c>
      <c r="N881" t="s">
        <v>1884</v>
      </c>
      <c r="O881" t="s">
        <v>1925</v>
      </c>
      <c r="R881" t="s">
        <v>1926</v>
      </c>
      <c r="T881" t="s">
        <v>1047</v>
      </c>
      <c r="U881" t="s">
        <v>39</v>
      </c>
    </row>
    <row r="882" spans="1:21" x14ac:dyDescent="0.2">
      <c r="A882">
        <v>48.945278000000002</v>
      </c>
      <c r="B882">
        <v>-125.52722199999999</v>
      </c>
      <c r="C882" t="s">
        <v>204</v>
      </c>
      <c r="D882" t="s">
        <v>1976</v>
      </c>
      <c r="E882">
        <v>1</v>
      </c>
      <c r="F882" t="s">
        <v>1977</v>
      </c>
      <c r="G882" t="str">
        <f t="shared" si="13"/>
        <v>UCLUELET KENNEDY CAMP</v>
      </c>
      <c r="H882" t="s">
        <v>1922</v>
      </c>
      <c r="I882">
        <v>30</v>
      </c>
      <c r="K882" t="s">
        <v>1923</v>
      </c>
      <c r="L882" t="s">
        <v>1978</v>
      </c>
      <c r="M882" t="s">
        <v>1883</v>
      </c>
      <c r="N882" t="s">
        <v>1884</v>
      </c>
      <c r="O882" t="s">
        <v>1925</v>
      </c>
      <c r="R882" t="s">
        <v>1926</v>
      </c>
      <c r="T882" t="s">
        <v>1047</v>
      </c>
      <c r="U882" t="s">
        <v>39</v>
      </c>
    </row>
    <row r="883" spans="1:21" x14ac:dyDescent="0.2">
      <c r="A883">
        <v>50.052778000000004</v>
      </c>
      <c r="B883">
        <v>-126.778611</v>
      </c>
      <c r="C883" t="s">
        <v>204</v>
      </c>
      <c r="D883" t="s">
        <v>1979</v>
      </c>
      <c r="E883">
        <v>1</v>
      </c>
      <c r="F883" t="s">
        <v>1980</v>
      </c>
      <c r="G883" t="str">
        <f t="shared" si="13"/>
        <v>ZEBALLOS MURAUDE CREEK</v>
      </c>
      <c r="H883" t="s">
        <v>1922</v>
      </c>
      <c r="I883">
        <v>103</v>
      </c>
      <c r="K883" t="s">
        <v>1923</v>
      </c>
      <c r="L883" t="s">
        <v>1981</v>
      </c>
      <c r="M883" t="s">
        <v>1883</v>
      </c>
      <c r="N883" t="s">
        <v>1884</v>
      </c>
      <c r="O883" t="s">
        <v>1925</v>
      </c>
      <c r="R883" t="s">
        <v>1926</v>
      </c>
      <c r="T883" t="s">
        <v>1047</v>
      </c>
      <c r="U883" t="s">
        <v>39</v>
      </c>
    </row>
    <row r="884" spans="1:21" x14ac:dyDescent="0.2">
      <c r="A884">
        <v>49.385833329999997</v>
      </c>
      <c r="B884">
        <v>-123.5413889</v>
      </c>
      <c r="C884" t="s">
        <v>41</v>
      </c>
      <c r="D884" t="s">
        <v>1982</v>
      </c>
      <c r="E884">
        <v>1</v>
      </c>
      <c r="F884" t="s">
        <v>1983</v>
      </c>
      <c r="G884" t="str">
        <f t="shared" si="13"/>
        <v>GIBSONS GOWER POINT</v>
      </c>
      <c r="H884" t="s">
        <v>1922</v>
      </c>
      <c r="I884">
        <v>34</v>
      </c>
      <c r="K884" t="s">
        <v>1984</v>
      </c>
      <c r="L884" t="s">
        <v>1956</v>
      </c>
      <c r="M884" t="s">
        <v>1883</v>
      </c>
      <c r="N884" t="s">
        <v>1884</v>
      </c>
      <c r="O884" t="s">
        <v>1925</v>
      </c>
      <c r="R884" t="s">
        <v>1926</v>
      </c>
      <c r="T884" t="s">
        <v>1047</v>
      </c>
      <c r="U884" t="s">
        <v>39</v>
      </c>
    </row>
    <row r="885" spans="1:21" x14ac:dyDescent="0.2">
      <c r="A885">
        <v>49.467500000000001</v>
      </c>
      <c r="B885">
        <v>-123.91249999999999</v>
      </c>
      <c r="C885" t="s">
        <v>41</v>
      </c>
      <c r="D885" t="s">
        <v>1985</v>
      </c>
      <c r="E885">
        <v>1</v>
      </c>
      <c r="F885" t="s">
        <v>1986</v>
      </c>
      <c r="G885" t="str">
        <f t="shared" si="13"/>
        <v>MERRY ISLAND LIGHTSTATION</v>
      </c>
      <c r="H885" t="s">
        <v>1922</v>
      </c>
      <c r="I885">
        <v>6</v>
      </c>
      <c r="K885" t="s">
        <v>1945</v>
      </c>
      <c r="L885" t="s">
        <v>1987</v>
      </c>
      <c r="M885" t="s">
        <v>1883</v>
      </c>
      <c r="N885" t="s">
        <v>1884</v>
      </c>
      <c r="O885" t="s">
        <v>1925</v>
      </c>
      <c r="R885" t="s">
        <v>1926</v>
      </c>
      <c r="T885" t="s">
        <v>1047</v>
      </c>
      <c r="U885" t="s">
        <v>39</v>
      </c>
    </row>
    <row r="886" spans="1:21" x14ac:dyDescent="0.2">
      <c r="A886">
        <v>49.634444440000003</v>
      </c>
      <c r="B886">
        <v>-124.03222220000001</v>
      </c>
      <c r="C886" t="s">
        <v>41</v>
      </c>
      <c r="D886" t="s">
        <v>1988</v>
      </c>
      <c r="E886">
        <v>2</v>
      </c>
      <c r="F886" t="s">
        <v>1989</v>
      </c>
      <c r="G886" t="str">
        <f t="shared" si="13"/>
        <v>PENDER HARBOUR</v>
      </c>
      <c r="H886" t="s">
        <v>1922</v>
      </c>
      <c r="I886">
        <v>64</v>
      </c>
      <c r="K886" t="s">
        <v>1923</v>
      </c>
      <c r="L886" t="s">
        <v>1990</v>
      </c>
      <c r="M886" t="s">
        <v>1883</v>
      </c>
      <c r="N886" t="s">
        <v>1884</v>
      </c>
      <c r="O886" t="s">
        <v>1925</v>
      </c>
      <c r="R886" t="s">
        <v>1926</v>
      </c>
      <c r="T886" t="s">
        <v>1047</v>
      </c>
      <c r="U886" t="s">
        <v>39</v>
      </c>
    </row>
    <row r="887" spans="1:21" x14ac:dyDescent="0.2">
      <c r="A887">
        <v>54.25527778</v>
      </c>
      <c r="B887">
        <v>-133.0580578</v>
      </c>
      <c r="C887" t="s">
        <v>204</v>
      </c>
      <c r="D887" t="s">
        <v>1991</v>
      </c>
      <c r="E887">
        <v>1</v>
      </c>
      <c r="F887" t="s">
        <v>1992</v>
      </c>
      <c r="G887" t="str">
        <f t="shared" si="13"/>
        <v>LANGARA</v>
      </c>
      <c r="H887" t="s">
        <v>1922</v>
      </c>
      <c r="I887">
        <v>42.69</v>
      </c>
      <c r="K887" t="s">
        <v>1945</v>
      </c>
      <c r="L887" t="s">
        <v>1993</v>
      </c>
      <c r="M887" t="s">
        <v>1883</v>
      </c>
      <c r="N887" t="s">
        <v>1884</v>
      </c>
      <c r="O887" t="s">
        <v>1925</v>
      </c>
      <c r="R887" t="s">
        <v>1926</v>
      </c>
      <c r="T887" t="s">
        <v>1047</v>
      </c>
      <c r="U887" t="s">
        <v>39</v>
      </c>
    </row>
    <row r="888" spans="1:21" x14ac:dyDescent="0.2">
      <c r="A888">
        <v>51.60352778</v>
      </c>
      <c r="B888">
        <v>-127.86386109999999</v>
      </c>
      <c r="C888" t="s">
        <v>204</v>
      </c>
      <c r="D888" t="s">
        <v>1994</v>
      </c>
      <c r="E888">
        <v>1</v>
      </c>
      <c r="F888" t="s">
        <v>1995</v>
      </c>
      <c r="G888" t="str">
        <f t="shared" si="13"/>
        <v>ADDENBROKE ISLAND</v>
      </c>
      <c r="H888" t="s">
        <v>1922</v>
      </c>
      <c r="I888">
        <v>21</v>
      </c>
      <c r="K888" t="s">
        <v>1945</v>
      </c>
      <c r="L888" t="s">
        <v>1970</v>
      </c>
      <c r="M888" t="s">
        <v>1883</v>
      </c>
      <c r="N888" t="s">
        <v>1884</v>
      </c>
      <c r="O888" t="s">
        <v>1925</v>
      </c>
      <c r="R888" t="s">
        <v>1926</v>
      </c>
      <c r="T888" t="s">
        <v>1047</v>
      </c>
      <c r="U888" t="s">
        <v>39</v>
      </c>
    </row>
    <row r="889" spans="1:21" x14ac:dyDescent="0.2">
      <c r="A889">
        <v>52.643055560000001</v>
      </c>
      <c r="B889">
        <v>-128.52416669999999</v>
      </c>
      <c r="C889" t="s">
        <v>204</v>
      </c>
      <c r="D889" t="s">
        <v>1996</v>
      </c>
      <c r="E889">
        <v>1</v>
      </c>
      <c r="F889" t="s">
        <v>1997</v>
      </c>
      <c r="G889" t="str">
        <f t="shared" si="13"/>
        <v>BOAT BLUFF</v>
      </c>
      <c r="H889" t="s">
        <v>1922</v>
      </c>
      <c r="I889">
        <v>10</v>
      </c>
      <c r="K889" t="s">
        <v>1945</v>
      </c>
      <c r="L889" t="s">
        <v>1998</v>
      </c>
      <c r="M889" t="s">
        <v>1883</v>
      </c>
      <c r="N889" t="s">
        <v>1884</v>
      </c>
      <c r="O889" t="s">
        <v>1925</v>
      </c>
      <c r="R889" t="s">
        <v>1926</v>
      </c>
      <c r="T889" t="s">
        <v>1047</v>
      </c>
      <c r="U889" t="s">
        <v>39</v>
      </c>
    </row>
    <row r="890" spans="1:21" x14ac:dyDescent="0.2">
      <c r="A890">
        <v>53.492777779999997</v>
      </c>
      <c r="B890">
        <v>-130.63777780000001</v>
      </c>
      <c r="C890" t="s">
        <v>204</v>
      </c>
      <c r="D890" t="s">
        <v>1999</v>
      </c>
      <c r="E890">
        <v>1</v>
      </c>
      <c r="F890" t="s">
        <v>2000</v>
      </c>
      <c r="G890" t="str">
        <f t="shared" si="13"/>
        <v>BONILLA ISLAND</v>
      </c>
      <c r="H890" t="s">
        <v>1922</v>
      </c>
      <c r="I890">
        <v>16</v>
      </c>
      <c r="K890" t="s">
        <v>1945</v>
      </c>
      <c r="L890" t="s">
        <v>1929</v>
      </c>
      <c r="M890" t="s">
        <v>1883</v>
      </c>
      <c r="N890" t="s">
        <v>1884</v>
      </c>
      <c r="O890" t="s">
        <v>1925</v>
      </c>
      <c r="R890" t="s">
        <v>1926</v>
      </c>
      <c r="T890" t="s">
        <v>1047</v>
      </c>
      <c r="U890" t="s">
        <v>39</v>
      </c>
    </row>
    <row r="891" spans="1:21" x14ac:dyDescent="0.2">
      <c r="A891">
        <v>52.185000000000002</v>
      </c>
      <c r="B891">
        <v>-127.8878</v>
      </c>
      <c r="C891" t="s">
        <v>204</v>
      </c>
      <c r="D891" t="s">
        <v>2001</v>
      </c>
      <c r="E891">
        <v>1</v>
      </c>
      <c r="F891" t="s">
        <v>2002</v>
      </c>
      <c r="G891" t="str">
        <f t="shared" si="13"/>
        <v>DRYAD POINT</v>
      </c>
      <c r="H891" t="s">
        <v>1922</v>
      </c>
      <c r="I891">
        <v>3.5</v>
      </c>
      <c r="K891" t="s">
        <v>1945</v>
      </c>
      <c r="L891" t="s">
        <v>2003</v>
      </c>
      <c r="M891" t="s">
        <v>1883</v>
      </c>
      <c r="N891" t="s">
        <v>1884</v>
      </c>
      <c r="O891" t="s">
        <v>1925</v>
      </c>
      <c r="R891" t="s">
        <v>1926</v>
      </c>
      <c r="T891" t="s">
        <v>1047</v>
      </c>
      <c r="U891" t="s">
        <v>39</v>
      </c>
    </row>
    <row r="892" spans="1:21" x14ac:dyDescent="0.2">
      <c r="A892">
        <v>51.247222219999998</v>
      </c>
      <c r="B892">
        <v>-127.8353611</v>
      </c>
      <c r="C892" t="s">
        <v>204</v>
      </c>
      <c r="D892" t="s">
        <v>2004</v>
      </c>
      <c r="E892">
        <v>1</v>
      </c>
      <c r="F892" t="s">
        <v>2005</v>
      </c>
      <c r="G892" t="str">
        <f t="shared" si="13"/>
        <v>EGG ISLAND</v>
      </c>
      <c r="H892" t="s">
        <v>1922</v>
      </c>
      <c r="I892">
        <v>14</v>
      </c>
      <c r="K892" t="s">
        <v>1945</v>
      </c>
      <c r="L892" t="s">
        <v>2006</v>
      </c>
      <c r="M892" t="s">
        <v>1883</v>
      </c>
      <c r="N892" t="s">
        <v>1884</v>
      </c>
      <c r="O892" t="s">
        <v>1925</v>
      </c>
      <c r="R892" t="s">
        <v>1926</v>
      </c>
      <c r="T892" t="s">
        <v>1047</v>
      </c>
      <c r="U892" t="s">
        <v>39</v>
      </c>
    </row>
    <row r="893" spans="1:21" x14ac:dyDescent="0.2">
      <c r="A893">
        <v>52.269733330000001</v>
      </c>
      <c r="B893">
        <v>-128.40667500000001</v>
      </c>
      <c r="C893" t="s">
        <v>204</v>
      </c>
      <c r="D893" t="s">
        <v>2007</v>
      </c>
      <c r="E893">
        <v>1</v>
      </c>
      <c r="F893" t="s">
        <v>2008</v>
      </c>
      <c r="G893" t="str">
        <f t="shared" si="13"/>
        <v>IVORY ISLAND</v>
      </c>
      <c r="H893" t="s">
        <v>1922</v>
      </c>
      <c r="I893">
        <v>9</v>
      </c>
      <c r="K893" t="s">
        <v>1945</v>
      </c>
      <c r="L893" t="s">
        <v>2009</v>
      </c>
      <c r="M893" t="s">
        <v>1883</v>
      </c>
      <c r="N893" t="s">
        <v>1884</v>
      </c>
      <c r="O893" t="s">
        <v>1925</v>
      </c>
      <c r="R893" t="s">
        <v>1926</v>
      </c>
      <c r="T893" t="s">
        <v>1047</v>
      </c>
      <c r="U893" t="s">
        <v>39</v>
      </c>
    </row>
    <row r="894" spans="1:21" x14ac:dyDescent="0.2">
      <c r="A894">
        <v>53.563333329999999</v>
      </c>
      <c r="B894">
        <v>-127.94305559999999</v>
      </c>
      <c r="C894" t="s">
        <v>204</v>
      </c>
      <c r="D894" t="s">
        <v>2010</v>
      </c>
      <c r="E894">
        <v>1</v>
      </c>
      <c r="F894" t="s">
        <v>2011</v>
      </c>
      <c r="G894" t="str">
        <f t="shared" si="13"/>
        <v>KEMANO</v>
      </c>
      <c r="H894" t="s">
        <v>1922</v>
      </c>
      <c r="I894">
        <v>87</v>
      </c>
      <c r="K894" t="s">
        <v>1984</v>
      </c>
      <c r="L894" t="s">
        <v>2012</v>
      </c>
      <c r="M894" t="s">
        <v>1883</v>
      </c>
      <c r="N894" t="s">
        <v>1884</v>
      </c>
      <c r="O894" t="s">
        <v>1925</v>
      </c>
      <c r="R894" t="s">
        <v>1926</v>
      </c>
      <c r="T894" t="s">
        <v>1047</v>
      </c>
      <c r="U894" t="s">
        <v>39</v>
      </c>
    </row>
    <row r="895" spans="1:21" x14ac:dyDescent="0.2">
      <c r="A895">
        <v>54.00972222</v>
      </c>
      <c r="B895">
        <v>-128.70500000000001</v>
      </c>
      <c r="C895" t="s">
        <v>204</v>
      </c>
      <c r="D895" t="s">
        <v>2013</v>
      </c>
      <c r="E895">
        <v>1</v>
      </c>
      <c r="F895" t="s">
        <v>2014</v>
      </c>
      <c r="G895" t="str">
        <f t="shared" si="13"/>
        <v>KITIMAT 2</v>
      </c>
      <c r="H895" t="s">
        <v>1922</v>
      </c>
      <c r="I895">
        <v>16.8</v>
      </c>
      <c r="K895" t="s">
        <v>1984</v>
      </c>
      <c r="L895" t="s">
        <v>2015</v>
      </c>
      <c r="M895" t="s">
        <v>1883</v>
      </c>
      <c r="N895" t="s">
        <v>1884</v>
      </c>
      <c r="O895" t="s">
        <v>1925</v>
      </c>
      <c r="R895" t="s">
        <v>1926</v>
      </c>
      <c r="T895" t="s">
        <v>1047</v>
      </c>
      <c r="U895" t="s">
        <v>39</v>
      </c>
    </row>
    <row r="896" spans="1:21" x14ac:dyDescent="0.2">
      <c r="A896">
        <v>54.320277779999998</v>
      </c>
      <c r="B896">
        <v>-130.29</v>
      </c>
      <c r="C896" t="s">
        <v>204</v>
      </c>
      <c r="D896" t="s">
        <v>2016</v>
      </c>
      <c r="E896">
        <v>1</v>
      </c>
      <c r="F896" t="s">
        <v>2017</v>
      </c>
      <c r="G896" t="str">
        <f t="shared" si="13"/>
        <v>PRINCE RUPERT MONT CIRC</v>
      </c>
      <c r="H896" t="s">
        <v>1922</v>
      </c>
      <c r="I896">
        <v>60</v>
      </c>
      <c r="K896" t="s">
        <v>1923</v>
      </c>
      <c r="L896" t="s">
        <v>2018</v>
      </c>
      <c r="M896" t="s">
        <v>1883</v>
      </c>
      <c r="N896" t="s">
        <v>1884</v>
      </c>
      <c r="O896" t="s">
        <v>1925</v>
      </c>
      <c r="R896" t="s">
        <v>1926</v>
      </c>
      <c r="T896" t="s">
        <v>1047</v>
      </c>
      <c r="U896" t="s">
        <v>39</v>
      </c>
    </row>
    <row r="897" spans="1:21" x14ac:dyDescent="0.2">
      <c r="A897">
        <v>54.501944440000003</v>
      </c>
      <c r="B897">
        <v>-128.62472220000001</v>
      </c>
      <c r="C897" t="s">
        <v>204</v>
      </c>
      <c r="D897" t="s">
        <v>2019</v>
      </c>
      <c r="E897">
        <v>1</v>
      </c>
      <c r="F897" t="s">
        <v>2020</v>
      </c>
      <c r="G897" t="str">
        <f t="shared" si="13"/>
        <v>TERRACE PCC</v>
      </c>
      <c r="H897" t="s">
        <v>1922</v>
      </c>
      <c r="I897">
        <v>58</v>
      </c>
      <c r="K897" t="s">
        <v>1984</v>
      </c>
      <c r="L897" t="s">
        <v>2021</v>
      </c>
      <c r="M897" t="s">
        <v>1883</v>
      </c>
      <c r="N897" t="s">
        <v>1884</v>
      </c>
      <c r="O897" t="s">
        <v>1925</v>
      </c>
      <c r="R897" t="s">
        <v>1926</v>
      </c>
      <c r="T897" t="s">
        <v>1047</v>
      </c>
      <c r="U897" t="s">
        <v>39</v>
      </c>
    </row>
    <row r="898" spans="1:21" x14ac:dyDescent="0.2">
      <c r="A898">
        <v>54.294722219999997</v>
      </c>
      <c r="B898">
        <v>-130.88027779999999</v>
      </c>
      <c r="C898" t="s">
        <v>204</v>
      </c>
      <c r="D898" t="s">
        <v>2022</v>
      </c>
      <c r="E898">
        <v>1</v>
      </c>
      <c r="F898" t="s">
        <v>2023</v>
      </c>
      <c r="G898" t="str">
        <f t="shared" ref="G898:G961" si="14">UPPER(F898)</f>
        <v>TRIPLE ISLAND</v>
      </c>
      <c r="H898" t="s">
        <v>1922</v>
      </c>
      <c r="I898">
        <v>20.7</v>
      </c>
      <c r="K898" t="s">
        <v>1945</v>
      </c>
      <c r="L898" t="s">
        <v>2024</v>
      </c>
      <c r="M898" t="s">
        <v>1883</v>
      </c>
      <c r="N898" t="s">
        <v>1884</v>
      </c>
      <c r="O898" t="s">
        <v>1925</v>
      </c>
      <c r="R898" t="s">
        <v>1926</v>
      </c>
      <c r="T898" t="s">
        <v>1047</v>
      </c>
      <c r="U898" t="s">
        <v>39</v>
      </c>
    </row>
    <row r="899" spans="1:21" x14ac:dyDescent="0.2">
      <c r="A899">
        <v>54.403652999999998</v>
      </c>
      <c r="B899">
        <v>-126.644819</v>
      </c>
      <c r="C899" t="s">
        <v>29</v>
      </c>
      <c r="D899" t="s">
        <v>2025</v>
      </c>
      <c r="E899">
        <v>1</v>
      </c>
      <c r="F899" t="s">
        <v>2026</v>
      </c>
      <c r="G899" t="str">
        <f t="shared" si="14"/>
        <v>HOUSTON</v>
      </c>
      <c r="H899" t="s">
        <v>1922</v>
      </c>
      <c r="I899">
        <v>597</v>
      </c>
      <c r="K899" t="s">
        <v>2027</v>
      </c>
      <c r="L899" t="s">
        <v>2028</v>
      </c>
      <c r="M899" t="s">
        <v>1883</v>
      </c>
      <c r="N899" t="s">
        <v>1884</v>
      </c>
      <c r="O899" t="s">
        <v>1925</v>
      </c>
      <c r="R899" t="s">
        <v>1926</v>
      </c>
      <c r="T899" t="s">
        <v>1047</v>
      </c>
      <c r="U899" t="s">
        <v>39</v>
      </c>
    </row>
    <row r="900" spans="1:21" x14ac:dyDescent="0.2">
      <c r="A900">
        <v>53.069166670000001</v>
      </c>
      <c r="B900">
        <v>-121.5147</v>
      </c>
      <c r="C900" t="s">
        <v>61</v>
      </c>
      <c r="D900" t="s">
        <v>2029</v>
      </c>
      <c r="E900">
        <v>3</v>
      </c>
      <c r="F900" t="s">
        <v>2030</v>
      </c>
      <c r="G900" t="str">
        <f t="shared" si="14"/>
        <v>BARKERVILLE</v>
      </c>
      <c r="H900" t="s">
        <v>1922</v>
      </c>
      <c r="I900">
        <v>1283</v>
      </c>
      <c r="K900" t="s">
        <v>1984</v>
      </c>
      <c r="L900" t="s">
        <v>2031</v>
      </c>
      <c r="M900" t="s">
        <v>1883</v>
      </c>
      <c r="N900" t="s">
        <v>1884</v>
      </c>
      <c r="O900" t="s">
        <v>1925</v>
      </c>
      <c r="R900" t="s">
        <v>1926</v>
      </c>
      <c r="T900" t="s">
        <v>1047</v>
      </c>
      <c r="U900" t="s">
        <v>39</v>
      </c>
    </row>
    <row r="901" spans="1:21" x14ac:dyDescent="0.2">
      <c r="A901">
        <v>52.530277779999999</v>
      </c>
      <c r="B901">
        <v>-122.2866667</v>
      </c>
      <c r="C901" t="s">
        <v>29</v>
      </c>
      <c r="D901" t="s">
        <v>2032</v>
      </c>
      <c r="E901">
        <v>5</v>
      </c>
      <c r="F901" t="s">
        <v>2033</v>
      </c>
      <c r="G901" t="str">
        <f t="shared" si="14"/>
        <v>MCLEESE LAKE GRANITE MT</v>
      </c>
      <c r="H901" t="s">
        <v>1922</v>
      </c>
      <c r="I901">
        <v>1123</v>
      </c>
      <c r="K901" t="s">
        <v>1923</v>
      </c>
      <c r="L901" t="s">
        <v>1939</v>
      </c>
      <c r="M901" t="s">
        <v>1883</v>
      </c>
      <c r="N901" t="s">
        <v>1884</v>
      </c>
      <c r="O901" t="s">
        <v>1925</v>
      </c>
      <c r="R901" t="s">
        <v>1926</v>
      </c>
      <c r="T901" t="s">
        <v>1047</v>
      </c>
      <c r="U901" t="s">
        <v>39</v>
      </c>
    </row>
    <row r="902" spans="1:21" x14ac:dyDescent="0.2">
      <c r="A902">
        <v>52.183888889999999</v>
      </c>
      <c r="B902">
        <v>-121.6863889</v>
      </c>
      <c r="C902" t="s">
        <v>29</v>
      </c>
      <c r="D902" t="s">
        <v>2034</v>
      </c>
      <c r="E902">
        <v>3</v>
      </c>
      <c r="F902" t="s">
        <v>2035</v>
      </c>
      <c r="G902" t="str">
        <f t="shared" si="14"/>
        <v>SPOKIN LAKE 4E</v>
      </c>
      <c r="H902" t="s">
        <v>1922</v>
      </c>
      <c r="I902">
        <v>1040</v>
      </c>
      <c r="K902" t="s">
        <v>1923</v>
      </c>
      <c r="L902" t="s">
        <v>2036</v>
      </c>
      <c r="M902" t="s">
        <v>1883</v>
      </c>
      <c r="N902" t="s">
        <v>1884</v>
      </c>
      <c r="O902" t="s">
        <v>1925</v>
      </c>
      <c r="R902" t="s">
        <v>1926</v>
      </c>
      <c r="T902" t="s">
        <v>1047</v>
      </c>
      <c r="U902" t="s">
        <v>39</v>
      </c>
    </row>
    <row r="903" spans="1:21" x14ac:dyDescent="0.2">
      <c r="A903">
        <v>49.107300000000002</v>
      </c>
      <c r="B903">
        <v>-120.0288</v>
      </c>
      <c r="C903" t="s">
        <v>41</v>
      </c>
      <c r="D903" t="s">
        <v>2037</v>
      </c>
      <c r="E903">
        <v>1</v>
      </c>
      <c r="F903" t="s">
        <v>2038</v>
      </c>
      <c r="G903" t="str">
        <f t="shared" si="14"/>
        <v>CHILLIWACK SOUTH</v>
      </c>
      <c r="H903" t="s">
        <v>1922</v>
      </c>
      <c r="I903">
        <v>30</v>
      </c>
      <c r="K903" t="s">
        <v>2039</v>
      </c>
      <c r="L903" t="s">
        <v>1094</v>
      </c>
      <c r="M903" t="s">
        <v>1883</v>
      </c>
      <c r="N903" t="s">
        <v>1884</v>
      </c>
      <c r="O903" t="s">
        <v>1925</v>
      </c>
      <c r="R903" t="s">
        <v>1926</v>
      </c>
      <c r="T903" t="s">
        <v>1047</v>
      </c>
      <c r="U903" t="s">
        <v>39</v>
      </c>
    </row>
    <row r="904" spans="1:21" x14ac:dyDescent="0.2">
      <c r="A904">
        <v>49.1</v>
      </c>
      <c r="B904">
        <v>-122.7166667</v>
      </c>
      <c r="C904" t="s">
        <v>41</v>
      </c>
      <c r="D904" t="s">
        <v>2040</v>
      </c>
      <c r="E904">
        <v>2</v>
      </c>
      <c r="F904" t="s">
        <v>2041</v>
      </c>
      <c r="G904" t="str">
        <f t="shared" si="14"/>
        <v>CLOVERDALE EAST</v>
      </c>
      <c r="H904" t="s">
        <v>1922</v>
      </c>
      <c r="I904">
        <v>50</v>
      </c>
      <c r="K904" t="s">
        <v>1923</v>
      </c>
      <c r="L904" t="s">
        <v>2042</v>
      </c>
      <c r="M904" t="s">
        <v>1883</v>
      </c>
      <c r="N904" t="s">
        <v>1884</v>
      </c>
      <c r="O904" t="s">
        <v>1925</v>
      </c>
      <c r="R904" t="s">
        <v>1926</v>
      </c>
      <c r="T904" t="s">
        <v>1047</v>
      </c>
      <c r="U904" t="s">
        <v>39</v>
      </c>
    </row>
    <row r="905" spans="1:21" x14ac:dyDescent="0.2">
      <c r="A905">
        <v>49.011111110000002</v>
      </c>
      <c r="B905">
        <v>-123.0933333</v>
      </c>
      <c r="C905" t="s">
        <v>41</v>
      </c>
      <c r="D905" t="s">
        <v>2043</v>
      </c>
      <c r="E905">
        <v>1</v>
      </c>
      <c r="F905" t="s">
        <v>2044</v>
      </c>
      <c r="G905" t="str">
        <f t="shared" si="14"/>
        <v>DELTA TSAWWASSEN BEACH</v>
      </c>
      <c r="H905" t="s">
        <v>1922</v>
      </c>
      <c r="I905">
        <v>2.4</v>
      </c>
      <c r="K905" t="s">
        <v>1923</v>
      </c>
      <c r="L905" t="s">
        <v>2045</v>
      </c>
      <c r="M905" t="s">
        <v>1883</v>
      </c>
      <c r="N905" t="s">
        <v>1884</v>
      </c>
      <c r="O905" t="s">
        <v>1925</v>
      </c>
      <c r="R905" t="s">
        <v>1926</v>
      </c>
      <c r="T905" t="s">
        <v>1047</v>
      </c>
      <c r="U905" t="s">
        <v>39</v>
      </c>
    </row>
    <row r="906" spans="1:21" x14ac:dyDescent="0.2">
      <c r="A906">
        <v>49.144469440000002</v>
      </c>
      <c r="B906">
        <v>-122.55085</v>
      </c>
      <c r="C906" t="s">
        <v>41</v>
      </c>
      <c r="D906" t="s">
        <v>2046</v>
      </c>
      <c r="E906">
        <v>2</v>
      </c>
      <c r="F906" t="s">
        <v>2047</v>
      </c>
      <c r="G906" t="str">
        <f t="shared" si="14"/>
        <v>FORT LANGLEY TELEGRAPH TRAIL</v>
      </c>
      <c r="H906" t="s">
        <v>1922</v>
      </c>
      <c r="I906">
        <v>76</v>
      </c>
      <c r="K906" t="s">
        <v>1923</v>
      </c>
      <c r="L906" t="s">
        <v>2048</v>
      </c>
      <c r="M906" t="s">
        <v>1883</v>
      </c>
      <c r="N906" t="s">
        <v>1884</v>
      </c>
      <c r="O906" t="s">
        <v>1925</v>
      </c>
      <c r="R906" t="s">
        <v>1926</v>
      </c>
      <c r="T906" t="s">
        <v>1047</v>
      </c>
      <c r="U906" t="s">
        <v>39</v>
      </c>
    </row>
    <row r="907" spans="1:21" x14ac:dyDescent="0.2">
      <c r="A907">
        <v>49.265000000000001</v>
      </c>
      <c r="B907">
        <v>-122.5727778</v>
      </c>
      <c r="C907" t="s">
        <v>41</v>
      </c>
      <c r="D907" t="s">
        <v>2049</v>
      </c>
      <c r="E907">
        <v>3</v>
      </c>
      <c r="F907" t="s">
        <v>2050</v>
      </c>
      <c r="G907" t="str">
        <f t="shared" si="14"/>
        <v>HANEY UBC RF ADMIN</v>
      </c>
      <c r="H907" t="s">
        <v>1922</v>
      </c>
      <c r="I907">
        <v>147</v>
      </c>
      <c r="K907" t="s">
        <v>1923</v>
      </c>
      <c r="L907" t="s">
        <v>1956</v>
      </c>
      <c r="M907" t="s">
        <v>1883</v>
      </c>
      <c r="N907" t="s">
        <v>1884</v>
      </c>
      <c r="O907" t="s">
        <v>1925</v>
      </c>
      <c r="R907" t="s">
        <v>1926</v>
      </c>
      <c r="T907" t="s">
        <v>1047</v>
      </c>
      <c r="U907" t="s">
        <v>39</v>
      </c>
    </row>
    <row r="908" spans="1:21" x14ac:dyDescent="0.2">
      <c r="A908">
        <v>49.152500000000003</v>
      </c>
      <c r="B908">
        <v>-122.27083330000001</v>
      </c>
      <c r="C908" t="s">
        <v>41</v>
      </c>
      <c r="D908" t="s">
        <v>2051</v>
      </c>
      <c r="E908">
        <v>4</v>
      </c>
      <c r="F908" t="s">
        <v>2052</v>
      </c>
      <c r="G908" t="str">
        <f t="shared" si="14"/>
        <v>MISSION WEST ABBEY</v>
      </c>
      <c r="H908" t="s">
        <v>1922</v>
      </c>
      <c r="I908">
        <v>221</v>
      </c>
      <c r="K908" t="s">
        <v>1923</v>
      </c>
      <c r="L908" t="s">
        <v>1949</v>
      </c>
      <c r="M908" t="s">
        <v>1883</v>
      </c>
      <c r="N908" t="s">
        <v>1884</v>
      </c>
      <c r="O908" t="s">
        <v>1925</v>
      </c>
      <c r="R908" t="s">
        <v>1926</v>
      </c>
      <c r="T908" t="s">
        <v>1047</v>
      </c>
      <c r="U908" t="s">
        <v>39</v>
      </c>
    </row>
    <row r="909" spans="1:21" x14ac:dyDescent="0.2">
      <c r="A909">
        <v>49.368055560000002</v>
      </c>
      <c r="B909">
        <v>-123.0805556</v>
      </c>
      <c r="C909" t="s">
        <v>204</v>
      </c>
      <c r="D909" t="s">
        <v>2053</v>
      </c>
      <c r="E909">
        <v>6</v>
      </c>
      <c r="F909" t="s">
        <v>2054</v>
      </c>
      <c r="G909" t="str">
        <f t="shared" si="14"/>
        <v>N VANC GROUSE MTN RESORT</v>
      </c>
      <c r="H909" t="s">
        <v>1922</v>
      </c>
      <c r="I909">
        <v>1127.8</v>
      </c>
      <c r="K909" t="s">
        <v>1923</v>
      </c>
      <c r="L909" t="s">
        <v>2045</v>
      </c>
      <c r="M909" t="s">
        <v>1883</v>
      </c>
      <c r="N909" t="s">
        <v>1884</v>
      </c>
      <c r="O909" t="s">
        <v>1925</v>
      </c>
      <c r="R909" t="s">
        <v>1926</v>
      </c>
      <c r="T909" t="s">
        <v>1047</v>
      </c>
      <c r="U909" t="s">
        <v>39</v>
      </c>
    </row>
    <row r="910" spans="1:21" x14ac:dyDescent="0.2">
      <c r="A910">
        <v>49.313888890000001</v>
      </c>
      <c r="B910">
        <v>-123.11944440000001</v>
      </c>
      <c r="C910" t="s">
        <v>41</v>
      </c>
      <c r="D910" t="s">
        <v>2055</v>
      </c>
      <c r="E910">
        <v>1</v>
      </c>
      <c r="F910" t="s">
        <v>2056</v>
      </c>
      <c r="G910" t="str">
        <f t="shared" si="14"/>
        <v>N VANCOUVER WHARVES</v>
      </c>
      <c r="H910" t="s">
        <v>1922</v>
      </c>
      <c r="I910">
        <v>6</v>
      </c>
      <c r="K910" t="s">
        <v>1923</v>
      </c>
      <c r="L910" t="s">
        <v>1949</v>
      </c>
      <c r="M910" t="s">
        <v>1883</v>
      </c>
      <c r="N910" t="s">
        <v>1884</v>
      </c>
      <c r="O910" t="s">
        <v>1925</v>
      </c>
      <c r="R910" t="s">
        <v>1926</v>
      </c>
      <c r="T910" t="s">
        <v>1047</v>
      </c>
      <c r="U910" t="s">
        <v>39</v>
      </c>
    </row>
    <row r="911" spans="1:21" x14ac:dyDescent="0.2">
      <c r="A911">
        <v>49.179166670000001</v>
      </c>
      <c r="B911">
        <v>-123.0872222</v>
      </c>
      <c r="C911" t="s">
        <v>41</v>
      </c>
      <c r="D911" t="s">
        <v>2057</v>
      </c>
      <c r="E911">
        <v>1</v>
      </c>
      <c r="F911" t="s">
        <v>2058</v>
      </c>
      <c r="G911" t="str">
        <f t="shared" si="14"/>
        <v>RICHMOND DALLYN 2</v>
      </c>
      <c r="H911" t="s">
        <v>1922</v>
      </c>
      <c r="I911">
        <v>1</v>
      </c>
      <c r="K911" t="s">
        <v>1923</v>
      </c>
      <c r="L911" t="s">
        <v>2059</v>
      </c>
      <c r="M911" t="s">
        <v>1883</v>
      </c>
      <c r="N911" t="s">
        <v>1884</v>
      </c>
      <c r="O911" t="s">
        <v>1925</v>
      </c>
      <c r="R911" t="s">
        <v>1926</v>
      </c>
      <c r="T911" t="s">
        <v>1047</v>
      </c>
      <c r="U911" t="s">
        <v>39</v>
      </c>
    </row>
    <row r="912" spans="1:21" x14ac:dyDescent="0.2">
      <c r="A912">
        <v>49.113335560000003</v>
      </c>
      <c r="B912">
        <v>-122.1097233</v>
      </c>
      <c r="C912" t="s">
        <v>41</v>
      </c>
      <c r="D912" t="s">
        <v>2060</v>
      </c>
      <c r="E912">
        <v>1</v>
      </c>
      <c r="F912" t="s">
        <v>2061</v>
      </c>
      <c r="G912" t="str">
        <f t="shared" si="14"/>
        <v>SUMAS CANAL</v>
      </c>
      <c r="H912" t="s">
        <v>1922</v>
      </c>
      <c r="I912">
        <v>9</v>
      </c>
      <c r="K912" t="s">
        <v>1923</v>
      </c>
      <c r="L912" t="s">
        <v>2028</v>
      </c>
      <c r="M912" t="s">
        <v>1883</v>
      </c>
      <c r="N912" t="s">
        <v>1884</v>
      </c>
      <c r="O912" t="s">
        <v>1925</v>
      </c>
      <c r="R912" t="s">
        <v>1926</v>
      </c>
      <c r="T912" t="s">
        <v>1047</v>
      </c>
      <c r="U912" t="s">
        <v>39</v>
      </c>
    </row>
    <row r="913" spans="1:21" x14ac:dyDescent="0.2">
      <c r="A913">
        <v>50.067500000000003</v>
      </c>
      <c r="B913">
        <v>-122.947222</v>
      </c>
      <c r="C913" t="s">
        <v>204</v>
      </c>
      <c r="D913" t="s">
        <v>2062</v>
      </c>
      <c r="E913">
        <v>8</v>
      </c>
      <c r="F913" t="s">
        <v>2063</v>
      </c>
      <c r="G913" t="str">
        <f t="shared" si="14"/>
        <v>WHISTLER ROUNDHOUSE</v>
      </c>
      <c r="H913" t="s">
        <v>1922</v>
      </c>
      <c r="I913">
        <v>1835</v>
      </c>
      <c r="K913" t="s">
        <v>1923</v>
      </c>
      <c r="L913" t="s">
        <v>2064</v>
      </c>
      <c r="M913" t="s">
        <v>1883</v>
      </c>
      <c r="N913" t="s">
        <v>1884</v>
      </c>
      <c r="O913" t="s">
        <v>1925</v>
      </c>
      <c r="R913" t="s">
        <v>1926</v>
      </c>
      <c r="T913" t="s">
        <v>1047</v>
      </c>
      <c r="U913" t="s">
        <v>39</v>
      </c>
    </row>
    <row r="914" spans="1:21" x14ac:dyDescent="0.2">
      <c r="A914">
        <v>49.672777779999997</v>
      </c>
      <c r="B914">
        <v>-120.3327778</v>
      </c>
      <c r="C914" t="s">
        <v>86</v>
      </c>
      <c r="D914" t="s">
        <v>2065</v>
      </c>
      <c r="E914">
        <v>2</v>
      </c>
      <c r="F914" t="s">
        <v>2066</v>
      </c>
      <c r="G914" t="str">
        <f t="shared" si="14"/>
        <v>JELLICOE</v>
      </c>
      <c r="H914" t="s">
        <v>1922</v>
      </c>
      <c r="I914">
        <v>929</v>
      </c>
      <c r="K914" t="s">
        <v>1923</v>
      </c>
      <c r="L914" t="s">
        <v>2067</v>
      </c>
      <c r="M914" t="s">
        <v>1883</v>
      </c>
      <c r="N914" t="s">
        <v>1884</v>
      </c>
      <c r="O914" t="s">
        <v>1925</v>
      </c>
      <c r="R914" t="s">
        <v>1926</v>
      </c>
      <c r="T914" t="s">
        <v>1047</v>
      </c>
      <c r="U914" t="s">
        <v>39</v>
      </c>
    </row>
    <row r="915" spans="1:21" x14ac:dyDescent="0.2">
      <c r="A915">
        <v>49.782666669999998</v>
      </c>
      <c r="B915">
        <v>-119.7145</v>
      </c>
      <c r="C915" t="s">
        <v>86</v>
      </c>
      <c r="D915" t="s">
        <v>2068</v>
      </c>
      <c r="E915">
        <v>1</v>
      </c>
      <c r="F915" t="s">
        <v>2069</v>
      </c>
      <c r="G915" t="str">
        <f t="shared" si="14"/>
        <v>PEACHLAND</v>
      </c>
      <c r="H915" t="s">
        <v>1922</v>
      </c>
      <c r="I915">
        <v>351</v>
      </c>
      <c r="K915" t="s">
        <v>2070</v>
      </c>
      <c r="L915" t="s">
        <v>2071</v>
      </c>
      <c r="M915" t="s">
        <v>1883</v>
      </c>
      <c r="N915" t="s">
        <v>1884</v>
      </c>
      <c r="O915" t="s">
        <v>1925</v>
      </c>
      <c r="R915" t="s">
        <v>1926</v>
      </c>
      <c r="T915" t="s">
        <v>1047</v>
      </c>
      <c r="U915" t="s">
        <v>39</v>
      </c>
    </row>
    <row r="916" spans="1:21" x14ac:dyDescent="0.2">
      <c r="A916">
        <v>50.357833329999998</v>
      </c>
      <c r="B916">
        <v>-119.0556667</v>
      </c>
      <c r="C916" t="s">
        <v>61</v>
      </c>
      <c r="D916" t="s">
        <v>2072</v>
      </c>
      <c r="E916">
        <v>5</v>
      </c>
      <c r="F916" t="s">
        <v>2073</v>
      </c>
      <c r="G916" t="str">
        <f t="shared" si="14"/>
        <v>VERNON SILVER STAR LODGE</v>
      </c>
      <c r="H916" t="s">
        <v>1922</v>
      </c>
      <c r="I916">
        <v>1572</v>
      </c>
      <c r="K916" t="s">
        <v>1923</v>
      </c>
      <c r="L916" t="s">
        <v>2074</v>
      </c>
      <c r="M916" t="s">
        <v>1883</v>
      </c>
      <c r="N916" t="s">
        <v>1884</v>
      </c>
      <c r="O916" t="s">
        <v>1925</v>
      </c>
      <c r="R916" t="s">
        <v>1926</v>
      </c>
      <c r="T916" t="s">
        <v>1047</v>
      </c>
      <c r="U916" t="s">
        <v>39</v>
      </c>
    </row>
    <row r="917" spans="1:21" x14ac:dyDescent="0.2">
      <c r="A917">
        <v>49.016833329999997</v>
      </c>
      <c r="B917">
        <v>-118.2283333</v>
      </c>
      <c r="C917" t="s">
        <v>86</v>
      </c>
      <c r="D917" t="s">
        <v>2075</v>
      </c>
      <c r="E917">
        <v>1</v>
      </c>
      <c r="F917" t="s">
        <v>2076</v>
      </c>
      <c r="G917" t="str">
        <f t="shared" si="14"/>
        <v>BILLINGS</v>
      </c>
      <c r="H917" t="s">
        <v>1922</v>
      </c>
      <c r="I917">
        <v>510</v>
      </c>
      <c r="K917" t="s">
        <v>1923</v>
      </c>
      <c r="L917" t="s">
        <v>1959</v>
      </c>
      <c r="M917" t="s">
        <v>1883</v>
      </c>
      <c r="N917" t="s">
        <v>1884</v>
      </c>
      <c r="O917" t="s">
        <v>1925</v>
      </c>
      <c r="R917" t="s">
        <v>1926</v>
      </c>
      <c r="T917" t="s">
        <v>1047</v>
      </c>
      <c r="U917" t="s">
        <v>39</v>
      </c>
    </row>
    <row r="918" spans="1:21" x14ac:dyDescent="0.2">
      <c r="A918">
        <v>49.296388999999998</v>
      </c>
      <c r="B918">
        <v>-117.632222</v>
      </c>
      <c r="C918" t="s">
        <v>61</v>
      </c>
      <c r="D918" t="s">
        <v>2077</v>
      </c>
      <c r="E918">
        <v>1</v>
      </c>
      <c r="F918" t="s">
        <v>2078</v>
      </c>
      <c r="G918" t="str">
        <f t="shared" si="14"/>
        <v>CASTLEGAR A</v>
      </c>
      <c r="H918" t="s">
        <v>1922</v>
      </c>
      <c r="I918">
        <v>495</v>
      </c>
      <c r="K918" t="s">
        <v>1923</v>
      </c>
      <c r="L918" t="s">
        <v>2079</v>
      </c>
      <c r="M918" t="s">
        <v>1883</v>
      </c>
      <c r="N918" t="s">
        <v>1884</v>
      </c>
      <c r="O918" t="s">
        <v>1925</v>
      </c>
      <c r="R918" t="s">
        <v>1926</v>
      </c>
      <c r="T918" t="s">
        <v>1047</v>
      </c>
      <c r="U918" t="s">
        <v>39</v>
      </c>
    </row>
    <row r="919" spans="1:21" x14ac:dyDescent="0.2">
      <c r="A919">
        <v>49.34333333</v>
      </c>
      <c r="B919">
        <v>-117.77444439999999</v>
      </c>
      <c r="C919" t="s">
        <v>61</v>
      </c>
      <c r="D919" t="s">
        <v>2080</v>
      </c>
      <c r="E919">
        <v>1</v>
      </c>
      <c r="F919" t="s">
        <v>2081</v>
      </c>
      <c r="G919" t="str">
        <f t="shared" si="14"/>
        <v>CASTLEGAR BCHPA DAM</v>
      </c>
      <c r="H919" t="s">
        <v>1922</v>
      </c>
      <c r="I919">
        <v>435</v>
      </c>
      <c r="K919" t="s">
        <v>1923</v>
      </c>
      <c r="L919" t="s">
        <v>2082</v>
      </c>
      <c r="M919" t="s">
        <v>1883</v>
      </c>
      <c r="N919" t="s">
        <v>1884</v>
      </c>
      <c r="O919" t="s">
        <v>1925</v>
      </c>
      <c r="R919" t="s">
        <v>1926</v>
      </c>
      <c r="T919" t="s">
        <v>1047</v>
      </c>
      <c r="U919" t="s">
        <v>39</v>
      </c>
    </row>
    <row r="920" spans="1:21" x14ac:dyDescent="0.2">
      <c r="A920">
        <v>50.238599999999998</v>
      </c>
      <c r="B920">
        <v>-116.9714</v>
      </c>
      <c r="C920" t="s">
        <v>61</v>
      </c>
      <c r="D920" t="s">
        <v>2083</v>
      </c>
      <c r="E920">
        <v>1</v>
      </c>
      <c r="F920" t="s">
        <v>2084</v>
      </c>
      <c r="G920" t="str">
        <f t="shared" si="14"/>
        <v>DUNCAN LAKE DAM</v>
      </c>
      <c r="H920" t="s">
        <v>1922</v>
      </c>
      <c r="I920">
        <v>548.6</v>
      </c>
      <c r="K920" t="s">
        <v>1984</v>
      </c>
      <c r="L920" t="s">
        <v>2059</v>
      </c>
      <c r="M920" t="s">
        <v>1883</v>
      </c>
      <c r="N920" t="s">
        <v>1884</v>
      </c>
      <c r="O920" t="s">
        <v>1925</v>
      </c>
      <c r="R920" t="s">
        <v>1926</v>
      </c>
      <c r="T920" t="s">
        <v>1047</v>
      </c>
      <c r="U920" t="s">
        <v>39</v>
      </c>
    </row>
    <row r="921" spans="1:21" x14ac:dyDescent="0.2">
      <c r="A921">
        <v>49.990280560000002</v>
      </c>
      <c r="B921">
        <v>-117.3719444</v>
      </c>
      <c r="C921" t="s">
        <v>61</v>
      </c>
      <c r="D921" t="s">
        <v>2085</v>
      </c>
      <c r="E921">
        <v>1</v>
      </c>
      <c r="F921" t="s">
        <v>2086</v>
      </c>
      <c r="G921" t="str">
        <f t="shared" si="14"/>
        <v>NEW DENVER</v>
      </c>
      <c r="H921" t="s">
        <v>1922</v>
      </c>
      <c r="I921">
        <v>570</v>
      </c>
      <c r="K921" t="s">
        <v>1923</v>
      </c>
      <c r="L921" t="s">
        <v>1973</v>
      </c>
      <c r="M921" t="s">
        <v>1883</v>
      </c>
      <c r="N921" t="s">
        <v>1884</v>
      </c>
      <c r="O921" t="s">
        <v>1925</v>
      </c>
      <c r="R921" t="s">
        <v>1926</v>
      </c>
      <c r="T921" t="s">
        <v>1047</v>
      </c>
      <c r="U921" t="s">
        <v>39</v>
      </c>
    </row>
    <row r="922" spans="1:21" x14ac:dyDescent="0.2">
      <c r="A922">
        <v>49.523916669999998</v>
      </c>
      <c r="B922">
        <v>-115.4605833</v>
      </c>
      <c r="C922" t="s">
        <v>61</v>
      </c>
      <c r="D922" t="s">
        <v>2087</v>
      </c>
      <c r="E922">
        <v>1</v>
      </c>
      <c r="F922" t="s">
        <v>2088</v>
      </c>
      <c r="G922" t="str">
        <f t="shared" si="14"/>
        <v>FT STEELE DANDY CRK</v>
      </c>
      <c r="H922" t="s">
        <v>1922</v>
      </c>
      <c r="I922">
        <v>856</v>
      </c>
      <c r="K922" t="s">
        <v>1923</v>
      </c>
      <c r="L922" t="s">
        <v>2021</v>
      </c>
      <c r="M922" t="s">
        <v>1883</v>
      </c>
      <c r="N922" t="s">
        <v>1884</v>
      </c>
      <c r="O922" t="s">
        <v>1925</v>
      </c>
      <c r="R922" t="s">
        <v>1926</v>
      </c>
      <c r="T922" t="s">
        <v>1047</v>
      </c>
      <c r="U922" t="s">
        <v>39</v>
      </c>
    </row>
    <row r="923" spans="1:21" x14ac:dyDescent="0.2">
      <c r="A923">
        <v>49.631166669999999</v>
      </c>
      <c r="B923">
        <v>-115.9623333</v>
      </c>
      <c r="C923" t="s">
        <v>61</v>
      </c>
      <c r="D923" t="s">
        <v>2089</v>
      </c>
      <c r="E923">
        <v>1</v>
      </c>
      <c r="F923" t="s">
        <v>2090</v>
      </c>
      <c r="G923" t="str">
        <f t="shared" si="14"/>
        <v>KIMBERLEY PCC</v>
      </c>
      <c r="H923" t="s">
        <v>1922</v>
      </c>
      <c r="I923">
        <v>889</v>
      </c>
      <c r="K923" t="s">
        <v>1923</v>
      </c>
      <c r="L923" t="s">
        <v>2091</v>
      </c>
      <c r="M923" t="s">
        <v>1883</v>
      </c>
      <c r="N923" t="s">
        <v>1884</v>
      </c>
      <c r="O923" t="s">
        <v>1925</v>
      </c>
      <c r="R923" t="s">
        <v>1926</v>
      </c>
      <c r="T923" t="s">
        <v>1047</v>
      </c>
      <c r="U923" t="s">
        <v>39</v>
      </c>
    </row>
    <row r="924" spans="1:21" x14ac:dyDescent="0.2">
      <c r="A924">
        <v>51.681388890000001</v>
      </c>
      <c r="B924">
        <v>-121.2169444</v>
      </c>
      <c r="C924" t="s">
        <v>29</v>
      </c>
      <c r="D924" t="s">
        <v>2092</v>
      </c>
      <c r="E924">
        <v>2</v>
      </c>
      <c r="F924" t="s">
        <v>2093</v>
      </c>
      <c r="G924" t="str">
        <f t="shared" si="14"/>
        <v>100 MILE HOUSE 6NE</v>
      </c>
      <c r="H924" t="s">
        <v>1922</v>
      </c>
      <c r="I924">
        <v>928</v>
      </c>
      <c r="K924" t="s">
        <v>1923</v>
      </c>
      <c r="L924" t="s">
        <v>2094</v>
      </c>
      <c r="M924" t="s">
        <v>1883</v>
      </c>
      <c r="N924" t="s">
        <v>1884</v>
      </c>
      <c r="O924" t="s">
        <v>1925</v>
      </c>
      <c r="R924" t="s">
        <v>1926</v>
      </c>
      <c r="T924" t="s">
        <v>1047</v>
      </c>
      <c r="U924" t="s">
        <v>39</v>
      </c>
    </row>
    <row r="925" spans="1:21" x14ac:dyDescent="0.2">
      <c r="A925">
        <v>51.300833330000003</v>
      </c>
      <c r="B925">
        <v>-117.5163889</v>
      </c>
      <c r="C925" t="s">
        <v>61</v>
      </c>
      <c r="D925" t="s">
        <v>2095</v>
      </c>
      <c r="E925">
        <v>3</v>
      </c>
      <c r="F925" t="s">
        <v>2096</v>
      </c>
      <c r="G925" t="str">
        <f t="shared" si="14"/>
        <v>GLACIER NP ROGERS PASS</v>
      </c>
      <c r="H925" t="s">
        <v>1922</v>
      </c>
      <c r="I925">
        <v>1322</v>
      </c>
      <c r="K925" t="s">
        <v>1984</v>
      </c>
      <c r="L925" t="s">
        <v>2006</v>
      </c>
      <c r="M925" t="s">
        <v>1883</v>
      </c>
      <c r="N925" t="s">
        <v>1884</v>
      </c>
      <c r="O925" t="s">
        <v>1925</v>
      </c>
      <c r="R925" t="s">
        <v>1926</v>
      </c>
      <c r="T925" t="s">
        <v>1047</v>
      </c>
      <c r="U925" t="s">
        <v>39</v>
      </c>
    </row>
    <row r="926" spans="1:21" x14ac:dyDescent="0.2">
      <c r="A926">
        <v>52.053055559999997</v>
      </c>
      <c r="B926">
        <v>-118.5852778</v>
      </c>
      <c r="C926" t="s">
        <v>61</v>
      </c>
      <c r="D926" t="s">
        <v>2097</v>
      </c>
      <c r="E926">
        <v>1</v>
      </c>
      <c r="F926" t="s">
        <v>2098</v>
      </c>
      <c r="G926" t="str">
        <f t="shared" si="14"/>
        <v>MICA DAM</v>
      </c>
      <c r="H926" t="s">
        <v>1922</v>
      </c>
      <c r="I926">
        <v>579</v>
      </c>
      <c r="K926" t="s">
        <v>1923</v>
      </c>
      <c r="L926" t="s">
        <v>2012</v>
      </c>
      <c r="M926" t="s">
        <v>1883</v>
      </c>
      <c r="N926" t="s">
        <v>1884</v>
      </c>
      <c r="O926" t="s">
        <v>1925</v>
      </c>
      <c r="R926" t="s">
        <v>1926</v>
      </c>
      <c r="T926" t="s">
        <v>1047</v>
      </c>
      <c r="U926" t="s">
        <v>39</v>
      </c>
    </row>
    <row r="927" spans="1:21" ht="15.75" customHeight="1" x14ac:dyDescent="0.2">
      <c r="A927">
        <v>48.597499999999997</v>
      </c>
      <c r="B927">
        <v>-123.4272222</v>
      </c>
      <c r="C927" t="s">
        <v>41</v>
      </c>
      <c r="D927" t="s">
        <v>2099</v>
      </c>
      <c r="E927">
        <v>2</v>
      </c>
      <c r="F927" t="s">
        <v>2100</v>
      </c>
      <c r="G927" t="str">
        <f t="shared" si="14"/>
        <v>SAANICHTON MT NEWTON</v>
      </c>
      <c r="H927" t="s">
        <v>1922</v>
      </c>
      <c r="I927">
        <v>42</v>
      </c>
      <c r="K927" t="s">
        <v>1923</v>
      </c>
      <c r="L927" t="s">
        <v>1965</v>
      </c>
      <c r="M927" t="s">
        <v>1883</v>
      </c>
      <c r="N927" t="s">
        <v>1884</v>
      </c>
      <c r="O927" t="s">
        <v>1925</v>
      </c>
      <c r="R927" t="s">
        <v>1926</v>
      </c>
      <c r="T927" t="s">
        <v>1047</v>
      </c>
      <c r="U927" t="s">
        <v>39</v>
      </c>
    </row>
    <row r="928" spans="1:21" x14ac:dyDescent="0.2">
      <c r="A928">
        <v>49.198888889999999</v>
      </c>
      <c r="B928">
        <v>-123.9877778</v>
      </c>
      <c r="C928" t="s">
        <v>41</v>
      </c>
      <c r="D928" t="s">
        <v>2101</v>
      </c>
      <c r="E928">
        <v>3</v>
      </c>
      <c r="F928" t="s">
        <v>2102</v>
      </c>
      <c r="G928" t="str">
        <f t="shared" si="14"/>
        <v>NANAIMO CITY YARD</v>
      </c>
      <c r="H928" t="s">
        <v>1922</v>
      </c>
      <c r="I928">
        <v>114</v>
      </c>
      <c r="K928" t="s">
        <v>1923</v>
      </c>
      <c r="L928" t="s">
        <v>1936</v>
      </c>
      <c r="M928" t="s">
        <v>1883</v>
      </c>
      <c r="N928" t="s">
        <v>1884</v>
      </c>
      <c r="O928" t="s">
        <v>1925</v>
      </c>
      <c r="R928" t="s">
        <v>1926</v>
      </c>
      <c r="T928" t="s">
        <v>1047</v>
      </c>
      <c r="U928" t="s">
        <v>39</v>
      </c>
    </row>
    <row r="929" spans="1:24" x14ac:dyDescent="0.2">
      <c r="A929">
        <v>49.208911110000003</v>
      </c>
      <c r="B929">
        <v>-123.8088917</v>
      </c>
      <c r="C929" t="s">
        <v>41</v>
      </c>
      <c r="D929" t="s">
        <v>2103</v>
      </c>
      <c r="E929">
        <v>1</v>
      </c>
      <c r="F929" t="s">
        <v>2104</v>
      </c>
      <c r="G929" t="str">
        <f t="shared" si="14"/>
        <v>ENTRANCE ISLAND</v>
      </c>
      <c r="H929" t="s">
        <v>1922</v>
      </c>
      <c r="I929">
        <v>5</v>
      </c>
      <c r="K929" t="s">
        <v>1945</v>
      </c>
      <c r="L929" t="s">
        <v>2094</v>
      </c>
      <c r="M929" t="s">
        <v>1883</v>
      </c>
      <c r="N929" t="s">
        <v>1884</v>
      </c>
      <c r="O929" t="s">
        <v>1925</v>
      </c>
      <c r="R929" t="s">
        <v>1926</v>
      </c>
      <c r="T929" t="s">
        <v>38</v>
      </c>
      <c r="U929" t="s">
        <v>39</v>
      </c>
    </row>
    <row r="930" spans="1:24" x14ac:dyDescent="0.2">
      <c r="A930">
        <v>49.359900000000003</v>
      </c>
      <c r="B930">
        <v>-123.402</v>
      </c>
      <c r="C930" t="s">
        <v>41</v>
      </c>
      <c r="D930" t="s">
        <v>2105</v>
      </c>
      <c r="E930">
        <v>3</v>
      </c>
      <c r="F930" t="s">
        <v>2106</v>
      </c>
      <c r="G930" t="str">
        <f t="shared" si="14"/>
        <v>BOWEN ISLAND SUNSET PARK</v>
      </c>
      <c r="H930" t="s">
        <v>1922</v>
      </c>
      <c r="I930">
        <v>130</v>
      </c>
      <c r="K930" t="s">
        <v>1923</v>
      </c>
      <c r="L930" t="s">
        <v>2107</v>
      </c>
      <c r="M930" t="s">
        <v>1883</v>
      </c>
      <c r="N930" t="s">
        <v>1884</v>
      </c>
      <c r="O930" t="s">
        <v>1925</v>
      </c>
      <c r="R930" t="s">
        <v>1926</v>
      </c>
      <c r="T930" t="s">
        <v>1047</v>
      </c>
      <c r="U930" t="s">
        <v>39</v>
      </c>
    </row>
    <row r="931" spans="1:24" x14ac:dyDescent="0.2">
      <c r="A931">
        <v>54.043599999999998</v>
      </c>
      <c r="B931">
        <v>-128.68219999999999</v>
      </c>
      <c r="C931" t="s">
        <v>204</v>
      </c>
      <c r="D931" t="s">
        <v>2108</v>
      </c>
      <c r="E931">
        <v>1</v>
      </c>
      <c r="F931" t="s">
        <v>2109</v>
      </c>
      <c r="G931" t="str">
        <f t="shared" si="14"/>
        <v>KITIMAT HATCHERY</v>
      </c>
      <c r="H931" t="s">
        <v>1922</v>
      </c>
      <c r="I931">
        <v>13</v>
      </c>
      <c r="K931" t="s">
        <v>1923</v>
      </c>
      <c r="L931" t="s">
        <v>2110</v>
      </c>
      <c r="M931" t="s">
        <v>1883</v>
      </c>
      <c r="N931" t="s">
        <v>1884</v>
      </c>
      <c r="O931" t="s">
        <v>1925</v>
      </c>
      <c r="R931" t="s">
        <v>1926</v>
      </c>
      <c r="T931" t="s">
        <v>1047</v>
      </c>
      <c r="U931" t="s">
        <v>39</v>
      </c>
    </row>
    <row r="932" spans="1:24" x14ac:dyDescent="0.2">
      <c r="A932">
        <v>55.288611109999998</v>
      </c>
      <c r="B932">
        <v>-127.1705556</v>
      </c>
      <c r="C932" t="s">
        <v>272</v>
      </c>
      <c r="D932" t="s">
        <v>2111</v>
      </c>
      <c r="E932">
        <v>1</v>
      </c>
      <c r="F932" t="s">
        <v>2112</v>
      </c>
      <c r="G932" t="str">
        <f t="shared" si="14"/>
        <v>SUSKWA VALLEY</v>
      </c>
      <c r="H932" t="s">
        <v>1922</v>
      </c>
      <c r="I932">
        <v>534</v>
      </c>
      <c r="K932" t="s">
        <v>1923</v>
      </c>
      <c r="L932" t="s">
        <v>2113</v>
      </c>
      <c r="M932" t="s">
        <v>1883</v>
      </c>
      <c r="N932" t="s">
        <v>1884</v>
      </c>
      <c r="O932" t="s">
        <v>1925</v>
      </c>
      <c r="R932" t="s">
        <v>1926</v>
      </c>
      <c r="T932" t="s">
        <v>1047</v>
      </c>
      <c r="U932" t="s">
        <v>39</v>
      </c>
    </row>
    <row r="933" spans="1:24" x14ac:dyDescent="0.2">
      <c r="A933">
        <v>49.279166670000002</v>
      </c>
      <c r="B933">
        <v>-122.8813889</v>
      </c>
      <c r="C933" t="s">
        <v>41</v>
      </c>
      <c r="D933" t="s">
        <v>2114</v>
      </c>
      <c r="E933">
        <v>3</v>
      </c>
      <c r="F933" t="s">
        <v>2115</v>
      </c>
      <c r="G933" t="str">
        <f t="shared" si="14"/>
        <v>PORT MOODY GLENAYRE</v>
      </c>
      <c r="H933" t="s">
        <v>1922</v>
      </c>
      <c r="I933">
        <v>129</v>
      </c>
      <c r="K933" t="s">
        <v>1923</v>
      </c>
      <c r="L933" t="s">
        <v>2074</v>
      </c>
      <c r="M933" t="s">
        <v>1883</v>
      </c>
      <c r="N933" t="s">
        <v>1884</v>
      </c>
      <c r="O933" t="s">
        <v>1925</v>
      </c>
      <c r="R933" t="s">
        <v>1926</v>
      </c>
      <c r="T933" t="s">
        <v>1047</v>
      </c>
      <c r="U933" t="s">
        <v>39</v>
      </c>
    </row>
    <row r="934" spans="1:24" x14ac:dyDescent="0.2">
      <c r="A934">
        <v>49.170833330000001</v>
      </c>
      <c r="B934">
        <v>-123.0930556</v>
      </c>
      <c r="C934" t="s">
        <v>41</v>
      </c>
      <c r="D934" t="s">
        <v>2116</v>
      </c>
      <c r="E934">
        <v>1</v>
      </c>
      <c r="F934" t="s">
        <v>2117</v>
      </c>
      <c r="G934" t="str">
        <f t="shared" si="14"/>
        <v>RICHMOND NATURE PARK</v>
      </c>
      <c r="H934" t="s">
        <v>1922</v>
      </c>
      <c r="I934">
        <v>3</v>
      </c>
      <c r="K934" t="s">
        <v>1923</v>
      </c>
      <c r="L934" t="s">
        <v>2003</v>
      </c>
      <c r="M934" t="s">
        <v>1883</v>
      </c>
      <c r="N934" t="s">
        <v>1884</v>
      </c>
      <c r="O934" t="s">
        <v>1925</v>
      </c>
      <c r="R934" t="s">
        <v>1926</v>
      </c>
      <c r="T934" t="s">
        <v>1047</v>
      </c>
      <c r="U934" t="s">
        <v>39</v>
      </c>
    </row>
    <row r="935" spans="1:24" x14ac:dyDescent="0.2">
      <c r="A935">
        <v>49.512222219999998</v>
      </c>
      <c r="B935">
        <v>-117.3988889</v>
      </c>
      <c r="C935" t="s">
        <v>61</v>
      </c>
      <c r="D935" t="s">
        <v>2118</v>
      </c>
      <c r="E935">
        <v>1</v>
      </c>
      <c r="F935" t="s">
        <v>2119</v>
      </c>
      <c r="G935" t="str">
        <f t="shared" si="14"/>
        <v>NELSON RIXEN CREEK</v>
      </c>
      <c r="H935" t="s">
        <v>1922</v>
      </c>
      <c r="I935">
        <v>760</v>
      </c>
      <c r="K935" t="s">
        <v>1923</v>
      </c>
      <c r="L935" t="s">
        <v>2120</v>
      </c>
      <c r="M935" t="s">
        <v>1883</v>
      </c>
      <c r="N935" t="s">
        <v>1884</v>
      </c>
      <c r="O935" t="s">
        <v>1925</v>
      </c>
      <c r="R935" t="s">
        <v>1926</v>
      </c>
      <c r="T935" t="s">
        <v>1047</v>
      </c>
      <c r="U935" t="s">
        <v>39</v>
      </c>
    </row>
    <row r="936" spans="1:24" x14ac:dyDescent="0.2">
      <c r="A936">
        <v>50.6</v>
      </c>
      <c r="B936">
        <v>-120.2</v>
      </c>
      <c r="C936" t="s">
        <v>86</v>
      </c>
      <c r="D936" t="s">
        <v>2121</v>
      </c>
      <c r="E936">
        <v>1</v>
      </c>
      <c r="F936" t="s">
        <v>2122</v>
      </c>
      <c r="G936" t="str">
        <f t="shared" si="14"/>
        <v>KAMLOOPS PRATT ROAD</v>
      </c>
      <c r="H936" t="s">
        <v>1922</v>
      </c>
      <c r="I936">
        <v>640</v>
      </c>
      <c r="K936" t="s">
        <v>1923</v>
      </c>
      <c r="L936" t="s">
        <v>2123</v>
      </c>
      <c r="M936" t="s">
        <v>1883</v>
      </c>
      <c r="N936" t="s">
        <v>1884</v>
      </c>
      <c r="O936" t="s">
        <v>1925</v>
      </c>
      <c r="R936" t="s">
        <v>1926</v>
      </c>
      <c r="T936" t="s">
        <v>1047</v>
      </c>
      <c r="U936" t="s">
        <v>39</v>
      </c>
    </row>
    <row r="937" spans="1:24" x14ac:dyDescent="0.2">
      <c r="A937">
        <v>51.236388890000001</v>
      </c>
      <c r="B937">
        <v>-117.70111110000001</v>
      </c>
      <c r="C937" t="s">
        <v>61</v>
      </c>
      <c r="D937" t="s">
        <v>2124</v>
      </c>
      <c r="E937">
        <v>6</v>
      </c>
      <c r="F937" t="s">
        <v>2125</v>
      </c>
      <c r="G937" t="str">
        <f t="shared" si="14"/>
        <v>GLACIER NP MT FIDELITY</v>
      </c>
      <c r="H937" t="s">
        <v>1922</v>
      </c>
      <c r="I937">
        <v>1874</v>
      </c>
      <c r="K937" t="s">
        <v>1984</v>
      </c>
      <c r="L937" t="s">
        <v>2082</v>
      </c>
      <c r="M937" t="s">
        <v>1883</v>
      </c>
      <c r="N937" t="s">
        <v>1884</v>
      </c>
      <c r="O937" t="s">
        <v>1925</v>
      </c>
      <c r="R937" t="s">
        <v>1926</v>
      </c>
      <c r="T937" t="s">
        <v>1047</v>
      </c>
      <c r="U937" t="s">
        <v>39</v>
      </c>
    </row>
    <row r="938" spans="1:24" x14ac:dyDescent="0.2">
      <c r="A938">
        <v>49.486437000000002</v>
      </c>
      <c r="B938">
        <v>-124.43487</v>
      </c>
      <c r="C938" t="s">
        <v>41</v>
      </c>
      <c r="D938">
        <v>102740</v>
      </c>
      <c r="E938">
        <v>1</v>
      </c>
      <c r="F938" t="s">
        <v>2126</v>
      </c>
      <c r="G938" t="str">
        <f t="shared" si="14"/>
        <v>SISTERS ISLAND</v>
      </c>
      <c r="H938" t="s">
        <v>2127</v>
      </c>
      <c r="I938">
        <v>3.8290000000000002</v>
      </c>
      <c r="J938" t="s">
        <v>2128</v>
      </c>
      <c r="K938" t="s">
        <v>2129</v>
      </c>
      <c r="M938" t="s">
        <v>1883</v>
      </c>
      <c r="N938" t="s">
        <v>1884</v>
      </c>
      <c r="O938" t="s">
        <v>1925</v>
      </c>
      <c r="R938" t="s">
        <v>36</v>
      </c>
      <c r="S938" t="s">
        <v>37</v>
      </c>
      <c r="W938" t="s">
        <v>2130</v>
      </c>
      <c r="X938" t="s">
        <v>257</v>
      </c>
    </row>
    <row r="939" spans="1:24" x14ac:dyDescent="0.2">
      <c r="A939">
        <v>48.424599999999998</v>
      </c>
      <c r="B939">
        <v>-123.23</v>
      </c>
      <c r="C939" t="s">
        <v>41</v>
      </c>
      <c r="D939" t="s">
        <v>2131</v>
      </c>
      <c r="E939">
        <v>1</v>
      </c>
      <c r="F939" t="s">
        <v>2132</v>
      </c>
      <c r="G939" t="str">
        <f t="shared" si="14"/>
        <v>DISCOVERY ISLAND</v>
      </c>
      <c r="H939" t="s">
        <v>2127</v>
      </c>
      <c r="I939">
        <v>18.925000000000001</v>
      </c>
      <c r="J939" t="s">
        <v>2128</v>
      </c>
      <c r="K939" t="s">
        <v>2133</v>
      </c>
      <c r="L939" t="s">
        <v>2134</v>
      </c>
      <c r="M939" t="s">
        <v>1883</v>
      </c>
      <c r="N939" t="s">
        <v>1884</v>
      </c>
      <c r="O939" t="s">
        <v>1925</v>
      </c>
      <c r="R939" t="s">
        <v>36</v>
      </c>
      <c r="S939" t="s">
        <v>37</v>
      </c>
      <c r="T939" t="s">
        <v>38</v>
      </c>
      <c r="W939" t="s">
        <v>2135</v>
      </c>
      <c r="X939" t="s">
        <v>257</v>
      </c>
    </row>
    <row r="940" spans="1:24" x14ac:dyDescent="0.2">
      <c r="A940">
        <v>48.431944000000001</v>
      </c>
      <c r="B940">
        <v>-123.439167</v>
      </c>
      <c r="C940" t="s">
        <v>41</v>
      </c>
      <c r="D940" t="s">
        <v>2136</v>
      </c>
      <c r="E940">
        <v>1</v>
      </c>
      <c r="F940" t="s">
        <v>2137</v>
      </c>
      <c r="G940" t="str">
        <f t="shared" si="14"/>
        <v>ESQUIMALT HARBOUR</v>
      </c>
      <c r="H940" t="s">
        <v>2127</v>
      </c>
      <c r="I940">
        <v>3</v>
      </c>
      <c r="J940" t="s">
        <v>2128</v>
      </c>
      <c r="K940" t="s">
        <v>2138</v>
      </c>
      <c r="L940" t="s">
        <v>2028</v>
      </c>
      <c r="M940" t="s">
        <v>1883</v>
      </c>
      <c r="N940" t="s">
        <v>1884</v>
      </c>
      <c r="O940" t="s">
        <v>1925</v>
      </c>
      <c r="R940" t="s">
        <v>36</v>
      </c>
      <c r="S940" t="s">
        <v>37</v>
      </c>
      <c r="T940" t="s">
        <v>38</v>
      </c>
      <c r="W940" t="s">
        <v>266</v>
      </c>
      <c r="X940" t="s">
        <v>257</v>
      </c>
    </row>
    <row r="941" spans="1:24" x14ac:dyDescent="0.2">
      <c r="A941">
        <v>48.547499999999999</v>
      </c>
      <c r="B941">
        <v>-123.23694399999999</v>
      </c>
      <c r="C941" t="s">
        <v>41</v>
      </c>
      <c r="D941" t="s">
        <v>2139</v>
      </c>
      <c r="E941">
        <v>1</v>
      </c>
      <c r="F941" t="s">
        <v>2140</v>
      </c>
      <c r="G941" t="str">
        <f t="shared" si="14"/>
        <v>KELP REEFS</v>
      </c>
      <c r="H941" t="s">
        <v>2127</v>
      </c>
      <c r="I941">
        <v>0</v>
      </c>
      <c r="J941" t="s">
        <v>2128</v>
      </c>
      <c r="K941" t="s">
        <v>2141</v>
      </c>
      <c r="L941" t="s">
        <v>2142</v>
      </c>
      <c r="M941" t="s">
        <v>1883</v>
      </c>
      <c r="N941" t="s">
        <v>1884</v>
      </c>
      <c r="O941" t="s">
        <v>1925</v>
      </c>
      <c r="W941" t="s">
        <v>2143</v>
      </c>
    </row>
    <row r="942" spans="1:24" x14ac:dyDescent="0.2">
      <c r="A942">
        <v>48.574722000000001</v>
      </c>
      <c r="B942">
        <v>-123.52972200000001</v>
      </c>
      <c r="C942" t="s">
        <v>41</v>
      </c>
      <c r="D942" t="s">
        <v>2144</v>
      </c>
      <c r="E942">
        <v>5</v>
      </c>
      <c r="F942" t="s">
        <v>2145</v>
      </c>
      <c r="G942" t="str">
        <f t="shared" si="14"/>
        <v>MALAHAT</v>
      </c>
      <c r="H942" t="s">
        <v>2127</v>
      </c>
      <c r="I942">
        <v>365</v>
      </c>
      <c r="J942" t="s">
        <v>2128</v>
      </c>
      <c r="K942" t="s">
        <v>2146</v>
      </c>
      <c r="L942" t="s">
        <v>2147</v>
      </c>
      <c r="M942" t="s">
        <v>1883</v>
      </c>
      <c r="N942" t="s">
        <v>1884</v>
      </c>
      <c r="O942" t="s">
        <v>1925</v>
      </c>
      <c r="R942" t="s">
        <v>36</v>
      </c>
      <c r="T942" t="s">
        <v>38</v>
      </c>
    </row>
    <row r="943" spans="1:24" x14ac:dyDescent="0.2">
      <c r="A943">
        <v>48.824167000000003</v>
      </c>
      <c r="B943">
        <v>-123.718333</v>
      </c>
      <c r="C943" t="s">
        <v>41</v>
      </c>
      <c r="D943" t="s">
        <v>2148</v>
      </c>
      <c r="E943">
        <v>2</v>
      </c>
      <c r="F943" t="s">
        <v>1934</v>
      </c>
      <c r="G943" t="str">
        <f t="shared" si="14"/>
        <v>NORTH COWICHAN</v>
      </c>
      <c r="H943" t="s">
        <v>2127</v>
      </c>
      <c r="I943">
        <v>44.8</v>
      </c>
      <c r="J943" t="s">
        <v>2128</v>
      </c>
      <c r="K943" t="s">
        <v>2149</v>
      </c>
      <c r="L943" t="s">
        <v>2150</v>
      </c>
      <c r="M943" t="s">
        <v>1883</v>
      </c>
      <c r="N943" t="s">
        <v>1884</v>
      </c>
      <c r="O943" t="s">
        <v>1925</v>
      </c>
      <c r="R943" t="s">
        <v>36</v>
      </c>
      <c r="S943" t="s">
        <v>37</v>
      </c>
      <c r="T943" t="s">
        <v>255</v>
      </c>
      <c r="U943" t="s">
        <v>39</v>
      </c>
      <c r="W943" t="s">
        <v>266</v>
      </c>
      <c r="X943" t="s">
        <v>257</v>
      </c>
    </row>
    <row r="944" spans="1:24" x14ac:dyDescent="0.2">
      <c r="A944">
        <v>48.298499999999997</v>
      </c>
      <c r="B944">
        <v>-123.531389</v>
      </c>
      <c r="C944" t="s">
        <v>41</v>
      </c>
      <c r="D944" t="s">
        <v>2151</v>
      </c>
      <c r="E944">
        <v>1</v>
      </c>
      <c r="F944" t="s">
        <v>2152</v>
      </c>
      <c r="G944" t="str">
        <f t="shared" si="14"/>
        <v xml:space="preserve">RACE ROCKS </v>
      </c>
      <c r="H944" t="s">
        <v>2127</v>
      </c>
      <c r="I944">
        <v>7.4</v>
      </c>
      <c r="J944" t="s">
        <v>2128</v>
      </c>
      <c r="K944" t="s">
        <v>2153</v>
      </c>
      <c r="L944" t="s">
        <v>2154</v>
      </c>
      <c r="M944" t="s">
        <v>1883</v>
      </c>
      <c r="N944" t="s">
        <v>1884</v>
      </c>
      <c r="O944" t="s">
        <v>1925</v>
      </c>
      <c r="R944" t="s">
        <v>36</v>
      </c>
      <c r="W944" t="s">
        <v>2155</v>
      </c>
    </row>
    <row r="945" spans="1:24" x14ac:dyDescent="0.2">
      <c r="A945">
        <v>48.621732999999999</v>
      </c>
      <c r="B945">
        <v>-123.41023300000001</v>
      </c>
      <c r="C945" t="s">
        <v>41</v>
      </c>
      <c r="D945">
        <v>1016943</v>
      </c>
      <c r="E945">
        <v>1</v>
      </c>
      <c r="F945" t="s">
        <v>2156</v>
      </c>
      <c r="G945" t="str">
        <f t="shared" si="14"/>
        <v>SAANICHTON CFIA</v>
      </c>
      <c r="H945" t="s">
        <v>2127</v>
      </c>
      <c r="I945">
        <v>24</v>
      </c>
      <c r="J945" t="s">
        <v>2128</v>
      </c>
      <c r="K945" t="s">
        <v>2157</v>
      </c>
      <c r="M945" t="s">
        <v>1883</v>
      </c>
      <c r="N945" t="s">
        <v>1884</v>
      </c>
      <c r="O945" t="s">
        <v>1925</v>
      </c>
      <c r="R945" t="s">
        <v>36</v>
      </c>
      <c r="S945" t="s">
        <v>37</v>
      </c>
      <c r="T945" t="s">
        <v>2158</v>
      </c>
      <c r="U945" t="s">
        <v>39</v>
      </c>
      <c r="W945" t="s">
        <v>266</v>
      </c>
      <c r="X945" t="s">
        <v>257</v>
      </c>
    </row>
    <row r="946" spans="1:24" x14ac:dyDescent="0.2">
      <c r="A946">
        <v>48.774999999999999</v>
      </c>
      <c r="B946">
        <v>-123.128056</v>
      </c>
      <c r="C946" t="s">
        <v>41</v>
      </c>
      <c r="D946" t="s">
        <v>2159</v>
      </c>
      <c r="E946">
        <v>4</v>
      </c>
      <c r="F946" t="s">
        <v>2160</v>
      </c>
      <c r="G946" t="str">
        <f t="shared" si="14"/>
        <v>SATURNA CAPMON CS</v>
      </c>
      <c r="H946" t="s">
        <v>2127</v>
      </c>
      <c r="I946">
        <v>178</v>
      </c>
      <c r="J946" t="s">
        <v>2128</v>
      </c>
      <c r="K946" t="s">
        <v>2161</v>
      </c>
      <c r="L946" t="s">
        <v>2162</v>
      </c>
      <c r="M946" t="s">
        <v>1883</v>
      </c>
      <c r="N946" t="s">
        <v>1884</v>
      </c>
      <c r="O946" t="s">
        <v>1925</v>
      </c>
      <c r="R946" t="s">
        <v>36</v>
      </c>
      <c r="S946" t="s">
        <v>37</v>
      </c>
      <c r="T946" t="s">
        <v>255</v>
      </c>
      <c r="U946" t="s">
        <v>39</v>
      </c>
      <c r="W946" t="s">
        <v>266</v>
      </c>
      <c r="X946" t="s">
        <v>257</v>
      </c>
    </row>
    <row r="947" spans="1:24" x14ac:dyDescent="0.2">
      <c r="A947">
        <v>48.783889000000002</v>
      </c>
      <c r="B947">
        <v>-123.04472199999999</v>
      </c>
      <c r="C947" t="s">
        <v>41</v>
      </c>
      <c r="D947" t="s">
        <v>2163</v>
      </c>
      <c r="E947">
        <v>1</v>
      </c>
      <c r="F947" t="s">
        <v>2164</v>
      </c>
      <c r="G947" t="str">
        <f t="shared" si="14"/>
        <v>SATURNA ISLAND CS</v>
      </c>
      <c r="H947" t="s">
        <v>2127</v>
      </c>
      <c r="I947">
        <v>24</v>
      </c>
      <c r="J947" t="s">
        <v>2128</v>
      </c>
      <c r="K947" t="s">
        <v>2165</v>
      </c>
      <c r="L947" t="s">
        <v>1965</v>
      </c>
      <c r="M947" t="s">
        <v>1883</v>
      </c>
      <c r="N947" t="s">
        <v>1884</v>
      </c>
      <c r="O947" t="s">
        <v>1925</v>
      </c>
      <c r="R947" t="s">
        <v>36</v>
      </c>
      <c r="S947" t="s">
        <v>37</v>
      </c>
      <c r="T947" t="s">
        <v>38</v>
      </c>
      <c r="W947" t="s">
        <v>266</v>
      </c>
      <c r="X947" t="s">
        <v>257</v>
      </c>
    </row>
    <row r="948" spans="1:24" x14ac:dyDescent="0.2">
      <c r="A948">
        <v>48.376800000000003</v>
      </c>
      <c r="B948">
        <v>-123.92100000000001</v>
      </c>
      <c r="C948" t="s">
        <v>41</v>
      </c>
      <c r="D948">
        <v>1017254</v>
      </c>
      <c r="E948">
        <v>1</v>
      </c>
      <c r="F948" t="s">
        <v>2166</v>
      </c>
      <c r="G948" t="str">
        <f t="shared" si="14"/>
        <v>SHERINGHAM POINT</v>
      </c>
      <c r="H948" t="s">
        <v>2127</v>
      </c>
      <c r="I948">
        <v>6.9</v>
      </c>
      <c r="J948" t="s">
        <v>2128</v>
      </c>
      <c r="K948" t="s">
        <v>2167</v>
      </c>
      <c r="M948" t="s">
        <v>1883</v>
      </c>
      <c r="N948" t="s">
        <v>1884</v>
      </c>
      <c r="O948" t="s">
        <v>1925</v>
      </c>
      <c r="R948" t="s">
        <v>36</v>
      </c>
      <c r="S948" t="s">
        <v>37</v>
      </c>
      <c r="T948" t="s">
        <v>38</v>
      </c>
      <c r="W948" t="s">
        <v>266</v>
      </c>
      <c r="X948" t="s">
        <v>257</v>
      </c>
    </row>
    <row r="949" spans="1:24" x14ac:dyDescent="0.2">
      <c r="A949">
        <v>48.456944</v>
      </c>
      <c r="B949">
        <v>-123.304444</v>
      </c>
      <c r="C949" t="s">
        <v>41</v>
      </c>
      <c r="D949" t="s">
        <v>2168</v>
      </c>
      <c r="E949">
        <v>2</v>
      </c>
      <c r="F949" t="s">
        <v>2169</v>
      </c>
      <c r="G949" t="str">
        <f t="shared" si="14"/>
        <v>VICTORIA UNIVERSITY CS</v>
      </c>
      <c r="H949" t="s">
        <v>2127</v>
      </c>
      <c r="I949">
        <v>60</v>
      </c>
      <c r="J949" t="s">
        <v>2128</v>
      </c>
      <c r="K949" t="s">
        <v>2170</v>
      </c>
      <c r="L949" t="s">
        <v>2107</v>
      </c>
      <c r="M949" t="s">
        <v>1883</v>
      </c>
      <c r="N949" t="s">
        <v>1884</v>
      </c>
      <c r="O949" t="s">
        <v>1925</v>
      </c>
      <c r="R949" t="s">
        <v>36</v>
      </c>
      <c r="S949" t="s">
        <v>37</v>
      </c>
      <c r="T949" t="s">
        <v>255</v>
      </c>
      <c r="W949" t="s">
        <v>266</v>
      </c>
      <c r="X949" t="s">
        <v>257</v>
      </c>
    </row>
    <row r="950" spans="1:24" x14ac:dyDescent="0.2">
      <c r="A950">
        <v>48.413333000000002</v>
      </c>
      <c r="B950">
        <v>-123.32525</v>
      </c>
      <c r="C950" t="s">
        <v>41</v>
      </c>
      <c r="D950" t="s">
        <v>2171</v>
      </c>
      <c r="E950">
        <v>2</v>
      </c>
      <c r="F950" t="s">
        <v>2172</v>
      </c>
      <c r="G950" t="str">
        <f t="shared" si="14"/>
        <v>VICTORIA GONZALES CS</v>
      </c>
      <c r="H950" t="s">
        <v>2127</v>
      </c>
      <c r="I950">
        <v>61.039000000000001</v>
      </c>
      <c r="J950" t="s">
        <v>2128</v>
      </c>
      <c r="K950" t="s">
        <v>2173</v>
      </c>
      <c r="L950" t="s">
        <v>1939</v>
      </c>
      <c r="M950" t="s">
        <v>1883</v>
      </c>
      <c r="N950" t="s">
        <v>1884</v>
      </c>
      <c r="O950" t="s">
        <v>1925</v>
      </c>
      <c r="R950" t="s">
        <v>36</v>
      </c>
      <c r="S950" t="s">
        <v>37</v>
      </c>
      <c r="T950" t="s">
        <v>38</v>
      </c>
      <c r="W950" t="s">
        <v>2155</v>
      </c>
      <c r="X950" t="s">
        <v>257</v>
      </c>
    </row>
    <row r="951" spans="1:24" x14ac:dyDescent="0.2">
      <c r="A951">
        <v>49.350299999999997</v>
      </c>
      <c r="B951">
        <v>-124.16027800000001</v>
      </c>
      <c r="C951" t="s">
        <v>41</v>
      </c>
      <c r="D951" t="s">
        <v>2174</v>
      </c>
      <c r="E951">
        <v>1</v>
      </c>
      <c r="F951" t="s">
        <v>2175</v>
      </c>
      <c r="G951" t="str">
        <f t="shared" si="14"/>
        <v>BALLENAS ISLAND</v>
      </c>
      <c r="H951" t="s">
        <v>2127</v>
      </c>
      <c r="I951">
        <v>13</v>
      </c>
      <c r="J951" t="s">
        <v>2128</v>
      </c>
      <c r="K951" t="s">
        <v>2176</v>
      </c>
      <c r="L951" t="s">
        <v>2177</v>
      </c>
      <c r="M951" t="s">
        <v>1883</v>
      </c>
      <c r="N951" t="s">
        <v>1884</v>
      </c>
      <c r="O951" t="s">
        <v>1925</v>
      </c>
      <c r="R951" t="s">
        <v>36</v>
      </c>
      <c r="S951" t="s">
        <v>37</v>
      </c>
      <c r="T951" t="s">
        <v>255</v>
      </c>
      <c r="W951" t="s">
        <v>266</v>
      </c>
      <c r="X951" t="s">
        <v>257</v>
      </c>
    </row>
    <row r="952" spans="1:24" x14ac:dyDescent="0.2">
      <c r="A952">
        <v>49.216700000000003</v>
      </c>
      <c r="B952">
        <v>-123.8</v>
      </c>
      <c r="C952" t="s">
        <v>41</v>
      </c>
      <c r="D952" t="s">
        <v>2178</v>
      </c>
      <c r="E952">
        <v>1</v>
      </c>
      <c r="F952" t="s">
        <v>2179</v>
      </c>
      <c r="G952" t="str">
        <f t="shared" si="14"/>
        <v xml:space="preserve">ENTRANCE ISLAND </v>
      </c>
      <c r="H952" t="s">
        <v>2127</v>
      </c>
      <c r="I952">
        <v>7.6</v>
      </c>
      <c r="J952" t="s">
        <v>2128</v>
      </c>
      <c r="K952" t="s">
        <v>2180</v>
      </c>
      <c r="L952" t="s">
        <v>2181</v>
      </c>
      <c r="M952" t="s">
        <v>1883</v>
      </c>
      <c r="N952" t="s">
        <v>1884</v>
      </c>
      <c r="O952" t="s">
        <v>1925</v>
      </c>
      <c r="R952" t="s">
        <v>36</v>
      </c>
      <c r="S952" t="s">
        <v>37</v>
      </c>
      <c r="T952" t="s">
        <v>38</v>
      </c>
      <c r="W952" t="s">
        <v>266</v>
      </c>
      <c r="X952" t="s">
        <v>257</v>
      </c>
    </row>
    <row r="953" spans="1:24" x14ac:dyDescent="0.2">
      <c r="A953">
        <v>50.453333000000001</v>
      </c>
      <c r="B953">
        <v>-125.992778</v>
      </c>
      <c r="C953" t="s">
        <v>204</v>
      </c>
      <c r="D953" t="s">
        <v>2182</v>
      </c>
      <c r="E953">
        <v>1</v>
      </c>
      <c r="F953" t="s">
        <v>2183</v>
      </c>
      <c r="G953" t="str">
        <f t="shared" si="14"/>
        <v>FANNY ISLAND</v>
      </c>
      <c r="H953" t="s">
        <v>2127</v>
      </c>
      <c r="I953">
        <v>3.2</v>
      </c>
      <c r="J953" t="s">
        <v>2128</v>
      </c>
      <c r="K953" t="s">
        <v>2184</v>
      </c>
      <c r="L953" t="s">
        <v>2185</v>
      </c>
      <c r="M953" t="s">
        <v>1883</v>
      </c>
      <c r="N953" t="s">
        <v>1884</v>
      </c>
      <c r="O953" t="s">
        <v>1925</v>
      </c>
      <c r="R953" t="s">
        <v>36</v>
      </c>
      <c r="S953" t="s">
        <v>37</v>
      </c>
      <c r="T953" t="s">
        <v>38</v>
      </c>
      <c r="W953" t="s">
        <v>266</v>
      </c>
      <c r="X953" t="s">
        <v>257</v>
      </c>
    </row>
    <row r="954" spans="1:24" x14ac:dyDescent="0.2">
      <c r="A954">
        <v>50.684838999999997</v>
      </c>
      <c r="B954">
        <v>-127.380436</v>
      </c>
      <c r="C954" t="s">
        <v>204</v>
      </c>
      <c r="D954">
        <v>1026273</v>
      </c>
      <c r="E954">
        <v>1</v>
      </c>
      <c r="F954" t="s">
        <v>2186</v>
      </c>
      <c r="G954" t="str">
        <f t="shared" si="14"/>
        <v>PORT HARDY AIRPORT</v>
      </c>
      <c r="H954" t="s">
        <v>2127</v>
      </c>
      <c r="I954">
        <v>18.843</v>
      </c>
      <c r="L954" t="s">
        <v>2187</v>
      </c>
      <c r="M954" t="s">
        <v>1883</v>
      </c>
      <c r="N954" t="s">
        <v>1884</v>
      </c>
      <c r="O954" t="s">
        <v>1925</v>
      </c>
      <c r="R954" t="s">
        <v>36</v>
      </c>
      <c r="S954" t="s">
        <v>37</v>
      </c>
      <c r="T954" t="s">
        <v>689</v>
      </c>
      <c r="U954" t="s">
        <v>39</v>
      </c>
      <c r="W954" t="s">
        <v>266</v>
      </c>
      <c r="X954" t="s">
        <v>257</v>
      </c>
    </row>
    <row r="955" spans="1:24" x14ac:dyDescent="0.2">
      <c r="A955">
        <v>49.337221999999997</v>
      </c>
      <c r="B955">
        <v>-124.393889</v>
      </c>
      <c r="C955" t="s">
        <v>41</v>
      </c>
      <c r="D955" t="s">
        <v>2188</v>
      </c>
      <c r="E955">
        <v>2</v>
      </c>
      <c r="F955" t="s">
        <v>2189</v>
      </c>
      <c r="G955" t="str">
        <f t="shared" si="14"/>
        <v>QUALICUM BEACH AIRPORT</v>
      </c>
      <c r="H955" t="s">
        <v>2127</v>
      </c>
      <c r="I955">
        <v>58.2</v>
      </c>
      <c r="J955" t="s">
        <v>2128</v>
      </c>
      <c r="K955" t="s">
        <v>2190</v>
      </c>
      <c r="L955" t="s">
        <v>2191</v>
      </c>
      <c r="M955" t="s">
        <v>1883</v>
      </c>
      <c r="N955" t="s">
        <v>1884</v>
      </c>
      <c r="O955" t="s">
        <v>1925</v>
      </c>
      <c r="R955" t="s">
        <v>36</v>
      </c>
      <c r="S955" t="s">
        <v>37</v>
      </c>
      <c r="T955" t="s">
        <v>255</v>
      </c>
      <c r="U955" t="s">
        <v>39</v>
      </c>
      <c r="W955" t="s">
        <v>266</v>
      </c>
      <c r="X955" t="s">
        <v>257</v>
      </c>
    </row>
    <row r="956" spans="1:24" x14ac:dyDescent="0.2">
      <c r="A956">
        <v>49.383056000000003</v>
      </c>
      <c r="B956">
        <v>-126.544444</v>
      </c>
      <c r="C956" t="s">
        <v>204</v>
      </c>
      <c r="D956" t="s">
        <v>2192</v>
      </c>
      <c r="E956">
        <v>1</v>
      </c>
      <c r="F956" t="s">
        <v>2193</v>
      </c>
      <c r="G956" t="str">
        <f t="shared" si="14"/>
        <v>ESTEVAN POINT CS</v>
      </c>
      <c r="H956" t="s">
        <v>2127</v>
      </c>
      <c r="I956">
        <v>7</v>
      </c>
      <c r="J956" t="s">
        <v>2128</v>
      </c>
      <c r="K956" t="s">
        <v>2194</v>
      </c>
      <c r="L956" t="s">
        <v>2195</v>
      </c>
      <c r="M956" t="s">
        <v>1883</v>
      </c>
      <c r="N956" t="s">
        <v>1884</v>
      </c>
      <c r="O956" t="s">
        <v>1925</v>
      </c>
      <c r="R956" t="s">
        <v>36</v>
      </c>
      <c r="S956" t="s">
        <v>37</v>
      </c>
      <c r="T956" t="s">
        <v>255</v>
      </c>
      <c r="U956" t="s">
        <v>39</v>
      </c>
      <c r="W956" t="s">
        <v>2196</v>
      </c>
      <c r="X956" t="s">
        <v>257</v>
      </c>
    </row>
    <row r="957" spans="1:24" x14ac:dyDescent="0.2">
      <c r="A957">
        <v>50.533299999999997</v>
      </c>
      <c r="B957">
        <v>-127.6536</v>
      </c>
      <c r="C957" t="s">
        <v>204</v>
      </c>
      <c r="D957" t="s">
        <v>2197</v>
      </c>
      <c r="E957">
        <v>1</v>
      </c>
      <c r="F957" t="s">
        <v>2198</v>
      </c>
      <c r="G957" t="str">
        <f t="shared" si="14"/>
        <v>QUATSINO</v>
      </c>
      <c r="H957" t="s">
        <v>2127</v>
      </c>
      <c r="I957">
        <v>2.5</v>
      </c>
      <c r="J957" t="s">
        <v>2128</v>
      </c>
      <c r="K957" t="s">
        <v>1923</v>
      </c>
      <c r="L957" t="s">
        <v>2199</v>
      </c>
      <c r="M957" t="s">
        <v>1883</v>
      </c>
      <c r="N957" t="s">
        <v>1884</v>
      </c>
      <c r="O957" t="s">
        <v>1925</v>
      </c>
      <c r="P957" t="s">
        <v>2200</v>
      </c>
      <c r="R957" t="s">
        <v>36</v>
      </c>
      <c r="S957" t="s">
        <v>37</v>
      </c>
      <c r="T957" t="s">
        <v>1047</v>
      </c>
      <c r="U957" t="s">
        <v>39</v>
      </c>
    </row>
    <row r="958" spans="1:24" x14ac:dyDescent="0.2">
      <c r="A958">
        <v>50.820833</v>
      </c>
      <c r="B958">
        <v>-128.90805599999999</v>
      </c>
      <c r="C958" t="s">
        <v>204</v>
      </c>
      <c r="D958" t="s">
        <v>2201</v>
      </c>
      <c r="E958">
        <v>1</v>
      </c>
      <c r="F958" t="s">
        <v>2202</v>
      </c>
      <c r="G958" t="str">
        <f t="shared" si="14"/>
        <v>SARTINE ISLAND (AUT)</v>
      </c>
      <c r="H958" t="s">
        <v>2127</v>
      </c>
      <c r="I958">
        <v>111.5</v>
      </c>
      <c r="J958" t="s">
        <v>2128</v>
      </c>
      <c r="K958" t="s">
        <v>2203</v>
      </c>
      <c r="L958" t="s">
        <v>2142</v>
      </c>
      <c r="M958" t="s">
        <v>1883</v>
      </c>
      <c r="N958" t="s">
        <v>1884</v>
      </c>
      <c r="O958" t="s">
        <v>1925</v>
      </c>
      <c r="R958" t="s">
        <v>36</v>
      </c>
      <c r="S958" t="s">
        <v>37</v>
      </c>
      <c r="T958" t="s">
        <v>38</v>
      </c>
      <c r="W958" t="s">
        <v>266</v>
      </c>
      <c r="X958" t="s">
        <v>257</v>
      </c>
    </row>
    <row r="959" spans="1:24" x14ac:dyDescent="0.2">
      <c r="A959">
        <v>50.111508000000001</v>
      </c>
      <c r="B959">
        <v>-127.94031099999999</v>
      </c>
      <c r="C959" t="s">
        <v>204</v>
      </c>
      <c r="D959">
        <v>1037553</v>
      </c>
      <c r="E959">
        <v>1</v>
      </c>
      <c r="F959" t="s">
        <v>2204</v>
      </c>
      <c r="G959" t="str">
        <f t="shared" si="14"/>
        <v>SOLANDER ISLAND (AUT)</v>
      </c>
      <c r="H959" t="s">
        <v>2127</v>
      </c>
      <c r="I959">
        <v>91.8</v>
      </c>
      <c r="J959" t="s">
        <v>2128</v>
      </c>
      <c r="K959" t="s">
        <v>2205</v>
      </c>
      <c r="M959" t="s">
        <v>1883</v>
      </c>
      <c r="N959" t="s">
        <v>1884</v>
      </c>
      <c r="O959" t="s">
        <v>1925</v>
      </c>
      <c r="R959" t="s">
        <v>36</v>
      </c>
      <c r="S959" t="s">
        <v>37</v>
      </c>
      <c r="T959" t="s">
        <v>38</v>
      </c>
      <c r="W959" t="s">
        <v>2206</v>
      </c>
      <c r="X959" t="s">
        <v>257</v>
      </c>
    </row>
    <row r="960" spans="1:24" x14ac:dyDescent="0.2">
      <c r="A960">
        <v>49.804443999999997</v>
      </c>
      <c r="B960">
        <v>-124.52500000000001</v>
      </c>
      <c r="C960" t="s">
        <v>41</v>
      </c>
      <c r="D960" t="s">
        <v>2207</v>
      </c>
      <c r="E960">
        <v>1</v>
      </c>
      <c r="F960" t="s">
        <v>2208</v>
      </c>
      <c r="G960" t="str">
        <f t="shared" si="14"/>
        <v>GRIEF POINT</v>
      </c>
      <c r="H960" t="s">
        <v>2127</v>
      </c>
      <c r="I960">
        <v>0</v>
      </c>
      <c r="J960" t="s">
        <v>2128</v>
      </c>
      <c r="K960" t="s">
        <v>2209</v>
      </c>
      <c r="L960" t="s">
        <v>2142</v>
      </c>
      <c r="M960" t="s">
        <v>1883</v>
      </c>
      <c r="N960" t="s">
        <v>1884</v>
      </c>
      <c r="O960" t="s">
        <v>1925</v>
      </c>
      <c r="W960" t="s">
        <v>2210</v>
      </c>
    </row>
    <row r="961" spans="1:24" x14ac:dyDescent="0.2">
      <c r="A961">
        <v>49.526111</v>
      </c>
      <c r="B961">
        <v>-123.496111</v>
      </c>
      <c r="C961" t="s">
        <v>41</v>
      </c>
      <c r="D961" t="s">
        <v>2211</v>
      </c>
      <c r="E961">
        <v>3</v>
      </c>
      <c r="F961" t="s">
        <v>2212</v>
      </c>
      <c r="G961" t="str">
        <f t="shared" si="14"/>
        <v>PORT MELLON</v>
      </c>
      <c r="H961" t="s">
        <v>2127</v>
      </c>
      <c r="I961">
        <v>122.6</v>
      </c>
      <c r="J961" t="s">
        <v>2128</v>
      </c>
      <c r="K961" t="s">
        <v>2213</v>
      </c>
      <c r="L961" t="s">
        <v>2214</v>
      </c>
      <c r="M961" t="s">
        <v>1883</v>
      </c>
      <c r="N961" t="s">
        <v>1884</v>
      </c>
      <c r="O961" t="s">
        <v>1925</v>
      </c>
      <c r="R961" t="s">
        <v>36</v>
      </c>
      <c r="S961" t="s">
        <v>37</v>
      </c>
      <c r="T961" t="s">
        <v>255</v>
      </c>
      <c r="U961" t="s">
        <v>39</v>
      </c>
      <c r="W961" t="s">
        <v>266</v>
      </c>
      <c r="X961" t="s">
        <v>257</v>
      </c>
    </row>
    <row r="962" spans="1:24" x14ac:dyDescent="0.2">
      <c r="A962">
        <v>49.834443999999998</v>
      </c>
      <c r="B962">
        <v>-124.496667</v>
      </c>
      <c r="C962" t="s">
        <v>41</v>
      </c>
      <c r="D962" t="s">
        <v>2215</v>
      </c>
      <c r="E962">
        <v>3</v>
      </c>
      <c r="F962" t="s">
        <v>2216</v>
      </c>
      <c r="G962" t="str">
        <f t="shared" ref="G962:G1025" si="15">UPPER(F962)</f>
        <v>POWELL RIVER</v>
      </c>
      <c r="H962" t="s">
        <v>2127</v>
      </c>
      <c r="I962">
        <v>125</v>
      </c>
      <c r="J962" t="s">
        <v>2128</v>
      </c>
      <c r="K962" t="s">
        <v>2217</v>
      </c>
      <c r="L962" t="s">
        <v>2218</v>
      </c>
      <c r="M962" t="s">
        <v>1883</v>
      </c>
      <c r="N962" t="s">
        <v>1884</v>
      </c>
      <c r="O962" t="s">
        <v>1925</v>
      </c>
      <c r="R962" t="s">
        <v>36</v>
      </c>
      <c r="S962" t="s">
        <v>37</v>
      </c>
      <c r="T962" t="s">
        <v>255</v>
      </c>
      <c r="U962" t="s">
        <v>39</v>
      </c>
      <c r="W962" t="s">
        <v>266</v>
      </c>
      <c r="X962" t="s">
        <v>257</v>
      </c>
    </row>
    <row r="963" spans="1:24" x14ac:dyDescent="0.2">
      <c r="A963">
        <v>49.457777999999998</v>
      </c>
      <c r="B963">
        <v>-123.7153</v>
      </c>
      <c r="C963" t="s">
        <v>41</v>
      </c>
      <c r="D963" t="s">
        <v>2219</v>
      </c>
      <c r="E963">
        <v>2</v>
      </c>
      <c r="F963" t="s">
        <v>2220</v>
      </c>
      <c r="G963" t="str">
        <f t="shared" si="15"/>
        <v>SECHELT</v>
      </c>
      <c r="H963" t="s">
        <v>2127</v>
      </c>
      <c r="I963">
        <v>86.2</v>
      </c>
      <c r="J963" t="s">
        <v>2128</v>
      </c>
      <c r="K963" t="s">
        <v>2221</v>
      </c>
      <c r="L963" t="s">
        <v>2218</v>
      </c>
      <c r="M963" t="s">
        <v>1883</v>
      </c>
      <c r="N963" t="s">
        <v>1884</v>
      </c>
      <c r="O963" t="s">
        <v>1925</v>
      </c>
      <c r="R963" t="s">
        <v>36</v>
      </c>
      <c r="S963" t="s">
        <v>37</v>
      </c>
      <c r="T963" t="s">
        <v>255</v>
      </c>
      <c r="U963" t="s">
        <v>39</v>
      </c>
      <c r="W963" t="s">
        <v>266</v>
      </c>
      <c r="X963" t="s">
        <v>257</v>
      </c>
    </row>
    <row r="964" spans="1:24" x14ac:dyDescent="0.2">
      <c r="A964">
        <v>51.935833330000001</v>
      </c>
      <c r="B964">
        <v>-131.01583299999999</v>
      </c>
      <c r="C964" t="s">
        <v>204</v>
      </c>
      <c r="D964" t="s">
        <v>2222</v>
      </c>
      <c r="E964">
        <v>1</v>
      </c>
      <c r="F964" t="s">
        <v>2223</v>
      </c>
      <c r="G964" t="str">
        <f t="shared" si="15"/>
        <v>CAPE ST JAMES CS</v>
      </c>
      <c r="H964" t="s">
        <v>2127</v>
      </c>
      <c r="I964">
        <v>87.8</v>
      </c>
      <c r="J964" t="s">
        <v>2128</v>
      </c>
      <c r="K964" t="s">
        <v>2224</v>
      </c>
      <c r="L964" t="s">
        <v>2225</v>
      </c>
      <c r="M964" t="s">
        <v>1883</v>
      </c>
      <c r="N964" t="s">
        <v>1884</v>
      </c>
      <c r="O964" t="s">
        <v>1925</v>
      </c>
      <c r="R964" t="s">
        <v>36</v>
      </c>
      <c r="S964" t="s">
        <v>37</v>
      </c>
      <c r="T964" t="s">
        <v>255</v>
      </c>
      <c r="W964" t="s">
        <v>266</v>
      </c>
      <c r="X964" t="s">
        <v>257</v>
      </c>
    </row>
    <row r="965" spans="1:24" x14ac:dyDescent="0.2">
      <c r="A965">
        <v>53.315556000000001</v>
      </c>
      <c r="B965">
        <v>-132.77194399999999</v>
      </c>
      <c r="C965" t="s">
        <v>204</v>
      </c>
      <c r="D965" t="s">
        <v>2226</v>
      </c>
      <c r="E965">
        <v>1</v>
      </c>
      <c r="F965" t="s">
        <v>2227</v>
      </c>
      <c r="G965" t="str">
        <f t="shared" si="15"/>
        <v>KINDAKUN ROCKS (AUT)</v>
      </c>
      <c r="H965" t="s">
        <v>2127</v>
      </c>
      <c r="I965">
        <v>14.7</v>
      </c>
      <c r="J965" t="s">
        <v>2128</v>
      </c>
      <c r="K965" t="s">
        <v>2228</v>
      </c>
      <c r="L965" t="s">
        <v>2142</v>
      </c>
      <c r="M965" t="s">
        <v>1883</v>
      </c>
      <c r="N965" t="s">
        <v>1884</v>
      </c>
      <c r="O965" t="s">
        <v>1925</v>
      </c>
      <c r="R965" t="s">
        <v>36</v>
      </c>
      <c r="S965" t="s">
        <v>37</v>
      </c>
      <c r="T965" t="s">
        <v>38</v>
      </c>
      <c r="W965" t="s">
        <v>249</v>
      </c>
      <c r="X965" t="s">
        <v>257</v>
      </c>
    </row>
    <row r="966" spans="1:24" x14ac:dyDescent="0.2">
      <c r="A966">
        <v>54.255277999999997</v>
      </c>
      <c r="B966">
        <v>-133.058333</v>
      </c>
      <c r="C966" t="s">
        <v>204</v>
      </c>
      <c r="D966" t="s">
        <v>2229</v>
      </c>
      <c r="E966">
        <v>1</v>
      </c>
      <c r="F966" t="s">
        <v>2230</v>
      </c>
      <c r="G966" t="str">
        <f t="shared" si="15"/>
        <v>LANGARA ISLAND RCS</v>
      </c>
      <c r="H966" t="s">
        <v>2127</v>
      </c>
      <c r="I966">
        <v>46.9</v>
      </c>
      <c r="J966" t="s">
        <v>2128</v>
      </c>
      <c r="K966" t="s">
        <v>2231</v>
      </c>
      <c r="L966" t="s">
        <v>2107</v>
      </c>
      <c r="M966" t="s">
        <v>1883</v>
      </c>
      <c r="N966" t="s">
        <v>1884</v>
      </c>
      <c r="O966" t="s">
        <v>1925</v>
      </c>
      <c r="R966" t="s">
        <v>36</v>
      </c>
      <c r="S966" t="s">
        <v>37</v>
      </c>
      <c r="T966" t="s">
        <v>38</v>
      </c>
      <c r="U966" t="s">
        <v>39</v>
      </c>
      <c r="W966" t="s">
        <v>2206</v>
      </c>
      <c r="X966" t="s">
        <v>257</v>
      </c>
    </row>
    <row r="967" spans="1:24" x14ac:dyDescent="0.2">
      <c r="A967">
        <v>54.159100000000002</v>
      </c>
      <c r="B967">
        <v>-131.66130000000001</v>
      </c>
      <c r="C967" t="s">
        <v>204</v>
      </c>
      <c r="D967" t="s">
        <v>2232</v>
      </c>
      <c r="E967">
        <v>1</v>
      </c>
      <c r="F967" t="s">
        <v>2233</v>
      </c>
      <c r="G967" t="str">
        <f t="shared" si="15"/>
        <v>ROSE SPIT (AUT)</v>
      </c>
      <c r="H967" t="s">
        <v>2127</v>
      </c>
      <c r="I967">
        <v>6.6</v>
      </c>
      <c r="J967" t="s">
        <v>2128</v>
      </c>
      <c r="K967" t="s">
        <v>2234</v>
      </c>
      <c r="L967" t="s">
        <v>2235</v>
      </c>
      <c r="M967" t="s">
        <v>1883</v>
      </c>
      <c r="N967" t="s">
        <v>1884</v>
      </c>
      <c r="O967" t="s">
        <v>1925</v>
      </c>
      <c r="R967" t="s">
        <v>36</v>
      </c>
      <c r="S967" t="s">
        <v>37</v>
      </c>
      <c r="T967" t="s">
        <v>255</v>
      </c>
      <c r="W967" t="s">
        <v>266</v>
      </c>
      <c r="X967" t="s">
        <v>257</v>
      </c>
    </row>
    <row r="968" spans="1:24" x14ac:dyDescent="0.2">
      <c r="A968">
        <v>53.250300000000003</v>
      </c>
      <c r="B968">
        <v>-131.8133</v>
      </c>
      <c r="C968" t="s">
        <v>204</v>
      </c>
      <c r="D968" t="s">
        <v>2236</v>
      </c>
      <c r="E968">
        <v>1</v>
      </c>
      <c r="F968" t="s">
        <v>2237</v>
      </c>
      <c r="G968" t="str">
        <f t="shared" si="15"/>
        <v>SANDSPIT AIRPORT AUTO</v>
      </c>
      <c r="H968" t="s">
        <v>2127</v>
      </c>
      <c r="I968">
        <v>6.5</v>
      </c>
      <c r="J968" t="s">
        <v>2128</v>
      </c>
      <c r="K968" t="s">
        <v>2238</v>
      </c>
      <c r="L968" t="s">
        <v>2239</v>
      </c>
      <c r="M968" t="s">
        <v>1883</v>
      </c>
      <c r="N968" t="s">
        <v>1884</v>
      </c>
      <c r="O968" t="s">
        <v>1925</v>
      </c>
      <c r="R968" t="s">
        <v>36</v>
      </c>
      <c r="S968" t="s">
        <v>37</v>
      </c>
      <c r="T968" t="s">
        <v>2240</v>
      </c>
      <c r="U968" t="s">
        <v>39</v>
      </c>
      <c r="W968" t="s">
        <v>266</v>
      </c>
      <c r="X968" t="s">
        <v>257</v>
      </c>
    </row>
    <row r="969" spans="1:24" x14ac:dyDescent="0.2">
      <c r="A969">
        <v>52.387500000000003</v>
      </c>
      <c r="B969">
        <v>-126.595556</v>
      </c>
      <c r="C969" t="s">
        <v>204</v>
      </c>
      <c r="D969" t="s">
        <v>2241</v>
      </c>
      <c r="E969">
        <v>1</v>
      </c>
      <c r="F969" t="s">
        <v>2242</v>
      </c>
      <c r="G969" t="str">
        <f t="shared" si="15"/>
        <v xml:space="preserve">BELLA COOLA </v>
      </c>
      <c r="H969" t="s">
        <v>2127</v>
      </c>
      <c r="I969">
        <v>35.700000000000003</v>
      </c>
      <c r="J969" t="s">
        <v>2128</v>
      </c>
      <c r="K969" t="s">
        <v>2243</v>
      </c>
      <c r="L969" t="s">
        <v>2244</v>
      </c>
      <c r="M969" t="s">
        <v>1883</v>
      </c>
      <c r="N969" t="s">
        <v>1884</v>
      </c>
      <c r="O969" t="s">
        <v>1925</v>
      </c>
      <c r="R969" t="s">
        <v>36</v>
      </c>
      <c r="S969" t="s">
        <v>37</v>
      </c>
      <c r="T969" t="s">
        <v>2240</v>
      </c>
      <c r="U969" t="s">
        <v>39</v>
      </c>
      <c r="W969" t="s">
        <v>266</v>
      </c>
      <c r="X969" t="s">
        <v>257</v>
      </c>
    </row>
    <row r="970" spans="1:24" x14ac:dyDescent="0.2">
      <c r="A970">
        <v>52.187221999999998</v>
      </c>
      <c r="B970">
        <v>-127.47111099999999</v>
      </c>
      <c r="C970" t="s">
        <v>204</v>
      </c>
      <c r="D970" t="s">
        <v>2245</v>
      </c>
      <c r="E970">
        <v>1</v>
      </c>
      <c r="F970" t="s">
        <v>2246</v>
      </c>
      <c r="G970" t="str">
        <f t="shared" si="15"/>
        <v>CATHEDRAL POINT (AUT)</v>
      </c>
      <c r="H970" t="s">
        <v>2127</v>
      </c>
      <c r="I970">
        <v>25.7</v>
      </c>
      <c r="J970" t="s">
        <v>2128</v>
      </c>
      <c r="K970" t="s">
        <v>2247</v>
      </c>
      <c r="L970" t="s">
        <v>2142</v>
      </c>
      <c r="M970" t="s">
        <v>1883</v>
      </c>
      <c r="N970" t="s">
        <v>1884</v>
      </c>
      <c r="O970" t="s">
        <v>1925</v>
      </c>
      <c r="R970" t="s">
        <v>36</v>
      </c>
      <c r="S970" t="s">
        <v>37</v>
      </c>
      <c r="T970" t="s">
        <v>38</v>
      </c>
      <c r="W970" t="s">
        <v>2248</v>
      </c>
      <c r="X970" t="s">
        <v>257</v>
      </c>
    </row>
    <row r="971" spans="1:24" x14ac:dyDescent="0.2">
      <c r="A971">
        <v>53.030278000000003</v>
      </c>
      <c r="B971">
        <v>-131.60138900000001</v>
      </c>
      <c r="C971" t="s">
        <v>204</v>
      </c>
      <c r="D971" t="s">
        <v>2249</v>
      </c>
      <c r="E971">
        <v>1</v>
      </c>
      <c r="F971" t="s">
        <v>2250</v>
      </c>
      <c r="G971" t="str">
        <f t="shared" si="15"/>
        <v>CUMSHEWA ISLAND</v>
      </c>
      <c r="H971" t="s">
        <v>2127</v>
      </c>
      <c r="I971">
        <v>13</v>
      </c>
      <c r="J971" t="s">
        <v>2128</v>
      </c>
      <c r="K971" t="s">
        <v>2251</v>
      </c>
      <c r="L971" t="s">
        <v>2225</v>
      </c>
      <c r="M971" t="s">
        <v>1883</v>
      </c>
      <c r="N971" t="s">
        <v>1884</v>
      </c>
      <c r="O971" t="s">
        <v>1925</v>
      </c>
      <c r="R971" t="s">
        <v>36</v>
      </c>
      <c r="S971" t="s">
        <v>37</v>
      </c>
      <c r="T971" t="s">
        <v>38</v>
      </c>
      <c r="W971" t="s">
        <v>266</v>
      </c>
      <c r="X971" t="s">
        <v>257</v>
      </c>
    </row>
    <row r="972" spans="1:24" x14ac:dyDescent="0.2">
      <c r="A972">
        <v>54.568610999999997</v>
      </c>
      <c r="B972">
        <v>-130.708056</v>
      </c>
      <c r="C972" t="s">
        <v>204</v>
      </c>
      <c r="D972" t="s">
        <v>2252</v>
      </c>
      <c r="E972">
        <v>1</v>
      </c>
      <c r="F972" t="s">
        <v>2253</v>
      </c>
      <c r="G972" t="str">
        <f t="shared" si="15"/>
        <v>GREEN ISLAND</v>
      </c>
      <c r="H972" t="s">
        <v>2127</v>
      </c>
      <c r="I972">
        <v>11.9</v>
      </c>
      <c r="J972" t="s">
        <v>2128</v>
      </c>
      <c r="K972" t="s">
        <v>2254</v>
      </c>
      <c r="L972" t="s">
        <v>2074</v>
      </c>
      <c r="M972" t="s">
        <v>1883</v>
      </c>
      <c r="N972" t="s">
        <v>1884</v>
      </c>
      <c r="O972" t="s">
        <v>1925</v>
      </c>
      <c r="P972" t="s">
        <v>2200</v>
      </c>
      <c r="R972" t="s">
        <v>36</v>
      </c>
      <c r="S972" t="s">
        <v>37</v>
      </c>
      <c r="T972" t="s">
        <v>38</v>
      </c>
      <c r="U972" t="s">
        <v>39</v>
      </c>
    </row>
    <row r="973" spans="1:24" x14ac:dyDescent="0.2">
      <c r="A973">
        <v>54.580278</v>
      </c>
      <c r="B973">
        <v>-130.697778</v>
      </c>
      <c r="C973" t="s">
        <v>204</v>
      </c>
      <c r="D973" t="s">
        <v>2255</v>
      </c>
      <c r="E973">
        <v>1</v>
      </c>
      <c r="F973" t="s">
        <v>2256</v>
      </c>
      <c r="G973" t="str">
        <f t="shared" si="15"/>
        <v>GREY ISLET (AUT)</v>
      </c>
      <c r="H973" t="s">
        <v>2127</v>
      </c>
      <c r="I973">
        <v>9.5</v>
      </c>
      <c r="J973" t="s">
        <v>2128</v>
      </c>
      <c r="K973" t="s">
        <v>2257</v>
      </c>
      <c r="L973" t="s">
        <v>2142</v>
      </c>
      <c r="M973" t="s">
        <v>1883</v>
      </c>
      <c r="N973" t="s">
        <v>1884</v>
      </c>
      <c r="O973" t="s">
        <v>1925</v>
      </c>
      <c r="R973" t="s">
        <v>36</v>
      </c>
      <c r="S973" t="s">
        <v>37</v>
      </c>
      <c r="T973" t="s">
        <v>38</v>
      </c>
      <c r="W973" t="s">
        <v>2258</v>
      </c>
      <c r="X973" t="s">
        <v>257</v>
      </c>
    </row>
    <row r="974" spans="1:24" x14ac:dyDescent="0.2">
      <c r="A974">
        <v>50.939900000000002</v>
      </c>
      <c r="B974">
        <v>-127.6322</v>
      </c>
      <c r="C974" t="s">
        <v>204</v>
      </c>
      <c r="D974" t="s">
        <v>2259</v>
      </c>
      <c r="E974">
        <v>1</v>
      </c>
      <c r="F974" t="s">
        <v>2260</v>
      </c>
      <c r="G974" t="str">
        <f t="shared" si="15"/>
        <v>HERBERT ISLAND (AUT)</v>
      </c>
      <c r="H974" t="s">
        <v>2127</v>
      </c>
      <c r="I974">
        <v>14</v>
      </c>
      <c r="J974" t="s">
        <v>2128</v>
      </c>
      <c r="K974" t="s">
        <v>2261</v>
      </c>
      <c r="L974" t="s">
        <v>2142</v>
      </c>
      <c r="M974" t="s">
        <v>1883</v>
      </c>
      <c r="N974" t="s">
        <v>1884</v>
      </c>
      <c r="O974" t="s">
        <v>1925</v>
      </c>
      <c r="R974" t="s">
        <v>36</v>
      </c>
      <c r="S974" t="s">
        <v>37</v>
      </c>
      <c r="T974" t="s">
        <v>38</v>
      </c>
      <c r="W974" t="s">
        <v>1556</v>
      </c>
      <c r="X974" t="s">
        <v>257</v>
      </c>
    </row>
    <row r="975" spans="1:24" x14ac:dyDescent="0.2">
      <c r="A975">
        <v>54.1723</v>
      </c>
      <c r="B975">
        <v>-130.36099999999999</v>
      </c>
      <c r="C975" t="s">
        <v>204</v>
      </c>
      <c r="D975" t="s">
        <v>2262</v>
      </c>
      <c r="E975">
        <v>1</v>
      </c>
      <c r="F975" t="s">
        <v>2263</v>
      </c>
      <c r="G975" t="str">
        <f t="shared" si="15"/>
        <v>HOLLAND ROCK</v>
      </c>
      <c r="H975" t="s">
        <v>2127</v>
      </c>
      <c r="I975">
        <v>5.5</v>
      </c>
      <c r="J975" t="s">
        <v>2128</v>
      </c>
      <c r="K975" t="s">
        <v>2264</v>
      </c>
      <c r="L975" t="s">
        <v>2162</v>
      </c>
      <c r="M975" t="s">
        <v>1883</v>
      </c>
      <c r="N975" t="s">
        <v>1884</v>
      </c>
      <c r="O975" t="s">
        <v>1925</v>
      </c>
      <c r="R975" t="s">
        <v>36</v>
      </c>
      <c r="S975" t="s">
        <v>37</v>
      </c>
      <c r="T975" t="s">
        <v>38</v>
      </c>
      <c r="W975" t="s">
        <v>2265</v>
      </c>
      <c r="X975" t="s">
        <v>257</v>
      </c>
    </row>
    <row r="976" spans="1:24" x14ac:dyDescent="0.2">
      <c r="A976">
        <v>54.056434000000003</v>
      </c>
      <c r="B976">
        <v>-128.60407699999999</v>
      </c>
      <c r="C976" t="s">
        <v>204</v>
      </c>
      <c r="D976">
        <v>1064324</v>
      </c>
      <c r="E976">
        <v>1</v>
      </c>
      <c r="F976" t="s">
        <v>2266</v>
      </c>
      <c r="G976" t="str">
        <f t="shared" si="15"/>
        <v>KITIMAT FOREST AVE</v>
      </c>
      <c r="H976" t="s">
        <v>2127</v>
      </c>
      <c r="I976">
        <v>104.596</v>
      </c>
      <c r="J976" t="s">
        <v>2128</v>
      </c>
      <c r="K976" t="s">
        <v>2267</v>
      </c>
      <c r="M976" t="s">
        <v>1883</v>
      </c>
      <c r="N976" t="s">
        <v>1884</v>
      </c>
      <c r="O976" t="s">
        <v>1925</v>
      </c>
      <c r="R976" t="s">
        <v>36</v>
      </c>
      <c r="S976" t="s">
        <v>37</v>
      </c>
      <c r="T976" t="s">
        <v>2158</v>
      </c>
      <c r="U976" t="s">
        <v>39</v>
      </c>
      <c r="W976" t="s">
        <v>266</v>
      </c>
      <c r="X976" t="s">
        <v>257</v>
      </c>
    </row>
    <row r="977" spans="1:25" x14ac:dyDescent="0.2">
      <c r="A977">
        <v>54.295833000000002</v>
      </c>
      <c r="B977">
        <v>-130.608889</v>
      </c>
      <c r="C977" t="s">
        <v>204</v>
      </c>
      <c r="D977" t="s">
        <v>2268</v>
      </c>
      <c r="E977">
        <v>1</v>
      </c>
      <c r="F977" t="s">
        <v>2269</v>
      </c>
      <c r="G977" t="str">
        <f t="shared" si="15"/>
        <v>LUCY ISLAND LIGHTSTATION</v>
      </c>
      <c r="H977" t="s">
        <v>2127</v>
      </c>
      <c r="I977">
        <v>23</v>
      </c>
      <c r="J977" t="s">
        <v>2128</v>
      </c>
      <c r="K977" t="s">
        <v>2270</v>
      </c>
      <c r="L977" t="s">
        <v>2162</v>
      </c>
      <c r="M977" t="s">
        <v>1883</v>
      </c>
      <c r="N977" t="s">
        <v>1884</v>
      </c>
      <c r="O977" t="s">
        <v>1925</v>
      </c>
      <c r="R977" t="s">
        <v>36</v>
      </c>
      <c r="W977" t="s">
        <v>2271</v>
      </c>
    </row>
    <row r="978" spans="1:25" x14ac:dyDescent="0.2">
      <c r="A978">
        <v>52.261389000000001</v>
      </c>
      <c r="B978">
        <v>-128.719167</v>
      </c>
      <c r="C978" t="s">
        <v>204</v>
      </c>
      <c r="D978" t="s">
        <v>2272</v>
      </c>
      <c r="E978">
        <v>1</v>
      </c>
      <c r="F978" t="s">
        <v>2273</v>
      </c>
      <c r="G978" t="str">
        <f t="shared" si="15"/>
        <v>MCINNES ISLAND</v>
      </c>
      <c r="H978" t="s">
        <v>2127</v>
      </c>
      <c r="I978">
        <v>25.9</v>
      </c>
      <c r="J978" t="s">
        <v>2128</v>
      </c>
      <c r="K978" t="s">
        <v>2274</v>
      </c>
      <c r="L978" t="s">
        <v>1987</v>
      </c>
      <c r="M978" t="s">
        <v>1883</v>
      </c>
      <c r="N978" t="s">
        <v>1884</v>
      </c>
      <c r="O978" t="s">
        <v>1925</v>
      </c>
      <c r="P978" t="s">
        <v>2200</v>
      </c>
      <c r="R978" t="s">
        <v>36</v>
      </c>
      <c r="S978" t="s">
        <v>37</v>
      </c>
      <c r="T978" t="s">
        <v>38</v>
      </c>
      <c r="U978" t="s">
        <v>39</v>
      </c>
    </row>
    <row r="979" spans="1:25" x14ac:dyDescent="0.2">
      <c r="A979">
        <v>55.935833000000002</v>
      </c>
      <c r="B979">
        <v>-129.98500000000001</v>
      </c>
      <c r="C979" t="s">
        <v>204</v>
      </c>
      <c r="D979">
        <v>1067743</v>
      </c>
      <c r="E979">
        <v>1</v>
      </c>
      <c r="F979" t="s">
        <v>2275</v>
      </c>
      <c r="G979" t="str">
        <f t="shared" si="15"/>
        <v>STEWART AIRPORT</v>
      </c>
      <c r="H979" t="s">
        <v>2127</v>
      </c>
      <c r="I979">
        <v>7</v>
      </c>
      <c r="J979" t="s">
        <v>2128</v>
      </c>
      <c r="K979" t="s">
        <v>2276</v>
      </c>
      <c r="M979" t="s">
        <v>1883</v>
      </c>
      <c r="N979" t="s">
        <v>1884</v>
      </c>
      <c r="O979" t="s">
        <v>1925</v>
      </c>
      <c r="R979" t="s">
        <v>36</v>
      </c>
      <c r="S979" t="s">
        <v>37</v>
      </c>
      <c r="T979" t="s">
        <v>2277</v>
      </c>
      <c r="U979" t="s">
        <v>39</v>
      </c>
      <c r="W979" t="s">
        <v>266</v>
      </c>
      <c r="X979" t="s">
        <v>257</v>
      </c>
    </row>
    <row r="980" spans="1:25" x14ac:dyDescent="0.2">
      <c r="A980">
        <v>54.824275</v>
      </c>
      <c r="B980">
        <v>-127.18926399999999</v>
      </c>
      <c r="C980" t="s">
        <v>29</v>
      </c>
      <c r="D980">
        <v>1077501</v>
      </c>
      <c r="E980">
        <v>1</v>
      </c>
      <c r="F980" t="s">
        <v>2278</v>
      </c>
      <c r="G980" t="str">
        <f t="shared" si="15"/>
        <v>SMITHERS AIRPORT AUTO</v>
      </c>
      <c r="H980" t="s">
        <v>2127</v>
      </c>
      <c r="I980">
        <v>518.29700000000003</v>
      </c>
      <c r="J980" t="s">
        <v>2128</v>
      </c>
      <c r="K980" t="s">
        <v>2279</v>
      </c>
      <c r="M980" t="s">
        <v>1883</v>
      </c>
      <c r="N980" t="s">
        <v>1884</v>
      </c>
      <c r="O980" t="s">
        <v>1925</v>
      </c>
      <c r="R980" t="s">
        <v>36</v>
      </c>
      <c r="S980" t="s">
        <v>37</v>
      </c>
      <c r="T980" t="s">
        <v>2158</v>
      </c>
      <c r="U980" t="s">
        <v>39</v>
      </c>
      <c r="W980" t="s">
        <v>266</v>
      </c>
      <c r="X980" t="s">
        <v>257</v>
      </c>
    </row>
    <row r="981" spans="1:25" x14ac:dyDescent="0.2">
      <c r="A981">
        <v>53.771667000000001</v>
      </c>
      <c r="B981">
        <v>-125.9967194</v>
      </c>
      <c r="C981" t="s">
        <v>29</v>
      </c>
      <c r="D981" t="s">
        <v>2280</v>
      </c>
      <c r="E981">
        <v>2</v>
      </c>
      <c r="F981" t="s">
        <v>2281</v>
      </c>
      <c r="G981" t="str">
        <f t="shared" si="15"/>
        <v>OOTSA LAKESKINS LAKE CLIMATE</v>
      </c>
      <c r="H981" t="s">
        <v>2127</v>
      </c>
      <c r="I981">
        <v>861</v>
      </c>
      <c r="J981" t="s">
        <v>2128</v>
      </c>
      <c r="K981" t="s">
        <v>2282</v>
      </c>
      <c r="L981" t="s">
        <v>2283</v>
      </c>
      <c r="M981" t="s">
        <v>1883</v>
      </c>
      <c r="N981" t="s">
        <v>1884</v>
      </c>
      <c r="O981" t="s">
        <v>1925</v>
      </c>
      <c r="R981" t="s">
        <v>36</v>
      </c>
      <c r="S981" t="s">
        <v>37</v>
      </c>
      <c r="T981" t="s">
        <v>255</v>
      </c>
      <c r="U981" t="s">
        <v>39</v>
      </c>
      <c r="W981" t="s">
        <v>266</v>
      </c>
      <c r="X981" t="s">
        <v>257</v>
      </c>
      <c r="Y981" t="s">
        <v>392</v>
      </c>
    </row>
    <row r="982" spans="1:25" x14ac:dyDescent="0.2">
      <c r="A982">
        <v>50.301943999999999</v>
      </c>
      <c r="B982">
        <v>-122.738056</v>
      </c>
      <c r="C982" t="s">
        <v>204</v>
      </c>
      <c r="D982" t="s">
        <v>2284</v>
      </c>
      <c r="E982">
        <v>2</v>
      </c>
      <c r="F982" t="s">
        <v>2285</v>
      </c>
      <c r="G982" t="str">
        <f t="shared" si="15"/>
        <v>PEMBERTON AIRPORT (WIND)</v>
      </c>
      <c r="H982" t="s">
        <v>2127</v>
      </c>
      <c r="I982">
        <v>203</v>
      </c>
      <c r="J982" t="s">
        <v>2128</v>
      </c>
      <c r="K982" t="s">
        <v>2286</v>
      </c>
      <c r="L982" t="s">
        <v>2287</v>
      </c>
      <c r="M982" t="s">
        <v>1883</v>
      </c>
      <c r="N982" t="s">
        <v>1884</v>
      </c>
      <c r="O982" t="s">
        <v>1925</v>
      </c>
      <c r="R982" t="s">
        <v>36</v>
      </c>
      <c r="W982" t="s">
        <v>266</v>
      </c>
    </row>
    <row r="983" spans="1:25" x14ac:dyDescent="0.2">
      <c r="A983">
        <v>50.302500000000002</v>
      </c>
      <c r="B983">
        <v>-122.73777800000001</v>
      </c>
      <c r="C983" t="s">
        <v>204</v>
      </c>
      <c r="D983" t="s">
        <v>2288</v>
      </c>
      <c r="E983">
        <v>2</v>
      </c>
      <c r="F983" t="s">
        <v>2289</v>
      </c>
      <c r="G983" t="str">
        <f t="shared" si="15"/>
        <v>PEMBERTON AIRPORT CS</v>
      </c>
      <c r="H983" t="s">
        <v>2127</v>
      </c>
      <c r="I983">
        <v>204.31</v>
      </c>
      <c r="J983" t="s">
        <v>2128</v>
      </c>
      <c r="K983" t="s">
        <v>2290</v>
      </c>
      <c r="L983" t="s">
        <v>1959</v>
      </c>
      <c r="M983" t="s">
        <v>1883</v>
      </c>
      <c r="N983" t="s">
        <v>1884</v>
      </c>
      <c r="O983" t="s">
        <v>1925</v>
      </c>
      <c r="R983" t="s">
        <v>36</v>
      </c>
      <c r="S983" t="s">
        <v>37</v>
      </c>
      <c r="T983" t="s">
        <v>255</v>
      </c>
      <c r="U983" t="s">
        <v>39</v>
      </c>
      <c r="X983" t="s">
        <v>257</v>
      </c>
    </row>
    <row r="984" spans="1:25" x14ac:dyDescent="0.2">
      <c r="A984">
        <v>52.114443999999999</v>
      </c>
      <c r="B984">
        <v>-124.135278</v>
      </c>
      <c r="C984" t="s">
        <v>29</v>
      </c>
      <c r="D984" t="s">
        <v>2291</v>
      </c>
      <c r="E984">
        <v>2</v>
      </c>
      <c r="F984" t="s">
        <v>2292</v>
      </c>
      <c r="G984" t="str">
        <f t="shared" si="15"/>
        <v>PUNTZI MOUNTAIN (AUT)</v>
      </c>
      <c r="H984" t="s">
        <v>2127</v>
      </c>
      <c r="I984">
        <v>909.8</v>
      </c>
      <c r="J984" t="s">
        <v>2128</v>
      </c>
      <c r="K984" t="s">
        <v>2293</v>
      </c>
      <c r="L984" t="s">
        <v>2294</v>
      </c>
      <c r="M984" t="s">
        <v>1883</v>
      </c>
      <c r="N984" t="s">
        <v>1884</v>
      </c>
      <c r="O984" t="s">
        <v>1925</v>
      </c>
      <c r="R984" t="s">
        <v>36</v>
      </c>
      <c r="S984" t="s">
        <v>37</v>
      </c>
      <c r="T984" t="s">
        <v>255</v>
      </c>
      <c r="U984" t="s">
        <v>39</v>
      </c>
      <c r="W984" t="s">
        <v>266</v>
      </c>
      <c r="X984" t="s">
        <v>257</v>
      </c>
    </row>
    <row r="985" spans="1:25" x14ac:dyDescent="0.2">
      <c r="A985">
        <v>51.674525000000003</v>
      </c>
      <c r="B985">
        <v>-124.40309000000001</v>
      </c>
      <c r="C985" t="s">
        <v>29</v>
      </c>
      <c r="D985">
        <v>1088015</v>
      </c>
      <c r="E985">
        <v>2</v>
      </c>
      <c r="F985" t="s">
        <v>2295</v>
      </c>
      <c r="G985" t="str">
        <f t="shared" si="15"/>
        <v>TATLAYOKO  LAKE</v>
      </c>
      <c r="H985" t="s">
        <v>2127</v>
      </c>
      <c r="I985">
        <v>863.84299999999996</v>
      </c>
      <c r="J985" t="s">
        <v>2128</v>
      </c>
      <c r="K985" t="s">
        <v>2296</v>
      </c>
      <c r="M985" t="s">
        <v>1883</v>
      </c>
      <c r="N985" t="s">
        <v>1884</v>
      </c>
      <c r="O985" t="s">
        <v>1925</v>
      </c>
      <c r="R985" t="s">
        <v>36</v>
      </c>
      <c r="S985" t="s">
        <v>37</v>
      </c>
      <c r="T985" t="s">
        <v>2158</v>
      </c>
      <c r="U985" t="s">
        <v>39</v>
      </c>
      <c r="W985" t="s">
        <v>266</v>
      </c>
      <c r="X985" t="s">
        <v>257</v>
      </c>
    </row>
    <row r="986" spans="1:25" x14ac:dyDescent="0.2">
      <c r="A986">
        <v>54.383200000000002</v>
      </c>
      <c r="B986">
        <v>-125.95866669999999</v>
      </c>
      <c r="C986" t="s">
        <v>29</v>
      </c>
      <c r="D986" t="s">
        <v>2297</v>
      </c>
      <c r="E986">
        <v>1</v>
      </c>
      <c r="F986" t="s">
        <v>2298</v>
      </c>
      <c r="G986" t="str">
        <f t="shared" si="15"/>
        <v>BURNS LAKE DECKER LAKE</v>
      </c>
      <c r="H986" t="s">
        <v>2127</v>
      </c>
      <c r="I986">
        <v>713</v>
      </c>
      <c r="J986" t="s">
        <v>2128</v>
      </c>
      <c r="K986" t="s">
        <v>2299</v>
      </c>
      <c r="L986" t="s">
        <v>2120</v>
      </c>
      <c r="M986" t="s">
        <v>1883</v>
      </c>
      <c r="N986" t="s">
        <v>1884</v>
      </c>
      <c r="O986" t="s">
        <v>1925</v>
      </c>
      <c r="R986" t="s">
        <v>36</v>
      </c>
      <c r="S986" t="s">
        <v>37</v>
      </c>
      <c r="T986" t="s">
        <v>255</v>
      </c>
      <c r="U986" t="s">
        <v>39</v>
      </c>
      <c r="W986" t="s">
        <v>266</v>
      </c>
      <c r="X986" t="s">
        <v>257</v>
      </c>
    </row>
    <row r="987" spans="1:25" x14ac:dyDescent="0.2">
      <c r="A987">
        <v>54.455300000000001</v>
      </c>
      <c r="B987">
        <v>-124.2856</v>
      </c>
      <c r="C987" t="s">
        <v>272</v>
      </c>
      <c r="D987" t="s">
        <v>2300</v>
      </c>
      <c r="E987">
        <v>1</v>
      </c>
      <c r="F987" t="s">
        <v>2301</v>
      </c>
      <c r="G987" t="str">
        <f t="shared" si="15"/>
        <v>FORT ST JAMES AUTO</v>
      </c>
      <c r="H987" t="s">
        <v>2127</v>
      </c>
      <c r="I987">
        <v>688</v>
      </c>
      <c r="J987" t="s">
        <v>2128</v>
      </c>
      <c r="K987" t="s">
        <v>2302</v>
      </c>
      <c r="L987" t="s">
        <v>2303</v>
      </c>
      <c r="M987" t="s">
        <v>1883</v>
      </c>
      <c r="N987" t="s">
        <v>1884</v>
      </c>
      <c r="O987" t="s">
        <v>1925</v>
      </c>
      <c r="R987" t="s">
        <v>36</v>
      </c>
      <c r="S987" t="s">
        <v>37</v>
      </c>
      <c r="T987" t="s">
        <v>2304</v>
      </c>
      <c r="U987" t="s">
        <v>39</v>
      </c>
      <c r="W987" t="s">
        <v>2305</v>
      </c>
      <c r="X987" t="s">
        <v>257</v>
      </c>
    </row>
    <row r="988" spans="1:25" x14ac:dyDescent="0.2">
      <c r="A988">
        <v>54.459673000000002</v>
      </c>
      <c r="B988">
        <v>-124.292078</v>
      </c>
      <c r="C988" t="s">
        <v>272</v>
      </c>
      <c r="D988">
        <v>1092977</v>
      </c>
      <c r="E988">
        <v>1</v>
      </c>
      <c r="F988" t="s">
        <v>2306</v>
      </c>
      <c r="G988" t="str">
        <f t="shared" si="15"/>
        <v>FORT ST JAMES GOLF CLUB</v>
      </c>
      <c r="H988" t="s">
        <v>2127</v>
      </c>
      <c r="I988">
        <v>704</v>
      </c>
      <c r="J988" t="s">
        <v>2128</v>
      </c>
      <c r="K988" t="s">
        <v>2307</v>
      </c>
      <c r="M988" t="s">
        <v>1883</v>
      </c>
      <c r="N988" t="s">
        <v>1884</v>
      </c>
      <c r="O988" t="s">
        <v>1925</v>
      </c>
      <c r="R988" t="s">
        <v>36</v>
      </c>
      <c r="S988" t="s">
        <v>37</v>
      </c>
      <c r="T988" t="s">
        <v>255</v>
      </c>
      <c r="U988" t="s">
        <v>39</v>
      </c>
      <c r="W988" t="s">
        <v>266</v>
      </c>
      <c r="X988" t="s">
        <v>257</v>
      </c>
    </row>
    <row r="989" spans="1:25" x14ac:dyDescent="0.2">
      <c r="A989">
        <v>53.888610999999997</v>
      </c>
      <c r="B989">
        <v>-122.671944</v>
      </c>
      <c r="C989" t="s">
        <v>272</v>
      </c>
      <c r="D989" t="s">
        <v>2308</v>
      </c>
      <c r="E989">
        <v>1</v>
      </c>
      <c r="F989" t="s">
        <v>2309</v>
      </c>
      <c r="G989" t="str">
        <f t="shared" si="15"/>
        <v>PRINCE GEORGE AIRPORT AUTO</v>
      </c>
      <c r="H989" t="s">
        <v>2127</v>
      </c>
      <c r="I989">
        <v>680</v>
      </c>
      <c r="J989" t="s">
        <v>2128</v>
      </c>
      <c r="K989" t="s">
        <v>2310</v>
      </c>
      <c r="L989" t="s">
        <v>2311</v>
      </c>
      <c r="M989" t="s">
        <v>1883</v>
      </c>
      <c r="N989" t="s">
        <v>1884</v>
      </c>
      <c r="O989" t="s">
        <v>1925</v>
      </c>
      <c r="R989" t="s">
        <v>36</v>
      </c>
      <c r="S989" t="s">
        <v>37</v>
      </c>
      <c r="T989" t="s">
        <v>255</v>
      </c>
      <c r="U989" t="s">
        <v>39</v>
      </c>
      <c r="W989" t="s">
        <v>266</v>
      </c>
      <c r="X989" t="s">
        <v>257</v>
      </c>
    </row>
    <row r="990" spans="1:25" x14ac:dyDescent="0.2">
      <c r="A990">
        <v>53.9</v>
      </c>
      <c r="B990">
        <v>-122.79089999999999</v>
      </c>
      <c r="C990" t="s">
        <v>272</v>
      </c>
      <c r="D990" t="s">
        <v>2312</v>
      </c>
      <c r="E990">
        <v>6</v>
      </c>
      <c r="F990" t="s">
        <v>2313</v>
      </c>
      <c r="G990" t="str">
        <f t="shared" si="15"/>
        <v>PRINCE GEORGE MASSEY AUTO</v>
      </c>
      <c r="H990" t="s">
        <v>2127</v>
      </c>
      <c r="I990">
        <v>601</v>
      </c>
      <c r="J990" t="s">
        <v>2128</v>
      </c>
      <c r="K990" t="s">
        <v>2314</v>
      </c>
      <c r="L990" t="s">
        <v>2315</v>
      </c>
      <c r="M990" t="s">
        <v>1883</v>
      </c>
      <c r="N990" t="s">
        <v>1884</v>
      </c>
      <c r="O990" t="s">
        <v>1925</v>
      </c>
      <c r="R990" t="s">
        <v>36</v>
      </c>
      <c r="S990" t="s">
        <v>37</v>
      </c>
      <c r="T990" t="s">
        <v>255</v>
      </c>
      <c r="U990" t="s">
        <v>39</v>
      </c>
      <c r="W990" t="s">
        <v>266</v>
      </c>
      <c r="X990" t="s">
        <v>257</v>
      </c>
    </row>
    <row r="991" spans="1:25" x14ac:dyDescent="0.2">
      <c r="A991">
        <v>53.026667000000003</v>
      </c>
      <c r="B991">
        <v>-122.50639080000001</v>
      </c>
      <c r="C991" t="s">
        <v>29</v>
      </c>
      <c r="D991" t="s">
        <v>2316</v>
      </c>
      <c r="E991">
        <v>1</v>
      </c>
      <c r="F991" t="s">
        <v>2317</v>
      </c>
      <c r="G991" t="str">
        <f t="shared" si="15"/>
        <v>QUESNEL AIRPORT AUTO</v>
      </c>
      <c r="H991" t="s">
        <v>2127</v>
      </c>
      <c r="I991">
        <v>545.29999999999995</v>
      </c>
      <c r="J991" t="s">
        <v>2128</v>
      </c>
      <c r="K991" t="s">
        <v>2318</v>
      </c>
      <c r="L991" t="s">
        <v>2319</v>
      </c>
      <c r="M991" t="s">
        <v>1883</v>
      </c>
      <c r="N991" t="s">
        <v>1884</v>
      </c>
      <c r="O991" t="s">
        <v>1925</v>
      </c>
      <c r="R991" t="s">
        <v>36</v>
      </c>
      <c r="S991" t="s">
        <v>37</v>
      </c>
      <c r="T991" t="s">
        <v>255</v>
      </c>
      <c r="U991" t="s">
        <v>39</v>
      </c>
      <c r="W991" t="s">
        <v>266</v>
      </c>
      <c r="X991" t="s">
        <v>257</v>
      </c>
    </row>
    <row r="992" spans="1:25" x14ac:dyDescent="0.2">
      <c r="A992">
        <v>49.243056000000003</v>
      </c>
      <c r="B992">
        <v>-121.7602778</v>
      </c>
      <c r="C992" t="s">
        <v>41</v>
      </c>
      <c r="D992" t="s">
        <v>2320</v>
      </c>
      <c r="E992">
        <v>1</v>
      </c>
      <c r="F992" t="s">
        <v>2321</v>
      </c>
      <c r="G992" t="str">
        <f t="shared" si="15"/>
        <v>AGASSIZ CS</v>
      </c>
      <c r="H992" t="s">
        <v>2127</v>
      </c>
      <c r="I992">
        <v>19</v>
      </c>
      <c r="J992" t="s">
        <v>2128</v>
      </c>
      <c r="K992" t="s">
        <v>2322</v>
      </c>
      <c r="L992" t="s">
        <v>2323</v>
      </c>
      <c r="M992" t="s">
        <v>1883</v>
      </c>
      <c r="N992" t="s">
        <v>1884</v>
      </c>
      <c r="O992" t="s">
        <v>1925</v>
      </c>
      <c r="R992" t="s">
        <v>36</v>
      </c>
      <c r="S992" t="s">
        <v>37</v>
      </c>
      <c r="T992" t="s">
        <v>255</v>
      </c>
      <c r="U992" t="s">
        <v>39</v>
      </c>
      <c r="W992" t="s">
        <v>266</v>
      </c>
      <c r="X992" t="s">
        <v>257</v>
      </c>
    </row>
    <row r="993" spans="1:24" x14ac:dyDescent="0.2">
      <c r="A993">
        <v>50.128889000000001</v>
      </c>
      <c r="B993">
        <v>-122.954444</v>
      </c>
      <c r="C993" t="s">
        <v>204</v>
      </c>
      <c r="D993" t="s">
        <v>2324</v>
      </c>
      <c r="E993">
        <v>4</v>
      </c>
      <c r="F993" t="s">
        <v>2325</v>
      </c>
      <c r="G993" t="str">
        <f t="shared" si="15"/>
        <v>WHISTLER - NESTERS</v>
      </c>
      <c r="H993" t="s">
        <v>2127</v>
      </c>
      <c r="I993">
        <v>659</v>
      </c>
      <c r="J993" t="s">
        <v>2128</v>
      </c>
      <c r="K993" t="s">
        <v>2326</v>
      </c>
      <c r="L993" t="s">
        <v>2327</v>
      </c>
      <c r="M993" t="s">
        <v>1883</v>
      </c>
      <c r="N993" t="s">
        <v>1884</v>
      </c>
      <c r="O993" t="s">
        <v>1925</v>
      </c>
      <c r="R993" t="s">
        <v>36</v>
      </c>
      <c r="S993" t="s">
        <v>37</v>
      </c>
      <c r="T993" t="s">
        <v>255</v>
      </c>
      <c r="U993" t="s">
        <v>39</v>
      </c>
      <c r="W993" t="s">
        <v>2328</v>
      </c>
      <c r="X993" t="s">
        <v>257</v>
      </c>
    </row>
    <row r="994" spans="1:24" x14ac:dyDescent="0.2">
      <c r="A994">
        <v>50.143889000000001</v>
      </c>
      <c r="B994">
        <v>-123.110556</v>
      </c>
      <c r="C994" t="s">
        <v>204</v>
      </c>
      <c r="D994" t="s">
        <v>2329</v>
      </c>
      <c r="E994">
        <v>5</v>
      </c>
      <c r="F994" t="s">
        <v>2330</v>
      </c>
      <c r="G994" t="str">
        <f t="shared" si="15"/>
        <v>CALLAGHAN VALLEY</v>
      </c>
      <c r="H994" t="s">
        <v>2127</v>
      </c>
      <c r="I994">
        <v>884</v>
      </c>
      <c r="J994" t="s">
        <v>2128</v>
      </c>
      <c r="K994" t="s">
        <v>2331</v>
      </c>
      <c r="L994" t="s">
        <v>2332</v>
      </c>
      <c r="M994" t="s">
        <v>1883</v>
      </c>
      <c r="N994" t="s">
        <v>1884</v>
      </c>
      <c r="O994" t="s">
        <v>1925</v>
      </c>
      <c r="R994" t="s">
        <v>36</v>
      </c>
      <c r="S994" t="s">
        <v>37</v>
      </c>
      <c r="T994" t="s">
        <v>255</v>
      </c>
      <c r="U994" t="s">
        <v>39</v>
      </c>
      <c r="W994" t="s">
        <v>266</v>
      </c>
      <c r="X994" t="s">
        <v>257</v>
      </c>
    </row>
    <row r="995" spans="1:24" x14ac:dyDescent="0.2">
      <c r="A995">
        <v>49.078888999999997</v>
      </c>
      <c r="B995">
        <v>-121.9786</v>
      </c>
      <c r="C995" t="s">
        <v>41</v>
      </c>
      <c r="D995" t="s">
        <v>2333</v>
      </c>
      <c r="E995">
        <v>2</v>
      </c>
      <c r="F995" t="s">
        <v>2334</v>
      </c>
      <c r="G995" t="str">
        <f t="shared" si="15"/>
        <v>CULTUS LAKE</v>
      </c>
      <c r="H995" t="s">
        <v>2127</v>
      </c>
      <c r="I995">
        <v>45.7</v>
      </c>
      <c r="J995" t="s">
        <v>2128</v>
      </c>
      <c r="K995" t="s">
        <v>2335</v>
      </c>
      <c r="L995" t="s">
        <v>2336</v>
      </c>
      <c r="M995" t="s">
        <v>1883</v>
      </c>
      <c r="N995" t="s">
        <v>1884</v>
      </c>
      <c r="O995" t="s">
        <v>1925</v>
      </c>
      <c r="R995" t="s">
        <v>36</v>
      </c>
      <c r="S995" t="s">
        <v>37</v>
      </c>
      <c r="T995" t="s">
        <v>2304</v>
      </c>
    </row>
    <row r="996" spans="1:24" x14ac:dyDescent="0.2">
      <c r="A996">
        <v>49.125799999999998</v>
      </c>
      <c r="B996">
        <v>-123.0022</v>
      </c>
      <c r="C996" t="s">
        <v>41</v>
      </c>
      <c r="D996" t="s">
        <v>2337</v>
      </c>
      <c r="E996">
        <v>1</v>
      </c>
      <c r="F996" t="s">
        <v>2338</v>
      </c>
      <c r="G996" t="str">
        <f t="shared" si="15"/>
        <v>DELTA BURNS BOG</v>
      </c>
      <c r="H996" t="s">
        <v>2127</v>
      </c>
      <c r="I996">
        <v>3.11</v>
      </c>
      <c r="J996" t="s">
        <v>2128</v>
      </c>
      <c r="K996" t="s">
        <v>2339</v>
      </c>
      <c r="L996" t="s">
        <v>2340</v>
      </c>
      <c r="M996" t="s">
        <v>1883</v>
      </c>
      <c r="N996" t="s">
        <v>1884</v>
      </c>
      <c r="O996" t="s">
        <v>1925</v>
      </c>
      <c r="R996" t="s">
        <v>36</v>
      </c>
      <c r="S996" t="s">
        <v>37</v>
      </c>
      <c r="T996" t="s">
        <v>2240</v>
      </c>
      <c r="U996" t="s">
        <v>39</v>
      </c>
      <c r="W996" t="s">
        <v>266</v>
      </c>
      <c r="X996" t="s">
        <v>257</v>
      </c>
    </row>
    <row r="997" spans="1:24" x14ac:dyDescent="0.2">
      <c r="A997">
        <v>49.213611</v>
      </c>
      <c r="B997">
        <v>-122.69</v>
      </c>
      <c r="C997" t="s">
        <v>41</v>
      </c>
      <c r="D997" t="s">
        <v>2341</v>
      </c>
      <c r="E997">
        <v>1</v>
      </c>
      <c r="F997" t="s">
        <v>2342</v>
      </c>
      <c r="G997" t="str">
        <f t="shared" si="15"/>
        <v>PITT MEADOWS CS</v>
      </c>
      <c r="H997" t="s">
        <v>2127</v>
      </c>
      <c r="I997">
        <v>5</v>
      </c>
      <c r="J997" t="s">
        <v>2128</v>
      </c>
      <c r="K997" t="s">
        <v>2343</v>
      </c>
      <c r="L997" t="s">
        <v>2344</v>
      </c>
      <c r="M997" t="s">
        <v>1883</v>
      </c>
      <c r="N997" t="s">
        <v>1884</v>
      </c>
      <c r="O997" t="s">
        <v>1925</v>
      </c>
      <c r="R997" t="s">
        <v>36</v>
      </c>
      <c r="S997" t="s">
        <v>37</v>
      </c>
      <c r="T997" t="s">
        <v>255</v>
      </c>
      <c r="U997" t="s">
        <v>39</v>
      </c>
      <c r="W997" t="s">
        <v>266</v>
      </c>
      <c r="X997" t="s">
        <v>257</v>
      </c>
    </row>
    <row r="998" spans="1:24" x14ac:dyDescent="0.2">
      <c r="A998">
        <v>49.330278</v>
      </c>
      <c r="B998">
        <v>-123.264444</v>
      </c>
      <c r="C998" t="s">
        <v>41</v>
      </c>
      <c r="D998" t="s">
        <v>2345</v>
      </c>
      <c r="E998">
        <v>1</v>
      </c>
      <c r="F998" t="s">
        <v>2346</v>
      </c>
      <c r="G998" t="str">
        <f t="shared" si="15"/>
        <v>POINT ATKINSON</v>
      </c>
      <c r="H998" t="s">
        <v>2127</v>
      </c>
      <c r="I998">
        <v>14</v>
      </c>
      <c r="J998" t="s">
        <v>2128</v>
      </c>
      <c r="K998" t="s">
        <v>2347</v>
      </c>
      <c r="L998" t="s">
        <v>2021</v>
      </c>
      <c r="M998" t="s">
        <v>1883</v>
      </c>
      <c r="N998" t="s">
        <v>1884</v>
      </c>
      <c r="O998" t="s">
        <v>1925</v>
      </c>
      <c r="R998" t="s">
        <v>36</v>
      </c>
      <c r="T998" t="s">
        <v>255</v>
      </c>
      <c r="W998" t="s">
        <v>2348</v>
      </c>
    </row>
    <row r="999" spans="1:24" x14ac:dyDescent="0.2">
      <c r="A999">
        <v>49.105832999999997</v>
      </c>
      <c r="B999">
        <v>-123.30333299999999</v>
      </c>
      <c r="C999" t="s">
        <v>41</v>
      </c>
      <c r="D999" t="s">
        <v>2349</v>
      </c>
      <c r="E999">
        <v>1</v>
      </c>
      <c r="F999" t="s">
        <v>2350</v>
      </c>
      <c r="G999" t="str">
        <f t="shared" si="15"/>
        <v>SANDHEADS CS</v>
      </c>
      <c r="H999" t="s">
        <v>2127</v>
      </c>
      <c r="I999">
        <v>11</v>
      </c>
      <c r="J999" t="s">
        <v>2128</v>
      </c>
      <c r="K999" t="s">
        <v>2351</v>
      </c>
      <c r="L999" t="s">
        <v>2162</v>
      </c>
      <c r="M999" t="s">
        <v>1883</v>
      </c>
      <c r="N999" t="s">
        <v>1884</v>
      </c>
      <c r="O999" t="s">
        <v>1925</v>
      </c>
      <c r="R999" t="s">
        <v>36</v>
      </c>
      <c r="W999" t="s">
        <v>1525</v>
      </c>
    </row>
    <row r="1000" spans="1:24" x14ac:dyDescent="0.2">
      <c r="A1000">
        <v>49.003900000000002</v>
      </c>
      <c r="B1000">
        <v>-123.13330000000001</v>
      </c>
      <c r="C1000" t="s">
        <v>41</v>
      </c>
      <c r="D1000" t="s">
        <v>2352</v>
      </c>
      <c r="E1000">
        <v>1</v>
      </c>
      <c r="F1000" t="s">
        <v>2353</v>
      </c>
      <c r="G1000" t="str">
        <f t="shared" si="15"/>
        <v>TSAWWASSEN FERRY AUTO</v>
      </c>
      <c r="H1000" t="s">
        <v>2127</v>
      </c>
      <c r="I1000">
        <v>7.3</v>
      </c>
      <c r="J1000" t="s">
        <v>2128</v>
      </c>
      <c r="K1000" t="s">
        <v>2354</v>
      </c>
      <c r="L1000" t="s">
        <v>1094</v>
      </c>
      <c r="M1000" t="s">
        <v>1883</v>
      </c>
      <c r="N1000" t="s">
        <v>1884</v>
      </c>
      <c r="O1000" t="s">
        <v>1925</v>
      </c>
      <c r="W1000" t="s">
        <v>342</v>
      </c>
    </row>
    <row r="1001" spans="1:24" x14ac:dyDescent="0.2">
      <c r="A1001">
        <v>49.182499999999997</v>
      </c>
      <c r="B1001">
        <v>-123.1872</v>
      </c>
      <c r="C1001" t="s">
        <v>41</v>
      </c>
      <c r="D1001" t="s">
        <v>2355</v>
      </c>
      <c r="E1001">
        <v>1</v>
      </c>
      <c r="F1001" t="s">
        <v>2356</v>
      </c>
      <c r="G1001" t="str">
        <f t="shared" si="15"/>
        <v>VANCOUVER SEA ISLAND CCG</v>
      </c>
      <c r="H1001" t="s">
        <v>2127</v>
      </c>
      <c r="I1001">
        <v>2.11</v>
      </c>
      <c r="J1001" t="s">
        <v>2128</v>
      </c>
      <c r="K1001" t="s">
        <v>2357</v>
      </c>
      <c r="L1001" t="s">
        <v>2358</v>
      </c>
      <c r="M1001" t="s">
        <v>1883</v>
      </c>
      <c r="N1001" t="s">
        <v>1884</v>
      </c>
      <c r="O1001" t="s">
        <v>1925</v>
      </c>
      <c r="R1001" t="s">
        <v>36</v>
      </c>
      <c r="S1001" t="s">
        <v>37</v>
      </c>
      <c r="T1001" t="s">
        <v>255</v>
      </c>
      <c r="W1001" t="s">
        <v>2359</v>
      </c>
      <c r="X1001" t="s">
        <v>257</v>
      </c>
    </row>
    <row r="1002" spans="1:24" x14ac:dyDescent="0.2">
      <c r="A1002">
        <v>49.295400000000001</v>
      </c>
      <c r="B1002">
        <v>-123.1219</v>
      </c>
      <c r="C1002" t="s">
        <v>41</v>
      </c>
      <c r="D1002" t="s">
        <v>2360</v>
      </c>
      <c r="E1002">
        <v>1</v>
      </c>
      <c r="F1002" t="s">
        <v>2361</v>
      </c>
      <c r="G1002" t="str">
        <f t="shared" si="15"/>
        <v>VANCOUVER HARBOUR CS</v>
      </c>
      <c r="H1002" t="s">
        <v>2127</v>
      </c>
      <c r="I1002">
        <v>2.5</v>
      </c>
      <c r="J1002" t="s">
        <v>2128</v>
      </c>
      <c r="K1002" t="s">
        <v>2362</v>
      </c>
      <c r="L1002" t="s">
        <v>2363</v>
      </c>
      <c r="M1002" t="s">
        <v>1883</v>
      </c>
      <c r="N1002" t="s">
        <v>1884</v>
      </c>
      <c r="O1002" t="s">
        <v>1925</v>
      </c>
      <c r="R1002" t="s">
        <v>36</v>
      </c>
      <c r="S1002" t="s">
        <v>37</v>
      </c>
      <c r="T1002" t="s">
        <v>255</v>
      </c>
    </row>
    <row r="1003" spans="1:24" x14ac:dyDescent="0.2">
      <c r="A1003">
        <v>49.346944000000001</v>
      </c>
      <c r="B1003">
        <v>-123.193056</v>
      </c>
      <c r="C1003" t="s">
        <v>41</v>
      </c>
      <c r="D1003" t="s">
        <v>2364</v>
      </c>
      <c r="E1003">
        <v>4</v>
      </c>
      <c r="F1003" t="s">
        <v>2365</v>
      </c>
      <c r="G1003" t="str">
        <f t="shared" si="15"/>
        <v>WEST VANCOUVER AUT</v>
      </c>
      <c r="H1003" t="s">
        <v>2127</v>
      </c>
      <c r="I1003">
        <v>170</v>
      </c>
      <c r="J1003" t="s">
        <v>2128</v>
      </c>
      <c r="K1003" t="s">
        <v>2366</v>
      </c>
      <c r="L1003" t="s">
        <v>2107</v>
      </c>
      <c r="M1003" t="s">
        <v>1883</v>
      </c>
      <c r="N1003" t="s">
        <v>1884</v>
      </c>
      <c r="O1003" t="s">
        <v>1925</v>
      </c>
      <c r="R1003" t="s">
        <v>36</v>
      </c>
      <c r="S1003" t="s">
        <v>37</v>
      </c>
      <c r="T1003" t="s">
        <v>255</v>
      </c>
      <c r="U1003" t="s">
        <v>39</v>
      </c>
      <c r="W1003" t="s">
        <v>266</v>
      </c>
      <c r="X1003" t="s">
        <v>257</v>
      </c>
    </row>
    <row r="1004" spans="1:24" x14ac:dyDescent="0.2">
      <c r="A1004">
        <v>49.018056000000001</v>
      </c>
      <c r="B1004">
        <v>-122.783889</v>
      </c>
      <c r="C1004" t="s">
        <v>41</v>
      </c>
      <c r="D1004" t="s">
        <v>2367</v>
      </c>
      <c r="E1004">
        <v>1</v>
      </c>
      <c r="F1004" t="s">
        <v>2368</v>
      </c>
      <c r="G1004" t="str">
        <f t="shared" si="15"/>
        <v>WHITE ROCK CAMPBELL SCIENTIFIC</v>
      </c>
      <c r="H1004" t="s">
        <v>2127</v>
      </c>
      <c r="I1004">
        <v>13</v>
      </c>
      <c r="J1004" t="s">
        <v>2128</v>
      </c>
      <c r="K1004" t="s">
        <v>2369</v>
      </c>
      <c r="L1004" t="s">
        <v>2370</v>
      </c>
      <c r="M1004" t="s">
        <v>1883</v>
      </c>
      <c r="N1004" t="s">
        <v>1884</v>
      </c>
      <c r="O1004" t="s">
        <v>1925</v>
      </c>
      <c r="R1004" t="s">
        <v>36</v>
      </c>
      <c r="S1004" t="s">
        <v>37</v>
      </c>
      <c r="T1004" t="s">
        <v>38</v>
      </c>
      <c r="U1004" t="s">
        <v>39</v>
      </c>
      <c r="W1004" t="s">
        <v>266</v>
      </c>
      <c r="X1004" t="s">
        <v>257</v>
      </c>
    </row>
    <row r="1005" spans="1:24" x14ac:dyDescent="0.2">
      <c r="A1005">
        <v>49.369799999999998</v>
      </c>
      <c r="B1005">
        <v>-121.4935</v>
      </c>
      <c r="C1005" t="s">
        <v>204</v>
      </c>
      <c r="D1005" t="s">
        <v>2371</v>
      </c>
      <c r="E1005">
        <v>1</v>
      </c>
      <c r="F1005" t="s">
        <v>2372</v>
      </c>
      <c r="G1005" t="str">
        <f t="shared" si="15"/>
        <v>HOPE AIRPORT</v>
      </c>
      <c r="H1005" t="s">
        <v>2127</v>
      </c>
      <c r="I1005">
        <v>39</v>
      </c>
      <c r="J1005" t="s">
        <v>2128</v>
      </c>
      <c r="K1005" t="s">
        <v>2373</v>
      </c>
      <c r="L1005" t="s">
        <v>2374</v>
      </c>
      <c r="M1005" t="s">
        <v>1883</v>
      </c>
      <c r="N1005" t="s">
        <v>1884</v>
      </c>
      <c r="O1005" t="s">
        <v>1925</v>
      </c>
      <c r="R1005" t="s">
        <v>36</v>
      </c>
      <c r="S1005" t="s">
        <v>37</v>
      </c>
      <c r="T1005" t="s">
        <v>255</v>
      </c>
      <c r="U1005" t="s">
        <v>39</v>
      </c>
      <c r="W1005" t="s">
        <v>266</v>
      </c>
      <c r="X1005" t="s">
        <v>257</v>
      </c>
    </row>
    <row r="1006" spans="1:24" x14ac:dyDescent="0.2">
      <c r="A1006">
        <v>50.683610999999999</v>
      </c>
      <c r="B1006">
        <v>-121.934167</v>
      </c>
      <c r="C1006" t="s">
        <v>86</v>
      </c>
      <c r="D1006" t="s">
        <v>2375</v>
      </c>
      <c r="E1006">
        <v>1</v>
      </c>
      <c r="F1006" t="s">
        <v>900</v>
      </c>
      <c r="G1006" t="str">
        <f t="shared" si="15"/>
        <v>LILLOOET</v>
      </c>
      <c r="H1006" t="s">
        <v>2127</v>
      </c>
      <c r="I1006">
        <v>239.5</v>
      </c>
      <c r="J1006" t="s">
        <v>2128</v>
      </c>
      <c r="K1006" t="s">
        <v>2376</v>
      </c>
      <c r="L1006" t="s">
        <v>2377</v>
      </c>
      <c r="M1006" t="s">
        <v>1883</v>
      </c>
      <c r="N1006" t="s">
        <v>1884</v>
      </c>
      <c r="O1006" t="s">
        <v>1925</v>
      </c>
      <c r="R1006" t="s">
        <v>36</v>
      </c>
      <c r="T1006" t="s">
        <v>38</v>
      </c>
    </row>
    <row r="1007" spans="1:24" x14ac:dyDescent="0.2">
      <c r="A1007">
        <v>50.224167000000001</v>
      </c>
      <c r="B1007">
        <v>-121.5819444</v>
      </c>
      <c r="C1007" t="s">
        <v>86</v>
      </c>
      <c r="D1007" t="s">
        <v>2378</v>
      </c>
      <c r="E1007">
        <v>1</v>
      </c>
      <c r="F1007" t="s">
        <v>2379</v>
      </c>
      <c r="G1007" t="str">
        <f t="shared" si="15"/>
        <v>LYTTON RCS</v>
      </c>
      <c r="H1007" t="s">
        <v>2127</v>
      </c>
      <c r="I1007">
        <v>225</v>
      </c>
      <c r="J1007" t="s">
        <v>2128</v>
      </c>
      <c r="K1007" t="s">
        <v>2380</v>
      </c>
      <c r="L1007" t="s">
        <v>2381</v>
      </c>
      <c r="M1007" t="s">
        <v>1883</v>
      </c>
      <c r="N1007" t="s">
        <v>1884</v>
      </c>
      <c r="O1007" t="s">
        <v>1925</v>
      </c>
      <c r="R1007" t="s">
        <v>36</v>
      </c>
      <c r="S1007" t="s">
        <v>37</v>
      </c>
      <c r="T1007" t="s">
        <v>255</v>
      </c>
      <c r="U1007" t="s">
        <v>39</v>
      </c>
      <c r="W1007" t="s">
        <v>266</v>
      </c>
      <c r="X1007" t="s">
        <v>257</v>
      </c>
    </row>
    <row r="1008" spans="1:24" x14ac:dyDescent="0.2">
      <c r="A1008">
        <v>49.940600000000003</v>
      </c>
      <c r="B1008">
        <v>-119.4</v>
      </c>
      <c r="C1008" t="s">
        <v>86</v>
      </c>
      <c r="D1008" t="s">
        <v>2382</v>
      </c>
      <c r="E1008">
        <v>1</v>
      </c>
      <c r="F1008" t="s">
        <v>2383</v>
      </c>
      <c r="G1008" t="str">
        <f t="shared" si="15"/>
        <v>KELOWNA UBCO</v>
      </c>
      <c r="H1008" t="s">
        <v>2127</v>
      </c>
      <c r="I1008">
        <v>456</v>
      </c>
      <c r="J1008" t="s">
        <v>2128</v>
      </c>
      <c r="K1008" t="s">
        <v>2384</v>
      </c>
      <c r="L1008" t="s">
        <v>2385</v>
      </c>
      <c r="M1008" t="s">
        <v>1883</v>
      </c>
      <c r="N1008" t="s">
        <v>1884</v>
      </c>
      <c r="O1008" t="s">
        <v>1925</v>
      </c>
      <c r="R1008" t="s">
        <v>36</v>
      </c>
      <c r="S1008" t="s">
        <v>37</v>
      </c>
      <c r="T1008" t="s">
        <v>255</v>
      </c>
      <c r="U1008" t="s">
        <v>39</v>
      </c>
    </row>
    <row r="1009" spans="1:24" x14ac:dyDescent="0.2">
      <c r="A1009">
        <v>50.112499999999997</v>
      </c>
      <c r="B1009">
        <v>-120.77809999999999</v>
      </c>
      <c r="C1009" t="s">
        <v>86</v>
      </c>
      <c r="D1009" t="s">
        <v>2386</v>
      </c>
      <c r="E1009">
        <v>1</v>
      </c>
      <c r="F1009" t="s">
        <v>2387</v>
      </c>
      <c r="G1009" t="str">
        <f t="shared" si="15"/>
        <v>MERRITT</v>
      </c>
      <c r="H1009" t="s">
        <v>2127</v>
      </c>
      <c r="I1009">
        <v>591</v>
      </c>
      <c r="J1009" t="s">
        <v>2128</v>
      </c>
      <c r="K1009" t="s">
        <v>2388</v>
      </c>
      <c r="L1009" t="s">
        <v>2389</v>
      </c>
      <c r="M1009" t="s">
        <v>1883</v>
      </c>
      <c r="N1009" t="s">
        <v>1884</v>
      </c>
      <c r="O1009" t="s">
        <v>1925</v>
      </c>
      <c r="R1009" t="s">
        <v>36</v>
      </c>
      <c r="S1009" t="s">
        <v>37</v>
      </c>
      <c r="T1009" t="s">
        <v>2304</v>
      </c>
      <c r="U1009" t="s">
        <v>39</v>
      </c>
      <c r="W1009" t="s">
        <v>1633</v>
      </c>
      <c r="X1009" t="s">
        <v>257</v>
      </c>
    </row>
    <row r="1010" spans="1:24" x14ac:dyDescent="0.2">
      <c r="A1010">
        <v>49.028333000000003</v>
      </c>
      <c r="B1010">
        <v>-119.44111100000001</v>
      </c>
      <c r="C1010" t="s">
        <v>86</v>
      </c>
      <c r="D1010" t="s">
        <v>2390</v>
      </c>
      <c r="E1010">
        <v>1</v>
      </c>
      <c r="F1010" t="s">
        <v>2391</v>
      </c>
      <c r="G1010" t="str">
        <f t="shared" si="15"/>
        <v>OSOYOOS CS</v>
      </c>
      <c r="H1010" t="s">
        <v>2127</v>
      </c>
      <c r="I1010">
        <v>282</v>
      </c>
      <c r="J1010" t="s">
        <v>2128</v>
      </c>
      <c r="K1010" t="s">
        <v>2392</v>
      </c>
      <c r="L1010" t="s">
        <v>2120</v>
      </c>
      <c r="M1010" t="s">
        <v>1883</v>
      </c>
      <c r="N1010" t="s">
        <v>1884</v>
      </c>
      <c r="O1010" t="s">
        <v>1925</v>
      </c>
      <c r="R1010" t="s">
        <v>36</v>
      </c>
      <c r="S1010" t="s">
        <v>37</v>
      </c>
      <c r="T1010" t="s">
        <v>255</v>
      </c>
      <c r="W1010" t="s">
        <v>266</v>
      </c>
      <c r="X1010" t="s">
        <v>257</v>
      </c>
    </row>
    <row r="1011" spans="1:24" x14ac:dyDescent="0.2">
      <c r="A1011">
        <v>50.223056</v>
      </c>
      <c r="B1011">
        <v>-119.193333</v>
      </c>
      <c r="C1011" t="s">
        <v>86</v>
      </c>
      <c r="D1011" t="s">
        <v>2393</v>
      </c>
      <c r="E1011">
        <v>1</v>
      </c>
      <c r="F1011" t="s">
        <v>2394</v>
      </c>
      <c r="G1011" t="str">
        <f t="shared" si="15"/>
        <v>VERNON AUTO</v>
      </c>
      <c r="H1011" t="s">
        <v>2127</v>
      </c>
      <c r="I1011">
        <v>482</v>
      </c>
      <c r="J1011" t="s">
        <v>2128</v>
      </c>
      <c r="K1011" t="s">
        <v>2395</v>
      </c>
      <c r="L1011" t="s">
        <v>2396</v>
      </c>
      <c r="M1011" t="s">
        <v>1883</v>
      </c>
      <c r="N1011" t="s">
        <v>1884</v>
      </c>
      <c r="O1011" t="s">
        <v>1925</v>
      </c>
      <c r="R1011" t="s">
        <v>36</v>
      </c>
      <c r="S1011" t="s">
        <v>37</v>
      </c>
      <c r="T1011" t="s">
        <v>255</v>
      </c>
      <c r="U1011" t="s">
        <v>39</v>
      </c>
      <c r="W1011" t="s">
        <v>266</v>
      </c>
      <c r="X1011" t="s">
        <v>257</v>
      </c>
    </row>
    <row r="1012" spans="1:24" x14ac:dyDescent="0.2">
      <c r="A1012">
        <v>50.266388999999997</v>
      </c>
      <c r="B1012">
        <v>-117.81277799999999</v>
      </c>
      <c r="C1012" t="s">
        <v>61</v>
      </c>
      <c r="D1012" t="s">
        <v>2397</v>
      </c>
      <c r="E1012">
        <v>1</v>
      </c>
      <c r="F1012" t="s">
        <v>2398</v>
      </c>
      <c r="G1012" t="str">
        <f t="shared" si="15"/>
        <v>NAKUSP CS</v>
      </c>
      <c r="H1012" t="s">
        <v>2127</v>
      </c>
      <c r="I1012">
        <v>512</v>
      </c>
      <c r="J1012" t="s">
        <v>2128</v>
      </c>
      <c r="K1012" t="s">
        <v>2399</v>
      </c>
      <c r="L1012" t="s">
        <v>2162</v>
      </c>
      <c r="M1012" t="s">
        <v>1883</v>
      </c>
      <c r="N1012" t="s">
        <v>1884</v>
      </c>
      <c r="O1012" t="s">
        <v>1925</v>
      </c>
      <c r="R1012" t="s">
        <v>36</v>
      </c>
      <c r="S1012" t="s">
        <v>37</v>
      </c>
      <c r="T1012" t="s">
        <v>2240</v>
      </c>
      <c r="U1012" t="s">
        <v>39</v>
      </c>
      <c r="W1012" t="s">
        <v>266</v>
      </c>
      <c r="X1012" t="s">
        <v>257</v>
      </c>
    </row>
    <row r="1013" spans="1:24" x14ac:dyDescent="0.2">
      <c r="A1013">
        <v>49.111944440000002</v>
      </c>
      <c r="B1013">
        <v>-117.73888890000001</v>
      </c>
      <c r="C1013" t="s">
        <v>61</v>
      </c>
      <c r="D1013" t="s">
        <v>2400</v>
      </c>
      <c r="E1013">
        <v>1</v>
      </c>
      <c r="F1013" t="s">
        <v>2401</v>
      </c>
      <c r="G1013" t="str">
        <f t="shared" si="15"/>
        <v>WARFIELD RCS</v>
      </c>
      <c r="H1013" t="s">
        <v>2127</v>
      </c>
      <c r="I1013">
        <v>567</v>
      </c>
      <c r="J1013" t="s">
        <v>2128</v>
      </c>
      <c r="K1013" t="s">
        <v>2402</v>
      </c>
      <c r="L1013" t="s">
        <v>2403</v>
      </c>
      <c r="M1013" t="s">
        <v>1883</v>
      </c>
      <c r="N1013" t="s">
        <v>1884</v>
      </c>
      <c r="O1013" t="s">
        <v>1925</v>
      </c>
      <c r="R1013" t="s">
        <v>36</v>
      </c>
      <c r="S1013" t="s">
        <v>37</v>
      </c>
      <c r="T1013" t="s">
        <v>255</v>
      </c>
      <c r="U1013" t="s">
        <v>39</v>
      </c>
      <c r="W1013" t="s">
        <v>266</v>
      </c>
      <c r="X1013" t="s">
        <v>257</v>
      </c>
    </row>
    <row r="1014" spans="1:24" x14ac:dyDescent="0.2">
      <c r="A1014">
        <v>49.6175</v>
      </c>
      <c r="B1014">
        <v>-115.788889</v>
      </c>
      <c r="C1014" t="s">
        <v>61</v>
      </c>
      <c r="D1014" t="s">
        <v>2404</v>
      </c>
      <c r="E1014">
        <v>2</v>
      </c>
      <c r="F1014" t="s">
        <v>2405</v>
      </c>
      <c r="G1014" t="str">
        <f t="shared" si="15"/>
        <v>CRANBROOK AIRPORT AUTO</v>
      </c>
      <c r="H1014" t="s">
        <v>2127</v>
      </c>
      <c r="I1014">
        <v>926.68700000000001</v>
      </c>
      <c r="J1014" t="s">
        <v>2128</v>
      </c>
      <c r="K1014" t="s">
        <v>2406</v>
      </c>
      <c r="L1014" t="s">
        <v>2407</v>
      </c>
      <c r="M1014" t="s">
        <v>1883</v>
      </c>
      <c r="N1014" t="s">
        <v>1884</v>
      </c>
      <c r="O1014" t="s">
        <v>1925</v>
      </c>
      <c r="R1014" t="s">
        <v>36</v>
      </c>
      <c r="S1014" t="s">
        <v>37</v>
      </c>
      <c r="T1014" t="s">
        <v>2240</v>
      </c>
      <c r="U1014" t="s">
        <v>39</v>
      </c>
      <c r="W1014" t="s">
        <v>342</v>
      </c>
      <c r="X1014" t="s">
        <v>257</v>
      </c>
    </row>
    <row r="1015" spans="1:24" x14ac:dyDescent="0.2">
      <c r="A1015">
        <v>49.744999999999997</v>
      </c>
      <c r="B1015">
        <v>-114.8839</v>
      </c>
      <c r="C1015" t="s">
        <v>61</v>
      </c>
      <c r="D1015">
        <v>1157631</v>
      </c>
      <c r="E1015">
        <v>3</v>
      </c>
      <c r="F1015" t="s">
        <v>2408</v>
      </c>
      <c r="G1015" t="str">
        <f t="shared" si="15"/>
        <v>SPARWOOD CS</v>
      </c>
      <c r="H1015" t="s">
        <v>2127</v>
      </c>
      <c r="I1015">
        <v>1136.7</v>
      </c>
      <c r="J1015" t="s">
        <v>2128</v>
      </c>
      <c r="K1015" t="s">
        <v>2409</v>
      </c>
      <c r="M1015" t="s">
        <v>1883</v>
      </c>
      <c r="N1015" t="s">
        <v>1884</v>
      </c>
      <c r="O1015" t="s">
        <v>1925</v>
      </c>
      <c r="R1015" t="s">
        <v>36</v>
      </c>
      <c r="S1015" t="s">
        <v>37</v>
      </c>
      <c r="T1015" t="s">
        <v>2158</v>
      </c>
      <c r="U1015" t="s">
        <v>39</v>
      </c>
      <c r="W1015" t="s">
        <v>266</v>
      </c>
      <c r="X1015" t="s">
        <v>257</v>
      </c>
    </row>
    <row r="1016" spans="1:24" x14ac:dyDescent="0.2">
      <c r="A1016">
        <v>50.708333000000003</v>
      </c>
      <c r="B1016">
        <v>-121.281389</v>
      </c>
      <c r="C1016" t="s">
        <v>86</v>
      </c>
      <c r="D1016" t="s">
        <v>2410</v>
      </c>
      <c r="E1016">
        <v>1</v>
      </c>
      <c r="F1016" t="s">
        <v>2411</v>
      </c>
      <c r="G1016" t="str">
        <f t="shared" si="15"/>
        <v>ASHCROFT</v>
      </c>
      <c r="H1016" t="s">
        <v>2127</v>
      </c>
      <c r="I1016">
        <v>327</v>
      </c>
      <c r="J1016" t="s">
        <v>2128</v>
      </c>
      <c r="K1016" t="s">
        <v>2412</v>
      </c>
      <c r="L1016" t="s">
        <v>2413</v>
      </c>
      <c r="M1016" t="s">
        <v>1883</v>
      </c>
      <c r="N1016" t="s">
        <v>1884</v>
      </c>
      <c r="O1016" t="s">
        <v>1925</v>
      </c>
      <c r="R1016" t="s">
        <v>36</v>
      </c>
      <c r="S1016" t="s">
        <v>37</v>
      </c>
      <c r="W1016" t="s">
        <v>2359</v>
      </c>
    </row>
    <row r="1017" spans="1:24" x14ac:dyDescent="0.2">
      <c r="A1017">
        <v>51.65</v>
      </c>
      <c r="B1017">
        <v>-120.0667</v>
      </c>
      <c r="C1017" t="s">
        <v>86</v>
      </c>
      <c r="D1017" t="s">
        <v>2414</v>
      </c>
      <c r="E1017">
        <v>1</v>
      </c>
      <c r="F1017" t="s">
        <v>2415</v>
      </c>
      <c r="G1017" t="str">
        <f t="shared" si="15"/>
        <v>CLEARWATER AUTO</v>
      </c>
      <c r="H1017" t="s">
        <v>2127</v>
      </c>
      <c r="I1017">
        <v>438</v>
      </c>
      <c r="J1017" t="s">
        <v>2128</v>
      </c>
      <c r="K1017" t="s">
        <v>2416</v>
      </c>
      <c r="L1017" t="s">
        <v>2417</v>
      </c>
      <c r="M1017" t="s">
        <v>1883</v>
      </c>
      <c r="N1017" t="s">
        <v>1884</v>
      </c>
      <c r="O1017" t="s">
        <v>1925</v>
      </c>
      <c r="R1017" t="s">
        <v>36</v>
      </c>
      <c r="S1017" t="s">
        <v>37</v>
      </c>
      <c r="T1017" t="s">
        <v>2240</v>
      </c>
      <c r="U1017" t="s">
        <v>39</v>
      </c>
      <c r="W1017" t="s">
        <v>266</v>
      </c>
      <c r="X1017" t="s">
        <v>257</v>
      </c>
    </row>
    <row r="1018" spans="1:24" x14ac:dyDescent="0.2">
      <c r="A1018">
        <v>51.144722219999998</v>
      </c>
      <c r="B1018">
        <v>-121.504722</v>
      </c>
      <c r="C1018" t="s">
        <v>29</v>
      </c>
      <c r="D1018" t="s">
        <v>2418</v>
      </c>
      <c r="E1018">
        <v>4</v>
      </c>
      <c r="F1018" t="s">
        <v>2419</v>
      </c>
      <c r="G1018" t="str">
        <f t="shared" si="15"/>
        <v>CLINTON RCS</v>
      </c>
      <c r="H1018" t="s">
        <v>2127</v>
      </c>
      <c r="I1018">
        <v>1056.7</v>
      </c>
      <c r="J1018" t="s">
        <v>2128</v>
      </c>
      <c r="K1018" t="s">
        <v>2420</v>
      </c>
      <c r="L1018" t="s">
        <v>2421</v>
      </c>
      <c r="M1018" t="s">
        <v>1883</v>
      </c>
      <c r="N1018" t="s">
        <v>1884</v>
      </c>
      <c r="O1018" t="s">
        <v>1925</v>
      </c>
      <c r="R1018" t="s">
        <v>36</v>
      </c>
      <c r="S1018" t="s">
        <v>37</v>
      </c>
      <c r="T1018" t="s">
        <v>2240</v>
      </c>
      <c r="U1018" t="s">
        <v>39</v>
      </c>
      <c r="W1018" t="s">
        <v>266</v>
      </c>
      <c r="X1018" t="s">
        <v>257</v>
      </c>
    </row>
    <row r="1019" spans="1:24" x14ac:dyDescent="0.2">
      <c r="A1019">
        <v>50.702222220000003</v>
      </c>
      <c r="B1019">
        <v>-120.4419444</v>
      </c>
      <c r="C1019" t="s">
        <v>86</v>
      </c>
      <c r="D1019" t="s">
        <v>2422</v>
      </c>
      <c r="E1019">
        <v>1</v>
      </c>
      <c r="F1019" t="s">
        <v>2423</v>
      </c>
      <c r="G1019" t="str">
        <f t="shared" si="15"/>
        <v>KAMLOOPS AUT</v>
      </c>
      <c r="H1019" t="s">
        <v>2127</v>
      </c>
      <c r="I1019">
        <v>345</v>
      </c>
      <c r="J1019" t="s">
        <v>2128</v>
      </c>
      <c r="K1019" t="s">
        <v>2424</v>
      </c>
      <c r="L1019" t="s">
        <v>2425</v>
      </c>
      <c r="M1019" t="s">
        <v>1883</v>
      </c>
      <c r="N1019" t="s">
        <v>1884</v>
      </c>
      <c r="O1019" t="s">
        <v>1925</v>
      </c>
      <c r="R1019" t="s">
        <v>36</v>
      </c>
      <c r="S1019" t="s">
        <v>37</v>
      </c>
      <c r="T1019" t="s">
        <v>255</v>
      </c>
      <c r="U1019" t="s">
        <v>39</v>
      </c>
      <c r="W1019" t="s">
        <v>266</v>
      </c>
      <c r="X1019" t="s">
        <v>257</v>
      </c>
    </row>
    <row r="1020" spans="1:24" x14ac:dyDescent="0.2">
      <c r="A1020">
        <v>51.575833000000003</v>
      </c>
      <c r="B1020">
        <v>-119.777778</v>
      </c>
      <c r="C1020" t="s">
        <v>61</v>
      </c>
      <c r="D1020" t="s">
        <v>2426</v>
      </c>
      <c r="E1020">
        <v>1</v>
      </c>
      <c r="F1020" t="s">
        <v>2427</v>
      </c>
      <c r="G1020" t="str">
        <f t="shared" si="15"/>
        <v>VAVENBY</v>
      </c>
      <c r="H1020" t="s">
        <v>2127</v>
      </c>
      <c r="I1020">
        <v>445</v>
      </c>
      <c r="J1020" t="s">
        <v>2128</v>
      </c>
      <c r="K1020" t="s">
        <v>2428</v>
      </c>
      <c r="L1020" t="s">
        <v>2429</v>
      </c>
      <c r="M1020" t="s">
        <v>1883</v>
      </c>
      <c r="N1020" t="s">
        <v>1884</v>
      </c>
      <c r="O1020" t="s">
        <v>1925</v>
      </c>
      <c r="R1020" t="s">
        <v>36</v>
      </c>
      <c r="S1020" t="s">
        <v>37</v>
      </c>
      <c r="T1020" t="s">
        <v>38</v>
      </c>
      <c r="U1020" t="s">
        <v>39</v>
      </c>
    </row>
    <row r="1021" spans="1:24" x14ac:dyDescent="0.2">
      <c r="A1021">
        <v>51.300265000000003</v>
      </c>
      <c r="B1021">
        <v>-116.98429899999999</v>
      </c>
      <c r="C1021" t="s">
        <v>61</v>
      </c>
      <c r="D1021" t="s">
        <v>2430</v>
      </c>
      <c r="E1021">
        <v>1</v>
      </c>
      <c r="F1021" t="s">
        <v>2431</v>
      </c>
      <c r="G1021" t="str">
        <f t="shared" si="15"/>
        <v>GOLDEN</v>
      </c>
      <c r="H1021" t="s">
        <v>2127</v>
      </c>
      <c r="I1021">
        <v>786</v>
      </c>
      <c r="J1021" t="s">
        <v>2128</v>
      </c>
      <c r="M1021" t="s">
        <v>1883</v>
      </c>
      <c r="N1021" t="s">
        <v>1884</v>
      </c>
      <c r="O1021" t="s">
        <v>1925</v>
      </c>
      <c r="R1021" t="s">
        <v>36</v>
      </c>
      <c r="S1021" t="s">
        <v>37</v>
      </c>
      <c r="T1021" t="s">
        <v>255</v>
      </c>
      <c r="W1021" t="s">
        <v>266</v>
      </c>
      <c r="X1021" t="s">
        <v>257</v>
      </c>
    </row>
    <row r="1022" spans="1:24" x14ac:dyDescent="0.2">
      <c r="A1022">
        <v>50.961100000000002</v>
      </c>
      <c r="B1022">
        <v>-118.1833</v>
      </c>
      <c r="C1022" t="s">
        <v>61</v>
      </c>
      <c r="D1022" t="s">
        <v>2432</v>
      </c>
      <c r="E1022">
        <v>1</v>
      </c>
      <c r="F1022" t="s">
        <v>2433</v>
      </c>
      <c r="G1022" t="str">
        <f t="shared" si="15"/>
        <v>REVELSTOKE AIRPORT AUTO</v>
      </c>
      <c r="H1022" t="s">
        <v>2127</v>
      </c>
      <c r="I1022">
        <v>444.7</v>
      </c>
      <c r="J1022" t="s">
        <v>2128</v>
      </c>
      <c r="K1022" t="s">
        <v>2434</v>
      </c>
      <c r="L1022" t="s">
        <v>2435</v>
      </c>
      <c r="M1022" t="s">
        <v>1883</v>
      </c>
      <c r="N1022" t="s">
        <v>1884</v>
      </c>
      <c r="O1022" t="s">
        <v>1925</v>
      </c>
      <c r="R1022" t="s">
        <v>36</v>
      </c>
      <c r="S1022" t="s">
        <v>37</v>
      </c>
      <c r="T1022" t="s">
        <v>255</v>
      </c>
      <c r="U1022" t="s">
        <v>39</v>
      </c>
      <c r="W1022" t="s">
        <v>266</v>
      </c>
      <c r="X1022" t="s">
        <v>257</v>
      </c>
    </row>
    <row r="1023" spans="1:24" x14ac:dyDescent="0.2">
      <c r="A1023">
        <v>56.247478000000001</v>
      </c>
      <c r="B1023">
        <v>-120.75013300000001</v>
      </c>
      <c r="C1023" t="s">
        <v>46</v>
      </c>
      <c r="D1023">
        <v>1183002</v>
      </c>
      <c r="E1023">
        <v>2</v>
      </c>
      <c r="F1023" t="s">
        <v>2436</v>
      </c>
      <c r="G1023" t="str">
        <f t="shared" si="15"/>
        <v>FORT ST JOHN AIRPORT</v>
      </c>
      <c r="H1023" t="s">
        <v>2127</v>
      </c>
      <c r="I1023">
        <v>690.44200000000001</v>
      </c>
      <c r="L1023" t="s">
        <v>2437</v>
      </c>
      <c r="M1023" t="s">
        <v>1883</v>
      </c>
      <c r="N1023" t="s">
        <v>1884</v>
      </c>
      <c r="O1023" t="s">
        <v>1925</v>
      </c>
      <c r="R1023" t="s">
        <v>36</v>
      </c>
      <c r="S1023" t="s">
        <v>37</v>
      </c>
      <c r="T1023" t="s">
        <v>255</v>
      </c>
      <c r="U1023" t="s">
        <v>39</v>
      </c>
      <c r="W1023" t="s">
        <v>266</v>
      </c>
      <c r="X1023" t="s">
        <v>257</v>
      </c>
    </row>
    <row r="1024" spans="1:24" x14ac:dyDescent="0.2">
      <c r="A1024">
        <v>55.305300000000003</v>
      </c>
      <c r="B1024">
        <v>-122.8622</v>
      </c>
      <c r="C1024" t="s">
        <v>272</v>
      </c>
      <c r="D1024" t="s">
        <v>2438</v>
      </c>
      <c r="E1024">
        <v>1</v>
      </c>
      <c r="F1024" t="s">
        <v>2439</v>
      </c>
      <c r="G1024" t="str">
        <f t="shared" si="15"/>
        <v>MACKENZIE AIRPORT AUTO</v>
      </c>
      <c r="H1024" t="s">
        <v>2127</v>
      </c>
      <c r="I1024">
        <v>694</v>
      </c>
      <c r="J1024" t="s">
        <v>2128</v>
      </c>
      <c r="K1024" t="s">
        <v>2440</v>
      </c>
      <c r="L1024" t="s">
        <v>2441</v>
      </c>
      <c r="M1024" t="s">
        <v>1883</v>
      </c>
      <c r="N1024" t="s">
        <v>1884</v>
      </c>
      <c r="O1024" t="s">
        <v>1925</v>
      </c>
      <c r="R1024" t="s">
        <v>36</v>
      </c>
      <c r="S1024" t="s">
        <v>37</v>
      </c>
      <c r="T1024" t="s">
        <v>2240</v>
      </c>
      <c r="W1024" t="s">
        <v>266</v>
      </c>
      <c r="X1024" t="s">
        <v>257</v>
      </c>
    </row>
    <row r="1025" spans="1:24" x14ac:dyDescent="0.2">
      <c r="A1025">
        <v>58.833333000000003</v>
      </c>
      <c r="B1025">
        <v>-122.599722</v>
      </c>
      <c r="C1025" t="s">
        <v>329</v>
      </c>
      <c r="D1025" t="s">
        <v>2442</v>
      </c>
      <c r="E1025">
        <v>1</v>
      </c>
      <c r="F1025" t="s">
        <v>2443</v>
      </c>
      <c r="G1025" t="str">
        <f t="shared" si="15"/>
        <v>FORT NELSON</v>
      </c>
      <c r="H1025" t="s">
        <v>2127</v>
      </c>
      <c r="I1025">
        <v>378</v>
      </c>
      <c r="J1025" t="s">
        <v>2128</v>
      </c>
      <c r="K1025" t="s">
        <v>2444</v>
      </c>
      <c r="L1025" t="s">
        <v>2244</v>
      </c>
      <c r="M1025" t="s">
        <v>1883</v>
      </c>
      <c r="N1025" t="s">
        <v>1884</v>
      </c>
      <c r="O1025" t="s">
        <v>1925</v>
      </c>
      <c r="R1025" t="s">
        <v>36</v>
      </c>
      <c r="S1025" t="s">
        <v>37</v>
      </c>
      <c r="T1025" t="s">
        <v>255</v>
      </c>
      <c r="U1025" t="s">
        <v>39</v>
      </c>
      <c r="W1025" t="s">
        <v>266</v>
      </c>
      <c r="X1025" t="s">
        <v>257</v>
      </c>
    </row>
    <row r="1026" spans="1:24" x14ac:dyDescent="0.2">
      <c r="A1026">
        <v>49.316389000000001</v>
      </c>
      <c r="B1026">
        <v>-124.92666699999999</v>
      </c>
      <c r="C1026" t="s">
        <v>41</v>
      </c>
      <c r="D1026" t="s">
        <v>2445</v>
      </c>
      <c r="E1026">
        <v>2</v>
      </c>
      <c r="F1026" t="s">
        <v>2446</v>
      </c>
      <c r="G1026" t="str">
        <f t="shared" ref="G1026:G1089" si="16">UPPER(F1026)</f>
        <v>PORT ALBERNI (AUT)</v>
      </c>
      <c r="H1026" t="s">
        <v>2127</v>
      </c>
      <c r="I1026">
        <v>76</v>
      </c>
      <c r="J1026" t="s">
        <v>2128</v>
      </c>
      <c r="K1026" t="s">
        <v>2447</v>
      </c>
      <c r="L1026" t="s">
        <v>2448</v>
      </c>
      <c r="M1026" t="s">
        <v>1883</v>
      </c>
      <c r="N1026" t="s">
        <v>1884</v>
      </c>
      <c r="O1026" t="s">
        <v>1925</v>
      </c>
      <c r="R1026" t="s">
        <v>36</v>
      </c>
      <c r="S1026" t="s">
        <v>37</v>
      </c>
      <c r="T1026" t="s">
        <v>255</v>
      </c>
      <c r="U1026" t="s">
        <v>39</v>
      </c>
      <c r="W1026" t="s">
        <v>266</v>
      </c>
      <c r="X1026" t="s">
        <v>257</v>
      </c>
    </row>
    <row r="1027" spans="1:24" x14ac:dyDescent="0.2">
      <c r="A1027">
        <v>49.487900000000003</v>
      </c>
      <c r="B1027">
        <v>-123.29949999999999</v>
      </c>
      <c r="C1027" t="s">
        <v>41</v>
      </c>
      <c r="D1027" t="s">
        <v>2449</v>
      </c>
      <c r="E1027">
        <v>1</v>
      </c>
      <c r="F1027" t="s">
        <v>2450</v>
      </c>
      <c r="G1027" t="str">
        <f t="shared" si="16"/>
        <v>HOWE SOUND - PAM ROCKS</v>
      </c>
      <c r="H1027" t="s">
        <v>2127</v>
      </c>
      <c r="I1027">
        <v>7.1429999999999998</v>
      </c>
      <c r="J1027" t="s">
        <v>2128</v>
      </c>
      <c r="K1027" t="s">
        <v>2451</v>
      </c>
      <c r="L1027" t="s">
        <v>2162</v>
      </c>
      <c r="M1027" t="s">
        <v>1883</v>
      </c>
      <c r="N1027" t="s">
        <v>1884</v>
      </c>
      <c r="O1027" t="s">
        <v>1925</v>
      </c>
      <c r="R1027" t="s">
        <v>36</v>
      </c>
      <c r="S1027" t="s">
        <v>37</v>
      </c>
      <c r="T1027" t="s">
        <v>38</v>
      </c>
      <c r="W1027" t="s">
        <v>2452</v>
      </c>
      <c r="X1027" t="s">
        <v>257</v>
      </c>
    </row>
    <row r="1028" spans="1:24" x14ac:dyDescent="0.2">
      <c r="A1028">
        <v>49.783189999999998</v>
      </c>
      <c r="B1028">
        <v>-123.161232</v>
      </c>
      <c r="C1028" t="s">
        <v>204</v>
      </c>
      <c r="D1028" t="s">
        <v>2453</v>
      </c>
      <c r="E1028">
        <v>1</v>
      </c>
      <c r="F1028" t="s">
        <v>2454</v>
      </c>
      <c r="G1028" t="str">
        <f t="shared" si="16"/>
        <v>SQUAMISH AIRPORT</v>
      </c>
      <c r="H1028" t="s">
        <v>2127</v>
      </c>
      <c r="I1028">
        <v>53.7</v>
      </c>
      <c r="J1028" t="s">
        <v>2128</v>
      </c>
      <c r="K1028" t="s">
        <v>2455</v>
      </c>
      <c r="M1028" t="s">
        <v>1883</v>
      </c>
      <c r="N1028" t="s">
        <v>1884</v>
      </c>
      <c r="O1028" t="s">
        <v>1925</v>
      </c>
      <c r="R1028" t="s">
        <v>36</v>
      </c>
      <c r="S1028" t="s">
        <v>37</v>
      </c>
      <c r="T1028" t="s">
        <v>2158</v>
      </c>
      <c r="U1028" t="s">
        <v>39</v>
      </c>
      <c r="W1028" t="s">
        <v>266</v>
      </c>
      <c r="X1028" t="s">
        <v>257</v>
      </c>
    </row>
    <row r="1029" spans="1:24" x14ac:dyDescent="0.2">
      <c r="A1029">
        <v>53.492899999999999</v>
      </c>
      <c r="B1029">
        <v>-130.63900000000001</v>
      </c>
      <c r="C1029" t="s">
        <v>204</v>
      </c>
      <c r="D1029" t="s">
        <v>2456</v>
      </c>
      <c r="E1029">
        <v>1</v>
      </c>
      <c r="F1029" t="s">
        <v>2457</v>
      </c>
      <c r="G1029" t="str">
        <f t="shared" si="16"/>
        <v>BONILLA ISLAND (AUT)</v>
      </c>
      <c r="H1029" t="s">
        <v>2127</v>
      </c>
      <c r="I1029">
        <v>13</v>
      </c>
      <c r="J1029" t="s">
        <v>2128</v>
      </c>
      <c r="K1029" t="s">
        <v>2458</v>
      </c>
      <c r="L1029" t="s">
        <v>2142</v>
      </c>
      <c r="M1029" t="s">
        <v>1883</v>
      </c>
      <c r="N1029" t="s">
        <v>1884</v>
      </c>
      <c r="O1029" t="s">
        <v>1925</v>
      </c>
      <c r="R1029" t="s">
        <v>36</v>
      </c>
      <c r="S1029" t="s">
        <v>37</v>
      </c>
      <c r="T1029" t="s">
        <v>38</v>
      </c>
      <c r="W1029" t="s">
        <v>266</v>
      </c>
      <c r="X1029" t="s">
        <v>257</v>
      </c>
    </row>
    <row r="1030" spans="1:24" x14ac:dyDescent="0.2">
      <c r="A1030">
        <v>49.465200000000003</v>
      </c>
      <c r="B1030">
        <v>-120.51479999999999</v>
      </c>
      <c r="C1030" t="s">
        <v>86</v>
      </c>
      <c r="D1030" t="s">
        <v>2459</v>
      </c>
      <c r="E1030">
        <v>2</v>
      </c>
      <c r="F1030" t="s">
        <v>2460</v>
      </c>
      <c r="G1030" t="str">
        <f t="shared" si="16"/>
        <v>PRINCETON CS</v>
      </c>
      <c r="H1030" t="s">
        <v>2127</v>
      </c>
      <c r="I1030">
        <v>696</v>
      </c>
      <c r="J1030" t="s">
        <v>2128</v>
      </c>
      <c r="K1030" t="s">
        <v>2276</v>
      </c>
      <c r="L1030" t="s">
        <v>2461</v>
      </c>
      <c r="M1030" t="s">
        <v>1883</v>
      </c>
      <c r="N1030" t="s">
        <v>1884</v>
      </c>
      <c r="O1030" t="s">
        <v>1925</v>
      </c>
      <c r="R1030" t="s">
        <v>36</v>
      </c>
      <c r="S1030" t="s">
        <v>37</v>
      </c>
      <c r="T1030" t="s">
        <v>255</v>
      </c>
      <c r="U1030" t="s">
        <v>39</v>
      </c>
      <c r="W1030" t="s">
        <v>266</v>
      </c>
      <c r="X1030" t="s">
        <v>257</v>
      </c>
    </row>
    <row r="1031" spans="1:24" x14ac:dyDescent="0.2">
      <c r="A1031">
        <v>49.559178000000003</v>
      </c>
      <c r="B1031">
        <v>-119.645871</v>
      </c>
      <c r="C1031" t="s">
        <v>86</v>
      </c>
      <c r="D1031" t="s">
        <v>2462</v>
      </c>
      <c r="E1031">
        <v>1</v>
      </c>
      <c r="F1031" t="s">
        <v>2463</v>
      </c>
      <c r="G1031" t="str">
        <f t="shared" si="16"/>
        <v>SUMMERLAND CS</v>
      </c>
      <c r="H1031" t="s">
        <v>2127</v>
      </c>
      <c r="I1031">
        <v>441.75099999999998</v>
      </c>
      <c r="J1031" t="s">
        <v>2128</v>
      </c>
      <c r="K1031" t="s">
        <v>2464</v>
      </c>
      <c r="M1031" t="s">
        <v>1883</v>
      </c>
      <c r="N1031" t="s">
        <v>1884</v>
      </c>
      <c r="O1031" t="s">
        <v>1925</v>
      </c>
      <c r="R1031" t="s">
        <v>36</v>
      </c>
      <c r="S1031" t="s">
        <v>37</v>
      </c>
      <c r="T1031" t="s">
        <v>2158</v>
      </c>
      <c r="U1031" t="s">
        <v>39</v>
      </c>
      <c r="W1031" t="s">
        <v>266</v>
      </c>
      <c r="X1031" t="s">
        <v>257</v>
      </c>
    </row>
    <row r="1032" spans="1:24" x14ac:dyDescent="0.2">
      <c r="A1032">
        <v>49.491388999999998</v>
      </c>
      <c r="B1032">
        <v>-117.30500000000001</v>
      </c>
      <c r="C1032" t="s">
        <v>61</v>
      </c>
      <c r="D1032" t="s">
        <v>2465</v>
      </c>
      <c r="E1032">
        <v>1</v>
      </c>
      <c r="F1032" t="s">
        <v>2466</v>
      </c>
      <c r="G1032" t="str">
        <f t="shared" si="16"/>
        <v>NELSON CS</v>
      </c>
      <c r="H1032" t="s">
        <v>2127</v>
      </c>
      <c r="I1032">
        <v>534.9</v>
      </c>
      <c r="J1032" t="s">
        <v>2128</v>
      </c>
      <c r="K1032" t="s">
        <v>2467</v>
      </c>
      <c r="L1032" t="s">
        <v>2107</v>
      </c>
      <c r="M1032" t="s">
        <v>1883</v>
      </c>
      <c r="N1032" t="s">
        <v>1884</v>
      </c>
      <c r="O1032" t="s">
        <v>1925</v>
      </c>
      <c r="R1032" t="s">
        <v>36</v>
      </c>
      <c r="S1032" t="s">
        <v>37</v>
      </c>
      <c r="T1032" t="s">
        <v>255</v>
      </c>
      <c r="W1032" t="s">
        <v>266</v>
      </c>
      <c r="X1032" t="s">
        <v>257</v>
      </c>
    </row>
    <row r="1033" spans="1:24" x14ac:dyDescent="0.2">
      <c r="A1033">
        <v>49.081944440000001</v>
      </c>
      <c r="B1033">
        <v>-116.50027799999999</v>
      </c>
      <c r="C1033" t="s">
        <v>61</v>
      </c>
      <c r="D1033" t="s">
        <v>2468</v>
      </c>
      <c r="E1033">
        <v>1</v>
      </c>
      <c r="F1033" t="s">
        <v>2469</v>
      </c>
      <c r="G1033" t="str">
        <f t="shared" si="16"/>
        <v>CRESTON CAMPBELL SCIENTIFIC</v>
      </c>
      <c r="H1033" t="s">
        <v>2127</v>
      </c>
      <c r="I1033">
        <v>646</v>
      </c>
      <c r="J1033" t="s">
        <v>2128</v>
      </c>
      <c r="K1033" t="s">
        <v>2470</v>
      </c>
      <c r="L1033" t="s">
        <v>2344</v>
      </c>
      <c r="M1033" t="s">
        <v>1883</v>
      </c>
      <c r="N1033" t="s">
        <v>1884</v>
      </c>
      <c r="O1033" t="s">
        <v>1925</v>
      </c>
      <c r="R1033" t="s">
        <v>36</v>
      </c>
      <c r="S1033" t="s">
        <v>37</v>
      </c>
      <c r="T1033" t="s">
        <v>255</v>
      </c>
      <c r="U1033" t="s">
        <v>39</v>
      </c>
      <c r="W1033" t="s">
        <v>1667</v>
      </c>
      <c r="X1033" t="s">
        <v>257</v>
      </c>
    </row>
    <row r="1034" spans="1:24" x14ac:dyDescent="0.2">
      <c r="A1034">
        <v>52.128889000000001</v>
      </c>
      <c r="B1034">
        <v>-119.289444</v>
      </c>
      <c r="C1034" t="s">
        <v>61</v>
      </c>
      <c r="D1034" t="s">
        <v>2471</v>
      </c>
      <c r="E1034">
        <v>1</v>
      </c>
      <c r="F1034" t="s">
        <v>2472</v>
      </c>
      <c r="G1034" t="str">
        <f t="shared" si="16"/>
        <v>BLUE RIVER CS</v>
      </c>
      <c r="H1034" t="s">
        <v>2127</v>
      </c>
      <c r="I1034">
        <v>682</v>
      </c>
      <c r="J1034" t="s">
        <v>2128</v>
      </c>
      <c r="K1034" t="s">
        <v>2473</v>
      </c>
      <c r="L1034" t="s">
        <v>2474</v>
      </c>
      <c r="M1034" t="s">
        <v>1883</v>
      </c>
      <c r="N1034" t="s">
        <v>1884</v>
      </c>
      <c r="O1034" t="s">
        <v>1925</v>
      </c>
      <c r="R1034" t="s">
        <v>36</v>
      </c>
      <c r="S1034" t="s">
        <v>37</v>
      </c>
      <c r="T1034" t="s">
        <v>255</v>
      </c>
      <c r="W1034" t="s">
        <v>266</v>
      </c>
      <c r="X1034" t="s">
        <v>257</v>
      </c>
    </row>
    <row r="1035" spans="1:24" x14ac:dyDescent="0.2">
      <c r="A1035">
        <v>50.702778000000002</v>
      </c>
      <c r="B1035">
        <v>-119.290556</v>
      </c>
      <c r="C1035" t="s">
        <v>86</v>
      </c>
      <c r="D1035" t="s">
        <v>2475</v>
      </c>
      <c r="E1035">
        <v>1</v>
      </c>
      <c r="F1035" t="s">
        <v>2476</v>
      </c>
      <c r="G1035" t="str">
        <f t="shared" si="16"/>
        <v>SALMON ARM CS</v>
      </c>
      <c r="H1035" t="s">
        <v>2127</v>
      </c>
      <c r="I1035">
        <v>350.5</v>
      </c>
      <c r="J1035" t="s">
        <v>2128</v>
      </c>
      <c r="K1035" t="s">
        <v>2477</v>
      </c>
      <c r="L1035" t="s">
        <v>2162</v>
      </c>
      <c r="M1035" t="s">
        <v>1883</v>
      </c>
      <c r="N1035" t="s">
        <v>1884</v>
      </c>
      <c r="O1035" t="s">
        <v>1925</v>
      </c>
      <c r="R1035" t="s">
        <v>36</v>
      </c>
      <c r="S1035" t="s">
        <v>37</v>
      </c>
      <c r="T1035" t="s">
        <v>255</v>
      </c>
      <c r="U1035" t="s">
        <v>39</v>
      </c>
      <c r="W1035" t="s">
        <v>266</v>
      </c>
      <c r="X1035" t="s">
        <v>257</v>
      </c>
    </row>
    <row r="1036" spans="1:24" x14ac:dyDescent="0.2">
      <c r="A1036">
        <v>51.442777999999997</v>
      </c>
      <c r="B1036">
        <v>-116.344444</v>
      </c>
      <c r="C1036" t="s">
        <v>61</v>
      </c>
      <c r="D1036" t="s">
        <v>2478</v>
      </c>
      <c r="E1036">
        <v>5</v>
      </c>
      <c r="F1036" t="s">
        <v>2479</v>
      </c>
      <c r="G1036" t="str">
        <f t="shared" si="16"/>
        <v>YOHO PARK</v>
      </c>
      <c r="H1036" t="s">
        <v>2127</v>
      </c>
      <c r="I1036">
        <v>1602</v>
      </c>
      <c r="J1036" t="s">
        <v>2128</v>
      </c>
      <c r="K1036" t="s">
        <v>2480</v>
      </c>
      <c r="L1036" t="s">
        <v>2225</v>
      </c>
      <c r="M1036" t="s">
        <v>1883</v>
      </c>
      <c r="N1036" t="s">
        <v>1884</v>
      </c>
      <c r="O1036" t="s">
        <v>1925</v>
      </c>
      <c r="R1036" t="s">
        <v>36</v>
      </c>
      <c r="S1036" t="s">
        <v>37</v>
      </c>
      <c r="T1036" t="s">
        <v>255</v>
      </c>
      <c r="U1036" t="s">
        <v>39</v>
      </c>
      <c r="W1036" t="s">
        <v>266</v>
      </c>
      <c r="X1036" t="s">
        <v>257</v>
      </c>
    </row>
    <row r="1037" spans="1:24" x14ac:dyDescent="0.2">
      <c r="A1037">
        <v>58.425832999999997</v>
      </c>
      <c r="B1037">
        <v>-130.02555599999999</v>
      </c>
      <c r="C1037" t="s">
        <v>449</v>
      </c>
      <c r="D1037" t="s">
        <v>2481</v>
      </c>
      <c r="E1037">
        <v>1</v>
      </c>
      <c r="F1037" t="s">
        <v>2482</v>
      </c>
      <c r="G1037" t="str">
        <f t="shared" si="16"/>
        <v>DEASE LAKE (AUT)</v>
      </c>
      <c r="H1037" t="s">
        <v>2127</v>
      </c>
      <c r="I1037">
        <v>802</v>
      </c>
      <c r="J1037" t="s">
        <v>2128</v>
      </c>
      <c r="K1037" t="s">
        <v>2483</v>
      </c>
      <c r="L1037" t="s">
        <v>2344</v>
      </c>
      <c r="M1037" t="s">
        <v>1883</v>
      </c>
      <c r="N1037" t="s">
        <v>1884</v>
      </c>
      <c r="O1037" t="s">
        <v>1925</v>
      </c>
      <c r="R1037" t="s">
        <v>36</v>
      </c>
      <c r="S1037" t="s">
        <v>37</v>
      </c>
      <c r="T1037" t="s">
        <v>255</v>
      </c>
      <c r="U1037" t="s">
        <v>39</v>
      </c>
      <c r="W1037" t="s">
        <v>266</v>
      </c>
      <c r="X1037" t="s">
        <v>257</v>
      </c>
    </row>
    <row r="1038" spans="1:24" x14ac:dyDescent="0.2">
      <c r="A1038">
        <v>51.307307999999999</v>
      </c>
      <c r="B1038">
        <v>-117.502638</v>
      </c>
      <c r="C1038" t="s">
        <v>61</v>
      </c>
      <c r="D1038">
        <v>101</v>
      </c>
      <c r="E1038">
        <v>7</v>
      </c>
      <c r="F1038" t="s">
        <v>2484</v>
      </c>
      <c r="G1038" t="str">
        <f t="shared" si="16"/>
        <v>MACDONALD WEST SHOULDER</v>
      </c>
      <c r="H1038" t="s">
        <v>2485</v>
      </c>
      <c r="I1038">
        <v>1930</v>
      </c>
      <c r="L1038" t="s">
        <v>2486</v>
      </c>
      <c r="M1038" t="s">
        <v>2487</v>
      </c>
      <c r="N1038" t="s">
        <v>2488</v>
      </c>
      <c r="O1038" t="s">
        <v>2489</v>
      </c>
      <c r="R1038" t="s">
        <v>36</v>
      </c>
      <c r="S1038" t="s">
        <v>37</v>
      </c>
      <c r="W1038" t="s">
        <v>40</v>
      </c>
    </row>
    <row r="1039" spans="1:24" x14ac:dyDescent="0.2">
      <c r="A1039">
        <v>51.235281999999998</v>
      </c>
      <c r="B1039">
        <v>-117.70815899999999</v>
      </c>
      <c r="C1039" t="s">
        <v>61</v>
      </c>
      <c r="D1039">
        <v>102</v>
      </c>
      <c r="E1039">
        <v>7</v>
      </c>
      <c r="F1039" t="s">
        <v>2490</v>
      </c>
      <c r="G1039" t="str">
        <f t="shared" si="16"/>
        <v>ROUND HILL</v>
      </c>
      <c r="H1039" t="s">
        <v>2485</v>
      </c>
      <c r="I1039">
        <v>2100</v>
      </c>
      <c r="L1039" t="s">
        <v>2486</v>
      </c>
      <c r="M1039" t="s">
        <v>2487</v>
      </c>
      <c r="N1039" t="s">
        <v>2488</v>
      </c>
      <c r="O1039" t="s">
        <v>2491</v>
      </c>
      <c r="R1039" t="s">
        <v>36</v>
      </c>
      <c r="S1039" t="s">
        <v>37</v>
      </c>
      <c r="W1039" t="s">
        <v>40</v>
      </c>
      <c r="X1039" t="s">
        <v>257</v>
      </c>
    </row>
    <row r="1040" spans="1:24" x14ac:dyDescent="0.2">
      <c r="A1040">
        <v>51.323639999999997</v>
      </c>
      <c r="B1040">
        <v>-117.53100000000001</v>
      </c>
      <c r="C1040" t="s">
        <v>61</v>
      </c>
      <c r="D1040">
        <v>103</v>
      </c>
      <c r="E1040">
        <v>7</v>
      </c>
      <c r="F1040" t="s">
        <v>2492</v>
      </c>
      <c r="G1040" t="str">
        <f t="shared" si="16"/>
        <v>HERMIT</v>
      </c>
      <c r="H1040" t="s">
        <v>2485</v>
      </c>
      <c r="I1040">
        <v>1950</v>
      </c>
      <c r="L1040" t="s">
        <v>2486</v>
      </c>
      <c r="M1040" t="s">
        <v>2487</v>
      </c>
      <c r="N1040" t="s">
        <v>2488</v>
      </c>
      <c r="O1040" t="s">
        <v>2493</v>
      </c>
      <c r="R1040" t="s">
        <v>36</v>
      </c>
      <c r="S1040" t="s">
        <v>37</v>
      </c>
      <c r="T1040" t="s">
        <v>2494</v>
      </c>
      <c r="W1040" t="s">
        <v>40</v>
      </c>
    </row>
    <row r="1041" spans="1:23" x14ac:dyDescent="0.2">
      <c r="A1041">
        <v>51.236804999999997</v>
      </c>
      <c r="B1041">
        <v>-117.70117999999999</v>
      </c>
      <c r="C1041" t="s">
        <v>61</v>
      </c>
      <c r="D1041">
        <v>104</v>
      </c>
      <c r="E1041">
        <v>6</v>
      </c>
      <c r="F1041" t="s">
        <v>2495</v>
      </c>
      <c r="G1041" t="str">
        <f t="shared" si="16"/>
        <v xml:space="preserve">FIDELITY </v>
      </c>
      <c r="H1041" t="s">
        <v>2485</v>
      </c>
      <c r="I1041">
        <v>1905</v>
      </c>
      <c r="L1041" t="s">
        <v>2486</v>
      </c>
      <c r="M1041" t="s">
        <v>2487</v>
      </c>
      <c r="N1041" t="s">
        <v>2488</v>
      </c>
      <c r="O1041" t="s">
        <v>2496</v>
      </c>
      <c r="R1041" t="s">
        <v>36</v>
      </c>
      <c r="S1041" t="s">
        <v>37</v>
      </c>
      <c r="T1041" t="s">
        <v>255</v>
      </c>
      <c r="U1041" t="s">
        <v>39</v>
      </c>
      <c r="W1041" t="s">
        <v>40</v>
      </c>
    </row>
    <row r="1042" spans="1:23" x14ac:dyDescent="0.2">
      <c r="A1042">
        <v>51.301633000000002</v>
      </c>
      <c r="B1042">
        <v>-117.51678099999999</v>
      </c>
      <c r="C1042" t="s">
        <v>61</v>
      </c>
      <c r="D1042">
        <v>105</v>
      </c>
      <c r="E1042">
        <v>3</v>
      </c>
      <c r="F1042" t="s">
        <v>2497</v>
      </c>
      <c r="G1042" t="str">
        <f t="shared" si="16"/>
        <v>ROGERS PASS</v>
      </c>
      <c r="H1042" t="s">
        <v>2485</v>
      </c>
      <c r="I1042">
        <v>1315</v>
      </c>
      <c r="L1042" t="s">
        <v>2486</v>
      </c>
      <c r="M1042" t="s">
        <v>2487</v>
      </c>
      <c r="N1042" t="s">
        <v>2488</v>
      </c>
      <c r="O1042" t="s">
        <v>2498</v>
      </c>
      <c r="R1042" t="s">
        <v>36</v>
      </c>
      <c r="S1042" t="s">
        <v>37</v>
      </c>
      <c r="T1042" t="s">
        <v>255</v>
      </c>
      <c r="U1042" t="s">
        <v>39</v>
      </c>
      <c r="W1042" t="s">
        <v>40</v>
      </c>
    </row>
    <row r="1043" spans="1:23" x14ac:dyDescent="0.2">
      <c r="A1043">
        <v>51.446666</v>
      </c>
      <c r="B1043">
        <v>-117.477037</v>
      </c>
      <c r="C1043" t="s">
        <v>61</v>
      </c>
      <c r="D1043">
        <v>106</v>
      </c>
      <c r="E1043">
        <v>2</v>
      </c>
      <c r="F1043" t="s">
        <v>2499</v>
      </c>
      <c r="G1043" t="str">
        <f t="shared" si="16"/>
        <v>HEATHER HILL</v>
      </c>
      <c r="H1043" t="s">
        <v>2485</v>
      </c>
      <c r="I1043">
        <v>915</v>
      </c>
      <c r="L1043" t="s">
        <v>2500</v>
      </c>
      <c r="M1043" t="s">
        <v>2487</v>
      </c>
      <c r="N1043" t="s">
        <v>2488</v>
      </c>
      <c r="O1043" t="s">
        <v>2501</v>
      </c>
      <c r="R1043" t="s">
        <v>36</v>
      </c>
      <c r="S1043" t="s">
        <v>37</v>
      </c>
      <c r="T1043" t="s">
        <v>2494</v>
      </c>
      <c r="W1043" t="s">
        <v>40</v>
      </c>
    </row>
    <row r="1044" spans="1:23" x14ac:dyDescent="0.2">
      <c r="A1044">
        <v>51.432287000000002</v>
      </c>
      <c r="B1044">
        <v>-117.436882</v>
      </c>
      <c r="C1044" t="s">
        <v>61</v>
      </c>
      <c r="D1044">
        <v>107</v>
      </c>
      <c r="E1044">
        <v>8</v>
      </c>
      <c r="F1044" t="s">
        <v>2502</v>
      </c>
      <c r="G1044" t="str">
        <f t="shared" si="16"/>
        <v>ROCKFALL</v>
      </c>
      <c r="H1044" t="s">
        <v>2485</v>
      </c>
      <c r="I1044">
        <v>2240</v>
      </c>
      <c r="L1044" t="s">
        <v>2503</v>
      </c>
      <c r="M1044" t="s">
        <v>2487</v>
      </c>
      <c r="N1044" t="s">
        <v>2488</v>
      </c>
      <c r="O1044" t="s">
        <v>2504</v>
      </c>
      <c r="R1044" t="s">
        <v>36</v>
      </c>
      <c r="S1044" t="s">
        <v>37</v>
      </c>
      <c r="T1044" t="s">
        <v>38</v>
      </c>
      <c r="U1044" t="s">
        <v>39</v>
      </c>
      <c r="W1044" t="s">
        <v>40</v>
      </c>
    </row>
    <row r="1045" spans="1:23" x14ac:dyDescent="0.2">
      <c r="A1045">
        <v>51.249189999999999</v>
      </c>
      <c r="B1045">
        <v>-117.5194</v>
      </c>
      <c r="C1045" t="s">
        <v>61</v>
      </c>
      <c r="D1045">
        <v>108</v>
      </c>
      <c r="E1045">
        <v>7</v>
      </c>
      <c r="F1045" t="s">
        <v>2505</v>
      </c>
      <c r="G1045" t="str">
        <f t="shared" si="16"/>
        <v>ABBOTT</v>
      </c>
      <c r="H1045" t="s">
        <v>2485</v>
      </c>
      <c r="I1045">
        <v>1995</v>
      </c>
      <c r="L1045" t="s">
        <v>2506</v>
      </c>
      <c r="M1045" t="s">
        <v>2487</v>
      </c>
      <c r="N1045" t="s">
        <v>2488</v>
      </c>
      <c r="O1045" t="s">
        <v>2507</v>
      </c>
      <c r="R1045" t="s">
        <v>36</v>
      </c>
      <c r="S1045" t="s">
        <v>37</v>
      </c>
      <c r="T1045" t="s">
        <v>2508</v>
      </c>
      <c r="U1045" t="s">
        <v>39</v>
      </c>
      <c r="W1045" t="s">
        <v>40</v>
      </c>
    </row>
    <row r="1046" spans="1:23" x14ac:dyDescent="0.2">
      <c r="A1046">
        <v>51.214269999999999</v>
      </c>
      <c r="B1046">
        <v>-117.46968</v>
      </c>
      <c r="C1046" t="s">
        <v>61</v>
      </c>
      <c r="D1046">
        <v>109</v>
      </c>
      <c r="E1046">
        <v>7</v>
      </c>
      <c r="F1046" t="s">
        <v>2509</v>
      </c>
      <c r="G1046" t="str">
        <f t="shared" si="16"/>
        <v>ASULKAN</v>
      </c>
      <c r="H1046" t="s">
        <v>2485</v>
      </c>
      <c r="I1046">
        <v>2025</v>
      </c>
      <c r="L1046" t="s">
        <v>2510</v>
      </c>
      <c r="M1046" t="s">
        <v>2487</v>
      </c>
      <c r="N1046" t="s">
        <v>2488</v>
      </c>
      <c r="O1046" t="s">
        <v>2511</v>
      </c>
      <c r="R1046" t="s">
        <v>36</v>
      </c>
      <c r="S1046" t="s">
        <v>37</v>
      </c>
      <c r="W1046" t="s">
        <v>40</v>
      </c>
    </row>
    <row r="1047" spans="1:23" x14ac:dyDescent="0.2">
      <c r="A1047">
        <v>51.062190999999999</v>
      </c>
      <c r="B1047">
        <v>-117.973927</v>
      </c>
      <c r="C1047" t="s">
        <v>61</v>
      </c>
      <c r="D1047">
        <v>113</v>
      </c>
      <c r="E1047">
        <v>7</v>
      </c>
      <c r="F1047" t="s">
        <v>2512</v>
      </c>
      <c r="G1047" t="str">
        <f t="shared" si="16"/>
        <v>KLOTZ</v>
      </c>
      <c r="H1047" t="s">
        <v>2485</v>
      </c>
      <c r="I1047">
        <v>1975</v>
      </c>
      <c r="L1047" t="s">
        <v>2513</v>
      </c>
      <c r="M1047" t="s">
        <v>2487</v>
      </c>
      <c r="N1047" t="s">
        <v>2488</v>
      </c>
      <c r="O1047" t="s">
        <v>2514</v>
      </c>
      <c r="R1047" t="s">
        <v>36</v>
      </c>
      <c r="S1047" t="s">
        <v>37</v>
      </c>
      <c r="U1047" t="s">
        <v>39</v>
      </c>
      <c r="W1047" t="s">
        <v>40</v>
      </c>
    </row>
    <row r="1048" spans="1:23" x14ac:dyDescent="0.2">
      <c r="A1048">
        <v>49.079599999999999</v>
      </c>
      <c r="B1048">
        <v>-125.7666</v>
      </c>
      <c r="C1048" t="s">
        <v>204</v>
      </c>
      <c r="D1048" t="s">
        <v>2515</v>
      </c>
      <c r="E1048">
        <v>1</v>
      </c>
      <c r="F1048" t="s">
        <v>2516</v>
      </c>
      <c r="G1048" t="str">
        <f t="shared" si="16"/>
        <v>TOFINO PCA</v>
      </c>
      <c r="H1048" t="s">
        <v>2517</v>
      </c>
      <c r="I1048">
        <v>24</v>
      </c>
      <c r="M1048" t="s">
        <v>2518</v>
      </c>
      <c r="R1048" t="s">
        <v>36</v>
      </c>
      <c r="S1048" t="s">
        <v>37</v>
      </c>
      <c r="T1048" t="s">
        <v>38</v>
      </c>
      <c r="W1048" t="s">
        <v>40</v>
      </c>
    </row>
    <row r="1049" spans="1:23" x14ac:dyDescent="0.2">
      <c r="A1049">
        <v>51.025390000000002</v>
      </c>
      <c r="B1049">
        <v>-118.15139600000001</v>
      </c>
      <c r="C1049" t="s">
        <v>61</v>
      </c>
      <c r="D1049" t="s">
        <v>2519</v>
      </c>
      <c r="E1049">
        <v>5</v>
      </c>
      <c r="F1049" t="s">
        <v>2520</v>
      </c>
      <c r="G1049" t="str">
        <f t="shared" si="16"/>
        <v>CARIBOU CORNER</v>
      </c>
      <c r="H1049" t="s">
        <v>2517</v>
      </c>
      <c r="I1049">
        <v>1561</v>
      </c>
      <c r="M1049" t="s">
        <v>2521</v>
      </c>
      <c r="R1049" t="s">
        <v>36</v>
      </c>
      <c r="S1049" t="s">
        <v>37</v>
      </c>
      <c r="T1049" t="s">
        <v>38</v>
      </c>
      <c r="W1049" t="s">
        <v>40</v>
      </c>
    </row>
    <row r="1050" spans="1:23" x14ac:dyDescent="0.2">
      <c r="A1050">
        <v>51.414999999999999</v>
      </c>
      <c r="B1050">
        <v>-117.474</v>
      </c>
      <c r="C1050" t="s">
        <v>61</v>
      </c>
      <c r="D1050" t="s">
        <v>2522</v>
      </c>
      <c r="E1050">
        <v>1</v>
      </c>
      <c r="F1050" t="s">
        <v>2523</v>
      </c>
      <c r="G1050" t="str">
        <f t="shared" si="16"/>
        <v>LOWER BEAVER</v>
      </c>
      <c r="H1050" t="s">
        <v>2517</v>
      </c>
      <c r="I1050">
        <v>826</v>
      </c>
      <c r="M1050" t="s">
        <v>2521</v>
      </c>
      <c r="R1050" t="s">
        <v>36</v>
      </c>
      <c r="S1050" t="s">
        <v>37</v>
      </c>
      <c r="T1050" t="s">
        <v>38</v>
      </c>
      <c r="W1050" t="s">
        <v>40</v>
      </c>
    </row>
    <row r="1051" spans="1:23" x14ac:dyDescent="0.2">
      <c r="A1051">
        <v>51.314452000000003</v>
      </c>
      <c r="B1051">
        <v>-117.373968</v>
      </c>
      <c r="C1051" t="s">
        <v>61</v>
      </c>
      <c r="D1051" t="s">
        <v>2524</v>
      </c>
      <c r="E1051">
        <v>5</v>
      </c>
      <c r="F1051" t="s">
        <v>2525</v>
      </c>
      <c r="G1051" t="str">
        <f t="shared" si="16"/>
        <v>UPPER BEAVER</v>
      </c>
      <c r="H1051" t="s">
        <v>2517</v>
      </c>
      <c r="I1051">
        <v>1636</v>
      </c>
      <c r="M1051" t="s">
        <v>2521</v>
      </c>
      <c r="R1051" t="s">
        <v>36</v>
      </c>
      <c r="S1051" t="s">
        <v>37</v>
      </c>
      <c r="T1051" t="s">
        <v>38</v>
      </c>
      <c r="W1051" t="s">
        <v>40</v>
      </c>
    </row>
    <row r="1052" spans="1:23" x14ac:dyDescent="0.2">
      <c r="A1052">
        <v>51.022020670000003</v>
      </c>
      <c r="B1052">
        <v>-118.20739</v>
      </c>
      <c r="C1052" t="s">
        <v>61</v>
      </c>
      <c r="D1052" t="s">
        <v>2526</v>
      </c>
      <c r="E1052">
        <v>1</v>
      </c>
      <c r="F1052" t="s">
        <v>2527</v>
      </c>
      <c r="G1052" t="str">
        <f t="shared" si="16"/>
        <v>ONE MILE</v>
      </c>
      <c r="H1052" t="s">
        <v>2517</v>
      </c>
      <c r="I1052">
        <v>533</v>
      </c>
      <c r="M1052" t="s">
        <v>2521</v>
      </c>
      <c r="R1052" t="s">
        <v>36</v>
      </c>
      <c r="S1052" t="s">
        <v>37</v>
      </c>
      <c r="T1052" t="s">
        <v>38</v>
      </c>
      <c r="W1052" t="s">
        <v>40</v>
      </c>
    </row>
    <row r="1053" spans="1:23" x14ac:dyDescent="0.2">
      <c r="A1053">
        <v>51.234769999999997</v>
      </c>
      <c r="B1053">
        <v>-117.68087130000001</v>
      </c>
      <c r="C1053" t="s">
        <v>61</v>
      </c>
      <c r="D1053" t="s">
        <v>2528</v>
      </c>
      <c r="E1053">
        <v>3</v>
      </c>
      <c r="F1053" t="s">
        <v>2529</v>
      </c>
      <c r="G1053" t="str">
        <f t="shared" si="16"/>
        <v>FIDELITY</v>
      </c>
      <c r="H1053" t="s">
        <v>2517</v>
      </c>
      <c r="I1053">
        <v>1306</v>
      </c>
      <c r="M1053" t="s">
        <v>2521</v>
      </c>
      <c r="R1053" t="s">
        <v>36</v>
      </c>
      <c r="S1053" t="s">
        <v>37</v>
      </c>
      <c r="T1053" t="s">
        <v>38</v>
      </c>
      <c r="W1053" t="s">
        <v>40</v>
      </c>
    </row>
    <row r="1054" spans="1:23" x14ac:dyDescent="0.2">
      <c r="A1054">
        <v>51.366489000000001</v>
      </c>
      <c r="B1054">
        <v>-116.52641199999999</v>
      </c>
      <c r="C1054" t="s">
        <v>61</v>
      </c>
      <c r="D1054" t="s">
        <v>2530</v>
      </c>
      <c r="E1054">
        <v>3</v>
      </c>
      <c r="F1054" t="s">
        <v>470</v>
      </c>
      <c r="G1054" t="str">
        <f t="shared" si="16"/>
        <v>BOULDER CREEK</v>
      </c>
      <c r="H1054" t="s">
        <v>2517</v>
      </c>
      <c r="I1054">
        <v>1276</v>
      </c>
      <c r="M1054" t="s">
        <v>2531</v>
      </c>
      <c r="R1054" t="s">
        <v>36</v>
      </c>
      <c r="S1054" t="s">
        <v>37</v>
      </c>
      <c r="T1054" t="s">
        <v>38</v>
      </c>
      <c r="W1054" t="s">
        <v>40</v>
      </c>
    </row>
    <row r="1055" spans="1:23" x14ac:dyDescent="0.2">
      <c r="A1055">
        <v>50.748297000000001</v>
      </c>
      <c r="B1055">
        <v>-115.95099999999999</v>
      </c>
      <c r="C1055" t="s">
        <v>61</v>
      </c>
      <c r="D1055" t="s">
        <v>2532</v>
      </c>
      <c r="E1055">
        <v>2</v>
      </c>
      <c r="F1055" t="s">
        <v>2533</v>
      </c>
      <c r="G1055" t="str">
        <f t="shared" si="16"/>
        <v>MCLEOD MEADOWS</v>
      </c>
      <c r="H1055" t="s">
        <v>2517</v>
      </c>
      <c r="I1055">
        <v>1120</v>
      </c>
      <c r="M1055" t="s">
        <v>2531</v>
      </c>
      <c r="R1055" t="s">
        <v>36</v>
      </c>
      <c r="S1055" t="s">
        <v>37</v>
      </c>
      <c r="T1055" t="s">
        <v>38</v>
      </c>
      <c r="W1055" t="s">
        <v>40</v>
      </c>
    </row>
    <row r="1056" spans="1:23" x14ac:dyDescent="0.2">
      <c r="A1056">
        <v>51.019399999999997</v>
      </c>
      <c r="B1056">
        <v>-115.9766</v>
      </c>
      <c r="C1056" t="s">
        <v>61</v>
      </c>
      <c r="D1056" t="s">
        <v>2534</v>
      </c>
      <c r="E1056">
        <v>3</v>
      </c>
      <c r="F1056" t="s">
        <v>2535</v>
      </c>
      <c r="G1056" t="str">
        <f t="shared" si="16"/>
        <v>VERMILLION CROSSING</v>
      </c>
      <c r="H1056" t="s">
        <v>2517</v>
      </c>
      <c r="I1056">
        <v>1272</v>
      </c>
      <c r="M1056" t="s">
        <v>2531</v>
      </c>
      <c r="R1056" t="s">
        <v>36</v>
      </c>
      <c r="S1056" t="s">
        <v>37</v>
      </c>
      <c r="T1056" t="s">
        <v>38</v>
      </c>
      <c r="W1056" t="s">
        <v>40</v>
      </c>
    </row>
    <row r="1057" spans="1:28" x14ac:dyDescent="0.2">
      <c r="A1057">
        <v>59.50385</v>
      </c>
      <c r="B1057">
        <v>-135.00006999999999</v>
      </c>
      <c r="C1057" t="s">
        <v>204</v>
      </c>
      <c r="D1057" t="s">
        <v>2536</v>
      </c>
      <c r="E1057">
        <v>4</v>
      </c>
      <c r="F1057" t="s">
        <v>2537</v>
      </c>
      <c r="G1057" t="str">
        <f t="shared" si="16"/>
        <v>BENNETT</v>
      </c>
      <c r="H1057" t="s">
        <v>2517</v>
      </c>
      <c r="I1057">
        <v>701.7</v>
      </c>
      <c r="M1057" t="s">
        <v>2538</v>
      </c>
    </row>
    <row r="1058" spans="1:28" x14ac:dyDescent="0.2">
      <c r="A1058">
        <v>50.622897219999999</v>
      </c>
      <c r="B1058">
        <v>-116.0627083</v>
      </c>
      <c r="C1058" t="s">
        <v>61</v>
      </c>
      <c r="D1058" t="s">
        <v>2539</v>
      </c>
      <c r="E1058">
        <v>2</v>
      </c>
      <c r="F1058" t="s">
        <v>2540</v>
      </c>
      <c r="G1058" t="str">
        <f t="shared" si="16"/>
        <v>REDSTREAK</v>
      </c>
      <c r="H1058" t="s">
        <v>2517</v>
      </c>
      <c r="I1058">
        <v>1009</v>
      </c>
      <c r="J1058" t="s">
        <v>253</v>
      </c>
      <c r="L1058" t="s">
        <v>1124</v>
      </c>
      <c r="M1058" t="s">
        <v>2531</v>
      </c>
      <c r="R1058" t="s">
        <v>36</v>
      </c>
      <c r="S1058" t="s">
        <v>37</v>
      </c>
      <c r="T1058" t="s">
        <v>695</v>
      </c>
      <c r="U1058" t="s">
        <v>39</v>
      </c>
      <c r="W1058" t="s">
        <v>40</v>
      </c>
    </row>
    <row r="1059" spans="1:28" x14ac:dyDescent="0.2">
      <c r="A1059">
        <v>51.457250000000002</v>
      </c>
      <c r="B1059">
        <v>-116.357833</v>
      </c>
      <c r="C1059" t="s">
        <v>61</v>
      </c>
      <c r="D1059" t="s">
        <v>2541</v>
      </c>
      <c r="E1059">
        <v>8</v>
      </c>
      <c r="F1059" t="s">
        <v>2542</v>
      </c>
      <c r="G1059" t="str">
        <f t="shared" si="16"/>
        <v>BOSWORTH LOWER</v>
      </c>
      <c r="H1059" t="s">
        <v>2517</v>
      </c>
      <c r="I1059">
        <v>2210</v>
      </c>
      <c r="M1059" t="s">
        <v>2543</v>
      </c>
      <c r="R1059" t="s">
        <v>36</v>
      </c>
      <c r="S1059" t="s">
        <v>37</v>
      </c>
      <c r="U1059" t="s">
        <v>39</v>
      </c>
    </row>
    <row r="1060" spans="1:28" x14ac:dyDescent="0.2">
      <c r="A1060">
        <v>51.469417</v>
      </c>
      <c r="B1060">
        <v>-116.350528</v>
      </c>
      <c r="C1060" t="s">
        <v>61</v>
      </c>
      <c r="D1060" t="s">
        <v>2544</v>
      </c>
      <c r="E1060">
        <v>8</v>
      </c>
      <c r="F1060" t="s">
        <v>2545</v>
      </c>
      <c r="G1060" t="str">
        <f t="shared" si="16"/>
        <v>BOSWORTH UPPER</v>
      </c>
      <c r="H1060" t="s">
        <v>2517</v>
      </c>
      <c r="I1060">
        <v>2745</v>
      </c>
      <c r="M1060" t="s">
        <v>2543</v>
      </c>
      <c r="R1060" t="s">
        <v>36</v>
      </c>
      <c r="S1060" t="s">
        <v>37</v>
      </c>
      <c r="W1060" t="s">
        <v>40</v>
      </c>
    </row>
    <row r="1061" spans="1:28" x14ac:dyDescent="0.2">
      <c r="A1061">
        <v>51.184528</v>
      </c>
      <c r="B1061">
        <v>-116.09052800000001</v>
      </c>
      <c r="C1061" t="s">
        <v>61</v>
      </c>
      <c r="D1061" t="s">
        <v>2546</v>
      </c>
      <c r="E1061">
        <v>7</v>
      </c>
      <c r="F1061" t="s">
        <v>2547</v>
      </c>
      <c r="G1061" t="str">
        <f t="shared" si="16"/>
        <v>STANLEY LOWER</v>
      </c>
      <c r="H1061" t="s">
        <v>2517</v>
      </c>
      <c r="I1061">
        <v>1917</v>
      </c>
      <c r="M1061" t="s">
        <v>2543</v>
      </c>
      <c r="R1061" t="s">
        <v>36</v>
      </c>
      <c r="S1061" t="s">
        <v>37</v>
      </c>
      <c r="U1061" t="s">
        <v>39</v>
      </c>
    </row>
    <row r="1062" spans="1:28" x14ac:dyDescent="0.2">
      <c r="A1062">
        <v>48.494166999999997</v>
      </c>
      <c r="B1062">
        <v>-123.614722</v>
      </c>
      <c r="C1062" t="s">
        <v>204</v>
      </c>
      <c r="D1062" t="s">
        <v>2548</v>
      </c>
      <c r="E1062">
        <v>3</v>
      </c>
      <c r="F1062" t="s">
        <v>2549</v>
      </c>
      <c r="G1062" t="str">
        <f t="shared" si="16"/>
        <v>14G</v>
      </c>
      <c r="H1062" t="s">
        <v>2550</v>
      </c>
      <c r="I1062">
        <v>493</v>
      </c>
      <c r="K1062" t="s">
        <v>2551</v>
      </c>
      <c r="L1062">
        <v>35886</v>
      </c>
      <c r="M1062" t="s">
        <v>2552</v>
      </c>
      <c r="N1062" t="s">
        <v>2553</v>
      </c>
      <c r="R1062" t="s">
        <v>36</v>
      </c>
      <c r="S1062" t="s">
        <v>37</v>
      </c>
      <c r="T1062" t="s">
        <v>389</v>
      </c>
      <c r="U1062" t="s">
        <v>39</v>
      </c>
      <c r="W1062" t="s">
        <v>2554</v>
      </c>
      <c r="Y1062" t="s">
        <v>358</v>
      </c>
    </row>
    <row r="1063" spans="1:28" x14ac:dyDescent="0.2">
      <c r="A1063">
        <v>48.529440000000001</v>
      </c>
      <c r="B1063">
        <v>-123.638611</v>
      </c>
      <c r="C1063" t="s">
        <v>204</v>
      </c>
      <c r="D1063" t="s">
        <v>2555</v>
      </c>
      <c r="E1063">
        <v>4</v>
      </c>
      <c r="F1063" t="s">
        <v>2556</v>
      </c>
      <c r="G1063" t="str">
        <f t="shared" si="16"/>
        <v>31N</v>
      </c>
      <c r="H1063" t="s">
        <v>2550</v>
      </c>
      <c r="I1063">
        <v>606</v>
      </c>
      <c r="K1063" t="s">
        <v>2557</v>
      </c>
      <c r="L1063">
        <v>35065</v>
      </c>
      <c r="M1063" t="s">
        <v>2552</v>
      </c>
      <c r="N1063" t="s">
        <v>2553</v>
      </c>
      <c r="R1063" t="s">
        <v>36</v>
      </c>
      <c r="S1063" t="s">
        <v>37</v>
      </c>
      <c r="T1063" t="s">
        <v>38</v>
      </c>
      <c r="W1063" t="s">
        <v>2558</v>
      </c>
    </row>
    <row r="1064" spans="1:28" x14ac:dyDescent="0.2">
      <c r="A1064">
        <v>48.585833000000001</v>
      </c>
      <c r="B1064">
        <v>-123.75111099999999</v>
      </c>
      <c r="C1064" t="s">
        <v>204</v>
      </c>
      <c r="D1064" t="s">
        <v>2559</v>
      </c>
      <c r="E1064">
        <v>4</v>
      </c>
      <c r="F1064" t="s">
        <v>2560</v>
      </c>
      <c r="G1064" t="str">
        <f t="shared" si="16"/>
        <v>4RW6</v>
      </c>
      <c r="H1064" t="s">
        <v>2550</v>
      </c>
      <c r="I1064">
        <v>675</v>
      </c>
      <c r="K1064" t="s">
        <v>2561</v>
      </c>
      <c r="L1064">
        <v>35125</v>
      </c>
      <c r="M1064" t="s">
        <v>2552</v>
      </c>
      <c r="N1064" t="s">
        <v>2553</v>
      </c>
      <c r="R1064" t="s">
        <v>36</v>
      </c>
      <c r="S1064" t="s">
        <v>37</v>
      </c>
      <c r="T1064" t="s">
        <v>389</v>
      </c>
      <c r="U1064" t="s">
        <v>39</v>
      </c>
      <c r="V1064" t="s">
        <v>1101</v>
      </c>
      <c r="W1064" t="s">
        <v>342</v>
      </c>
      <c r="Z1064" t="s">
        <v>2562</v>
      </c>
    </row>
    <row r="1065" spans="1:28" x14ac:dyDescent="0.2">
      <c r="A1065">
        <v>48.441943999999999</v>
      </c>
      <c r="B1065">
        <v>-123.568889</v>
      </c>
      <c r="C1065" t="s">
        <v>204</v>
      </c>
      <c r="D1065" t="s">
        <v>2563</v>
      </c>
      <c r="E1065">
        <v>3</v>
      </c>
      <c r="F1065" t="s">
        <v>2564</v>
      </c>
      <c r="G1065" t="str">
        <f t="shared" si="16"/>
        <v>MT MCDONALD</v>
      </c>
      <c r="H1065" t="s">
        <v>2550</v>
      </c>
      <c r="I1065">
        <v>436</v>
      </c>
      <c r="K1065" t="s">
        <v>2565</v>
      </c>
      <c r="L1065">
        <v>35217</v>
      </c>
      <c r="M1065" t="s">
        <v>2552</v>
      </c>
      <c r="N1065" t="s">
        <v>2553</v>
      </c>
      <c r="R1065" t="s">
        <v>36</v>
      </c>
      <c r="S1065" t="s">
        <v>37</v>
      </c>
      <c r="T1065" t="s">
        <v>38</v>
      </c>
      <c r="W1065" t="s">
        <v>2566</v>
      </c>
    </row>
    <row r="1066" spans="1:28" x14ac:dyDescent="0.2">
      <c r="A1066">
        <v>48.516111000000002</v>
      </c>
      <c r="B1066">
        <v>-123.70055600000001</v>
      </c>
      <c r="C1066" t="s">
        <v>204</v>
      </c>
      <c r="D1066" t="s">
        <v>2567</v>
      </c>
      <c r="E1066">
        <v>2</v>
      </c>
      <c r="F1066" t="s">
        <v>2568</v>
      </c>
      <c r="G1066" t="str">
        <f t="shared" si="16"/>
        <v>SOOKE DAM</v>
      </c>
      <c r="H1066" t="s">
        <v>2550</v>
      </c>
      <c r="I1066">
        <v>180</v>
      </c>
      <c r="K1066" t="s">
        <v>2569</v>
      </c>
      <c r="L1066">
        <v>35004</v>
      </c>
      <c r="M1066" t="s">
        <v>2552</v>
      </c>
      <c r="N1066" t="s">
        <v>2553</v>
      </c>
      <c r="R1066" t="s">
        <v>36</v>
      </c>
      <c r="S1066" t="s">
        <v>37</v>
      </c>
      <c r="T1066" t="s">
        <v>2570</v>
      </c>
      <c r="U1066" t="s">
        <v>39</v>
      </c>
      <c r="W1066" t="s">
        <v>779</v>
      </c>
      <c r="X1066" t="s">
        <v>257</v>
      </c>
      <c r="Y1066" t="s">
        <v>2571</v>
      </c>
      <c r="AB1066" t="s">
        <v>1051</v>
      </c>
    </row>
    <row r="1067" spans="1:28" x14ac:dyDescent="0.2">
      <c r="A1067">
        <v>48.516159999999999</v>
      </c>
      <c r="B1067">
        <v>-123.764438</v>
      </c>
      <c r="C1067" t="s">
        <v>204</v>
      </c>
      <c r="D1067" t="s">
        <v>2572</v>
      </c>
      <c r="E1067">
        <v>3</v>
      </c>
      <c r="F1067" t="s">
        <v>2573</v>
      </c>
      <c r="G1067" t="str">
        <f t="shared" si="16"/>
        <v>MARTIN'S GULCH</v>
      </c>
      <c r="H1067" t="s">
        <v>2550</v>
      </c>
      <c r="I1067">
        <v>512</v>
      </c>
      <c r="K1067" t="s">
        <v>2574</v>
      </c>
      <c r="L1067">
        <v>43048</v>
      </c>
      <c r="M1067" t="s">
        <v>2552</v>
      </c>
      <c r="N1067" t="s">
        <v>2553</v>
      </c>
      <c r="R1067" t="s">
        <v>36</v>
      </c>
      <c r="S1067" t="s">
        <v>37</v>
      </c>
      <c r="T1067" t="s">
        <v>689</v>
      </c>
      <c r="U1067" t="s">
        <v>39</v>
      </c>
      <c r="W1067" t="s">
        <v>2575</v>
      </c>
      <c r="Y1067" t="s">
        <v>358</v>
      </c>
    </row>
    <row r="1068" spans="1:28" x14ac:dyDescent="0.2">
      <c r="A1068">
        <v>48.572499999999998</v>
      </c>
      <c r="B1068">
        <v>-123.7075</v>
      </c>
      <c r="C1068" t="s">
        <v>204</v>
      </c>
      <c r="D1068" t="s">
        <v>2576</v>
      </c>
      <c r="E1068">
        <v>2</v>
      </c>
      <c r="F1068" t="s">
        <v>2577</v>
      </c>
      <c r="G1068" t="str">
        <f t="shared" si="16"/>
        <v>NORTH BASIN</v>
      </c>
      <c r="H1068" t="s">
        <v>2550</v>
      </c>
      <c r="I1068">
        <v>280</v>
      </c>
      <c r="K1068" t="s">
        <v>2578</v>
      </c>
      <c r="L1068">
        <v>41495</v>
      </c>
      <c r="M1068" t="s">
        <v>2552</v>
      </c>
      <c r="N1068" t="s">
        <v>2553</v>
      </c>
      <c r="R1068" t="s">
        <v>36</v>
      </c>
      <c r="S1068" t="s">
        <v>37</v>
      </c>
      <c r="T1068" t="s">
        <v>389</v>
      </c>
      <c r="U1068" t="s">
        <v>39</v>
      </c>
      <c r="W1068" t="s">
        <v>2575</v>
      </c>
      <c r="Y1068" t="s">
        <v>358</v>
      </c>
      <c r="Z1068" t="s">
        <v>2579</v>
      </c>
    </row>
    <row r="1069" spans="1:28" x14ac:dyDescent="0.2">
      <c r="A1069">
        <v>48.580278</v>
      </c>
      <c r="B1069">
        <v>-123.84055600000001</v>
      </c>
      <c r="C1069" t="s">
        <v>204</v>
      </c>
      <c r="D1069" t="s">
        <v>2580</v>
      </c>
      <c r="E1069">
        <v>4</v>
      </c>
      <c r="F1069" t="s">
        <v>2581</v>
      </c>
      <c r="G1069" t="str">
        <f t="shared" si="16"/>
        <v>CHRIS CREEK</v>
      </c>
      <c r="H1069" t="s">
        <v>2550</v>
      </c>
      <c r="I1069">
        <v>561</v>
      </c>
      <c r="K1069" t="s">
        <v>2582</v>
      </c>
      <c r="L1069">
        <v>42750</v>
      </c>
      <c r="M1069" t="s">
        <v>2552</v>
      </c>
      <c r="N1069" t="s">
        <v>2553</v>
      </c>
      <c r="R1069" t="s">
        <v>36</v>
      </c>
      <c r="S1069" t="s">
        <v>37</v>
      </c>
      <c r="T1069" t="s">
        <v>389</v>
      </c>
      <c r="U1069" t="s">
        <v>39</v>
      </c>
      <c r="W1069" t="s">
        <v>2575</v>
      </c>
    </row>
    <row r="1070" spans="1:28" x14ac:dyDescent="0.2">
      <c r="A1070">
        <v>48.585278000000002</v>
      </c>
      <c r="B1070">
        <v>-123.67361099999999</v>
      </c>
      <c r="C1070" t="s">
        <v>204</v>
      </c>
      <c r="D1070" t="s">
        <v>2583</v>
      </c>
      <c r="E1070">
        <v>2</v>
      </c>
      <c r="F1070" t="s">
        <v>2584</v>
      </c>
      <c r="G1070" t="str">
        <f t="shared" si="16"/>
        <v>JUDGE CREEK</v>
      </c>
      <c r="H1070" t="s">
        <v>2550</v>
      </c>
      <c r="I1070">
        <v>200</v>
      </c>
      <c r="K1070" t="s">
        <v>2585</v>
      </c>
      <c r="L1070">
        <v>34608</v>
      </c>
      <c r="M1070" t="s">
        <v>2552</v>
      </c>
      <c r="N1070" t="s">
        <v>2553</v>
      </c>
      <c r="R1070" t="s">
        <v>36</v>
      </c>
      <c r="S1070" t="s">
        <v>37</v>
      </c>
      <c r="T1070" t="s">
        <v>255</v>
      </c>
      <c r="AB1070" t="s">
        <v>2586</v>
      </c>
    </row>
    <row r="1071" spans="1:28" x14ac:dyDescent="0.2">
      <c r="A1071">
        <v>48.560279999999999</v>
      </c>
      <c r="B1071">
        <v>-123.79913000000001</v>
      </c>
      <c r="C1071" t="s">
        <v>204</v>
      </c>
      <c r="D1071" t="s">
        <v>2587</v>
      </c>
      <c r="E1071">
        <v>5</v>
      </c>
      <c r="F1071" t="s">
        <v>2588</v>
      </c>
      <c r="G1071" t="str">
        <f t="shared" si="16"/>
        <v>SURVEY MOUNTAIN</v>
      </c>
      <c r="H1071" t="s">
        <v>2550</v>
      </c>
      <c r="I1071">
        <v>941</v>
      </c>
      <c r="K1071" t="s">
        <v>2589</v>
      </c>
      <c r="L1071">
        <v>43669</v>
      </c>
      <c r="M1071" t="s">
        <v>2552</v>
      </c>
      <c r="N1071" t="s">
        <v>2553</v>
      </c>
      <c r="R1071" t="s">
        <v>36</v>
      </c>
      <c r="S1071" t="s">
        <v>37</v>
      </c>
      <c r="T1071" t="s">
        <v>389</v>
      </c>
      <c r="U1071" t="s">
        <v>39</v>
      </c>
      <c r="V1071" t="s">
        <v>1101</v>
      </c>
      <c r="W1071" t="s">
        <v>2590</v>
      </c>
      <c r="Y1071" t="s">
        <v>358</v>
      </c>
    </row>
    <row r="1072" spans="1:28" x14ac:dyDescent="0.2">
      <c r="A1072">
        <v>51.548442999999999</v>
      </c>
      <c r="B1072">
        <v>-127.53174799999999</v>
      </c>
      <c r="C1072" t="s">
        <v>204</v>
      </c>
      <c r="D1072" t="s">
        <v>2591</v>
      </c>
      <c r="E1072">
        <v>1</v>
      </c>
      <c r="F1072" t="s">
        <v>2592</v>
      </c>
      <c r="G1072" t="str">
        <f t="shared" si="16"/>
        <v>ETHEL</v>
      </c>
      <c r="H1072" t="s">
        <v>2593</v>
      </c>
      <c r="I1072">
        <v>3</v>
      </c>
      <c r="L1072">
        <v>2014</v>
      </c>
      <c r="M1072" t="s">
        <v>2594</v>
      </c>
      <c r="R1072" t="s">
        <v>36</v>
      </c>
      <c r="S1072" t="s">
        <v>37</v>
      </c>
      <c r="T1072" t="s">
        <v>1047</v>
      </c>
      <c r="W1072" t="s">
        <v>40</v>
      </c>
    </row>
    <row r="1073" spans="1:24" x14ac:dyDescent="0.2">
      <c r="A1073">
        <v>51.682566999999999</v>
      </c>
      <c r="B1073">
        <v>-128.022783</v>
      </c>
      <c r="C1073" t="s">
        <v>204</v>
      </c>
      <c r="D1073" t="s">
        <v>2595</v>
      </c>
      <c r="E1073">
        <v>3</v>
      </c>
      <c r="F1073" t="s">
        <v>2595</v>
      </c>
      <c r="G1073" t="str">
        <f t="shared" si="16"/>
        <v>HECATE</v>
      </c>
      <c r="H1073" t="s">
        <v>2593</v>
      </c>
      <c r="I1073">
        <v>477</v>
      </c>
      <c r="L1073">
        <v>2014</v>
      </c>
      <c r="M1073" t="s">
        <v>2594</v>
      </c>
      <c r="R1073" t="s">
        <v>36</v>
      </c>
      <c r="S1073" t="s">
        <v>37</v>
      </c>
      <c r="T1073" t="s">
        <v>1047</v>
      </c>
      <c r="U1073" t="s">
        <v>39</v>
      </c>
      <c r="W1073" t="s">
        <v>40</v>
      </c>
    </row>
    <row r="1074" spans="1:24" x14ac:dyDescent="0.2">
      <c r="A1074">
        <v>51.7708333</v>
      </c>
      <c r="B1074">
        <v>-127.8794444</v>
      </c>
      <c r="C1074" t="s">
        <v>204</v>
      </c>
      <c r="D1074" t="s">
        <v>2596</v>
      </c>
      <c r="E1074">
        <v>1</v>
      </c>
      <c r="F1074" t="s">
        <v>2597</v>
      </c>
      <c r="G1074" t="str">
        <f t="shared" si="16"/>
        <v>KOEYE</v>
      </c>
      <c r="H1074" t="s">
        <v>2593</v>
      </c>
      <c r="I1074">
        <v>19</v>
      </c>
      <c r="L1074">
        <v>2014</v>
      </c>
      <c r="M1074" t="s">
        <v>2594</v>
      </c>
      <c r="R1074" t="s">
        <v>36</v>
      </c>
      <c r="S1074" t="s">
        <v>37</v>
      </c>
      <c r="T1074" t="s">
        <v>1047</v>
      </c>
      <c r="W1074" t="s">
        <v>40</v>
      </c>
    </row>
    <row r="1075" spans="1:24" x14ac:dyDescent="0.2">
      <c r="A1075">
        <v>51.647500000000001</v>
      </c>
      <c r="B1075">
        <v>-128.14318299999999</v>
      </c>
      <c r="C1075" t="s">
        <v>204</v>
      </c>
      <c r="D1075" t="s">
        <v>2598</v>
      </c>
      <c r="E1075">
        <v>1</v>
      </c>
      <c r="F1075" t="s">
        <v>2599</v>
      </c>
      <c r="G1075" t="str">
        <f t="shared" si="16"/>
        <v>LOOKOUT</v>
      </c>
      <c r="H1075" t="s">
        <v>2593</v>
      </c>
      <c r="I1075">
        <v>63</v>
      </c>
      <c r="L1075">
        <v>2013</v>
      </c>
      <c r="M1075" t="s">
        <v>2594</v>
      </c>
      <c r="R1075" t="s">
        <v>36</v>
      </c>
      <c r="S1075" t="s">
        <v>37</v>
      </c>
      <c r="T1075" t="s">
        <v>1047</v>
      </c>
      <c r="W1075" t="s">
        <v>40</v>
      </c>
    </row>
    <row r="1076" spans="1:24" x14ac:dyDescent="0.2">
      <c r="A1076">
        <v>51.65455</v>
      </c>
      <c r="B1076">
        <v>-128.129426</v>
      </c>
      <c r="C1076" t="s">
        <v>204</v>
      </c>
      <c r="D1076" t="s">
        <v>2600</v>
      </c>
      <c r="E1076">
        <v>1</v>
      </c>
      <c r="F1076" t="s">
        <v>2601</v>
      </c>
      <c r="G1076" t="str">
        <f t="shared" si="16"/>
        <v>PRUTHDOCK</v>
      </c>
      <c r="H1076" t="s">
        <v>2593</v>
      </c>
      <c r="I1076">
        <v>5</v>
      </c>
      <c r="L1076">
        <v>2013</v>
      </c>
      <c r="M1076" t="s">
        <v>2594</v>
      </c>
      <c r="R1076" t="s">
        <v>36</v>
      </c>
      <c r="S1076" t="s">
        <v>37</v>
      </c>
      <c r="T1076" t="s">
        <v>1047</v>
      </c>
      <c r="W1076" t="s">
        <v>40</v>
      </c>
    </row>
    <row r="1077" spans="1:24" x14ac:dyDescent="0.2">
      <c r="A1077">
        <v>50.116255600000002</v>
      </c>
      <c r="B1077">
        <v>-125.22211110000001</v>
      </c>
      <c r="C1077" t="s">
        <v>41</v>
      </c>
      <c r="D1077" t="s">
        <v>2602</v>
      </c>
      <c r="E1077">
        <v>1</v>
      </c>
      <c r="F1077" t="s">
        <v>2603</v>
      </c>
      <c r="G1077" t="str">
        <f t="shared" si="16"/>
        <v>QUADRA</v>
      </c>
      <c r="H1077" t="s">
        <v>2593</v>
      </c>
      <c r="I1077">
        <v>11</v>
      </c>
      <c r="L1077">
        <v>2013</v>
      </c>
      <c r="M1077" t="s">
        <v>2594</v>
      </c>
      <c r="R1077" t="s">
        <v>36</v>
      </c>
      <c r="S1077" t="s">
        <v>37</v>
      </c>
      <c r="T1077" t="s">
        <v>1047</v>
      </c>
      <c r="W1077" t="s">
        <v>40</v>
      </c>
    </row>
    <row r="1078" spans="1:24" x14ac:dyDescent="0.2">
      <c r="A1078">
        <v>51.651949999999999</v>
      </c>
      <c r="B1078">
        <v>-128.12870000000001</v>
      </c>
      <c r="C1078" t="s">
        <v>204</v>
      </c>
      <c r="D1078" t="s">
        <v>2604</v>
      </c>
      <c r="E1078">
        <v>1</v>
      </c>
      <c r="F1078" t="s">
        <v>2604</v>
      </c>
      <c r="G1078" t="str">
        <f t="shared" si="16"/>
        <v>REFSTN</v>
      </c>
      <c r="H1078" t="s">
        <v>2593</v>
      </c>
      <c r="I1078">
        <v>43</v>
      </c>
      <c r="L1078">
        <v>2015</v>
      </c>
      <c r="M1078" t="s">
        <v>2594</v>
      </c>
      <c r="R1078" t="s">
        <v>36</v>
      </c>
      <c r="S1078" t="s">
        <v>37</v>
      </c>
      <c r="T1078" t="s">
        <v>2605</v>
      </c>
      <c r="U1078" t="s">
        <v>39</v>
      </c>
      <c r="W1078" t="s">
        <v>40</v>
      </c>
    </row>
    <row r="1079" spans="1:24" x14ac:dyDescent="0.2">
      <c r="A1079">
        <v>51.69055556</v>
      </c>
      <c r="B1079">
        <v>-128.06527779999999</v>
      </c>
      <c r="C1079" t="s">
        <v>204</v>
      </c>
      <c r="D1079" t="s">
        <v>2606</v>
      </c>
      <c r="E1079">
        <v>1</v>
      </c>
      <c r="F1079" t="s">
        <v>2607</v>
      </c>
      <c r="G1079" t="str">
        <f t="shared" si="16"/>
        <v>SSN1015PWR</v>
      </c>
      <c r="H1079" t="s">
        <v>2593</v>
      </c>
      <c r="I1079">
        <v>17</v>
      </c>
      <c r="L1079">
        <v>2014</v>
      </c>
      <c r="M1079" t="s">
        <v>2594</v>
      </c>
      <c r="R1079" t="s">
        <v>36</v>
      </c>
      <c r="S1079" t="s">
        <v>37</v>
      </c>
      <c r="T1079" t="s">
        <v>1047</v>
      </c>
    </row>
    <row r="1080" spans="1:24" x14ac:dyDescent="0.2">
      <c r="A1080">
        <v>51.64083333</v>
      </c>
      <c r="B1080">
        <v>-128.12194439999999</v>
      </c>
      <c r="C1080" t="s">
        <v>204</v>
      </c>
      <c r="D1080" t="s">
        <v>2608</v>
      </c>
      <c r="E1080">
        <v>1</v>
      </c>
      <c r="F1080" t="s">
        <v>2609</v>
      </c>
      <c r="G1080" t="str">
        <f t="shared" si="16"/>
        <v>SSN626PWR</v>
      </c>
      <c r="H1080" t="s">
        <v>2593</v>
      </c>
      <c r="I1080">
        <v>13</v>
      </c>
      <c r="L1080">
        <v>2014</v>
      </c>
      <c r="M1080" t="s">
        <v>2594</v>
      </c>
      <c r="R1080" t="s">
        <v>36</v>
      </c>
      <c r="S1080" t="s">
        <v>37</v>
      </c>
      <c r="T1080" t="s">
        <v>1047</v>
      </c>
      <c r="U1080" t="s">
        <v>39</v>
      </c>
    </row>
    <row r="1081" spans="1:24" x14ac:dyDescent="0.2">
      <c r="A1081">
        <v>51.610583329999997</v>
      </c>
      <c r="B1081">
        <v>-127.98708329999999</v>
      </c>
      <c r="C1081" t="s">
        <v>204</v>
      </c>
      <c r="D1081" t="s">
        <v>2610</v>
      </c>
      <c r="E1081">
        <v>3</v>
      </c>
      <c r="F1081" t="s">
        <v>2611</v>
      </c>
      <c r="G1081" t="str">
        <f t="shared" si="16"/>
        <v>WSN693_703</v>
      </c>
      <c r="H1081" t="s">
        <v>2593</v>
      </c>
      <c r="I1081">
        <v>449</v>
      </c>
      <c r="L1081">
        <v>2014</v>
      </c>
      <c r="M1081" t="s">
        <v>2594</v>
      </c>
      <c r="R1081" t="s">
        <v>36</v>
      </c>
      <c r="S1081" t="s">
        <v>37</v>
      </c>
      <c r="T1081" t="s">
        <v>1047</v>
      </c>
      <c r="U1081" t="s">
        <v>39</v>
      </c>
      <c r="W1081" t="s">
        <v>40</v>
      </c>
    </row>
    <row r="1082" spans="1:24" x14ac:dyDescent="0.2">
      <c r="A1082">
        <v>51.643333329999997</v>
      </c>
      <c r="B1082">
        <v>-128.0227778</v>
      </c>
      <c r="C1082" t="s">
        <v>204</v>
      </c>
      <c r="D1082" t="s">
        <v>2612</v>
      </c>
      <c r="E1082">
        <v>1</v>
      </c>
      <c r="F1082" t="s">
        <v>2612</v>
      </c>
      <c r="G1082" t="str">
        <f t="shared" si="16"/>
        <v>WSN703</v>
      </c>
      <c r="H1082" t="s">
        <v>2593</v>
      </c>
      <c r="I1082">
        <v>42</v>
      </c>
      <c r="L1082">
        <v>2014</v>
      </c>
      <c r="M1082" t="s">
        <v>2594</v>
      </c>
      <c r="R1082" t="s">
        <v>36</v>
      </c>
      <c r="S1082" t="s">
        <v>37</v>
      </c>
      <c r="T1082" t="s">
        <v>1047</v>
      </c>
    </row>
    <row r="1083" spans="1:24" x14ac:dyDescent="0.2">
      <c r="A1083">
        <v>51.682652779999998</v>
      </c>
      <c r="B1083">
        <v>-128.04332500000001</v>
      </c>
      <c r="C1083" t="s">
        <v>204</v>
      </c>
      <c r="D1083" t="s">
        <v>2613</v>
      </c>
      <c r="E1083">
        <v>3</v>
      </c>
      <c r="F1083" t="s">
        <v>2614</v>
      </c>
      <c r="G1083" t="str">
        <f t="shared" si="16"/>
        <v>WSN819_1015</v>
      </c>
      <c r="H1083" t="s">
        <v>2593</v>
      </c>
      <c r="I1083">
        <v>331</v>
      </c>
      <c r="L1083">
        <v>2014</v>
      </c>
      <c r="M1083" t="s">
        <v>2594</v>
      </c>
      <c r="R1083" t="s">
        <v>36</v>
      </c>
      <c r="S1083" t="s">
        <v>37</v>
      </c>
      <c r="T1083" t="s">
        <v>1047</v>
      </c>
      <c r="U1083" t="s">
        <v>39</v>
      </c>
      <c r="W1083" t="s">
        <v>40</v>
      </c>
    </row>
    <row r="1084" spans="1:24" x14ac:dyDescent="0.2">
      <c r="A1084">
        <v>49.279213669999997</v>
      </c>
      <c r="B1084">
        <v>-122.970707</v>
      </c>
      <c r="C1084" t="s">
        <v>41</v>
      </c>
      <c r="D1084" t="s">
        <v>2615</v>
      </c>
      <c r="E1084">
        <v>3</v>
      </c>
      <c r="F1084" t="s">
        <v>2616</v>
      </c>
      <c r="G1084" t="str">
        <f t="shared" si="16"/>
        <v>BURNABY-KENSINGTON PARK</v>
      </c>
      <c r="H1084" t="s">
        <v>2617</v>
      </c>
      <c r="I1084">
        <v>104</v>
      </c>
      <c r="M1084" t="s">
        <v>2618</v>
      </c>
      <c r="N1084" t="s">
        <v>2619</v>
      </c>
      <c r="R1084" t="s">
        <v>36</v>
      </c>
      <c r="W1084" t="s">
        <v>40</v>
      </c>
    </row>
    <row r="1085" spans="1:24" x14ac:dyDescent="0.2">
      <c r="A1085">
        <v>49.301471540000001</v>
      </c>
      <c r="B1085">
        <v>-123.02041699999999</v>
      </c>
      <c r="C1085" t="s">
        <v>41</v>
      </c>
      <c r="D1085" t="s">
        <v>2620</v>
      </c>
      <c r="E1085">
        <v>1</v>
      </c>
      <c r="F1085" t="s">
        <v>2621</v>
      </c>
      <c r="G1085" t="str">
        <f t="shared" si="16"/>
        <v>N. VANCOUVER-2ND NARROWS</v>
      </c>
      <c r="H1085" t="s">
        <v>2617</v>
      </c>
      <c r="I1085">
        <v>4</v>
      </c>
      <c r="M1085" t="s">
        <v>2618</v>
      </c>
      <c r="N1085" t="s">
        <v>2619</v>
      </c>
      <c r="W1085" t="s">
        <v>40</v>
      </c>
    </row>
    <row r="1086" spans="1:24" x14ac:dyDescent="0.2">
      <c r="A1086">
        <v>49.280892880000003</v>
      </c>
      <c r="B1086">
        <v>-122.84929099999999</v>
      </c>
      <c r="C1086" t="s">
        <v>41</v>
      </c>
      <c r="D1086" t="s">
        <v>2622</v>
      </c>
      <c r="E1086">
        <v>1</v>
      </c>
      <c r="F1086" t="s">
        <v>2623</v>
      </c>
      <c r="G1086" t="str">
        <f t="shared" si="16"/>
        <v>PORT MOODY</v>
      </c>
      <c r="H1086" t="s">
        <v>2617</v>
      </c>
      <c r="I1086">
        <v>6</v>
      </c>
      <c r="M1086" t="s">
        <v>2618</v>
      </c>
      <c r="N1086" t="s">
        <v>2619</v>
      </c>
      <c r="R1086" t="s">
        <v>36</v>
      </c>
      <c r="S1086" t="s">
        <v>37</v>
      </c>
      <c r="T1086" t="s">
        <v>38</v>
      </c>
      <c r="U1086" t="s">
        <v>39</v>
      </c>
      <c r="W1086" t="s">
        <v>40</v>
      </c>
    </row>
    <row r="1087" spans="1:24" x14ac:dyDescent="0.2">
      <c r="A1087">
        <v>49.15584836</v>
      </c>
      <c r="B1087">
        <v>-121.940279</v>
      </c>
      <c r="C1087" t="s">
        <v>41</v>
      </c>
      <c r="D1087" t="s">
        <v>2624</v>
      </c>
      <c r="E1087">
        <v>1</v>
      </c>
      <c r="F1087" t="s">
        <v>2625</v>
      </c>
      <c r="G1087" t="str">
        <f t="shared" si="16"/>
        <v>CHILLIWACK</v>
      </c>
      <c r="H1087" t="s">
        <v>2617</v>
      </c>
      <c r="I1087">
        <v>12</v>
      </c>
      <c r="J1087" t="s">
        <v>253</v>
      </c>
      <c r="M1087" t="s">
        <v>2618</v>
      </c>
      <c r="N1087" t="s">
        <v>2619</v>
      </c>
      <c r="R1087" t="s">
        <v>36</v>
      </c>
      <c r="S1087" t="s">
        <v>37</v>
      </c>
      <c r="T1087" t="s">
        <v>38</v>
      </c>
      <c r="U1087" t="s">
        <v>39</v>
      </c>
      <c r="W1087" t="s">
        <v>40</v>
      </c>
      <c r="X1087" t="s">
        <v>257</v>
      </c>
    </row>
    <row r="1088" spans="1:24" x14ac:dyDescent="0.2">
      <c r="A1088">
        <v>49.158348289999999</v>
      </c>
      <c r="B1088">
        <v>-122.90173</v>
      </c>
      <c r="C1088" t="s">
        <v>41</v>
      </c>
      <c r="D1088" t="s">
        <v>2626</v>
      </c>
      <c r="E1088">
        <v>3</v>
      </c>
      <c r="F1088" t="s">
        <v>2627</v>
      </c>
      <c r="G1088" t="str">
        <f t="shared" si="16"/>
        <v>NORTH DELTA</v>
      </c>
      <c r="H1088" t="s">
        <v>2617</v>
      </c>
      <c r="I1088">
        <v>113</v>
      </c>
      <c r="M1088" t="s">
        <v>2618</v>
      </c>
      <c r="N1088" t="s">
        <v>2619</v>
      </c>
      <c r="R1088" t="s">
        <v>36</v>
      </c>
      <c r="T1088" t="s">
        <v>38</v>
      </c>
    </row>
    <row r="1089" spans="1:24" x14ac:dyDescent="0.2">
      <c r="A1089">
        <v>49.279808750000001</v>
      </c>
      <c r="B1089">
        <v>-122.92226700000001</v>
      </c>
      <c r="C1089" t="s">
        <v>41</v>
      </c>
      <c r="D1089" t="s">
        <v>2628</v>
      </c>
      <c r="E1089">
        <v>5</v>
      </c>
      <c r="F1089" t="s">
        <v>2629</v>
      </c>
      <c r="G1089" t="str">
        <f t="shared" si="16"/>
        <v>BURNABY MOUNTAIN</v>
      </c>
      <c r="H1089" t="s">
        <v>2617</v>
      </c>
      <c r="I1089">
        <v>360</v>
      </c>
      <c r="M1089" t="s">
        <v>2618</v>
      </c>
      <c r="N1089" t="s">
        <v>2619</v>
      </c>
      <c r="R1089" t="s">
        <v>36</v>
      </c>
      <c r="S1089" t="s">
        <v>37</v>
      </c>
      <c r="T1089" t="s">
        <v>38</v>
      </c>
      <c r="W1089" t="s">
        <v>40</v>
      </c>
    </row>
    <row r="1090" spans="1:24" x14ac:dyDescent="0.2">
      <c r="A1090">
        <v>49.134234999999997</v>
      </c>
      <c r="B1090">
        <v>-122.695491</v>
      </c>
      <c r="C1090" t="s">
        <v>41</v>
      </c>
      <c r="D1090" t="s">
        <v>2630</v>
      </c>
      <c r="E1090">
        <v>2</v>
      </c>
      <c r="F1090" t="s">
        <v>2631</v>
      </c>
      <c r="G1090" t="str">
        <f t="shared" ref="G1090:G1153" si="17">UPPER(F1090)</f>
        <v>SURREY EAST</v>
      </c>
      <c r="H1090" t="s">
        <v>2617</v>
      </c>
      <c r="I1090">
        <v>79</v>
      </c>
      <c r="M1090" t="s">
        <v>2618</v>
      </c>
      <c r="N1090" t="s">
        <v>2619</v>
      </c>
      <c r="R1090" t="s">
        <v>36</v>
      </c>
      <c r="T1090" t="s">
        <v>38</v>
      </c>
    </row>
    <row r="1091" spans="1:24" x14ac:dyDescent="0.2">
      <c r="A1091">
        <v>49.141437070000002</v>
      </c>
      <c r="B1091">
        <v>-123.108215</v>
      </c>
      <c r="C1091" t="s">
        <v>41</v>
      </c>
      <c r="D1091" t="s">
        <v>2632</v>
      </c>
      <c r="E1091">
        <v>1</v>
      </c>
      <c r="F1091" t="s">
        <v>2633</v>
      </c>
      <c r="G1091" t="str">
        <f t="shared" si="17"/>
        <v>RICHMOND SOUTH</v>
      </c>
      <c r="H1091" t="s">
        <v>2617</v>
      </c>
      <c r="I1091">
        <v>4</v>
      </c>
      <c r="M1091" t="s">
        <v>2618</v>
      </c>
      <c r="N1091" t="s">
        <v>2619</v>
      </c>
      <c r="R1091" t="s">
        <v>36</v>
      </c>
      <c r="T1091" t="s">
        <v>38</v>
      </c>
    </row>
    <row r="1092" spans="1:24" x14ac:dyDescent="0.2">
      <c r="A1092">
        <v>49.21519018</v>
      </c>
      <c r="B1092">
        <v>-122.98566599999999</v>
      </c>
      <c r="C1092" t="s">
        <v>41</v>
      </c>
      <c r="D1092" t="s">
        <v>2634</v>
      </c>
      <c r="E1092">
        <v>3</v>
      </c>
      <c r="F1092" t="s">
        <v>2635</v>
      </c>
      <c r="G1092" t="str">
        <f t="shared" si="17"/>
        <v>BURNABY SOUTH</v>
      </c>
      <c r="H1092" t="s">
        <v>2617</v>
      </c>
      <c r="I1092">
        <v>122</v>
      </c>
      <c r="M1092" t="s">
        <v>2618</v>
      </c>
      <c r="N1092" t="s">
        <v>2619</v>
      </c>
      <c r="R1092" t="s">
        <v>36</v>
      </c>
      <c r="S1092" t="s">
        <v>37</v>
      </c>
      <c r="T1092" t="s">
        <v>38</v>
      </c>
      <c r="W1092" t="s">
        <v>40</v>
      </c>
      <c r="X1092" t="s">
        <v>257</v>
      </c>
    </row>
    <row r="1093" spans="1:24" x14ac:dyDescent="0.2">
      <c r="A1093">
        <v>49.245233079999998</v>
      </c>
      <c r="B1093">
        <v>-122.708889</v>
      </c>
      <c r="C1093" t="s">
        <v>41</v>
      </c>
      <c r="D1093" t="s">
        <v>2636</v>
      </c>
      <c r="E1093">
        <v>1</v>
      </c>
      <c r="F1093" t="s">
        <v>2637</v>
      </c>
      <c r="G1093" t="str">
        <f t="shared" si="17"/>
        <v>PITT MEADOWS</v>
      </c>
      <c r="H1093" t="s">
        <v>2617</v>
      </c>
      <c r="I1093">
        <v>4</v>
      </c>
      <c r="M1093" t="s">
        <v>2618</v>
      </c>
      <c r="N1093" t="s">
        <v>2619</v>
      </c>
      <c r="R1093" t="s">
        <v>36</v>
      </c>
      <c r="S1093" t="s">
        <v>37</v>
      </c>
      <c r="T1093" t="s">
        <v>38</v>
      </c>
      <c r="W1093" t="s">
        <v>40</v>
      </c>
      <c r="X1093" t="s">
        <v>257</v>
      </c>
    </row>
    <row r="1094" spans="1:24" x14ac:dyDescent="0.2">
      <c r="A1094">
        <v>49.266702279999997</v>
      </c>
      <c r="B1094">
        <v>-122.93547100000001</v>
      </c>
      <c r="C1094" t="s">
        <v>41</v>
      </c>
      <c r="D1094" t="s">
        <v>2638</v>
      </c>
      <c r="E1094">
        <v>3</v>
      </c>
      <c r="F1094" t="s">
        <v>2639</v>
      </c>
      <c r="G1094" t="str">
        <f t="shared" si="17"/>
        <v>BURNABY-BURMOUNT</v>
      </c>
      <c r="H1094" t="s">
        <v>2617</v>
      </c>
      <c r="I1094">
        <v>101</v>
      </c>
      <c r="M1094" t="s">
        <v>2618</v>
      </c>
      <c r="N1094" t="s">
        <v>2619</v>
      </c>
      <c r="R1094" t="s">
        <v>36</v>
      </c>
      <c r="W1094" t="s">
        <v>40</v>
      </c>
    </row>
    <row r="1095" spans="1:24" x14ac:dyDescent="0.2">
      <c r="A1095">
        <v>49.287868619999998</v>
      </c>
      <c r="B1095">
        <v>-122.98563</v>
      </c>
      <c r="C1095" t="s">
        <v>41</v>
      </c>
      <c r="D1095" t="s">
        <v>2640</v>
      </c>
      <c r="E1095">
        <v>4</v>
      </c>
      <c r="F1095" t="s">
        <v>2641</v>
      </c>
      <c r="G1095" t="str">
        <f t="shared" si="17"/>
        <v>BURNABY-CAPITOL HILL</v>
      </c>
      <c r="H1095" t="s">
        <v>2617</v>
      </c>
      <c r="I1095">
        <v>200</v>
      </c>
      <c r="M1095" t="s">
        <v>2618</v>
      </c>
      <c r="N1095" t="s">
        <v>2619</v>
      </c>
      <c r="R1095" t="s">
        <v>36</v>
      </c>
      <c r="W1095" t="s">
        <v>40</v>
      </c>
    </row>
    <row r="1096" spans="1:24" x14ac:dyDescent="0.2">
      <c r="A1096">
        <v>49.287482699999998</v>
      </c>
      <c r="B1096">
        <v>-123.007975</v>
      </c>
      <c r="C1096" t="s">
        <v>41</v>
      </c>
      <c r="D1096" t="s">
        <v>2642</v>
      </c>
      <c r="E1096">
        <v>2</v>
      </c>
      <c r="F1096" t="s">
        <v>2643</v>
      </c>
      <c r="G1096" t="str">
        <f t="shared" si="17"/>
        <v>BURNABY NORTH</v>
      </c>
      <c r="H1096" t="s">
        <v>2617</v>
      </c>
      <c r="I1096">
        <v>70</v>
      </c>
      <c r="J1096" t="s">
        <v>253</v>
      </c>
      <c r="M1096" t="s">
        <v>2618</v>
      </c>
      <c r="N1096" t="s">
        <v>2619</v>
      </c>
      <c r="R1096" t="s">
        <v>36</v>
      </c>
      <c r="T1096" t="s">
        <v>38</v>
      </c>
      <c r="W1096" t="s">
        <v>40</v>
      </c>
    </row>
    <row r="1097" spans="1:24" x14ac:dyDescent="0.2">
      <c r="A1097">
        <v>49.323993770000001</v>
      </c>
      <c r="B1097">
        <v>-123.083496</v>
      </c>
      <c r="C1097" t="s">
        <v>41</v>
      </c>
      <c r="D1097" t="s">
        <v>2644</v>
      </c>
      <c r="E1097">
        <v>2</v>
      </c>
      <c r="F1097" t="s">
        <v>2645</v>
      </c>
      <c r="G1097" t="str">
        <f t="shared" si="17"/>
        <v>N. VANCOUVER-MAHON PARK</v>
      </c>
      <c r="H1097" t="s">
        <v>2617</v>
      </c>
      <c r="I1097">
        <v>71</v>
      </c>
      <c r="M1097" t="s">
        <v>2618</v>
      </c>
      <c r="N1097" t="s">
        <v>2619</v>
      </c>
      <c r="R1097" t="s">
        <v>36</v>
      </c>
      <c r="S1097" t="s">
        <v>37</v>
      </c>
      <c r="T1097" t="s">
        <v>38</v>
      </c>
      <c r="U1097" t="s">
        <v>39</v>
      </c>
      <c r="W1097" t="s">
        <v>40</v>
      </c>
      <c r="X1097" t="s">
        <v>257</v>
      </c>
    </row>
    <row r="1098" spans="1:24" x14ac:dyDescent="0.2">
      <c r="A1098">
        <v>49.095612799999998</v>
      </c>
      <c r="B1098">
        <v>-122.567104</v>
      </c>
      <c r="C1098" t="s">
        <v>41</v>
      </c>
      <c r="D1098" t="s">
        <v>2646</v>
      </c>
      <c r="E1098">
        <v>3</v>
      </c>
      <c r="F1098" t="s">
        <v>2647</v>
      </c>
      <c r="G1098" t="str">
        <f t="shared" si="17"/>
        <v>LANGLEY</v>
      </c>
      <c r="H1098" t="s">
        <v>2617</v>
      </c>
      <c r="I1098">
        <v>88</v>
      </c>
      <c r="M1098" t="s">
        <v>2618</v>
      </c>
      <c r="N1098" t="s">
        <v>2619</v>
      </c>
      <c r="R1098" t="s">
        <v>36</v>
      </c>
      <c r="S1098" t="s">
        <v>37</v>
      </c>
      <c r="T1098" t="s">
        <v>38</v>
      </c>
      <c r="W1098" t="s">
        <v>40</v>
      </c>
      <c r="X1098" t="s">
        <v>257</v>
      </c>
    </row>
    <row r="1099" spans="1:24" x14ac:dyDescent="0.2">
      <c r="A1099">
        <v>49.369887140000003</v>
      </c>
      <c r="B1099">
        <v>-121.499122</v>
      </c>
      <c r="C1099" t="s">
        <v>204</v>
      </c>
      <c r="D1099" t="s">
        <v>2648</v>
      </c>
      <c r="E1099">
        <v>1</v>
      </c>
      <c r="F1099" t="s">
        <v>2649</v>
      </c>
      <c r="G1099" t="str">
        <f t="shared" si="17"/>
        <v>HOPE</v>
      </c>
      <c r="H1099" t="s">
        <v>2617</v>
      </c>
      <c r="I1099">
        <v>40</v>
      </c>
      <c r="M1099" t="s">
        <v>2618</v>
      </c>
      <c r="N1099" t="s">
        <v>2619</v>
      </c>
      <c r="R1099" t="s">
        <v>36</v>
      </c>
      <c r="S1099" t="s">
        <v>37</v>
      </c>
      <c r="T1099" t="s">
        <v>38</v>
      </c>
      <c r="W1099" t="s">
        <v>40</v>
      </c>
    </row>
    <row r="1100" spans="1:24" x14ac:dyDescent="0.2">
      <c r="A1100">
        <v>49.214938979999999</v>
      </c>
      <c r="B1100">
        <v>-122.58205700000001</v>
      </c>
      <c r="C1100" t="s">
        <v>41</v>
      </c>
      <c r="D1100" t="s">
        <v>2650</v>
      </c>
      <c r="E1100">
        <v>2</v>
      </c>
      <c r="F1100" t="s">
        <v>2651</v>
      </c>
      <c r="G1100" t="str">
        <f t="shared" si="17"/>
        <v>MAPLE RIDGE</v>
      </c>
      <c r="H1100" t="s">
        <v>2617</v>
      </c>
      <c r="I1100">
        <v>50</v>
      </c>
      <c r="M1100" t="s">
        <v>2618</v>
      </c>
      <c r="N1100" t="s">
        <v>2619</v>
      </c>
      <c r="R1100" t="s">
        <v>36</v>
      </c>
      <c r="S1100" t="s">
        <v>37</v>
      </c>
      <c r="T1100" t="s">
        <v>38</v>
      </c>
      <c r="W1100" t="s">
        <v>40</v>
      </c>
    </row>
    <row r="1101" spans="1:24" x14ac:dyDescent="0.2">
      <c r="A1101">
        <v>49.186264700000002</v>
      </c>
      <c r="B1101">
        <v>-123.152422</v>
      </c>
      <c r="C1101" t="s">
        <v>41</v>
      </c>
      <c r="D1101" t="s">
        <v>2652</v>
      </c>
      <c r="E1101">
        <v>1</v>
      </c>
      <c r="F1101" t="s">
        <v>2653</v>
      </c>
      <c r="G1101" t="str">
        <f t="shared" si="17"/>
        <v>RICHMOND-AIRPORT</v>
      </c>
      <c r="H1101" t="s">
        <v>2617</v>
      </c>
      <c r="I1101">
        <v>1</v>
      </c>
      <c r="M1101" t="s">
        <v>2618</v>
      </c>
      <c r="N1101" t="s">
        <v>2619</v>
      </c>
      <c r="R1101" t="s">
        <v>36</v>
      </c>
      <c r="S1101" t="s">
        <v>37</v>
      </c>
      <c r="T1101" t="s">
        <v>38</v>
      </c>
      <c r="U1101" t="s">
        <v>39</v>
      </c>
      <c r="W1101" t="s">
        <v>40</v>
      </c>
      <c r="X1101" t="s">
        <v>257</v>
      </c>
    </row>
    <row r="1102" spans="1:24" x14ac:dyDescent="0.2">
      <c r="A1102">
        <v>49.28826402</v>
      </c>
      <c r="B1102">
        <v>-122.79156999999999</v>
      </c>
      <c r="C1102" t="s">
        <v>41</v>
      </c>
      <c r="D1102" t="s">
        <v>2654</v>
      </c>
      <c r="E1102">
        <v>2</v>
      </c>
      <c r="F1102" t="s">
        <v>2655</v>
      </c>
      <c r="G1102" t="str">
        <f t="shared" si="17"/>
        <v>COQUITLAM</v>
      </c>
      <c r="H1102" t="s">
        <v>2617</v>
      </c>
      <c r="I1102">
        <v>38</v>
      </c>
      <c r="M1102" t="s">
        <v>2618</v>
      </c>
      <c r="N1102" t="s">
        <v>2619</v>
      </c>
      <c r="R1102" t="s">
        <v>36</v>
      </c>
      <c r="S1102" t="s">
        <v>37</v>
      </c>
      <c r="T1102" t="s">
        <v>38</v>
      </c>
      <c r="U1102" t="s">
        <v>39</v>
      </c>
      <c r="W1102" t="s">
        <v>40</v>
      </c>
      <c r="X1102" t="s">
        <v>257</v>
      </c>
    </row>
    <row r="1103" spans="1:24" x14ac:dyDescent="0.2">
      <c r="A1103">
        <v>49.042578820000003</v>
      </c>
      <c r="B1103">
        <v>-122.308921</v>
      </c>
      <c r="C1103" t="s">
        <v>41</v>
      </c>
      <c r="D1103" t="s">
        <v>2656</v>
      </c>
      <c r="E1103">
        <v>2</v>
      </c>
      <c r="F1103" t="s">
        <v>2657</v>
      </c>
      <c r="G1103" t="str">
        <f t="shared" si="17"/>
        <v>ABBOTSFORD-MILL LAKE</v>
      </c>
      <c r="H1103" t="s">
        <v>2617</v>
      </c>
      <c r="I1103">
        <v>58</v>
      </c>
      <c r="M1103" t="s">
        <v>2618</v>
      </c>
      <c r="N1103" t="s">
        <v>2619</v>
      </c>
      <c r="R1103" t="s">
        <v>36</v>
      </c>
      <c r="S1103" t="s">
        <v>37</v>
      </c>
      <c r="T1103" t="s">
        <v>38</v>
      </c>
      <c r="W1103" t="s">
        <v>40</v>
      </c>
    </row>
    <row r="1104" spans="1:24" x14ac:dyDescent="0.2">
      <c r="A1104">
        <v>49.368609509999999</v>
      </c>
      <c r="B1104">
        <v>-123.276741</v>
      </c>
      <c r="C1104" t="s">
        <v>41</v>
      </c>
      <c r="D1104" t="s">
        <v>2658</v>
      </c>
      <c r="E1104">
        <v>2</v>
      </c>
      <c r="F1104" t="s">
        <v>2659</v>
      </c>
      <c r="G1104" t="str">
        <f t="shared" si="17"/>
        <v>HORSESHOE BAY</v>
      </c>
      <c r="H1104" t="s">
        <v>2617</v>
      </c>
      <c r="I1104">
        <v>65</v>
      </c>
      <c r="M1104" t="s">
        <v>2618</v>
      </c>
      <c r="N1104" t="s">
        <v>2619</v>
      </c>
      <c r="R1104" t="s">
        <v>36</v>
      </c>
      <c r="S1104" t="s">
        <v>37</v>
      </c>
      <c r="T1104" t="s">
        <v>38</v>
      </c>
      <c r="W1104" t="s">
        <v>40</v>
      </c>
    </row>
    <row r="1105" spans="1:28" x14ac:dyDescent="0.2">
      <c r="A1105">
        <v>49.165736209999999</v>
      </c>
      <c r="B1105">
        <v>-122.960714</v>
      </c>
      <c r="C1105" t="s">
        <v>41</v>
      </c>
      <c r="D1105" t="s">
        <v>2660</v>
      </c>
      <c r="E1105">
        <v>1</v>
      </c>
      <c r="F1105" t="s">
        <v>2661</v>
      </c>
      <c r="G1105" t="str">
        <f t="shared" si="17"/>
        <v>ANNACIS ISLAND</v>
      </c>
      <c r="H1105" t="s">
        <v>2617</v>
      </c>
      <c r="I1105">
        <v>6</v>
      </c>
      <c r="M1105" t="s">
        <v>2618</v>
      </c>
      <c r="N1105" t="s">
        <v>2619</v>
      </c>
      <c r="R1105" t="s">
        <v>36</v>
      </c>
      <c r="S1105" t="s">
        <v>37</v>
      </c>
      <c r="T1105" t="s">
        <v>38</v>
      </c>
      <c r="W1105" t="s">
        <v>40</v>
      </c>
    </row>
    <row r="1106" spans="1:28" x14ac:dyDescent="0.2">
      <c r="A1106">
        <v>49.009877000000003</v>
      </c>
      <c r="B1106">
        <v>-123.081997</v>
      </c>
      <c r="C1106" t="s">
        <v>41</v>
      </c>
      <c r="D1106" t="s">
        <v>2662</v>
      </c>
      <c r="E1106">
        <v>2</v>
      </c>
      <c r="F1106" t="s">
        <v>121</v>
      </c>
      <c r="G1106" t="str">
        <f t="shared" si="17"/>
        <v>TSAWWASSEN</v>
      </c>
      <c r="H1106" t="s">
        <v>2617</v>
      </c>
      <c r="I1106">
        <v>52</v>
      </c>
      <c r="M1106" t="s">
        <v>2618</v>
      </c>
      <c r="N1106" t="s">
        <v>2619</v>
      </c>
      <c r="R1106" t="s">
        <v>36</v>
      </c>
      <c r="S1106" t="s">
        <v>37</v>
      </c>
      <c r="T1106" t="s">
        <v>38</v>
      </c>
      <c r="W1106" t="s">
        <v>40</v>
      </c>
    </row>
    <row r="1107" spans="1:28" x14ac:dyDescent="0.2">
      <c r="A1107">
        <v>49.141530000000003</v>
      </c>
      <c r="B1107">
        <v>-122.31107</v>
      </c>
      <c r="C1107" t="s">
        <v>41</v>
      </c>
      <c r="D1107" t="s">
        <v>2663</v>
      </c>
      <c r="E1107">
        <v>2</v>
      </c>
      <c r="F1107" t="s">
        <v>2664</v>
      </c>
      <c r="G1107" t="str">
        <f t="shared" si="17"/>
        <v>MISSION</v>
      </c>
      <c r="H1107" t="s">
        <v>2617</v>
      </c>
      <c r="I1107">
        <v>76</v>
      </c>
      <c r="M1107" t="s">
        <v>2618</v>
      </c>
      <c r="N1107" t="s">
        <v>2619</v>
      </c>
      <c r="R1107" t="s">
        <v>36</v>
      </c>
      <c r="S1107" t="s">
        <v>37</v>
      </c>
      <c r="T1107" t="s">
        <v>38</v>
      </c>
      <c r="W1107" t="s">
        <v>40</v>
      </c>
    </row>
    <row r="1108" spans="1:28" x14ac:dyDescent="0.2">
      <c r="A1108">
        <v>49.238007609999997</v>
      </c>
      <c r="B1108">
        <v>-121.762264</v>
      </c>
      <c r="C1108" t="s">
        <v>41</v>
      </c>
      <c r="D1108" t="s">
        <v>2665</v>
      </c>
      <c r="E1108">
        <v>1</v>
      </c>
      <c r="F1108" t="s">
        <v>2666</v>
      </c>
      <c r="G1108" t="str">
        <f t="shared" si="17"/>
        <v>AGASSIZ</v>
      </c>
      <c r="H1108" t="s">
        <v>2617</v>
      </c>
      <c r="I1108">
        <v>23</v>
      </c>
      <c r="M1108" t="s">
        <v>2618</v>
      </c>
      <c r="N1108" t="s">
        <v>2619</v>
      </c>
      <c r="R1108" t="s">
        <v>36</v>
      </c>
      <c r="S1108" t="s">
        <v>37</v>
      </c>
      <c r="T1108" t="s">
        <v>38</v>
      </c>
      <c r="W1108" t="s">
        <v>40</v>
      </c>
    </row>
    <row r="1109" spans="1:28" x14ac:dyDescent="0.2">
      <c r="A1109">
        <v>49.020912439999996</v>
      </c>
      <c r="B1109">
        <v>-122.32652299999999</v>
      </c>
      <c r="C1109" t="s">
        <v>41</v>
      </c>
      <c r="D1109" t="s">
        <v>2667</v>
      </c>
      <c r="E1109">
        <v>2</v>
      </c>
      <c r="F1109" t="s">
        <v>2668</v>
      </c>
      <c r="G1109" t="str">
        <f t="shared" si="17"/>
        <v>ABBOTSFORD AIRPORT</v>
      </c>
      <c r="H1109" t="s">
        <v>2617</v>
      </c>
      <c r="I1109">
        <v>64.599999999999994</v>
      </c>
      <c r="M1109" t="s">
        <v>2618</v>
      </c>
      <c r="N1109" t="s">
        <v>2619</v>
      </c>
      <c r="R1109" t="s">
        <v>36</v>
      </c>
      <c r="S1109" t="s">
        <v>37</v>
      </c>
      <c r="T1109" t="s">
        <v>38</v>
      </c>
      <c r="U1109" t="s">
        <v>39</v>
      </c>
      <c r="W1109" t="s">
        <v>40</v>
      </c>
      <c r="X1109" t="s">
        <v>257</v>
      </c>
    </row>
    <row r="1110" spans="1:28" x14ac:dyDescent="0.2">
      <c r="A1110">
        <v>49.227044999999997</v>
      </c>
      <c r="B1110">
        <v>-122.894487</v>
      </c>
      <c r="C1110" t="s">
        <v>41</v>
      </c>
      <c r="D1110" t="s">
        <v>2669</v>
      </c>
      <c r="E1110">
        <v>2</v>
      </c>
      <c r="F1110" t="s">
        <v>2670</v>
      </c>
      <c r="G1110" t="str">
        <f t="shared" si="17"/>
        <v>NEW WESTIMINISTER</v>
      </c>
      <c r="H1110" t="s">
        <v>2617</v>
      </c>
      <c r="I1110">
        <v>44</v>
      </c>
      <c r="M1110" t="s">
        <v>2618</v>
      </c>
      <c r="N1110" t="s">
        <v>2619</v>
      </c>
      <c r="W1110" t="s">
        <v>40</v>
      </c>
    </row>
    <row r="1111" spans="1:28" x14ac:dyDescent="0.2">
      <c r="A1111">
        <v>49.285249999999998</v>
      </c>
      <c r="B1111">
        <v>-123.06023</v>
      </c>
      <c r="C1111" t="s">
        <v>41</v>
      </c>
      <c r="D1111" t="s">
        <v>2671</v>
      </c>
      <c r="E1111">
        <v>2</v>
      </c>
      <c r="F1111" t="s">
        <v>2672</v>
      </c>
      <c r="G1111" t="str">
        <f t="shared" si="17"/>
        <v>VANCOUVER-TEMPLETON</v>
      </c>
      <c r="H1111" t="s">
        <v>2617</v>
      </c>
      <c r="I1111">
        <v>39</v>
      </c>
      <c r="M1111" t="s">
        <v>2618</v>
      </c>
      <c r="N1111" t="s">
        <v>2619</v>
      </c>
      <c r="R1111" t="s">
        <v>36</v>
      </c>
      <c r="W1111" t="s">
        <v>40</v>
      </c>
    </row>
    <row r="1112" spans="1:28" x14ac:dyDescent="0.2">
      <c r="A1112">
        <v>49.285240000000002</v>
      </c>
      <c r="B1112">
        <v>-123.10502</v>
      </c>
      <c r="C1112" t="s">
        <v>41</v>
      </c>
      <c r="D1112" t="s">
        <v>2673</v>
      </c>
      <c r="E1112">
        <v>1</v>
      </c>
      <c r="F1112" t="s">
        <v>2674</v>
      </c>
      <c r="G1112" t="str">
        <f t="shared" si="17"/>
        <v>VANCOUVER-PORTSIDE</v>
      </c>
      <c r="H1112" t="s">
        <v>2617</v>
      </c>
      <c r="I1112">
        <v>6</v>
      </c>
      <c r="M1112" t="s">
        <v>2618</v>
      </c>
      <c r="N1112" t="s">
        <v>2619</v>
      </c>
      <c r="R1112" t="s">
        <v>36</v>
      </c>
      <c r="S1112" t="s">
        <v>37</v>
      </c>
      <c r="T1112" t="s">
        <v>38</v>
      </c>
      <c r="W1112" t="s">
        <v>40</v>
      </c>
    </row>
    <row r="1113" spans="1:28" x14ac:dyDescent="0.2">
      <c r="A1113">
        <v>49.260289999999998</v>
      </c>
      <c r="B1113">
        <v>-123.07781</v>
      </c>
      <c r="C1113" t="s">
        <v>41</v>
      </c>
      <c r="D1113" t="s">
        <v>2675</v>
      </c>
      <c r="E1113">
        <v>1</v>
      </c>
      <c r="F1113" t="s">
        <v>2676</v>
      </c>
      <c r="G1113" t="str">
        <f t="shared" si="17"/>
        <v>VANCOUVER CLARK DRIVE</v>
      </c>
      <c r="H1113" t="s">
        <v>2617</v>
      </c>
      <c r="I1113">
        <v>29</v>
      </c>
    </row>
    <row r="1114" spans="1:28" x14ac:dyDescent="0.2">
      <c r="A1114">
        <v>49.444916669999998</v>
      </c>
      <c r="B1114">
        <v>-123.1039444</v>
      </c>
      <c r="C1114" t="s">
        <v>204</v>
      </c>
      <c r="D1114" t="s">
        <v>2677</v>
      </c>
      <c r="E1114">
        <v>2</v>
      </c>
      <c r="F1114" t="s">
        <v>2678</v>
      </c>
      <c r="G1114" t="str">
        <f t="shared" si="17"/>
        <v>CAPILANO FIRE WEATHER</v>
      </c>
      <c r="H1114" t="s">
        <v>2679</v>
      </c>
      <c r="I1114">
        <v>295</v>
      </c>
      <c r="K1114" t="s">
        <v>2680</v>
      </c>
      <c r="L1114">
        <v>1986</v>
      </c>
      <c r="M1114" t="s">
        <v>2681</v>
      </c>
      <c r="N1114" t="s">
        <v>2682</v>
      </c>
      <c r="R1114" t="s">
        <v>36</v>
      </c>
      <c r="S1114" t="s">
        <v>37</v>
      </c>
      <c r="T1114" t="s">
        <v>38</v>
      </c>
      <c r="W1114" t="s">
        <v>40</v>
      </c>
    </row>
    <row r="1115" spans="1:28" x14ac:dyDescent="0.2">
      <c r="A1115">
        <v>49.386666669999997</v>
      </c>
      <c r="B1115">
        <v>-123.11944440000001</v>
      </c>
      <c r="C1115" t="s">
        <v>204</v>
      </c>
      <c r="D1115" t="s">
        <v>2683</v>
      </c>
      <c r="E1115">
        <v>2</v>
      </c>
      <c r="F1115" t="s">
        <v>2684</v>
      </c>
      <c r="G1115" t="str">
        <f t="shared" si="17"/>
        <v>LOWER CAPILANO FIRE WEATHER</v>
      </c>
      <c r="H1115" t="s">
        <v>2679</v>
      </c>
      <c r="I1115">
        <v>250</v>
      </c>
      <c r="K1115" t="s">
        <v>2685</v>
      </c>
      <c r="L1115">
        <v>2002</v>
      </c>
      <c r="M1115" t="s">
        <v>2681</v>
      </c>
      <c r="N1115" t="s">
        <v>2682</v>
      </c>
      <c r="R1115" t="s">
        <v>36</v>
      </c>
      <c r="S1115" t="s">
        <v>37</v>
      </c>
      <c r="T1115" t="s">
        <v>38</v>
      </c>
      <c r="W1115" t="s">
        <v>40</v>
      </c>
      <c r="Y1115" t="s">
        <v>358</v>
      </c>
    </row>
    <row r="1116" spans="1:28" x14ac:dyDescent="0.2">
      <c r="A1116">
        <v>49.461599999999997</v>
      </c>
      <c r="B1116">
        <v>-123.1311</v>
      </c>
      <c r="C1116" t="s">
        <v>204</v>
      </c>
      <c r="D1116" t="s">
        <v>2686</v>
      </c>
      <c r="E1116">
        <v>4</v>
      </c>
      <c r="F1116" t="s">
        <v>2687</v>
      </c>
      <c r="G1116" t="str">
        <f t="shared" si="17"/>
        <v>HESKETH MET STATION</v>
      </c>
      <c r="H1116" t="s">
        <v>2679</v>
      </c>
      <c r="I1116">
        <v>600</v>
      </c>
      <c r="K1116" t="s">
        <v>2688</v>
      </c>
      <c r="L1116">
        <v>2023</v>
      </c>
      <c r="M1116" t="s">
        <v>2681</v>
      </c>
      <c r="N1116" t="s">
        <v>2682</v>
      </c>
      <c r="R1116" t="s">
        <v>36</v>
      </c>
      <c r="S1116" t="s">
        <v>37</v>
      </c>
      <c r="T1116" t="s">
        <v>389</v>
      </c>
      <c r="U1116" t="s">
        <v>39</v>
      </c>
      <c r="W1116" t="s">
        <v>40</v>
      </c>
    </row>
    <row r="1117" spans="1:28" x14ac:dyDescent="0.2">
      <c r="A1117">
        <v>49.35472</v>
      </c>
      <c r="B1117">
        <v>-123.11059</v>
      </c>
      <c r="C1117" t="s">
        <v>41</v>
      </c>
      <c r="D1117" t="s">
        <v>2689</v>
      </c>
      <c r="E1117">
        <v>2</v>
      </c>
      <c r="F1117" t="s">
        <v>2690</v>
      </c>
      <c r="G1117" t="str">
        <f t="shared" si="17"/>
        <v>CAPILANO RIVER AT CABLE POOL</v>
      </c>
      <c r="H1117" t="s">
        <v>2679</v>
      </c>
      <c r="I1117">
        <v>61</v>
      </c>
      <c r="K1117" t="s">
        <v>2691</v>
      </c>
      <c r="L1117">
        <v>2009</v>
      </c>
      <c r="M1117" t="s">
        <v>2681</v>
      </c>
      <c r="N1117" t="s">
        <v>2682</v>
      </c>
      <c r="AB1117" t="s">
        <v>1058</v>
      </c>
    </row>
    <row r="1118" spans="1:28" x14ac:dyDescent="0.2">
      <c r="A1118">
        <v>49.485239999999997</v>
      </c>
      <c r="B1118">
        <v>-123.12674</v>
      </c>
      <c r="C1118" t="s">
        <v>204</v>
      </c>
      <c r="D1118" t="s">
        <v>2692</v>
      </c>
      <c r="E1118">
        <v>2</v>
      </c>
      <c r="F1118" t="s">
        <v>2693</v>
      </c>
      <c r="G1118" t="str">
        <f t="shared" si="17"/>
        <v>ENCHANTMENT CREEK</v>
      </c>
      <c r="H1118" t="s">
        <v>2679</v>
      </c>
      <c r="I1118">
        <v>305</v>
      </c>
      <c r="K1118" t="s">
        <v>2694</v>
      </c>
      <c r="L1118">
        <v>2016</v>
      </c>
      <c r="M1118" t="s">
        <v>2681</v>
      </c>
      <c r="N1118" t="s">
        <v>2682</v>
      </c>
      <c r="R1118" t="s">
        <v>36</v>
      </c>
      <c r="S1118" t="s">
        <v>37</v>
      </c>
      <c r="T1118" t="s">
        <v>38</v>
      </c>
    </row>
    <row r="1119" spans="1:28" x14ac:dyDescent="0.2">
      <c r="A1119">
        <v>49.366109999999999</v>
      </c>
      <c r="B1119">
        <v>-123.11360999999999</v>
      </c>
      <c r="C1119" t="s">
        <v>204</v>
      </c>
      <c r="D1119" t="s">
        <v>2695</v>
      </c>
      <c r="E1119">
        <v>2</v>
      </c>
      <c r="F1119" t="s">
        <v>2696</v>
      </c>
      <c r="G1119" t="str">
        <f t="shared" si="17"/>
        <v>CAPILANO LAKE RAFT</v>
      </c>
      <c r="H1119" t="s">
        <v>2679</v>
      </c>
      <c r="I1119">
        <v>145</v>
      </c>
      <c r="K1119" t="s">
        <v>2697</v>
      </c>
      <c r="M1119" t="s">
        <v>2681</v>
      </c>
      <c r="N1119" t="s">
        <v>2682</v>
      </c>
      <c r="R1119" t="s">
        <v>36</v>
      </c>
      <c r="S1119" t="s">
        <v>37</v>
      </c>
      <c r="W1119" t="s">
        <v>40</v>
      </c>
      <c r="Y1119" t="s">
        <v>2698</v>
      </c>
      <c r="AB1119" t="s">
        <v>1887</v>
      </c>
    </row>
    <row r="1120" spans="1:28" x14ac:dyDescent="0.2">
      <c r="A1120">
        <v>49.379249999999999</v>
      </c>
      <c r="B1120">
        <v>-122.99552</v>
      </c>
      <c r="C1120" t="s">
        <v>204</v>
      </c>
      <c r="D1120" t="s">
        <v>2699</v>
      </c>
      <c r="E1120">
        <v>2</v>
      </c>
      <c r="F1120" t="s">
        <v>2700</v>
      </c>
      <c r="G1120" t="str">
        <f t="shared" si="17"/>
        <v>LOWER SEYMOUR FIRE WEATHER</v>
      </c>
      <c r="H1120" t="s">
        <v>2679</v>
      </c>
      <c r="I1120">
        <v>185</v>
      </c>
      <c r="K1120" t="s">
        <v>2701</v>
      </c>
      <c r="M1120" t="s">
        <v>2681</v>
      </c>
      <c r="N1120" t="s">
        <v>2682</v>
      </c>
      <c r="R1120" t="s">
        <v>36</v>
      </c>
      <c r="S1120" t="s">
        <v>37</v>
      </c>
      <c r="T1120" t="s">
        <v>38</v>
      </c>
      <c r="W1120" t="s">
        <v>40</v>
      </c>
      <c r="Y1120" t="s">
        <v>358</v>
      </c>
    </row>
    <row r="1121" spans="1:28" x14ac:dyDescent="0.2">
      <c r="A1121">
        <v>49.485888889999998</v>
      </c>
      <c r="B1121">
        <v>-122.9463056</v>
      </c>
      <c r="C1121" t="s">
        <v>204</v>
      </c>
      <c r="D1121" t="s">
        <v>2702</v>
      </c>
      <c r="E1121">
        <v>3</v>
      </c>
      <c r="F1121" t="s">
        <v>2703</v>
      </c>
      <c r="G1121" t="str">
        <f t="shared" si="17"/>
        <v>SEYMOUR FIRE WEATHER</v>
      </c>
      <c r="H1121" t="s">
        <v>2679</v>
      </c>
      <c r="I1121">
        <v>375</v>
      </c>
      <c r="K1121" t="s">
        <v>2704</v>
      </c>
      <c r="L1121">
        <v>1987</v>
      </c>
      <c r="M1121" t="s">
        <v>2681</v>
      </c>
      <c r="N1121" t="s">
        <v>2682</v>
      </c>
      <c r="R1121" t="s">
        <v>36</v>
      </c>
      <c r="S1121" t="s">
        <v>37</v>
      </c>
      <c r="T1121" t="s">
        <v>38</v>
      </c>
      <c r="W1121" t="s">
        <v>40</v>
      </c>
    </row>
    <row r="1122" spans="1:28" x14ac:dyDescent="0.2">
      <c r="A1122">
        <v>49.390279999999997</v>
      </c>
      <c r="B1122">
        <v>-122.99</v>
      </c>
      <c r="C1122" t="s">
        <v>204</v>
      </c>
      <c r="D1122" t="s">
        <v>2705</v>
      </c>
      <c r="E1122">
        <v>2</v>
      </c>
      <c r="F1122" t="s">
        <v>2706</v>
      </c>
      <c r="G1122" t="str">
        <f t="shared" si="17"/>
        <v>SEYMOUR RIVER AT SPUR 4</v>
      </c>
      <c r="H1122" t="s">
        <v>2679</v>
      </c>
      <c r="I1122">
        <v>148</v>
      </c>
      <c r="K1122" t="s">
        <v>2707</v>
      </c>
      <c r="L1122">
        <v>2009</v>
      </c>
      <c r="M1122" t="s">
        <v>2681</v>
      </c>
      <c r="N1122" t="s">
        <v>2682</v>
      </c>
      <c r="AB1122" t="s">
        <v>1058</v>
      </c>
    </row>
    <row r="1123" spans="1:28" x14ac:dyDescent="0.2">
      <c r="A1123">
        <v>49.438560000000003</v>
      </c>
      <c r="B1123">
        <v>-122.9671</v>
      </c>
      <c r="C1123" t="s">
        <v>204</v>
      </c>
      <c r="D1123" t="s">
        <v>2708</v>
      </c>
      <c r="E1123">
        <v>2</v>
      </c>
      <c r="F1123" t="s">
        <v>2709</v>
      </c>
      <c r="G1123" t="str">
        <f t="shared" si="17"/>
        <v>SEYMOUR RIVER AT BEAR ISLAND</v>
      </c>
      <c r="H1123" t="s">
        <v>2679</v>
      </c>
      <c r="I1123">
        <v>192</v>
      </c>
      <c r="K1123" t="s">
        <v>2710</v>
      </c>
      <c r="L1123">
        <v>2018</v>
      </c>
      <c r="M1123" t="s">
        <v>2681</v>
      </c>
      <c r="N1123" t="s">
        <v>2682</v>
      </c>
      <c r="AB1123" t="s">
        <v>1058</v>
      </c>
    </row>
    <row r="1124" spans="1:28" x14ac:dyDescent="0.2">
      <c r="A1124">
        <v>49.457000000000001</v>
      </c>
      <c r="B1124">
        <v>-122.99451000000001</v>
      </c>
      <c r="C1124" t="s">
        <v>204</v>
      </c>
      <c r="D1124" t="s">
        <v>2711</v>
      </c>
      <c r="E1124">
        <v>5</v>
      </c>
      <c r="F1124" t="s">
        <v>2712</v>
      </c>
      <c r="G1124" t="str">
        <f t="shared" si="17"/>
        <v>BURWELL LAKE</v>
      </c>
      <c r="H1124" t="s">
        <v>2679</v>
      </c>
      <c r="I1124">
        <v>840</v>
      </c>
      <c r="K1124" t="s">
        <v>2713</v>
      </c>
      <c r="M1124" t="s">
        <v>2681</v>
      </c>
      <c r="N1124" t="s">
        <v>2682</v>
      </c>
      <c r="AB1124" t="s">
        <v>1058</v>
      </c>
    </row>
    <row r="1125" spans="1:28" x14ac:dyDescent="0.2">
      <c r="A1125">
        <v>49.449350000000003</v>
      </c>
      <c r="B1125">
        <v>-122.96093999999999</v>
      </c>
      <c r="C1125" t="s">
        <v>204</v>
      </c>
      <c r="D1125" t="s">
        <v>2714</v>
      </c>
      <c r="E1125">
        <v>2</v>
      </c>
      <c r="F1125" t="s">
        <v>2715</v>
      </c>
      <c r="G1125" t="str">
        <f t="shared" si="17"/>
        <v>SEYMOUR LAKE RAFT</v>
      </c>
      <c r="H1125" t="s">
        <v>2679</v>
      </c>
      <c r="I1125">
        <v>214</v>
      </c>
      <c r="K1125" t="s">
        <v>2716</v>
      </c>
      <c r="M1125" t="s">
        <v>2681</v>
      </c>
      <c r="N1125" t="s">
        <v>2682</v>
      </c>
      <c r="R1125" t="s">
        <v>36</v>
      </c>
      <c r="S1125" t="s">
        <v>37</v>
      </c>
      <c r="W1125" t="s">
        <v>40</v>
      </c>
      <c r="Y1125" t="s">
        <v>2698</v>
      </c>
      <c r="AB1125" t="s">
        <v>1887</v>
      </c>
    </row>
    <row r="1126" spans="1:28" x14ac:dyDescent="0.2">
      <c r="A1126">
        <v>49.363861110000002</v>
      </c>
      <c r="B1126">
        <v>-122.7536111</v>
      </c>
      <c r="C1126" t="s">
        <v>204</v>
      </c>
      <c r="D1126" t="s">
        <v>2717</v>
      </c>
      <c r="E1126">
        <v>3</v>
      </c>
      <c r="F1126" t="s">
        <v>2718</v>
      </c>
      <c r="G1126" t="str">
        <f t="shared" si="17"/>
        <v>COQUITLAM FIRE WEATHER</v>
      </c>
      <c r="H1126" t="s">
        <v>2679</v>
      </c>
      <c r="I1126">
        <v>352</v>
      </c>
      <c r="K1126" t="s">
        <v>2719</v>
      </c>
      <c r="L1126">
        <v>1987</v>
      </c>
      <c r="M1126" t="s">
        <v>2681</v>
      </c>
      <c r="N1126" t="s">
        <v>2682</v>
      </c>
      <c r="R1126" t="s">
        <v>36</v>
      </c>
      <c r="S1126" t="s">
        <v>37</v>
      </c>
      <c r="T1126" t="s">
        <v>38</v>
      </c>
      <c r="W1126" t="s">
        <v>40</v>
      </c>
    </row>
    <row r="1127" spans="1:28" x14ac:dyDescent="0.2">
      <c r="A1127">
        <v>49.358879999999999</v>
      </c>
      <c r="B1127">
        <v>-122.78667</v>
      </c>
      <c r="C1127" t="s">
        <v>204</v>
      </c>
      <c r="D1127" t="s">
        <v>2720</v>
      </c>
      <c r="E1127">
        <v>2</v>
      </c>
      <c r="F1127" t="s">
        <v>2721</v>
      </c>
      <c r="G1127" t="str">
        <f t="shared" si="17"/>
        <v>COQUITLAM LAKE RAFT 3</v>
      </c>
      <c r="H1127" t="s">
        <v>2679</v>
      </c>
      <c r="I1127">
        <v>150</v>
      </c>
      <c r="K1127" t="s">
        <v>2722</v>
      </c>
      <c r="M1127" t="s">
        <v>2681</v>
      </c>
      <c r="N1127" t="s">
        <v>2682</v>
      </c>
      <c r="R1127" t="s">
        <v>36</v>
      </c>
      <c r="S1127" t="s">
        <v>37</v>
      </c>
      <c r="W1127" t="s">
        <v>40</v>
      </c>
      <c r="Y1127" t="s">
        <v>2698</v>
      </c>
      <c r="AB1127" t="s">
        <v>1887</v>
      </c>
    </row>
    <row r="1128" spans="1:28" x14ac:dyDescent="0.2">
      <c r="A1128">
        <v>49.396388889999997</v>
      </c>
      <c r="B1128">
        <v>-123.14583330000001</v>
      </c>
      <c r="C1128" t="s">
        <v>204</v>
      </c>
      <c r="D1128" t="s">
        <v>2723</v>
      </c>
      <c r="E1128">
        <v>2</v>
      </c>
      <c r="F1128" t="s">
        <v>2724</v>
      </c>
      <c r="G1128" t="str">
        <f t="shared" si="17"/>
        <v>CAPILANO RIVER ABOVE LAKEHEAD</v>
      </c>
      <c r="H1128" t="s">
        <v>2679</v>
      </c>
      <c r="I1128">
        <v>183</v>
      </c>
      <c r="K1128" t="s">
        <v>2725</v>
      </c>
      <c r="L1128">
        <v>1993</v>
      </c>
      <c r="M1128" t="s">
        <v>2681</v>
      </c>
      <c r="N1128" t="s">
        <v>2682</v>
      </c>
      <c r="T1128" t="s">
        <v>38</v>
      </c>
      <c r="AB1128" t="s">
        <v>2726</v>
      </c>
    </row>
    <row r="1129" spans="1:28" x14ac:dyDescent="0.2">
      <c r="A1129">
        <v>49.453888890000002</v>
      </c>
      <c r="B1129">
        <v>-123.10972219999999</v>
      </c>
      <c r="C1129" t="s">
        <v>204</v>
      </c>
      <c r="D1129" t="s">
        <v>2727</v>
      </c>
      <c r="E1129">
        <v>2</v>
      </c>
      <c r="F1129" t="s">
        <v>2728</v>
      </c>
      <c r="G1129" t="str">
        <f t="shared" si="17"/>
        <v>CAPILANO RIVER AT MID VALLEY</v>
      </c>
      <c r="H1129" t="s">
        <v>2679</v>
      </c>
      <c r="I1129">
        <v>305</v>
      </c>
      <c r="K1129" t="s">
        <v>2729</v>
      </c>
      <c r="L1129">
        <v>1993</v>
      </c>
      <c r="M1129" t="s">
        <v>2681</v>
      </c>
      <c r="N1129" t="s">
        <v>2682</v>
      </c>
      <c r="R1129" t="s">
        <v>36</v>
      </c>
      <c r="S1129" t="s">
        <v>37</v>
      </c>
      <c r="T1129" t="s">
        <v>695</v>
      </c>
      <c r="Z1129" t="s">
        <v>2562</v>
      </c>
      <c r="AB1129" t="s">
        <v>2726</v>
      </c>
    </row>
    <row r="1130" spans="1:28" x14ac:dyDescent="0.2">
      <c r="A1130">
        <v>49.357930000000003</v>
      </c>
      <c r="B1130">
        <v>-123.11074000000001</v>
      </c>
      <c r="C1130" t="s">
        <v>41</v>
      </c>
      <c r="D1130" t="s">
        <v>2730</v>
      </c>
      <c r="E1130">
        <v>2</v>
      </c>
      <c r="F1130" t="s">
        <v>2731</v>
      </c>
      <c r="G1130" t="str">
        <f t="shared" si="17"/>
        <v>CAPILANO RIVER AT CANYON</v>
      </c>
      <c r="H1130" t="s">
        <v>2679</v>
      </c>
      <c r="I1130">
        <v>64</v>
      </c>
      <c r="K1130" t="s">
        <v>2732</v>
      </c>
      <c r="M1130" t="s">
        <v>2681</v>
      </c>
      <c r="N1130" t="s">
        <v>2682</v>
      </c>
      <c r="AB1130" t="s">
        <v>1058</v>
      </c>
    </row>
    <row r="1131" spans="1:28" x14ac:dyDescent="0.2">
      <c r="A1131">
        <v>49.52</v>
      </c>
      <c r="B1131">
        <v>-123.00388890000001</v>
      </c>
      <c r="C1131" t="s">
        <v>204</v>
      </c>
      <c r="D1131" t="s">
        <v>2733</v>
      </c>
      <c r="E1131">
        <v>3</v>
      </c>
      <c r="F1131" t="s">
        <v>2734</v>
      </c>
      <c r="G1131" t="str">
        <f t="shared" si="17"/>
        <v>SEYMOUR RIVER BELOW ORCHID CREEK</v>
      </c>
      <c r="H1131" t="s">
        <v>2679</v>
      </c>
      <c r="I1131">
        <v>320</v>
      </c>
      <c r="K1131" t="s">
        <v>2735</v>
      </c>
      <c r="M1131" t="s">
        <v>2681</v>
      </c>
      <c r="N1131" t="s">
        <v>2682</v>
      </c>
      <c r="T1131" t="s">
        <v>695</v>
      </c>
      <c r="AB1131" t="s">
        <v>2726</v>
      </c>
    </row>
    <row r="1132" spans="1:28" x14ac:dyDescent="0.2">
      <c r="A1132">
        <v>49.555</v>
      </c>
      <c r="B1132">
        <v>-122.75916669999999</v>
      </c>
      <c r="C1132" t="s">
        <v>204</v>
      </c>
      <c r="D1132" t="s">
        <v>2736</v>
      </c>
      <c r="E1132">
        <v>6</v>
      </c>
      <c r="F1132" t="s">
        <v>2737</v>
      </c>
      <c r="G1132" t="str">
        <f t="shared" si="17"/>
        <v>DISAPPOINTMENT LAKE</v>
      </c>
      <c r="H1132" t="s">
        <v>2679</v>
      </c>
      <c r="I1132">
        <v>1050</v>
      </c>
      <c r="K1132" t="s">
        <v>2738</v>
      </c>
      <c r="L1132">
        <v>1993</v>
      </c>
      <c r="M1132" t="s">
        <v>2681</v>
      </c>
      <c r="N1132" t="s">
        <v>2682</v>
      </c>
      <c r="R1132" t="s">
        <v>36</v>
      </c>
      <c r="S1132" t="s">
        <v>37</v>
      </c>
      <c r="T1132" t="s">
        <v>695</v>
      </c>
      <c r="U1132" t="s">
        <v>39</v>
      </c>
      <c r="W1132" t="s">
        <v>40</v>
      </c>
      <c r="Z1132" t="s">
        <v>2562</v>
      </c>
    </row>
    <row r="1133" spans="1:28" x14ac:dyDescent="0.2">
      <c r="A1133">
        <v>49.454444440000003</v>
      </c>
      <c r="B1133">
        <v>-123.0316667</v>
      </c>
      <c r="C1133" t="s">
        <v>204</v>
      </c>
      <c r="D1133" t="s">
        <v>2739</v>
      </c>
      <c r="E1133">
        <v>5</v>
      </c>
      <c r="F1133" t="s">
        <v>2740</v>
      </c>
      <c r="G1133" t="str">
        <f t="shared" si="17"/>
        <v xml:space="preserve">PALLISADE LAKE </v>
      </c>
      <c r="H1133" t="s">
        <v>2679</v>
      </c>
      <c r="I1133">
        <v>900</v>
      </c>
      <c r="K1133" t="s">
        <v>2741</v>
      </c>
      <c r="L1133">
        <v>1993</v>
      </c>
      <c r="M1133" t="s">
        <v>2681</v>
      </c>
      <c r="N1133" t="s">
        <v>2682</v>
      </c>
      <c r="R1133" t="s">
        <v>36</v>
      </c>
      <c r="S1133" t="s">
        <v>37</v>
      </c>
      <c r="T1133" t="s">
        <v>1477</v>
      </c>
      <c r="U1133" t="s">
        <v>39</v>
      </c>
      <c r="V1133" t="s">
        <v>1101</v>
      </c>
      <c r="W1133" t="s">
        <v>40</v>
      </c>
      <c r="Y1133" t="s">
        <v>392</v>
      </c>
    </row>
    <row r="1134" spans="1:28" x14ac:dyDescent="0.2">
      <c r="A1134">
        <v>49.53611111</v>
      </c>
      <c r="B1134">
        <v>-123.05</v>
      </c>
      <c r="C1134" t="s">
        <v>204</v>
      </c>
      <c r="D1134" t="s">
        <v>2742</v>
      </c>
      <c r="E1134">
        <v>6</v>
      </c>
      <c r="F1134" t="s">
        <v>2743</v>
      </c>
      <c r="G1134" t="str">
        <f t="shared" si="17"/>
        <v xml:space="preserve">ORCHID LAKE </v>
      </c>
      <c r="H1134" t="s">
        <v>2679</v>
      </c>
      <c r="I1134">
        <v>1180</v>
      </c>
      <c r="K1134" t="s">
        <v>2744</v>
      </c>
      <c r="L1134">
        <v>1972</v>
      </c>
      <c r="M1134" t="s">
        <v>2681</v>
      </c>
      <c r="N1134" t="s">
        <v>2682</v>
      </c>
      <c r="R1134" t="s">
        <v>36</v>
      </c>
      <c r="S1134" t="s">
        <v>37</v>
      </c>
      <c r="T1134" t="s">
        <v>695</v>
      </c>
      <c r="U1134" t="s">
        <v>39</v>
      </c>
      <c r="V1134" t="s">
        <v>1101</v>
      </c>
      <c r="W1134" t="s">
        <v>40</v>
      </c>
      <c r="Y1134" t="s">
        <v>358</v>
      </c>
      <c r="Z1134" t="s">
        <v>2562</v>
      </c>
    </row>
    <row r="1135" spans="1:28" x14ac:dyDescent="0.2">
      <c r="A1135">
        <v>49.592329999999997</v>
      </c>
      <c r="B1135">
        <v>-123.04145</v>
      </c>
      <c r="C1135" t="s">
        <v>204</v>
      </c>
      <c r="D1135" t="s">
        <v>385</v>
      </c>
      <c r="E1135">
        <v>6</v>
      </c>
      <c r="F1135" t="s">
        <v>2745</v>
      </c>
      <c r="G1135" t="str">
        <f t="shared" si="17"/>
        <v>LOCH LOMOND</v>
      </c>
      <c r="H1135" t="s">
        <v>2679</v>
      </c>
      <c r="I1135">
        <v>1065</v>
      </c>
      <c r="K1135" t="s">
        <v>2746</v>
      </c>
      <c r="L1135">
        <v>2019</v>
      </c>
      <c r="M1135" t="s">
        <v>2681</v>
      </c>
      <c r="N1135" t="s">
        <v>2682</v>
      </c>
      <c r="R1135" t="s">
        <v>36</v>
      </c>
      <c r="S1135" t="s">
        <v>37</v>
      </c>
      <c r="U1135" t="s">
        <v>39</v>
      </c>
      <c r="W1135" t="s">
        <v>40</v>
      </c>
      <c r="Y1135" t="s">
        <v>392</v>
      </c>
    </row>
    <row r="1136" spans="1:28" x14ac:dyDescent="0.2">
      <c r="A1136">
        <v>49.380833330000002</v>
      </c>
      <c r="B1136">
        <v>-122.77666670000001</v>
      </c>
      <c r="C1136" t="s">
        <v>204</v>
      </c>
      <c r="D1136" t="s">
        <v>2747</v>
      </c>
      <c r="E1136">
        <v>2</v>
      </c>
      <c r="F1136" t="s">
        <v>2748</v>
      </c>
      <c r="G1136" t="str">
        <f t="shared" si="17"/>
        <v>CEDAR CREEK ABOVE THE MOUTH</v>
      </c>
      <c r="H1136" t="s">
        <v>2679</v>
      </c>
      <c r="I1136">
        <v>150</v>
      </c>
      <c r="K1136" t="s">
        <v>2749</v>
      </c>
      <c r="L1136">
        <v>2000</v>
      </c>
      <c r="M1136" t="s">
        <v>2681</v>
      </c>
      <c r="N1136" t="s">
        <v>2682</v>
      </c>
      <c r="T1136" t="s">
        <v>695</v>
      </c>
      <c r="AB1136" t="s">
        <v>2726</v>
      </c>
    </row>
    <row r="1137" spans="1:24" x14ac:dyDescent="0.2">
      <c r="A1137">
        <v>58.930001109999999</v>
      </c>
      <c r="B1137">
        <v>-125.766667</v>
      </c>
      <c r="C1137" t="s">
        <v>449</v>
      </c>
      <c r="D1137" t="s">
        <v>2750</v>
      </c>
      <c r="E1137">
        <v>2</v>
      </c>
      <c r="F1137" t="s">
        <v>2751</v>
      </c>
      <c r="G1137" t="str">
        <f t="shared" si="17"/>
        <v>MUNCHO LAKE</v>
      </c>
      <c r="H1137" t="s">
        <v>2752</v>
      </c>
      <c r="I1137">
        <v>836.5</v>
      </c>
      <c r="J1137" t="s">
        <v>2128</v>
      </c>
      <c r="K1137" t="s">
        <v>2753</v>
      </c>
      <c r="O1137" t="s">
        <v>2754</v>
      </c>
      <c r="R1137" t="s">
        <v>36</v>
      </c>
      <c r="S1137" t="s">
        <v>37</v>
      </c>
      <c r="T1137" t="s">
        <v>2304</v>
      </c>
      <c r="U1137" t="s">
        <v>39</v>
      </c>
      <c r="W1137" t="s">
        <v>266</v>
      </c>
      <c r="X1137" t="s">
        <v>257</v>
      </c>
    </row>
    <row r="1138" spans="1:24" x14ac:dyDescent="0.2">
      <c r="A1138">
        <v>52.185000000000002</v>
      </c>
      <c r="B1138">
        <v>-128.15666669999999</v>
      </c>
      <c r="C1138" t="s">
        <v>204</v>
      </c>
      <c r="D1138" t="s">
        <v>2755</v>
      </c>
      <c r="E1138">
        <v>1</v>
      </c>
      <c r="F1138" t="s">
        <v>2756</v>
      </c>
      <c r="G1138" t="str">
        <f t="shared" si="17"/>
        <v>BELLA BELLA CAMPBELL ISLAND</v>
      </c>
      <c r="H1138" t="s">
        <v>2752</v>
      </c>
      <c r="I1138">
        <v>43</v>
      </c>
      <c r="O1138" t="s">
        <v>2754</v>
      </c>
    </row>
    <row r="1139" spans="1:24" x14ac:dyDescent="0.2">
      <c r="A1139">
        <v>50.128888889999999</v>
      </c>
      <c r="B1139">
        <v>-122.95472220000001</v>
      </c>
      <c r="C1139" t="s">
        <v>204</v>
      </c>
      <c r="D1139" t="s">
        <v>2757</v>
      </c>
      <c r="E1139">
        <v>4</v>
      </c>
      <c r="F1139" t="s">
        <v>2758</v>
      </c>
      <c r="G1139" t="str">
        <f t="shared" si="17"/>
        <v>WHISTLER</v>
      </c>
      <c r="H1139" t="s">
        <v>2752</v>
      </c>
      <c r="I1139">
        <v>657.8</v>
      </c>
      <c r="O1139" t="s">
        <v>2754</v>
      </c>
    </row>
    <row r="1140" spans="1:24" x14ac:dyDescent="0.2">
      <c r="A1140">
        <v>50.224444439999999</v>
      </c>
      <c r="B1140">
        <v>-121.5819444</v>
      </c>
      <c r="C1140" t="s">
        <v>86</v>
      </c>
      <c r="D1140" t="s">
        <v>2759</v>
      </c>
      <c r="E1140">
        <v>1</v>
      </c>
      <c r="F1140" t="s">
        <v>2760</v>
      </c>
      <c r="G1140" t="str">
        <f t="shared" si="17"/>
        <v>LYTTON</v>
      </c>
      <c r="H1140" t="s">
        <v>2752</v>
      </c>
      <c r="I1140">
        <v>224.9</v>
      </c>
      <c r="O1140" t="s">
        <v>2754</v>
      </c>
    </row>
    <row r="1141" spans="1:24" x14ac:dyDescent="0.2">
      <c r="A1141">
        <v>49.745277780000002</v>
      </c>
      <c r="B1141">
        <v>-114.8827778</v>
      </c>
      <c r="C1141" t="s">
        <v>61</v>
      </c>
      <c r="D1141" t="s">
        <v>2761</v>
      </c>
      <c r="E1141">
        <v>3</v>
      </c>
      <c r="F1141" t="s">
        <v>2762</v>
      </c>
      <c r="G1141" t="str">
        <f t="shared" si="17"/>
        <v>SPARWOOD</v>
      </c>
      <c r="H1141" t="s">
        <v>2752</v>
      </c>
      <c r="I1141">
        <v>1158.2</v>
      </c>
      <c r="O1141" t="s">
        <v>2754</v>
      </c>
    </row>
    <row r="1142" spans="1:24" x14ac:dyDescent="0.2">
      <c r="A1142">
        <v>49.082099999999997</v>
      </c>
      <c r="B1142">
        <v>-125.77200000000001</v>
      </c>
      <c r="C1142" t="s">
        <v>204</v>
      </c>
      <c r="D1142" t="s">
        <v>2763</v>
      </c>
      <c r="E1142">
        <v>1</v>
      </c>
      <c r="F1142" t="s">
        <v>2764</v>
      </c>
      <c r="G1142" t="str">
        <f t="shared" si="17"/>
        <v>TOFINO LONG BEACH</v>
      </c>
      <c r="H1142" t="s">
        <v>2752</v>
      </c>
      <c r="I1142">
        <v>24.4</v>
      </c>
      <c r="O1142" t="s">
        <v>2754</v>
      </c>
    </row>
    <row r="1143" spans="1:24" x14ac:dyDescent="0.2">
      <c r="A1143">
        <v>52.387500000000003</v>
      </c>
      <c r="B1143">
        <v>-126.5958333</v>
      </c>
      <c r="C1143" t="s">
        <v>204</v>
      </c>
      <c r="D1143" t="s">
        <v>2765</v>
      </c>
      <c r="E1143">
        <v>1</v>
      </c>
      <c r="F1143" t="s">
        <v>2766</v>
      </c>
      <c r="G1143" t="str">
        <f t="shared" si="17"/>
        <v>BELLA COOLA</v>
      </c>
      <c r="H1143" t="s">
        <v>2752</v>
      </c>
      <c r="I1143">
        <v>35.700000000000003</v>
      </c>
      <c r="O1143" t="s">
        <v>2754</v>
      </c>
    </row>
    <row r="1144" spans="1:24" x14ac:dyDescent="0.2">
      <c r="A1144">
        <v>49.951944439999998</v>
      </c>
      <c r="B1144">
        <v>-125.27305560000001</v>
      </c>
      <c r="C1144" t="s">
        <v>41</v>
      </c>
      <c r="D1144" t="s">
        <v>2767</v>
      </c>
      <c r="E1144">
        <v>3</v>
      </c>
      <c r="F1144" t="s">
        <v>2768</v>
      </c>
      <c r="G1144" t="str">
        <f t="shared" si="17"/>
        <v>CAMPBELL RIVER</v>
      </c>
      <c r="H1144" t="s">
        <v>2752</v>
      </c>
      <c r="I1144">
        <v>108.8</v>
      </c>
      <c r="O1144" t="s">
        <v>2754</v>
      </c>
      <c r="R1144" t="s">
        <v>36</v>
      </c>
      <c r="S1144" t="s">
        <v>37</v>
      </c>
      <c r="T1144" t="s">
        <v>38</v>
      </c>
      <c r="W1144" t="s">
        <v>266</v>
      </c>
      <c r="X1144" t="s">
        <v>257</v>
      </c>
    </row>
    <row r="1145" spans="1:24" x14ac:dyDescent="0.2">
      <c r="A1145">
        <v>49.054444439999997</v>
      </c>
      <c r="B1145">
        <v>-123.87</v>
      </c>
      <c r="C1145" t="s">
        <v>41</v>
      </c>
      <c r="D1145" t="s">
        <v>2769</v>
      </c>
      <c r="E1145">
        <v>1</v>
      </c>
      <c r="F1145" t="s">
        <v>2770</v>
      </c>
      <c r="G1145" t="str">
        <f t="shared" si="17"/>
        <v>NANAIMO</v>
      </c>
      <c r="H1145" t="s">
        <v>2752</v>
      </c>
      <c r="I1145">
        <v>28</v>
      </c>
      <c r="O1145" t="s">
        <v>2754</v>
      </c>
    </row>
    <row r="1146" spans="1:24" x14ac:dyDescent="0.2">
      <c r="A1146">
        <v>49.296199999999999</v>
      </c>
      <c r="B1146">
        <v>-117.63249999999999</v>
      </c>
      <c r="C1146" t="s">
        <v>61</v>
      </c>
      <c r="D1146" t="s">
        <v>2771</v>
      </c>
      <c r="E1146">
        <v>1</v>
      </c>
      <c r="F1146" t="s">
        <v>2772</v>
      </c>
      <c r="G1146" t="str">
        <f t="shared" si="17"/>
        <v>CASTLEGAR WEST KOOTNEY REGIONAL</v>
      </c>
      <c r="H1146" t="s">
        <v>2752</v>
      </c>
      <c r="I1146">
        <v>495.6</v>
      </c>
      <c r="O1146" t="s">
        <v>2754</v>
      </c>
    </row>
    <row r="1147" spans="1:24" x14ac:dyDescent="0.2">
      <c r="A1147">
        <v>52.124722220000002</v>
      </c>
      <c r="B1147">
        <v>-119.2927778</v>
      </c>
      <c r="C1147" t="s">
        <v>61</v>
      </c>
      <c r="D1147" t="s">
        <v>2773</v>
      </c>
      <c r="E1147">
        <v>1</v>
      </c>
      <c r="F1147" t="s">
        <v>2774</v>
      </c>
      <c r="G1147" t="str">
        <f t="shared" si="17"/>
        <v>BLUE RIVER</v>
      </c>
      <c r="H1147" t="s">
        <v>2752</v>
      </c>
      <c r="I1147">
        <v>690.4</v>
      </c>
      <c r="O1147" t="s">
        <v>2754</v>
      </c>
    </row>
    <row r="1148" spans="1:24" x14ac:dyDescent="0.2">
      <c r="A1148">
        <v>55.687222220000002</v>
      </c>
      <c r="B1148">
        <v>-121.6266667</v>
      </c>
      <c r="C1148" t="s">
        <v>46</v>
      </c>
      <c r="D1148" t="s">
        <v>2775</v>
      </c>
      <c r="E1148">
        <v>1</v>
      </c>
      <c r="F1148" t="s">
        <v>2776</v>
      </c>
      <c r="G1148" t="str">
        <f t="shared" si="17"/>
        <v>CHETWYND</v>
      </c>
      <c r="H1148" t="s">
        <v>2752</v>
      </c>
      <c r="I1148">
        <v>609.29999999999995</v>
      </c>
      <c r="O1148" t="s">
        <v>2754</v>
      </c>
    </row>
    <row r="1149" spans="1:24" x14ac:dyDescent="0.2">
      <c r="A1149">
        <v>49.467777779999999</v>
      </c>
      <c r="B1149">
        <v>-120.5125</v>
      </c>
      <c r="C1149" t="s">
        <v>86</v>
      </c>
      <c r="D1149" t="s">
        <v>2777</v>
      </c>
      <c r="E1149">
        <v>2</v>
      </c>
      <c r="F1149" t="s">
        <v>2778</v>
      </c>
      <c r="G1149" t="str">
        <f t="shared" si="17"/>
        <v>PRINCETON</v>
      </c>
      <c r="H1149" t="s">
        <v>2752</v>
      </c>
      <c r="I1149">
        <v>701.6</v>
      </c>
      <c r="O1149" t="s">
        <v>2754</v>
      </c>
    </row>
    <row r="1150" spans="1:24" x14ac:dyDescent="0.2">
      <c r="A1150">
        <v>58.422222220000002</v>
      </c>
      <c r="B1150">
        <v>-130.0313889</v>
      </c>
      <c r="C1150" t="s">
        <v>449</v>
      </c>
      <c r="D1150" t="s">
        <v>2779</v>
      </c>
      <c r="E1150">
        <v>1</v>
      </c>
      <c r="F1150" t="s">
        <v>2780</v>
      </c>
      <c r="G1150" t="str">
        <f t="shared" si="17"/>
        <v>DEASE LAKE</v>
      </c>
      <c r="H1150" t="s">
        <v>2752</v>
      </c>
      <c r="I1150">
        <v>802.8</v>
      </c>
      <c r="O1150" t="s">
        <v>2754</v>
      </c>
    </row>
    <row r="1151" spans="1:24" x14ac:dyDescent="0.2">
      <c r="A1151">
        <v>55.742222220000002</v>
      </c>
      <c r="B1151">
        <v>-120.1830556</v>
      </c>
      <c r="C1151" t="s">
        <v>46</v>
      </c>
      <c r="D1151" t="s">
        <v>2781</v>
      </c>
      <c r="E1151">
        <v>1</v>
      </c>
      <c r="F1151" t="s">
        <v>2782</v>
      </c>
      <c r="G1151" t="str">
        <f t="shared" si="17"/>
        <v>DAWSON CREEK</v>
      </c>
      <c r="H1151" t="s">
        <v>2752</v>
      </c>
      <c r="I1151">
        <v>654.70000000000005</v>
      </c>
      <c r="O1151" t="s">
        <v>2754</v>
      </c>
    </row>
    <row r="1152" spans="1:24" x14ac:dyDescent="0.2">
      <c r="A1152">
        <v>51.299166669999998</v>
      </c>
      <c r="B1152">
        <v>-116.9822222</v>
      </c>
      <c r="C1152" t="s">
        <v>61</v>
      </c>
      <c r="D1152" t="s">
        <v>2783</v>
      </c>
      <c r="E1152">
        <v>1</v>
      </c>
      <c r="F1152" t="s">
        <v>2784</v>
      </c>
      <c r="G1152" t="str">
        <f t="shared" si="17"/>
        <v>GOLDEN</v>
      </c>
      <c r="H1152" t="s">
        <v>2752</v>
      </c>
      <c r="I1152">
        <v>784.9</v>
      </c>
      <c r="O1152" t="s">
        <v>2754</v>
      </c>
    </row>
    <row r="1153" spans="1:15" x14ac:dyDescent="0.2">
      <c r="A1153">
        <v>49.286944439999999</v>
      </c>
      <c r="B1153">
        <v>-123.10611111</v>
      </c>
      <c r="C1153" t="s">
        <v>41</v>
      </c>
      <c r="D1153" t="s">
        <v>2785</v>
      </c>
      <c r="E1153">
        <v>1</v>
      </c>
      <c r="F1153" t="s">
        <v>2786</v>
      </c>
      <c r="G1153" t="str">
        <f t="shared" si="17"/>
        <v>VANCOUVER HARBOUR</v>
      </c>
      <c r="H1153" t="s">
        <v>2752</v>
      </c>
      <c r="I1153">
        <v>0</v>
      </c>
      <c r="L1153">
        <v>45036</v>
      </c>
      <c r="O1153" t="s">
        <v>2754</v>
      </c>
    </row>
    <row r="1154" spans="1:15" x14ac:dyDescent="0.2">
      <c r="A1154">
        <v>49.368333329999999</v>
      </c>
      <c r="B1154">
        <v>-121.4980556</v>
      </c>
      <c r="C1154" t="s">
        <v>204</v>
      </c>
      <c r="D1154" t="s">
        <v>2787</v>
      </c>
      <c r="E1154">
        <v>1</v>
      </c>
      <c r="F1154" t="s">
        <v>2649</v>
      </c>
      <c r="G1154" t="str">
        <f t="shared" ref="G1154:G1217" si="18">UPPER(F1154)</f>
        <v>HOPE</v>
      </c>
      <c r="H1154" t="s">
        <v>2752</v>
      </c>
      <c r="I1154">
        <v>39</v>
      </c>
      <c r="O1154" t="s">
        <v>2754</v>
      </c>
    </row>
    <row r="1155" spans="1:15" x14ac:dyDescent="0.2">
      <c r="A1155">
        <v>51.25</v>
      </c>
      <c r="B1155">
        <v>-121.68300000000001</v>
      </c>
      <c r="C1155" t="s">
        <v>29</v>
      </c>
      <c r="D1155" t="s">
        <v>2788</v>
      </c>
      <c r="E1155">
        <v>5</v>
      </c>
      <c r="F1155" t="s">
        <v>2789</v>
      </c>
      <c r="G1155" t="str">
        <f t="shared" si="18"/>
        <v>CLINTON BLEIBLER RANCH</v>
      </c>
      <c r="H1155" t="s">
        <v>2752</v>
      </c>
      <c r="I1155">
        <v>1126.2</v>
      </c>
      <c r="O1155" t="s">
        <v>2754</v>
      </c>
    </row>
    <row r="1156" spans="1:15" x14ac:dyDescent="0.2">
      <c r="A1156">
        <v>50.702500000000001</v>
      </c>
      <c r="B1156">
        <v>-120.44861109999999</v>
      </c>
      <c r="C1156" t="s">
        <v>86</v>
      </c>
      <c r="D1156" t="s">
        <v>2790</v>
      </c>
      <c r="E1156">
        <v>1</v>
      </c>
      <c r="F1156" t="s">
        <v>2791</v>
      </c>
      <c r="G1156" t="str">
        <f t="shared" si="18"/>
        <v>KAMLOOPS</v>
      </c>
      <c r="H1156" t="s">
        <v>2752</v>
      </c>
      <c r="I1156">
        <v>345.3</v>
      </c>
      <c r="O1156" t="s">
        <v>2754</v>
      </c>
    </row>
    <row r="1157" spans="1:15" x14ac:dyDescent="0.2">
      <c r="A1157">
        <v>49.957222219999998</v>
      </c>
      <c r="B1157">
        <v>-119.3777778</v>
      </c>
      <c r="C1157" t="s">
        <v>86</v>
      </c>
      <c r="D1157" t="s">
        <v>2792</v>
      </c>
      <c r="E1157">
        <v>1</v>
      </c>
      <c r="F1157" t="s">
        <v>2793</v>
      </c>
      <c r="G1157" t="str">
        <f t="shared" si="18"/>
        <v>KELOWNA</v>
      </c>
      <c r="H1157" t="s">
        <v>2752</v>
      </c>
      <c r="I1157">
        <v>433.1</v>
      </c>
      <c r="O1157" t="s">
        <v>2754</v>
      </c>
    </row>
    <row r="1158" spans="1:15" x14ac:dyDescent="0.2">
      <c r="A1158">
        <v>49.10083333</v>
      </c>
      <c r="B1158">
        <v>-122.63083333</v>
      </c>
      <c r="C1158" t="s">
        <v>41</v>
      </c>
      <c r="D1158" t="s">
        <v>2794</v>
      </c>
      <c r="E1158">
        <v>1</v>
      </c>
      <c r="F1158" t="s">
        <v>2795</v>
      </c>
      <c r="G1158" t="str">
        <f t="shared" si="18"/>
        <v>LANGLEY REGIONAL</v>
      </c>
      <c r="H1158" t="s">
        <v>2752</v>
      </c>
      <c r="I1158">
        <v>10.4</v>
      </c>
      <c r="L1158">
        <v>45036</v>
      </c>
      <c r="O1158" t="s">
        <v>2754</v>
      </c>
    </row>
    <row r="1159" spans="1:15" x14ac:dyDescent="0.2">
      <c r="A1159">
        <v>49.21611111</v>
      </c>
      <c r="B1159">
        <v>-122.71333333</v>
      </c>
      <c r="C1159" t="s">
        <v>41</v>
      </c>
      <c r="D1159" t="s">
        <v>2796</v>
      </c>
      <c r="E1159">
        <v>1</v>
      </c>
      <c r="F1159" t="s">
        <v>2637</v>
      </c>
      <c r="G1159" t="str">
        <f t="shared" si="18"/>
        <v>PITT MEADOWS</v>
      </c>
      <c r="H1159" t="s">
        <v>2752</v>
      </c>
      <c r="I1159">
        <v>3.7</v>
      </c>
      <c r="L1159">
        <v>45036</v>
      </c>
      <c r="O1159" t="s">
        <v>2754</v>
      </c>
    </row>
    <row r="1160" spans="1:15" x14ac:dyDescent="0.2">
      <c r="A1160">
        <v>54.28611111</v>
      </c>
      <c r="B1160">
        <v>-130.4447222</v>
      </c>
      <c r="C1160" t="s">
        <v>204</v>
      </c>
      <c r="D1160" t="s">
        <v>2797</v>
      </c>
      <c r="E1160">
        <v>1</v>
      </c>
      <c r="F1160" t="s">
        <v>2798</v>
      </c>
      <c r="G1160" t="str">
        <f t="shared" si="18"/>
        <v>PRINCE RUPERT</v>
      </c>
      <c r="H1160" t="s">
        <v>2752</v>
      </c>
      <c r="I1160">
        <v>35.4</v>
      </c>
      <c r="O1160" t="s">
        <v>2754</v>
      </c>
    </row>
    <row r="1161" spans="1:15" x14ac:dyDescent="0.2">
      <c r="A1161">
        <v>49.834166670000002</v>
      </c>
      <c r="B1161">
        <v>-124.50027780000001</v>
      </c>
      <c r="C1161" t="s">
        <v>41</v>
      </c>
      <c r="D1161" t="s">
        <v>2799</v>
      </c>
      <c r="E1161">
        <v>3</v>
      </c>
      <c r="F1161" t="s">
        <v>2800</v>
      </c>
      <c r="G1161" t="str">
        <f t="shared" si="18"/>
        <v>POWELL RIVER</v>
      </c>
      <c r="H1161" t="s">
        <v>2752</v>
      </c>
      <c r="I1161">
        <v>129.5</v>
      </c>
      <c r="O1161" t="s">
        <v>2754</v>
      </c>
    </row>
    <row r="1162" spans="1:15" x14ac:dyDescent="0.2">
      <c r="A1162">
        <v>53.026111110000002</v>
      </c>
      <c r="B1162">
        <v>-122.5102778</v>
      </c>
      <c r="C1162" t="s">
        <v>29</v>
      </c>
      <c r="D1162" t="s">
        <v>2801</v>
      </c>
      <c r="E1162">
        <v>1</v>
      </c>
      <c r="F1162" t="s">
        <v>2802</v>
      </c>
      <c r="G1162" t="str">
        <f t="shared" si="18"/>
        <v>QUESNEL</v>
      </c>
      <c r="H1162" t="s">
        <v>2752</v>
      </c>
      <c r="I1162">
        <v>545</v>
      </c>
      <c r="O1162" t="s">
        <v>2754</v>
      </c>
    </row>
    <row r="1163" spans="1:15" x14ac:dyDescent="0.2">
      <c r="A1163">
        <v>50.966666670000002</v>
      </c>
      <c r="B1163">
        <v>-118.1833333</v>
      </c>
      <c r="C1163" t="s">
        <v>61</v>
      </c>
      <c r="D1163" t="s">
        <v>2803</v>
      </c>
      <c r="E1163">
        <v>1</v>
      </c>
      <c r="F1163" t="s">
        <v>2804</v>
      </c>
      <c r="G1163" t="str">
        <f t="shared" si="18"/>
        <v>REVELSTOKE</v>
      </c>
      <c r="H1163" t="s">
        <v>2752</v>
      </c>
      <c r="I1163">
        <v>444.7</v>
      </c>
      <c r="O1163" t="s">
        <v>2754</v>
      </c>
    </row>
    <row r="1164" spans="1:15" x14ac:dyDescent="0.2">
      <c r="A1164">
        <v>49.194722220000003</v>
      </c>
      <c r="B1164">
        <v>-123.1838889</v>
      </c>
      <c r="C1164" t="s">
        <v>41</v>
      </c>
      <c r="D1164" t="s">
        <v>2805</v>
      </c>
      <c r="E1164">
        <v>1</v>
      </c>
      <c r="F1164" t="s">
        <v>2806</v>
      </c>
      <c r="G1164" t="str">
        <f t="shared" si="18"/>
        <v>VANCOUVER INTL</v>
      </c>
      <c r="H1164" t="s">
        <v>2752</v>
      </c>
      <c r="I1164">
        <v>4.3</v>
      </c>
      <c r="O1164" t="s">
        <v>2754</v>
      </c>
    </row>
    <row r="1165" spans="1:15" x14ac:dyDescent="0.2">
      <c r="A1165">
        <v>48.422777779999997</v>
      </c>
      <c r="B1165">
        <v>-123.3875</v>
      </c>
      <c r="C1165" t="s">
        <v>41</v>
      </c>
      <c r="D1165" t="s">
        <v>2807</v>
      </c>
      <c r="E1165">
        <v>1</v>
      </c>
      <c r="F1165" t="s">
        <v>2808</v>
      </c>
      <c r="G1165" t="str">
        <f t="shared" si="18"/>
        <v>VICTORIA HARBOUR</v>
      </c>
      <c r="H1165" t="s">
        <v>2752</v>
      </c>
      <c r="I1165">
        <v>0</v>
      </c>
      <c r="O1165" t="s">
        <v>2754</v>
      </c>
    </row>
    <row r="1166" spans="1:15" x14ac:dyDescent="0.2">
      <c r="A1166">
        <v>52.183333330000004</v>
      </c>
      <c r="B1166">
        <v>-122.05444439999999</v>
      </c>
      <c r="C1166" t="s">
        <v>29</v>
      </c>
      <c r="D1166" t="s">
        <v>2809</v>
      </c>
      <c r="E1166">
        <v>2</v>
      </c>
      <c r="F1166" t="s">
        <v>2810</v>
      </c>
      <c r="G1166" t="str">
        <f t="shared" si="18"/>
        <v>WILLIAWS LAKE</v>
      </c>
      <c r="H1166" t="s">
        <v>2752</v>
      </c>
      <c r="I1166">
        <v>939.7</v>
      </c>
      <c r="O1166" t="s">
        <v>2754</v>
      </c>
    </row>
    <row r="1167" spans="1:15" x14ac:dyDescent="0.2">
      <c r="A1167">
        <v>49.61222222</v>
      </c>
      <c r="B1167">
        <v>-115.7819444</v>
      </c>
      <c r="C1167" t="s">
        <v>61</v>
      </c>
      <c r="D1167" t="s">
        <v>2811</v>
      </c>
      <c r="E1167">
        <v>2</v>
      </c>
      <c r="F1167" t="s">
        <v>2812</v>
      </c>
      <c r="G1167" t="str">
        <f t="shared" si="18"/>
        <v>CRANBROOK</v>
      </c>
      <c r="H1167" t="s">
        <v>2752</v>
      </c>
      <c r="I1167">
        <v>940</v>
      </c>
      <c r="O1167" t="s">
        <v>2754</v>
      </c>
    </row>
    <row r="1168" spans="1:15" x14ac:dyDescent="0.2">
      <c r="A1168">
        <v>56.238333330000003</v>
      </c>
      <c r="B1168">
        <v>-120.7402778</v>
      </c>
      <c r="C1168" t="s">
        <v>46</v>
      </c>
      <c r="D1168" t="s">
        <v>2813</v>
      </c>
      <c r="E1168">
        <v>2</v>
      </c>
      <c r="F1168" t="s">
        <v>2814</v>
      </c>
      <c r="G1168" t="str">
        <f t="shared" si="18"/>
        <v>FORT ST JOHN</v>
      </c>
      <c r="H1168" t="s">
        <v>2752</v>
      </c>
      <c r="I1168">
        <v>694.9</v>
      </c>
      <c r="O1168" t="s">
        <v>2754</v>
      </c>
    </row>
    <row r="1169" spans="1:28" x14ac:dyDescent="0.2">
      <c r="A1169">
        <v>53.884166669999999</v>
      </c>
      <c r="B1169">
        <v>-122.67749999999999</v>
      </c>
      <c r="C1169" t="s">
        <v>272</v>
      </c>
      <c r="D1169" t="s">
        <v>2815</v>
      </c>
      <c r="E1169">
        <v>1</v>
      </c>
      <c r="F1169" t="s">
        <v>2816</v>
      </c>
      <c r="G1169" t="str">
        <f t="shared" si="18"/>
        <v>PRINCE GEORGE</v>
      </c>
      <c r="H1169" t="s">
        <v>2752</v>
      </c>
      <c r="I1169">
        <v>691</v>
      </c>
      <c r="O1169" t="s">
        <v>2754</v>
      </c>
    </row>
    <row r="1170" spans="1:28" x14ac:dyDescent="0.2">
      <c r="A1170">
        <v>54.468611109999998</v>
      </c>
      <c r="B1170">
        <v>-128.5783333</v>
      </c>
      <c r="C1170" t="s">
        <v>204</v>
      </c>
      <c r="D1170" t="s">
        <v>2817</v>
      </c>
      <c r="E1170">
        <v>2</v>
      </c>
      <c r="F1170" t="s">
        <v>2818</v>
      </c>
      <c r="G1170" t="str">
        <f t="shared" si="18"/>
        <v>TERRACE</v>
      </c>
      <c r="H1170" t="s">
        <v>2752</v>
      </c>
      <c r="I1170">
        <v>217.3</v>
      </c>
      <c r="O1170" t="s">
        <v>2754</v>
      </c>
    </row>
    <row r="1171" spans="1:28" x14ac:dyDescent="0.2">
      <c r="A1171">
        <v>49.025277780000003</v>
      </c>
      <c r="B1171">
        <v>-122.36</v>
      </c>
      <c r="C1171" t="s">
        <v>41</v>
      </c>
      <c r="D1171" t="s">
        <v>2819</v>
      </c>
      <c r="E1171">
        <v>2</v>
      </c>
      <c r="F1171" t="s">
        <v>2820</v>
      </c>
      <c r="G1171" t="str">
        <f t="shared" si="18"/>
        <v>ABBOTSFORD</v>
      </c>
      <c r="H1171" t="s">
        <v>2752</v>
      </c>
      <c r="I1171">
        <v>59.1</v>
      </c>
      <c r="O1171" t="s">
        <v>2754</v>
      </c>
    </row>
    <row r="1172" spans="1:28" x14ac:dyDescent="0.2">
      <c r="A1172">
        <v>54.82527778</v>
      </c>
      <c r="B1172">
        <v>-127.1827778</v>
      </c>
      <c r="C1172" t="s">
        <v>29</v>
      </c>
      <c r="D1172" t="s">
        <v>2821</v>
      </c>
      <c r="E1172">
        <v>1</v>
      </c>
      <c r="F1172" t="s">
        <v>2822</v>
      </c>
      <c r="G1172" t="str">
        <f t="shared" si="18"/>
        <v>SMITHERS</v>
      </c>
      <c r="H1172" t="s">
        <v>2752</v>
      </c>
      <c r="I1172">
        <v>523</v>
      </c>
      <c r="O1172" t="s">
        <v>2754</v>
      </c>
    </row>
    <row r="1173" spans="1:28" x14ac:dyDescent="0.2">
      <c r="A1173">
        <v>58.836388890000002</v>
      </c>
      <c r="B1173">
        <v>-122.5969444</v>
      </c>
      <c r="C1173" t="s">
        <v>46</v>
      </c>
      <c r="D1173" t="s">
        <v>2823</v>
      </c>
      <c r="E1173">
        <v>1</v>
      </c>
      <c r="F1173" t="s">
        <v>2824</v>
      </c>
      <c r="G1173" t="str">
        <f t="shared" si="18"/>
        <v>FORT NELSON</v>
      </c>
      <c r="H1173" t="s">
        <v>2752</v>
      </c>
      <c r="I1173">
        <v>381.9</v>
      </c>
      <c r="O1173" t="s">
        <v>2754</v>
      </c>
    </row>
    <row r="1174" spans="1:28" x14ac:dyDescent="0.2">
      <c r="A1174">
        <v>49.462499999999999</v>
      </c>
      <c r="B1174">
        <v>-119.6022222</v>
      </c>
      <c r="C1174" t="s">
        <v>86</v>
      </c>
      <c r="D1174" t="s">
        <v>2825</v>
      </c>
      <c r="E1174">
        <v>1</v>
      </c>
      <c r="F1174" t="s">
        <v>2826</v>
      </c>
      <c r="G1174" t="str">
        <f t="shared" si="18"/>
        <v>PENTICTON</v>
      </c>
      <c r="H1174" t="s">
        <v>2752</v>
      </c>
      <c r="I1174">
        <v>344.4</v>
      </c>
      <c r="O1174" t="s">
        <v>2754</v>
      </c>
    </row>
    <row r="1175" spans="1:28" x14ac:dyDescent="0.2">
      <c r="A1175">
        <v>48.647222220000003</v>
      </c>
      <c r="B1175">
        <v>-123.42583329999999</v>
      </c>
      <c r="C1175" t="s">
        <v>41</v>
      </c>
      <c r="D1175" t="s">
        <v>2827</v>
      </c>
      <c r="E1175">
        <v>1</v>
      </c>
      <c r="F1175" t="s">
        <v>2828</v>
      </c>
      <c r="G1175" t="str">
        <f t="shared" si="18"/>
        <v>VICTORIA INTL</v>
      </c>
      <c r="H1175" t="s">
        <v>2752</v>
      </c>
      <c r="I1175">
        <v>19.5</v>
      </c>
      <c r="O1175" t="s">
        <v>2754</v>
      </c>
    </row>
    <row r="1176" spans="1:28" x14ac:dyDescent="0.2">
      <c r="A1176">
        <v>53.254166669999996</v>
      </c>
      <c r="B1176">
        <v>-131.81388889999999</v>
      </c>
      <c r="C1176" t="s">
        <v>204</v>
      </c>
      <c r="D1176" t="s">
        <v>2829</v>
      </c>
      <c r="E1176">
        <v>1</v>
      </c>
      <c r="F1176" t="s">
        <v>2830</v>
      </c>
      <c r="G1176" t="str">
        <f t="shared" si="18"/>
        <v>SANDSPIT</v>
      </c>
      <c r="H1176" t="s">
        <v>2752</v>
      </c>
      <c r="I1176">
        <v>6.4</v>
      </c>
      <c r="O1176" t="s">
        <v>2754</v>
      </c>
    </row>
    <row r="1177" spans="1:28" x14ac:dyDescent="0.2">
      <c r="A1177">
        <v>50.680555560000002</v>
      </c>
      <c r="B1177">
        <v>-127.3666667</v>
      </c>
      <c r="C1177" t="s">
        <v>204</v>
      </c>
      <c r="D1177" t="s">
        <v>2831</v>
      </c>
      <c r="E1177">
        <v>1</v>
      </c>
      <c r="F1177" t="s">
        <v>2832</v>
      </c>
      <c r="G1177" t="str">
        <f t="shared" si="18"/>
        <v>PORT HARDY</v>
      </c>
      <c r="H1177" t="s">
        <v>2752</v>
      </c>
      <c r="I1177">
        <v>21.6</v>
      </c>
      <c r="O1177" t="s">
        <v>2754</v>
      </c>
    </row>
    <row r="1178" spans="1:28" x14ac:dyDescent="0.2">
      <c r="A1178">
        <v>55.299444440000002</v>
      </c>
      <c r="B1178">
        <v>-123.1333333</v>
      </c>
      <c r="C1178" t="s">
        <v>272</v>
      </c>
      <c r="D1178" t="s">
        <v>2833</v>
      </c>
      <c r="E1178">
        <v>1</v>
      </c>
      <c r="F1178" t="s">
        <v>2834</v>
      </c>
      <c r="G1178" t="str">
        <f t="shared" si="18"/>
        <v>MACKENZIE</v>
      </c>
      <c r="H1178" t="s">
        <v>2752</v>
      </c>
      <c r="I1178">
        <v>690.1</v>
      </c>
      <c r="O1178" t="s">
        <v>2754</v>
      </c>
    </row>
    <row r="1179" spans="1:28" x14ac:dyDescent="0.2">
      <c r="A1179">
        <v>49.073333329999997</v>
      </c>
      <c r="B1179">
        <v>-123.00833333</v>
      </c>
      <c r="C1179" t="s">
        <v>41</v>
      </c>
      <c r="D1179" t="s">
        <v>2835</v>
      </c>
      <c r="E1179">
        <v>1</v>
      </c>
      <c r="F1179" t="s">
        <v>2836</v>
      </c>
      <c r="G1179" t="str">
        <f t="shared" si="18"/>
        <v>VANCOUVER BOUNDARY BAY</v>
      </c>
      <c r="H1179" t="s">
        <v>2752</v>
      </c>
      <c r="I1179">
        <v>1.8</v>
      </c>
      <c r="L1179">
        <v>45036</v>
      </c>
      <c r="O1179" t="s">
        <v>2754</v>
      </c>
    </row>
    <row r="1180" spans="1:28" x14ac:dyDescent="0.2">
      <c r="A1180">
        <v>54.027222219999999</v>
      </c>
      <c r="B1180">
        <v>-132.125</v>
      </c>
      <c r="C1180" t="s">
        <v>204</v>
      </c>
      <c r="D1180" t="s">
        <v>2837</v>
      </c>
      <c r="E1180">
        <v>1</v>
      </c>
      <c r="F1180" t="s">
        <v>2838</v>
      </c>
      <c r="G1180" t="str">
        <f t="shared" si="18"/>
        <v>MASSET</v>
      </c>
      <c r="H1180" t="s">
        <v>2752</v>
      </c>
      <c r="I1180">
        <v>5.8</v>
      </c>
      <c r="O1180" t="s">
        <v>2754</v>
      </c>
    </row>
    <row r="1181" spans="1:28" x14ac:dyDescent="0.2">
      <c r="A1181">
        <v>55.933333330000004</v>
      </c>
      <c r="B1181">
        <v>-129.9833333</v>
      </c>
      <c r="C1181" t="s">
        <v>204</v>
      </c>
      <c r="D1181" t="s">
        <v>2839</v>
      </c>
      <c r="E1181">
        <v>1</v>
      </c>
      <c r="F1181" t="s">
        <v>1789</v>
      </c>
      <c r="G1181" t="str">
        <f t="shared" si="18"/>
        <v>STEWART</v>
      </c>
      <c r="H1181" t="s">
        <v>2752</v>
      </c>
      <c r="I1181">
        <v>7.3</v>
      </c>
      <c r="O1181" t="s">
        <v>2754</v>
      </c>
    </row>
    <row r="1182" spans="1:28" x14ac:dyDescent="0.2">
      <c r="A1182">
        <v>53.23395</v>
      </c>
      <c r="B1182">
        <v>-126.1132667</v>
      </c>
      <c r="C1182" t="s">
        <v>29</v>
      </c>
      <c r="D1182" t="s">
        <v>2840</v>
      </c>
      <c r="E1182">
        <v>2</v>
      </c>
      <c r="F1182" t="s">
        <v>2841</v>
      </c>
      <c r="G1182" t="str">
        <f t="shared" si="18"/>
        <v>EUTSUK</v>
      </c>
      <c r="H1182" t="s">
        <v>2842</v>
      </c>
      <c r="I1182">
        <v>863</v>
      </c>
      <c r="J1182" t="s">
        <v>253</v>
      </c>
      <c r="K1182" t="s">
        <v>2843</v>
      </c>
      <c r="L1182">
        <v>44126</v>
      </c>
      <c r="M1182" t="s">
        <v>2844</v>
      </c>
      <c r="N1182" t="s">
        <v>2845</v>
      </c>
      <c r="R1182" t="s">
        <v>36</v>
      </c>
      <c r="S1182" t="s">
        <v>37</v>
      </c>
      <c r="T1182" t="s">
        <v>2846</v>
      </c>
      <c r="U1182" t="s">
        <v>39</v>
      </c>
      <c r="W1182" t="s">
        <v>2847</v>
      </c>
      <c r="AB1182" t="s">
        <v>1887</v>
      </c>
    </row>
    <row r="1183" spans="1:28" x14ac:dyDescent="0.2">
      <c r="A1183">
        <v>53.580300000000001</v>
      </c>
      <c r="B1183">
        <v>-124.94605</v>
      </c>
      <c r="C1183" t="s">
        <v>29</v>
      </c>
      <c r="D1183" t="s">
        <v>2848</v>
      </c>
      <c r="E1183">
        <v>2</v>
      </c>
      <c r="F1183" t="s">
        <v>2849</v>
      </c>
      <c r="G1183" t="str">
        <f t="shared" si="18"/>
        <v>KENNEY DAM</v>
      </c>
      <c r="H1183" t="s">
        <v>2842</v>
      </c>
      <c r="I1183">
        <v>858</v>
      </c>
      <c r="J1183" t="s">
        <v>253</v>
      </c>
      <c r="L1183">
        <v>33239</v>
      </c>
      <c r="M1183" t="s">
        <v>2844</v>
      </c>
      <c r="N1183" t="s">
        <v>2845</v>
      </c>
      <c r="R1183" t="s">
        <v>36</v>
      </c>
      <c r="T1183" t="s">
        <v>2846</v>
      </c>
      <c r="Y1183" t="s">
        <v>392</v>
      </c>
      <c r="AB1183" t="s">
        <v>1051</v>
      </c>
    </row>
    <row r="1184" spans="1:28" x14ac:dyDescent="0.2">
      <c r="A1184">
        <v>53.72923333</v>
      </c>
      <c r="B1184">
        <v>-126.4179333</v>
      </c>
      <c r="C1184" t="s">
        <v>29</v>
      </c>
      <c r="D1184" t="s">
        <v>2850</v>
      </c>
      <c r="E1184">
        <v>7</v>
      </c>
      <c r="F1184" t="s">
        <v>2851</v>
      </c>
      <c r="G1184" t="str">
        <f t="shared" si="18"/>
        <v>MOUNT WELLS</v>
      </c>
      <c r="H1184" t="s">
        <v>2842</v>
      </c>
      <c r="I1184">
        <v>1490</v>
      </c>
      <c r="J1184" t="s">
        <v>253</v>
      </c>
      <c r="L1184">
        <v>33708</v>
      </c>
      <c r="M1184" t="s">
        <v>2844</v>
      </c>
      <c r="N1184" t="s">
        <v>2845</v>
      </c>
      <c r="R1184" t="s">
        <v>36</v>
      </c>
      <c r="T1184" t="s">
        <v>2846</v>
      </c>
      <c r="V1184" t="s">
        <v>1043</v>
      </c>
    </row>
    <row r="1185" spans="1:28" x14ac:dyDescent="0.2">
      <c r="A1185">
        <v>53.164766669999999</v>
      </c>
      <c r="B1185">
        <v>-126.87551670000001</v>
      </c>
      <c r="C1185" t="s">
        <v>204</v>
      </c>
      <c r="D1185" t="s">
        <v>2852</v>
      </c>
      <c r="E1185">
        <v>7</v>
      </c>
      <c r="F1185" t="s">
        <v>2853</v>
      </c>
      <c r="G1185" t="str">
        <f t="shared" si="18"/>
        <v>MOUNT PONDOSY</v>
      </c>
      <c r="H1185" t="s">
        <v>2842</v>
      </c>
      <c r="I1185">
        <v>1400</v>
      </c>
      <c r="J1185" t="s">
        <v>253</v>
      </c>
      <c r="L1185">
        <v>33708</v>
      </c>
      <c r="M1185" t="s">
        <v>2844</v>
      </c>
      <c r="N1185" t="s">
        <v>2845</v>
      </c>
      <c r="R1185" t="s">
        <v>36</v>
      </c>
      <c r="T1185" t="s">
        <v>2846</v>
      </c>
      <c r="V1185" t="s">
        <v>1043</v>
      </c>
    </row>
    <row r="1186" spans="1:28" x14ac:dyDescent="0.2">
      <c r="A1186">
        <v>53.587416670000003</v>
      </c>
      <c r="B1186">
        <v>-127.6505667</v>
      </c>
      <c r="C1186" t="s">
        <v>204</v>
      </c>
      <c r="D1186" t="s">
        <v>2854</v>
      </c>
      <c r="E1186">
        <v>6</v>
      </c>
      <c r="F1186" t="s">
        <v>2855</v>
      </c>
      <c r="G1186" t="str">
        <f t="shared" si="18"/>
        <v>TAHTSA LAKE</v>
      </c>
      <c r="H1186" t="s">
        <v>2842</v>
      </c>
      <c r="I1186">
        <v>1300</v>
      </c>
      <c r="J1186" t="s">
        <v>253</v>
      </c>
      <c r="L1186">
        <v>33708</v>
      </c>
      <c r="M1186" t="s">
        <v>2844</v>
      </c>
      <c r="N1186" t="s">
        <v>2845</v>
      </c>
      <c r="R1186" t="s">
        <v>36</v>
      </c>
      <c r="T1186" t="s">
        <v>2846</v>
      </c>
      <c r="V1186" t="s">
        <v>1043</v>
      </c>
    </row>
    <row r="1187" spans="1:28" x14ac:dyDescent="0.2">
      <c r="A1187">
        <v>53.617100000000001</v>
      </c>
      <c r="B1187">
        <v>-127.696397</v>
      </c>
      <c r="C1187" t="s">
        <v>29</v>
      </c>
      <c r="D1187" t="s">
        <v>2856</v>
      </c>
      <c r="E1187">
        <v>2</v>
      </c>
      <c r="F1187" t="s">
        <v>2857</v>
      </c>
      <c r="G1187" t="str">
        <f t="shared" si="18"/>
        <v>TAHTSA INTAKE</v>
      </c>
      <c r="H1187" t="s">
        <v>2842</v>
      </c>
      <c r="I1187">
        <v>880</v>
      </c>
      <c r="J1187" t="s">
        <v>253</v>
      </c>
      <c r="L1187">
        <v>33708</v>
      </c>
      <c r="M1187" t="s">
        <v>2844</v>
      </c>
      <c r="N1187" t="s">
        <v>2845</v>
      </c>
      <c r="R1187" t="s">
        <v>36</v>
      </c>
      <c r="T1187" t="s">
        <v>2846</v>
      </c>
      <c r="AB1187" t="s">
        <v>1051</v>
      </c>
    </row>
    <row r="1188" spans="1:28" x14ac:dyDescent="0.2">
      <c r="A1188">
        <v>54.085709999999999</v>
      </c>
      <c r="B1188">
        <v>-122.07640000000001</v>
      </c>
      <c r="C1188" t="s">
        <v>272</v>
      </c>
      <c r="D1188" t="s">
        <v>2858</v>
      </c>
      <c r="E1188">
        <v>1</v>
      </c>
      <c r="F1188" t="s">
        <v>2859</v>
      </c>
      <c r="G1188" t="str">
        <f t="shared" si="18"/>
        <v>ALEZA LAKE</v>
      </c>
      <c r="H1188" t="s">
        <v>2860</v>
      </c>
      <c r="I1188">
        <v>685</v>
      </c>
      <c r="K1188" t="s">
        <v>2861</v>
      </c>
      <c r="L1188" t="s">
        <v>2862</v>
      </c>
      <c r="M1188" t="s">
        <v>2863</v>
      </c>
      <c r="N1188" t="s">
        <v>2864</v>
      </c>
      <c r="O1188" t="s">
        <v>2865</v>
      </c>
      <c r="R1188" t="s">
        <v>36</v>
      </c>
      <c r="S1188" t="s">
        <v>37</v>
      </c>
      <c r="T1188" t="s">
        <v>38</v>
      </c>
      <c r="W1188" t="s">
        <v>40</v>
      </c>
      <c r="X1188" t="s">
        <v>257</v>
      </c>
    </row>
    <row r="1189" spans="1:28" x14ac:dyDescent="0.2">
      <c r="A1189">
        <v>54.772500000000001</v>
      </c>
      <c r="B1189">
        <v>-121.228889</v>
      </c>
      <c r="C1189" t="s">
        <v>61</v>
      </c>
      <c r="D1189" t="s">
        <v>2866</v>
      </c>
      <c r="E1189">
        <v>1</v>
      </c>
      <c r="F1189" t="s">
        <v>2867</v>
      </c>
      <c r="G1189" t="str">
        <f t="shared" si="18"/>
        <v>ANCIENT FOREST</v>
      </c>
      <c r="H1189" t="s">
        <v>2860</v>
      </c>
      <c r="I1189">
        <v>744</v>
      </c>
      <c r="K1189" t="s">
        <v>2868</v>
      </c>
      <c r="L1189" t="s">
        <v>2869</v>
      </c>
      <c r="M1189" t="s">
        <v>2863</v>
      </c>
      <c r="N1189" t="s">
        <v>2864</v>
      </c>
      <c r="O1189" t="s">
        <v>2865</v>
      </c>
      <c r="R1189" t="s">
        <v>36</v>
      </c>
      <c r="S1189" t="s">
        <v>37</v>
      </c>
      <c r="T1189" t="s">
        <v>38</v>
      </c>
      <c r="U1189" t="s">
        <v>39</v>
      </c>
      <c r="W1189" t="s">
        <v>40</v>
      </c>
      <c r="X1189" t="s">
        <v>257</v>
      </c>
      <c r="Y1189" t="s">
        <v>358</v>
      </c>
      <c r="Z1189" t="s">
        <v>690</v>
      </c>
    </row>
    <row r="1190" spans="1:28" x14ac:dyDescent="0.2">
      <c r="A1190">
        <v>52.707777999999998</v>
      </c>
      <c r="B1190">
        <v>-121.333889</v>
      </c>
      <c r="C1190" t="s">
        <v>61</v>
      </c>
      <c r="D1190" t="s">
        <v>2870</v>
      </c>
      <c r="E1190">
        <v>7</v>
      </c>
      <c r="F1190" t="s">
        <v>2871</v>
      </c>
      <c r="G1190" t="str">
        <f t="shared" si="18"/>
        <v>BROWNTOP</v>
      </c>
      <c r="H1190" t="s">
        <v>2860</v>
      </c>
      <c r="I1190">
        <v>2031</v>
      </c>
      <c r="K1190" t="s">
        <v>2872</v>
      </c>
      <c r="L1190" t="s">
        <v>2873</v>
      </c>
      <c r="M1190" t="s">
        <v>2863</v>
      </c>
      <c r="N1190" t="s">
        <v>2864</v>
      </c>
      <c r="O1190" t="s">
        <v>2865</v>
      </c>
      <c r="R1190" t="s">
        <v>36</v>
      </c>
      <c r="S1190" t="s">
        <v>37</v>
      </c>
      <c r="T1190" t="s">
        <v>38</v>
      </c>
      <c r="U1190" t="s">
        <v>39</v>
      </c>
      <c r="W1190" t="s">
        <v>40</v>
      </c>
      <c r="X1190" t="s">
        <v>257</v>
      </c>
    </row>
    <row r="1191" spans="1:28" x14ac:dyDescent="0.2">
      <c r="A1191">
        <v>53.749000000000002</v>
      </c>
      <c r="B1191">
        <v>-125.4525</v>
      </c>
      <c r="C1191" t="s">
        <v>29</v>
      </c>
      <c r="D1191" t="s">
        <v>2874</v>
      </c>
      <c r="E1191">
        <v>1</v>
      </c>
      <c r="F1191" t="s">
        <v>2875</v>
      </c>
      <c r="G1191" t="str">
        <f t="shared" si="18"/>
        <v>CHESLATTA LAKE TBRG</v>
      </c>
      <c r="H1191" t="s">
        <v>2860</v>
      </c>
      <c r="I1191">
        <v>772</v>
      </c>
      <c r="K1191" t="s">
        <v>2876</v>
      </c>
      <c r="L1191">
        <v>2023</v>
      </c>
      <c r="M1191" t="s">
        <v>2863</v>
      </c>
      <c r="N1191" t="s">
        <v>2877</v>
      </c>
      <c r="O1191" t="s">
        <v>2865</v>
      </c>
      <c r="R1191" t="s">
        <v>36</v>
      </c>
      <c r="T1191" t="s">
        <v>38</v>
      </c>
      <c r="W1191" t="s">
        <v>40</v>
      </c>
    </row>
    <row r="1192" spans="1:28" x14ac:dyDescent="0.2">
      <c r="A1192">
        <v>53.721699999999998</v>
      </c>
      <c r="B1192">
        <v>-125.6417</v>
      </c>
      <c r="C1192" t="s">
        <v>29</v>
      </c>
      <c r="D1192" t="s">
        <v>2878</v>
      </c>
      <c r="E1192">
        <v>2</v>
      </c>
      <c r="F1192" t="s">
        <v>2879</v>
      </c>
      <c r="G1192" t="str">
        <f t="shared" si="18"/>
        <v>CHESLATTA LAKE WX</v>
      </c>
      <c r="H1192" t="s">
        <v>2860</v>
      </c>
      <c r="I1192">
        <v>883</v>
      </c>
      <c r="K1192" t="s">
        <v>2880</v>
      </c>
      <c r="L1192" s="75" t="s">
        <v>1104</v>
      </c>
      <c r="M1192" t="s">
        <v>2863</v>
      </c>
      <c r="N1192" t="s">
        <v>2881</v>
      </c>
      <c r="O1192" t="s">
        <v>2865</v>
      </c>
      <c r="R1192" t="s">
        <v>36</v>
      </c>
      <c r="S1192" t="s">
        <v>37</v>
      </c>
      <c r="T1192" t="s">
        <v>38</v>
      </c>
      <c r="U1192" t="s">
        <v>39</v>
      </c>
      <c r="W1192" t="s">
        <v>40</v>
      </c>
      <c r="X1192" t="s">
        <v>257</v>
      </c>
      <c r="Y1192" t="s">
        <v>392</v>
      </c>
    </row>
    <row r="1193" spans="1:28" x14ac:dyDescent="0.2">
      <c r="A1193">
        <v>52.596389000000002</v>
      </c>
      <c r="B1193">
        <v>-120.504272</v>
      </c>
      <c r="C1193" t="s">
        <v>29</v>
      </c>
      <c r="D1193" t="s">
        <v>2882</v>
      </c>
      <c r="E1193">
        <v>1</v>
      </c>
      <c r="F1193" t="s">
        <v>2883</v>
      </c>
      <c r="G1193" t="str">
        <f t="shared" si="18"/>
        <v>DOCK POINT</v>
      </c>
      <c r="H1193" t="s">
        <v>2860</v>
      </c>
      <c r="I1193">
        <v>744</v>
      </c>
      <c r="K1193" t="s">
        <v>2884</v>
      </c>
      <c r="L1193" t="s">
        <v>2885</v>
      </c>
      <c r="M1193" t="s">
        <v>2863</v>
      </c>
      <c r="N1193" t="s">
        <v>2864</v>
      </c>
      <c r="O1193" t="s">
        <v>2865</v>
      </c>
      <c r="R1193" t="s">
        <v>36</v>
      </c>
      <c r="S1193" t="s">
        <v>37</v>
      </c>
      <c r="T1193" t="s">
        <v>38</v>
      </c>
      <c r="W1193" t="s">
        <v>40</v>
      </c>
      <c r="X1193" t="s">
        <v>257</v>
      </c>
      <c r="Y1193" t="s">
        <v>358</v>
      </c>
      <c r="AB1193" t="s">
        <v>2886</v>
      </c>
    </row>
    <row r="1194" spans="1:28" x14ac:dyDescent="0.2">
      <c r="A1194">
        <v>52.753622</v>
      </c>
      <c r="B1194">
        <v>-120.83437499999999</v>
      </c>
      <c r="C1194" t="s">
        <v>29</v>
      </c>
      <c r="D1194" t="s">
        <v>2887</v>
      </c>
      <c r="E1194">
        <v>1</v>
      </c>
      <c r="F1194" t="s">
        <v>2888</v>
      </c>
      <c r="G1194" t="str">
        <f t="shared" si="18"/>
        <v>GOOSE POINT</v>
      </c>
      <c r="H1194" t="s">
        <v>2860</v>
      </c>
      <c r="I1194">
        <v>744</v>
      </c>
      <c r="K1194" t="s">
        <v>2889</v>
      </c>
      <c r="L1194" t="s">
        <v>2890</v>
      </c>
      <c r="M1194" t="s">
        <v>2863</v>
      </c>
      <c r="N1194" t="s">
        <v>2864</v>
      </c>
      <c r="O1194" t="s">
        <v>2865</v>
      </c>
      <c r="R1194" t="s">
        <v>36</v>
      </c>
      <c r="S1194" t="s">
        <v>37</v>
      </c>
      <c r="T1194" t="s">
        <v>38</v>
      </c>
      <c r="W1194" t="s">
        <v>40</v>
      </c>
      <c r="X1194" t="s">
        <v>257</v>
      </c>
      <c r="Y1194" t="s">
        <v>358</v>
      </c>
      <c r="AB1194" t="s">
        <v>2886</v>
      </c>
    </row>
    <row r="1195" spans="1:28" x14ac:dyDescent="0.2">
      <c r="A1195">
        <v>53.674700000000001</v>
      </c>
      <c r="B1195">
        <v>-127.1611</v>
      </c>
      <c r="C1195" t="s">
        <v>29</v>
      </c>
      <c r="D1195" t="s">
        <v>2891</v>
      </c>
      <c r="E1195">
        <v>4</v>
      </c>
      <c r="F1195" t="s">
        <v>2892</v>
      </c>
      <c r="G1195" t="str">
        <f t="shared" si="18"/>
        <v>HUCKLEBERRY MINE</v>
      </c>
      <c r="H1195" t="s">
        <v>2860</v>
      </c>
      <c r="I1195">
        <v>1056</v>
      </c>
      <c r="K1195" t="s">
        <v>2893</v>
      </c>
      <c r="L1195">
        <v>2023</v>
      </c>
      <c r="M1195" t="s">
        <v>2863</v>
      </c>
      <c r="N1195" t="s">
        <v>2894</v>
      </c>
      <c r="O1195" t="s">
        <v>2865</v>
      </c>
      <c r="R1195" t="s">
        <v>36</v>
      </c>
      <c r="S1195" t="s">
        <v>37</v>
      </c>
      <c r="T1195" t="s">
        <v>2895</v>
      </c>
      <c r="U1195" t="s">
        <v>39</v>
      </c>
      <c r="W1195" t="s">
        <v>40</v>
      </c>
      <c r="X1195" t="s">
        <v>257</v>
      </c>
      <c r="Y1195" t="s">
        <v>358</v>
      </c>
    </row>
    <row r="1196" spans="1:28" x14ac:dyDescent="0.2">
      <c r="A1196">
        <v>53.711883</v>
      </c>
      <c r="B1196">
        <v>-127.26224999999999</v>
      </c>
      <c r="C1196" t="s">
        <v>204</v>
      </c>
      <c r="D1196" t="s">
        <v>2896</v>
      </c>
      <c r="E1196">
        <v>5</v>
      </c>
      <c r="F1196" t="s">
        <v>2897</v>
      </c>
      <c r="G1196" t="str">
        <f t="shared" si="18"/>
        <v>LOWER MOUNT SWEENEY TBRG</v>
      </c>
      <c r="H1196" t="s">
        <v>2860</v>
      </c>
      <c r="I1196">
        <v>991</v>
      </c>
      <c r="K1196" t="s">
        <v>2898</v>
      </c>
      <c r="L1196" s="75" t="s">
        <v>1077</v>
      </c>
      <c r="M1196" t="s">
        <v>2863</v>
      </c>
      <c r="N1196" t="s">
        <v>2899</v>
      </c>
      <c r="O1196" t="s">
        <v>2865</v>
      </c>
      <c r="R1196" t="s">
        <v>36</v>
      </c>
      <c r="T1196" t="s">
        <v>38</v>
      </c>
    </row>
    <row r="1197" spans="1:28" x14ac:dyDescent="0.2">
      <c r="A1197">
        <v>53.753349999999998</v>
      </c>
      <c r="B1197">
        <v>-126.893817</v>
      </c>
      <c r="C1197" t="s">
        <v>29</v>
      </c>
      <c r="D1197" t="s">
        <v>2900</v>
      </c>
      <c r="E1197">
        <v>4</v>
      </c>
      <c r="F1197" t="s">
        <v>2901</v>
      </c>
      <c r="G1197" t="str">
        <f t="shared" si="18"/>
        <v>MOSQUITO HILL TBRG</v>
      </c>
      <c r="H1197" t="s">
        <v>2860</v>
      </c>
      <c r="I1197">
        <v>1070</v>
      </c>
      <c r="K1197" t="s">
        <v>2902</v>
      </c>
      <c r="L1197" s="75" t="s">
        <v>1077</v>
      </c>
      <c r="M1197" t="s">
        <v>2863</v>
      </c>
      <c r="N1197" t="s">
        <v>2903</v>
      </c>
      <c r="O1197" t="s">
        <v>2865</v>
      </c>
      <c r="R1197" t="s">
        <v>36</v>
      </c>
      <c r="T1197" t="s">
        <v>38</v>
      </c>
    </row>
    <row r="1198" spans="1:28" x14ac:dyDescent="0.2">
      <c r="A1198">
        <v>53.902388999999999</v>
      </c>
      <c r="B1198">
        <v>-126.96594399999999</v>
      </c>
      <c r="C1198" t="s">
        <v>29</v>
      </c>
      <c r="D1198" t="s">
        <v>2904</v>
      </c>
      <c r="E1198">
        <v>2</v>
      </c>
      <c r="F1198" t="s">
        <v>2905</v>
      </c>
      <c r="G1198" t="str">
        <f t="shared" si="18"/>
        <v>NADINA SPAWNING CHANNEL TBRG</v>
      </c>
      <c r="H1198" t="s">
        <v>2860</v>
      </c>
      <c r="I1198">
        <v>916</v>
      </c>
      <c r="K1198" t="s">
        <v>2906</v>
      </c>
      <c r="L1198" s="75" t="s">
        <v>1077</v>
      </c>
      <c r="M1198" t="s">
        <v>2863</v>
      </c>
      <c r="N1198" t="s">
        <v>2907</v>
      </c>
      <c r="O1198" t="s">
        <v>2865</v>
      </c>
      <c r="R1198" t="s">
        <v>36</v>
      </c>
      <c r="T1198" t="s">
        <v>38</v>
      </c>
    </row>
    <row r="1199" spans="1:28" x14ac:dyDescent="0.2">
      <c r="A1199">
        <v>53.902500000000003</v>
      </c>
      <c r="B1199">
        <v>-126.9661</v>
      </c>
      <c r="C1199" t="s">
        <v>29</v>
      </c>
      <c r="D1199" t="s">
        <v>2904</v>
      </c>
      <c r="E1199">
        <v>2</v>
      </c>
      <c r="F1199" t="s">
        <v>2908</v>
      </c>
      <c r="G1199" t="str">
        <f t="shared" si="18"/>
        <v>NADINA SPAWNING CHANNEL WEATHER STATION</v>
      </c>
      <c r="H1199" t="s">
        <v>2860</v>
      </c>
      <c r="I1199">
        <v>917</v>
      </c>
      <c r="K1199" t="s">
        <v>2909</v>
      </c>
      <c r="L1199" s="75" t="s">
        <v>1231</v>
      </c>
      <c r="M1199" t="s">
        <v>2863</v>
      </c>
      <c r="N1199" t="s">
        <v>2910</v>
      </c>
      <c r="R1199" t="s">
        <v>36</v>
      </c>
      <c r="S1199" t="s">
        <v>37</v>
      </c>
      <c r="T1199" t="s">
        <v>2911</v>
      </c>
      <c r="U1199" t="s">
        <v>39</v>
      </c>
      <c r="W1199" t="s">
        <v>40</v>
      </c>
      <c r="X1199" t="s">
        <v>257</v>
      </c>
      <c r="Y1199" t="s">
        <v>358</v>
      </c>
      <c r="Z1199" t="s">
        <v>448</v>
      </c>
    </row>
    <row r="1200" spans="1:28" x14ac:dyDescent="0.2">
      <c r="A1200">
        <v>54.024444000000003</v>
      </c>
      <c r="B1200">
        <v>-123.093333</v>
      </c>
      <c r="C1200" t="s">
        <v>272</v>
      </c>
      <c r="D1200" t="s">
        <v>2912</v>
      </c>
      <c r="E1200">
        <v>2</v>
      </c>
      <c r="F1200" t="s">
        <v>2913</v>
      </c>
      <c r="G1200" t="str">
        <f t="shared" si="18"/>
        <v>NESS LAKE</v>
      </c>
      <c r="H1200" t="s">
        <v>2860</v>
      </c>
      <c r="I1200">
        <v>763</v>
      </c>
      <c r="K1200" t="s">
        <v>2914</v>
      </c>
      <c r="L1200" t="s">
        <v>2915</v>
      </c>
      <c r="M1200" t="s">
        <v>2863</v>
      </c>
      <c r="N1200" t="s">
        <v>2864</v>
      </c>
      <c r="O1200" t="s">
        <v>2865</v>
      </c>
      <c r="R1200" t="s">
        <v>36</v>
      </c>
      <c r="S1200" t="s">
        <v>37</v>
      </c>
      <c r="T1200" t="s">
        <v>38</v>
      </c>
      <c r="U1200" t="s">
        <v>39</v>
      </c>
      <c r="W1200" t="s">
        <v>40</v>
      </c>
      <c r="X1200" t="s">
        <v>257</v>
      </c>
      <c r="Y1200" t="s">
        <v>358</v>
      </c>
    </row>
    <row r="1201" spans="1:28" x14ac:dyDescent="0.2">
      <c r="A1201">
        <v>53.913400000000003</v>
      </c>
      <c r="B1201">
        <v>-124.1516</v>
      </c>
      <c r="C1201" t="s">
        <v>29</v>
      </c>
      <c r="D1201" t="s">
        <v>2916</v>
      </c>
      <c r="E1201">
        <v>1</v>
      </c>
      <c r="F1201" t="s">
        <v>2917</v>
      </c>
      <c r="G1201" t="str">
        <f t="shared" si="18"/>
        <v>NULKI LAKE WEATHER STATION</v>
      </c>
      <c r="H1201" t="s">
        <v>2860</v>
      </c>
      <c r="I1201">
        <v>720</v>
      </c>
      <c r="K1201" t="s">
        <v>2918</v>
      </c>
      <c r="L1201" s="75" t="s">
        <v>1231</v>
      </c>
      <c r="M1201" t="s">
        <v>2863</v>
      </c>
      <c r="N1201" t="s">
        <v>2919</v>
      </c>
      <c r="R1201" t="s">
        <v>36</v>
      </c>
      <c r="S1201" t="s">
        <v>37</v>
      </c>
      <c r="T1201" t="s">
        <v>1047</v>
      </c>
      <c r="U1201" t="s">
        <v>39</v>
      </c>
      <c r="W1201" t="s">
        <v>40</v>
      </c>
      <c r="X1201" t="s">
        <v>257</v>
      </c>
      <c r="Y1201" t="s">
        <v>358</v>
      </c>
      <c r="Z1201" t="s">
        <v>448</v>
      </c>
      <c r="AB1201" t="s">
        <v>2886</v>
      </c>
    </row>
    <row r="1202" spans="1:28" x14ac:dyDescent="0.2">
      <c r="A1202">
        <v>54.512804000000003</v>
      </c>
      <c r="B1202">
        <v>-128.60533699999999</v>
      </c>
      <c r="C1202" t="s">
        <v>204</v>
      </c>
      <c r="D1202" t="s">
        <v>2920</v>
      </c>
      <c r="E1202">
        <v>4</v>
      </c>
      <c r="F1202" t="s">
        <v>2921</v>
      </c>
      <c r="G1202" t="str">
        <f t="shared" si="18"/>
        <v>TERRACE UNBC</v>
      </c>
      <c r="H1202" t="s">
        <v>2860</v>
      </c>
      <c r="I1202">
        <v>64</v>
      </c>
      <c r="K1202" t="s">
        <v>2922</v>
      </c>
      <c r="L1202" s="75" t="s">
        <v>1077</v>
      </c>
      <c r="M1202" t="s">
        <v>2863</v>
      </c>
      <c r="N1202" t="s">
        <v>2864</v>
      </c>
      <c r="O1202" t="s">
        <v>2865</v>
      </c>
      <c r="R1202" t="s">
        <v>36</v>
      </c>
      <c r="S1202" t="s">
        <v>37</v>
      </c>
      <c r="T1202" t="s">
        <v>38</v>
      </c>
      <c r="W1202" t="s">
        <v>40</v>
      </c>
      <c r="X1202" t="s">
        <v>257</v>
      </c>
      <c r="Y1202" t="s">
        <v>392</v>
      </c>
    </row>
    <row r="1203" spans="1:28" x14ac:dyDescent="0.2">
      <c r="A1203">
        <v>52.487499999999997</v>
      </c>
      <c r="B1203">
        <v>-121.284167</v>
      </c>
      <c r="C1203" t="s">
        <v>61</v>
      </c>
      <c r="D1203" t="s">
        <v>2923</v>
      </c>
      <c r="E1203">
        <v>1</v>
      </c>
      <c r="F1203" t="s">
        <v>2924</v>
      </c>
      <c r="G1203" t="str">
        <f t="shared" si="18"/>
        <v>PLATO POINT</v>
      </c>
      <c r="H1203" t="s">
        <v>2860</v>
      </c>
      <c r="I1203">
        <v>728</v>
      </c>
      <c r="K1203" t="s">
        <v>2925</v>
      </c>
      <c r="L1203" t="s">
        <v>2926</v>
      </c>
      <c r="M1203" t="s">
        <v>2863</v>
      </c>
      <c r="N1203" t="s">
        <v>2864</v>
      </c>
      <c r="O1203" t="s">
        <v>2865</v>
      </c>
      <c r="R1203" t="s">
        <v>36</v>
      </c>
      <c r="S1203" t="s">
        <v>37</v>
      </c>
      <c r="W1203" t="s">
        <v>40</v>
      </c>
      <c r="X1203" t="s">
        <v>257</v>
      </c>
      <c r="Y1203" t="s">
        <v>358</v>
      </c>
    </row>
    <row r="1204" spans="1:28" x14ac:dyDescent="0.2">
      <c r="A1204">
        <v>52.618333</v>
      </c>
      <c r="B1204">
        <v>-121.59</v>
      </c>
      <c r="C1204" t="s">
        <v>29</v>
      </c>
      <c r="D1204" t="s">
        <v>2927</v>
      </c>
      <c r="E1204">
        <v>1</v>
      </c>
      <c r="F1204" t="s">
        <v>2928</v>
      </c>
      <c r="G1204" t="str">
        <f t="shared" si="18"/>
        <v xml:space="preserve">QRRC </v>
      </c>
      <c r="H1204" t="s">
        <v>2860</v>
      </c>
      <c r="I1204">
        <v>744</v>
      </c>
      <c r="K1204" t="s">
        <v>2929</v>
      </c>
      <c r="L1204" t="s">
        <v>2930</v>
      </c>
      <c r="M1204" t="s">
        <v>2863</v>
      </c>
      <c r="N1204" t="s">
        <v>2864</v>
      </c>
      <c r="O1204" t="s">
        <v>2865</v>
      </c>
      <c r="R1204" t="s">
        <v>36</v>
      </c>
      <c r="S1204" t="s">
        <v>37</v>
      </c>
      <c r="T1204" t="s">
        <v>689</v>
      </c>
      <c r="U1204" t="s">
        <v>39</v>
      </c>
      <c r="W1204" t="s">
        <v>40</v>
      </c>
      <c r="X1204" t="s">
        <v>257</v>
      </c>
      <c r="Y1204" t="s">
        <v>392</v>
      </c>
    </row>
    <row r="1205" spans="1:28" x14ac:dyDescent="0.2">
      <c r="A1205">
        <v>53.544722</v>
      </c>
      <c r="B1205">
        <v>-124.276667</v>
      </c>
      <c r="C1205" t="s">
        <v>29</v>
      </c>
      <c r="D1205" t="s">
        <v>2931</v>
      </c>
      <c r="E1205">
        <v>2</v>
      </c>
      <c r="F1205" t="s">
        <v>2932</v>
      </c>
      <c r="G1205" t="str">
        <f t="shared" si="18"/>
        <v>TATUK LAKE</v>
      </c>
      <c r="H1205" t="s">
        <v>2860</v>
      </c>
      <c r="I1205">
        <v>938</v>
      </c>
      <c r="K1205" t="s">
        <v>2933</v>
      </c>
      <c r="L1205" t="s">
        <v>2934</v>
      </c>
      <c r="M1205" t="s">
        <v>2863</v>
      </c>
      <c r="N1205" t="s">
        <v>2864</v>
      </c>
      <c r="O1205" t="s">
        <v>2865</v>
      </c>
      <c r="R1205" t="s">
        <v>36</v>
      </c>
      <c r="S1205" t="s">
        <v>37</v>
      </c>
      <c r="T1205" t="s">
        <v>38</v>
      </c>
      <c r="U1205" t="s">
        <v>39</v>
      </c>
      <c r="W1205" t="s">
        <v>40</v>
      </c>
      <c r="X1205" t="s">
        <v>257</v>
      </c>
      <c r="Y1205" t="s">
        <v>358</v>
      </c>
    </row>
    <row r="1206" spans="1:28" x14ac:dyDescent="0.2">
      <c r="A1206">
        <v>52.489400000000003</v>
      </c>
      <c r="B1206">
        <v>-121.42910000000001</v>
      </c>
      <c r="C1206" t="s">
        <v>2935</v>
      </c>
      <c r="D1206" t="s">
        <v>2936</v>
      </c>
      <c r="E1206">
        <v>1</v>
      </c>
      <c r="F1206" t="s">
        <v>2937</v>
      </c>
      <c r="G1206" t="str">
        <f t="shared" si="18"/>
        <v>WEST ARM STATION</v>
      </c>
      <c r="H1206" t="s">
        <v>2860</v>
      </c>
      <c r="I1206">
        <v>718</v>
      </c>
      <c r="K1206" t="s">
        <v>2938</v>
      </c>
      <c r="L1206" t="s">
        <v>1231</v>
      </c>
      <c r="M1206" t="s">
        <v>2863</v>
      </c>
      <c r="N1206" t="s">
        <v>2864</v>
      </c>
      <c r="R1206" t="s">
        <v>36</v>
      </c>
      <c r="S1206" t="s">
        <v>37</v>
      </c>
      <c r="T1206" t="s">
        <v>1047</v>
      </c>
      <c r="W1206" t="s">
        <v>40</v>
      </c>
      <c r="X1206" t="s">
        <v>257</v>
      </c>
      <c r="Y1206" t="s">
        <v>358</v>
      </c>
      <c r="AB1206" t="s">
        <v>2886</v>
      </c>
    </row>
  </sheetData>
  <autoFilter ref="A1:AC1206" xr:uid="{09F1CAF1-6E30-4DE7-A011-930F7EC63AF5}">
    <sortState xmlns:xlrd2="http://schemas.microsoft.com/office/spreadsheetml/2017/richdata2" ref="A2:AC1204">
      <sortCondition ref="H2:H1204"/>
      <sortCondition ref="D2:D1204"/>
    </sortState>
  </autoFilter>
  <sortState xmlns:xlrd2="http://schemas.microsoft.com/office/spreadsheetml/2017/richdata2" ref="A2:AC1206">
    <sortCondition ref="H2:H1206"/>
    <sortCondition ref="D2:D1206"/>
  </sortState>
  <conditionalFormatting sqref="H245 P245:Q325 H267:H268 H277 H281 H284:H285 H288 H292 H298:H299 H301:H312 H315:H318 H320:H326 H328 H331 O785:O888 Q785:Q888 H886:H1050">
    <cfRule type="endsWith" dxfId="9" priority="15" operator="endsWith" text=" ">
      <formula>RIGHT(H245,LEN(" "))=" "</formula>
    </cfRule>
    <cfRule type="beginsWith" dxfId="8" priority="16" operator="beginsWith" text=" ">
      <formula>LEFT(H245,LEN(" "))=" "</formula>
    </cfRule>
  </conditionalFormatting>
  <conditionalFormatting sqref="P330:Q566 H333:H566 H568:H577 P568:Q577">
    <cfRule type="endsWith" dxfId="7" priority="5" operator="endsWith" text=" ">
      <formula>RIGHT(H330,LEN(" "))=" "</formula>
    </cfRule>
    <cfRule type="beginsWith" dxfId="6" priority="6" operator="beginsWith" text=" ">
      <formula>LEFT(H330,LEN(" "))=" "</formula>
    </cfRule>
  </conditionalFormatting>
  <hyperlinks>
    <hyperlink ref="O317:O327" r:id="rId1" display="https://datagarrison.com/users/300234062103550/300234065724550/plots.php" xr:uid="{4BFC12F7-8571-40FB-AE8F-F9C02A13A2C6}"/>
    <hyperlink ref="O330:O331" r:id="rId2" display="https://datagarrison.com/users/300234062103550/300234065724550/plots.php" xr:uid="{C001515A-5906-455E-9CD8-25CD4572F97D}"/>
    <hyperlink ref="O333:O335" r:id="rId3" display="https://datagarrison.com/users/300234062103550/300234065724550/plots.php" xr:uid="{91EB1DB6-7782-4143-96D5-90979B689F5D}"/>
    <hyperlink ref="O126" r:id="rId4" xr:uid="{94EE5C26-9E5E-41E0-9B80-12C8890D5E39}"/>
    <hyperlink ref="O15:O73" r:id="rId5" display="www.BCAirquality.ca" xr:uid="{A22C2199-1382-4FEE-B073-321C86CA1C45}"/>
    <hyperlink ref="O2" r:id="rId6" xr:uid="{3DAD3FB3-1FEA-40C1-9846-8723606D3749}"/>
    <hyperlink ref="O2:O13" r:id="rId7" display="https://bcagriweather.ca/" xr:uid="{24F003BC-11B8-4B9D-BBE9-4727BACF4F08}"/>
    <hyperlink ref="O164" r:id="rId8" xr:uid="{3BA6C73D-3069-46B6-9E40-3B5891725AAB}"/>
    <hyperlink ref="O168" r:id="rId9" xr:uid="{D06EBBF4-E3DA-4107-86C8-0A6CE1313972}"/>
    <hyperlink ref="O170" r:id="rId10" xr:uid="{098A653C-A1FA-45EB-800A-3D2EF43D8002}"/>
    <hyperlink ref="O171" r:id="rId11" xr:uid="{A6852413-C3AF-4DD8-9552-3BF65029D3D3}"/>
    <hyperlink ref="O172" r:id="rId12" xr:uid="{8E0FF249-1559-4CE5-B067-A1FE53B04FFB}"/>
    <hyperlink ref="O182" r:id="rId13" xr:uid="{9F635451-FF64-4644-8F58-F9ACD6255CC8}"/>
    <hyperlink ref="O188" r:id="rId14" xr:uid="{817BC5D6-F952-4DBB-9FF6-715618C5673B}"/>
    <hyperlink ref="O190" r:id="rId15" xr:uid="{5EB710E8-F56E-4FA5-8E05-22C345E38B12}"/>
    <hyperlink ref="O189" r:id="rId16" xr:uid="{AC357C8D-0877-40BC-BE17-852EFB666168}"/>
    <hyperlink ref="O212" r:id="rId17" xr:uid="{5C218B55-BE63-4AA5-9C98-69A06C8038CE}"/>
    <hyperlink ref="O222" r:id="rId18" xr:uid="{9179D565-F87F-4503-B87E-8EC4A1233D00}"/>
    <hyperlink ref="O206" r:id="rId19" xr:uid="{93D4B5E7-B789-4B58-A804-F7F05FEC853E}"/>
    <hyperlink ref="O223" r:id="rId20" xr:uid="{B487AF0B-C769-413D-BD22-22D5628EA8D5}"/>
    <hyperlink ref="O304:O308" r:id="rId21" display="https://doi.org/10.5281/zenodo.5520109" xr:uid="{B4AB838C-5065-4E83-BF68-C731650EECFA}"/>
    <hyperlink ref="O225" r:id="rId22" xr:uid="{5857C8B4-9E2D-44A7-B672-DB08CF0F4EA2}"/>
    <hyperlink ref="O528:O532" r:id="rId23" display="https://prdoas6.pub-apps.th.gov.bc.ca/saw-paws/weatherstation" xr:uid="{146158DB-C32F-41A8-94FF-9EE8F80D446A}"/>
    <hyperlink ref="O624" r:id="rId24" display="https://prdoas6.pub-apps.th.gov.bc.ca/saw-paws/weatherstation" xr:uid="{ED17468F-5BE7-41EA-A184-19B313D2DFD9}"/>
    <hyperlink ref="O652" r:id="rId25" display="https://prdoas6.pub-apps.th.gov.bc.ca/saw-paws/weatherstation" xr:uid="{9C5CB866-41C7-4703-97C0-DBC2CB5D317E}"/>
    <hyperlink ref="O654" r:id="rId26" display="https://prdoas6.pub-apps.th.gov.bc.ca/saw-paws/weatherstation" xr:uid="{1AE0A7A4-ABF4-4032-872C-D7296A0D97F3}"/>
    <hyperlink ref="O606" r:id="rId27" display="https://prdoas6.pub-apps.th.gov.bc.ca/saw-paws/weatherstation" xr:uid="{9123FB6E-8B9C-4FE1-A986-24267114D3E3}"/>
    <hyperlink ref="O630" r:id="rId28" display="https://prdoas6.pub-apps.th.gov.bc.ca/saw-paws/weatherstation" xr:uid="{D81DE08B-06AF-44F9-8BE4-C6C3A105C4D1}"/>
    <hyperlink ref="O638" r:id="rId29" display="https://prdoas6.pub-apps.th.gov.bc.ca/saw-paws/weatherstation" xr:uid="{1913521A-BF09-4AEF-AFA2-EFAFCC41A323}"/>
    <hyperlink ref="O513" r:id="rId30" xr:uid="{40A4EF03-13E3-4AF5-8D75-D6A6A6F98136}"/>
    <hyperlink ref="O508" r:id="rId31" xr:uid="{AE240862-D294-4EB2-8866-D38AA5429756}"/>
    <hyperlink ref="O520" r:id="rId32" xr:uid="{DFF02C4F-EF50-4734-A58C-2B1366826782}"/>
    <hyperlink ref="O545" r:id="rId33" xr:uid="{7BD70914-1510-4846-8ECB-DED80BF5F742}"/>
    <hyperlink ref="O562" r:id="rId34" xr:uid="{135EE1D0-9E9C-4E13-BA51-E7457869BE5A}"/>
    <hyperlink ref="O556" r:id="rId35" xr:uid="{3FA92AE8-8782-419F-914B-60DE50CAE4CB}"/>
    <hyperlink ref="O547" r:id="rId36" xr:uid="{2A4EB1A5-8D8B-4F79-8146-40D082680695}"/>
    <hyperlink ref="O549" r:id="rId37" xr:uid="{DACC3360-2487-49BA-B161-4DAA13DEF135}"/>
    <hyperlink ref="O492" r:id="rId38" xr:uid="{F6C8944F-5E39-4311-9A96-7B8C1F362FDF}"/>
    <hyperlink ref="O569" r:id="rId39" display="www.BCAirquality.ca" xr:uid="{780EE52A-1C5A-4300-888E-793105132456}"/>
    <hyperlink ref="O163" r:id="rId40" xr:uid="{B4AFC170-C112-4E08-94A7-2A9F5985E081}"/>
    <hyperlink ref="M1055" r:id="rId41" display="David.tavernini@pc.gc.ca" xr:uid="{5351B3E9-3243-4412-A1F1-C7639377CF2F}"/>
    <hyperlink ref="M1054" r:id="rId42" display="David.tavernini@pc.gc.ca" xr:uid="{F04D53A6-C29A-46F6-85F1-B7CDF0CBCD98}"/>
    <hyperlink ref="M1058" r:id="rId43" display="David.tavernini@pc.gc.ca" xr:uid="{F921F914-AE00-4A99-929B-3F05E57E4475}"/>
    <hyperlink ref="M1056" r:id="rId44" display="David.tavernini@pc.gc.ca" xr:uid="{F6B29E44-D75A-4A5C-9985-D839E9142F0F}"/>
    <hyperlink ref="O571" r:id="rId45" xr:uid="{28C6F8EF-1460-4CC0-97E2-5E16F35BE489}"/>
    <hyperlink ref="O216" r:id="rId46" xr:uid="{C5D203D0-41DB-4DF8-A489-895351A38236}"/>
    <hyperlink ref="O224" r:id="rId47" xr:uid="{D4F96A30-2858-40A4-93BF-DAA5EFB4D31F}"/>
    <hyperlink ref="O27" r:id="rId48" xr:uid="{756DA33A-76F9-4272-8DBD-CAA83C12FCEF}"/>
    <hyperlink ref="O28" r:id="rId49" xr:uid="{6CB9C185-5B40-4BE2-9948-DD4F0DAFB67E}"/>
    <hyperlink ref="O29" r:id="rId50" xr:uid="{72CBCA5C-228D-4C58-B10C-15673DF46DC9}"/>
    <hyperlink ref="O30" r:id="rId51" xr:uid="{665FBD4D-03B9-4083-AF68-AB02448ADE11}"/>
    <hyperlink ref="O37" r:id="rId52" xr:uid="{022AAF94-19EA-429E-B625-243D90190099}"/>
    <hyperlink ref="O38" r:id="rId53" xr:uid="{DA1EFAC3-632B-4BD0-87CF-7C27FBEC48E8}"/>
    <hyperlink ref="O39" r:id="rId54" xr:uid="{90A1A110-D95D-4D59-BDFE-39A48A962778}"/>
    <hyperlink ref="O40" r:id="rId55" xr:uid="{FFC9FB88-4139-4464-B680-78982BFB8898}"/>
    <hyperlink ref="O1096:O1100" r:id="rId56" display="https://bcagriweather.ca/" xr:uid="{5B7AB7DE-CD1A-4D8C-BC3D-CAC39AF73891}"/>
    <hyperlink ref="O80" r:id="rId57" xr:uid="{A3729E52-D4DF-43D3-ADAF-CB6494F462C2}"/>
    <hyperlink ref="O17" r:id="rId58" xr:uid="{3184B93C-32E6-4ECC-B821-748CFFF922F5}"/>
    <hyperlink ref="O69" r:id="rId59" xr:uid="{C4DAC42D-FFFD-435B-B698-47068FECCACC}"/>
    <hyperlink ref="O78" r:id="rId60" xr:uid="{634C13E8-2F74-4B0A-A7EB-4C4257A94B41}"/>
    <hyperlink ref="O778" r:id="rId61" xr:uid="{9BCBB549-BCFA-40D8-9D0B-FFA7CDC10F9E}"/>
  </hyperlinks>
  <pageMargins left="0.7" right="0.7" top="0.75" bottom="0.75" header="0.3" footer="0.3"/>
  <pageSetup orientation="portrait" r:id="rId62"/>
  <legacyDrawing r:id="rId6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3A06-16FC-4383-9F1C-88C4F6A3B54D}">
  <dimension ref="A1:G34"/>
  <sheetViews>
    <sheetView workbookViewId="0"/>
  </sheetViews>
  <sheetFormatPr baseColWidth="10" defaultColWidth="9.1640625" defaultRowHeight="15" x14ac:dyDescent="0.2"/>
  <cols>
    <col min="1" max="1" width="23" style="1" customWidth="1"/>
    <col min="2" max="2" width="18.83203125" style="17" customWidth="1"/>
    <col min="3" max="3" width="17.6640625" style="17" customWidth="1"/>
    <col min="4" max="4" width="27.6640625" style="17" customWidth="1"/>
    <col min="5" max="5" width="10.5" style="17" customWidth="1"/>
    <col min="6" max="6" width="41.6640625" style="74" customWidth="1"/>
    <col min="7" max="7" width="38.5" style="17" customWidth="1"/>
    <col min="8" max="16384" width="9.1640625" style="17"/>
  </cols>
  <sheetData>
    <row r="1" spans="1:7" s="3" customFormat="1" x14ac:dyDescent="0.2">
      <c r="A1" s="2"/>
      <c r="E1" s="101" t="s">
        <v>2939</v>
      </c>
      <c r="F1" s="102"/>
      <c r="G1" s="102"/>
    </row>
    <row r="2" spans="1:7" s="10" customFormat="1" ht="33" thickBot="1" x14ac:dyDescent="0.25">
      <c r="A2" s="4"/>
      <c r="B2" s="5" t="s">
        <v>2940</v>
      </c>
      <c r="C2" s="6" t="s">
        <v>2941</v>
      </c>
      <c r="D2" s="7" t="s">
        <v>2942</v>
      </c>
      <c r="E2" s="8" t="s">
        <v>2943</v>
      </c>
      <c r="F2" s="9" t="s">
        <v>2944</v>
      </c>
      <c r="G2" s="10" t="s">
        <v>2945</v>
      </c>
    </row>
    <row r="3" spans="1:7" ht="16" x14ac:dyDescent="0.2">
      <c r="A3" s="103" t="s">
        <v>17</v>
      </c>
      <c r="B3" s="11" t="s">
        <v>36</v>
      </c>
      <c r="C3" s="12"/>
      <c r="D3" s="13" t="s">
        <v>2946</v>
      </c>
      <c r="E3" s="14" t="s">
        <v>2947</v>
      </c>
      <c r="F3" s="15" t="s">
        <v>2946</v>
      </c>
      <c r="G3" s="16"/>
    </row>
    <row r="4" spans="1:7" ht="16" x14ac:dyDescent="0.2">
      <c r="A4" s="104"/>
      <c r="B4" s="109" t="s">
        <v>2948</v>
      </c>
      <c r="C4" s="111"/>
      <c r="D4" s="107" t="s">
        <v>2949</v>
      </c>
      <c r="E4" s="21" t="s">
        <v>2950</v>
      </c>
      <c r="F4" s="22" t="s">
        <v>2951</v>
      </c>
      <c r="G4" s="23"/>
    </row>
    <row r="5" spans="1:7" ht="17" thickBot="1" x14ac:dyDescent="0.25">
      <c r="A5" s="105"/>
      <c r="B5" s="110"/>
      <c r="C5" s="112"/>
      <c r="D5" s="108"/>
      <c r="E5" s="27" t="s">
        <v>2952</v>
      </c>
      <c r="F5" s="28" t="s">
        <v>2953</v>
      </c>
      <c r="G5" s="29"/>
    </row>
    <row r="6" spans="1:7" ht="17" thickBot="1" x14ac:dyDescent="0.25">
      <c r="A6" s="1" t="s">
        <v>18</v>
      </c>
      <c r="B6" s="30" t="s">
        <v>37</v>
      </c>
      <c r="C6" s="3"/>
      <c r="D6" s="31" t="s">
        <v>2954</v>
      </c>
      <c r="E6" s="32" t="s">
        <v>2955</v>
      </c>
      <c r="F6" s="33" t="s">
        <v>18</v>
      </c>
    </row>
    <row r="7" spans="1:7" ht="16" x14ac:dyDescent="0.2">
      <c r="A7" s="103" t="s">
        <v>19</v>
      </c>
      <c r="B7" s="11" t="s">
        <v>2956</v>
      </c>
      <c r="C7" s="12"/>
      <c r="D7" s="13" t="s">
        <v>19</v>
      </c>
      <c r="E7" s="14" t="s">
        <v>2957</v>
      </c>
      <c r="F7" s="15" t="s">
        <v>19</v>
      </c>
      <c r="G7" s="34" t="s">
        <v>2958</v>
      </c>
    </row>
    <row r="8" spans="1:7" ht="32" x14ac:dyDescent="0.2">
      <c r="A8" s="104"/>
      <c r="B8" s="35" t="s">
        <v>255</v>
      </c>
      <c r="C8" s="36"/>
      <c r="D8" s="37"/>
      <c r="E8" s="38"/>
      <c r="F8" s="39" t="s">
        <v>2959</v>
      </c>
      <c r="G8" s="40" t="s">
        <v>2960</v>
      </c>
    </row>
    <row r="9" spans="1:7" ht="16" x14ac:dyDescent="0.2">
      <c r="A9" s="104"/>
      <c r="B9" s="35" t="s">
        <v>695</v>
      </c>
      <c r="C9" s="36"/>
      <c r="D9" s="37"/>
      <c r="E9" s="38"/>
      <c r="F9" s="39" t="s">
        <v>2961</v>
      </c>
      <c r="G9" s="40" t="s">
        <v>2962</v>
      </c>
    </row>
    <row r="10" spans="1:7" ht="16" x14ac:dyDescent="0.2">
      <c r="A10" s="104"/>
      <c r="B10" s="35" t="s">
        <v>2963</v>
      </c>
      <c r="C10" s="36"/>
      <c r="D10" s="37"/>
      <c r="E10" s="38"/>
      <c r="F10" s="39" t="s">
        <v>2964</v>
      </c>
      <c r="G10" s="40" t="s">
        <v>2965</v>
      </c>
    </row>
    <row r="11" spans="1:7" ht="16" x14ac:dyDescent="0.2">
      <c r="A11" s="104"/>
      <c r="B11" s="35" t="s">
        <v>1491</v>
      </c>
      <c r="C11" s="36"/>
      <c r="D11" s="37"/>
      <c r="E11" s="38"/>
      <c r="F11" s="39" t="s">
        <v>2966</v>
      </c>
      <c r="G11" s="40" t="s">
        <v>2967</v>
      </c>
    </row>
    <row r="12" spans="1:7" ht="32" x14ac:dyDescent="0.2">
      <c r="A12" s="104"/>
      <c r="B12" s="35" t="s">
        <v>38</v>
      </c>
      <c r="C12" s="36"/>
      <c r="D12" s="37"/>
      <c r="E12" s="38"/>
      <c r="F12" s="39" t="s">
        <v>2968</v>
      </c>
      <c r="G12" s="40" t="s">
        <v>2969</v>
      </c>
    </row>
    <row r="13" spans="1:7" ht="32" x14ac:dyDescent="0.2">
      <c r="A13" s="104"/>
      <c r="B13" s="41" t="s">
        <v>2970</v>
      </c>
      <c r="C13" s="42"/>
      <c r="D13" s="43"/>
      <c r="E13" s="44"/>
      <c r="F13" s="45" t="s">
        <v>2971</v>
      </c>
      <c r="G13" s="23"/>
    </row>
    <row r="14" spans="1:7" ht="17" thickBot="1" x14ac:dyDescent="0.25">
      <c r="A14" s="105"/>
      <c r="B14" s="46" t="s">
        <v>2972</v>
      </c>
      <c r="C14" s="47"/>
      <c r="D14" s="48"/>
      <c r="E14" s="49"/>
      <c r="F14" s="50" t="s">
        <v>2973</v>
      </c>
      <c r="G14" s="29" t="s">
        <v>2974</v>
      </c>
    </row>
    <row r="15" spans="1:7" ht="17" thickBot="1" x14ac:dyDescent="0.25">
      <c r="A15" s="1" t="s">
        <v>20</v>
      </c>
      <c r="B15" s="30" t="s">
        <v>39</v>
      </c>
      <c r="C15" s="3"/>
      <c r="D15" s="31" t="s">
        <v>2975</v>
      </c>
      <c r="E15" s="32" t="s">
        <v>39</v>
      </c>
      <c r="F15" s="33" t="s">
        <v>2976</v>
      </c>
    </row>
    <row r="16" spans="1:7" ht="16" x14ac:dyDescent="0.2">
      <c r="A16" s="103" t="s">
        <v>21</v>
      </c>
      <c r="B16" s="11" t="s">
        <v>2977</v>
      </c>
      <c r="C16" s="12"/>
      <c r="D16" s="13" t="s">
        <v>2978</v>
      </c>
      <c r="E16" s="14" t="s">
        <v>2979</v>
      </c>
      <c r="F16" s="15" t="s">
        <v>2980</v>
      </c>
      <c r="G16" s="16"/>
    </row>
    <row r="17" spans="1:7" x14ac:dyDescent="0.2">
      <c r="A17" s="104"/>
      <c r="B17" s="18" t="s">
        <v>1323</v>
      </c>
      <c r="C17" s="19"/>
      <c r="D17" s="20"/>
      <c r="E17" s="21"/>
      <c r="F17" s="20" t="s">
        <v>2981</v>
      </c>
      <c r="G17" s="23"/>
    </row>
    <row r="18" spans="1:7" x14ac:dyDescent="0.2">
      <c r="A18" s="104"/>
      <c r="B18" s="18" t="s">
        <v>1043</v>
      </c>
      <c r="C18" s="19"/>
      <c r="D18" s="20"/>
      <c r="E18" s="21"/>
      <c r="F18" s="20" t="s">
        <v>2982</v>
      </c>
      <c r="G18" s="23"/>
    </row>
    <row r="19" spans="1:7" ht="16" thickBot="1" x14ac:dyDescent="0.25">
      <c r="A19" s="105"/>
      <c r="B19" s="24" t="s">
        <v>1101</v>
      </c>
      <c r="C19" s="25"/>
      <c r="D19" s="26"/>
      <c r="E19" s="27"/>
      <c r="F19" s="26" t="s">
        <v>2983</v>
      </c>
      <c r="G19" s="29"/>
    </row>
    <row r="20" spans="1:7" ht="17" thickBot="1" x14ac:dyDescent="0.25">
      <c r="A20" s="1" t="s">
        <v>2984</v>
      </c>
      <c r="B20" s="30" t="s">
        <v>2985</v>
      </c>
      <c r="C20" s="3"/>
      <c r="D20" s="31" t="s">
        <v>2984</v>
      </c>
      <c r="E20" s="32" t="s">
        <v>2986</v>
      </c>
      <c r="F20" s="33" t="s">
        <v>2987</v>
      </c>
      <c r="G20" s="17" t="s">
        <v>2988</v>
      </c>
    </row>
    <row r="21" spans="1:7" ht="33" thickBot="1" x14ac:dyDescent="0.25">
      <c r="A21" s="51" t="s">
        <v>23</v>
      </c>
      <c r="B21" s="52" t="s">
        <v>257</v>
      </c>
      <c r="C21" s="53"/>
      <c r="D21" s="54" t="s">
        <v>23</v>
      </c>
      <c r="E21" s="55" t="s">
        <v>257</v>
      </c>
      <c r="F21" s="56" t="s">
        <v>2989</v>
      </c>
      <c r="G21" s="57"/>
    </row>
    <row r="22" spans="1:7" ht="16" x14ac:dyDescent="0.2">
      <c r="A22" s="99" t="s">
        <v>24</v>
      </c>
      <c r="B22" s="58" t="s">
        <v>358</v>
      </c>
      <c r="C22" s="59"/>
      <c r="D22" s="60" t="s">
        <v>2990</v>
      </c>
      <c r="E22" s="61" t="s">
        <v>2991</v>
      </c>
      <c r="F22" s="62" t="s">
        <v>2992</v>
      </c>
    </row>
    <row r="23" spans="1:7" x14ac:dyDescent="0.2">
      <c r="A23" s="100"/>
      <c r="B23" s="18"/>
      <c r="C23" s="19" t="s">
        <v>2698</v>
      </c>
      <c r="D23" s="20"/>
      <c r="E23" s="21" t="s">
        <v>1205</v>
      </c>
      <c r="F23" s="63" t="s">
        <v>2993</v>
      </c>
    </row>
    <row r="24" spans="1:7" ht="17" thickBot="1" x14ac:dyDescent="0.25">
      <c r="A24" s="106"/>
      <c r="B24" s="64" t="s">
        <v>392</v>
      </c>
      <c r="C24" s="65"/>
      <c r="D24" s="66" t="s">
        <v>2994</v>
      </c>
      <c r="E24" s="67" t="s">
        <v>2995</v>
      </c>
      <c r="F24" s="68" t="s">
        <v>2996</v>
      </c>
    </row>
    <row r="25" spans="1:7" ht="16" x14ac:dyDescent="0.2">
      <c r="A25" s="103" t="s">
        <v>25</v>
      </c>
      <c r="B25" s="11" t="s">
        <v>690</v>
      </c>
      <c r="C25" s="12"/>
      <c r="D25" s="13" t="s">
        <v>2997</v>
      </c>
      <c r="E25" s="14" t="s">
        <v>2998</v>
      </c>
      <c r="F25" s="15" t="s">
        <v>2999</v>
      </c>
      <c r="G25" s="16"/>
    </row>
    <row r="26" spans="1:7" ht="16" x14ac:dyDescent="0.2">
      <c r="A26" s="104"/>
      <c r="B26" s="18" t="s">
        <v>690</v>
      </c>
      <c r="C26" s="19"/>
      <c r="D26" s="20" t="s">
        <v>2997</v>
      </c>
      <c r="E26" s="21" t="s">
        <v>3000</v>
      </c>
      <c r="F26" s="22" t="s">
        <v>3001</v>
      </c>
      <c r="G26" s="23" t="s">
        <v>3002</v>
      </c>
    </row>
    <row r="27" spans="1:7" ht="16" x14ac:dyDescent="0.2">
      <c r="A27" s="104"/>
      <c r="B27" s="18" t="s">
        <v>498</v>
      </c>
      <c r="C27" s="19"/>
      <c r="D27" s="20" t="s">
        <v>2997</v>
      </c>
      <c r="E27" s="21" t="s">
        <v>3003</v>
      </c>
      <c r="F27" s="22" t="s">
        <v>3004</v>
      </c>
      <c r="G27" s="23"/>
    </row>
    <row r="28" spans="1:7" ht="16" x14ac:dyDescent="0.2">
      <c r="A28" s="104"/>
      <c r="B28" s="18" t="s">
        <v>448</v>
      </c>
      <c r="C28" s="19"/>
      <c r="D28" s="20" t="s">
        <v>3005</v>
      </c>
      <c r="E28" s="21" t="s">
        <v>3006</v>
      </c>
      <c r="F28" s="22" t="s">
        <v>3007</v>
      </c>
      <c r="G28" s="23"/>
    </row>
    <row r="29" spans="1:7" ht="17" thickBot="1" x14ac:dyDescent="0.25">
      <c r="A29" s="105"/>
      <c r="B29" s="24"/>
      <c r="C29" s="25" t="s">
        <v>3008</v>
      </c>
      <c r="D29" s="26" t="s">
        <v>2997</v>
      </c>
      <c r="E29" s="27" t="s">
        <v>3009</v>
      </c>
      <c r="F29" s="28" t="s">
        <v>3010</v>
      </c>
      <c r="G29" s="29"/>
    </row>
    <row r="30" spans="1:7" ht="16" x14ac:dyDescent="0.2">
      <c r="A30" s="99" t="s">
        <v>27</v>
      </c>
      <c r="B30" s="58" t="s">
        <v>1051</v>
      </c>
      <c r="C30" s="69"/>
      <c r="D30" s="70"/>
      <c r="E30" s="61" t="s">
        <v>1051</v>
      </c>
      <c r="F30" s="62" t="s">
        <v>3011</v>
      </c>
    </row>
    <row r="31" spans="1:7" ht="16" x14ac:dyDescent="0.2">
      <c r="A31" s="100"/>
      <c r="B31" s="18" t="s">
        <v>3012</v>
      </c>
      <c r="C31" s="71"/>
      <c r="D31" s="72"/>
      <c r="E31" s="21" t="s">
        <v>3012</v>
      </c>
      <c r="F31" s="22" t="s">
        <v>3013</v>
      </c>
    </row>
    <row r="32" spans="1:7" ht="16" x14ac:dyDescent="0.2">
      <c r="A32" s="100"/>
      <c r="B32" s="18" t="s">
        <v>3014</v>
      </c>
      <c r="C32" s="71"/>
      <c r="D32" s="72"/>
      <c r="E32" s="21" t="s">
        <v>3015</v>
      </c>
      <c r="F32" s="22" t="s">
        <v>3016</v>
      </c>
    </row>
    <row r="33" spans="1:6" ht="16" x14ac:dyDescent="0.2">
      <c r="A33" s="100"/>
      <c r="B33" s="18" t="s">
        <v>1887</v>
      </c>
      <c r="C33" s="71"/>
      <c r="D33" s="72"/>
      <c r="E33" s="21" t="s">
        <v>3017</v>
      </c>
      <c r="F33" s="22" t="s">
        <v>3018</v>
      </c>
    </row>
    <row r="34" spans="1:6" ht="17" thickBot="1" x14ac:dyDescent="0.25">
      <c r="A34" s="100"/>
      <c r="B34" s="18" t="s">
        <v>2886</v>
      </c>
      <c r="C34" s="73"/>
      <c r="D34" s="72"/>
      <c r="E34" s="27" t="s">
        <v>3019</v>
      </c>
      <c r="F34" s="22" t="s">
        <v>3020</v>
      </c>
    </row>
  </sheetData>
  <mergeCells count="10">
    <mergeCell ref="A30:A34"/>
    <mergeCell ref="E1:G1"/>
    <mergeCell ref="A3:A5"/>
    <mergeCell ref="A7:A14"/>
    <mergeCell ref="A16:A19"/>
    <mergeCell ref="A22:A24"/>
    <mergeCell ref="A25:A29"/>
    <mergeCell ref="D4:D5"/>
    <mergeCell ref="B4:B5"/>
    <mergeCell ref="C4: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244A-DAAB-4D25-A72C-8E8DA31C86D1}">
  <dimension ref="B1:R37"/>
  <sheetViews>
    <sheetView tabSelected="1" topLeftCell="C13" zoomScale="157" workbookViewId="0">
      <selection activeCell="I19" sqref="I19:J19"/>
    </sheetView>
  </sheetViews>
  <sheetFormatPr baseColWidth="10" defaultColWidth="8.83203125" defaultRowHeight="15" x14ac:dyDescent="0.2"/>
  <cols>
    <col min="3" max="3" width="36.5" bestFit="1" customWidth="1"/>
    <col min="4" max="4" width="21.5" bestFit="1" customWidth="1"/>
    <col min="6" max="6" width="23.5" bestFit="1" customWidth="1"/>
    <col min="10" max="10" width="7.5" bestFit="1" customWidth="1"/>
  </cols>
  <sheetData>
    <row r="1" spans="2:18" ht="16" thickBot="1" x14ac:dyDescent="0.25">
      <c r="B1" t="s">
        <v>3021</v>
      </c>
      <c r="E1" s="113" t="s">
        <v>3022</v>
      </c>
      <c r="F1" s="114"/>
      <c r="K1" s="76"/>
      <c r="L1" s="76"/>
    </row>
    <row r="2" spans="2:18" x14ac:dyDescent="0.2">
      <c r="B2" s="115" t="s">
        <v>3023</v>
      </c>
      <c r="C2" s="116"/>
      <c r="D2" s="117" t="s">
        <v>3024</v>
      </c>
      <c r="E2" s="118" t="s">
        <v>3025</v>
      </c>
      <c r="F2" s="120" t="s">
        <v>3026</v>
      </c>
      <c r="G2" s="146" t="s">
        <v>3027</v>
      </c>
      <c r="H2" s="146"/>
      <c r="I2" s="146"/>
      <c r="J2" s="147"/>
      <c r="K2" s="122" t="s">
        <v>3028</v>
      </c>
      <c r="L2" s="123"/>
    </row>
    <row r="3" spans="2:18" ht="16" x14ac:dyDescent="0.2">
      <c r="B3" s="79" t="s">
        <v>3025</v>
      </c>
      <c r="C3" s="80" t="s">
        <v>3029</v>
      </c>
      <c r="D3" s="117"/>
      <c r="E3" s="119"/>
      <c r="F3" s="121"/>
      <c r="G3" s="126" t="s">
        <v>3030</v>
      </c>
      <c r="H3" s="127"/>
      <c r="I3" s="128" t="s">
        <v>3031</v>
      </c>
      <c r="J3" s="129"/>
      <c r="K3" s="124"/>
      <c r="L3" s="125"/>
    </row>
    <row r="4" spans="2:18" x14ac:dyDescent="0.2">
      <c r="B4" s="130" t="s">
        <v>3032</v>
      </c>
      <c r="C4" s="132" t="s">
        <v>3033</v>
      </c>
      <c r="D4" s="77"/>
      <c r="E4" s="118" t="s">
        <v>3034</v>
      </c>
      <c r="F4" s="135" t="s">
        <v>32</v>
      </c>
      <c r="G4" s="137" t="s">
        <v>3033</v>
      </c>
      <c r="H4" s="138"/>
      <c r="I4" s="140" t="s">
        <v>32</v>
      </c>
      <c r="J4" s="141"/>
      <c r="K4" s="142" t="s">
        <v>3035</v>
      </c>
      <c r="L4" s="143"/>
      <c r="M4" s="82" t="s">
        <v>3036</v>
      </c>
    </row>
    <row r="5" spans="2:18" ht="16" x14ac:dyDescent="0.2">
      <c r="B5" s="131"/>
      <c r="C5" s="133"/>
      <c r="D5" s="77" t="s">
        <v>3037</v>
      </c>
      <c r="E5" s="134"/>
      <c r="F5" s="136"/>
      <c r="G5" s="139"/>
      <c r="H5" s="127"/>
      <c r="I5" s="128"/>
      <c r="J5" s="129"/>
      <c r="K5" s="144"/>
      <c r="L5" s="145"/>
      <c r="M5" s="82" t="s">
        <v>3038</v>
      </c>
    </row>
    <row r="6" spans="2:18" ht="16" x14ac:dyDescent="0.2">
      <c r="B6" s="150" t="s">
        <v>3039</v>
      </c>
      <c r="C6" s="80" t="s">
        <v>3040</v>
      </c>
      <c r="D6" s="77" t="s">
        <v>3041</v>
      </c>
      <c r="E6" s="134"/>
      <c r="F6" s="83" t="s">
        <v>3042</v>
      </c>
      <c r="G6" s="151" t="s">
        <v>3043</v>
      </c>
      <c r="H6" s="152"/>
      <c r="I6" s="153" t="s">
        <v>3044</v>
      </c>
      <c r="J6" s="154"/>
      <c r="K6" s="155" t="s">
        <v>3045</v>
      </c>
      <c r="L6" s="156"/>
      <c r="M6" s="82" t="s">
        <v>3046</v>
      </c>
    </row>
    <row r="7" spans="2:18" ht="16" x14ac:dyDescent="0.2">
      <c r="B7" s="150"/>
      <c r="C7" s="80" t="s">
        <v>3047</v>
      </c>
      <c r="D7" s="77" t="s">
        <v>3048</v>
      </c>
      <c r="E7" s="134"/>
      <c r="F7" s="83" t="s">
        <v>3049</v>
      </c>
      <c r="G7" s="151" t="s">
        <v>3050</v>
      </c>
      <c r="H7" s="152"/>
      <c r="I7" s="140" t="s">
        <v>1287</v>
      </c>
      <c r="J7" s="141"/>
      <c r="K7" s="155" t="s">
        <v>3051</v>
      </c>
      <c r="L7" s="156"/>
      <c r="M7" s="148" t="s">
        <v>3052</v>
      </c>
      <c r="N7" s="149"/>
      <c r="O7" s="149"/>
      <c r="P7" s="149"/>
      <c r="Q7" s="149"/>
      <c r="R7" s="149"/>
    </row>
    <row r="8" spans="2:18" ht="16" x14ac:dyDescent="0.2">
      <c r="B8" s="150"/>
      <c r="C8" s="80" t="s">
        <v>3053</v>
      </c>
      <c r="D8" s="77" t="s">
        <v>3054</v>
      </c>
      <c r="E8" s="134"/>
      <c r="F8" s="83" t="s">
        <v>3055</v>
      </c>
      <c r="G8" s="151"/>
      <c r="H8" s="152"/>
      <c r="I8" s="159"/>
      <c r="J8" s="160"/>
      <c r="K8" s="155"/>
      <c r="L8" s="156"/>
      <c r="M8" s="148"/>
      <c r="N8" s="149"/>
      <c r="O8" s="149"/>
      <c r="P8" s="149"/>
      <c r="Q8" s="149"/>
      <c r="R8" s="149"/>
    </row>
    <row r="9" spans="2:18" ht="16" x14ac:dyDescent="0.2">
      <c r="B9" s="150"/>
      <c r="C9" s="80" t="s">
        <v>253</v>
      </c>
      <c r="D9" s="77" t="s">
        <v>3056</v>
      </c>
      <c r="E9" s="134"/>
      <c r="F9" s="83" t="s">
        <v>253</v>
      </c>
      <c r="G9" s="151"/>
      <c r="H9" s="152"/>
      <c r="I9" s="128"/>
      <c r="J9" s="129"/>
      <c r="K9" s="155"/>
      <c r="L9" s="156"/>
      <c r="M9" s="148"/>
      <c r="N9" s="149"/>
      <c r="O9" s="149"/>
      <c r="P9" s="149"/>
      <c r="Q9" s="149"/>
      <c r="R9" s="149"/>
    </row>
    <row r="10" spans="2:18" ht="16" x14ac:dyDescent="0.2">
      <c r="B10" s="150" t="s">
        <v>3057</v>
      </c>
      <c r="C10" s="80" t="s">
        <v>3058</v>
      </c>
      <c r="D10" s="77" t="s">
        <v>3059</v>
      </c>
      <c r="E10" s="134"/>
      <c r="F10" s="83" t="s">
        <v>3060</v>
      </c>
      <c r="G10" s="151" t="s">
        <v>3061</v>
      </c>
      <c r="H10" s="152"/>
      <c r="I10" s="153" t="s">
        <v>1866</v>
      </c>
      <c r="J10" s="154"/>
      <c r="K10" s="155" t="s">
        <v>3062</v>
      </c>
      <c r="L10" s="156"/>
      <c r="M10" s="82" t="s">
        <v>3063</v>
      </c>
    </row>
    <row r="11" spans="2:18" ht="16" x14ac:dyDescent="0.2">
      <c r="B11" s="150"/>
      <c r="C11" s="80" t="s">
        <v>3064</v>
      </c>
      <c r="D11" s="77" t="s">
        <v>3065</v>
      </c>
      <c r="E11" s="134"/>
      <c r="F11" s="83" t="s">
        <v>3066</v>
      </c>
      <c r="G11" s="151"/>
      <c r="H11" s="152"/>
      <c r="I11" s="153" t="s">
        <v>781</v>
      </c>
      <c r="J11" s="154"/>
      <c r="K11" s="155"/>
      <c r="L11" s="156"/>
    </row>
    <row r="12" spans="2:18" ht="16" x14ac:dyDescent="0.2">
      <c r="B12" s="150"/>
      <c r="C12" s="80" t="s">
        <v>3067</v>
      </c>
      <c r="D12" s="77" t="s">
        <v>3068</v>
      </c>
      <c r="E12" s="134"/>
      <c r="F12" s="83" t="s">
        <v>3069</v>
      </c>
      <c r="G12" s="151" t="s">
        <v>3070</v>
      </c>
      <c r="H12" s="152"/>
      <c r="I12" s="153" t="s">
        <v>381</v>
      </c>
      <c r="J12" s="154"/>
      <c r="K12" s="157"/>
      <c r="L12" s="158"/>
      <c r="M12" s="82" t="s">
        <v>3071</v>
      </c>
    </row>
    <row r="13" spans="2:18" x14ac:dyDescent="0.2">
      <c r="B13" s="130" t="s">
        <v>3072</v>
      </c>
      <c r="C13" s="132" t="s">
        <v>3073</v>
      </c>
      <c r="D13" s="163" t="s">
        <v>3074</v>
      </c>
      <c r="E13" s="134"/>
      <c r="F13" s="135" t="s">
        <v>3075</v>
      </c>
      <c r="G13" s="130" t="s">
        <v>3076</v>
      </c>
      <c r="H13" s="175" t="s">
        <v>3077</v>
      </c>
      <c r="I13" s="140" t="s">
        <v>1472</v>
      </c>
      <c r="J13" s="141"/>
      <c r="K13" s="137" t="s">
        <v>3078</v>
      </c>
      <c r="L13" s="168" t="s">
        <v>3079</v>
      </c>
      <c r="M13" s="82" t="s">
        <v>3080</v>
      </c>
    </row>
    <row r="14" spans="2:18" x14ac:dyDescent="0.2">
      <c r="B14" s="161"/>
      <c r="C14" s="162"/>
      <c r="D14" s="164"/>
      <c r="E14" s="134"/>
      <c r="F14" s="166"/>
      <c r="G14" s="161"/>
      <c r="H14" s="176"/>
      <c r="I14" s="159"/>
      <c r="J14" s="160"/>
      <c r="K14" s="167"/>
      <c r="L14" s="169"/>
      <c r="M14" s="82" t="s">
        <v>3081</v>
      </c>
    </row>
    <row r="15" spans="2:18" x14ac:dyDescent="0.2">
      <c r="B15" s="131"/>
      <c r="C15" s="133"/>
      <c r="D15" s="165"/>
      <c r="E15" s="134"/>
      <c r="F15" s="136"/>
      <c r="G15" s="131"/>
      <c r="H15" s="177"/>
      <c r="I15" s="128"/>
      <c r="J15" s="129"/>
      <c r="K15" s="139"/>
      <c r="L15" s="170"/>
      <c r="M15" s="82" t="s">
        <v>3082</v>
      </c>
    </row>
    <row r="16" spans="2:18" ht="32" x14ac:dyDescent="0.2">
      <c r="B16" s="79" t="s">
        <v>3083</v>
      </c>
      <c r="C16" s="80" t="s">
        <v>3084</v>
      </c>
      <c r="D16" s="77"/>
      <c r="E16" s="134"/>
      <c r="F16" s="83" t="s">
        <v>3084</v>
      </c>
      <c r="G16" s="151" t="s">
        <v>3083</v>
      </c>
      <c r="H16" s="152"/>
      <c r="I16" s="153" t="s">
        <v>3083</v>
      </c>
      <c r="J16" s="154"/>
      <c r="K16" s="171"/>
      <c r="L16" s="172"/>
      <c r="M16" s="82" t="s">
        <v>3085</v>
      </c>
      <c r="Q16" s="82" t="s">
        <v>3086</v>
      </c>
    </row>
    <row r="17" spans="2:13" ht="16" x14ac:dyDescent="0.2">
      <c r="B17" s="79" t="s">
        <v>3087</v>
      </c>
      <c r="C17" s="80" t="s">
        <v>3088</v>
      </c>
      <c r="D17" s="77"/>
      <c r="E17" s="119"/>
      <c r="F17" s="83" t="s">
        <v>3088</v>
      </c>
      <c r="G17" s="151" t="s">
        <v>3087</v>
      </c>
      <c r="H17" s="152"/>
      <c r="I17" s="153" t="s">
        <v>3087</v>
      </c>
      <c r="J17" s="154"/>
      <c r="K17" s="173"/>
      <c r="L17" s="174"/>
      <c r="M17" s="82" t="s">
        <v>3089</v>
      </c>
    </row>
    <row r="18" spans="2:13" ht="32" x14ac:dyDescent="0.2">
      <c r="B18" s="150" t="s">
        <v>3090</v>
      </c>
      <c r="C18" s="80" t="s">
        <v>3091</v>
      </c>
      <c r="D18" s="77" t="s">
        <v>3092</v>
      </c>
      <c r="E18" s="118" t="s">
        <v>3090</v>
      </c>
      <c r="F18" s="78" t="s">
        <v>3093</v>
      </c>
      <c r="G18" s="151" t="s">
        <v>3094</v>
      </c>
      <c r="H18" s="152"/>
      <c r="I18" s="153" t="s">
        <v>1034</v>
      </c>
      <c r="J18" s="154"/>
      <c r="K18" s="178" t="s">
        <v>3095</v>
      </c>
      <c r="L18" s="179"/>
      <c r="M18" s="82" t="s">
        <v>3096</v>
      </c>
    </row>
    <row r="19" spans="2:13" ht="16" x14ac:dyDescent="0.2">
      <c r="B19" s="150"/>
      <c r="C19" s="80" t="s">
        <v>3097</v>
      </c>
      <c r="D19" s="77" t="s">
        <v>3098</v>
      </c>
      <c r="E19" s="119"/>
      <c r="F19" s="81"/>
      <c r="G19" s="151"/>
      <c r="H19" s="152"/>
      <c r="I19" s="153" t="s">
        <v>3099</v>
      </c>
      <c r="J19" s="154"/>
      <c r="K19" s="157"/>
      <c r="L19" s="158"/>
    </row>
    <row r="20" spans="2:13" ht="16" x14ac:dyDescent="0.2">
      <c r="B20" s="130" t="s">
        <v>3100</v>
      </c>
      <c r="C20" s="132" t="s">
        <v>3091</v>
      </c>
      <c r="D20" s="163" t="s">
        <v>3101</v>
      </c>
      <c r="E20" s="118" t="s">
        <v>3102</v>
      </c>
      <c r="F20" s="87" t="s">
        <v>3103</v>
      </c>
      <c r="G20" s="77"/>
      <c r="H20" s="84"/>
      <c r="I20" s="183" t="s">
        <v>3104</v>
      </c>
      <c r="J20" s="184"/>
      <c r="K20" s="157"/>
      <c r="L20" s="158"/>
    </row>
    <row r="21" spans="2:13" ht="16" x14ac:dyDescent="0.2">
      <c r="B21" s="131"/>
      <c r="C21" s="133"/>
      <c r="D21" s="165"/>
      <c r="E21" s="134"/>
      <c r="F21" s="83" t="s">
        <v>3105</v>
      </c>
      <c r="G21" s="185"/>
      <c r="H21" s="158"/>
      <c r="I21" s="153" t="s">
        <v>3106</v>
      </c>
      <c r="J21" s="154"/>
      <c r="K21" s="186" t="s">
        <v>3107</v>
      </c>
      <c r="L21" s="155"/>
    </row>
    <row r="22" spans="2:13" ht="16" x14ac:dyDescent="0.2">
      <c r="B22" s="150" t="s">
        <v>3108</v>
      </c>
      <c r="C22" s="80" t="s">
        <v>3109</v>
      </c>
      <c r="D22" s="77" t="s">
        <v>3110</v>
      </c>
      <c r="E22" s="134"/>
      <c r="F22" s="83" t="s">
        <v>3111</v>
      </c>
      <c r="G22" s="151" t="s">
        <v>3112</v>
      </c>
      <c r="H22" s="152" t="s">
        <v>3113</v>
      </c>
      <c r="I22" s="187" t="s">
        <v>3112</v>
      </c>
      <c r="J22" s="188" t="s">
        <v>3114</v>
      </c>
      <c r="K22" s="130"/>
      <c r="L22" s="180"/>
      <c r="M22" s="82" t="s">
        <v>3115</v>
      </c>
    </row>
    <row r="23" spans="2:13" ht="16" x14ac:dyDescent="0.2">
      <c r="B23" s="150"/>
      <c r="C23" s="80" t="s">
        <v>3116</v>
      </c>
      <c r="D23" s="77" t="s">
        <v>3117</v>
      </c>
      <c r="E23" s="134"/>
      <c r="F23" s="88" t="s">
        <v>3118</v>
      </c>
      <c r="G23" s="151"/>
      <c r="H23" s="152"/>
      <c r="I23" s="187"/>
      <c r="J23" s="188"/>
      <c r="K23" s="161"/>
      <c r="L23" s="181"/>
      <c r="M23" s="82" t="s">
        <v>3119</v>
      </c>
    </row>
    <row r="24" spans="2:13" ht="16" x14ac:dyDescent="0.2">
      <c r="B24" s="150"/>
      <c r="C24" s="80" t="s">
        <v>3120</v>
      </c>
      <c r="D24" s="77" t="s">
        <v>3121</v>
      </c>
      <c r="E24" s="134"/>
      <c r="F24" s="83" t="s">
        <v>3122</v>
      </c>
      <c r="G24" s="151"/>
      <c r="H24" s="152"/>
      <c r="I24" s="187"/>
      <c r="J24" s="188"/>
      <c r="K24" s="161"/>
      <c r="L24" s="181"/>
      <c r="M24" s="82" t="s">
        <v>3123</v>
      </c>
    </row>
    <row r="25" spans="2:13" ht="16" x14ac:dyDescent="0.2">
      <c r="B25" s="150"/>
      <c r="C25" s="80" t="s">
        <v>3124</v>
      </c>
      <c r="D25" s="77" t="s">
        <v>3125</v>
      </c>
      <c r="E25" s="119"/>
      <c r="F25" s="83" t="s">
        <v>3126</v>
      </c>
      <c r="G25" s="151"/>
      <c r="H25" s="152"/>
      <c r="I25" s="187"/>
      <c r="J25" s="188"/>
      <c r="K25" s="131"/>
      <c r="L25" s="182"/>
      <c r="M25" s="82" t="s">
        <v>3127</v>
      </c>
    </row>
    <row r="26" spans="2:13" ht="16" x14ac:dyDescent="0.2">
      <c r="B26" s="79" t="s">
        <v>3128</v>
      </c>
      <c r="C26" s="80"/>
      <c r="D26" s="77" t="s">
        <v>2550</v>
      </c>
      <c r="E26" s="89" t="s">
        <v>3128</v>
      </c>
      <c r="F26" s="83" t="s">
        <v>3129</v>
      </c>
      <c r="G26" s="151" t="s">
        <v>3128</v>
      </c>
      <c r="H26" s="152"/>
      <c r="I26" s="153" t="s">
        <v>2550</v>
      </c>
      <c r="J26" s="154"/>
      <c r="K26" s="86" t="s">
        <v>3130</v>
      </c>
      <c r="L26" s="90"/>
      <c r="M26" s="82" t="s">
        <v>3131</v>
      </c>
    </row>
    <row r="27" spans="2:13" ht="32" x14ac:dyDescent="0.2">
      <c r="B27" s="79" t="s">
        <v>3132</v>
      </c>
      <c r="C27" s="80" t="s">
        <v>3133</v>
      </c>
      <c r="D27" s="77" t="s">
        <v>3134</v>
      </c>
      <c r="E27" s="89" t="s">
        <v>3135</v>
      </c>
      <c r="F27" s="83" t="s">
        <v>3136</v>
      </c>
      <c r="G27" s="151" t="s">
        <v>3137</v>
      </c>
      <c r="H27" s="152"/>
      <c r="I27" s="151" t="s">
        <v>3137</v>
      </c>
      <c r="J27" s="152"/>
      <c r="K27" s="157"/>
      <c r="L27" s="158"/>
      <c r="M27" s="82" t="s">
        <v>3138</v>
      </c>
    </row>
    <row r="28" spans="2:13" ht="16" x14ac:dyDescent="0.2">
      <c r="B28" s="150" t="s">
        <v>3139</v>
      </c>
      <c r="C28" s="80" t="s">
        <v>3140</v>
      </c>
      <c r="D28" s="77" t="s">
        <v>3141</v>
      </c>
      <c r="E28" s="189" t="s">
        <v>3139</v>
      </c>
      <c r="F28" s="83" t="s">
        <v>3042</v>
      </c>
      <c r="G28" s="151" t="s">
        <v>3142</v>
      </c>
      <c r="H28" s="152"/>
      <c r="I28" s="140" t="s">
        <v>3139</v>
      </c>
      <c r="J28" s="141"/>
      <c r="K28" s="190" t="s">
        <v>3143</v>
      </c>
      <c r="L28" s="123"/>
    </row>
    <row r="29" spans="2:13" ht="16" x14ac:dyDescent="0.2">
      <c r="B29" s="150"/>
      <c r="C29" s="80" t="s">
        <v>3144</v>
      </c>
      <c r="D29" s="77" t="s">
        <v>3145</v>
      </c>
      <c r="E29" s="189"/>
      <c r="F29" s="83" t="s">
        <v>3129</v>
      </c>
      <c r="G29" s="151"/>
      <c r="H29" s="152"/>
      <c r="I29" s="128"/>
      <c r="J29" s="129"/>
      <c r="K29" s="191"/>
      <c r="L29" s="125"/>
      <c r="M29" s="82" t="s">
        <v>3146</v>
      </c>
    </row>
    <row r="30" spans="2:13" ht="16" x14ac:dyDescent="0.2">
      <c r="B30" s="79" t="s">
        <v>2752</v>
      </c>
      <c r="C30" s="80" t="s">
        <v>3147</v>
      </c>
      <c r="D30" s="77" t="s">
        <v>3148</v>
      </c>
      <c r="E30" s="89" t="s">
        <v>2752</v>
      </c>
      <c r="F30" s="83" t="s">
        <v>2752</v>
      </c>
      <c r="G30" s="185"/>
      <c r="H30" s="158"/>
      <c r="I30" s="91"/>
      <c r="J30" s="85"/>
      <c r="K30" s="157"/>
      <c r="L30" s="158"/>
    </row>
    <row r="31" spans="2:13" ht="16" x14ac:dyDescent="0.2">
      <c r="B31" s="79" t="s">
        <v>2842</v>
      </c>
      <c r="C31" s="80" t="s">
        <v>3149</v>
      </c>
      <c r="D31" s="77" t="s">
        <v>2842</v>
      </c>
      <c r="E31" s="89" t="s">
        <v>3149</v>
      </c>
      <c r="F31" s="83" t="s">
        <v>3129</v>
      </c>
      <c r="G31" s="151" t="s">
        <v>2842</v>
      </c>
      <c r="H31" s="152"/>
      <c r="I31" s="153" t="s">
        <v>2842</v>
      </c>
      <c r="J31" s="154"/>
      <c r="K31" s="186" t="s">
        <v>3150</v>
      </c>
      <c r="L31" s="155"/>
      <c r="M31" s="82" t="s">
        <v>3151</v>
      </c>
    </row>
    <row r="32" spans="2:13" ht="17" thickBot="1" x14ac:dyDescent="0.25">
      <c r="B32" s="92" t="s">
        <v>2593</v>
      </c>
      <c r="C32" s="93"/>
      <c r="D32" s="77" t="s">
        <v>2593</v>
      </c>
      <c r="E32" s="94" t="s">
        <v>2593</v>
      </c>
      <c r="F32" s="95" t="s">
        <v>2593</v>
      </c>
      <c r="G32" s="192" t="s">
        <v>2593</v>
      </c>
      <c r="H32" s="193"/>
      <c r="I32" s="194" t="s">
        <v>3152</v>
      </c>
      <c r="J32" s="195"/>
      <c r="K32" s="157"/>
      <c r="L32" s="158"/>
      <c r="M32" s="82" t="s">
        <v>3153</v>
      </c>
    </row>
    <row r="33" spans="5:13" ht="64" x14ac:dyDescent="0.2">
      <c r="E33" s="96" t="s">
        <v>3154</v>
      </c>
      <c r="F33" s="97" t="s">
        <v>3155</v>
      </c>
      <c r="I33" s="98" t="s">
        <v>3155</v>
      </c>
      <c r="K33" s="76"/>
      <c r="L33" s="76"/>
    </row>
    <row r="34" spans="5:13" x14ac:dyDescent="0.2">
      <c r="K34" s="76"/>
      <c r="L34" s="76"/>
      <c r="M34" s="82" t="s">
        <v>3156</v>
      </c>
    </row>
    <row r="35" spans="5:13" x14ac:dyDescent="0.2">
      <c r="K35" s="76"/>
      <c r="L35" s="76"/>
      <c r="M35" s="82" t="s">
        <v>3157</v>
      </c>
    </row>
    <row r="36" spans="5:13" x14ac:dyDescent="0.2">
      <c r="K36" s="76"/>
      <c r="L36" s="76"/>
      <c r="M36" s="82" t="s">
        <v>3158</v>
      </c>
    </row>
    <row r="37" spans="5:13" x14ac:dyDescent="0.2">
      <c r="K37" s="76"/>
      <c r="L37" s="76"/>
      <c r="M37" s="82" t="s">
        <v>3159</v>
      </c>
    </row>
  </sheetData>
  <mergeCells count="87">
    <mergeCell ref="G32:H32"/>
    <mergeCell ref="I32:J32"/>
    <mergeCell ref="K32:L32"/>
    <mergeCell ref="G26:H26"/>
    <mergeCell ref="I26:J26"/>
    <mergeCell ref="G27:H27"/>
    <mergeCell ref="I27:J27"/>
    <mergeCell ref="K27:L27"/>
    <mergeCell ref="G30:H30"/>
    <mergeCell ref="K30:L30"/>
    <mergeCell ref="G31:H31"/>
    <mergeCell ref="I31:J31"/>
    <mergeCell ref="K31:L31"/>
    <mergeCell ref="B28:B29"/>
    <mergeCell ref="E28:E29"/>
    <mergeCell ref="G28:H29"/>
    <mergeCell ref="I28:J29"/>
    <mergeCell ref="K28:L29"/>
    <mergeCell ref="L22:L25"/>
    <mergeCell ref="B20:B21"/>
    <mergeCell ref="C20:C21"/>
    <mergeCell ref="D20:D21"/>
    <mergeCell ref="E20:E25"/>
    <mergeCell ref="I20:J20"/>
    <mergeCell ref="K20:L20"/>
    <mergeCell ref="G21:H21"/>
    <mergeCell ref="I21:J21"/>
    <mergeCell ref="K21:L21"/>
    <mergeCell ref="B22:B25"/>
    <mergeCell ref="G22:G25"/>
    <mergeCell ref="H22:H25"/>
    <mergeCell ref="I22:I25"/>
    <mergeCell ref="J22:J25"/>
    <mergeCell ref="K22:K25"/>
    <mergeCell ref="B18:B19"/>
    <mergeCell ref="E18:E19"/>
    <mergeCell ref="G18:H19"/>
    <mergeCell ref="I18:J18"/>
    <mergeCell ref="K18:L18"/>
    <mergeCell ref="I19:J19"/>
    <mergeCell ref="K19:L19"/>
    <mergeCell ref="I13:J15"/>
    <mergeCell ref="K13:K15"/>
    <mergeCell ref="L13:L15"/>
    <mergeCell ref="G16:H16"/>
    <mergeCell ref="I16:J16"/>
    <mergeCell ref="K16:L17"/>
    <mergeCell ref="G17:H17"/>
    <mergeCell ref="I17:J17"/>
    <mergeCell ref="H13:H15"/>
    <mergeCell ref="M7:R9"/>
    <mergeCell ref="B10:B12"/>
    <mergeCell ref="G10:H11"/>
    <mergeCell ref="I10:J10"/>
    <mergeCell ref="K10:L11"/>
    <mergeCell ref="I11:J11"/>
    <mergeCell ref="G12:H12"/>
    <mergeCell ref="I12:J12"/>
    <mergeCell ref="K12:L12"/>
    <mergeCell ref="B6:B9"/>
    <mergeCell ref="G6:H6"/>
    <mergeCell ref="I6:J6"/>
    <mergeCell ref="K6:L6"/>
    <mergeCell ref="G7:H9"/>
    <mergeCell ref="I7:J9"/>
    <mergeCell ref="K7:L9"/>
    <mergeCell ref="K2:L3"/>
    <mergeCell ref="G3:H3"/>
    <mergeCell ref="I3:J3"/>
    <mergeCell ref="B4:B5"/>
    <mergeCell ref="C4:C5"/>
    <mergeCell ref="E4:E17"/>
    <mergeCell ref="F4:F5"/>
    <mergeCell ref="G4:H5"/>
    <mergeCell ref="I4:J5"/>
    <mergeCell ref="K4:L5"/>
    <mergeCell ref="G2:J2"/>
    <mergeCell ref="B13:B15"/>
    <mergeCell ref="C13:C15"/>
    <mergeCell ref="D13:D15"/>
    <mergeCell ref="F13:F15"/>
    <mergeCell ref="G13:G15"/>
    <mergeCell ref="E1:F1"/>
    <mergeCell ref="B2:C2"/>
    <mergeCell ref="D2:D3"/>
    <mergeCell ref="E2:E3"/>
    <mergeCell ref="F2:F3"/>
  </mergeCells>
  <conditionalFormatting sqref="B6 B10 B13:C13 B16:B17 B20 B22 B26:B28 C29:C30 B31:B32">
    <cfRule type="endsWith" dxfId="5" priority="3" operator="endsWith" text=" ">
      <formula>RIGHT(B6,LEN(" "))=" "</formula>
    </cfRule>
    <cfRule type="beginsWith" dxfId="4" priority="4" operator="beginsWith" text=" ">
      <formula>LEFT(B6,LEN(" "))=" "</formula>
    </cfRule>
  </conditionalFormatting>
  <conditionalFormatting sqref="C19">
    <cfRule type="endsWith" dxfId="3" priority="5" operator="endsWith" text=" ">
      <formula>RIGHT(C19,LEN(" "))=" "</formula>
    </cfRule>
    <cfRule type="beginsWith" dxfId="2" priority="6" operator="beginsWith" text=" ">
      <formula>LEFT(C19,LEN(" "))=" "</formula>
    </cfRule>
  </conditionalFormatting>
  <conditionalFormatting sqref="D22">
    <cfRule type="endsWith" dxfId="1" priority="1" operator="endsWith" text=" ">
      <formula>RIGHT(D22,LEN(" "))=" "</formula>
    </cfRule>
    <cfRule type="beginsWith" dxfId="0" priority="2" operator="beginsWith" text=" ">
      <formula>LEFT(D22,LEN(" "))=" "</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50a919c-bd16-47eb-b143-2d77304b7540" xsi:nil="true"/>
    <lcf76f155ced4ddcb4097134ff3c332f xmlns="359b0286-d67e-4431-ab6a-a264c316711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783C8262DABF4D890A36527736A65F" ma:contentTypeVersion="15" ma:contentTypeDescription="Create a new document." ma:contentTypeScope="" ma:versionID="1f9c2e198759712e4c6ca518a1c10280">
  <xsd:schema xmlns:xsd="http://www.w3.org/2001/XMLSchema" xmlns:xs="http://www.w3.org/2001/XMLSchema" xmlns:p="http://schemas.microsoft.com/office/2006/metadata/properties" xmlns:ns2="359b0286-d67e-4431-ab6a-a264c3167115" xmlns:ns3="d50a919c-bd16-47eb-b143-2d77304b7540" targetNamespace="http://schemas.microsoft.com/office/2006/metadata/properties" ma:root="true" ma:fieldsID="50e9f6131362dd704f36523c61efbc00" ns2:_="" ns3:_="">
    <xsd:import namespace="359b0286-d67e-4431-ab6a-a264c3167115"/>
    <xsd:import namespace="d50a919c-bd16-47eb-b143-2d77304b754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9b0286-d67e-4431-ab6a-a264c31671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0a919c-bd16-47eb-b143-2d77304b754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03c211f-8e50-445c-95d1-133a0c4bfc7c}" ma:internalName="TaxCatchAll" ma:showField="CatchAllData" ma:web="d50a919c-bd16-47eb-b143-2d77304b75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FEA90A-39EE-4FB8-BFDF-52AE085A442A}">
  <ds:schemaRefs>
    <ds:schemaRef ds:uri="http://schemas.microsoft.com/office/2006/metadata/properties"/>
    <ds:schemaRef ds:uri="http://schemas.microsoft.com/office/infopath/2007/PartnerControls"/>
    <ds:schemaRef ds:uri="d50a919c-bd16-47eb-b143-2d77304b7540"/>
    <ds:schemaRef ds:uri="359b0286-d67e-4431-ab6a-a264c3167115"/>
  </ds:schemaRefs>
</ds:datastoreItem>
</file>

<file path=customXml/itemProps2.xml><?xml version="1.0" encoding="utf-8"?>
<ds:datastoreItem xmlns:ds="http://schemas.openxmlformats.org/officeDocument/2006/customXml" ds:itemID="{DE3F1456-8E20-4D58-A11F-530389B04082}">
  <ds:schemaRefs>
    <ds:schemaRef ds:uri="http://schemas.microsoft.com/sharepoint/v3/contenttype/forms"/>
  </ds:schemaRefs>
</ds:datastoreItem>
</file>

<file path=customXml/itemProps3.xml><?xml version="1.0" encoding="utf-8"?>
<ds:datastoreItem xmlns:ds="http://schemas.openxmlformats.org/officeDocument/2006/customXml" ds:itemID="{8DCC0AE0-3BAF-48AA-9857-A6F22F0FA1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9b0286-d67e-4431-ab6a-a264c3167115"/>
    <ds:schemaRef ds:uri="d50a919c-bd16-47eb-b143-2d77304b75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Stations</vt:lpstr>
      <vt:lpstr>Parameters</vt:lpstr>
      <vt:lpstr>NetworkAnnotation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Weick, Ted J ENV:EX</dc:creator>
  <cp:keywords/>
  <dc:description/>
  <cp:lastModifiedBy>Tong Li</cp:lastModifiedBy>
  <cp:revision/>
  <dcterms:created xsi:type="dcterms:W3CDTF">2025-01-13T16:10:01Z</dcterms:created>
  <dcterms:modified xsi:type="dcterms:W3CDTF">2026-01-15T22:34:43Z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